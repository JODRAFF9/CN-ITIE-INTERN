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"/>
    </mc:Choice>
  </mc:AlternateContent>
  <xr:revisionPtr revIDLastSave="0" documentId="13_ncr:1_{3237090E-57BE-4FB1-915D-BC9A4F2744B6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Titres_Declare" sheetId="18" r:id="rId1"/>
    <sheet name="Permis" sheetId="2" r:id="rId2"/>
    <sheet name="Sous-traitant" sheetId="3" r:id="rId3"/>
    <sheet name="Merge" sheetId="16" state="hidden" r:id="rId4"/>
    <sheet name="Feuil1" sheetId="20" r:id="rId5"/>
    <sheet name="RBE" sheetId="4" r:id="rId6"/>
    <sheet name="00" sheetId="11" r:id="rId7"/>
    <sheet name="01" sheetId="14" r:id="rId8"/>
    <sheet name="02" sheetId="15" r:id="rId9"/>
    <sheet name="03" sheetId="17" r:id="rId10"/>
    <sheet name="Feuil18" sheetId="19" r:id="rId11"/>
  </sheets>
  <definedNames>
    <definedName name="_xlnm._FilterDatabase" localSheetId="5" hidden="1">RBE!$A$1:$P$629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2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49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2" i="4"/>
  <c r="G114" i="4"/>
  <c r="G115" i="4"/>
  <c r="G116" i="4"/>
  <c r="G117" i="4"/>
  <c r="G118" i="4"/>
  <c r="G119" i="4"/>
  <c r="G176" i="4"/>
  <c r="G196" i="4"/>
  <c r="G197" i="4"/>
  <c r="G231" i="4"/>
  <c r="G293" i="4"/>
  <c r="G294" i="4"/>
  <c r="G295" i="4"/>
  <c r="G347" i="4"/>
  <c r="G411" i="4"/>
  <c r="G412" i="4"/>
  <c r="G447" i="4"/>
  <c r="G448" i="4"/>
  <c r="G478" i="4"/>
  <c r="G519" i="4"/>
  <c r="G520" i="4"/>
  <c r="G521" i="4"/>
  <c r="G522" i="4"/>
  <c r="G547" i="4"/>
  <c r="G12" i="4"/>
  <c r="G45" i="4"/>
  <c r="G46" i="4"/>
  <c r="G107" i="4"/>
  <c r="G108" i="4"/>
  <c r="G171" i="4"/>
  <c r="G243" i="4"/>
  <c r="G264" i="4"/>
  <c r="G265" i="4"/>
  <c r="G266" i="4"/>
  <c r="G350" i="4"/>
  <c r="G425" i="4"/>
  <c r="G449" i="4"/>
  <c r="G450" i="4"/>
  <c r="G497" i="4"/>
  <c r="G2" i="4"/>
  <c r="G3" i="4"/>
  <c r="G4" i="4"/>
  <c r="G5" i="4"/>
  <c r="G6" i="4"/>
  <c r="G7" i="4"/>
  <c r="G8" i="4"/>
  <c r="G9" i="4"/>
  <c r="G11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9" i="4"/>
  <c r="G110" i="4"/>
  <c r="G111" i="4"/>
  <c r="G112" i="4"/>
  <c r="G113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2" i="4"/>
  <c r="G173" i="4"/>
  <c r="G174" i="4"/>
  <c r="G175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8" i="4"/>
  <c r="G199" i="4"/>
  <c r="G200" i="4"/>
  <c r="G201" i="4"/>
  <c r="G203" i="4"/>
  <c r="G204" i="4"/>
  <c r="G205" i="4"/>
  <c r="G202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2" i="4"/>
  <c r="G233" i="4"/>
  <c r="G234" i="4"/>
  <c r="G237" i="4"/>
  <c r="G239" i="4"/>
  <c r="G240" i="4"/>
  <c r="G241" i="4"/>
  <c r="G242" i="4"/>
  <c r="G235" i="4"/>
  <c r="G236" i="4"/>
  <c r="G238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8" i="4"/>
  <c r="G349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10" i="4"/>
</calcChain>
</file>

<file path=xl/sharedStrings.xml><?xml version="1.0" encoding="utf-8"?>
<sst xmlns="http://schemas.openxmlformats.org/spreadsheetml/2006/main" count="26175" uniqueCount="4191">
  <si>
    <t>Code</t>
  </si>
  <si>
    <t>Nom</t>
  </si>
  <si>
    <t>Parties</t>
  </si>
  <si>
    <t>Juridiction</t>
  </si>
  <si>
    <t>Type</t>
  </si>
  <si>
    <t>Substances</t>
  </si>
  <si>
    <t>Statut</t>
  </si>
  <si>
    <t>Région</t>
  </si>
  <si>
    <t>Demande faite</t>
  </si>
  <si>
    <t>Octroyé</t>
  </si>
  <si>
    <t>Expire le</t>
  </si>
  <si>
    <t>Renouvelé</t>
  </si>
  <si>
    <t>superficie</t>
  </si>
  <si>
    <t>02001</t>
  </si>
  <si>
    <t>COMPAGNIE  SENEGALAISE DES PHOSPHATES DE TAIBA</t>
  </si>
  <si>
    <t>Sénégal</t>
  </si>
  <si>
    <t>CM</t>
  </si>
  <si>
    <t>phosphate de chaux</t>
  </si>
  <si>
    <t>Active</t>
  </si>
  <si>
    <t>Thiès</t>
  </si>
  <si>
    <t>104.9462 km²</t>
  </si>
  <si>
    <t>02002</t>
  </si>
  <si>
    <t>PROCHIMAT</t>
  </si>
  <si>
    <t>21.8889 km²</t>
  </si>
  <si>
    <t>02003</t>
  </si>
  <si>
    <t>Diack</t>
  </si>
  <si>
    <t>ENTREPRISE DE GENIE CIVIL CONCASSEUR BASALTE NDIAMBOUR (EGCCBN) SUARL  (100%)</t>
  </si>
  <si>
    <t>AECPP</t>
  </si>
  <si>
    <t>basalte</t>
  </si>
  <si>
    <t>6.3789 Ha</t>
  </si>
  <si>
    <t>02004</t>
  </si>
  <si>
    <t>D1985-399 Warrang</t>
  </si>
  <si>
    <t>SOCIETE SENEGALAISE DES PHOSPHATES DE THIES</t>
  </si>
  <si>
    <t>argile industrielle, attapulgite, sépiolite</t>
  </si>
  <si>
    <t>1.3304 km²</t>
  </si>
  <si>
    <t>02005</t>
  </si>
  <si>
    <t>D1985-409 Mbodiène</t>
  </si>
  <si>
    <t>Argile, attapulgite, sépiolite</t>
  </si>
  <si>
    <t>1.1881 km²</t>
  </si>
  <si>
    <t>02006</t>
  </si>
  <si>
    <t>D1985-411 Allou Kagne</t>
  </si>
  <si>
    <t>Renouvellement en Cours</t>
  </si>
  <si>
    <t>13.0547 km²</t>
  </si>
  <si>
    <t>02007</t>
  </si>
  <si>
    <t>D1985-413 Sébikotane</t>
  </si>
  <si>
    <t>3.2995 km²</t>
  </si>
  <si>
    <t>02008</t>
  </si>
  <si>
    <t>COMPAGNIE GENERALE D'EXPLOITATION DE CARRIERE (100%)</t>
  </si>
  <si>
    <t>2.7659 Ha</t>
  </si>
  <si>
    <t>02009</t>
  </si>
  <si>
    <t>A007953 Diack</t>
  </si>
  <si>
    <t>GECAMINES.SA (100%)</t>
  </si>
  <si>
    <t>0.0193 km²</t>
  </si>
  <si>
    <t>02010</t>
  </si>
  <si>
    <t>COMPAGNIE SAHELIENNE D'ENTREPRISE GRANULATS (100%)</t>
  </si>
  <si>
    <t>Avertissement Renouvellement</t>
  </si>
  <si>
    <t>17.5424 Ha</t>
  </si>
  <si>
    <t>02011</t>
  </si>
  <si>
    <t>Bandia</t>
  </si>
  <si>
    <t>GECAMINES.SA</t>
  </si>
  <si>
    <t>calcaire</t>
  </si>
  <si>
    <t>11.1313 Ha</t>
  </si>
  <si>
    <t>02013</t>
  </si>
  <si>
    <t>6.4607 Ha</t>
  </si>
  <si>
    <t>02014</t>
  </si>
  <si>
    <t>Mbodiène</t>
  </si>
  <si>
    <t>SENEGAL MINES</t>
  </si>
  <si>
    <t>Argile, attapulgite</t>
  </si>
  <si>
    <t>269.4724 Ha</t>
  </si>
  <si>
    <t>02015</t>
  </si>
  <si>
    <t>D1999-1020 Tobène Nord_ICS</t>
  </si>
  <si>
    <t>INDUSTRIES CHIMIQUES DU SENEGAL</t>
  </si>
  <si>
    <t>247.9598 km²</t>
  </si>
  <si>
    <t>02016</t>
  </si>
  <si>
    <t>Tobene Sud_ICS</t>
  </si>
  <si>
    <t>18.4142 km²</t>
  </si>
  <si>
    <t>02017</t>
  </si>
  <si>
    <t>Kirène</t>
  </si>
  <si>
    <t>CIMENTS DU SAHEL</t>
  </si>
  <si>
    <t>586.2024 Ha</t>
  </si>
  <si>
    <t>02018</t>
  </si>
  <si>
    <t>D2000-106 Thicky</t>
  </si>
  <si>
    <t>Argile</t>
  </si>
  <si>
    <t>1.9998 km²</t>
  </si>
  <si>
    <t>02019</t>
  </si>
  <si>
    <t>D1998-238 Niamia</t>
  </si>
  <si>
    <t>SOCIETE DE RECHERCHE ET DE DEVELOPPEMENT DES MINES SA (SORED-MINES)</t>
  </si>
  <si>
    <t>Au, substance connexes</t>
  </si>
  <si>
    <t>Kedougou</t>
  </si>
  <si>
    <t>116.7547 km²</t>
  </si>
  <si>
    <t>02022</t>
  </si>
  <si>
    <t>SABODALA-GORA-MASSAWA</t>
  </si>
  <si>
    <t>SABODALA GOLD OPERATIONS SA (SGO)</t>
  </si>
  <si>
    <t>Au</t>
  </si>
  <si>
    <t>611.0000 km²</t>
  </si>
  <si>
    <t>02024</t>
  </si>
  <si>
    <t>Carrière de calcaire dans la forêt classée de Pout</t>
  </si>
  <si>
    <t>31.8389 Ha</t>
  </si>
  <si>
    <t>02025</t>
  </si>
  <si>
    <t>D2006-359 Bargny</t>
  </si>
  <si>
    <t xml:space="preserve">SOCIETE DE COMMERCIALISATION DU CIMENT (SOCOCIM) INDUSTRIES </t>
  </si>
  <si>
    <t>Dakar</t>
  </si>
  <si>
    <t>4.6153 km²</t>
  </si>
  <si>
    <t>02026</t>
  </si>
  <si>
    <t>Bandia_SOCOCIM</t>
  </si>
  <si>
    <t>SOCIETE DE COMMERCIALISATION DU CIMENT (SOCOCIM) INDUSTRIES  (100%)</t>
  </si>
  <si>
    <t>1.1345 km²</t>
  </si>
  <si>
    <t>02027</t>
  </si>
  <si>
    <t>D2006-361 Pout</t>
  </si>
  <si>
    <t>4.1711 km²</t>
  </si>
  <si>
    <t>02028</t>
  </si>
  <si>
    <t>Grande Côte_MDL</t>
  </si>
  <si>
    <t xml:space="preserve">GRANDE COTE OPERATIONS SA </t>
  </si>
  <si>
    <t>ML</t>
  </si>
  <si>
    <t>451.9490 km²</t>
  </si>
  <si>
    <t>02029</t>
  </si>
  <si>
    <t>PAKI</t>
  </si>
  <si>
    <t>LIBASSE NIANG (100%)</t>
  </si>
  <si>
    <t>grès</t>
  </si>
  <si>
    <t>5.5140 Ha</t>
  </si>
  <si>
    <t>02034</t>
  </si>
  <si>
    <t>Thicky-Pout</t>
  </si>
  <si>
    <t>DANGOTE INDUSTRIES SENEGAL SA</t>
  </si>
  <si>
    <t>argile industrielle, calcaire, latérite</t>
  </si>
  <si>
    <t>13.0574 km²</t>
  </si>
  <si>
    <t>02035</t>
  </si>
  <si>
    <t>A008206 Diack</t>
  </si>
  <si>
    <t>40.8988 Ha</t>
  </si>
  <si>
    <t>02036</t>
  </si>
  <si>
    <t>CARRIERE ABDOU FATTAH SA (100%)</t>
  </si>
  <si>
    <t>15.2686 Ha</t>
  </si>
  <si>
    <t>02037</t>
  </si>
  <si>
    <t>A07540 _ Périmètre de Diack</t>
  </si>
  <si>
    <t>14.9861 Ha</t>
  </si>
  <si>
    <t>02041</t>
  </si>
  <si>
    <t>5.0028 Ha</t>
  </si>
  <si>
    <t>02059</t>
  </si>
  <si>
    <t>Woyé</t>
  </si>
  <si>
    <t>MINING RESEARCH COMPANY S.L (100%)</t>
  </si>
  <si>
    <t>PR</t>
  </si>
  <si>
    <t>52.8169 km²</t>
  </si>
  <si>
    <t>02060</t>
  </si>
  <si>
    <t>Ndoukoura Ouolof- SYPROM SA</t>
  </si>
  <si>
    <t>SYPROM SA (100%)</t>
  </si>
  <si>
    <t>11.4965 Ha</t>
  </si>
  <si>
    <t>02062</t>
  </si>
  <si>
    <t>TAIBA</t>
  </si>
  <si>
    <t>ENTREPRISE MAPATHE NDIOUCK (100%)</t>
  </si>
  <si>
    <t>AEPM</t>
  </si>
  <si>
    <t>Sl</t>
  </si>
  <si>
    <t>73.9197 Ha</t>
  </si>
  <si>
    <t>02063</t>
  </si>
  <si>
    <t>SEGUEKHO BIS</t>
  </si>
  <si>
    <t>DIAKHA GOLD MINES</t>
  </si>
  <si>
    <t>AEMSM</t>
  </si>
  <si>
    <t>0.5001 km²</t>
  </si>
  <si>
    <t>02068</t>
  </si>
  <si>
    <t>Wassadou Nord</t>
  </si>
  <si>
    <t>SOCIETE DES MINES DU SENEGAL (SODEMINES) (100%)</t>
  </si>
  <si>
    <t>30.2035 km²</t>
  </si>
  <si>
    <t>02072</t>
  </si>
  <si>
    <t>Diendouri Ouali Diala</t>
  </si>
  <si>
    <t>SOCIETE D'ETUDES ET DE REALISATION DES PHOSPHATES DE MATAM (SERPM)</t>
  </si>
  <si>
    <t>Matam</t>
  </si>
  <si>
    <t>633.5624 km²</t>
  </si>
  <si>
    <t>02075</t>
  </si>
  <si>
    <t>SANSAMBA</t>
  </si>
  <si>
    <t>SERIGNE SALIOU MBACKE SARL</t>
  </si>
  <si>
    <t>5.0133 km²</t>
  </si>
  <si>
    <t>02078</t>
  </si>
  <si>
    <t>Wassadou Sud</t>
  </si>
  <si>
    <t>37.4632 km²</t>
  </si>
  <si>
    <t>02079</t>
  </si>
  <si>
    <t>Tomormadji</t>
  </si>
  <si>
    <t>GH MINING SARL (100%)</t>
  </si>
  <si>
    <t>Mn</t>
  </si>
  <si>
    <t>Transformation en Cours</t>
  </si>
  <si>
    <t>Tambacounda</t>
  </si>
  <si>
    <t>243.3180 km²</t>
  </si>
  <si>
    <t>02084</t>
  </si>
  <si>
    <t>Sud Kenieba &amp; Medina Foulbe</t>
  </si>
  <si>
    <t>4.9797 km²</t>
  </si>
  <si>
    <t>02085</t>
  </si>
  <si>
    <t>Sud Saint Louis</t>
  </si>
  <si>
    <t>SEN-HMC MINING SUARL (100%)</t>
  </si>
  <si>
    <t>Saint Louis</t>
  </si>
  <si>
    <t>5.0002 km²</t>
  </si>
  <si>
    <t>02091</t>
  </si>
  <si>
    <t>YANG-YANG</t>
  </si>
  <si>
    <t>COMPTOIRE COMMERCIAL DAOUDA DIA SUARL (100%)</t>
  </si>
  <si>
    <t>Louga</t>
  </si>
  <si>
    <t>20.1820 Ha</t>
  </si>
  <si>
    <t>02100</t>
  </si>
  <si>
    <t>KEBEMER</t>
  </si>
  <si>
    <t>CAYOR PHOSPHATE MINING SA (100%)</t>
  </si>
  <si>
    <t>637.4849 km²</t>
  </si>
  <si>
    <t>02104</t>
  </si>
  <si>
    <t>Baytilaye</t>
  </si>
  <si>
    <t>SDK MINING SA (100%)</t>
  </si>
  <si>
    <t>154.4092 km²</t>
  </si>
  <si>
    <t>02105</t>
  </si>
  <si>
    <t>Couloir 1_Diabougou</t>
  </si>
  <si>
    <t>REPUBLIQUE DU SENEGAL (100%)</t>
  </si>
  <si>
    <t>CO</t>
  </si>
  <si>
    <t>1,190.3535 Ha</t>
  </si>
  <si>
    <t>02106</t>
  </si>
  <si>
    <t>Couloir 2_Soukounkou</t>
  </si>
  <si>
    <t>1,087.8000 Ha</t>
  </si>
  <si>
    <t>02107</t>
  </si>
  <si>
    <t>Couloir 3_Soreto</t>
  </si>
  <si>
    <t>6.3000 km²</t>
  </si>
  <si>
    <t>02108</t>
  </si>
  <si>
    <t>Couloir 4_Makana</t>
  </si>
  <si>
    <t>190.0117 Ha</t>
  </si>
  <si>
    <t>02109</t>
  </si>
  <si>
    <t>Couloir 5_Tinkoto</t>
  </si>
  <si>
    <t>17.8249 km²</t>
  </si>
  <si>
    <t>02110</t>
  </si>
  <si>
    <t>Couloir 6_Bantako</t>
  </si>
  <si>
    <t>7.3250 km²</t>
  </si>
  <si>
    <t>02111</t>
  </si>
  <si>
    <t>Couloir 7_Sansamba</t>
  </si>
  <si>
    <t>02112</t>
  </si>
  <si>
    <t>Couloir 8_kabetea Gossan</t>
  </si>
  <si>
    <t>107.6606 Ha</t>
  </si>
  <si>
    <t>02113</t>
  </si>
  <si>
    <t>Couloir 9_Baqata</t>
  </si>
  <si>
    <t>0.8458 km²</t>
  </si>
  <si>
    <t>02114</t>
  </si>
  <si>
    <t>Couloir 10_Garaboureya</t>
  </si>
  <si>
    <t>5.4193 km²</t>
  </si>
  <si>
    <t>02115</t>
  </si>
  <si>
    <t>Couloir 11_Satadougou</t>
  </si>
  <si>
    <t>12.0891 km²</t>
  </si>
  <si>
    <t>02116</t>
  </si>
  <si>
    <t>Couloir12_Daorala</t>
  </si>
  <si>
    <t>3,060.7524 Ha</t>
  </si>
  <si>
    <t>02117</t>
  </si>
  <si>
    <t>Couloir13_Karakaena</t>
  </si>
  <si>
    <t>27.0468 Ha</t>
  </si>
  <si>
    <t>02118</t>
  </si>
  <si>
    <t>Couloir 14_Bondola</t>
  </si>
  <si>
    <t>28.9050 km²</t>
  </si>
  <si>
    <t>02119</t>
  </si>
  <si>
    <t>Couloir 15_Lingokhoto</t>
  </si>
  <si>
    <t>37.8666 km²</t>
  </si>
  <si>
    <t>02120</t>
  </si>
  <si>
    <t>Couloir 16_Diakhaling</t>
  </si>
  <si>
    <t>12.7868 km²</t>
  </si>
  <si>
    <t>02121</t>
  </si>
  <si>
    <t>Couloir 17_Balankonko</t>
  </si>
  <si>
    <t>37.5356 km²</t>
  </si>
  <si>
    <t>02126</t>
  </si>
  <si>
    <t>A04252_ Diack</t>
  </si>
  <si>
    <t>5.0633 Ha</t>
  </si>
  <si>
    <t>02128</t>
  </si>
  <si>
    <t>BANDIA</t>
  </si>
  <si>
    <t>VAPROM AFRICA SA (100%)</t>
  </si>
  <si>
    <t>14.3139 Ha</t>
  </si>
  <si>
    <t>02129</t>
  </si>
  <si>
    <t>Pout</t>
  </si>
  <si>
    <t>SOCIETE INDUSTRIELLE ET MINIERE SUARL (100%)</t>
  </si>
  <si>
    <t>10.0173 Ha</t>
  </si>
  <si>
    <t>02130</t>
  </si>
  <si>
    <t>Diamba Sud</t>
  </si>
  <si>
    <t>BOYA SAU</t>
  </si>
  <si>
    <t>53.4554 km²</t>
  </si>
  <si>
    <t>02133</t>
  </si>
  <si>
    <t>ETS/PID</t>
  </si>
  <si>
    <t>19.6553 Ha</t>
  </si>
  <si>
    <t>02135</t>
  </si>
  <si>
    <t>LIMETECH SA (100%)</t>
  </si>
  <si>
    <t>19.6820 Ha</t>
  </si>
  <si>
    <t>02136</t>
  </si>
  <si>
    <t>MOM SARL (100%)</t>
  </si>
  <si>
    <t>6.0200 Ha</t>
  </si>
  <si>
    <t>02140</t>
  </si>
  <si>
    <t>SOCIETE DES TERRES NEUVES SARL (100%)</t>
  </si>
  <si>
    <t>17.2358 Ha</t>
  </si>
  <si>
    <t>02142</t>
  </si>
  <si>
    <t>SOCIETE DE SERVICES, BATIMENT ET COMMERCE INTERNATIONALE 2SBCI SUARL (100%)</t>
  </si>
  <si>
    <t>30.0345 Ha</t>
  </si>
  <si>
    <t>02143</t>
  </si>
  <si>
    <t>MAKO</t>
  </si>
  <si>
    <t>CONSORTIUM SENEGALAISE D' INDUSTRIE ET DE COMMERCE</t>
  </si>
  <si>
    <t>22.2585 Ha</t>
  </si>
  <si>
    <t>02144</t>
  </si>
  <si>
    <t>D2007-851 Falémé</t>
  </si>
  <si>
    <t>SOCIETE  DES MINES DE FER DE LA FALEME (MIFERSO)</t>
  </si>
  <si>
    <t>fer</t>
  </si>
  <si>
    <t>1,331.7571 km²</t>
  </si>
  <si>
    <t>02146</t>
  </si>
  <si>
    <t>KARAKAENA</t>
  </si>
  <si>
    <t>AFRIGOLD  SARL (90%)</t>
  </si>
  <si>
    <t>PE</t>
  </si>
  <si>
    <t>38.6940 km²</t>
  </si>
  <si>
    <t>02149</t>
  </si>
  <si>
    <t>Cherif Lo Ngakham</t>
  </si>
  <si>
    <t>BAOBAB MINING AND CHEMICAL CORP SA</t>
  </si>
  <si>
    <t>Diourbel</t>
  </si>
  <si>
    <t>74.5280 km²</t>
  </si>
  <si>
    <t>02152</t>
  </si>
  <si>
    <t>Sambarabougou</t>
  </si>
  <si>
    <t>MAKABINGUI GOLD OPERATIONS SA (90%)</t>
  </si>
  <si>
    <t>121.4052 km²</t>
  </si>
  <si>
    <t>02153</t>
  </si>
  <si>
    <t>KEUR LAT DIOP FALL</t>
  </si>
  <si>
    <t>LES CARRIERES CTG SARL (100%)</t>
  </si>
  <si>
    <t>173.9988 Ha</t>
  </si>
  <si>
    <t>02154</t>
  </si>
  <si>
    <t>ISLE WORLDWIDE (100%)</t>
  </si>
  <si>
    <t>AEHTR</t>
  </si>
  <si>
    <t>0.0002 km²</t>
  </si>
  <si>
    <t>02155</t>
  </si>
  <si>
    <t>PETOWAL MINING COMPANY (PMC) SA</t>
  </si>
  <si>
    <t>87.2102 km²</t>
  </si>
  <si>
    <t>02158</t>
  </si>
  <si>
    <t>TINKOTO SOU</t>
  </si>
  <si>
    <t>GIE SINING KANG (100%)</t>
  </si>
  <si>
    <t>36.2410 Ha</t>
  </si>
  <si>
    <t>02159</t>
  </si>
  <si>
    <t>Tassette</t>
  </si>
  <si>
    <t>SOCIETE CIVILE IMMOBILIERE S.C.I.D.D (100%)</t>
  </si>
  <si>
    <t>38.3335 Ha</t>
  </si>
  <si>
    <t>02160</t>
  </si>
  <si>
    <t>ENTREPRISE GENERALE D'EQUIPEMENT  SARL (100%)</t>
  </si>
  <si>
    <t>17.3701 Ha</t>
  </si>
  <si>
    <t>02161</t>
  </si>
  <si>
    <t>Taiba</t>
  </si>
  <si>
    <t>URBAINE D'ENTREPRISE (100%)</t>
  </si>
  <si>
    <t>0.0000 km²</t>
  </si>
  <si>
    <t>02163</t>
  </si>
  <si>
    <t>SWAMI MINES SAU (100%)</t>
  </si>
  <si>
    <t>0.0000 Ha</t>
  </si>
  <si>
    <t>02165</t>
  </si>
  <si>
    <t>AGROMINE SUARL (100%)</t>
  </si>
  <si>
    <t>38.5224 Ha</t>
  </si>
  <si>
    <t>02166</t>
  </si>
  <si>
    <t>94.9570 Ha</t>
  </si>
  <si>
    <t>02167</t>
  </si>
  <si>
    <t>BUL FAALE PRODUCTION (100%)</t>
  </si>
  <si>
    <t>4.8899 Ha</t>
  </si>
  <si>
    <t>02175</t>
  </si>
  <si>
    <t>WAKALI GINDE</t>
  </si>
  <si>
    <t>31.7186 km²</t>
  </si>
  <si>
    <t>02178</t>
  </si>
  <si>
    <t>FUTURIS IMMOBILIER (100%)</t>
  </si>
  <si>
    <t>0.0003 km²</t>
  </si>
  <si>
    <t>02180</t>
  </si>
  <si>
    <t>LAFIA</t>
  </si>
  <si>
    <t>WEST AFRICAN TRADING INVESTMENT CONSTRUCTION (100%)</t>
  </si>
  <si>
    <t>212.1363 km²</t>
  </si>
  <si>
    <t>02183</t>
  </si>
  <si>
    <t>KEREKONKO</t>
  </si>
  <si>
    <t>G.I.E. " LE WOUROUS"</t>
  </si>
  <si>
    <t>49.8468 Ha</t>
  </si>
  <si>
    <t>02184</t>
  </si>
  <si>
    <t>MOUHAMED RASSOUL SECK SERVICES (100%)</t>
  </si>
  <si>
    <t>5.1048 Ha</t>
  </si>
  <si>
    <t>02185</t>
  </si>
  <si>
    <t>Ndebou</t>
  </si>
  <si>
    <t>SEGIMAR SA</t>
  </si>
  <si>
    <t>marbre</t>
  </si>
  <si>
    <t>10.1638 Ha</t>
  </si>
  <si>
    <t>02188</t>
  </si>
  <si>
    <t>ALBINA SENEGAL (100%)</t>
  </si>
  <si>
    <t>15.0505 Ha</t>
  </si>
  <si>
    <t>02189</t>
  </si>
  <si>
    <t>BANTAKO</t>
  </si>
  <si>
    <t>GIE REBISEN (100%)</t>
  </si>
  <si>
    <t>50.0000 Ha</t>
  </si>
  <si>
    <t>02190</t>
  </si>
  <si>
    <t>SEGUEKO2</t>
  </si>
  <si>
    <t>GIE KEDOUGOU BISNESS</t>
  </si>
  <si>
    <t>02191</t>
  </si>
  <si>
    <t>SOCIETE SENEGALAISE DES MINES ET CARRIERES (100%)</t>
  </si>
  <si>
    <t>0.1010 Ha</t>
  </si>
  <si>
    <t>02195</t>
  </si>
  <si>
    <t>SOCIETE DE CONCASSAGE ET DE BETON SARL (100%)</t>
  </si>
  <si>
    <t>02199</t>
  </si>
  <si>
    <t>MADINA FOULBE</t>
  </si>
  <si>
    <t>BB FIRST COMMODITY HOLDING LTD</t>
  </si>
  <si>
    <t>146.2646 km²</t>
  </si>
  <si>
    <t>02200</t>
  </si>
  <si>
    <t>BRANSAN</t>
  </si>
  <si>
    <t>SABODALA MINING COMPANY (100%)</t>
  </si>
  <si>
    <t>Au, substances connexes</t>
  </si>
  <si>
    <t>193.3617 km²</t>
  </si>
  <si>
    <t>02203</t>
  </si>
  <si>
    <t>DJINDJI BASSARI</t>
  </si>
  <si>
    <t>TRIYANGS INTERNATIONAL MINING GROUP SA (100%)</t>
  </si>
  <si>
    <t>18.2902 km²</t>
  </si>
  <si>
    <t>02204</t>
  </si>
  <si>
    <t>ICS/TAIBA</t>
  </si>
  <si>
    <t>ENTREPRISE GENERALE D'ELECTRICITE (100%)</t>
  </si>
  <si>
    <t>sable de dune</t>
  </si>
  <si>
    <t>0.0001 km²</t>
  </si>
  <si>
    <t>02207</t>
  </si>
  <si>
    <t>BEGAL-BAITI</t>
  </si>
  <si>
    <t>G-PHOS S.A.U</t>
  </si>
  <si>
    <t>68.3042 km²</t>
  </si>
  <si>
    <t>02208</t>
  </si>
  <si>
    <t>SARAYA</t>
  </si>
  <si>
    <t>MANDINGA RESOURCES SARL (100%)</t>
  </si>
  <si>
    <t>substances connexes, uranium</t>
  </si>
  <si>
    <t>1,648.1931 km²</t>
  </si>
  <si>
    <t>02211</t>
  </si>
  <si>
    <t>LAMINIA</t>
  </si>
  <si>
    <t>ETS MAMADOU DIOUF CISSE (100%)</t>
  </si>
  <si>
    <t>40.0000 Ha</t>
  </si>
  <si>
    <t>02214</t>
  </si>
  <si>
    <t>TAWA PEUL</t>
  </si>
  <si>
    <t>PRESTIGES-EXPORT LLC (100%)</t>
  </si>
  <si>
    <t>Sasi</t>
  </si>
  <si>
    <t>9.8176 km²</t>
  </si>
  <si>
    <t>02215</t>
  </si>
  <si>
    <t>NOUMOUFOUKHA</t>
  </si>
  <si>
    <t>AGEM (100%)</t>
  </si>
  <si>
    <t>60.0113 km²</t>
  </si>
  <si>
    <t>02220</t>
  </si>
  <si>
    <t>Marougoukoto</t>
  </si>
  <si>
    <t>FUTURMINE SARL (100%)</t>
  </si>
  <si>
    <t>93.5415 Ha</t>
  </si>
  <si>
    <t>02222</t>
  </si>
  <si>
    <t>Bambadji</t>
  </si>
  <si>
    <t>BAMBADJI SA (100%)</t>
  </si>
  <si>
    <t>Au, Cu</t>
  </si>
  <si>
    <t>129.5913 km²</t>
  </si>
  <si>
    <t>02224</t>
  </si>
  <si>
    <t>TANOR SOLUTIONS INDUSTRIELLES (100%)</t>
  </si>
  <si>
    <t>1.6957 Ha</t>
  </si>
  <si>
    <t>02226</t>
  </si>
  <si>
    <t>ETABLISSEMENT WI MARS (100%)</t>
  </si>
  <si>
    <t>0.0004 km²</t>
  </si>
  <si>
    <t>02229</t>
  </si>
  <si>
    <t>COMPAGNIE DES SABLES DU SENEGAL  (100%)</t>
  </si>
  <si>
    <t>32.2284 Ha</t>
  </si>
  <si>
    <t>02230</t>
  </si>
  <si>
    <t>0.0020 km²</t>
  </si>
  <si>
    <t>02231</t>
  </si>
  <si>
    <t xml:space="preserve"> AFRICA TRADE AND INVESTMENT CONSULTING SARL (100%)</t>
  </si>
  <si>
    <t>0.0795 Ha</t>
  </si>
  <si>
    <t>02233</t>
  </si>
  <si>
    <t>15.9334 Ha</t>
  </si>
  <si>
    <t>02235</t>
  </si>
  <si>
    <t>SOCIETE DE BATIMENT et TRAVAUX PUBLICS SUARL (100%)</t>
  </si>
  <si>
    <t>0.0013 km²</t>
  </si>
  <si>
    <t>02238</t>
  </si>
  <si>
    <t>BABJUF MINES (100%)</t>
  </si>
  <si>
    <t>0.0910 Ha</t>
  </si>
  <si>
    <t>02242</t>
  </si>
  <si>
    <t>GLOBAL IMMO SENEGAL SARL (100%)</t>
  </si>
  <si>
    <t>0.1860 Ha</t>
  </si>
  <si>
    <t>02247</t>
  </si>
  <si>
    <t>RAMATOO (100%)</t>
  </si>
  <si>
    <t>0.1020 Ha</t>
  </si>
  <si>
    <t>02252</t>
  </si>
  <si>
    <t>PROFILEX COMPANY (100%)</t>
  </si>
  <si>
    <t>0.1600 Ha</t>
  </si>
  <si>
    <t>02253</t>
  </si>
  <si>
    <t xml:space="preserve"> KAYAR SUD</t>
  </si>
  <si>
    <t>KAYAR HMC MINING SA (100%)</t>
  </si>
  <si>
    <t>17.0071 km²</t>
  </si>
  <si>
    <t>02259</t>
  </si>
  <si>
    <t>Mako</t>
  </si>
  <si>
    <t>115.0372 Ha</t>
  </si>
  <si>
    <t>02261</t>
  </si>
  <si>
    <t>KENIEKOTO</t>
  </si>
  <si>
    <t>NEW ENERGY INVESTISMENT SARL (100%)</t>
  </si>
  <si>
    <t>82.5046 km²</t>
  </si>
  <si>
    <t>02263</t>
  </si>
  <si>
    <t>SOUROUMDOU</t>
  </si>
  <si>
    <t>61.4628 km²</t>
  </si>
  <si>
    <t>02264</t>
  </si>
  <si>
    <t>BADERY</t>
  </si>
  <si>
    <t>IMPROVE SENEGAL SAS (100%)</t>
  </si>
  <si>
    <t>84.1912 km²</t>
  </si>
  <si>
    <t>02268</t>
  </si>
  <si>
    <t>SOCIETE SENEGALAISE DE GRAVIERS SARL (100%)</t>
  </si>
  <si>
    <t>0.1695 Ha</t>
  </si>
  <si>
    <t>02269</t>
  </si>
  <si>
    <t>SOMINES GRANULATS SA (100%)</t>
  </si>
  <si>
    <t>15.9109 Ha</t>
  </si>
  <si>
    <t>02273</t>
  </si>
  <si>
    <t>LAMBAYE</t>
  </si>
  <si>
    <t>421.8438 km²</t>
  </si>
  <si>
    <t>02274</t>
  </si>
  <si>
    <t>GIE MARBRE BASALTE-GRANITE DU SENEGAL (100%)</t>
  </si>
  <si>
    <t>0.1506 km²</t>
  </si>
  <si>
    <t>02279</t>
  </si>
  <si>
    <t>02280</t>
  </si>
  <si>
    <t>BOTO</t>
  </si>
  <si>
    <t>BOTO SA (90%)</t>
  </si>
  <si>
    <t>146.8491 km²</t>
  </si>
  <si>
    <t>02283</t>
  </si>
  <si>
    <t>DIYAN EXPLOITATION MINIERE SUARL (100%)</t>
  </si>
  <si>
    <t>0.0018 km²</t>
  </si>
  <si>
    <t>02289</t>
  </si>
  <si>
    <t>SANGOLA</t>
  </si>
  <si>
    <t>BAMBUK MINERALS (100%)</t>
  </si>
  <si>
    <t>287.7772 km²</t>
  </si>
  <si>
    <t>02304</t>
  </si>
  <si>
    <t>SCATY INDUSTRIES  (100%)</t>
  </si>
  <si>
    <t>43.0910 Ha</t>
  </si>
  <si>
    <t>02306</t>
  </si>
  <si>
    <t>SENALA</t>
  </si>
  <si>
    <t>STRATEX-EMC SA (50%)</t>
  </si>
  <si>
    <t>354.4861 km²</t>
  </si>
  <si>
    <t>02313</t>
  </si>
  <si>
    <t>DJIGUI</t>
  </si>
  <si>
    <t>GIE DJIGUI (100%)</t>
  </si>
  <si>
    <t>49.8546 Ha</t>
  </si>
  <si>
    <t>02315</t>
  </si>
  <si>
    <t>SADATOU</t>
  </si>
  <si>
    <t>LYONS FIELD SUARL (100%)</t>
  </si>
  <si>
    <t>497.3462 km²</t>
  </si>
  <si>
    <t>02320</t>
  </si>
  <si>
    <t>Gandon</t>
  </si>
  <si>
    <t>AECPubP</t>
  </si>
  <si>
    <t>1.3102 Ha</t>
  </si>
  <si>
    <t>02321</t>
  </si>
  <si>
    <t>SOUROUKOTO</t>
  </si>
  <si>
    <t>SAMA GOLD SARL (100%)</t>
  </si>
  <si>
    <t>923.7671 Ha</t>
  </si>
  <si>
    <t>02322</t>
  </si>
  <si>
    <t>Tombo</t>
  </si>
  <si>
    <t>ARDIMINES (100%)</t>
  </si>
  <si>
    <t>18.9029 km²</t>
  </si>
  <si>
    <t>02327</t>
  </si>
  <si>
    <t>Ouest Laminia</t>
  </si>
  <si>
    <t>PROSPECTIUNI (10%)</t>
  </si>
  <si>
    <t>239.0016 km²</t>
  </si>
  <si>
    <t>02332</t>
  </si>
  <si>
    <t>Kanoumba</t>
  </si>
  <si>
    <t>MASSAWA JERSEY LIMITED (100%)</t>
  </si>
  <si>
    <t>28,548.2438 Ha</t>
  </si>
  <si>
    <t>02335</t>
  </si>
  <si>
    <t>WASSADOU SUD</t>
  </si>
  <si>
    <t>SOCIETE DES MINES DU SENEGAL (SODEMINES)</t>
  </si>
  <si>
    <t>320.5987 Ha</t>
  </si>
  <si>
    <t>02339</t>
  </si>
  <si>
    <t>Kaourou</t>
  </si>
  <si>
    <t>BHAIRAVA AGRICOL SARL (100%)</t>
  </si>
  <si>
    <t>144.2171 km²</t>
  </si>
  <si>
    <t>02356</t>
  </si>
  <si>
    <t>Kayamakho</t>
  </si>
  <si>
    <t>GIE SOLIDARITE POUR LE DEVELOPPEMENT (100%)</t>
  </si>
  <si>
    <t>0.4938 km²</t>
  </si>
  <si>
    <t>02364</t>
  </si>
  <si>
    <t>HOLDING ATLANTIC MINING PETROLUM " MINE PETRO-SA" (100%)</t>
  </si>
  <si>
    <t>0.0005 km²</t>
  </si>
  <si>
    <t>02367</t>
  </si>
  <si>
    <t>KHOSSANTO</t>
  </si>
  <si>
    <t>CANGAY MINES</t>
  </si>
  <si>
    <t>13.9581 km²</t>
  </si>
  <si>
    <t>02368</t>
  </si>
  <si>
    <t>Aînoumane</t>
  </si>
  <si>
    <t>586.6647 km²</t>
  </si>
  <si>
    <t>02369</t>
  </si>
  <si>
    <t>POUT</t>
  </si>
  <si>
    <t>CIMENTS DE L'AFRIQUE  (100%)</t>
  </si>
  <si>
    <t>277.3672 Ha</t>
  </si>
  <si>
    <t>02374</t>
  </si>
  <si>
    <t>GECAMINES GRANULATS (100%)</t>
  </si>
  <si>
    <t>10.5667 Ha</t>
  </si>
  <si>
    <t>02382</t>
  </si>
  <si>
    <t>ICS</t>
  </si>
  <si>
    <t>SOCIETE WAAGAAN BTP SARL (100%)</t>
  </si>
  <si>
    <t>02383</t>
  </si>
  <si>
    <t>INTERNATIONAL COMPANY OF TRADE AND SERVICES SA  (100%); SOCIETE CAPITAL PLUS (100%)</t>
  </si>
  <si>
    <t>02388</t>
  </si>
  <si>
    <t>Bambilor</t>
  </si>
  <si>
    <t>DAMOUNGHAYE SUARL (100%)</t>
  </si>
  <si>
    <t>AECPT</t>
  </si>
  <si>
    <t>Retrait en Cours</t>
  </si>
  <si>
    <t>0.1631 km²</t>
  </si>
  <si>
    <t>03006</t>
  </si>
  <si>
    <t>DALEMA</t>
  </si>
  <si>
    <t>EBONY NATURAL RESOURCES - SUARL (100%)</t>
  </si>
  <si>
    <t>222.3545 km²</t>
  </si>
  <si>
    <t>03047</t>
  </si>
  <si>
    <t>GENERAL SERVICES SARL (100%)</t>
  </si>
  <si>
    <t>kao</t>
  </si>
  <si>
    <t>7.0493 Ha</t>
  </si>
  <si>
    <t>03048</t>
  </si>
  <si>
    <t>granite</t>
  </si>
  <si>
    <t>20.0475 Ha</t>
  </si>
  <si>
    <t>03054</t>
  </si>
  <si>
    <t>AZ SERVICES SARL (100%)</t>
  </si>
  <si>
    <t>50.0002 Ha</t>
  </si>
  <si>
    <t>03101</t>
  </si>
  <si>
    <t>TAYSIR SARL (100%)</t>
  </si>
  <si>
    <t>27.5130 Ha</t>
  </si>
  <si>
    <t>03103</t>
  </si>
  <si>
    <t>Soukouta</t>
  </si>
  <si>
    <t>THIAM SENEGAL GOLD FAMILY (100%)</t>
  </si>
  <si>
    <t>35.9560 Ha</t>
  </si>
  <si>
    <t>03182</t>
  </si>
  <si>
    <t>SOCIETE DE FORAGE ET DE TRAVAUX PUBLICS MINING (100%)</t>
  </si>
  <si>
    <t>10.2223 Ha</t>
  </si>
  <si>
    <t>03199</t>
  </si>
  <si>
    <t>ETABLISSEMENT SAM SARL (100%)</t>
  </si>
  <si>
    <t>03200</t>
  </si>
  <si>
    <t>SERVICE REGIONAL DE TAMBACOUNDA (100%)</t>
  </si>
  <si>
    <t>10.0094 Ha</t>
  </si>
  <si>
    <t>03214</t>
  </si>
  <si>
    <t>Tafia-Nefis</t>
  </si>
  <si>
    <t>NEGOCE FIABLE SENEGAL SARL (100%)</t>
  </si>
  <si>
    <t>48.7817 Ha</t>
  </si>
  <si>
    <t>03217</t>
  </si>
  <si>
    <t>Franding</t>
  </si>
  <si>
    <t>S DOM HOLDING GOLD SARL (100%)</t>
  </si>
  <si>
    <t>424.7041 Ha</t>
  </si>
  <si>
    <t>03219</t>
  </si>
  <si>
    <t>BANDESERVICES (100%)</t>
  </si>
  <si>
    <t>27.9553 Ha</t>
  </si>
  <si>
    <t>03228</t>
  </si>
  <si>
    <t>BETAMINES SA (100%)</t>
  </si>
  <si>
    <t>basalte, tf</t>
  </si>
  <si>
    <t>31.9992 km²</t>
  </si>
  <si>
    <t>03241</t>
  </si>
  <si>
    <t>SOFITA SERVICES &amp; LOGISTIQUE (100%)</t>
  </si>
  <si>
    <t>25.0100 Ha</t>
  </si>
  <si>
    <t>03264</t>
  </si>
  <si>
    <t>Packi</t>
  </si>
  <si>
    <t>AMIN TRANS SUARL (100%)</t>
  </si>
  <si>
    <t>grès, latérite</t>
  </si>
  <si>
    <t>1.9792 Ha</t>
  </si>
  <si>
    <t>03265</t>
  </si>
  <si>
    <t>ICS/Darou khoudosse</t>
  </si>
  <si>
    <t>HGR SENEGAL SARL (100%)</t>
  </si>
  <si>
    <t>03268</t>
  </si>
  <si>
    <t>DIOR GOLD SUARL (100%)</t>
  </si>
  <si>
    <t>49.9720 Ha</t>
  </si>
  <si>
    <t>03271</t>
  </si>
  <si>
    <t>SILIKA GRANULATS SARL (100%)</t>
  </si>
  <si>
    <t>03272</t>
  </si>
  <si>
    <t>03283</t>
  </si>
  <si>
    <t>TESORO SERVICES (100%)</t>
  </si>
  <si>
    <t>03292</t>
  </si>
  <si>
    <t>GREENFIELD ASSETS INVEST GAIN (100%)</t>
  </si>
  <si>
    <t>Argile, latérite</t>
  </si>
  <si>
    <t>59.9400 Ha</t>
  </si>
  <si>
    <t>03299</t>
  </si>
  <si>
    <t>ICS TAIBA</t>
  </si>
  <si>
    <t>SEN CONSORTIUM D'ENTREPRISE SARL (100%)</t>
  </si>
  <si>
    <t>03303</t>
  </si>
  <si>
    <t>ELIKANE SUARL (100%)</t>
  </si>
  <si>
    <t>93.0049 Ha</t>
  </si>
  <si>
    <t>03314</t>
  </si>
  <si>
    <t>Sosesa/ICS darou khoudosse</t>
  </si>
  <si>
    <t>GROUPE SOCIETE SENEGALO SUISSE DES AFFAIRES SUARL (100%)</t>
  </si>
  <si>
    <t>03317</t>
  </si>
  <si>
    <t>Lam Lam</t>
  </si>
  <si>
    <t>GEO CONSULTING</t>
  </si>
  <si>
    <t>03319</t>
  </si>
  <si>
    <t>DALOTO NORD-OUEST</t>
  </si>
  <si>
    <t>GLOBAL MINING OPERATIONS (100%)</t>
  </si>
  <si>
    <t>49.9917 km²</t>
  </si>
  <si>
    <t>03340</t>
  </si>
  <si>
    <t>QINGNING SUARL (100%)</t>
  </si>
  <si>
    <t>03344</t>
  </si>
  <si>
    <t>Mansadala</t>
  </si>
  <si>
    <t>dl</t>
  </si>
  <si>
    <t>49.9888 Ha</t>
  </si>
  <si>
    <t>03346</t>
  </si>
  <si>
    <t>ICS MBORO</t>
  </si>
  <si>
    <t>ADAMA UNIVERSAL IMMOBILIER ET AFFAIRES (100%)</t>
  </si>
  <si>
    <t>03347</t>
  </si>
  <si>
    <t>03358</t>
  </si>
  <si>
    <t>BONDALA</t>
  </si>
  <si>
    <t>CHESSER SAU (100%)</t>
  </si>
  <si>
    <t>207.1757 km²</t>
  </si>
  <si>
    <t>03360</t>
  </si>
  <si>
    <t>MORICHOU</t>
  </si>
  <si>
    <t>431.2050 km²</t>
  </si>
  <si>
    <t>03364</t>
  </si>
  <si>
    <t>CILAGE MINE (100%)</t>
  </si>
  <si>
    <t>41.9329 Ha</t>
  </si>
  <si>
    <t>03365</t>
  </si>
  <si>
    <t>MAIGA HOLDING (100%)</t>
  </si>
  <si>
    <t>2,855.2328 km²</t>
  </si>
  <si>
    <t>03375</t>
  </si>
  <si>
    <t>DIAMBAR IMMOBILIER SARL</t>
  </si>
  <si>
    <t>03379</t>
  </si>
  <si>
    <t>KEDOUGOU BUSINESS &amp; MINING SERVICES SARL (100%)</t>
  </si>
  <si>
    <t>49.6799 Ha</t>
  </si>
  <si>
    <t>03380</t>
  </si>
  <si>
    <t>Kassassoko</t>
  </si>
  <si>
    <t>SOYA GOLD SARL (100%)</t>
  </si>
  <si>
    <t>39.3783 Ha</t>
  </si>
  <si>
    <t>03381</t>
  </si>
  <si>
    <t>Wakilaré</t>
  </si>
  <si>
    <t>GIE JOKKER ENDANG WAKILARE (100%)</t>
  </si>
  <si>
    <t>50.4400 Ha</t>
  </si>
  <si>
    <t>03382</t>
  </si>
  <si>
    <t>NGari Sud</t>
  </si>
  <si>
    <t>GOLDSKY (100%)</t>
  </si>
  <si>
    <t>0.4992 km²</t>
  </si>
  <si>
    <t>03387</t>
  </si>
  <si>
    <t>Périmètre 2</t>
  </si>
  <si>
    <t>CILAGE MINE SUARL (100%)</t>
  </si>
  <si>
    <t>14.8837 Ha</t>
  </si>
  <si>
    <t>03389</t>
  </si>
  <si>
    <t>Périmètre 1</t>
  </si>
  <si>
    <t>15.1226 Ha</t>
  </si>
  <si>
    <t>03400</t>
  </si>
  <si>
    <t>BAMBADJI SUD</t>
  </si>
  <si>
    <t>BARRICK GOLD SENEGAL SA (100%)</t>
  </si>
  <si>
    <t>58.2506 km²</t>
  </si>
  <si>
    <t>03404</t>
  </si>
  <si>
    <t>ILYMALO</t>
  </si>
  <si>
    <t>Li</t>
  </si>
  <si>
    <t>258.6613 km²</t>
  </si>
  <si>
    <t>03406</t>
  </si>
  <si>
    <t>Nord Diabougou</t>
  </si>
  <si>
    <t>SHIFENG MINING COMPANY SARL (100%)</t>
  </si>
  <si>
    <t>44.7300 Ha</t>
  </si>
  <si>
    <t>03410</t>
  </si>
  <si>
    <t>Kawsara</t>
  </si>
  <si>
    <t>MANSA GOLD CORPORATION (100%)</t>
  </si>
  <si>
    <t>49.9590 Ha</t>
  </si>
  <si>
    <t>03411</t>
  </si>
  <si>
    <t>ENTREPRISE INTERNATIONALE DES BIENS ET SERVICES  (100%)</t>
  </si>
  <si>
    <t>47.5780 Ha</t>
  </si>
  <si>
    <t>03419</t>
  </si>
  <si>
    <t>Madina</t>
  </si>
  <si>
    <t>MINE PETRO SA (100%)</t>
  </si>
  <si>
    <t>174.8785 km²</t>
  </si>
  <si>
    <t>03420</t>
  </si>
  <si>
    <t>Ngadiawane</t>
  </si>
  <si>
    <t>ENEVIS SENEGAL  SA (100%)</t>
  </si>
  <si>
    <t>270.9270 km²</t>
  </si>
  <si>
    <t>03421</t>
  </si>
  <si>
    <t>Périmètre 3</t>
  </si>
  <si>
    <t>22.4300 Ha</t>
  </si>
  <si>
    <t>03423</t>
  </si>
  <si>
    <t>CASA BAMBA  (100%)</t>
  </si>
  <si>
    <t>03424</t>
  </si>
  <si>
    <t>AMATH NDIAYE INTERNATIONALE PRESTIGE SUARL (100%)</t>
  </si>
  <si>
    <t>03427</t>
  </si>
  <si>
    <t>NDATTE YALLAH COMPAGNIE (100%)</t>
  </si>
  <si>
    <t>48.0125 Ha</t>
  </si>
  <si>
    <t>03429</t>
  </si>
  <si>
    <t>Kolomdinnkourou</t>
  </si>
  <si>
    <t>46.4440 Ha</t>
  </si>
  <si>
    <t>03430</t>
  </si>
  <si>
    <t>Tambanoumiya</t>
  </si>
  <si>
    <t>NOGA MINE SARL (100%)</t>
  </si>
  <si>
    <t>44.4012 Ha</t>
  </si>
  <si>
    <t>03431</t>
  </si>
  <si>
    <t>ETAT DU SENEGAL (100%)</t>
  </si>
  <si>
    <t>ZP</t>
  </si>
  <si>
    <t>291.7405 km²</t>
  </si>
  <si>
    <t>03432</t>
  </si>
  <si>
    <t>BAU (100%)</t>
  </si>
  <si>
    <t>03437</t>
  </si>
  <si>
    <t>ph a, phosphate de chaux</t>
  </si>
  <si>
    <t>130.7275 km²</t>
  </si>
  <si>
    <t>03448</t>
  </si>
  <si>
    <t>ETABLISSEMENT GENERAL DE COMMERCE IMPORT/EXPORT (100%)</t>
  </si>
  <si>
    <t>03452</t>
  </si>
  <si>
    <t>ALWAR PRODUCTION GROUP (100%)</t>
  </si>
  <si>
    <t>03463</t>
  </si>
  <si>
    <t>ZEYKA SARL (100%)</t>
  </si>
  <si>
    <t>03464</t>
  </si>
  <si>
    <t>SENEGAL SILEX SA (100%)</t>
  </si>
  <si>
    <t>03469</t>
  </si>
  <si>
    <t>KONKOUTOU GOLD OPERATION SUARL (100%)</t>
  </si>
  <si>
    <t>500.0000 Ha</t>
  </si>
  <si>
    <t>03472</t>
  </si>
  <si>
    <t>DIAGNE ASSANE (100%)</t>
  </si>
  <si>
    <t>03473</t>
  </si>
  <si>
    <t>IBEL SUD</t>
  </si>
  <si>
    <t>HARANGA RESOURCES LIMETED (100%)</t>
  </si>
  <si>
    <t>182.2500 km²</t>
  </si>
  <si>
    <t>03474</t>
  </si>
  <si>
    <t>missirah 1</t>
  </si>
  <si>
    <t>THA MINES &amp; INDUSTRIES SARL (100%)</t>
  </si>
  <si>
    <t>49.8693 Ha</t>
  </si>
  <si>
    <t>03475</t>
  </si>
  <si>
    <t>Missirah 2</t>
  </si>
  <si>
    <t>48.5373 Ha</t>
  </si>
  <si>
    <t>03476</t>
  </si>
  <si>
    <t>bandia</t>
  </si>
  <si>
    <t>STAM BDA SARL (100%)</t>
  </si>
  <si>
    <t>Argile, calcaire, latérite</t>
  </si>
  <si>
    <t>20.5880 Ha</t>
  </si>
  <si>
    <t>03477</t>
  </si>
  <si>
    <t>03478</t>
  </si>
  <si>
    <t>SAFIA IMPORT EXPORT (100%)</t>
  </si>
  <si>
    <t>10.0000 Ha</t>
  </si>
  <si>
    <t>03479</t>
  </si>
  <si>
    <t>EL MODI SERVICES (100%)</t>
  </si>
  <si>
    <t>03484</t>
  </si>
  <si>
    <t>GENIUS MULTISERVICE SUARL  (100%)</t>
  </si>
  <si>
    <t>03488</t>
  </si>
  <si>
    <t>50.0225 Ha</t>
  </si>
  <si>
    <t>03489</t>
  </si>
  <si>
    <t>APSA MINES SA  (100%)</t>
  </si>
  <si>
    <t>20.0270 Ha</t>
  </si>
  <si>
    <t>03491</t>
  </si>
  <si>
    <t>GIE CAYOR SILEX CORPORATION CSC (100%)</t>
  </si>
  <si>
    <t>03492</t>
  </si>
  <si>
    <t>ADICO SARL (100%)</t>
  </si>
  <si>
    <t>03493</t>
  </si>
  <si>
    <t>SARAYA ENERGY (100%)</t>
  </si>
  <si>
    <t>1,045.8607 km²</t>
  </si>
  <si>
    <t>03494</t>
  </si>
  <si>
    <t xml:space="preserve">DALOTO
</t>
  </si>
  <si>
    <t>146.5961 km²</t>
  </si>
  <si>
    <t>03500</t>
  </si>
  <si>
    <t>Djindji-Taifa</t>
  </si>
  <si>
    <t>GIE SYLLA KOUNDA (100%)</t>
  </si>
  <si>
    <t>49.7000 Ha</t>
  </si>
  <si>
    <t>03507</t>
  </si>
  <si>
    <t>AFRICA TRADING  EQUIPEMENT CONSTRUCTION SUARL (100%)</t>
  </si>
  <si>
    <t>03508</t>
  </si>
  <si>
    <t>BOUTA CONSULTING ET SERVICE (GAYE PAPA AL HOUSSEYNOU) (100%)</t>
  </si>
  <si>
    <t>03510</t>
  </si>
  <si>
    <t>GIE FALL ET FRERES DE KHOUMA (100%)</t>
  </si>
  <si>
    <t>03511</t>
  </si>
  <si>
    <t>LOCAL BUSINESS SERVICES  (NDONGO DJIBRIL) (100%)</t>
  </si>
  <si>
    <t>03512</t>
  </si>
  <si>
    <t>Tomboronkoto</t>
  </si>
  <si>
    <t>RACKY PRESTATIONS TECHNIQUES SARL (100%)</t>
  </si>
  <si>
    <t>28.1601 Ha</t>
  </si>
  <si>
    <t>03514</t>
  </si>
  <si>
    <t>SAHEL 2M CIE SARL (100%)</t>
  </si>
  <si>
    <t>03515</t>
  </si>
  <si>
    <t>SALAME ENTREPRISE SARL (100%)</t>
  </si>
  <si>
    <t>03518</t>
  </si>
  <si>
    <t>Wassadou</t>
  </si>
  <si>
    <t>29.7500 Ha</t>
  </si>
  <si>
    <t>03520</t>
  </si>
  <si>
    <t>GUILLAYE DIOP (100%)</t>
  </si>
  <si>
    <t>1.7612 Ha</t>
  </si>
  <si>
    <t>03525</t>
  </si>
  <si>
    <t>KASSAGUIRI</t>
  </si>
  <si>
    <t>SINTRADE SA (100%)</t>
  </si>
  <si>
    <t>72.1236 km²</t>
  </si>
  <si>
    <t>03527</t>
  </si>
  <si>
    <t>GENERAL MULTI SERVICES TRADING SENEGAL SARL (100%)</t>
  </si>
  <si>
    <t>49.7158 Ha</t>
  </si>
  <si>
    <t>03529</t>
  </si>
  <si>
    <t>ENTREPRISE OUSMANE SOW</t>
  </si>
  <si>
    <t>11.1452 Ha</t>
  </si>
  <si>
    <t>03534</t>
  </si>
  <si>
    <t>KHELKOM'S LION SARL (100%)</t>
  </si>
  <si>
    <t>49.1180 Ha</t>
  </si>
  <si>
    <t>03556</t>
  </si>
  <si>
    <t>Keur Martin</t>
  </si>
  <si>
    <t>ENTREPRISE BOUGAR DIOUF (100%)</t>
  </si>
  <si>
    <t>Fatick</t>
  </si>
  <si>
    <t>6.5898 Ha</t>
  </si>
  <si>
    <t>03559</t>
  </si>
  <si>
    <t>MEDY INDUSTRIE SARL (100%)</t>
  </si>
  <si>
    <t>03560</t>
  </si>
  <si>
    <t>COMPTOIR COMMERCIAL BALLA AICHA CCBA SUARL (100%)</t>
  </si>
  <si>
    <t>03563</t>
  </si>
  <si>
    <t>KIDIRA</t>
  </si>
  <si>
    <t>34.7200 Ha</t>
  </si>
  <si>
    <t>03566</t>
  </si>
  <si>
    <t>SENECARMINES (SENEGALAISE DES MINES ET CARRIERES ) (100%)</t>
  </si>
  <si>
    <t>03568</t>
  </si>
  <si>
    <t>Kassagueri Est 2</t>
  </si>
  <si>
    <t>20.6629 Ha</t>
  </si>
  <si>
    <t>03569</t>
  </si>
  <si>
    <t>Kassagueri Est 1</t>
  </si>
  <si>
    <t>49.7025 Ha</t>
  </si>
  <si>
    <t>03570</t>
  </si>
  <si>
    <t>SOCIETE IMMOBILIERE DE CONSTRUCTION ET DE GERANCE  ( SICOGER ) SARL (100%)</t>
  </si>
  <si>
    <t>03580</t>
  </si>
  <si>
    <t>49.6984 Ha</t>
  </si>
  <si>
    <t>03581</t>
  </si>
  <si>
    <t>49.9018 Ha</t>
  </si>
  <si>
    <t>03588</t>
  </si>
  <si>
    <t>Bélé</t>
  </si>
  <si>
    <t>AREZKI S.A (100%)</t>
  </si>
  <si>
    <t>17.7650 Ha</t>
  </si>
  <si>
    <t>03604</t>
  </si>
  <si>
    <t>10.8836 Ha</t>
  </si>
  <si>
    <t>03606</t>
  </si>
  <si>
    <t>DIMAT BAT &amp; TP SAU (100%)</t>
  </si>
  <si>
    <t>03607</t>
  </si>
  <si>
    <t>SOCIETE "S3D" SARL (100%)</t>
  </si>
  <si>
    <t>20.3860 Ha</t>
  </si>
  <si>
    <t>03608</t>
  </si>
  <si>
    <t>GUETIE</t>
  </si>
  <si>
    <t>ABANDOUR GEOLINK (100%)</t>
  </si>
  <si>
    <t>Cu</t>
  </si>
  <si>
    <t>95.0099 km²</t>
  </si>
  <si>
    <t>03612</t>
  </si>
  <si>
    <t>BEROLA BONDALA</t>
  </si>
  <si>
    <t>GEO EXPLOIT SARL (100%)</t>
  </si>
  <si>
    <t>42.5191 km²</t>
  </si>
  <si>
    <t>03613</t>
  </si>
  <si>
    <t>SCI NGARAFF (100%)</t>
  </si>
  <si>
    <t>03615</t>
  </si>
  <si>
    <t>SOCIETE TOUBA NIBODJI SUARL (100%)</t>
  </si>
  <si>
    <t>30.0092 Ha</t>
  </si>
  <si>
    <t>03616</t>
  </si>
  <si>
    <t>NDATTE YALLAH COMPAGNIE</t>
  </si>
  <si>
    <t>03618</t>
  </si>
  <si>
    <t>03621</t>
  </si>
  <si>
    <t>SOCIETE INTERNATIONALE DE BATIMENT ET DE COMMERCE ET DE TRAVAUX PUBLICS (SICOBAT TP) (100%)</t>
  </si>
  <si>
    <t>03622</t>
  </si>
  <si>
    <t>03623</t>
  </si>
  <si>
    <t>MBACKE SERIGNE CHEIKH IBRA  (100%)</t>
  </si>
  <si>
    <t>03626</t>
  </si>
  <si>
    <t>LANVIC CONSULTING (100%)</t>
  </si>
  <si>
    <t>03630</t>
  </si>
  <si>
    <t>Moussala_Bloc 1</t>
  </si>
  <si>
    <t>XINJIN ZIRCONIUM INDUSTRY SARL (100%)</t>
  </si>
  <si>
    <t>48.4081 Ha</t>
  </si>
  <si>
    <t>03632</t>
  </si>
  <si>
    <t>Moussala_Bloc 2</t>
  </si>
  <si>
    <t>48.0048 Ha</t>
  </si>
  <si>
    <t>03634</t>
  </si>
  <si>
    <t>56.5004 km²</t>
  </si>
  <si>
    <t>03636</t>
  </si>
  <si>
    <t>MBAYE FAMILY BUSINESS GROUP  (100%)</t>
  </si>
  <si>
    <t>491.9114 Ha</t>
  </si>
  <si>
    <t>03641</t>
  </si>
  <si>
    <t>GOLDMINE BISINESS (100%)</t>
  </si>
  <si>
    <t>33.5839 Ha</t>
  </si>
  <si>
    <t>03643</t>
  </si>
  <si>
    <t>kédougou</t>
  </si>
  <si>
    <t>21.6426 Ha</t>
  </si>
  <si>
    <t>03646</t>
  </si>
  <si>
    <t>SENEGALAISE DE COMMERCE ET DE SERVICES (100%)</t>
  </si>
  <si>
    <t>03648</t>
  </si>
  <si>
    <t>35.9712 Ha</t>
  </si>
  <si>
    <t>03649</t>
  </si>
  <si>
    <t>Ylimalo</t>
  </si>
  <si>
    <t>498.1406 Ha</t>
  </si>
  <si>
    <t>03651</t>
  </si>
  <si>
    <t>ABENE</t>
  </si>
  <si>
    <t>G-SAND SARL (100%)</t>
  </si>
  <si>
    <t>Ziguinchor</t>
  </si>
  <si>
    <t>121.2642 Ha</t>
  </si>
  <si>
    <t>03653</t>
  </si>
  <si>
    <t>FODE BINEYA</t>
  </si>
  <si>
    <t>SKDT NEW ENERGY TECHNOLOGY SARL (100%)</t>
  </si>
  <si>
    <t>308.7705 km²</t>
  </si>
  <si>
    <t>03654</t>
  </si>
  <si>
    <t>MAYO</t>
  </si>
  <si>
    <t>1,904.7880 km²</t>
  </si>
  <si>
    <t>03658</t>
  </si>
  <si>
    <t>périmètre 2</t>
  </si>
  <si>
    <t>35.4414 Ha</t>
  </si>
  <si>
    <t>03659</t>
  </si>
  <si>
    <t>périmètre 3</t>
  </si>
  <si>
    <t>44.3000 Ha</t>
  </si>
  <si>
    <t>03660</t>
  </si>
  <si>
    <t>Thiokoye</t>
  </si>
  <si>
    <t>TCHILMA BUILDING SUARL (100%)</t>
  </si>
  <si>
    <t>49.8525 Ha</t>
  </si>
  <si>
    <t>03666</t>
  </si>
  <si>
    <t>MAODO GLOBAL BUISINESS (100%)</t>
  </si>
  <si>
    <t>03669</t>
  </si>
  <si>
    <t>49.8270 Ha</t>
  </si>
  <si>
    <t>03670</t>
  </si>
  <si>
    <t>Bantako koto2</t>
  </si>
  <si>
    <t>YELLOW GROUND SENEGAL SAS (100%)</t>
  </si>
  <si>
    <t>37.0954 Ha</t>
  </si>
  <si>
    <t>03672</t>
  </si>
  <si>
    <t>AL JABER BTP SAU (100%)</t>
  </si>
  <si>
    <t>03674</t>
  </si>
  <si>
    <t>Souroukoto Sud 2</t>
  </si>
  <si>
    <t>33.8980 Ha</t>
  </si>
  <si>
    <t>03675</t>
  </si>
  <si>
    <t>Souroukoto Nord</t>
  </si>
  <si>
    <t>39.3631 Ha</t>
  </si>
  <si>
    <t>03676</t>
  </si>
  <si>
    <t>FIRDAWSI GLOBAL BUSINESS SUARL (100%)</t>
  </si>
  <si>
    <t>03677</t>
  </si>
  <si>
    <t>STE.AGRO-SENEGAL EXPORTS SARL (100%)</t>
  </si>
  <si>
    <t>17.5559 Ha</t>
  </si>
  <si>
    <t>03683</t>
  </si>
  <si>
    <t>Wassangara-moussala</t>
  </si>
  <si>
    <t>BIGSAM OR SARL (100%)</t>
  </si>
  <si>
    <t>49.2256 Ha</t>
  </si>
  <si>
    <t>03691</t>
  </si>
  <si>
    <t>FABRIMETAL</t>
  </si>
  <si>
    <t>1.7760 km²</t>
  </si>
  <si>
    <t>03693</t>
  </si>
  <si>
    <t>diakhaba 1</t>
  </si>
  <si>
    <t>PARTNERS MINING DEVELOPMENT SERVICES SAS (100%)</t>
  </si>
  <si>
    <t>49.7306 Ha</t>
  </si>
  <si>
    <t>03694</t>
  </si>
  <si>
    <t>Diakhaba 2</t>
  </si>
  <si>
    <t>GIE AGIR POUR LE DEVELOPPEMENT LOCAL (100%)</t>
  </si>
  <si>
    <t>49.9641 Ha</t>
  </si>
  <si>
    <t>03697</t>
  </si>
  <si>
    <t>4.9540 km²</t>
  </si>
  <si>
    <t>03702</t>
  </si>
  <si>
    <t>Matam-Nord</t>
  </si>
  <si>
    <t>WEST WIND SA (100%)</t>
  </si>
  <si>
    <t>280.0357 km²</t>
  </si>
  <si>
    <t>03703</t>
  </si>
  <si>
    <t>FANDING</t>
  </si>
  <si>
    <t>TAMIL MINES SARL</t>
  </si>
  <si>
    <t>48.6500 Ha</t>
  </si>
  <si>
    <t>03708</t>
  </si>
  <si>
    <t>Madina kénioto</t>
  </si>
  <si>
    <t>COMPTOIR D'OR DE LA REGION SARL (100%)</t>
  </si>
  <si>
    <t>49.4500 Ha</t>
  </si>
  <si>
    <t>03709</t>
  </si>
  <si>
    <t>Ouest Douta</t>
  </si>
  <si>
    <t>BIRIMA GOLD RESOURCES (100%)</t>
  </si>
  <si>
    <t>106.0213 km²</t>
  </si>
  <si>
    <t>03713</t>
  </si>
  <si>
    <t>HALWAR MULTISERVICES SARL (100%)</t>
  </si>
  <si>
    <t>49.9646 Ha</t>
  </si>
  <si>
    <t>03714</t>
  </si>
  <si>
    <t>Diakhaba</t>
  </si>
  <si>
    <t>GIE KANBIN BAADIN NA (100%)</t>
  </si>
  <si>
    <t>03720</t>
  </si>
  <si>
    <t>BOUSANKHOBA</t>
  </si>
  <si>
    <t>GLOBAL MINING &amp; RESSOURCES SA</t>
  </si>
  <si>
    <t>374.0005 km²</t>
  </si>
  <si>
    <t>03721</t>
  </si>
  <si>
    <t>BAYTILAYE 2</t>
  </si>
  <si>
    <t>KEDOUGOU BUSINESS &amp; MINING SERVICES SARL</t>
  </si>
  <si>
    <t>24.4200 km²</t>
  </si>
  <si>
    <t>03725</t>
  </si>
  <si>
    <t>SOCIETE D'EXPLOITATION DE LOGISTIQUE ET DES TRAVAUX (100%)</t>
  </si>
  <si>
    <t>49.9233 Ha</t>
  </si>
  <si>
    <t>03738</t>
  </si>
  <si>
    <t>Sud Sayara</t>
  </si>
  <si>
    <t>SDT NEW ENERGY TECHNOLOGY (100%)</t>
  </si>
  <si>
    <t>1,121.2027 km²</t>
  </si>
  <si>
    <t>03743</t>
  </si>
  <si>
    <t>5.0000 km²</t>
  </si>
  <si>
    <t>03746</t>
  </si>
  <si>
    <t>GIE DIAGNE ET FRERES DE SARAYA (100%)</t>
  </si>
  <si>
    <t>49.9065 Ha</t>
  </si>
  <si>
    <t>03751</t>
  </si>
  <si>
    <t>AMCI GOLD MINE SARL (100%)</t>
  </si>
  <si>
    <t>38.7250 Ha</t>
  </si>
  <si>
    <t>03755</t>
  </si>
  <si>
    <t>NIANY TRANSIT SARL (100%)</t>
  </si>
  <si>
    <t>49.3680 Ha</t>
  </si>
  <si>
    <t>03756</t>
  </si>
  <si>
    <t>49.2075 Ha</t>
  </si>
  <si>
    <t>03766</t>
  </si>
  <si>
    <t>DIOMAYE GRANULATS/GROUPE HOLDING DIOMAYE (100%)</t>
  </si>
  <si>
    <t>4.9879 km²</t>
  </si>
  <si>
    <t>03769</t>
  </si>
  <si>
    <t>ouest-Baitilaye</t>
  </si>
  <si>
    <t>FAKMOZ SARL (100%)</t>
  </si>
  <si>
    <t>03772</t>
  </si>
  <si>
    <t>THOR</t>
  </si>
  <si>
    <t>GREENFIELD ASSETS INVEST  (100%)</t>
  </si>
  <si>
    <t>gypse</t>
  </si>
  <si>
    <t>4.9790 km²</t>
  </si>
  <si>
    <t>03777</t>
  </si>
  <si>
    <t>Dioubeba</t>
  </si>
  <si>
    <t>GIE KANKISSI SALAYAMA (100%)</t>
  </si>
  <si>
    <t>48.1012 Ha</t>
  </si>
  <si>
    <t>03785</t>
  </si>
  <si>
    <t>3T SARL (100%)</t>
  </si>
  <si>
    <t>49.6480 Ha</t>
  </si>
  <si>
    <t>03786</t>
  </si>
  <si>
    <t>LEOBA</t>
  </si>
  <si>
    <t>IMPERATOR RESOURCE SARL</t>
  </si>
  <si>
    <t>92.2886 km²</t>
  </si>
  <si>
    <t>03789</t>
  </si>
  <si>
    <t>STARDUST GOLD COMPANY SARL (100%)</t>
  </si>
  <si>
    <t>19.2214 Ha</t>
  </si>
  <si>
    <t>03790</t>
  </si>
  <si>
    <t>SUD SARAYA</t>
  </si>
  <si>
    <t>HLNT SENEGAL (100%)</t>
  </si>
  <si>
    <t>617.4641 km²</t>
  </si>
  <si>
    <t>03791</t>
  </si>
  <si>
    <t>NDENDORY</t>
  </si>
  <si>
    <t>SOCIETE MINIERE AFRICAINE (100%)</t>
  </si>
  <si>
    <t>83.3000 Ha</t>
  </si>
  <si>
    <t>03802</t>
  </si>
  <si>
    <t>TRANS FAVO SUARL (100%)</t>
  </si>
  <si>
    <t>40.1464 Ha</t>
  </si>
  <si>
    <t>03806</t>
  </si>
  <si>
    <t>DIADIAKO</t>
  </si>
  <si>
    <t>NODA SA (100%)</t>
  </si>
  <si>
    <t>63.6656 km²</t>
  </si>
  <si>
    <t>03822</t>
  </si>
  <si>
    <t>Koussola</t>
  </si>
  <si>
    <t>HYDROMIN SENEGAL (100%)</t>
  </si>
  <si>
    <t>74.3119 km²</t>
  </si>
  <si>
    <t>03824</t>
  </si>
  <si>
    <t>79.5969 km²</t>
  </si>
  <si>
    <t>03831</t>
  </si>
  <si>
    <t>30.0634 Ha</t>
  </si>
  <si>
    <t>03836</t>
  </si>
  <si>
    <t>CIMENTS DE L'AFRIQUE  (90%)</t>
  </si>
  <si>
    <t>calcaire, substance connexes</t>
  </si>
  <si>
    <t>8.5900 km²</t>
  </si>
  <si>
    <t>03840</t>
  </si>
  <si>
    <t>ENERGIE DISTRIBUTION SERVICES SUARL (100%)</t>
  </si>
  <si>
    <t>03841</t>
  </si>
  <si>
    <t>MAREEG SUARL (100%)</t>
  </si>
  <si>
    <t>03843</t>
  </si>
  <si>
    <t>KABIR 313 SUARL (100%)</t>
  </si>
  <si>
    <t>03847</t>
  </si>
  <si>
    <t>Karakeana</t>
  </si>
  <si>
    <t>MUSA MINING COMPANY SARL (100%)</t>
  </si>
  <si>
    <t>diamant</t>
  </si>
  <si>
    <t>481.0746 km²</t>
  </si>
  <si>
    <t>03848</t>
  </si>
  <si>
    <t>ROMOU-SASU (100%)</t>
  </si>
  <si>
    <t>50.0507 Ha</t>
  </si>
  <si>
    <t>03849</t>
  </si>
  <si>
    <t>HABITAT - SUARL (100%)</t>
  </si>
  <si>
    <t>25.0535 Ha</t>
  </si>
  <si>
    <t>03855</t>
  </si>
  <si>
    <t>Kéniéba</t>
  </si>
  <si>
    <t>AFRIK'MINES SUARL (100%)</t>
  </si>
  <si>
    <t>4.9545 km²</t>
  </si>
  <si>
    <t>03857</t>
  </si>
  <si>
    <t>GIE BINKHANTO BAITOULAYE (100%)</t>
  </si>
  <si>
    <t>47.4948 Ha</t>
  </si>
  <si>
    <t>03864</t>
  </si>
  <si>
    <t>ALIM GOLD SARL (100%)</t>
  </si>
  <si>
    <t>43.9332 Ha</t>
  </si>
  <si>
    <t>03868</t>
  </si>
  <si>
    <t>Tambanoumya</t>
  </si>
  <si>
    <t>SOFRU SARL</t>
  </si>
  <si>
    <t>49.4441 Ha</t>
  </si>
  <si>
    <t>03873</t>
  </si>
  <si>
    <t>ETE MINING SARL</t>
  </si>
  <si>
    <t>49.9468 Ha</t>
  </si>
  <si>
    <t>03876</t>
  </si>
  <si>
    <t>GIE DJIGUIBADALA (100%)</t>
  </si>
  <si>
    <t>49.9781 Ha</t>
  </si>
  <si>
    <t>03879</t>
  </si>
  <si>
    <t>SAOCASIK COMPANU SASU (100%)</t>
  </si>
  <si>
    <t>23.6095 Ha</t>
  </si>
  <si>
    <t>03880</t>
  </si>
  <si>
    <t>43.7750 Ha</t>
  </si>
  <si>
    <t>03881</t>
  </si>
  <si>
    <t>TANOR SA (100%)</t>
  </si>
  <si>
    <t>54.4320 Ha</t>
  </si>
  <si>
    <t>03894</t>
  </si>
  <si>
    <t>missirah sirimana</t>
  </si>
  <si>
    <t>X.W.O. SARL (100%)</t>
  </si>
  <si>
    <t>45.8203 Ha</t>
  </si>
  <si>
    <t>03898</t>
  </si>
  <si>
    <t>CONSTRUCTION GESTION INNOVATION IMMOBILIERE (100%)</t>
  </si>
  <si>
    <t>03900</t>
  </si>
  <si>
    <t>DIAMONDIOP ENTREPRISES ET COMPAGNIES SARL (100%)</t>
  </si>
  <si>
    <t>03909</t>
  </si>
  <si>
    <t>03910</t>
  </si>
  <si>
    <t>Daorala</t>
  </si>
  <si>
    <t>GAYESY SUARL (100%)</t>
  </si>
  <si>
    <t>49.9942 Ha</t>
  </si>
  <si>
    <t>03918</t>
  </si>
  <si>
    <t>VINCI Grands Projets/ANDRITZ-Hydro (100%)</t>
  </si>
  <si>
    <t>7.7385 Ha</t>
  </si>
  <si>
    <t>03921</t>
  </si>
  <si>
    <t>Périmètre 4</t>
  </si>
  <si>
    <t>AMFICI GOLD (100%)</t>
  </si>
  <si>
    <t>38.7200 Ha</t>
  </si>
  <si>
    <t>03922</t>
  </si>
  <si>
    <t>35.0200 Ha</t>
  </si>
  <si>
    <t>03923</t>
  </si>
  <si>
    <t>Bloc1-Bloc2-Bloc3-Bloc4</t>
  </si>
  <si>
    <t>49.9020 Ha</t>
  </si>
  <si>
    <t>03925</t>
  </si>
  <si>
    <t>AMCI GOLD MINE SARL</t>
  </si>
  <si>
    <t>49.3363 Ha</t>
  </si>
  <si>
    <t>03930</t>
  </si>
  <si>
    <t>Kourou Diakhoma</t>
  </si>
  <si>
    <t>TRIYANGS INTERNATIONAL MINING GROUP SA</t>
  </si>
  <si>
    <t>43.9905 Ha</t>
  </si>
  <si>
    <t>03932</t>
  </si>
  <si>
    <t>28.8160 Ha</t>
  </si>
  <si>
    <t>03941</t>
  </si>
  <si>
    <t>SINO-AFRICAINE COMMUNICATION SUARL</t>
  </si>
  <si>
    <t>49.0850 Ha</t>
  </si>
  <si>
    <t>03942</t>
  </si>
  <si>
    <t>49.7920 Ha</t>
  </si>
  <si>
    <t>03958</t>
  </si>
  <si>
    <t>Sabodala-2</t>
  </si>
  <si>
    <t>4.3155 km²</t>
  </si>
  <si>
    <t>03959</t>
  </si>
  <si>
    <t>Sabodala-1</t>
  </si>
  <si>
    <t>4.1656 km²</t>
  </si>
  <si>
    <t>03960</t>
  </si>
  <si>
    <t>Lam-Lam</t>
  </si>
  <si>
    <t>SOCIETE SENEGALAISE DES PHOSPHATES DE THIES (100%)</t>
  </si>
  <si>
    <t>4.1882 km²</t>
  </si>
  <si>
    <t>03969</t>
  </si>
  <si>
    <t>GIE BALAL COMMUNE DE MADINA FOULBE (100%)</t>
  </si>
  <si>
    <t>03970</t>
  </si>
  <si>
    <t>AMMSA GROUP AFRICA . SA</t>
  </si>
  <si>
    <t>49.9200 Ha</t>
  </si>
  <si>
    <t>03971</t>
  </si>
  <si>
    <t>48.7346 Ha</t>
  </si>
  <si>
    <t>03973</t>
  </si>
  <si>
    <t>49.9278 Ha</t>
  </si>
  <si>
    <t>03989</t>
  </si>
  <si>
    <t>SUD TOGLOU</t>
  </si>
  <si>
    <t>16.6074 Ha</t>
  </si>
  <si>
    <t>03993</t>
  </si>
  <si>
    <t>GENERALE ENTREPRISE DE REALISATION D'ETUDE ET DE SUPERVISION (100%)</t>
  </si>
  <si>
    <t>03994</t>
  </si>
  <si>
    <t>beer thialane</t>
  </si>
  <si>
    <t>GUEYE ET FRERES THIORO TRANSPORT-GF2T (100%)</t>
  </si>
  <si>
    <t>2.0730 Ha</t>
  </si>
  <si>
    <t>03995</t>
  </si>
  <si>
    <t>ics</t>
  </si>
  <si>
    <t>MAOR TECHNOLOGIES SA (100%)</t>
  </si>
  <si>
    <t>03999</t>
  </si>
  <si>
    <t>GIE GROUPE AIDE DEVELOPPEMENT (100%)</t>
  </si>
  <si>
    <t>04000</t>
  </si>
  <si>
    <t>Cherif LO</t>
  </si>
  <si>
    <t>DAME DIAKHATE (100%)</t>
  </si>
  <si>
    <t>latérite</t>
  </si>
  <si>
    <t>1.1133 Ha</t>
  </si>
  <si>
    <t>04001</t>
  </si>
  <si>
    <t>LES GRANDS TRAVAUX DE GOUNASS SARL (100%)</t>
  </si>
  <si>
    <t>04004</t>
  </si>
  <si>
    <t>NIAMAYA</t>
  </si>
  <si>
    <t>74.2347 km²</t>
  </si>
  <si>
    <t>04006</t>
  </si>
  <si>
    <t>GAYESY SUARL</t>
  </si>
  <si>
    <t>04009</t>
  </si>
  <si>
    <t>YICHEN SARL (100%)</t>
  </si>
  <si>
    <t>41.6505 Ha</t>
  </si>
  <si>
    <t>04011</t>
  </si>
  <si>
    <t>SOCIETE CARRIERE MINES SENEGAL SARL (100%)</t>
  </si>
  <si>
    <t>04021</t>
  </si>
  <si>
    <t>48.4600 Ha</t>
  </si>
  <si>
    <t>04024</t>
  </si>
  <si>
    <t>DIENDER</t>
  </si>
  <si>
    <t>ETS THIEUDEME SAR SERVICE (100%)</t>
  </si>
  <si>
    <t>1.0059 Ha</t>
  </si>
  <si>
    <t>04029</t>
  </si>
  <si>
    <t>PISCHON</t>
  </si>
  <si>
    <t>GRACE GOLD COMPANY SENEGAL SARL (100%)</t>
  </si>
  <si>
    <t>59.0542 km²</t>
  </si>
  <si>
    <t>04030</t>
  </si>
  <si>
    <t>SINTHIOU 1</t>
  </si>
  <si>
    <t>KANEL RESOURCES SARL (100%)</t>
  </si>
  <si>
    <t>4.9995 km²</t>
  </si>
  <si>
    <t>04031</t>
  </si>
  <si>
    <t>SINTHIOU 2</t>
  </si>
  <si>
    <t>171.4388 Ha</t>
  </si>
  <si>
    <t>04032</t>
  </si>
  <si>
    <t>DENI BIRAME NDOA</t>
  </si>
  <si>
    <t>ENTREPRISE LINTHIO GLOBAL BUSINESS (100%)</t>
  </si>
  <si>
    <t>1.9588 Ha</t>
  </si>
  <si>
    <t>04033</t>
  </si>
  <si>
    <t>ngendouf</t>
  </si>
  <si>
    <t>2.5704 Ha</t>
  </si>
  <si>
    <t>04045</t>
  </si>
  <si>
    <t>150.2589 Ha</t>
  </si>
  <si>
    <t>04047</t>
  </si>
  <si>
    <t>LEYDI MINING COMPANY SARL (100%)</t>
  </si>
  <si>
    <t>30.0121 Ha</t>
  </si>
  <si>
    <t>04054</t>
  </si>
  <si>
    <t>SEN-STONES (100%)</t>
  </si>
  <si>
    <t>10.9873 Ha</t>
  </si>
  <si>
    <t>04055</t>
  </si>
  <si>
    <t>3.1454 Ha</t>
  </si>
  <si>
    <t>04057</t>
  </si>
  <si>
    <t>DIACK</t>
  </si>
  <si>
    <t>83.5849 Ha</t>
  </si>
  <si>
    <t>04058</t>
  </si>
  <si>
    <t>74.5858 Ha</t>
  </si>
  <si>
    <t>04062</t>
  </si>
  <si>
    <t>Diender</t>
  </si>
  <si>
    <t>DIA MANSOUR - DIA COMPANY  (100%)</t>
  </si>
  <si>
    <t>1.0404 Ha</t>
  </si>
  <si>
    <t>04063</t>
  </si>
  <si>
    <t xml:space="preserve">AFRICA GLOBAL GEOINGENIERIE SARL </t>
  </si>
  <si>
    <t>49.3027 Ha</t>
  </si>
  <si>
    <t>04065</t>
  </si>
  <si>
    <t>JAMOMINING SARL (100%)</t>
  </si>
  <si>
    <t>408.4754 Ha</t>
  </si>
  <si>
    <t>04066</t>
  </si>
  <si>
    <t>4.9978 km²</t>
  </si>
  <si>
    <t>04067</t>
  </si>
  <si>
    <t>MEDY INDUSTRIES MODERNES SARL (100%)</t>
  </si>
  <si>
    <t>04070</t>
  </si>
  <si>
    <t>Ndiébéne Gandiol</t>
  </si>
  <si>
    <t>SOCIETE EDTSG-SARL (100%)</t>
  </si>
  <si>
    <t>2.7957 Ha</t>
  </si>
  <si>
    <t>04071</t>
  </si>
  <si>
    <t>KEUR BASSINE SARL (100%)</t>
  </si>
  <si>
    <t>12.0344 Ha</t>
  </si>
  <si>
    <t>04072</t>
  </si>
  <si>
    <t>Toglou</t>
  </si>
  <si>
    <t>SENECARRIERE (100%)</t>
  </si>
  <si>
    <t>0.2641 Ha</t>
  </si>
  <si>
    <t>04074</t>
  </si>
  <si>
    <t>NDINDY</t>
  </si>
  <si>
    <t>SOCIETE D'AMENAGEMENT DE BATIMENT ET D'ETUDES GENERALES (SOCABEG)</t>
  </si>
  <si>
    <t>4.9999 km²</t>
  </si>
  <si>
    <t>04076</t>
  </si>
  <si>
    <t>Est_Diala</t>
  </si>
  <si>
    <t>SOCIETE SENEGALAISE DE SERVICES MINIERS DE GENIE CIVIL SARL (100%)</t>
  </si>
  <si>
    <t>47.2328 Ha</t>
  </si>
  <si>
    <t>04078</t>
  </si>
  <si>
    <t>LAMP MINES BTP SA (100%)</t>
  </si>
  <si>
    <t>49.7871 Ha</t>
  </si>
  <si>
    <t>04079</t>
  </si>
  <si>
    <t>49.9713 Ha</t>
  </si>
  <si>
    <t>04080</t>
  </si>
  <si>
    <t>48.4067 Ha</t>
  </si>
  <si>
    <t>04082</t>
  </si>
  <si>
    <t>LAMP MINES BTP SA</t>
  </si>
  <si>
    <t>43.3089 Ha</t>
  </si>
  <si>
    <t>04083</t>
  </si>
  <si>
    <t>39.5229 Ha</t>
  </si>
  <si>
    <t>04089</t>
  </si>
  <si>
    <t>47.1726 Ha</t>
  </si>
  <si>
    <t>04090</t>
  </si>
  <si>
    <t>49.5800 Ha</t>
  </si>
  <si>
    <t>04091</t>
  </si>
  <si>
    <t>326.6250 Ha</t>
  </si>
  <si>
    <t>04093</t>
  </si>
  <si>
    <t>Tinkoto Nding</t>
  </si>
  <si>
    <t>GIE KHAMBEINTEINKOTO NDIN (100%)</t>
  </si>
  <si>
    <t>04094</t>
  </si>
  <si>
    <t>AMMSA GROUP AFRICA . SA (100%)</t>
  </si>
  <si>
    <t>49.7060 Ha</t>
  </si>
  <si>
    <t>04097</t>
  </si>
  <si>
    <t>ROSS BETHIO</t>
  </si>
  <si>
    <t>COMMUNE DE ROSS-BETHIO (100%)</t>
  </si>
  <si>
    <t>AECPubT</t>
  </si>
  <si>
    <t>2.8110 Ha</t>
  </si>
  <si>
    <t>04099</t>
  </si>
  <si>
    <t>Barga</t>
  </si>
  <si>
    <t>SOCIÉTÉ TERRACALCO SÉNÉGAL  (100%)</t>
  </si>
  <si>
    <t>39.5736 Ha</t>
  </si>
  <si>
    <t>04103</t>
  </si>
  <si>
    <t>133.1415 Ha</t>
  </si>
  <si>
    <t>04106</t>
  </si>
  <si>
    <t>IVOIRE INGENIERIE PLUS SUARL (100%)</t>
  </si>
  <si>
    <t>49.5173 Ha</t>
  </si>
  <si>
    <t>04113</t>
  </si>
  <si>
    <t>DELTA MARINE BUSINESS INDUSTRIEL DU SENEGAL (100%)</t>
  </si>
  <si>
    <t>2.2237 Ha</t>
  </si>
  <si>
    <t>04114</t>
  </si>
  <si>
    <t>Ndiaganiao</t>
  </si>
  <si>
    <t>20.0151 Ha</t>
  </si>
  <si>
    <t>04115</t>
  </si>
  <si>
    <t>SOCIETE D'EXPLOITATION MINIERE IMMOBILIERE ET COMMERCIALE (100%)</t>
  </si>
  <si>
    <t>04121</t>
  </si>
  <si>
    <t>54.1294 Ha</t>
  </si>
  <si>
    <t>04124</t>
  </si>
  <si>
    <t xml:space="preserve"> SURVEY SERVICES SUARL</t>
  </si>
  <si>
    <t>49.9886 Ha</t>
  </si>
  <si>
    <t>04125</t>
  </si>
  <si>
    <t>Sud-Est_Koliya</t>
  </si>
  <si>
    <t>45.8601 Ha</t>
  </si>
  <si>
    <t>04127</t>
  </si>
  <si>
    <t>FARABA</t>
  </si>
  <si>
    <t>BAMBOUK EXPLORATION SARL (100%)</t>
  </si>
  <si>
    <t>677.9946 km²</t>
  </si>
  <si>
    <t>04130</t>
  </si>
  <si>
    <t>ROCAMJO SUARL (100%)</t>
  </si>
  <si>
    <t>48.7725 Ha</t>
  </si>
  <si>
    <t>04133</t>
  </si>
  <si>
    <t>BIJOUTERIE SERIGNE BABACAR SY (100%)</t>
  </si>
  <si>
    <t>49.7640 Ha</t>
  </si>
  <si>
    <t>04135</t>
  </si>
  <si>
    <t>SOCIETE CIVILE H2 MOCOSA (100%)</t>
  </si>
  <si>
    <t>47.5175 Ha</t>
  </si>
  <si>
    <t>04141</t>
  </si>
  <si>
    <t>SOUKOUTA</t>
  </si>
  <si>
    <t>4.9896 km²</t>
  </si>
  <si>
    <t>04142</t>
  </si>
  <si>
    <t>Raffo</t>
  </si>
  <si>
    <t>SANTARGILE SA (100%)</t>
  </si>
  <si>
    <t>9.1459 Ha</t>
  </si>
  <si>
    <t>04143</t>
  </si>
  <si>
    <t>Cayar-Khay Wérou</t>
  </si>
  <si>
    <t>1.7493 Ha</t>
  </si>
  <si>
    <t>04144</t>
  </si>
  <si>
    <t>Xaay Weru</t>
  </si>
  <si>
    <t>SALIOU MINES INDUSTRIES ET TECHNIQUES (100%)</t>
  </si>
  <si>
    <t>2.2326 Ha</t>
  </si>
  <si>
    <t>04145</t>
  </si>
  <si>
    <t>SENEGALAISE D'ETUDE, DE REALISATION ET DE SERVICES SA (100%)</t>
  </si>
  <si>
    <t>04146</t>
  </si>
  <si>
    <t>PROMO MINES SARL (100%)</t>
  </si>
  <si>
    <t>04151</t>
  </si>
  <si>
    <t>Thicky</t>
  </si>
  <si>
    <t>GEOPARTNERS CONSULTING (100%)</t>
  </si>
  <si>
    <t>7.8897 Ha</t>
  </si>
  <si>
    <t>04155</t>
  </si>
  <si>
    <t>Pambal</t>
  </si>
  <si>
    <t>SOCIETE DE GESTION DES CARRIERES DU SENEGAL (100%)</t>
  </si>
  <si>
    <t>2.2777 Ha</t>
  </si>
  <si>
    <t>04156</t>
  </si>
  <si>
    <t>KHOTANE SERERE</t>
  </si>
  <si>
    <t>MBENGUE FAMILY BUSINESS SARL (100%)</t>
  </si>
  <si>
    <t>2.1914 Ha</t>
  </si>
  <si>
    <t>04157</t>
  </si>
  <si>
    <t>Baniomba</t>
  </si>
  <si>
    <t>23.3780 Ha</t>
  </si>
  <si>
    <t>04174</t>
  </si>
  <si>
    <t>GOLLAM</t>
  </si>
  <si>
    <t>SALL PAPA SANGONE</t>
  </si>
  <si>
    <t>3.4810 Ha</t>
  </si>
  <si>
    <t>04178</t>
  </si>
  <si>
    <t>NGALOU EXPLOITATION ET SERVICES-SASU (100%)</t>
  </si>
  <si>
    <t>3.0094 Ha</t>
  </si>
  <si>
    <t>04179</t>
  </si>
  <si>
    <t>Chérif Lo</t>
  </si>
  <si>
    <t>BA MAMADOU (100%)</t>
  </si>
  <si>
    <t>14.8166 Ha</t>
  </si>
  <si>
    <t>04180</t>
  </si>
  <si>
    <t>KHAR YALLAH</t>
  </si>
  <si>
    <t>GIE KA BUSINESS COMPANY (100%)</t>
  </si>
  <si>
    <t>1.9744 Ha</t>
  </si>
  <si>
    <t>04181</t>
  </si>
  <si>
    <t>DENI BIRAME NDAO NORD</t>
  </si>
  <si>
    <t>6.2951 Ha</t>
  </si>
  <si>
    <t>04183</t>
  </si>
  <si>
    <t>Tchicky</t>
  </si>
  <si>
    <t>WALY DIOUF PARTNERS SOLUTION (100%)</t>
  </si>
  <si>
    <t>1.9648 Ha</t>
  </si>
  <si>
    <t>04184</t>
  </si>
  <si>
    <t>Ngaye Mékhé</t>
  </si>
  <si>
    <t>GIE NGAAY DJITTE (100%)</t>
  </si>
  <si>
    <t>2.2499 Ha</t>
  </si>
  <si>
    <t>04187</t>
  </si>
  <si>
    <t xml:space="preserve">ICS </t>
  </si>
  <si>
    <t>NAZATA AND MAYA SAS</t>
  </si>
  <si>
    <t>04189</t>
  </si>
  <si>
    <t>KOLIA 1</t>
  </si>
  <si>
    <t>GIE KOLIA (100%)</t>
  </si>
  <si>
    <t>49.4100 Ha</t>
  </si>
  <si>
    <t>04196</t>
  </si>
  <si>
    <t>CENTRALE DE MATERIEL ET MATERIAUX SARL (100%)</t>
  </si>
  <si>
    <t>0.0008 km²</t>
  </si>
  <si>
    <t>04203</t>
  </si>
  <si>
    <t>THICKY</t>
  </si>
  <si>
    <t>SOCIETE DE GESTION DES MINES ET CARRIERES SARL (100%)</t>
  </si>
  <si>
    <t>5.0981 Ha</t>
  </si>
  <si>
    <t>04204</t>
  </si>
  <si>
    <t>ENTREPRISE DIENDER  (100%)</t>
  </si>
  <si>
    <t>16.3494 Ha</t>
  </si>
  <si>
    <t>04205</t>
  </si>
  <si>
    <t>ENTREPRISE AICHA (100%)</t>
  </si>
  <si>
    <t>7.9999 Ha</t>
  </si>
  <si>
    <t>04208</t>
  </si>
  <si>
    <t>NAMEL</t>
  </si>
  <si>
    <t>333.2234 km²</t>
  </si>
  <si>
    <t>04209</t>
  </si>
  <si>
    <t>KENIEBA Mn</t>
  </si>
  <si>
    <t>LAMTORO NATURAL RERSOURCES (100%)</t>
  </si>
  <si>
    <t>53.4137 km²</t>
  </si>
  <si>
    <t>04211</t>
  </si>
  <si>
    <t>Mangary</t>
  </si>
  <si>
    <t>ENTREPRISE BOUGAR DIOUF</t>
  </si>
  <si>
    <t>9.0401 Ha</t>
  </si>
  <si>
    <t>04213</t>
  </si>
  <si>
    <t>CHROME SUARL (100%)</t>
  </si>
  <si>
    <t>04214</t>
  </si>
  <si>
    <t>SOCIETE CIVILE H2 MOCOSA</t>
  </si>
  <si>
    <t>04218</t>
  </si>
  <si>
    <t>ETABLISSEMENT HABIB SAMB (100%)</t>
  </si>
  <si>
    <t>04219</t>
  </si>
  <si>
    <t>TALIX MINES SARL (100%)</t>
  </si>
  <si>
    <t>04227</t>
  </si>
  <si>
    <t>Diass</t>
  </si>
  <si>
    <t>3.5290 Ha</t>
  </si>
  <si>
    <t>04228</t>
  </si>
  <si>
    <t>Bloc1</t>
  </si>
  <si>
    <t>49.9885 Ha</t>
  </si>
  <si>
    <t>04229</t>
  </si>
  <si>
    <t>THIKI</t>
  </si>
  <si>
    <t>WAHABA BUILDING (100%)</t>
  </si>
  <si>
    <t>4.6999 Ha</t>
  </si>
  <si>
    <t>04230</t>
  </si>
  <si>
    <t>BANTACOUNTOU</t>
  </si>
  <si>
    <t>EIFFAGE (100%)</t>
  </si>
  <si>
    <t>49.9985 Ha</t>
  </si>
  <si>
    <t>04231</t>
  </si>
  <si>
    <t>kidira</t>
  </si>
  <si>
    <t>48.7882 Ha</t>
  </si>
  <si>
    <t>04232</t>
  </si>
  <si>
    <t>ENTREPRISE GENERALE DAROU SALAM (100%)</t>
  </si>
  <si>
    <t>04235</t>
  </si>
  <si>
    <t>ENTREPRISE DE TRAVAUX D'INDUSTRIE ET DE COMMERCE  (100%)</t>
  </si>
  <si>
    <t>04243</t>
  </si>
  <si>
    <t>TCHIKY</t>
  </si>
  <si>
    <t>GIE EXPRESS LOGISTICS PLUS (100%)</t>
  </si>
  <si>
    <t>4.9863 Ha</t>
  </si>
  <si>
    <t>04245</t>
  </si>
  <si>
    <t>BOYENADJI</t>
  </si>
  <si>
    <t>228.7510 Ha</t>
  </si>
  <si>
    <t>04246</t>
  </si>
  <si>
    <t>NDEYE MATY TRADE (100%)</t>
  </si>
  <si>
    <t>491.9820 Ha</t>
  </si>
  <si>
    <t>04247</t>
  </si>
  <si>
    <t>4.9586 km²</t>
  </si>
  <si>
    <t>04248</t>
  </si>
  <si>
    <t>Kolia</t>
  </si>
  <si>
    <t>AFRIQUE MINES COMPANY PLUS (100%)</t>
  </si>
  <si>
    <t>45.6814 Ha</t>
  </si>
  <si>
    <t>04251</t>
  </si>
  <si>
    <t>DIOUBELA</t>
  </si>
  <si>
    <t>DARA SALAM - SUARL (100%)</t>
  </si>
  <si>
    <t>320.2818 km²</t>
  </si>
  <si>
    <t>04252</t>
  </si>
  <si>
    <t>BARIBARIE 1</t>
  </si>
  <si>
    <t>AFG RESSOURCES  (100%)</t>
  </si>
  <si>
    <t>98.9681 km²</t>
  </si>
  <si>
    <t>04253</t>
  </si>
  <si>
    <t>DIARRA MAMADOU DIAKHATE (100%)</t>
  </si>
  <si>
    <t>27.4968 Ha</t>
  </si>
  <si>
    <t>04260</t>
  </si>
  <si>
    <t>MAKANA</t>
  </si>
  <si>
    <t>GROUPE DE SOCIETES ULSAN (100%)</t>
  </si>
  <si>
    <t>116.4829 km²</t>
  </si>
  <si>
    <t>04262</t>
  </si>
  <si>
    <t>NDOYE ABDOULAYE (EAND) (100%)</t>
  </si>
  <si>
    <t>1.4342 Ha</t>
  </si>
  <si>
    <t>04266</t>
  </si>
  <si>
    <t>Mboro</t>
  </si>
  <si>
    <t>KAPI GROUP (100%)</t>
  </si>
  <si>
    <t>04267</t>
  </si>
  <si>
    <t>AFRICAN BUILDERS SARL (100%)</t>
  </si>
  <si>
    <t>48.6722 Ha</t>
  </si>
  <si>
    <t>04268</t>
  </si>
  <si>
    <t>MAMANKANTI</t>
  </si>
  <si>
    <t>AIR DYNAMICS SOLUTIONS SENEGAL (100%)</t>
  </si>
  <si>
    <t>18.6813 km²</t>
  </si>
  <si>
    <t>04274</t>
  </si>
  <si>
    <t>Barabérie</t>
  </si>
  <si>
    <t>381.5028 km²</t>
  </si>
  <si>
    <t>04276</t>
  </si>
  <si>
    <t>GNITH</t>
  </si>
  <si>
    <t>CHINA ROAD AND BRIDGE CORPORATION SENEGAL (100%)</t>
  </si>
  <si>
    <t>53.5362 Ha</t>
  </si>
  <si>
    <t>04278</t>
  </si>
  <si>
    <t>52.6750 Ha</t>
  </si>
  <si>
    <t>04279</t>
  </si>
  <si>
    <t>Koussoko</t>
  </si>
  <si>
    <t>GOLD MINING CORPORATION (100%)</t>
  </si>
  <si>
    <t>26.1967 km²</t>
  </si>
  <si>
    <t>04285</t>
  </si>
  <si>
    <t>TASSETTE</t>
  </si>
  <si>
    <t>CK CARRIERE  (100%)</t>
  </si>
  <si>
    <t>20.2251 Ha</t>
  </si>
  <si>
    <t>04308</t>
  </si>
  <si>
    <t>BAOBAB MINERALS SARL (100%)</t>
  </si>
  <si>
    <t>113.3540 Ha</t>
  </si>
  <si>
    <t>04342</t>
  </si>
  <si>
    <t>AFRICA SERVICES GROUP SUARL (100%)</t>
  </si>
  <si>
    <t>2.4073 Ha</t>
  </si>
  <si>
    <t>04352</t>
  </si>
  <si>
    <t>EBD ENTREPRISES SUARL (100%)</t>
  </si>
  <si>
    <t>2.2219 Ha</t>
  </si>
  <si>
    <t>04356</t>
  </si>
  <si>
    <t>4.4178 Ha</t>
  </si>
  <si>
    <t>04358</t>
  </si>
  <si>
    <t>COMMUNE GANDON</t>
  </si>
  <si>
    <t>25.6800 Ha</t>
  </si>
  <si>
    <t>04359</t>
  </si>
  <si>
    <t>GIE GARAGE SOUF (100%)</t>
  </si>
  <si>
    <t>1.8459 Ha</t>
  </si>
  <si>
    <t>04360</t>
  </si>
  <si>
    <t>COMMUNE DE BOKHOL (100%)</t>
  </si>
  <si>
    <t>7.3698 Ha</t>
  </si>
  <si>
    <t>04367</t>
  </si>
  <si>
    <t>COMMUNE DE PIRE  (100%)</t>
  </si>
  <si>
    <t>5.4997 Ha</t>
  </si>
  <si>
    <t>04372</t>
  </si>
  <si>
    <t xml:space="preserve">KOUNGHEUL </t>
  </si>
  <si>
    <t>LD ECOMINING- SARL (100%)</t>
  </si>
  <si>
    <t>Kaffrine</t>
  </si>
  <si>
    <t>15.1312 Ha</t>
  </si>
  <si>
    <t>04375</t>
  </si>
  <si>
    <t>SOCIETE COMMERCIALE NDIAMBOUR NDIGUEUL SARL (100%)</t>
  </si>
  <si>
    <t>3.0077 Ha</t>
  </si>
  <si>
    <t>04376</t>
  </si>
  <si>
    <t>SABODALA GOLD OPERATIONS SA (SGO) (100%)</t>
  </si>
  <si>
    <t>1.0786 Ha</t>
  </si>
  <si>
    <t>04378</t>
  </si>
  <si>
    <t>Sangalkam</t>
  </si>
  <si>
    <t>SENEGAL CARRIERE IMMO SARL (100%)</t>
  </si>
  <si>
    <t>4.1508 Ha</t>
  </si>
  <si>
    <t>04385</t>
  </si>
  <si>
    <t>KAANGUI A-F SUARL</t>
  </si>
  <si>
    <t>1.1560 Ha</t>
  </si>
  <si>
    <t>04386</t>
  </si>
  <si>
    <t>KAANGUI A-F SUARL (100%)</t>
  </si>
  <si>
    <t>3.4610 Ha</t>
  </si>
  <si>
    <t>04387</t>
  </si>
  <si>
    <t>1.8611 Ha</t>
  </si>
  <si>
    <t>04389</t>
  </si>
  <si>
    <t>11.5518 Ha</t>
  </si>
  <si>
    <t>04390</t>
  </si>
  <si>
    <t>9.7213 Ha</t>
  </si>
  <si>
    <t>04391</t>
  </si>
  <si>
    <t>Patar LIA</t>
  </si>
  <si>
    <t>DAROU MINAM PRESTIGE SUARL (100%)</t>
  </si>
  <si>
    <t>3.4315 Ha</t>
  </si>
  <si>
    <t>04393</t>
  </si>
  <si>
    <t>1.8200 Ha</t>
  </si>
  <si>
    <t>04395</t>
  </si>
  <si>
    <t>AMAFRIQUE SENEGAL (100%)</t>
  </si>
  <si>
    <t>AP</t>
  </si>
  <si>
    <t>4.9794 km²</t>
  </si>
  <si>
    <t>04396</t>
  </si>
  <si>
    <t>CHINA HARBOUR ENGINEERING COMPANY SENEGAL SUARL (100%)</t>
  </si>
  <si>
    <t>Sédhiou</t>
  </si>
  <si>
    <t>4.7181 Ha</t>
  </si>
  <si>
    <t>04397</t>
  </si>
  <si>
    <t>GIE LIGGUEY BUNU BOKOU (100%)</t>
  </si>
  <si>
    <t>3.1218 Ha</t>
  </si>
  <si>
    <t>04400</t>
  </si>
  <si>
    <t xml:space="preserve">Mbadiane </t>
  </si>
  <si>
    <t xml:space="preserve">Maire de la Commune de Mbadiane </t>
  </si>
  <si>
    <t>3.0012 Ha</t>
  </si>
  <si>
    <t>04401</t>
  </si>
  <si>
    <t>Ngogom</t>
  </si>
  <si>
    <t>1.5574 Ha</t>
  </si>
  <si>
    <t>04403</t>
  </si>
  <si>
    <t>MINES PROFESSIONAL HOLDING SARL (100%)</t>
  </si>
  <si>
    <t>Kaolack</t>
  </si>
  <si>
    <t>5.8253 Ha</t>
  </si>
  <si>
    <t>04404</t>
  </si>
  <si>
    <t>REPUBLIQUE DU SENEGAL</t>
  </si>
  <si>
    <t>28.6083 km²</t>
  </si>
  <si>
    <t>04406</t>
  </si>
  <si>
    <t>181.7465 km²</t>
  </si>
  <si>
    <t>04408</t>
  </si>
  <si>
    <t>12.7231 km²</t>
  </si>
  <si>
    <t>04409</t>
  </si>
  <si>
    <t>17.4576 km²</t>
  </si>
  <si>
    <t>04410</t>
  </si>
  <si>
    <t>1.8545 Ha</t>
  </si>
  <si>
    <t>04412</t>
  </si>
  <si>
    <t>COMPAGNY SAKHO - C.S (100%)</t>
  </si>
  <si>
    <t>2.9600 Ha</t>
  </si>
  <si>
    <t>04413</t>
  </si>
  <si>
    <t>BASMALA INTERNATIONAL SARL (100%)</t>
  </si>
  <si>
    <t>31.5164 Ha</t>
  </si>
  <si>
    <t>04414</t>
  </si>
  <si>
    <t>Salamata/Bahadadji</t>
  </si>
  <si>
    <t>Mairie de la commune de Bagadadji (100%)</t>
  </si>
  <si>
    <t>Kolda</t>
  </si>
  <si>
    <t>3.0358 Ha</t>
  </si>
  <si>
    <t>04415</t>
  </si>
  <si>
    <t>MEDINA DALHATOU/ Bagadadji</t>
  </si>
  <si>
    <t>5.2179 Ha</t>
  </si>
  <si>
    <t>04416</t>
  </si>
  <si>
    <t>Mbadiane</t>
  </si>
  <si>
    <t>2.0048 Ha</t>
  </si>
  <si>
    <t>04417</t>
  </si>
  <si>
    <t>66.9457 km²</t>
  </si>
  <si>
    <t>04419</t>
  </si>
  <si>
    <t>COMMUNE DE NGUIDILLE  (100%)</t>
  </si>
  <si>
    <t>8.7627 Ha</t>
  </si>
  <si>
    <t>04421</t>
  </si>
  <si>
    <t>3,095.4867 Ha</t>
  </si>
  <si>
    <t>04425</t>
  </si>
  <si>
    <t>ENTREPRISE DE TRANSPORT ET DE COMMERCE (100%)</t>
  </si>
  <si>
    <t>2.2367 Ha</t>
  </si>
  <si>
    <t>04426</t>
  </si>
  <si>
    <t>ENTREPRISE DAROU SALAM TAWFEKH (100%)</t>
  </si>
  <si>
    <t>14.6329 Ha</t>
  </si>
  <si>
    <t>04427</t>
  </si>
  <si>
    <t>MAIRIE DE DYA (100%)</t>
  </si>
  <si>
    <t>1.7374 Ha</t>
  </si>
  <si>
    <t>04428</t>
  </si>
  <si>
    <t>CSE GRANULATS SA (100%)</t>
  </si>
  <si>
    <t>3.9994 Ha</t>
  </si>
  <si>
    <t>04429</t>
  </si>
  <si>
    <t>DAROU SALAM TRANSPORTS SARL (100%)</t>
  </si>
  <si>
    <t>5.3603 Ha</t>
  </si>
  <si>
    <t>04430</t>
  </si>
  <si>
    <t>GLADIAMA SUARL (100%)</t>
  </si>
  <si>
    <t>1.2215 Ha</t>
  </si>
  <si>
    <t>04431</t>
  </si>
  <si>
    <t>14.7832 Ha</t>
  </si>
  <si>
    <t>04432</t>
  </si>
  <si>
    <t>GASS IMMO SUARL (100%)</t>
  </si>
  <si>
    <t>26.2330 Ha</t>
  </si>
  <si>
    <t>04433</t>
  </si>
  <si>
    <t>Bembou</t>
  </si>
  <si>
    <t>0.6789 Ha</t>
  </si>
  <si>
    <t>04434</t>
  </si>
  <si>
    <t>BEMBOU</t>
  </si>
  <si>
    <t>1.1420 Ha</t>
  </si>
  <si>
    <t>04435</t>
  </si>
  <si>
    <t>SOCIETE DES MINES DU SENEGAL (100%)</t>
  </si>
  <si>
    <t>57.0654 km²</t>
  </si>
  <si>
    <t>04436</t>
  </si>
  <si>
    <t>2.8094 Ha</t>
  </si>
  <si>
    <t>04437</t>
  </si>
  <si>
    <t>MAMADOU SENE TRANSPORT ET COMMERCE SARL  (100%)</t>
  </si>
  <si>
    <t>3.4965 Ha</t>
  </si>
  <si>
    <t>04438</t>
  </si>
  <si>
    <t>MC TRANSPORT AND TRADING SARL (100%)</t>
  </si>
  <si>
    <t>5.7000 Ha</t>
  </si>
  <si>
    <t>04439</t>
  </si>
  <si>
    <t>04440</t>
  </si>
  <si>
    <t>Tchiky</t>
  </si>
  <si>
    <t>LES GRANDES CARRIERES DU SENEGAL (100%)</t>
  </si>
  <si>
    <t>4.0890 Ha</t>
  </si>
  <si>
    <t>04441</t>
  </si>
  <si>
    <t>COMMUNE DE KEUR MADIABEL (100%)</t>
  </si>
  <si>
    <t>2.0169 Ha</t>
  </si>
  <si>
    <t>04443</t>
  </si>
  <si>
    <t>DI CORP SAS (100%)</t>
  </si>
  <si>
    <t>0.9068 Ha</t>
  </si>
  <si>
    <t>04445</t>
  </si>
  <si>
    <t>XEWELL CIMENTERIES SA (100%)</t>
  </si>
  <si>
    <t>388.2075 Ha</t>
  </si>
  <si>
    <t>04448</t>
  </si>
  <si>
    <t>LION RISE CEMENT CO SARL (100%)</t>
  </si>
  <si>
    <t>32.0622 km²</t>
  </si>
  <si>
    <t>04462</t>
  </si>
  <si>
    <t>Kayar</t>
  </si>
  <si>
    <t>DIA COMPANY NAFOORE-SARL (100%)</t>
  </si>
  <si>
    <t>5.0001 Ha</t>
  </si>
  <si>
    <t>04471</t>
  </si>
  <si>
    <t>TOUBA CARRIERES SARL  (100%)</t>
  </si>
  <si>
    <t>0.4542 km²</t>
  </si>
  <si>
    <t>04472</t>
  </si>
  <si>
    <t>DANGOTE CEMENT SENEGAL SA (100%)</t>
  </si>
  <si>
    <t>1,773.8522 Ha</t>
  </si>
  <si>
    <t>04487</t>
  </si>
  <si>
    <t>2.5208 Ha</t>
  </si>
  <si>
    <t>A02352</t>
  </si>
  <si>
    <t>Cheikh KANE (100%)</t>
  </si>
  <si>
    <t>15.3955 Ha</t>
  </si>
  <si>
    <t>A02353</t>
  </si>
  <si>
    <t>TETACAR (100%)</t>
  </si>
  <si>
    <t>22.2626 Ha</t>
  </si>
  <si>
    <t>A02472-18</t>
  </si>
  <si>
    <t>Couloir 18_Wassadou SUD</t>
  </si>
  <si>
    <t>19.8375 km²</t>
  </si>
  <si>
    <t>A02472-19</t>
  </si>
  <si>
    <t>Couloir 19_Garaboureya SUD</t>
  </si>
  <si>
    <t>11.5262 km²</t>
  </si>
  <si>
    <t>A008024</t>
  </si>
  <si>
    <t>Paki</t>
  </si>
  <si>
    <t>CAYORIENNE DES TRANSPORTS, CARRIERES ET TRAVAUX PUBLICS (100%)</t>
  </si>
  <si>
    <t>5.0082 Ha</t>
  </si>
  <si>
    <t>A00010660</t>
  </si>
  <si>
    <t>INCA SARL (100%)</t>
  </si>
  <si>
    <t>20.8983 Ha</t>
  </si>
  <si>
    <t>A012439</t>
  </si>
  <si>
    <t>TOGLOU</t>
  </si>
  <si>
    <t>SOCIETE D'EXPLOITATION DES MINES ET CARRIERES (SEMC) (100%)</t>
  </si>
  <si>
    <t>6.4106 Ha</t>
  </si>
  <si>
    <t>A13985</t>
  </si>
  <si>
    <t>NORD BANTAKO KOTO</t>
  </si>
  <si>
    <t>GAYE THIOLOM GANDIOLE ENTREPRISES SUARL</t>
  </si>
  <si>
    <t>A014208</t>
  </si>
  <si>
    <t>Bandola</t>
  </si>
  <si>
    <t>CONSORTIUM PETROMIR &amp; PETROLINE</t>
  </si>
  <si>
    <t>A15099</t>
  </si>
  <si>
    <t>BANTACO</t>
  </si>
  <si>
    <t>SNEPAC INTERNATIONAL SARL</t>
  </si>
  <si>
    <t>63.5128 km²</t>
  </si>
  <si>
    <t>A17620</t>
  </si>
  <si>
    <t>GANGARA</t>
  </si>
  <si>
    <t>SENOR GROUP (100%)</t>
  </si>
  <si>
    <t>A018463</t>
  </si>
  <si>
    <t>CK CARRIRES SA (100%)</t>
  </si>
  <si>
    <t>A027976</t>
  </si>
  <si>
    <t>ics taiba</t>
  </si>
  <si>
    <t>MINES et BATIMENTS GROUP MBG Sarl (100%)</t>
  </si>
  <si>
    <t>0.0097 km²</t>
  </si>
  <si>
    <t>DACPT 2019</t>
  </si>
  <si>
    <t>SOCIETE SENEGALAISE DE CONSTRUCTION ET DE PROMOTION IMMOBILIERE (100%)</t>
  </si>
  <si>
    <t>0.3252 km²</t>
  </si>
  <si>
    <t>DAESM28122020</t>
  </si>
  <si>
    <t>GIE BIJOUTERIE AIR FRANCE (100%)</t>
  </si>
  <si>
    <t>50.8173 Ha</t>
  </si>
  <si>
    <t>Demande N° 11483</t>
  </si>
  <si>
    <t>Mairie de Ronkh</t>
  </si>
  <si>
    <t>Mairie de la commune de Ronkh-Saint louis (100%)</t>
  </si>
  <si>
    <t>30.0672 Ha</t>
  </si>
  <si>
    <t>Demande N° 11493</t>
  </si>
  <si>
    <t xml:space="preserve">Gaé, </t>
  </si>
  <si>
    <t>Mairie de la commune de Gaé- Saint Louis (100%)</t>
  </si>
  <si>
    <t>10.5559 Ha</t>
  </si>
  <si>
    <t>DPR22102018</t>
  </si>
  <si>
    <t>DAORALA</t>
  </si>
  <si>
    <t>AGEM EXPLORATION SENEGAL (100%)</t>
  </si>
  <si>
    <t>83.4261 km²</t>
  </si>
  <si>
    <t>RRC/00002/2025</t>
  </si>
  <si>
    <t>Spatial Dimension Test Company; Tim Wallis</t>
  </si>
  <si>
    <t>RR-S</t>
  </si>
  <si>
    <t>Entreprise</t>
  </si>
  <si>
    <t>Email</t>
  </si>
  <si>
    <t>Profile</t>
  </si>
  <si>
    <t>Pays</t>
  </si>
  <si>
    <t>CHEIKH FALL</t>
  </si>
  <si>
    <t>cheikhomar2003@yahoo.fr</t>
  </si>
  <si>
    <t>Sous-traitants</t>
  </si>
  <si>
    <t>FORADRILL-SENEGAL</t>
  </si>
  <si>
    <t>ghazmohamad@yahoo.fr</t>
  </si>
  <si>
    <t>AMS Senegal SUARL</t>
  </si>
  <si>
    <t>amssenegal@outlook.com</t>
  </si>
  <si>
    <t>African Underground Mining Services Senegal SUARL</t>
  </si>
  <si>
    <t>mark.mclaskey@amsgh.com</t>
  </si>
  <si>
    <t xml:space="preserve">KEKENDO AFRICA ENGINEERING </t>
  </si>
  <si>
    <t>kagny.lamine@kekendoafricapoly.com</t>
  </si>
  <si>
    <t>CORICA MINING SERVICES SARL</t>
  </si>
  <si>
    <t>abdoulaye.diallo@corica.com</t>
  </si>
  <si>
    <t xml:space="preserve">CHALLENGE 2000 SARL </t>
  </si>
  <si>
    <t>lamine.diagne@challenge2000.sn</t>
  </si>
  <si>
    <t>EIFFAGE SENEGAL SAS</t>
  </si>
  <si>
    <t>dame.sene@eiffage.com</t>
  </si>
  <si>
    <t>GLOBAL AFRICINVEST</t>
  </si>
  <si>
    <t>lamine.globalai@gmail.com</t>
  </si>
  <si>
    <t>MCI SENEGAL SAS</t>
  </si>
  <si>
    <t>gaelle.ndiaye@mci-int.com</t>
  </si>
  <si>
    <t>Africa Power Services Senegal</t>
  </si>
  <si>
    <t>juridique@delmasip.com</t>
  </si>
  <si>
    <t>Lycopodium Minerals Canada LTD</t>
  </si>
  <si>
    <t>khuram.mushtaq@lycopodium.com</t>
  </si>
  <si>
    <t>Canada</t>
  </si>
  <si>
    <t>Les Spécialistes de l'Energie</t>
  </si>
  <si>
    <t>bineta.fall@vinci-construction.com</t>
  </si>
  <si>
    <t>INTER-MINING SERVICES SENEGAL</t>
  </si>
  <si>
    <t>hcisse@inter-mining.com</t>
  </si>
  <si>
    <t>GEODRILL SENEGAL SARL</t>
  </si>
  <si>
    <t>dahmadou@gtsdrilling.com</t>
  </si>
  <si>
    <t>BOSFOR SARL</t>
  </si>
  <si>
    <t>administration@bosforsarl.com</t>
  </si>
  <si>
    <t>MOTA ENGIL SENEGAL MINING SUARL</t>
  </si>
  <si>
    <t>daniel.baeta@mota-engil.sn</t>
  </si>
  <si>
    <t>Lycopodium Marine and Modular (Pty) Ltd</t>
  </si>
  <si>
    <t>angelique.teixeira@lycopodium.com</t>
  </si>
  <si>
    <t xml:space="preserve">AECI SENEGAL </t>
  </si>
  <si>
    <t>malika.kabo@aeciworld.com</t>
  </si>
  <si>
    <t>IDC</t>
  </si>
  <si>
    <t>ibaderi@idc-drilling.com</t>
  </si>
  <si>
    <t>Lycopodium Senegal SUARL</t>
  </si>
  <si>
    <t>yaochin.choo@lycopodium.com</t>
  </si>
  <si>
    <t>MCI SENEGAL</t>
  </si>
  <si>
    <t>gaelle.nndiaye@mci-int.com</t>
  </si>
  <si>
    <t xml:space="preserve">Traore Electricité Bâtiment et industrie </t>
  </si>
  <si>
    <t>traelecbati@gmail.com</t>
  </si>
  <si>
    <t>CADEX SENEGAL</t>
  </si>
  <si>
    <t>moussathiam1971@gmail.com</t>
  </si>
  <si>
    <t>SEA-INVEST SENEGAL</t>
  </si>
  <si>
    <t>mameaicha.ndoye@sea-invest.com</t>
  </si>
  <si>
    <t>E G C 2 I  sarl</t>
  </si>
  <si>
    <t>egcisarl@hotmail.com</t>
  </si>
  <si>
    <t>PARAMOUNT MINING SERVICES SUARL</t>
  </si>
  <si>
    <t>harryvprmnc@gmail.com</t>
  </si>
  <si>
    <t>EPC MINEEX SA</t>
  </si>
  <si>
    <t>innocencia.mbaye@epc-mineex.sn</t>
  </si>
  <si>
    <t>enikon senegal sarl</t>
  </si>
  <si>
    <t>pascalambou@gmail.com</t>
  </si>
  <si>
    <t>DRILLEEX</t>
  </si>
  <si>
    <t>drilleex@gmail.com</t>
  </si>
  <si>
    <t>FORAGE FTE SÉNÉGAL</t>
  </si>
  <si>
    <t>dianko88@hotmail.com</t>
  </si>
  <si>
    <t>Winde-bat</t>
  </si>
  <si>
    <t>windebat695@gmail.com</t>
  </si>
  <si>
    <t>TransportsDieye</t>
  </si>
  <si>
    <t>souleymane.ndiaye@transportsdieye.sn</t>
  </si>
  <si>
    <t>GISMAF SUARL</t>
  </si>
  <si>
    <t>idbouichou@gismaf.com</t>
  </si>
  <si>
    <t>INTERNATIONAL DRILLING COMPANY</t>
  </si>
  <si>
    <t>asambe@idc-drilling.com</t>
  </si>
  <si>
    <t>Redpath Africa Limited</t>
  </si>
  <si>
    <t>lindokuhle.mdluli@redpathmining.com</t>
  </si>
  <si>
    <t>Mauritanie</t>
  </si>
  <si>
    <t>Fives FCB Sénégal SARL</t>
  </si>
  <si>
    <t>jacques-olivier.bou@fivesgroup.com</t>
  </si>
  <si>
    <t>France</t>
  </si>
  <si>
    <t>BAUER</t>
  </si>
  <si>
    <t>frank.weimert@bauer-senegal.com</t>
  </si>
  <si>
    <t xml:space="preserve">GRANDS TRAVAUX ET SERVICES SARL </t>
  </si>
  <si>
    <t>bamba.diagne@gtservicesn.com</t>
  </si>
  <si>
    <t>NRG Exploration CC</t>
  </si>
  <si>
    <t>kiara.kruger@nrgex.co.za</t>
  </si>
  <si>
    <t>Afrique du Sud</t>
  </si>
  <si>
    <t>CJ ICM LOGISTICS BELGIUM BV</t>
  </si>
  <si>
    <t>ilidia.rocha@cj-icm.com</t>
  </si>
  <si>
    <t>Belgique</t>
  </si>
  <si>
    <t>Denomination Sociale</t>
  </si>
  <si>
    <t>Prénom et Nom Bénéficiaire</t>
  </si>
  <si>
    <t>Date d'acquisition</t>
  </si>
  <si>
    <t>% Action Direct</t>
  </si>
  <si>
    <t>% Voix Direct</t>
  </si>
  <si>
    <t>Nationalite</t>
  </si>
  <si>
    <t>Pays de résidence</t>
  </si>
  <si>
    <t>Est Une PPE</t>
  </si>
  <si>
    <t>Fonction PPE</t>
  </si>
  <si>
    <t>NomPPE</t>
  </si>
  <si>
    <t>Greffe</t>
  </si>
  <si>
    <t>Regions</t>
  </si>
  <si>
    <t>" ADAMA UNIVERSAL IMMOBILIER ET AFFAIRES " ADA-SUARL</t>
  </si>
  <si>
    <t>ABABACAR DIOP</t>
  </si>
  <si>
    <t>2021-06-28 13:12:04.777</t>
  </si>
  <si>
    <t>99.99</t>
  </si>
  <si>
    <t>NIGÉRIA</t>
  </si>
  <si>
    <t>NULL</t>
  </si>
  <si>
    <t>" CANSEN ENERGY RESSOURCES " SAS</t>
  </si>
  <si>
    <t>ABASS SOW</t>
  </si>
  <si>
    <t>2021-11-29 12:24:34.590</t>
  </si>
  <si>
    <t>ZAMBIE</t>
  </si>
  <si>
    <t>ABDOU DIOUF</t>
  </si>
  <si>
    <t>2021-11-23 12:59:42.517</t>
  </si>
  <si>
    <t>SÉNÉGAL</t>
  </si>
  <si>
    <t>ABDOU KHADIR MBACKE</t>
  </si>
  <si>
    <t>2021-06-30 11:32:13.853</t>
  </si>
  <si>
    <t>Abdou Lahat  Mbaye</t>
  </si>
  <si>
    <t>2021-12-31 14:08:00.687</t>
  </si>
  <si>
    <t>ABDOU SAKHO</t>
  </si>
  <si>
    <t>2021-11-09 10:43:15.867</t>
  </si>
  <si>
    <t>ABDOU SALAM MBACKE</t>
  </si>
  <si>
    <t>" EMEEF CONSULTING "</t>
  </si>
  <si>
    <t>ABDOU SYLLA</t>
  </si>
  <si>
    <t>2021-12-17 14:41:11.017</t>
  </si>
  <si>
    <t>" ETABLISSEMENT MAODO MINES " SARL</t>
  </si>
  <si>
    <t>ABDOU WAHAB DIOP</t>
  </si>
  <si>
    <t>2021-10-13 19:48:49.073</t>
  </si>
  <si>
    <t>FRANCE</t>
  </si>
  <si>
    <t>ABDOUL AZIZ NDIAYE</t>
  </si>
  <si>
    <t>2021-07-01 10:34:48.853</t>
  </si>
  <si>
    <t>99.9</t>
  </si>
  <si>
    <t>" GEOSCIENCES AND PROCESS SERVICES " SARL</t>
  </si>
  <si>
    <t>ABDOUL KARIMOU CISSOKHO</t>
  </si>
  <si>
    <t>2021-11-10 09:50:57.967</t>
  </si>
  <si>
    <t>" INCA " SARL</t>
  </si>
  <si>
    <t>ABDOUL WAHAB AIDARA</t>
  </si>
  <si>
    <t>ABDOULATIF BOUSSO</t>
  </si>
  <si>
    <t>2021-12-29 13:18:19.937</t>
  </si>
  <si>
    <t>ABDOULAYE BA</t>
  </si>
  <si>
    <t>" LEBOUGUI DE DIENDER "</t>
  </si>
  <si>
    <t>ABDOULAYE BARRO</t>
  </si>
  <si>
    <t>" P.S.S SERVICES MINES ET CARRIERES" SARL</t>
  </si>
  <si>
    <t>ABDOULAYE DIAGNE</t>
  </si>
  <si>
    <t>ABDOULAYE DIALLO</t>
  </si>
  <si>
    <t>" SALAME ENTREPRISE " SARL</t>
  </si>
  <si>
    <t>ABDOULAYE DIOP</t>
  </si>
  <si>
    <t>2021-07-02 15:13:53.873</t>
  </si>
  <si>
    <t>ABDOULAYE DRAME</t>
  </si>
  <si>
    <t>" SEN &amp; UK FARMING "</t>
  </si>
  <si>
    <t>ABDOULAYE NDIOGOU SAMB</t>
  </si>
  <si>
    <t>" SOCIETE DE TRAVAUX GENERAL ET DE COMMERCE " SARL</t>
  </si>
  <si>
    <t>ABDOULAYE NIANG</t>
  </si>
  <si>
    <t>2021-06-30 13:23:53.740</t>
  </si>
  <si>
    <t>ABDOURAHMANE BA</t>
  </si>
  <si>
    <t>2021-06-30 14:02:24.310</t>
  </si>
  <si>
    <t>ABDOURAHMANE DIALLO</t>
  </si>
  <si>
    <t>2021-12-23 13:38:07.707</t>
  </si>
  <si>
    <t>ABOUBAKRY JAWARA</t>
  </si>
  <si>
    <t>" SOGEMIC " SARL</t>
  </si>
  <si>
    <t>ABUBAKARY JAWARA</t>
  </si>
  <si>
    <t>2021-12-15 14:05:22.117</t>
  </si>
  <si>
    <t>"AFIA SERVICES"</t>
  </si>
  <si>
    <t>ADAMA CISSOKHO</t>
  </si>
  <si>
    <t>2021-11-16 15:40:33.487</t>
  </si>
  <si>
    <t>"AWAHABA GROUP" SARL</t>
  </si>
  <si>
    <t>ADAMA DIALLO</t>
  </si>
  <si>
    <t>CAMEROUN</t>
  </si>
  <si>
    <t>2022-01-27 15:21:10.527</t>
  </si>
  <si>
    <t>"BOOK JOM ANDE LIGUEY MECKHE "</t>
  </si>
  <si>
    <t>ADAMA DIONGUE</t>
  </si>
  <si>
    <t>2021-12-08 15:39:53.490</t>
  </si>
  <si>
    <t>ADAMA DIOUF</t>
  </si>
  <si>
    <t>"EBD ENTREPRISE" SUARL</t>
  </si>
  <si>
    <t>ADNANE BA</t>
  </si>
  <si>
    <t>2021-12-29 09:03:57.973</t>
  </si>
  <si>
    <t>"GIE GARAGE SOUF"</t>
  </si>
  <si>
    <t>AHMADDOU NDIAYE</t>
  </si>
  <si>
    <t>"GRACE GOLD COMPANY SENEGAL"</t>
  </si>
  <si>
    <t>AHMADOU KHADIM MBENGUE</t>
  </si>
  <si>
    <t>2021-11-15 10:04:17.657</t>
  </si>
  <si>
    <t>AHMED AREZKI</t>
  </si>
  <si>
    <t>AHMETH MEDOUNE FALL</t>
  </si>
  <si>
    <t>2021-12-31 13:49:05.257</t>
  </si>
  <si>
    <t>"LES LITIERES DU SENEGAL" SARL</t>
  </si>
  <si>
    <t>AIDA DIOP</t>
  </si>
  <si>
    <t>"PS - SENECAT " SUARL</t>
  </si>
  <si>
    <t>AIDARA ABDOUL WAHAB</t>
  </si>
  <si>
    <t>"SALIOU MINES INDUSTRIES ET TECHNIQUES" (S.M.I.T)</t>
  </si>
  <si>
    <t>ALAEDDIN MOHAMAD</t>
  </si>
  <si>
    <t>2021-10-12 16:00:22.117</t>
  </si>
  <si>
    <t>PÉROU</t>
  </si>
  <si>
    <t>ALAIN CHISTOPHE CHARLES GERBER</t>
  </si>
  <si>
    <t>2021-10-20 15:37:02.807</t>
  </si>
  <si>
    <t>"SENEGALAISE DE DISTRIBUTION DE PRODUITS PETROLIERS" SDPP SARL</t>
  </si>
  <si>
    <t>ALASANE BA</t>
  </si>
  <si>
    <t>2S GOLD</t>
  </si>
  <si>
    <t>ALEXANDRE BRINGER</t>
  </si>
  <si>
    <t>ABA SERVICES</t>
  </si>
  <si>
    <t>ALFRED SYMPA</t>
  </si>
  <si>
    <t>2021-11-17 15:38:42.123</t>
  </si>
  <si>
    <t>ALBANIE</t>
  </si>
  <si>
    <t>ABABACAR DIOP TRANSPORTS SARL</t>
  </si>
  <si>
    <t>ALIKO DANGOTE</t>
  </si>
  <si>
    <t>2021-12-24 11:36:59.230</t>
  </si>
  <si>
    <t>ABANDOUR GEOLINK</t>
  </si>
  <si>
    <t>ALIOU CAMARA</t>
  </si>
  <si>
    <t>ALIOU CISSE</t>
  </si>
  <si>
    <t>2021-12-21 15:13:29.357</t>
  </si>
  <si>
    <t>AD GLOD</t>
  </si>
  <si>
    <t>ALIOU DIOUF</t>
  </si>
  <si>
    <t>ALIOU NDIAYE</t>
  </si>
  <si>
    <t>2021-12-13 15:49:50.663</t>
  </si>
  <si>
    <t>SENEGAL</t>
  </si>
  <si>
    <t>CHEIKHOUNA THIOUNE</t>
  </si>
  <si>
    <t>ALIOU SOUARE</t>
  </si>
  <si>
    <t>ADJAF UNIVERSEL</t>
  </si>
  <si>
    <t>ALIOUNE CISSE</t>
  </si>
  <si>
    <t>AFRICA A WAY</t>
  </si>
  <si>
    <t>2021-07-02 09:29:40.887</t>
  </si>
  <si>
    <t>CANADA</t>
  </si>
  <si>
    <t>AFRICA CONSULTING BUSINESS (ACB)</t>
  </si>
  <si>
    <t>ALIOUNE DIALLO</t>
  </si>
  <si>
    <t>2021-11-19 15:35:36.977</t>
  </si>
  <si>
    <t>AFRICA GLOBAL GEOINGENIERIE (A2G)</t>
  </si>
  <si>
    <t>ALIOUNE TELEMAQUE SOW</t>
  </si>
  <si>
    <t>2022-02-21 15:55:15.067</t>
  </si>
  <si>
    <t>ALIOUNEDIOP FAYE</t>
  </si>
  <si>
    <t>2022-05-18 14:06:56.020</t>
  </si>
  <si>
    <t>AFRICA TRADE AND INVESTMENT CONSULTING (ATIC-SARL)</t>
  </si>
  <si>
    <t>ALLE THIAM</t>
  </si>
  <si>
    <t>2022-11-11 14:48:03.010</t>
  </si>
  <si>
    <t>Africa Traiding-Equipement et Transport (AF-TECO)</t>
  </si>
  <si>
    <t>ALPHA MOUSSA KANE</t>
  </si>
  <si>
    <t>2022-12-02 09:59:34.317</t>
  </si>
  <si>
    <t>AFRICA VISION MINING ( AVM-SARL)</t>
  </si>
  <si>
    <t>AMADOU AIDARA</t>
  </si>
  <si>
    <t>AMADOU APITHY</t>
  </si>
  <si>
    <t>2022-07-28 13:22:53.183</t>
  </si>
  <si>
    <t>AFRICAN BUILDERS SARL</t>
  </si>
  <si>
    <t>AMADOU BA</t>
  </si>
  <si>
    <t>AMADOU DIALLO</t>
  </si>
  <si>
    <t>AMADOU DIANE</t>
  </si>
  <si>
    <t>2022-09-30 08:41:23.457</t>
  </si>
  <si>
    <t>AMADOU DIANGO</t>
  </si>
  <si>
    <t>AGEM SENEGAL EXPLORATION</t>
  </si>
  <si>
    <t>AMADOU DIOP</t>
  </si>
  <si>
    <t>AGRO SENEGAL EXPORTS</t>
  </si>
  <si>
    <t>AMADOU DIOP GUEYE</t>
  </si>
  <si>
    <t>AL MAKHTOUM GENERAL TRADING</t>
  </si>
  <si>
    <t>ALLIANCE GOLD</t>
  </si>
  <si>
    <t>2022-09-30 16:34:27.577</t>
  </si>
  <si>
    <t>2022-11-17 15:32:59.050</t>
  </si>
  <si>
    <t>ALPHA OMEGA</t>
  </si>
  <si>
    <t>AMADOU GAYE</t>
  </si>
  <si>
    <t>2022-01-12 13:28:08.260</t>
  </si>
  <si>
    <t>AMATH NDIAYE INTERNATIONAL PRESTIGE (ANIP)</t>
  </si>
  <si>
    <t>AMADOU MALICK SONKO</t>
  </si>
  <si>
    <t>AMICALE DES ORPAILLEURS DE KEDOUGOU</t>
  </si>
  <si>
    <t>AMADOU RACINE SOW</t>
  </si>
  <si>
    <t>2022-05-24 13:56:54.337</t>
  </si>
  <si>
    <t>AMSA GROUP AFRICA SA</t>
  </si>
  <si>
    <t>AMADOU THIAM</t>
  </si>
  <si>
    <t>2022-10-05 13:25:42.720</t>
  </si>
  <si>
    <t>ALLEMAGNE</t>
  </si>
  <si>
    <t>ARC EN CIEL</t>
  </si>
  <si>
    <t>2022-08-08 09:56:35.827</t>
  </si>
  <si>
    <t>ARDIMINES SARL</t>
  </si>
  <si>
    <t>AMADOU YERO DIALLO</t>
  </si>
  <si>
    <t>2022-01-19 14:56:56.897</t>
  </si>
  <si>
    <t>AMATH NDIAYE</t>
  </si>
  <si>
    <t>2022-09-08 15:17:23.333</t>
  </si>
  <si>
    <t>AREZKI-SA</t>
  </si>
  <si>
    <t>AMETH DIAMANKA</t>
  </si>
  <si>
    <t>2022-07-08 14:32:33.017</t>
  </si>
  <si>
    <t>AMINATA BAIDY SOW</t>
  </si>
  <si>
    <t>2022-03-15 14:29:25.337</t>
  </si>
  <si>
    <t>AMINATA BASSE</t>
  </si>
  <si>
    <t>2022-04-21 11:04:03.023</t>
  </si>
  <si>
    <t>AMINATA CISSE</t>
  </si>
  <si>
    <t>AWA PRESTA SERVICES</t>
  </si>
  <si>
    <t>AMINATA DIA</t>
  </si>
  <si>
    <t>2022-09-06 16:31:41.953</t>
  </si>
  <si>
    <t>AWAHABA GROUP</t>
  </si>
  <si>
    <t>AMINATA DIOP</t>
  </si>
  <si>
    <t>BAKHOUM BUSINESS COMPANY</t>
  </si>
  <si>
    <t>AMINATA KEBE</t>
  </si>
  <si>
    <t>BAMBADJI SA</t>
  </si>
  <si>
    <t>AMINATA SALL</t>
  </si>
  <si>
    <t>2022-04-05 15:18:17.890</t>
  </si>
  <si>
    <t>BAMBOUK EXPLORATION SUARL</t>
  </si>
  <si>
    <t>AMRANE HAMADY GANGUE</t>
  </si>
  <si>
    <t>MAURITANIE</t>
  </si>
  <si>
    <t>BAMBUK MINERALS SENEGAL</t>
  </si>
  <si>
    <t>ANDRE SADIAKHOU</t>
  </si>
  <si>
    <t>BAMINE</t>
  </si>
  <si>
    <t>ANDREAS PHILIP DEMETRIOU</t>
  </si>
  <si>
    <t>2022-05-06 08:09:21.790</t>
  </si>
  <si>
    <t>BANTAL DE BEROLA</t>
  </si>
  <si>
    <t>ANNE ELISE MADELEINE APPRILL</t>
  </si>
  <si>
    <t>ANSOUMANE CISSOKHO</t>
  </si>
  <si>
    <t>ARDO SADIO SOW</t>
  </si>
  <si>
    <t>BAOBAB GOLD (BG SARL)</t>
  </si>
  <si>
    <t>ARFANG BOUBACAR DAFFE</t>
  </si>
  <si>
    <t>2022-09-12 15:53:28.840</t>
  </si>
  <si>
    <t>ASSANE FALL</t>
  </si>
  <si>
    <t>2022-01-17 13:28:31.023</t>
  </si>
  <si>
    <t>BAOBAB MINING</t>
  </si>
  <si>
    <t>ASTOU MBODJ</t>
  </si>
  <si>
    <t>2022-04-28 08:45:45.023</t>
  </si>
  <si>
    <t>AUGUSTIN MANE</t>
  </si>
  <si>
    <t>BATIR MON PAYS</t>
  </si>
  <si>
    <t>BAU</t>
  </si>
  <si>
    <t>2022-09-12 08:33:25.280</t>
  </si>
  <si>
    <t>BENCOUTA DE SAMECOUTA</t>
  </si>
  <si>
    <t>AWA AMINATA BA</t>
  </si>
  <si>
    <t>2022-06-20 15:54:20.793</t>
  </si>
  <si>
    <t>AWA DIOP</t>
  </si>
  <si>
    <t>BABACAR CISSE</t>
  </si>
  <si>
    <t>2022-04-05 14:46:43.493</t>
  </si>
  <si>
    <t>GAMBIE</t>
  </si>
  <si>
    <t>BENKANTO</t>
  </si>
  <si>
    <t>BABACAR MASSAR MBENGUE</t>
  </si>
  <si>
    <t>2022-06-21 11:07:29.003</t>
  </si>
  <si>
    <t>BABACAR SECK</t>
  </si>
  <si>
    <t>BABACAR SEYE</t>
  </si>
  <si>
    <t>2022-02-09 13:32:48.583</t>
  </si>
  <si>
    <t>BABACAR THIAM</t>
  </si>
  <si>
    <t>2022-09-12 08:51:46.180</t>
  </si>
  <si>
    <t>BABOU SENE</t>
  </si>
  <si>
    <t>BADJI FATOU KINE</t>
  </si>
  <si>
    <t>BAGNAN SIDIBE</t>
  </si>
  <si>
    <t>2022-11-16 15:33:53.333</t>
  </si>
  <si>
    <t>BAKHOUME PAPA ABDOULAYE</t>
  </si>
  <si>
    <t>2022-12-09 13:29:58.887</t>
  </si>
  <si>
    <t>BAMBA SEKHOU DANSOKHO</t>
  </si>
  <si>
    <t>BAMBO DIABY</t>
  </si>
  <si>
    <t>2022-05-18 14:57:52.787</t>
  </si>
  <si>
    <t>BANGALY FODE SAKHO</t>
  </si>
  <si>
    <t>2022-10-10 13:49:10.657</t>
  </si>
  <si>
    <t>BANNA TOUNKARA</t>
  </si>
  <si>
    <t>BARA DIOUF NDIAYE</t>
  </si>
  <si>
    <t>JAPON</t>
  </si>
  <si>
    <t>BARA SARR</t>
  </si>
  <si>
    <t>BAYE FALLOU DIOP</t>
  </si>
  <si>
    <t>2022-01-31 12:17:16.243</t>
  </si>
  <si>
    <t>BAYO CHARLOTTE</t>
  </si>
  <si>
    <t>2022-10-12 16:50:56.950</t>
  </si>
  <si>
    <t>BEAUCLAIR RAYMOND ZEMFACK</t>
  </si>
  <si>
    <t>2022-12-27 15:10:30.383</t>
  </si>
  <si>
    <t>BERNARD RAYMOND ORTEGAT</t>
  </si>
  <si>
    <t>BINTOU MADY DRAME</t>
  </si>
  <si>
    <t>2022-08-29 16:22:46.800</t>
  </si>
  <si>
    <t>BINTOU SONKO</t>
  </si>
  <si>
    <t>2022-09-07 16:08:33.433</t>
  </si>
  <si>
    <t>BINTOU SOUARE</t>
  </si>
  <si>
    <t>TURQUIE</t>
  </si>
  <si>
    <t>BIRAMA NDOYE</t>
  </si>
  <si>
    <t>BIRAME FAYE</t>
  </si>
  <si>
    <t>2022-01-04 15:58:52.750</t>
  </si>
  <si>
    <t>BOUBACAR DIALLO</t>
  </si>
  <si>
    <t>2022-07-13 11:55:20.860</t>
  </si>
  <si>
    <t>BOUBACAR SOUARE</t>
  </si>
  <si>
    <t>2022-04-07 15:26:19.047</t>
  </si>
  <si>
    <t>BENKHANGHO</t>
  </si>
  <si>
    <t>BOUBACAR THIAW</t>
  </si>
  <si>
    <t>BHAIRAVA AGRICOLE</t>
  </si>
  <si>
    <t>2022-09-08 16:27:03.483</t>
  </si>
  <si>
    <t>BIGSAM OR</t>
  </si>
  <si>
    <t>BOUGAR DIOUF</t>
  </si>
  <si>
    <t>2022-09-12 09:25:33.697</t>
  </si>
  <si>
    <t>BINKHANTO BAITOULAYE</t>
  </si>
  <si>
    <t>BOUNA DIAKHOUMPA</t>
  </si>
  <si>
    <t>2022-12-02 12:06:18.623</t>
  </si>
  <si>
    <t>Bruno</t>
  </si>
  <si>
    <t>2022-06-30 15:44:36.867</t>
  </si>
  <si>
    <t>BRUNO VICTOR LOUIS DERNEVILLE</t>
  </si>
  <si>
    <t>2022-04-27 15:35:05.490</t>
  </si>
  <si>
    <t>SERBIE</t>
  </si>
  <si>
    <t>BINOME SARL</t>
  </si>
  <si>
    <t>CAILIN ZHU</t>
  </si>
  <si>
    <t>AUSTRALIE</t>
  </si>
  <si>
    <t>CHEICH BADIANE SAKHO</t>
  </si>
  <si>
    <t>AFRIQUE DU SUD</t>
  </si>
  <si>
    <t>BIRIMA GOLD RESSOURCES</t>
  </si>
  <si>
    <t>CHEIKH ABO MADIYANA MBACKE</t>
  </si>
  <si>
    <t>2022-12-19 09:15:14.990</t>
  </si>
  <si>
    <t>PAKISTAN</t>
  </si>
  <si>
    <t>BLY SENEGAL</t>
  </si>
  <si>
    <t>CHEIKH AHMADOU BAMBA DIENG</t>
  </si>
  <si>
    <t>BOKAMINE</t>
  </si>
  <si>
    <t>CHEIKH AHMED TIDIANE THIAM</t>
  </si>
  <si>
    <t>2022-02-09 17:30:09.653</t>
  </si>
  <si>
    <t>CHEIKH AHMED TIDIANY THIAM</t>
  </si>
  <si>
    <t>2022-12-19 13:33:53.013</t>
  </si>
  <si>
    <t>CHEIKH AHMET TIDIANE DIOP</t>
  </si>
  <si>
    <t>2022-09-30 16:57:00.950</t>
  </si>
  <si>
    <t>BOLLO BAKH</t>
  </si>
  <si>
    <t>CHEIKH GUEYE</t>
  </si>
  <si>
    <t>BOYA</t>
  </si>
  <si>
    <t>CHEIKH IBRAHIMA FAYE</t>
  </si>
  <si>
    <t>BP SENEGAL INVESTMENTS LIMITED</t>
  </si>
  <si>
    <t>CHEIKH MOHAMED FADEL SONKO</t>
  </si>
  <si>
    <t>CAMMACH-SN</t>
  </si>
  <si>
    <t>CHEIKH NA DIOP</t>
  </si>
  <si>
    <t>CHEIKH SIDY BA</t>
  </si>
  <si>
    <t>2022-07-04 10:13:07.860</t>
  </si>
  <si>
    <t>CHEIKH TIDIANE DIOP</t>
  </si>
  <si>
    <t>2022-04-20 13:44:15.417</t>
  </si>
  <si>
    <t>CARRISEN SARL</t>
  </si>
  <si>
    <t>CHEIKHOU FAYE</t>
  </si>
  <si>
    <t>CHEN FANG</t>
  </si>
  <si>
    <t>CASA BAMBA FAILIAL</t>
  </si>
  <si>
    <t>CHERIF AMEDINE BA</t>
  </si>
  <si>
    <t>MALI</t>
  </si>
  <si>
    <t>CHEHUMA</t>
  </si>
  <si>
    <t>CIRE MAMADOU BAYO LY</t>
  </si>
  <si>
    <t>2022-05-18 15:57:59.140</t>
  </si>
  <si>
    <t>CLEMENT ALPHONSE NDIAYE</t>
  </si>
  <si>
    <t>PAYS-BAS</t>
  </si>
  <si>
    <t>COUMBA FAYE</t>
  </si>
  <si>
    <t>ROYAUME-UNI</t>
  </si>
  <si>
    <t>DAME DIAKHATE</t>
  </si>
  <si>
    <t>COMPAGNIE GENERALE DE CONSTRUCTION ET D'EXPLOITATION MINIERE</t>
  </si>
  <si>
    <t>DAME DIANE</t>
  </si>
  <si>
    <t>2022-01-19 15:16:44.950</t>
  </si>
  <si>
    <t>COMPAGNIE KHADIMOU RASSOUL</t>
  </si>
  <si>
    <t>DAME DIENG</t>
  </si>
  <si>
    <t>CHINE</t>
  </si>
  <si>
    <t>DAOUDA KANE</t>
  </si>
  <si>
    <t>DAOUR DIENG</t>
  </si>
  <si>
    <t>2022-10-30 17:57:37.773</t>
  </si>
  <si>
    <t>COMPAGNIE SAKHO C.S</t>
  </si>
  <si>
    <t>DAVID JACQUES MIMRAN</t>
  </si>
  <si>
    <t>2022-04-11 08:43:42.460</t>
  </si>
  <si>
    <t>COMPAGNIE SENEGALAISE DE TRANSPORT MINIER ET AGRICOLE (CSTMA)</t>
  </si>
  <si>
    <t>2022-07-26 10:18:47.990</t>
  </si>
  <si>
    <t>2022-01-17 14:49:13.893</t>
  </si>
  <si>
    <t>DIA MANSOUR</t>
  </si>
  <si>
    <t>2022-02-14 14:27:49.163</t>
  </si>
  <si>
    <t>DIADIE DIT AMADOU SANKARE</t>
  </si>
  <si>
    <t>2022-04-20 14:09:54.237</t>
  </si>
  <si>
    <t>COMPTOIR COMMERCIAL BALLA AICHA SUARL</t>
  </si>
  <si>
    <t>DIADIE KABA</t>
  </si>
  <si>
    <t>COMPTOIR D'OR DE LA REGION ( C.OR.R)</t>
  </si>
  <si>
    <t>DIAGNE YANDE</t>
  </si>
  <si>
    <t>DIALI SOUO CISSOKHO</t>
  </si>
  <si>
    <t>DIARIATOU KANTE</t>
  </si>
  <si>
    <t>DIARY DIALLO</t>
  </si>
  <si>
    <t>CONSULTING BUSINESS AGENCY</t>
  </si>
  <si>
    <t>DIEYE DOUDOU</t>
  </si>
  <si>
    <t>DIEYNABA DIALLO</t>
  </si>
  <si>
    <t>2022-01-26 13:30:38.377</t>
  </si>
  <si>
    <t>SUISSE</t>
  </si>
  <si>
    <t>CSE GRANULATS</t>
  </si>
  <si>
    <t>DINESH GOVIND GORASIYA</t>
  </si>
  <si>
    <t>ÉGYPTE</t>
  </si>
  <si>
    <t>EGYPT</t>
  </si>
  <si>
    <t>NAGUIB ONSI SAWIRIS</t>
  </si>
  <si>
    <t>DIOME MALICK</t>
  </si>
  <si>
    <t>2022-10-30 18:19:40.313</t>
  </si>
  <si>
    <t>DIYNABA THIAM</t>
  </si>
  <si>
    <t>DJIBGUIBA DIAKHABY</t>
  </si>
  <si>
    <t>DJIBRIL BADIANE</t>
  </si>
  <si>
    <t>DADICO</t>
  </si>
  <si>
    <t>DJIBRIL CAMARA</t>
  </si>
  <si>
    <t>2022-11-11 15:13:31.517</t>
  </si>
  <si>
    <t>DANGOTE CEMENT SENEGAL</t>
  </si>
  <si>
    <t>DJIBRIL GUEYE</t>
  </si>
  <si>
    <t>DANTILA MINE D'OR</t>
  </si>
  <si>
    <t>DJIBRIL NDIME</t>
  </si>
  <si>
    <t>DJIGA FAYE</t>
  </si>
  <si>
    <t>2022-09-30 08:23:13.527</t>
  </si>
  <si>
    <t>DJIMO SOUARE</t>
  </si>
  <si>
    <t>2022-12-02 11:32:59.307</t>
  </si>
  <si>
    <t>DARA SALAM</t>
  </si>
  <si>
    <t>DORO NIANG</t>
  </si>
  <si>
    <t>2022-04-28 11:59:05.277</t>
  </si>
  <si>
    <t>DESK OFFICE</t>
  </si>
  <si>
    <t>DUSKO LJUBOJEVIC</t>
  </si>
  <si>
    <t>2022-07-15 13:08:40.893</t>
  </si>
  <si>
    <t>DIA COMPANY</t>
  </si>
  <si>
    <t>EDUARDO MANUEL PRIOR BASTOS</t>
  </si>
  <si>
    <t>2022-07-25 14:52:00.307</t>
  </si>
  <si>
    <t>DIAGNE ET FRERES ( SARAYA)</t>
  </si>
  <si>
    <t>EL HADJI AMADOU DIAGNE</t>
  </si>
  <si>
    <t>EL HADJI BABACAR THIAM</t>
  </si>
  <si>
    <t>2022-07-21 14:50:01.253</t>
  </si>
  <si>
    <t>EL HADJI BOUBACAR SIDIKI DIARRA</t>
  </si>
  <si>
    <t>2023-03-06 12:48:11.333</t>
  </si>
  <si>
    <t>ELHADJI ABDOULAYE CAMARA</t>
  </si>
  <si>
    <t>2023-12-26 15:06:05.387</t>
  </si>
  <si>
    <t>DIAMBAR IMMOBILIER</t>
  </si>
  <si>
    <t>ELHADJI AMADOU DIAGNE</t>
  </si>
  <si>
    <t>2023-03-13 11:56:43.607</t>
  </si>
  <si>
    <t>DIAMOND OFFSHORE DRILLING SENEGAL</t>
  </si>
  <si>
    <t>ELHADJI BABA SOW</t>
  </si>
  <si>
    <t>2023-06-15 13:37:00.967</t>
  </si>
  <si>
    <t>DIENG &amp; CO ENGINEERING</t>
  </si>
  <si>
    <t>ELHADJI BITEYE</t>
  </si>
  <si>
    <t>ELHADJI BOUBACAR CISSE</t>
  </si>
  <si>
    <t>2023-05-15 13:29:57.227</t>
  </si>
  <si>
    <t>DIOUF BOUGAR</t>
  </si>
  <si>
    <t>ELHADJI DIAGNE</t>
  </si>
  <si>
    <t>2023-02-03 13:43:59.120</t>
  </si>
  <si>
    <t>EAUX SOUTERRAINES DU SENEGAL en abrégé ESS</t>
  </si>
  <si>
    <t>ELHADJI DIOP</t>
  </si>
  <si>
    <t>ECAMM'S</t>
  </si>
  <si>
    <t>2023-05-31 14:20:03.737</t>
  </si>
  <si>
    <t>ELHADJI FALILOU MBACKE</t>
  </si>
  <si>
    <t>2023-03-02 14:02:07.767</t>
  </si>
  <si>
    <t>ELHADJI FARY KA</t>
  </si>
  <si>
    <t>2023-06-12 14:54:30.333</t>
  </si>
  <si>
    <t>ECOSEC</t>
  </si>
  <si>
    <t>ELHADJI MAMADOU GUEYE</t>
  </si>
  <si>
    <t>EMERGENCE MINES &amp; INVESTISSEMENTS</t>
  </si>
  <si>
    <t>ELHASJI MAKHA SANKHARE</t>
  </si>
  <si>
    <t>2023-10-13 11:22:43.773</t>
  </si>
  <si>
    <t>EMMANUEL DIOH</t>
  </si>
  <si>
    <t>2023-03-20 15:25:07.447</t>
  </si>
  <si>
    <t>2023-11-06 09:53:37.663</t>
  </si>
  <si>
    <t>EMMALY SARL</t>
  </si>
  <si>
    <t>2023-05-16 11:57:08.110</t>
  </si>
  <si>
    <t>FALDI ISMAIL</t>
  </si>
  <si>
    <t>2023-07-20 15:20:50.320</t>
  </si>
  <si>
    <t>MAROC</t>
  </si>
  <si>
    <t>ENTREPRISE AICHA</t>
  </si>
  <si>
    <t>FALL AMADOU</t>
  </si>
  <si>
    <t>2023-02-02 13:49:50.770</t>
  </si>
  <si>
    <t>HONGRIE</t>
  </si>
  <si>
    <t>ENTREPRISE DAROU SALAM TAWFEX</t>
  </si>
  <si>
    <t>FAMARA KABA</t>
  </si>
  <si>
    <t>2023-06-13 14:55:38.930</t>
  </si>
  <si>
    <t>ENTREPRISE DE RECHERCHE ET D'EXPLOITATION MINIERE (EREM)</t>
  </si>
  <si>
    <t>FANG CHEN</t>
  </si>
  <si>
    <t>FANTA CISSE SOUARE</t>
  </si>
  <si>
    <t>2023-06-27 09:14:56.097</t>
  </si>
  <si>
    <t>FANTA FOUNE SOUARE</t>
  </si>
  <si>
    <t>ENTREPRISE DJOLOF TRANSPORT ET SERVICES</t>
  </si>
  <si>
    <t>FATIMA ZOHRA</t>
  </si>
  <si>
    <t>Entreprise Générale Darou Salam (EGDS)</t>
  </si>
  <si>
    <t>FATIMATA BA</t>
  </si>
  <si>
    <t>2023-11-27 09:59:43.160</t>
  </si>
  <si>
    <t>ENTREPRISE GENERALE DE CONSTRUCTION ET D'AMENAGEMENT</t>
  </si>
  <si>
    <t>FATOU DIOUF</t>
  </si>
  <si>
    <t>ENTREPRISE GENERALE DE TRAVAUX PUBLICS ET BATIMENTS(EGTPB)</t>
  </si>
  <si>
    <t>FATOU GUEYE</t>
  </si>
  <si>
    <t>ENTREPRISE LE GANDIOL GROUPE</t>
  </si>
  <si>
    <t>FATOU KHADY SECK</t>
  </si>
  <si>
    <t>Entreprise Mamour NDIAYE</t>
  </si>
  <si>
    <t>FATOU SAKHO</t>
  </si>
  <si>
    <t>2023-01-13 13:34:20.203</t>
  </si>
  <si>
    <t>ENTREPRISE QUINCAILLERIE CISSE ET FRERES</t>
  </si>
  <si>
    <t>FATOUMATA MBAYE</t>
  </si>
  <si>
    <t>2023-07-20 16:23:27.507</t>
  </si>
  <si>
    <t>ENTREPRISE WAKEUR BOROM GAWANE</t>
  </si>
  <si>
    <t>ETABLISSEMENT SEGA ET FRERES</t>
  </si>
  <si>
    <t>FILY CAMARA</t>
  </si>
  <si>
    <t>ETE MINING</t>
  </si>
  <si>
    <t>FILY CISSOKHO</t>
  </si>
  <si>
    <t>2023-02-03 12:39:46.120</t>
  </si>
  <si>
    <t>FODE DANFAKHA</t>
  </si>
  <si>
    <t>2023-05-19 13:03:52.517</t>
  </si>
  <si>
    <t>ETOILE X 313 SUARL</t>
  </si>
  <si>
    <t>FRANCOIS CHERPION</t>
  </si>
  <si>
    <t>2023-05-23 13:56:59.267</t>
  </si>
  <si>
    <t>ETS ABDOULAHAT MBAYE</t>
  </si>
  <si>
    <t>FREDERIC EMILE ROYER</t>
  </si>
  <si>
    <t>ETS SERIGNE BABACAR SY</t>
  </si>
  <si>
    <t>FUKUDA KOTARO</t>
  </si>
  <si>
    <t>2023-07-12 13:57:37.030</t>
  </si>
  <si>
    <t>GAYE ASSANE</t>
  </si>
  <si>
    <t>ETS"  SERIGNE MANSOUR SY BOROOM DARADJI "</t>
  </si>
  <si>
    <t>GEORGES MICHEL DOUMET</t>
  </si>
  <si>
    <t>2023-11-03 10:06:43.480</t>
  </si>
  <si>
    <t>EUROPEAN RAIL ROAD ESTABLISHED SERVICES (ERES)</t>
  </si>
  <si>
    <t>GEORGES NICHOLAS MICHAELIDES</t>
  </si>
  <si>
    <t>EX. &amp; CO SARL</t>
  </si>
  <si>
    <t>GERARD ARTHUR KING</t>
  </si>
  <si>
    <t>2023-11-20 13:47:10.650</t>
  </si>
  <si>
    <t>FADIALLAYA DE LEFAKHO</t>
  </si>
  <si>
    <t>GHADA DIOKHANE</t>
  </si>
  <si>
    <t>GUANG YANG</t>
  </si>
  <si>
    <t>2023-07-06 10:00:24.837</t>
  </si>
  <si>
    <t>GUENE MODOU DIOP</t>
  </si>
  <si>
    <t>FAKMOZ</t>
  </si>
  <si>
    <t>GUEYE</t>
  </si>
  <si>
    <t>2023-07-06 09:08:53.390</t>
  </si>
  <si>
    <t>GUEYE GALAYE</t>
  </si>
  <si>
    <t>FAYMINING CORPORATE</t>
  </si>
  <si>
    <t>GUILLAUME JEAN HENRI DUBUY</t>
  </si>
  <si>
    <t>GUILLAUME NICOLAS RAYMOND MARTIN</t>
  </si>
  <si>
    <t>G3DI</t>
  </si>
  <si>
    <t>HADJI PAPA MACOUMBA DIOP</t>
  </si>
  <si>
    <t>HAILIAN WANG</t>
  </si>
  <si>
    <t>2023-12-14 13:35:50.000</t>
  </si>
  <si>
    <t>HAMIDOU SOW</t>
  </si>
  <si>
    <t>2023-08-22 15:04:26.873</t>
  </si>
  <si>
    <t>GACH MINING COMPANY LIMITED SENEGAL</t>
  </si>
  <si>
    <t>HASSANA DIALLO</t>
  </si>
  <si>
    <t>2023-03-13 16:34:49.310</t>
  </si>
  <si>
    <t>HAYATI BAYRAM</t>
  </si>
  <si>
    <t>HE XIUYUN</t>
  </si>
  <si>
    <t>2023-05-03 15:24:35.440</t>
  </si>
  <si>
    <t>HENRY STANLY</t>
  </si>
  <si>
    <t>GADDE</t>
  </si>
  <si>
    <t>HEQIANG YU</t>
  </si>
  <si>
    <t>2023-10-20 11:51:03.910</t>
  </si>
  <si>
    <t>GAGNICK MINES</t>
  </si>
  <si>
    <t>HITESH GOPAL GORASIA</t>
  </si>
  <si>
    <t>GAMMA CORPORATE</t>
  </si>
  <si>
    <t>HUANG JIEQI</t>
  </si>
  <si>
    <t>HUANG PING</t>
  </si>
  <si>
    <t>2023-02-22 13:19:54.303</t>
  </si>
  <si>
    <t>GANGUE TOUS TRAVAUX (G2T)</t>
  </si>
  <si>
    <t>HUANG QILIU</t>
  </si>
  <si>
    <t>GASH MINING SENEGAL (GASH MINING SEN) SARL)</t>
  </si>
  <si>
    <t>HUANG XIANZI</t>
  </si>
  <si>
    <t>2023-05-22 15:20:16.997</t>
  </si>
  <si>
    <t>GAYI SUARL</t>
  </si>
  <si>
    <t>IBRAHIM SONKO</t>
  </si>
  <si>
    <t>GENERALE DE COMMERCE ET D'INDUSTRIE (GECI))</t>
  </si>
  <si>
    <t>IBRAHIMA CISSOKHO</t>
  </si>
  <si>
    <t>2023-01-27 11:47:03.997</t>
  </si>
  <si>
    <t>GEOSERVICES ENGINEERING (GSE)</t>
  </si>
  <si>
    <t>IBRAHIMA DIAW</t>
  </si>
  <si>
    <t>GEOTEC</t>
  </si>
  <si>
    <t>2023-05-24 16:53:38.570</t>
  </si>
  <si>
    <t>GIE " CAYOR SILEX CORPORATION "</t>
  </si>
  <si>
    <t>IBRAHIMA GAYE</t>
  </si>
  <si>
    <t>GIE " E.B.T.S " ( ENTREPRISE BATIMENT TRAVAUX SARR)</t>
  </si>
  <si>
    <t>IBRAHIMA HANE</t>
  </si>
  <si>
    <t>IBRAHIMA KHALIL BALDE</t>
  </si>
  <si>
    <t>2023-06-07 15:18:57.323</t>
  </si>
  <si>
    <t>IBRAHIMA KHALILE SONKO</t>
  </si>
  <si>
    <t>2023-07-20 10:11:19.497</t>
  </si>
  <si>
    <t>GIE " FARLOU "</t>
  </si>
  <si>
    <t>IBRAHIMA MBACKE</t>
  </si>
  <si>
    <t>GIE CARAHMA</t>
  </si>
  <si>
    <t>GIE COUMBOUTOUROU</t>
  </si>
  <si>
    <t>2023-03-23 15:12:26.627</t>
  </si>
  <si>
    <t>GIE KA BUSINESS  COMPANY / KBC</t>
  </si>
  <si>
    <t>IBRAHIMA N'DANE</t>
  </si>
  <si>
    <t>IBRAHIMA NGOM</t>
  </si>
  <si>
    <t>GIE MAGNANKANTY</t>
  </si>
  <si>
    <t>IBRAHIMA SAKHO</t>
  </si>
  <si>
    <t>IBRAHIMA SORY KEITA</t>
  </si>
  <si>
    <t>2023-09-07 14:27:42.150</t>
  </si>
  <si>
    <t>IBRAHIMA SOW</t>
  </si>
  <si>
    <t>2023-01-27 13:25:29.290</t>
  </si>
  <si>
    <t>GIE SHENG HUA MINING CO,LTD</t>
  </si>
  <si>
    <t>IBRAHIMA THIAM</t>
  </si>
  <si>
    <t>2023-04-26 15:13:53.983</t>
  </si>
  <si>
    <t>IDRISSA BODIAN</t>
  </si>
  <si>
    <t>GLADIAMA SUARL</t>
  </si>
  <si>
    <t>IGINIO TERZI</t>
  </si>
  <si>
    <t>2023-03-07 09:48:55.627</t>
  </si>
  <si>
    <t>GLOBAL GEOSERVICES GROUP (3G-SARL)</t>
  </si>
  <si>
    <t>IMAD TOUMI</t>
  </si>
  <si>
    <t>2023-12-08 11:26:32.713</t>
  </si>
  <si>
    <t>JACQUES MARIE MERCERON-VICAT</t>
  </si>
  <si>
    <t>JAMAI USAGE BICHAT-JAMAI MAEVA MAHBOUBA VERONIQUE</t>
  </si>
  <si>
    <t>2023-03-30 10:01:38.490</t>
  </si>
  <si>
    <t>JEAN MARC GERBER</t>
  </si>
  <si>
    <t>JEAN MICHEL ALBERT MARCEL</t>
  </si>
  <si>
    <t>GLOBAL IMMO SENEGAL</t>
  </si>
  <si>
    <t>JEAN MICHEL ALBERT MARCEL MAES</t>
  </si>
  <si>
    <t>2023-04-12 15:56:28.120</t>
  </si>
  <si>
    <t>99.96</t>
  </si>
  <si>
    <t>JEAN NOEL BITTAR</t>
  </si>
  <si>
    <t>2023-06-16 10:36:40.637</t>
  </si>
  <si>
    <t>GLOBAL MINING OPERATIONS</t>
  </si>
  <si>
    <t>JEAN PIERRE GERBER</t>
  </si>
  <si>
    <t>2023-02-02 08:28:51.077</t>
  </si>
  <si>
    <t>GOLD MINE BUSINESS</t>
  </si>
  <si>
    <t>JEAN SERGE HOUNKANLIN DOSSOU</t>
  </si>
  <si>
    <t>GOLDEN KADJOR</t>
  </si>
  <si>
    <t>2023-05-23 11:38:42.217</t>
  </si>
  <si>
    <t>JEAN-BRICE SAINT-MARTIN</t>
  </si>
  <si>
    <t>2023-12-26 15:44:19.147</t>
  </si>
  <si>
    <t>GOLDINA</t>
  </si>
  <si>
    <t>JENNIFER ALICE ELISABETH HUVERS DE VRIES</t>
  </si>
  <si>
    <t>2023-08-22 08:34:56.247</t>
  </si>
  <si>
    <t>GRANDE COTE OPERATIONS</t>
  </si>
  <si>
    <t>JIEQI HUANG</t>
  </si>
  <si>
    <t>2023-04-28 10:20:25.723</t>
  </si>
  <si>
    <t>GROUPE SOCIETE SENEGALO SUISSE DES AFFAIRES</t>
  </si>
  <si>
    <t>2023-01-27 11:16:10.017</t>
  </si>
  <si>
    <t>GUENE MINING SUARL</t>
  </si>
  <si>
    <t>2023-01-27 13:50:56.630</t>
  </si>
  <si>
    <t>GUEYE &amp; FRERES THIORO TRANSPORT" G.F.2T</t>
  </si>
  <si>
    <t>JINSONG WEN</t>
  </si>
  <si>
    <t>JORGE ALBERTO GANOZA DURANT</t>
  </si>
  <si>
    <t>HAILITHEN</t>
  </si>
  <si>
    <t>JOSEPH PREIRA</t>
  </si>
  <si>
    <t>2023-05-03 15:51:46.553</t>
  </si>
  <si>
    <t>JULIEN ALEXANDRE COURCHET</t>
  </si>
  <si>
    <t>HALDIFOTTY</t>
  </si>
  <si>
    <t>JUNMING YANG</t>
  </si>
  <si>
    <t>2023-04-20 10:20:30.170</t>
  </si>
  <si>
    <t>HALWAR MULTISERVICES</t>
  </si>
  <si>
    <t>KA ABOU BAKRY</t>
  </si>
  <si>
    <t>KAIXIANG SONG</t>
  </si>
  <si>
    <t>KALY KEITA</t>
  </si>
  <si>
    <t>KALYAN RAVJI PATEL</t>
  </si>
  <si>
    <t>HARANGA RESOURCES LTD</t>
  </si>
  <si>
    <t>KAMIDOU KABA</t>
  </si>
  <si>
    <t>2023-09-29 14:56:26.230</t>
  </si>
  <si>
    <t>HINDOR</t>
  </si>
  <si>
    <t>KANTE ALASSANE</t>
  </si>
  <si>
    <t>2023-03-13 15:56:33.843</t>
  </si>
  <si>
    <t>KARAMBA KALOGA</t>
  </si>
  <si>
    <t>2023-06-07 13:00:35.723</t>
  </si>
  <si>
    <t>HLNT SENEGAL</t>
  </si>
  <si>
    <t>KARAMOKHODING SAKHO</t>
  </si>
  <si>
    <t>2023-02-21 15:31:59.233</t>
  </si>
  <si>
    <t>I M GOLD</t>
  </si>
  <si>
    <t>KARASSE KANE</t>
  </si>
  <si>
    <t>2023-07-31 11:36:06.970</t>
  </si>
  <si>
    <t>IAMGOLD BOTO</t>
  </si>
  <si>
    <t>KARIM HARATI</t>
  </si>
  <si>
    <t>IMPERATOR RESOURCE</t>
  </si>
  <si>
    <t>KENGUE MITAMONA JAUDY BREMN</t>
  </si>
  <si>
    <t>KHADIDIATOU BA</t>
  </si>
  <si>
    <t>IMPROVE SENEGAL (IMPSEN)</t>
  </si>
  <si>
    <t>KHADIDIATOU SARR</t>
  </si>
  <si>
    <t>2023-03-23 10:41:50.637</t>
  </si>
  <si>
    <t>KHADIDIATOU THIAM</t>
  </si>
  <si>
    <t>2023-01-24 11:22:00.427</t>
  </si>
  <si>
    <t>INNOVA INVESTMENT</t>
  </si>
  <si>
    <t>KHADIM DIOUF</t>
  </si>
  <si>
    <t>INTERNATIONAL CONSULTING GROUP (I.C.G)</t>
  </si>
  <si>
    <t>KHADY DIOR NDIAYE</t>
  </si>
  <si>
    <t>2023-12-24 16:09:02.610</t>
  </si>
  <si>
    <t>INTERNATIONAL DRILLING COMPANY SENEGAL SASU</t>
  </si>
  <si>
    <t>KHADY LENA SY</t>
  </si>
  <si>
    <t>INTERNATIONAL MINING COMPANY</t>
  </si>
  <si>
    <t>KHALILOU DIOP</t>
  </si>
  <si>
    <t>KOFFI FELIX EKRA</t>
  </si>
  <si>
    <t>2023-10-09 09:00:38.800</t>
  </si>
  <si>
    <t>IRION TRANSFERS</t>
  </si>
  <si>
    <t>KOUMOUNA SADIAKHOU</t>
  </si>
  <si>
    <t>2023-12-01 14:55:20.087</t>
  </si>
  <si>
    <t>JAMOMINING</t>
  </si>
  <si>
    <t>KWAMI SESSI GAYI</t>
  </si>
  <si>
    <t>JIN DIAN MINING</t>
  </si>
  <si>
    <t>LAMINE DABO</t>
  </si>
  <si>
    <t>LAMINE DIABY</t>
  </si>
  <si>
    <t>JIWANA RESOURCES PTY.LTD</t>
  </si>
  <si>
    <t>LAMINE DIACK DIOUF</t>
  </si>
  <si>
    <t>KAIXUN GOLD MINING CO.LTD (K.G.M CO.LTD)</t>
  </si>
  <si>
    <t>2023-12-14 14:03:45.547</t>
  </si>
  <si>
    <t>LIBAN</t>
  </si>
  <si>
    <t>KALISO 2S-SAS</t>
  </si>
  <si>
    <t>2023-04-18 14:42:17.360</t>
  </si>
  <si>
    <t>KANEL RESOURCES SARL</t>
  </si>
  <si>
    <t>LAMINE DIOP</t>
  </si>
  <si>
    <t>2023-04-26 12:18:31.457</t>
  </si>
  <si>
    <t>LAMINE KABA</t>
  </si>
  <si>
    <t>2023-06-12 13:08:57.573</t>
  </si>
  <si>
    <t>KANOUMERY</t>
  </si>
  <si>
    <t>LAMINE KONARE</t>
  </si>
  <si>
    <t>2023-09-12 14:57:14.000</t>
  </si>
  <si>
    <t>LAMINE SONKO</t>
  </si>
  <si>
    <t>2023-02-10 10:51:11.687</t>
  </si>
  <si>
    <t>LAMINE SY</t>
  </si>
  <si>
    <t>2023-04-11 15:49:33.603</t>
  </si>
  <si>
    <t>KARAMBA CONSTRUCTION TRANSPORT &amp; SERVICES</t>
  </si>
  <si>
    <t>LATYR TANOR DIENG</t>
  </si>
  <si>
    <t>2023-05-10 08:25:05.087</t>
  </si>
  <si>
    <t>LAURENT DIARRA</t>
  </si>
  <si>
    <t>2023-08-14 08:07:46.390</t>
  </si>
  <si>
    <t>LAYE BEYE</t>
  </si>
  <si>
    <t>KEDOUGOU BUSINESS ET MINING SERVICES</t>
  </si>
  <si>
    <t>LAYTI NDIAYE</t>
  </si>
  <si>
    <t>2024-03-14 15:11:30.777</t>
  </si>
  <si>
    <t>LIN WEI SONG</t>
  </si>
  <si>
    <t>2024-01-12 09:09:56.773</t>
  </si>
  <si>
    <t>KEDOUGOU MINE ET CARRIERE</t>
  </si>
  <si>
    <t>LIU YANLONG</t>
  </si>
  <si>
    <t>2024-02-15 10:53:42.337</t>
  </si>
  <si>
    <t>LOLO CAMARA</t>
  </si>
  <si>
    <t>2024-11-26 14:11:10.363</t>
  </si>
  <si>
    <t>LONZHANG WEI</t>
  </si>
  <si>
    <t>LOTFALLA LAYOUSSE</t>
  </si>
  <si>
    <t>KEUR MAME M'BASLA NDIAYE</t>
  </si>
  <si>
    <t>LOUISE HORNBY</t>
  </si>
  <si>
    <t>2024-07-09 13:41:54.150</t>
  </si>
  <si>
    <t>KHAMBEN TEINKOTO NDIN</t>
  </si>
  <si>
    <t>LUCAS CHARLES ENZO PEREZ</t>
  </si>
  <si>
    <t>LUIGI CAIAZZO</t>
  </si>
  <si>
    <t>2024-03-29 10:39:20.883</t>
  </si>
  <si>
    <t>MADY CAMARA</t>
  </si>
  <si>
    <t>2024-11-22 12:00:20.480</t>
  </si>
  <si>
    <t>KHANIANG LIMITED</t>
  </si>
  <si>
    <t>MADY SOUMARE</t>
  </si>
  <si>
    <t>2024-02-09 11:53:34.940</t>
  </si>
  <si>
    <t>KHELKOM'S LION</t>
  </si>
  <si>
    <t>MAGATTE GAYE</t>
  </si>
  <si>
    <t>KHEWEUL DIAMA</t>
  </si>
  <si>
    <t>MAGUETTE SECK</t>
  </si>
  <si>
    <t>2024-01-12 09:32:24.367</t>
  </si>
  <si>
    <t>KOLIA</t>
  </si>
  <si>
    <t>MAHMOUTH FALL</t>
  </si>
  <si>
    <t>2024-07-26 13:26:19.370</t>
  </si>
  <si>
    <t>MAHOMAD BACHIR</t>
  </si>
  <si>
    <t>2024-01-12 13:35:36.850</t>
  </si>
  <si>
    <t>MAIRAM SONKO</t>
  </si>
  <si>
    <t>2024-09-10 09:01:56.687</t>
  </si>
  <si>
    <t>KONKOUTOU GOLD OPERATION</t>
  </si>
  <si>
    <t>MAKHAN CAMARA</t>
  </si>
  <si>
    <t>KOSMOS ENERGY INVESTMENTS SENEGAL LIMITED</t>
  </si>
  <si>
    <t>MALICK FAYE</t>
  </si>
  <si>
    <t>2024-12-16 15:48:06.717</t>
  </si>
  <si>
    <t>KOUNDA GROUP</t>
  </si>
  <si>
    <t>MAMADOU ALPHA BARRY</t>
  </si>
  <si>
    <t>2024-09-06 08:37:52.037</t>
  </si>
  <si>
    <t>MAMADOU DENAGO SARRE</t>
  </si>
  <si>
    <t>MAMADOU DIAKHITE DIARRA</t>
  </si>
  <si>
    <t>2024-05-15 09:18:53.207</t>
  </si>
  <si>
    <t>L &amp; D ECOMINING</t>
  </si>
  <si>
    <t>MAMADOU DIAW</t>
  </si>
  <si>
    <t>2024-07-04 09:53:24.367</t>
  </si>
  <si>
    <t>L'AFRICAINE DES MINES (AFRIK'MINES)</t>
  </si>
  <si>
    <t>MAMADOU DIOP</t>
  </si>
  <si>
    <t>2024-03-18 10:13:55.643</t>
  </si>
  <si>
    <t>LAMTORO NATURAL RESOURCES</t>
  </si>
  <si>
    <t>MAMADOU GUEYE</t>
  </si>
  <si>
    <t>MAMADOU KA</t>
  </si>
  <si>
    <t>2024-02-29 13:54:04.207</t>
  </si>
  <si>
    <t>LE FATAA</t>
  </si>
  <si>
    <t>MAMADOU KEITA</t>
  </si>
  <si>
    <t>LE GRAVIER</t>
  </si>
  <si>
    <t>MAMADOU LAMINE KEITA</t>
  </si>
  <si>
    <t>LES CIMENTS DU SAHEL</t>
  </si>
  <si>
    <t>MAMADOU LOUM</t>
  </si>
  <si>
    <t>2024-03-27 11:37:25.707</t>
  </si>
  <si>
    <t>LES GRANDES CARRIERES DU SENEGAL</t>
  </si>
  <si>
    <t>MAMADOU MANDE GUEYE</t>
  </si>
  <si>
    <t>2024-04-18 14:47:01.697</t>
  </si>
  <si>
    <t>LES MINES DE LUMIERE</t>
  </si>
  <si>
    <t>MAMADOU MBAYE</t>
  </si>
  <si>
    <t>LES MINES DU JEGUEM (MDJ)</t>
  </si>
  <si>
    <t>MAMADOU MOUSTAPHA LO</t>
  </si>
  <si>
    <t>2024-02-09 11:37:57.190</t>
  </si>
  <si>
    <t>LIN WEILIN</t>
  </si>
  <si>
    <t>MAMADOU MOUSTAPHA MBACKE</t>
  </si>
  <si>
    <t>LINGO D'OR SENEGAL</t>
  </si>
  <si>
    <t>MAMADOU OURY BA</t>
  </si>
  <si>
    <t>MAMADOU SAKHO</t>
  </si>
  <si>
    <t>2024-07-02 16:10:08.687</t>
  </si>
  <si>
    <t>MAMADOU SARR</t>
  </si>
  <si>
    <t>2024-03-28 13:28:52.360</t>
  </si>
  <si>
    <t>LOGICOM SN</t>
  </si>
  <si>
    <t>MAMADOU SECK</t>
  </si>
  <si>
    <t>2024-03-08 10:29:07.657</t>
  </si>
  <si>
    <t>ITALIE</t>
  </si>
  <si>
    <t>MAMADOU SOUARE</t>
  </si>
  <si>
    <t>MAMADOU SY</t>
  </si>
  <si>
    <t>M&amp;H CORPORATION</t>
  </si>
  <si>
    <t>2024-07-03 15:47:14.400</t>
  </si>
  <si>
    <t>MADISSIMO</t>
  </si>
  <si>
    <t>MAMADY TOURE</t>
  </si>
  <si>
    <t>2024-07-26 11:19:41.933</t>
  </si>
  <si>
    <t>MAKABINGUI GOLD OPERATION</t>
  </si>
  <si>
    <t>2024-07-03 15:47:14.401</t>
  </si>
  <si>
    <t>MAME DIARRA DIOP</t>
  </si>
  <si>
    <t>2024-07-26 11:19:41.934</t>
  </si>
  <si>
    <t>MANDINGA RESOURCES</t>
  </si>
  <si>
    <t>MAME ISSA GAYE THIOYE</t>
  </si>
  <si>
    <t>MAME LEYE MBAYE</t>
  </si>
  <si>
    <t>2024-02-02 09:58:46.587</t>
  </si>
  <si>
    <t>MAME MALICK BA</t>
  </si>
  <si>
    <t>MAME MATAR SECK</t>
  </si>
  <si>
    <t>2024-03-28 11:47:54.150</t>
  </si>
  <si>
    <t>MAMOUNE GAYE</t>
  </si>
  <si>
    <t>2024-07-26 13:47:29.547</t>
  </si>
  <si>
    <t>Mamour NDIAYE</t>
  </si>
  <si>
    <t>2024-03-20 11:55:46.160</t>
  </si>
  <si>
    <t>MANSOUR AMADOU SOW</t>
  </si>
  <si>
    <t>2024-01-26 10:47:12.450</t>
  </si>
  <si>
    <t>MANSA GOLD CORPORATION</t>
  </si>
  <si>
    <t>MANSOUR SY</t>
  </si>
  <si>
    <t>2024-11-12 13:07:35.363</t>
  </si>
  <si>
    <t>MASSAWA</t>
  </si>
  <si>
    <t>MARIAMA BAKHOUM</t>
  </si>
  <si>
    <t>MARIAMA DIALLO</t>
  </si>
  <si>
    <t>2024-01-18 15:06:32.927</t>
  </si>
  <si>
    <t>MARIAMA GUEYE</t>
  </si>
  <si>
    <t>2024-07-16 09:22:02.473</t>
  </si>
  <si>
    <t>MAXIMERIT</t>
  </si>
  <si>
    <t>MARIAMA KANE</t>
  </si>
  <si>
    <t>MARIAMA NDONG</t>
  </si>
  <si>
    <t>MARIE JOSEPHINE THERERSE DIONE</t>
  </si>
  <si>
    <t>2024-01-06 16:29:35.020</t>
  </si>
  <si>
    <t>MC TRANSPORT AND TRADING (MC2T)</t>
  </si>
  <si>
    <t>MARK PHILIPP GOSSEL</t>
  </si>
  <si>
    <t>MARTIN JOACHIM PAWLISCHEK</t>
  </si>
  <si>
    <t>MEDY INDUSTRIES MODERNES SARL</t>
  </si>
  <si>
    <t>MARYSE BELANGER</t>
  </si>
  <si>
    <t>MASSAMBA MAMADOU SY</t>
  </si>
  <si>
    <t>MFC INTERNATIONAL</t>
  </si>
  <si>
    <t>MAWDO NDIAYE</t>
  </si>
  <si>
    <t>MINES PROFESSIONAL HOLDING</t>
  </si>
  <si>
    <t>MBALLO KEBE</t>
  </si>
  <si>
    <t>MININVEST S.A  </t>
  </si>
  <si>
    <t>MBALOUDI DIABY</t>
  </si>
  <si>
    <t>2024-01-26 11:16:39.423</t>
  </si>
  <si>
    <t>MOULT INVEST - SUARL</t>
  </si>
  <si>
    <t>MBAYE NDIAYE</t>
  </si>
  <si>
    <t>MOUSTAPHA NDIAYE</t>
  </si>
  <si>
    <t>MBAYE WADE</t>
  </si>
  <si>
    <t>MBENGUE BABACAR MASSAR</t>
  </si>
  <si>
    <t>2024-02-09 11:26:27.263</t>
  </si>
  <si>
    <t>NEGOS FIABLE SENEGAL / NEFIS</t>
  </si>
  <si>
    <t>MEHMET FERHAT</t>
  </si>
  <si>
    <t>MICHAEL JOHN DAVY</t>
  </si>
  <si>
    <t>2024-02-16 13:56:39.197</t>
  </si>
  <si>
    <t>MICHEL WALTER ANGE HEER</t>
  </si>
  <si>
    <t>2024-03-15 13:53:13.290</t>
  </si>
  <si>
    <t>ÉTATS-UNIS</t>
  </si>
  <si>
    <t>NEW ENERGY INVESTMENT</t>
  </si>
  <si>
    <t>MIKIDACH MAMADOU SY</t>
  </si>
  <si>
    <t>2024-12-12 13:03:05.733</t>
  </si>
  <si>
    <t>MOCTAR ALIOUNE SADIAN SALL</t>
  </si>
  <si>
    <t>MODOU DIAGNE</t>
  </si>
  <si>
    <t>MODOU DIOP GUENE</t>
  </si>
  <si>
    <t>2024-02-08 14:55:19.317</t>
  </si>
  <si>
    <t>MODOU FALL</t>
  </si>
  <si>
    <t>2024-06-24 13:44:59.053</t>
  </si>
  <si>
    <t>NEW ERA INTERNATIONAL MINING DEVELOPMENT</t>
  </si>
  <si>
    <t>MOHAMED ABABACAR SOW</t>
  </si>
  <si>
    <t>2024-03-20 12:41:01.343</t>
  </si>
  <si>
    <t>MOHAMED DICKO</t>
  </si>
  <si>
    <t>MOHAMED KAGNASSY</t>
  </si>
  <si>
    <t>2025-08-28 14:13:06.110</t>
  </si>
  <si>
    <t>NIANE ET FRERES</t>
  </si>
  <si>
    <t>MOHAMED KHALED KOUKI</t>
  </si>
  <si>
    <t>2025-08-25 09:49:33.177</t>
  </si>
  <si>
    <t>NIANY TRANSIT</t>
  </si>
  <si>
    <t>MOHAMED NIANG</t>
  </si>
  <si>
    <t>2025-08-08 09:15:10.790</t>
  </si>
  <si>
    <t>MOHAMED NIARE</t>
  </si>
  <si>
    <t>2025-05-23 13:50:58.837</t>
  </si>
  <si>
    <t>MOHAMMED EL ASSALI</t>
  </si>
  <si>
    <t>2025-05-07 15:59:47.943</t>
  </si>
  <si>
    <t>MOMAR DIOP</t>
  </si>
  <si>
    <t>2025-04-23 15:58:38.653</t>
  </si>
  <si>
    <t>NOGA MINE SARL</t>
  </si>
  <si>
    <t>MOMAR SOKHNA DIOP</t>
  </si>
  <si>
    <t>NOGAYE BUSINESS CONSULTING COMPANY</t>
  </si>
  <si>
    <t>MOR AMINATA KEBE</t>
  </si>
  <si>
    <t>NOV OIL &amp; GAS SERVICES SENEGAL</t>
  </si>
  <si>
    <t>MOR GUEYE</t>
  </si>
  <si>
    <t>2025-04-18 13:03:27.627</t>
  </si>
  <si>
    <t>OUSMANE SOW</t>
  </si>
  <si>
    <t>MOR SAMBA GUEYE</t>
  </si>
  <si>
    <t>2025-04-14 09:12:23.160</t>
  </si>
  <si>
    <t>PANAFRICAN MINERAL RESOURCES (PMR SAS)</t>
  </si>
  <si>
    <t>MOSSA SADIAKHOU</t>
  </si>
  <si>
    <t>2025-04-14 08:55:09.170</t>
  </si>
  <si>
    <t>MOUHAMADOU BA</t>
  </si>
  <si>
    <t>MOUHAMADOU FALILOU FALL</t>
  </si>
  <si>
    <t>PETROLEUM SENEGAL INDUSTRIES (P.S.I)</t>
  </si>
  <si>
    <t>MOUHAMADOU FAYE</t>
  </si>
  <si>
    <t>MOUHAMADOU LAMINE TOURE</t>
  </si>
  <si>
    <t>2025-04-09 14:03:31.007</t>
  </si>
  <si>
    <t>MOUHAMADOU MOUSTAPHA DIOP</t>
  </si>
  <si>
    <t>2025-04-09 13:44:29.980</t>
  </si>
  <si>
    <t>MOUHAMADOU SOW</t>
  </si>
  <si>
    <t>2025-03-14 13:04:26.693</t>
  </si>
  <si>
    <t>PIKINE MINING</t>
  </si>
  <si>
    <t>MOUHAMADOU SY</t>
  </si>
  <si>
    <t>PITABOULOUNG DE SYLLABOUNDA</t>
  </si>
  <si>
    <t>MOUHAMED DAVID MBAYE</t>
  </si>
  <si>
    <t>2025-03-04 14:33:18.227</t>
  </si>
  <si>
    <t>47.26</t>
  </si>
  <si>
    <t>MOUHAMED EL MOKHTAR BOULEBAT</t>
  </si>
  <si>
    <t>47.25</t>
  </si>
  <si>
    <t>PROSPECTIUNI</t>
  </si>
  <si>
    <t>5.49</t>
  </si>
  <si>
    <t>Q M D COMPANY</t>
  </si>
  <si>
    <t>MOUHAMED FALL</t>
  </si>
  <si>
    <t>2025-02-28 14:47:13.277</t>
  </si>
  <si>
    <t>MOUHAMED TINE</t>
  </si>
  <si>
    <t>MOUSSA CISSOKHO</t>
  </si>
  <si>
    <t>2025-02-14 14:57:20.747</t>
  </si>
  <si>
    <t>RACKY PRESTATIONS TECHNIQUES (RPT)</t>
  </si>
  <si>
    <t>RASSOUL MINING OIL GAZ &amp; ENERGY</t>
  </si>
  <si>
    <t>2025-02-14 14:33:31.770</t>
  </si>
  <si>
    <t>RESEAU NATIONAL DES BIJOUTIERS DU SENEGAL</t>
  </si>
  <si>
    <t>MOUSSA MAKHASSOUBA</t>
  </si>
  <si>
    <t>2025-02-14 13:06:39.337</t>
  </si>
  <si>
    <t>MOUSSA MBENGUE</t>
  </si>
  <si>
    <t>2025-02-10 09:02:55.850</t>
  </si>
  <si>
    <t>MOUSSA MOISE CAMARA</t>
  </si>
  <si>
    <t>MOUSSA SAMB</t>
  </si>
  <si>
    <t>MOUSSA SYLLA</t>
  </si>
  <si>
    <t>MOUSSA TRAORE</t>
  </si>
  <si>
    <t>MOUSTAPHA DIAGNE</t>
  </si>
  <si>
    <t>SABODALA GOLD OPERATIONS</t>
  </si>
  <si>
    <t>MOUSTAPHA FAYE</t>
  </si>
  <si>
    <t>2025-01-29 15:17:16.843</t>
  </si>
  <si>
    <t>CHIEKH AHMADOU BAMBA NIANG</t>
  </si>
  <si>
    <t>les Directeurs généraux des ministères</t>
  </si>
  <si>
    <t>MOUSTAPHA NIANG</t>
  </si>
  <si>
    <t>2025-01-17 13:32:33.707</t>
  </si>
  <si>
    <t>SABODALA MINING COMPANY SARL</t>
  </si>
  <si>
    <t>NAFISSATOU GUEYE</t>
  </si>
  <si>
    <t>NDABA CISSOKHO</t>
  </si>
  <si>
    <t>2025-01-17 10:58:34.090</t>
  </si>
  <si>
    <t>NDEYE ANTHIA BA</t>
  </si>
  <si>
    <t>2025-01-15 08:45:53.070</t>
  </si>
  <si>
    <t>SAHAD COMPAGNY</t>
  </si>
  <si>
    <t>NDEYE CELLE SOW</t>
  </si>
  <si>
    <t>NDEYE DIOUMA DIAGNE</t>
  </si>
  <si>
    <t>2025-01-09 09:44:45.747</t>
  </si>
  <si>
    <t>SAHEL MINES ET LOGISTICS SARL</t>
  </si>
  <si>
    <t>NDEYE FALL DIOP</t>
  </si>
  <si>
    <t>2025-01-09 09:02:34.100</t>
  </si>
  <si>
    <t>SAM INVEST</t>
  </si>
  <si>
    <t>NDEYE FATIM SY</t>
  </si>
  <si>
    <t>2021-12-01 10:39:52.347</t>
  </si>
  <si>
    <t>NDEYE MATY THIOUNE</t>
  </si>
  <si>
    <t>2022-10-03 16:14:20.760</t>
  </si>
  <si>
    <t>SAMAGOLD SARL</t>
  </si>
  <si>
    <t>NDEYE PEINDA NIANG</t>
  </si>
  <si>
    <t>2023-04-27 14:49:19.800</t>
  </si>
  <si>
    <t>NDIAYE IBRAHIMA</t>
  </si>
  <si>
    <t>2023-04-18 12:12:41.787</t>
  </si>
  <si>
    <t>SAMSAM GOLD</t>
  </si>
  <si>
    <t>NDIAYE MAMADOU</t>
  </si>
  <si>
    <t>2023-03-22 16:19:01.333</t>
  </si>
  <si>
    <t>NDONG PAPA MALICK</t>
  </si>
  <si>
    <t>2023-01-09 12:20:52.290</t>
  </si>
  <si>
    <t>NDOYE MASYLLA</t>
  </si>
  <si>
    <t>2023-05-24 10:12:13.910</t>
  </si>
  <si>
    <t>NGAGNE DEMBA TOURE</t>
  </si>
  <si>
    <t>2021-11-26 12:56:57.153</t>
  </si>
  <si>
    <t>2022-01-11 10:38:05.440</t>
  </si>
  <si>
    <t>SANTANG NEGOCE INVESTMENT</t>
  </si>
  <si>
    <t>NGOM IBRAHIMA</t>
  </si>
  <si>
    <t>2022-07-25 12:27:38.607</t>
  </si>
  <si>
    <t>2022-07-26 12:10:34.870</t>
  </si>
  <si>
    <t>SANTARGILE</t>
  </si>
  <si>
    <t>NZUE NZUE FREEDY</t>
  </si>
  <si>
    <t>2023-11-17 12:47:41.203</t>
  </si>
  <si>
    <t>BELGIQUE</t>
  </si>
  <si>
    <t>Kédougou</t>
  </si>
  <si>
    <t>OILIVIER MARC HEER</t>
  </si>
  <si>
    <t>2022-03-03 11:15:43.840</t>
  </si>
  <si>
    <t>OLIVIER GOUDIABY</t>
  </si>
  <si>
    <t>OMAR SYLLA</t>
  </si>
  <si>
    <t>ONGALI RUPHIN GLAISE</t>
  </si>
  <si>
    <t>2023-04-14 14:46:59.680</t>
  </si>
  <si>
    <t>OUMAR DIALLO</t>
  </si>
  <si>
    <t>OUMAR SALL</t>
  </si>
  <si>
    <t>OUMAR SOW</t>
  </si>
  <si>
    <t>OUMAR SYLLA</t>
  </si>
  <si>
    <t>SARAKOTO DE TENKOTO</t>
  </si>
  <si>
    <t>OUMOU DIA</t>
  </si>
  <si>
    <t>OUMOU KALSOUM BA</t>
  </si>
  <si>
    <t>OUMY DIAGNE</t>
  </si>
  <si>
    <t>SARAYA ENERGY</t>
  </si>
  <si>
    <t>OUSMAN NDIAYE</t>
  </si>
  <si>
    <t>SDPP</t>
  </si>
  <si>
    <t>OUSMANE CISSE</t>
  </si>
  <si>
    <t>SDT NEW ENERGY TACHNOLOGY (SDTNET-SARL)</t>
  </si>
  <si>
    <t>OUSMANE DIAGNE</t>
  </si>
  <si>
    <t>OUSMANE MANE</t>
  </si>
  <si>
    <t>SEN GENERAL ACTIVITIES</t>
  </si>
  <si>
    <t>OUSMANE THIAM</t>
  </si>
  <si>
    <t>OUSSEYNOU NDIAYE</t>
  </si>
  <si>
    <t>OUSSEYNOU NDOUR</t>
  </si>
  <si>
    <t>OUSSEYNOU SARR</t>
  </si>
  <si>
    <t>OUSSEYNOU WADE</t>
  </si>
  <si>
    <t>SEN MINES GROUP</t>
  </si>
  <si>
    <t>PAPA DEMBA SATHIE</t>
  </si>
  <si>
    <t>SEN ZHANGHUA MINERAL</t>
  </si>
  <si>
    <t>SENEGAL KOM KOM PLUS</t>
  </si>
  <si>
    <t>PAPA LASSANA BA</t>
  </si>
  <si>
    <t>SENEGAL MINERAL RESOURCES</t>
  </si>
  <si>
    <t>PAPA MASSE SEYE DIOP</t>
  </si>
  <si>
    <t>SENEGAL NDINDI</t>
  </si>
  <si>
    <t>PAPA MAYELAD FALL</t>
  </si>
  <si>
    <t>PAPA OUSMANE BADJI</t>
  </si>
  <si>
    <t>PAPA OUSMANE NDIAYE</t>
  </si>
  <si>
    <t>SENEGAL SILEX</t>
  </si>
  <si>
    <t>PAPA SAMBA MBENGUE</t>
  </si>
  <si>
    <t>SENEGALAISE DE DISTRIBUTION AGROALIMENTAIRE  en abrégé  "SE.D.ALI" S.A.R.L</t>
  </si>
  <si>
    <t>PAPE CHEIKH AMADOU AMAR</t>
  </si>
  <si>
    <t>2023-05-19 10:44:14.050</t>
  </si>
  <si>
    <t>PAPE MAMOUR SOKHNA</t>
  </si>
  <si>
    <t>PAPE MASSAER BEN SALOUM CISSE</t>
  </si>
  <si>
    <t>2023-06-24 14:24:56.320</t>
  </si>
  <si>
    <t>SENEGALAISE DE SERVICES MINIERS ET DE GENIE CIVIL</t>
  </si>
  <si>
    <t>PIERRE ALAIN BIRAME NDONG</t>
  </si>
  <si>
    <t>POUYE</t>
  </si>
  <si>
    <t>SENEGALAISE DES MINES ET GEOLOGIE</t>
  </si>
  <si>
    <t>PRAKAHS PUTHENVILA SATHYAN</t>
  </si>
  <si>
    <t>2023-03-06 11:57:03.297</t>
  </si>
  <si>
    <t>QI BO</t>
  </si>
  <si>
    <t>SENGINDIA SA</t>
  </si>
  <si>
    <t>QI WANG</t>
  </si>
  <si>
    <t>QIN MINGFU</t>
  </si>
  <si>
    <t>2023-03-24 15:15:10.320</t>
  </si>
  <si>
    <t>SENGOLD COMPANY</t>
  </si>
  <si>
    <t>RACKY ABDOUL WANE</t>
  </si>
  <si>
    <t>SEN-STONES</t>
  </si>
  <si>
    <t>RAMATA KEBE</t>
  </si>
  <si>
    <t>SERTER</t>
  </si>
  <si>
    <t>RAMATOULAYE NDIAYE</t>
  </si>
  <si>
    <t>SINOHYDRO SENEGAL-SARL</t>
  </si>
  <si>
    <t>REZAT KTHUPI</t>
  </si>
  <si>
    <t>SINTRADE</t>
  </si>
  <si>
    <t>ROBITAILLE BENOIT</t>
  </si>
  <si>
    <t>SIRAJ MINES ET INDUSTRIES SARL</t>
  </si>
  <si>
    <t>ROKHAYA COULIBALY</t>
  </si>
  <si>
    <t>2023-06-24 15:00:02.820</t>
  </si>
  <si>
    <t>ROKHAYA DIALLO</t>
  </si>
  <si>
    <t>2023-04-20 11:54:31.177</t>
  </si>
  <si>
    <t>SKDT NEW NERGY TECHNOLOGY</t>
  </si>
  <si>
    <t>ROMUALDO LAMPITELLI</t>
  </si>
  <si>
    <t>2023-09-15 16:41:35.307</t>
  </si>
  <si>
    <t>ROSALIE NDIAYE SENE</t>
  </si>
  <si>
    <t>SOCABEG MINING</t>
  </si>
  <si>
    <t>SADIO KANDE</t>
  </si>
  <si>
    <t>SOCIETE DE CONCASSAGE ET DE BETON</t>
  </si>
  <si>
    <t>SADIO SADIAKHOU</t>
  </si>
  <si>
    <t>2023-06-24 14:06:26.707</t>
  </si>
  <si>
    <t>SAKHALE KABA</t>
  </si>
  <si>
    <t>SALIMOU DRAME</t>
  </si>
  <si>
    <t>SALIOU CISSE</t>
  </si>
  <si>
    <t>2023-06-24 14:47:34.287</t>
  </si>
  <si>
    <t>SALIOU DIAGNE</t>
  </si>
  <si>
    <t>SOCIETE DES MINES DU SENEGAL (SOMISEN)</t>
  </si>
  <si>
    <t>SALIOU MBAYE</t>
  </si>
  <si>
    <t>2023-01-30 12:11:01.097</t>
  </si>
  <si>
    <t>SOCIETE D'EXPLOITATION DE LOGISTIQUE ET DE TRAVAUX</t>
  </si>
  <si>
    <t>SALIOU NDAW</t>
  </si>
  <si>
    <t>SOCIETE D'EXPLOITATION MINIERE DU SENEGAL (SEMIS-SUARL)</t>
  </si>
  <si>
    <t>SALIOU SECK</t>
  </si>
  <si>
    <t>SOCIETE GENERALE DE CARRIERES,D'AGRICULTURE ET DES MINIES (GECAMINES - SA)</t>
  </si>
  <si>
    <t>SALIOU SENE</t>
  </si>
  <si>
    <t>SOCIETE GENERALE DES MINES (SGM)</t>
  </si>
  <si>
    <t>SAMBA CAMARA</t>
  </si>
  <si>
    <t>SOCIETE IMMOBILIERE DE CONSTRUCTION ET DE GERANCE 'SICOGER)</t>
  </si>
  <si>
    <t>SAMBA DIALLO</t>
  </si>
  <si>
    <t>SAMBA GADIAGA</t>
  </si>
  <si>
    <t>SAMBA MAMADOU SY</t>
  </si>
  <si>
    <t>SAMBA NDAO NDIR</t>
  </si>
  <si>
    <t>SOCIETE INTERNATIONALE DE BIENS DE SERVICES</t>
  </si>
  <si>
    <t>SAMBALY</t>
  </si>
  <si>
    <t>SAME MBAYE NIASSE</t>
  </si>
  <si>
    <t>SARR CHEIKH</t>
  </si>
  <si>
    <t>2024-01-06 15:31:34.577</t>
  </si>
  <si>
    <t>SOCIETE MINIERE DE LA VALLEE DU FLEUVE SENEGAL / SOMIVA</t>
  </si>
  <si>
    <t>SARR MATY</t>
  </si>
  <si>
    <t>SARR PAPA THIONE</t>
  </si>
  <si>
    <t>SOCIETE SAHELIENNE D'ENTREPRISE (SSE)</t>
  </si>
  <si>
    <t>SATOU SAKHO</t>
  </si>
  <si>
    <t>2025-08-07 19:41:59.387</t>
  </si>
  <si>
    <t>SECK FATOU KHADY</t>
  </si>
  <si>
    <t>SECK SOKHNA MOUSLINE</t>
  </si>
  <si>
    <t>SOCIETE SENEGALAISE DE PHOSPHATES DE THIES (SSPT)</t>
  </si>
  <si>
    <t>SEGA KANTE</t>
  </si>
  <si>
    <t>2025-08-07 12:06:38.113</t>
  </si>
  <si>
    <t>SOCOCIM INDUSTRIES</t>
  </si>
  <si>
    <t>SOCOTRABAT</t>
  </si>
  <si>
    <t>SEKHOU SENE</t>
  </si>
  <si>
    <t>SODA HOLDING COMPANY SUARL</t>
  </si>
  <si>
    <t>SEKHOU SOUARE</t>
  </si>
  <si>
    <t>2025-08-06 19:41:54.687</t>
  </si>
  <si>
    <t>SONKO ET FILS SARL</t>
  </si>
  <si>
    <t>SERIGNE ASSA FALLE GAYE</t>
  </si>
  <si>
    <t>2025-04-23 11:17:43.520</t>
  </si>
  <si>
    <t>SERIGNE BAMBA DIOP</t>
  </si>
  <si>
    <t>SERIGNE BAMBA MBACKE DIOP</t>
  </si>
  <si>
    <t>SERIGNE DIENG</t>
  </si>
  <si>
    <t>2025-03-17 23:01:08.827</t>
  </si>
  <si>
    <t>SOYA GOLD</t>
  </si>
  <si>
    <t>SERIGNE MBACKE NIANE</t>
  </si>
  <si>
    <t>STAPEM OFFSHORE SENEGAL</t>
  </si>
  <si>
    <t>SERIGNE OMAR DIOP</t>
  </si>
  <si>
    <t>SUBSEA 7 SENEGAL</t>
  </si>
  <si>
    <t>SEYDINA DIOP</t>
  </si>
  <si>
    <t>2025-03-17 22:26:15.717</t>
  </si>
  <si>
    <t>SUPER SALE</t>
  </si>
  <si>
    <t>SEYDINA GUEYE</t>
  </si>
  <si>
    <t>SWANI MINES-SA</t>
  </si>
  <si>
    <t>2025-03-17 21:40:18.303</t>
  </si>
  <si>
    <t>SYFARO MINING COMPANY</t>
  </si>
  <si>
    <t>SEYDOU GASSAMA</t>
  </si>
  <si>
    <t>SYLLA COUNDA</t>
  </si>
  <si>
    <t>SEYDOU SAER HANE</t>
  </si>
  <si>
    <t>SEYNABOU MBENGUE</t>
  </si>
  <si>
    <t>2025-03-06 21:16:36.197</t>
  </si>
  <si>
    <t>SHAUN MARTIN GREGORY</t>
  </si>
  <si>
    <t>2025-02-25 15:57:19.837</t>
  </si>
  <si>
    <t>SIBHARAM ARUN AGGARWAL</t>
  </si>
  <si>
    <t>2025-01-12 18:28:58.637</t>
  </si>
  <si>
    <t>SOKHNA NDONGO</t>
  </si>
  <si>
    <t>SORY KABA</t>
  </si>
  <si>
    <t>SORY SOUARE</t>
  </si>
  <si>
    <t>Mbour</t>
  </si>
  <si>
    <t>SOUAREBA SOUARE</t>
  </si>
  <si>
    <t>2023-07-24 15:22:55.063</t>
  </si>
  <si>
    <t>SOULEYE SECK</t>
  </si>
  <si>
    <t>SOULEYMANE KANTE</t>
  </si>
  <si>
    <t>SOULEYMANE NIANG</t>
  </si>
  <si>
    <t>2024-03-27 13:29:49.853</t>
  </si>
  <si>
    <t>SOULEYMANE SOW</t>
  </si>
  <si>
    <t>2025-08-06 14:10:17.893</t>
  </si>
  <si>
    <t>SYPROM</t>
  </si>
  <si>
    <t>2025-04-29 13:52:48.187</t>
  </si>
  <si>
    <t>TALIX MINES</t>
  </si>
  <si>
    <t>SOW ABDOUL AZIZ</t>
  </si>
  <si>
    <t>2025-02-14 14:25:41.847</t>
  </si>
  <si>
    <t>TAYSTONES SARL</t>
  </si>
  <si>
    <t>SOW ABDOUL KARIM</t>
  </si>
  <si>
    <t>2023-10-16 17:36:11.080</t>
  </si>
  <si>
    <t>SULTAN DIOP</t>
  </si>
  <si>
    <t>2024-12-05 10:23:26.867</t>
  </si>
  <si>
    <t>TCHILMA BUILDING</t>
  </si>
  <si>
    <t>2021-11-09 12:53:43.717</t>
  </si>
  <si>
    <t>TERANGA HORIZON</t>
  </si>
  <si>
    <t>2021-10-14 13:07:20.937</t>
  </si>
  <si>
    <t>AMY DIAKHATE</t>
  </si>
  <si>
    <t>SUZANE BOISSY</t>
  </si>
  <si>
    <t>TERRACALCO SENEGAL</t>
  </si>
  <si>
    <t>SY MOUHAMADOU</t>
  </si>
  <si>
    <t>2021-11-25 13:41:17.070</t>
  </si>
  <si>
    <t>TESORO SERVICES</t>
  </si>
  <si>
    <t>SYLLA</t>
  </si>
  <si>
    <t>2021-12-07 13:41:27.180</t>
  </si>
  <si>
    <t>THIAM SENEGAL GOLD FAMILY</t>
  </si>
  <si>
    <t>TIQ SENEGAL</t>
  </si>
  <si>
    <t>TAMBA SADIAKHOU</t>
  </si>
  <si>
    <t>2021-07-28 12:53:56.230</t>
  </si>
  <si>
    <t>96.29</t>
  </si>
  <si>
    <t>TAMSIR BABACAR</t>
  </si>
  <si>
    <t>2022-10-25 12:55:37.077</t>
  </si>
  <si>
    <t>TARECK AREZKI</t>
  </si>
  <si>
    <t>2022-08-26 16:55:54.787</t>
  </si>
  <si>
    <t>TOP BUSINESS CONCEPT</t>
  </si>
  <si>
    <t>TENDER NICOLETA-DANIELA</t>
  </si>
  <si>
    <t>2022-06-28 10:17:50.400</t>
  </si>
  <si>
    <t>TERENCE NEIL</t>
  </si>
  <si>
    <t>2022-09-13 12:43:09.637</t>
  </si>
  <si>
    <t>TOTALENERGIES EP SENEGAL</t>
  </si>
  <si>
    <t>THIAM</t>
  </si>
  <si>
    <t>2022-10-31 16:46:15.537</t>
  </si>
  <si>
    <t>TOUBA AMEUBLEMENT</t>
  </si>
  <si>
    <t>THIORO MBAYE</t>
  </si>
  <si>
    <t>TOUBA DENDEYE</t>
  </si>
  <si>
    <t>2022-09-21 16:23:20.703</t>
  </si>
  <si>
    <t>TOUBA MINERAL RESSOURCES</t>
  </si>
  <si>
    <t>TIDIANE KEITA</t>
  </si>
  <si>
    <t>TOULAYE AFRIQUE SARL</t>
  </si>
  <si>
    <t>TREVOR BRIAN MARTIN</t>
  </si>
  <si>
    <t>2022-06-17 09:45:02.553</t>
  </si>
  <si>
    <t>TSENG LUNG YI</t>
  </si>
  <si>
    <t>2022-04-06 16:03:59.817</t>
  </si>
  <si>
    <t>AUGUSTIN TINE</t>
  </si>
  <si>
    <t>TOUS TRAVAUX SOUS MARINS (TTSM)</t>
  </si>
  <si>
    <t>TSENG PING-FU</t>
  </si>
  <si>
    <t>VAHAP KANITOGLU</t>
  </si>
  <si>
    <t>2022-08-25 13:04:07.017</t>
  </si>
  <si>
    <t>WALY DIOUF</t>
  </si>
  <si>
    <t>WANG WEI</t>
  </si>
  <si>
    <t>WARREN FRANK MACKENZIE</t>
  </si>
  <si>
    <t>2022-07-08 12:25:15.940</t>
  </si>
  <si>
    <t>TRANSPORT NAR GAYE SUARL</t>
  </si>
  <si>
    <t>WEILIN LIN</t>
  </si>
  <si>
    <t>TRIYANGS INTERNATIONAL MINING GROUP</t>
  </si>
  <si>
    <t>WILLIAM KEITH BARCLAY</t>
  </si>
  <si>
    <t>2022-07-06 13:54:30.297</t>
  </si>
  <si>
    <t>WILSON BELLI</t>
  </si>
  <si>
    <t>2022-08-05 13:09:06.490</t>
  </si>
  <si>
    <t>WOLFGANG ENGELBERG BEDORF</t>
  </si>
  <si>
    <t>UNION GOLD SENEGAL</t>
  </si>
  <si>
    <t>XIAMING ZHANG</t>
  </si>
  <si>
    <t>OMAR BADIANE</t>
  </si>
  <si>
    <t>UTK MINING SENEGAL</t>
  </si>
  <si>
    <t>XIFU YANG</t>
  </si>
  <si>
    <t>WALY DIOUF PARTNERS SOLUTION</t>
  </si>
  <si>
    <t>YAKHYA DIOP</t>
  </si>
  <si>
    <t>2022-09-20 16:56:18.357</t>
  </si>
  <si>
    <t>WEST AFRICA MINES (WAM)</t>
  </si>
  <si>
    <t>YAMAGISHI CHISA</t>
  </si>
  <si>
    <t>2022-07-29 10:38:46.930</t>
  </si>
  <si>
    <t>WEST WIND-SA</t>
  </si>
  <si>
    <t>YAN ZHANG</t>
  </si>
  <si>
    <t>2022-07-05 13:29:19.847</t>
  </si>
  <si>
    <t>WONDER MINE &amp; TRADE (WMT-SAS)</t>
  </si>
  <si>
    <t>YANG GUANG</t>
  </si>
  <si>
    <t>2022-04-27 15:25:50.800</t>
  </si>
  <si>
    <t>YANG JUNMING</t>
  </si>
  <si>
    <t>2023-02-01 13:32:13.700</t>
  </si>
  <si>
    <t>YANG QINHAI</t>
  </si>
  <si>
    <t>2023-05-03 10:22:36.810</t>
  </si>
  <si>
    <t>YANTING WANG</t>
  </si>
  <si>
    <t>YAYA IBRAHIMA SOW</t>
  </si>
  <si>
    <t>2024-10-17 14:05:38.997</t>
  </si>
  <si>
    <t>WOODSIDE ENERGY SENEGAL BV</t>
  </si>
  <si>
    <t>YAYE DIOR SECK</t>
  </si>
  <si>
    <t>2024-01-02 13:44:43.337</t>
  </si>
  <si>
    <t>YAYE NOGAYE DIOP</t>
  </si>
  <si>
    <t>2024-07-31 16:23:20.937</t>
  </si>
  <si>
    <t>22.5</t>
  </si>
  <si>
    <t>YIYIRAN XIA</t>
  </si>
  <si>
    <t>X.W.O</t>
  </si>
  <si>
    <t>YONGQIANG QU</t>
  </si>
  <si>
    <t>XINJIN ZIRCONIUM INDUSTRY</t>
  </si>
  <si>
    <t>2024-04-15 12:35:06.120</t>
  </si>
  <si>
    <t>YOUSR AREZKI</t>
  </si>
  <si>
    <t>2024-05-16 16:25:53.140</t>
  </si>
  <si>
    <t>YOUSRIYA NASSIF LOZA</t>
  </si>
  <si>
    <t>2025-08-22 16:47:33.150</t>
  </si>
  <si>
    <t>YELLOW GROUND SENEGAL SAS</t>
  </si>
  <si>
    <t>2025-06-03 16:08:54.233</t>
  </si>
  <si>
    <t>2025-04-03 12:30:18.653</t>
  </si>
  <si>
    <t>YOUSSOUPH DIAITE</t>
  </si>
  <si>
    <t>2025-03-25 15:05:40.897</t>
  </si>
  <si>
    <t>ZEYNA TRANSPORTS-IMMO-CONSTRUCTIONS(Z.T.I.C)</t>
  </si>
  <si>
    <t>YU YANLIANG</t>
  </si>
  <si>
    <t>2024-10-22 23:18:09.513</t>
  </si>
  <si>
    <t>ZHANG</t>
  </si>
  <si>
    <t>ZIAD AREZKI</t>
  </si>
  <si>
    <t>Étiquettes de lignes</t>
  </si>
  <si>
    <t>Total général</t>
  </si>
  <si>
    <t>(vide)</t>
  </si>
  <si>
    <t>EMEEF CONSULTING</t>
  </si>
  <si>
    <t>ETABLISSEMENT MAODO MINES SARL</t>
  </si>
  <si>
    <t>GEOSCIENCES AND PROCESS SERVICES SARL</t>
  </si>
  <si>
    <t>INCA SARL</t>
  </si>
  <si>
    <t>LEBOUGUI DE DIENDER</t>
  </si>
  <si>
    <t>P.S.S SERVICES MINES ET CARRIERES SARL</t>
  </si>
  <si>
    <t>SALAME ENTREPRISE SARL</t>
  </si>
  <si>
    <t>SEN &amp; UK FARMING</t>
  </si>
  <si>
    <t>SOCIETE DE TRAVAUX GENERAL ET DE COMMERCE SARL</t>
  </si>
  <si>
    <t>SOGEMIC SARL</t>
  </si>
  <si>
    <t>AFIA SERVICES</t>
  </si>
  <si>
    <t>AWAHABA GROUP SARL</t>
  </si>
  <si>
    <t>EBD ENTREPRISE SUARL</t>
  </si>
  <si>
    <t>GIE GARAGE SOUF</t>
  </si>
  <si>
    <t>GRACE GOLD COMPANY SENEGAL</t>
  </si>
  <si>
    <t>LES LITIERES DU SENEGAL SARL</t>
  </si>
  <si>
    <t>SALIOU MINES INDUSTRIES ET TECHNIQUES (S.M.I.T)</t>
  </si>
  <si>
    <t>SENEGALAISE DE DISTRIBUTION DE PRODUITS PETROLIERS SDPP SARL</t>
  </si>
  <si>
    <t>GUEYE &amp; FRERES THIORO TRANSPORT G.F.2T</t>
  </si>
  <si>
    <t>SENEGALAISE DE DISTRIBUTION AGROALIMENTAIRE  en abrégé  SE.D.ALI S.A.R.L</t>
  </si>
  <si>
    <t>ADAMA UNIVERSAL IMMOBILIER ET AFFAIRES ADA-SUARL</t>
  </si>
  <si>
    <t>CANSEN ENERGY RESSOURCES SAS</t>
  </si>
  <si>
    <t>BOOK JOM ANDE LIGUEY MECKHE</t>
  </si>
  <si>
    <t>ETS  SERIGNE MANSOUR SY BOROOM DARADJI</t>
  </si>
  <si>
    <t>GIE CAYOR SILEX CORPORATION</t>
  </si>
  <si>
    <t>GIE E.B.T.S ( ENTREPRISE BATIMENT TRAVAUX SARR)</t>
  </si>
  <si>
    <t>GIE FARLOU</t>
  </si>
  <si>
    <t>PS - SENECAT SUARL</t>
  </si>
  <si>
    <t>Denomination Sociale2</t>
  </si>
  <si>
    <t>Année</t>
  </si>
  <si>
    <t>Entreprises Déclarantes dans RBE</t>
  </si>
  <si>
    <t>Entreprises ayant des titres miniers</t>
  </si>
  <si>
    <t>Entreprises sous traitant</t>
  </si>
  <si>
    <t>Permis</t>
  </si>
  <si>
    <t>Contact</t>
  </si>
  <si>
    <t>Nombre de Parties</t>
  </si>
  <si>
    <t>(Tous)</t>
  </si>
  <si>
    <t>Sous-traitant</t>
  </si>
  <si>
    <t>Déclare</t>
  </si>
  <si>
    <t xml:space="preserve"> AFRICA TRADE AND INVESTMENT CONSULTING SARL</t>
  </si>
  <si>
    <t>Entreprise Titulaire</t>
  </si>
  <si>
    <t>Date Octroi</t>
  </si>
  <si>
    <t>Date Expiration</t>
  </si>
  <si>
    <t>Année Octroi</t>
  </si>
  <si>
    <t>Correspondance RBE</t>
  </si>
  <si>
    <t>Score Matching</t>
  </si>
  <si>
    <t>Année 1re Décl. RBE</t>
  </si>
  <si>
    <t>Déclaré (0/1)</t>
  </si>
  <si>
    <t>01/01/1959</t>
  </si>
  <si>
    <t>01/01/2034</t>
  </si>
  <si>
    <t>0 — NON</t>
  </si>
  <si>
    <t>21/03/2015</t>
  </si>
  <si>
    <t>01/01/2052</t>
  </si>
  <si>
    <t>04/10/2019</t>
  </si>
  <si>
    <t>02/10/2029</t>
  </si>
  <si>
    <t>19/04/1985</t>
  </si>
  <si>
    <t>1 — OUI</t>
  </si>
  <si>
    <t>12/01/1998</t>
  </si>
  <si>
    <t>11/01/2023</t>
  </si>
  <si>
    <t>30/05/1983</t>
  </si>
  <si>
    <t>20/09/2026</t>
  </si>
  <si>
    <t>22/06/2009</t>
  </si>
  <si>
    <t>21/06/2025</t>
  </si>
  <si>
    <t>18/10/1995</t>
  </si>
  <si>
    <t>13/01/2025</t>
  </si>
  <si>
    <t>07/10/2021</t>
  </si>
  <si>
    <t>06/10/2026</t>
  </si>
  <si>
    <t>15/11/1996</t>
  </si>
  <si>
    <t>09/04/2026</t>
  </si>
  <si>
    <t>26/05/1988</t>
  </si>
  <si>
    <t>26/05/2013</t>
  </si>
  <si>
    <t>16/10/2009</t>
  </si>
  <si>
    <t>19/10/2024</t>
  </si>
  <si>
    <t>19/10/1999</t>
  </si>
  <si>
    <t>18/10/2024</t>
  </si>
  <si>
    <t>22/02/2000</t>
  </si>
  <si>
    <t>21/02/2025</t>
  </si>
  <si>
    <t>22/02/2025</t>
  </si>
  <si>
    <t>02/11/2007</t>
  </si>
  <si>
    <t>02/11/2017</t>
  </si>
  <si>
    <t>09/06/2005</t>
  </si>
  <si>
    <t>21/04/2040</t>
  </si>
  <si>
    <t>09/09/2010</t>
  </si>
  <si>
    <t>12/05/2026</t>
  </si>
  <si>
    <t>19/04/2031</t>
  </si>
  <si>
    <t>19/04/2006</t>
  </si>
  <si>
    <t>19/04/2033</t>
  </si>
  <si>
    <t>18/04/2031</t>
  </si>
  <si>
    <t>02/11/2032</t>
  </si>
  <si>
    <t>03/11/2006</t>
  </si>
  <si>
    <t>10/04/2021</t>
  </si>
  <si>
    <t>12/12/2008</t>
  </si>
  <si>
    <t>11/12/2033</t>
  </si>
  <si>
    <t>30/06/2008</t>
  </si>
  <si>
    <t>16/04/2026</t>
  </si>
  <si>
    <t>23/11/2006</t>
  </si>
  <si>
    <t>28/09/2025</t>
  </si>
  <si>
    <t>07/08/2009</t>
  </si>
  <si>
    <t>13/11/2026</t>
  </si>
  <si>
    <t>07/04/2026</t>
  </si>
  <si>
    <t>04/02/2019</t>
  </si>
  <si>
    <t>03/02/2023</t>
  </si>
  <si>
    <t>20/06/2002</t>
  </si>
  <si>
    <t>22/06/2025</t>
  </si>
  <si>
    <t>02/07/2018</t>
  </si>
  <si>
    <t>01/07/2023</t>
  </si>
  <si>
    <t>29/07/2010</t>
  </si>
  <si>
    <t>02/03/2024</t>
  </si>
  <si>
    <t>01/02/2012</t>
  </si>
  <si>
    <t>02/11/2021</t>
  </si>
  <si>
    <t>08/06/2011</t>
  </si>
  <si>
    <t>08/06/2036</t>
  </si>
  <si>
    <t>27/01/2012</t>
  </si>
  <si>
    <t>13/01/2028</t>
  </si>
  <si>
    <t>22/05/2012</t>
  </si>
  <si>
    <t>10/01/2012</t>
  </si>
  <si>
    <t>27/01/2021</t>
  </si>
  <si>
    <t>31/01/2023</t>
  </si>
  <si>
    <t>09/01/2019</t>
  </si>
  <si>
    <t>09/01/2029</t>
  </si>
  <si>
    <t>08/02/2018</t>
  </si>
  <si>
    <t>07/02/2023</t>
  </si>
  <si>
    <t>10/07/2013</t>
  </si>
  <si>
    <t>29/06/2025</t>
  </si>
  <si>
    <t>21/11/2013</t>
  </si>
  <si>
    <t>21/11/2025</t>
  </si>
  <si>
    <t>10/02/2014</t>
  </si>
  <si>
    <t>14/11/2016</t>
  </si>
  <si>
    <t>30/05/2017</t>
  </si>
  <si>
    <t>28/05/2027</t>
  </si>
  <si>
    <t>07/10/2014</t>
  </si>
  <si>
    <t>11/05/2025</t>
  </si>
  <si>
    <t>10/06/2015</t>
  </si>
  <si>
    <t>21/06/2026</t>
  </si>
  <si>
    <t>18/04/2016</t>
  </si>
  <si>
    <t>24/04/2025</t>
  </si>
  <si>
    <t>19/02/2015</t>
  </si>
  <si>
    <t>18/02/2020</t>
  </si>
  <si>
    <t>18/02/2025</t>
  </si>
  <si>
    <t>31/05/2017</t>
  </si>
  <si>
    <t>30/05/2022</t>
  </si>
  <si>
    <t>19/04/2016</t>
  </si>
  <si>
    <t>18/04/2026</t>
  </si>
  <si>
    <t>16/09/2015</t>
  </si>
  <si>
    <t>16/09/2040</t>
  </si>
  <si>
    <t>01/02/2021</t>
  </si>
  <si>
    <t>31/01/2026</t>
  </si>
  <si>
    <t>27/09/2018</t>
  </si>
  <si>
    <t>26/09/2038</t>
  </si>
  <si>
    <t>13/07/2017</t>
  </si>
  <si>
    <t>12/07/2027</t>
  </si>
  <si>
    <t>31/03/2016</t>
  </si>
  <si>
    <t>29/03/2026</t>
  </si>
  <si>
    <t>06/04/2016</t>
  </si>
  <si>
    <t>05/04/2021</t>
  </si>
  <si>
    <t>14/07/2016</t>
  </si>
  <si>
    <t>14/07/2031</t>
  </si>
  <si>
    <t>12/01/2010</t>
  </si>
  <si>
    <t>09/05/2024</t>
  </si>
  <si>
    <t>26/07/2018</t>
  </si>
  <si>
    <t>15/08/2027</t>
  </si>
  <si>
    <t>20/06/2016</t>
  </si>
  <si>
    <t>19/06/2026</t>
  </si>
  <si>
    <t>15/02/2016</t>
  </si>
  <si>
    <t>14/02/2021</t>
  </si>
  <si>
    <t>22/09/2016</t>
  </si>
  <si>
    <t>21/09/2026</t>
  </si>
  <si>
    <t>19/09/2018</t>
  </si>
  <si>
    <t>13/09/2027</t>
  </si>
  <si>
    <t>09/03/2016</t>
  </si>
  <si>
    <t>08/03/2026</t>
  </si>
  <si>
    <t>15/01/2018</t>
  </si>
  <si>
    <t>14/01/2023</t>
  </si>
  <si>
    <t>21/09/2022</t>
  </si>
  <si>
    <t>20/03/2018</t>
  </si>
  <si>
    <t>18/03/2028</t>
  </si>
  <si>
    <t>20/03/2025</t>
  </si>
  <si>
    <t>06/04/2021</t>
  </si>
  <si>
    <t>05/04/2024</t>
  </si>
  <si>
    <t>14/12/2017</t>
  </si>
  <si>
    <t>12/12/2027</t>
  </si>
  <si>
    <t>06/02/2028</t>
  </si>
  <si>
    <t>23/07/2018</t>
  </si>
  <si>
    <t>23/07/2028</t>
  </si>
  <si>
    <t>03/03/2021</t>
  </si>
  <si>
    <t>22/02/2021</t>
  </si>
  <si>
    <t>15/01/2024</t>
  </si>
  <si>
    <t>08/08/2017</t>
  </si>
  <si>
    <t>06/08/2027</t>
  </si>
  <si>
    <t>22/06/2017</t>
  </si>
  <si>
    <t>20/06/2027</t>
  </si>
  <si>
    <t>14/01/2025</t>
  </si>
  <si>
    <t>20/04/2018</t>
  </si>
  <si>
    <t>20/04/2028</t>
  </si>
  <si>
    <t>19/04/2023</t>
  </si>
  <si>
    <t>16/01/2019</t>
  </si>
  <si>
    <t>16/01/2044</t>
  </si>
  <si>
    <t>05/06/2018</t>
  </si>
  <si>
    <t>05/06/2025</t>
  </si>
  <si>
    <t>19/04/2024</t>
  </si>
  <si>
    <t>20/04/2022</t>
  </si>
  <si>
    <t>29/01/2021</t>
  </si>
  <si>
    <t>28/01/2026</t>
  </si>
  <si>
    <t>04/06/2028</t>
  </si>
  <si>
    <t>17/04/2018</t>
  </si>
  <si>
    <t>09/02/2028</t>
  </si>
  <si>
    <t>20/06/2018</t>
  </si>
  <si>
    <t>19/06/2023</t>
  </si>
  <si>
    <t>09/05/2018</t>
  </si>
  <si>
    <t>08/05/2028</t>
  </si>
  <si>
    <t>28/01/2019</t>
  </si>
  <si>
    <t>27/01/2028</t>
  </si>
  <si>
    <t>14/05/2018</t>
  </si>
  <si>
    <t>13/05/2023</t>
  </si>
  <si>
    <t>03/06/2028</t>
  </si>
  <si>
    <t>22/06/2018</t>
  </si>
  <si>
    <t>07/05/2028</t>
  </si>
  <si>
    <t>22/07/2023</t>
  </si>
  <si>
    <t>25/07/2023</t>
  </si>
  <si>
    <t>17/10/2018</t>
  </si>
  <si>
    <t>16/10/2025</t>
  </si>
  <si>
    <t>14/02/2019</t>
  </si>
  <si>
    <t>13/02/2029</t>
  </si>
  <si>
    <t>05/02/2019</t>
  </si>
  <si>
    <t>05/02/2026</t>
  </si>
  <si>
    <t>04/02/2026</t>
  </si>
  <si>
    <t>19/03/2019</t>
  </si>
  <si>
    <t>19/03/2026</t>
  </si>
  <si>
    <t>26/09/2028</t>
  </si>
  <si>
    <t>26/12/2019</t>
  </si>
  <si>
    <t>25/12/2024</t>
  </si>
  <si>
    <t>31/01/2019</t>
  </si>
  <si>
    <t>18/03/2024</t>
  </si>
  <si>
    <t>08/01/2024</t>
  </si>
  <si>
    <t>16/12/2019</t>
  </si>
  <si>
    <t>15/12/2039</t>
  </si>
  <si>
    <t>14/12/2018</t>
  </si>
  <si>
    <t>07/06/2019</t>
  </si>
  <si>
    <t>07/06/2026</t>
  </si>
  <si>
    <t>25/11/2019</t>
  </si>
  <si>
    <t>24/11/2024</t>
  </si>
  <si>
    <t>17/02/2027</t>
  </si>
  <si>
    <t>17/02/2020</t>
  </si>
  <si>
    <t>16/02/2026</t>
  </si>
  <si>
    <t>27/05/2020</t>
  </si>
  <si>
    <t>26/05/2024</t>
  </si>
  <si>
    <t>16/07/2020</t>
  </si>
  <si>
    <t>15/07/2024</t>
  </si>
  <si>
    <t>25/08/2020</t>
  </si>
  <si>
    <t>24/08/2027</t>
  </si>
  <si>
    <t>25/02/2020</t>
  </si>
  <si>
    <t>24/02/2024</t>
  </si>
  <si>
    <t>26/02/2020</t>
  </si>
  <si>
    <t>25/02/2025</t>
  </si>
  <si>
    <t>05/04/2025</t>
  </si>
  <si>
    <t>16/06/2016</t>
  </si>
  <si>
    <t>17/06/2019</t>
  </si>
  <si>
    <t>12/10/2020</t>
  </si>
  <si>
    <t>11/10/2025</t>
  </si>
  <si>
    <t>15/10/2020</t>
  </si>
  <si>
    <t>14/10/2024</t>
  </si>
  <si>
    <t>28/10/2020</t>
  </si>
  <si>
    <t>27/10/2024</t>
  </si>
  <si>
    <t>24/03/2021</t>
  </si>
  <si>
    <t>23/03/2026</t>
  </si>
  <si>
    <t>17/02/2025</t>
  </si>
  <si>
    <t>01/03/2021</t>
  </si>
  <si>
    <t>02/09/2021</t>
  </si>
  <si>
    <t>26/03/2021</t>
  </si>
  <si>
    <t>25/03/2025</t>
  </si>
  <si>
    <t>19/04/2021</t>
  </si>
  <si>
    <t>29/04/2021</t>
  </si>
  <si>
    <t>28/04/2026</t>
  </si>
  <si>
    <t>31/08/2021</t>
  </si>
  <si>
    <t>30/08/2026</t>
  </si>
  <si>
    <t>06/07/2021</t>
  </si>
  <si>
    <t>05/07/2024</t>
  </si>
  <si>
    <t>02/07/2021</t>
  </si>
  <si>
    <t>01/07/2026</t>
  </si>
  <si>
    <t>05/08/2021</t>
  </si>
  <si>
    <t>04/08/2024</t>
  </si>
  <si>
    <t>07/07/2021</t>
  </si>
  <si>
    <t>06/07/2026</t>
  </si>
  <si>
    <t>10/06/2021</t>
  </si>
  <si>
    <t>09/06/2026</t>
  </si>
  <si>
    <t>06/10/2025</t>
  </si>
  <si>
    <t>28/07/2021</t>
  </si>
  <si>
    <t>27/07/2026</t>
  </si>
  <si>
    <t>12/10/2021</t>
  </si>
  <si>
    <t>11/10/2026</t>
  </si>
  <si>
    <t>03/03/2022</t>
  </si>
  <si>
    <t>02/03/2025</t>
  </si>
  <si>
    <t>07/12/2021</t>
  </si>
  <si>
    <t>06/12/2026</t>
  </si>
  <si>
    <t>15/07/2021</t>
  </si>
  <si>
    <t>14/07/2026</t>
  </si>
  <si>
    <t>11/01/2022</t>
  </si>
  <si>
    <t>10/01/2027</t>
  </si>
  <si>
    <t>23/09/2021</t>
  </si>
  <si>
    <t>22/09/2026</t>
  </si>
  <si>
    <t>25/11/2022</t>
  </si>
  <si>
    <t>24/11/2027</t>
  </si>
  <si>
    <t>06/03/2024</t>
  </si>
  <si>
    <t>05/03/2028</t>
  </si>
  <si>
    <t>10/05/2021</t>
  </si>
  <si>
    <t>09/05/2026</t>
  </si>
  <si>
    <t>10/10/2020</t>
  </si>
  <si>
    <t>09/10/2025</t>
  </si>
  <si>
    <t>07/12/2020</t>
  </si>
  <si>
    <t>06/12/2025</t>
  </si>
  <si>
    <t>02/03/2026</t>
  </si>
  <si>
    <t>22/02/2022</t>
  </si>
  <si>
    <t>23/02/2022</t>
  </si>
  <si>
    <t>22/02/2026</t>
  </si>
  <si>
    <t>22/03/2022</t>
  </si>
  <si>
    <t>21/03/2027</t>
  </si>
  <si>
    <t>20/07/2022</t>
  </si>
  <si>
    <t>19/07/2025</t>
  </si>
  <si>
    <t>21/03/2025</t>
  </si>
  <si>
    <t>02/11/2009</t>
  </si>
  <si>
    <t>01/11/2020</t>
  </si>
  <si>
    <t>24/06/2022</t>
  </si>
  <si>
    <t>23/06/2025</t>
  </si>
  <si>
    <t>16/08/2022</t>
  </si>
  <si>
    <t>15/08/2026</t>
  </si>
  <si>
    <t>08/05/2025</t>
  </si>
  <si>
    <t>02/06/2022</t>
  </si>
  <si>
    <t>01/06/2025</t>
  </si>
  <si>
    <t>23/08/2022</t>
  </si>
  <si>
    <t>22/08/2025</t>
  </si>
  <si>
    <t>07/06/2022</t>
  </si>
  <si>
    <t>06/06/2026</t>
  </si>
  <si>
    <t>02/02/2022</t>
  </si>
  <si>
    <t>01/02/2027</t>
  </si>
  <si>
    <t>03/06/2023</t>
  </si>
  <si>
    <t>02/06/2026</t>
  </si>
  <si>
    <t>23/05/2022</t>
  </si>
  <si>
    <t>22/05/2025</t>
  </si>
  <si>
    <t>23/06/2022</t>
  </si>
  <si>
    <t>22/06/2032</t>
  </si>
  <si>
    <t>30/06/2022</t>
  </si>
  <si>
    <t>29/06/2032</t>
  </si>
  <si>
    <t>21/07/2022</t>
  </si>
  <si>
    <t>20/07/2027</t>
  </si>
  <si>
    <t>21/02/2027</t>
  </si>
  <si>
    <t>19/04/2022</t>
  </si>
  <si>
    <t>18/04/2027</t>
  </si>
  <si>
    <t>25/04/2022</t>
  </si>
  <si>
    <t>24/04/2027</t>
  </si>
  <si>
    <t>10/08/2022</t>
  </si>
  <si>
    <t>09/08/2027</t>
  </si>
  <si>
    <t>08/04/2022</t>
  </si>
  <si>
    <t>07/04/2027</t>
  </si>
  <si>
    <t>19/08/2022</t>
  </si>
  <si>
    <t>18/08/2026</t>
  </si>
  <si>
    <t>30/08/2022</t>
  </si>
  <si>
    <t>29/08/2025</t>
  </si>
  <si>
    <t>04/07/2017</t>
  </si>
  <si>
    <t>05/06/2026</t>
  </si>
  <si>
    <t>30/03/2022</t>
  </si>
  <si>
    <t>29/03/2027</t>
  </si>
  <si>
    <t>11/08/2020</t>
  </si>
  <si>
    <t>10/08/2025</t>
  </si>
  <si>
    <t>22/08/2012</t>
  </si>
  <si>
    <t>20/08/2027</t>
  </si>
  <si>
    <t>13/09/2022</t>
  </si>
  <si>
    <t>12/09/2027</t>
  </si>
  <si>
    <t>07/09/2022</t>
  </si>
  <si>
    <t>06/09/2027</t>
  </si>
  <si>
    <t>30/01/2023</t>
  </si>
  <si>
    <t>29/01/2027</t>
  </si>
  <si>
    <t>21/03/2023</t>
  </si>
  <si>
    <t>20/03/2027</t>
  </si>
  <si>
    <t>15/03/2023</t>
  </si>
  <si>
    <t>14/03/2026</t>
  </si>
  <si>
    <t>16/02/2022</t>
  </si>
  <si>
    <t>15/02/2027</t>
  </si>
  <si>
    <t>22/05/2027</t>
  </si>
  <si>
    <t>05/08/2022</t>
  </si>
  <si>
    <t>04/08/2027</t>
  </si>
  <si>
    <t>05/07/2022</t>
  </si>
  <si>
    <t>04/07/2027</t>
  </si>
  <si>
    <t>22/08/2027</t>
  </si>
  <si>
    <t>14/02/2023</t>
  </si>
  <si>
    <t>13/02/2024</t>
  </si>
  <si>
    <t>14/11/2022</t>
  </si>
  <si>
    <t>09/12/2022</t>
  </si>
  <si>
    <t>08/12/2025</t>
  </si>
  <si>
    <t>24/01/2024</t>
  </si>
  <si>
    <t>23/01/2027</t>
  </si>
  <si>
    <t>13/12/2022</t>
  </si>
  <si>
    <t>12/12/2024</t>
  </si>
  <si>
    <t>07/11/2022</t>
  </si>
  <si>
    <t>06/11/2027</t>
  </si>
  <si>
    <t>08/11/2022</t>
  </si>
  <si>
    <t>07/11/2027</t>
  </si>
  <si>
    <t>28/10/2022</t>
  </si>
  <si>
    <t>27/10/2027</t>
  </si>
  <si>
    <t>03/11/2022</t>
  </si>
  <si>
    <t>02/11/2027</t>
  </si>
  <si>
    <t>24/11/2025</t>
  </si>
  <si>
    <t>13/11/2027</t>
  </si>
  <si>
    <t>27/12/2022</t>
  </si>
  <si>
    <t>26/12/2025</t>
  </si>
  <si>
    <t>12/12/2025</t>
  </si>
  <si>
    <t>05/07/2026</t>
  </si>
  <si>
    <t>17/08/2022</t>
  </si>
  <si>
    <t>16/08/2027</t>
  </si>
  <si>
    <t>03/02/2026</t>
  </si>
  <si>
    <t>09/05/2023</t>
  </si>
  <si>
    <t>23/12/2022</t>
  </si>
  <si>
    <t>22/12/2027</t>
  </si>
  <si>
    <t>06/12/2022</t>
  </si>
  <si>
    <t>05/12/2027</t>
  </si>
  <si>
    <t>04/01/2023</t>
  </si>
  <si>
    <t>03/01/2028</t>
  </si>
  <si>
    <t>25/04/2023</t>
  </si>
  <si>
    <t>24/04/2026</t>
  </si>
  <si>
    <t>02/02/2023</t>
  </si>
  <si>
    <t>01/02/2026</t>
  </si>
  <si>
    <t>01/02/2023</t>
  </si>
  <si>
    <t>31/01/2027</t>
  </si>
  <si>
    <t>16/09/2022</t>
  </si>
  <si>
    <t>15/09/2027</t>
  </si>
  <si>
    <t>20/03/2026</t>
  </si>
  <si>
    <t>08/12/2027</t>
  </si>
  <si>
    <t>13/12/2019</t>
  </si>
  <si>
    <t>24/08/2022</t>
  </si>
  <si>
    <t>23/08/2027</t>
  </si>
  <si>
    <t>20/02/2023</t>
  </si>
  <si>
    <t>19/02/2028</t>
  </si>
  <si>
    <t>24/01/2023</t>
  </si>
  <si>
    <t>12/04/2023</t>
  </si>
  <si>
    <t>11/04/2026</t>
  </si>
  <si>
    <t>24/01/2020</t>
  </si>
  <si>
    <t>23/01/2025</t>
  </si>
  <si>
    <t>06/06/2025</t>
  </si>
  <si>
    <t>30/01/2028</t>
  </si>
  <si>
    <t>06/03/2023</t>
  </si>
  <si>
    <t>05/03/2026</t>
  </si>
  <si>
    <t>26/06/2023</t>
  </si>
  <si>
    <t>25/06/2026</t>
  </si>
  <si>
    <t>17/02/2023</t>
  </si>
  <si>
    <t>16/02/2027</t>
  </si>
  <si>
    <t>19/03/2021</t>
  </si>
  <si>
    <t>24/05/2023</t>
  </si>
  <si>
    <t>23/05/2026</t>
  </si>
  <si>
    <t>19/02/2027</t>
  </si>
  <si>
    <t>14/04/2023</t>
  </si>
  <si>
    <t>13/04/2026</t>
  </si>
  <si>
    <t>05/03/2027</t>
  </si>
  <si>
    <t>26/09/2023</t>
  </si>
  <si>
    <t>25/09/2027</t>
  </si>
  <si>
    <t>08/05/2026</t>
  </si>
  <si>
    <t>23/05/2027</t>
  </si>
  <si>
    <t>11/04/2028</t>
  </si>
  <si>
    <t>13/06/2023</t>
  </si>
  <si>
    <t>12/06/2026</t>
  </si>
  <si>
    <t>20/06/2023</t>
  </si>
  <si>
    <t>19/05/2024</t>
  </si>
  <si>
    <t>18/05/2029</t>
  </si>
  <si>
    <t>24/05/2024</t>
  </si>
  <si>
    <t>25/08/2021</t>
  </si>
  <si>
    <t>24/08/2025</t>
  </si>
  <si>
    <t>10/07/2023</t>
  </si>
  <si>
    <t>09/07/2026</t>
  </si>
  <si>
    <t>19/05/2023</t>
  </si>
  <si>
    <t>18/05/2028</t>
  </si>
  <si>
    <t>05/07/2023</t>
  </si>
  <si>
    <t>06/07/2023</t>
  </si>
  <si>
    <t>05/07/2027</t>
  </si>
  <si>
    <t>15/09/2023</t>
  </si>
  <si>
    <t>14/09/2028</t>
  </si>
  <si>
    <t>31/05/2022</t>
  </si>
  <si>
    <t>30/05/2042</t>
  </si>
  <si>
    <t>12/06/2028</t>
  </si>
  <si>
    <t>09/07/2028</t>
  </si>
  <si>
    <t>09/07/2027</t>
  </si>
  <si>
    <t>25/06/2028</t>
  </si>
  <si>
    <t>27/06/2023</t>
  </si>
  <si>
    <t>26/06/2028</t>
  </si>
  <si>
    <t>07/08/2023</t>
  </si>
  <si>
    <t>06/08/2028</t>
  </si>
  <si>
    <t>07/02/2024</t>
  </si>
  <si>
    <t>06/02/2027</t>
  </si>
  <si>
    <t>25/09/2023</t>
  </si>
  <si>
    <t>24/09/2026</t>
  </si>
  <si>
    <t>27/07/2023</t>
  </si>
  <si>
    <t>26/07/2026</t>
  </si>
  <si>
    <t>31/08/2023</t>
  </si>
  <si>
    <t>07/01/2027</t>
  </si>
  <si>
    <t>30/08/2028</t>
  </si>
  <si>
    <t>06/06/2023</t>
  </si>
  <si>
    <t>03/10/2023</t>
  </si>
  <si>
    <t>02/10/2026</t>
  </si>
  <si>
    <t>18/09/2023</t>
  </si>
  <si>
    <t>17/09/2025</t>
  </si>
  <si>
    <t>27/09/2023</t>
  </si>
  <si>
    <t>26/09/2026</t>
  </si>
  <si>
    <t>14/07/2023</t>
  </si>
  <si>
    <t>13/07/2026</t>
  </si>
  <si>
    <t>20/09/2023</t>
  </si>
  <si>
    <t>19/09/2026</t>
  </si>
  <si>
    <t>03/01/2024</t>
  </si>
  <si>
    <t>02/01/2027</t>
  </si>
  <si>
    <t>15/12/2023</t>
  </si>
  <si>
    <t>14/12/2026</t>
  </si>
  <si>
    <t>25/10/2023</t>
  </si>
  <si>
    <t>24/10/2028</t>
  </si>
  <si>
    <t>27/10/2023</t>
  </si>
  <si>
    <t>26/10/2028</t>
  </si>
  <si>
    <t>15/03/2024</t>
  </si>
  <si>
    <t>14/03/2027</t>
  </si>
  <si>
    <t>06/11/2023</t>
  </si>
  <si>
    <t>05/11/2026</t>
  </si>
  <si>
    <t>29/12/2023</t>
  </si>
  <si>
    <t>28/12/2028</t>
  </si>
  <si>
    <t>29/11/2023</t>
  </si>
  <si>
    <t>28/11/2028</t>
  </si>
  <si>
    <t>26/12/2023</t>
  </si>
  <si>
    <t>24/09/2028</t>
  </si>
  <si>
    <t>02/10/2028</t>
  </si>
  <si>
    <t>11/12/2023</t>
  </si>
  <si>
    <t>10/12/2024</t>
  </si>
  <si>
    <t>25/09/2028</t>
  </si>
  <si>
    <t>30/11/2023</t>
  </si>
  <si>
    <t>29/11/2027</t>
  </si>
  <si>
    <t>27/12/2023</t>
  </si>
  <si>
    <t>26/12/2026</t>
  </si>
  <si>
    <t>31/10/2023</t>
  </si>
  <si>
    <t>30/10/2026</t>
  </si>
  <si>
    <t>22/11/2023</t>
  </si>
  <si>
    <t>21/11/2028</t>
  </si>
  <si>
    <t>07/12/2023</t>
  </si>
  <si>
    <t>06/12/2024</t>
  </si>
  <si>
    <t>28/11/2027</t>
  </si>
  <si>
    <t>02/01/2029</t>
  </si>
  <si>
    <t>08/12/2023</t>
  </si>
  <si>
    <t>07/12/2024</t>
  </si>
  <si>
    <t>27/05/2022</t>
  </si>
  <si>
    <t>26/05/2027</t>
  </si>
  <si>
    <t>01/10/2021</t>
  </si>
  <si>
    <t>30/09/2026</t>
  </si>
  <si>
    <t>10/02/2022</t>
  </si>
  <si>
    <t>09/02/2027</t>
  </si>
  <si>
    <t>29/06/2018</t>
  </si>
  <si>
    <t>27/06/2028</t>
  </si>
  <si>
    <t>26/01/2024</t>
  </si>
  <si>
    <t>25/01/2025</t>
  </si>
  <si>
    <t>28/12/2026</t>
  </si>
  <si>
    <t>17/01/2024</t>
  </si>
  <si>
    <t>16/01/2029</t>
  </si>
  <si>
    <t>01/02/2024</t>
  </si>
  <si>
    <t>31/01/2025</t>
  </si>
  <si>
    <t>14/03/2028</t>
  </si>
  <si>
    <t>14/02/2024</t>
  </si>
  <si>
    <t>13/02/2025</t>
  </si>
  <si>
    <t>18/04/2023</t>
  </si>
  <si>
    <t>17/04/2028</t>
  </si>
  <si>
    <t>27/02/2024</t>
  </si>
  <si>
    <t>26/02/2027</t>
  </si>
  <si>
    <t>05/02/2024</t>
  </si>
  <si>
    <t>04/02/2025</t>
  </si>
  <si>
    <t>24/04/2023</t>
  </si>
  <si>
    <t>23/04/2028</t>
  </si>
  <si>
    <t>20/02/2024</t>
  </si>
  <si>
    <t>26/12/2028</t>
  </si>
  <si>
    <t>06/12/2028</t>
  </si>
  <si>
    <t>31/01/2024</t>
  </si>
  <si>
    <t>30/01/2027</t>
  </si>
  <si>
    <t>02/02/2024</t>
  </si>
  <si>
    <t>01/02/2028</t>
  </si>
  <si>
    <t>12/02/2024</t>
  </si>
  <si>
    <t>11/02/2029</t>
  </si>
  <si>
    <t>18/01/2024</t>
  </si>
  <si>
    <t>17/01/2025</t>
  </si>
  <si>
    <t>21/02/2024</t>
  </si>
  <si>
    <t>20/02/2025</t>
  </si>
  <si>
    <t>19/02/2025</t>
  </si>
  <si>
    <t>01/02/2029</t>
  </si>
  <si>
    <t>22/02/2024</t>
  </si>
  <si>
    <t>26/02/2024</t>
  </si>
  <si>
    <t>20/02/2022</t>
  </si>
  <si>
    <t>05/03/2024</t>
  </si>
  <si>
    <t>04/03/2025</t>
  </si>
  <si>
    <t>03/04/2024</t>
  </si>
  <si>
    <t>02/04/2025</t>
  </si>
  <si>
    <t>07/03/2024</t>
  </si>
  <si>
    <t>06/03/2025</t>
  </si>
  <si>
    <t>08/03/2024</t>
  </si>
  <si>
    <t>07/03/2025</t>
  </si>
  <si>
    <t>12/03/2024</t>
  </si>
  <si>
    <t>11/03/2025</t>
  </si>
  <si>
    <t>11/03/2024</t>
  </si>
  <si>
    <t>10/03/2025</t>
  </si>
  <si>
    <t>17/03/2025</t>
  </si>
  <si>
    <t>21/03/2024</t>
  </si>
  <si>
    <t>14/03/2029</t>
  </si>
  <si>
    <t>22/03/2024</t>
  </si>
  <si>
    <t>21/03/2029</t>
  </si>
  <si>
    <t>29/03/2024</t>
  </si>
  <si>
    <t>28/03/2025</t>
  </si>
  <si>
    <t>28/03/2029</t>
  </si>
  <si>
    <t>28/02/2024</t>
  </si>
  <si>
    <t>27/02/2025</t>
  </si>
  <si>
    <t>27/03/2024</t>
  </si>
  <si>
    <t>26/03/2029</t>
  </si>
  <si>
    <t>22/06/2023</t>
  </si>
  <si>
    <t>14/03/2024</t>
  </si>
  <si>
    <t>13/03/2028</t>
  </si>
  <si>
    <t>28/03/2028</t>
  </si>
  <si>
    <t>08/05/2023</t>
  </si>
  <si>
    <t>11/05/2023</t>
  </si>
  <si>
    <t>10/05/2028</t>
  </si>
  <si>
    <t>28/09/2026</t>
  </si>
  <si>
    <t>04/08/2025</t>
  </si>
  <si>
    <t>30/05/2025</t>
  </si>
  <si>
    <t>29/05/2026</t>
  </si>
  <si>
    <t>27/06/2025</t>
  </si>
  <si>
    <t>26/06/2026</t>
  </si>
  <si>
    <t>07/07/2025</t>
  </si>
  <si>
    <t>26/05/2025</t>
  </si>
  <si>
    <t>25/05/2026</t>
  </si>
  <si>
    <t>01/08/2025</t>
  </si>
  <si>
    <t>31/07/2026</t>
  </si>
  <si>
    <t>27/10/2025</t>
  </si>
  <si>
    <t>26/10/2026</t>
  </si>
  <si>
    <t>04/12/2025</t>
  </si>
  <si>
    <t>03/12/2026</t>
  </si>
  <si>
    <t>27/11/2025</t>
  </si>
  <si>
    <t>26/11/2026</t>
  </si>
  <si>
    <t>29/09/2025</t>
  </si>
  <si>
    <t>29/10/2025</t>
  </si>
  <si>
    <t>28/10/2026</t>
  </si>
  <si>
    <t>22/12/2025</t>
  </si>
  <si>
    <t>21/12/2026</t>
  </si>
  <si>
    <t>17/11/2025</t>
  </si>
  <si>
    <t>16/11/2026</t>
  </si>
  <si>
    <t>23/11/2026</t>
  </si>
  <si>
    <t>28/11/2025</t>
  </si>
  <si>
    <t>27/11/2026</t>
  </si>
  <si>
    <t>01/04/2026</t>
  </si>
  <si>
    <t>23/12/2025</t>
  </si>
  <si>
    <t>22/12/2026</t>
  </si>
  <si>
    <t>12/01/2026</t>
  </si>
  <si>
    <t>11/01/2029</t>
  </si>
  <si>
    <t>16/01/2026</t>
  </si>
  <si>
    <t>15/01/2029</t>
  </si>
  <si>
    <t>22/01/2026</t>
  </si>
  <si>
    <t>21/01/2029</t>
  </si>
  <si>
    <t>23/01/2026</t>
  </si>
  <si>
    <t>22/01/2029</t>
  </si>
  <si>
    <t>15/10/2026</t>
  </si>
  <si>
    <t>02/02/2026</t>
  </si>
  <si>
    <t>17/03/2026</t>
  </si>
  <si>
    <t>16/03/2029</t>
  </si>
  <si>
    <t>18/06/2025</t>
  </si>
  <si>
    <t>17/06/2026</t>
  </si>
  <si>
    <t>26/11/2025</t>
  </si>
  <si>
    <t>25/11/2026</t>
  </si>
  <si>
    <t>11/12/2025</t>
  </si>
  <si>
    <t>10/12/2026</t>
  </si>
  <si>
    <t>01/12/2025</t>
  </si>
  <si>
    <t>31/05/2026</t>
  </si>
  <si>
    <t>08/09/2025</t>
  </si>
  <si>
    <t>07/09/2026</t>
  </si>
  <si>
    <t>13/02/2044</t>
  </si>
  <si>
    <t>09/12/2025</t>
  </si>
  <si>
    <t>08/06/2026</t>
  </si>
  <si>
    <t>26/01/2026</t>
  </si>
  <si>
    <t>25/07/2026</t>
  </si>
  <si>
    <t>23/02/2026</t>
  </si>
  <si>
    <t>22/08/2026</t>
  </si>
  <si>
    <t>20/04/2026</t>
  </si>
  <si>
    <t>19/04/2027</t>
  </si>
  <si>
    <t>09/08/2007</t>
  </si>
  <si>
    <t>29/06/2026</t>
  </si>
  <si>
    <t>26/06/2014</t>
  </si>
  <si>
    <t>25/06/2024</t>
  </si>
  <si>
    <t>26/07/2013</t>
  </si>
  <si>
    <t>29/03/2029</t>
  </si>
  <si>
    <t>08/08/2020</t>
  </si>
  <si>
    <t>30/08/2013</t>
  </si>
  <si>
    <t>06/07/2024</t>
  </si>
  <si>
    <t>22/08/2017</t>
  </si>
  <si>
    <t>20/08/2024</t>
  </si>
  <si>
    <t>01/12/2016</t>
  </si>
  <si>
    <t>03/01/2027</t>
  </si>
  <si>
    <t>19/07/2027</t>
  </si>
  <si>
    <t>14/12/2020</t>
  </si>
  <si>
    <t>13/12/2025</t>
  </si>
  <si>
    <t>27/10/2022</t>
  </si>
  <si>
    <t>08/11/2024</t>
  </si>
  <si>
    <t>27/07/2021</t>
  </si>
  <si>
    <t>26/07/2024</t>
  </si>
  <si>
    <t>27/07/2025</t>
  </si>
  <si>
    <t>20/05/2025</t>
  </si>
  <si>
    <t xml:space="preserve">ENTREPRISE DE GENIE CIVIL CONCASSEUR BASALTE NDIAMBOUR (EGCCBN) SUARL  </t>
  </si>
  <si>
    <t xml:space="preserve">COMPAGNIE GENERALE D'EXPLOITATION DE CARRIERE </t>
  </si>
  <si>
    <t xml:space="preserve">GECAMINES.SA </t>
  </si>
  <si>
    <t xml:space="preserve">COMPAGNIE SAHELIENNE D'ENTREPRISE GRANULATS </t>
  </si>
  <si>
    <t xml:space="preserve">SOCIETE DE COMMERCIALISATION DU CIMENT (SOCOCIM) INDUSTRIES  </t>
  </si>
  <si>
    <t xml:space="preserve">LIBASSE NIANG </t>
  </si>
  <si>
    <t xml:space="preserve">CARRIERE ABDOU FATTAH SA </t>
  </si>
  <si>
    <t xml:space="preserve">MINING RESEARCH COMPANY S.L </t>
  </si>
  <si>
    <t xml:space="preserve">SYPROM SA </t>
  </si>
  <si>
    <t xml:space="preserve">ENTREPRISE MAPATHE NDIOUCK </t>
  </si>
  <si>
    <t xml:space="preserve">SOCIETE DES MINES DU SENEGAL (SODEMINES) </t>
  </si>
  <si>
    <t xml:space="preserve">GH MINING SARL </t>
  </si>
  <si>
    <t xml:space="preserve">SEN-HMC MINING SUARL </t>
  </si>
  <si>
    <t xml:space="preserve">COMPTOIRE COMMERCIAL DAOUDA DIA SUARL </t>
  </si>
  <si>
    <t xml:space="preserve">CAYOR PHOSPHATE MINING SA </t>
  </si>
  <si>
    <t xml:space="preserve">SDK MINING SA </t>
  </si>
  <si>
    <t xml:space="preserve">REPUBLIQUE DU SENEGAL </t>
  </si>
  <si>
    <t xml:space="preserve">VAPROM AFRICA SA </t>
  </si>
  <si>
    <t xml:space="preserve">SOCIETE INDUSTRIELLE ET MINIERE SUARL </t>
  </si>
  <si>
    <t xml:space="preserve">LIMETECH SA </t>
  </si>
  <si>
    <t xml:space="preserve">MOM SARL </t>
  </si>
  <si>
    <t xml:space="preserve">SOCIETE DES TERRES NEUVES SARL </t>
  </si>
  <si>
    <t xml:space="preserve">SOCIETE DE SERVICES, BATIMENT ET COMMERCE INTERNATIONALE 2SBCI SUARL </t>
  </si>
  <si>
    <t xml:space="preserve">LES CARRIERES CTG SARL </t>
  </si>
  <si>
    <t xml:space="preserve">ISLE WORLDWIDE </t>
  </si>
  <si>
    <t xml:space="preserve">GIE SINING KANG </t>
  </si>
  <si>
    <t xml:space="preserve">SOCIETE CIVILE IMMOBILIERE S.C.I.D.D </t>
  </si>
  <si>
    <t xml:space="preserve">ENTREPRISE GENERALE D'EQUIPEMENT  SARL </t>
  </si>
  <si>
    <t xml:space="preserve">URBAINE D'ENTREPRISE </t>
  </si>
  <si>
    <t xml:space="preserve">SWAMI MINES SAU </t>
  </si>
  <si>
    <t xml:space="preserve">AGROMINE SUARL </t>
  </si>
  <si>
    <t xml:space="preserve">BUL FAALE PRODUCTION </t>
  </si>
  <si>
    <t xml:space="preserve">FUTURIS IMMOBILIER </t>
  </si>
  <si>
    <t xml:space="preserve">WEST AFRICAN TRADING INVESTMENT CONSTRUCTION </t>
  </si>
  <si>
    <t xml:space="preserve">MOUHAMED RASSOUL SECK SERVICES </t>
  </si>
  <si>
    <t xml:space="preserve">ALBINA SENEGAL </t>
  </si>
  <si>
    <t xml:space="preserve">GIE REBISEN </t>
  </si>
  <si>
    <t xml:space="preserve">SOCIETE SENEGALAISE DES MINES ET CARRIERES </t>
  </si>
  <si>
    <t xml:space="preserve">SOCIETE DE CONCASSAGE ET DE BETON SARL </t>
  </si>
  <si>
    <t xml:space="preserve">SABODALA MINING COMPANY </t>
  </si>
  <si>
    <t xml:space="preserve">TRIYANGS INTERNATIONAL MINING GROUP SA </t>
  </si>
  <si>
    <t xml:space="preserve">ENTREPRISE GENERALE D'ELECTRICITE </t>
  </si>
  <si>
    <t xml:space="preserve">MANDINGA RESOURCES SARL </t>
  </si>
  <si>
    <t xml:space="preserve">ETS MAMADOU DIOUF CISSE </t>
  </si>
  <si>
    <t xml:space="preserve">PRESTIGES-EXPORT LLC </t>
  </si>
  <si>
    <t xml:space="preserve">AGEM </t>
  </si>
  <si>
    <t xml:space="preserve">FUTURMINE SARL </t>
  </si>
  <si>
    <t xml:space="preserve">BAMBADJI SA </t>
  </si>
  <si>
    <t xml:space="preserve">TANOR SOLUTIONS INDUSTRIELLES </t>
  </si>
  <si>
    <t xml:space="preserve">ETABLISSEMENT WI MARS </t>
  </si>
  <si>
    <t xml:space="preserve">COMPAGNIE DES SABLES DU SENEGAL  </t>
  </si>
  <si>
    <t xml:space="preserve"> AFRICA TRADE AND INVESTMENT CONSULTING SARL </t>
  </si>
  <si>
    <t xml:space="preserve">SOCIETE DE BATIMENT et TRAVAUX PUBLICS SUARL </t>
  </si>
  <si>
    <t xml:space="preserve">BABJUF MINES </t>
  </si>
  <si>
    <t xml:space="preserve">GLOBAL IMMO SENEGAL SARL </t>
  </si>
  <si>
    <t xml:space="preserve">RAMATOO </t>
  </si>
  <si>
    <t xml:space="preserve">PROFILEX COMPANY </t>
  </si>
  <si>
    <t xml:space="preserve">KAYAR HMC MINING SA </t>
  </si>
  <si>
    <t xml:space="preserve">NEW ENERGY INVESTISMENT SARL </t>
  </si>
  <si>
    <t xml:space="preserve">IMPROVE SENEGAL SAS </t>
  </si>
  <si>
    <t xml:space="preserve">SOCIETE SENEGALAISE DE GRAVIERS SARL </t>
  </si>
  <si>
    <t xml:space="preserve">SOMINES GRANULATS SA </t>
  </si>
  <si>
    <t xml:space="preserve">GIE MARBRE BASALTE-GRANITE DU SENEGAL </t>
  </si>
  <si>
    <t xml:space="preserve">DIYAN EXPLOITATION MINIERE SUARL </t>
  </si>
  <si>
    <t xml:space="preserve">BAMBUK MINERALS </t>
  </si>
  <si>
    <t xml:space="preserve">SCATY INDUSTRIES  </t>
  </si>
  <si>
    <t xml:space="preserve">GIE DJIGUI </t>
  </si>
  <si>
    <t xml:space="preserve">LYONS FIELD SUARL </t>
  </si>
  <si>
    <t xml:space="preserve">SAMA GOLD SARL </t>
  </si>
  <si>
    <t xml:space="preserve">ARDIMINES </t>
  </si>
  <si>
    <t xml:space="preserve">MASSAWA JERSEY LIMITED </t>
  </si>
  <si>
    <t xml:space="preserve">BHAIRAVA AGRICOL SARL </t>
  </si>
  <si>
    <t xml:space="preserve">GIE SOLIDARITE POUR LE DEVELOPPEMENT </t>
  </si>
  <si>
    <t xml:space="preserve">HOLDING ATLANTIC MINING PETROLUM " MINE PETRO-SA" </t>
  </si>
  <si>
    <t xml:space="preserve">CIMENTS DE L'AFRIQUE  </t>
  </si>
  <si>
    <t xml:space="preserve">GECAMINES GRANULATS </t>
  </si>
  <si>
    <t xml:space="preserve">SOCIETE WAAGAAN BTP SARL </t>
  </si>
  <si>
    <t xml:space="preserve">INTERNATIONAL COMPANY OF TRADE AND SERVICES SA  ; SOCIETE CAPITAL PLUS </t>
  </si>
  <si>
    <t xml:space="preserve">DAMOUNGHAYE SUARL </t>
  </si>
  <si>
    <t xml:space="preserve">EBONY NATURAL RESOURCES - SUARL </t>
  </si>
  <si>
    <t xml:space="preserve">GENERAL SERVICES SARL </t>
  </si>
  <si>
    <t xml:space="preserve">AZ SERVICES SARL </t>
  </si>
  <si>
    <t xml:space="preserve">TAYSIR SARL </t>
  </si>
  <si>
    <t xml:space="preserve">THIAM SENEGAL GOLD FAMILY </t>
  </si>
  <si>
    <t xml:space="preserve">SOCIETE DE FORAGE ET DE TRAVAUX PUBLICS MINING </t>
  </si>
  <si>
    <t xml:space="preserve">ETABLISSEMENT SAM SARL </t>
  </si>
  <si>
    <t xml:space="preserve">SERVICE REGIONAL DE TAMBACOUNDA </t>
  </si>
  <si>
    <t xml:space="preserve">NEGOCE FIABLE SENEGAL SARL </t>
  </si>
  <si>
    <t xml:space="preserve">S DOM HOLDING GOLD SARL </t>
  </si>
  <si>
    <t xml:space="preserve">BANDESERVICES </t>
  </si>
  <si>
    <t xml:space="preserve">BETAMINES SA </t>
  </si>
  <si>
    <t xml:space="preserve">SOFITA SERVICES &amp; LOGISTIQUE </t>
  </si>
  <si>
    <t xml:space="preserve">AMIN TRANS SUARL </t>
  </si>
  <si>
    <t xml:space="preserve">HGR SENEGAL SARL </t>
  </si>
  <si>
    <t xml:space="preserve">DIOR GOLD SUARL </t>
  </si>
  <si>
    <t xml:space="preserve">SILIKA GRANULATS SARL </t>
  </si>
  <si>
    <t xml:space="preserve">TESORO SERVICES </t>
  </si>
  <si>
    <t xml:space="preserve">GREENFIELD ASSETS INVEST GAIN </t>
  </si>
  <si>
    <t xml:space="preserve">SEN CONSORTIUM D'ENTREPRISE SARL </t>
  </si>
  <si>
    <t xml:space="preserve">ELIKANE SUARL </t>
  </si>
  <si>
    <t xml:space="preserve">GROUPE SOCIETE SENEGALO SUISSE DES AFFAIRES SUARL </t>
  </si>
  <si>
    <t xml:space="preserve">GLOBAL MINING OPERATIONS </t>
  </si>
  <si>
    <t xml:space="preserve">QINGNING SUARL </t>
  </si>
  <si>
    <t xml:space="preserve">ADAMA UNIVERSAL IMMOBILIER ET AFFAIRES </t>
  </si>
  <si>
    <t xml:space="preserve">CHESSER SAU </t>
  </si>
  <si>
    <t xml:space="preserve">CILAGE MINE </t>
  </si>
  <si>
    <t xml:space="preserve">MAIGA HOLDING </t>
  </si>
  <si>
    <t xml:space="preserve">KEDOUGOU BUSINESS &amp; MINING SERVICES SARL </t>
  </si>
  <si>
    <t xml:space="preserve">SOYA GOLD SARL </t>
  </si>
  <si>
    <t xml:space="preserve">GIE JOKKER ENDANG WAKILARE </t>
  </si>
  <si>
    <t xml:space="preserve">GOLDSKY </t>
  </si>
  <si>
    <t xml:space="preserve">CILAGE MINE SUARL </t>
  </si>
  <si>
    <t xml:space="preserve">BARRICK GOLD SENEGAL SA </t>
  </si>
  <si>
    <t xml:space="preserve">SHIFENG MINING COMPANY SARL </t>
  </si>
  <si>
    <t xml:space="preserve">MANSA GOLD CORPORATION </t>
  </si>
  <si>
    <t xml:space="preserve">ENTREPRISE INTERNATIONALE DES BIENS ET SERVICES  </t>
  </si>
  <si>
    <t xml:space="preserve">MINE PETRO SA </t>
  </si>
  <si>
    <t xml:space="preserve">ENEVIS SENEGAL  SA </t>
  </si>
  <si>
    <t xml:space="preserve">CASA BAMBA  </t>
  </si>
  <si>
    <t xml:space="preserve">AMATH NDIAYE INTERNATIONALE PRESTIGE SUARL </t>
  </si>
  <si>
    <t xml:space="preserve">NDATTE YALLAH COMPAGNIE </t>
  </si>
  <si>
    <t xml:space="preserve">NOGA MINE SARL </t>
  </si>
  <si>
    <t xml:space="preserve">ETAT DU SENEGAL </t>
  </si>
  <si>
    <t xml:space="preserve">BAU </t>
  </si>
  <si>
    <t xml:space="preserve">ETABLISSEMENT GENERAL DE COMMERCE IMPORT/EXPORT </t>
  </si>
  <si>
    <t xml:space="preserve">ALWAR PRODUCTION GROUP </t>
  </si>
  <si>
    <t xml:space="preserve">ZEYKA SARL </t>
  </si>
  <si>
    <t xml:space="preserve">SENEGAL SILEX SA </t>
  </si>
  <si>
    <t xml:space="preserve">KONKOUTOU GOLD OPERATION SUARL </t>
  </si>
  <si>
    <t xml:space="preserve">DIAGNE ASSANE </t>
  </si>
  <si>
    <t xml:space="preserve">HARANGA RESOURCES LIMETED </t>
  </si>
  <si>
    <t xml:space="preserve">THA MINES &amp; INDUSTRIES SARL </t>
  </si>
  <si>
    <t xml:space="preserve">STAM BDA SARL </t>
  </si>
  <si>
    <t xml:space="preserve">SAFIA IMPORT EXPORT </t>
  </si>
  <si>
    <t xml:space="preserve">EL MODI SERVICES </t>
  </si>
  <si>
    <t xml:space="preserve">GENIUS MULTISERVICE SUARL  </t>
  </si>
  <si>
    <t xml:space="preserve">APSA MINES SA  </t>
  </si>
  <si>
    <t xml:space="preserve">GIE CAYOR SILEX CORPORATION CSC </t>
  </si>
  <si>
    <t xml:space="preserve">ADICO SARL </t>
  </si>
  <si>
    <t xml:space="preserve">SARAYA ENERGY </t>
  </si>
  <si>
    <t xml:space="preserve">GIE SYLLA KOUNDA </t>
  </si>
  <si>
    <t xml:space="preserve">AFRICA TRADING  EQUIPEMENT CONSTRUCTION SUARL </t>
  </si>
  <si>
    <t xml:space="preserve">BOUTA CONSULTING ET SERVICE (GAYE PAPA AL HOUSSEYNOU) </t>
  </si>
  <si>
    <t xml:space="preserve">GIE FALL ET FRERES DE KHOUMA </t>
  </si>
  <si>
    <t xml:space="preserve">LOCAL BUSINESS SERVICES  (NDONGO DJIBRIL) </t>
  </si>
  <si>
    <t xml:space="preserve">RACKY PRESTATIONS TECHNIQUES SARL </t>
  </si>
  <si>
    <t xml:space="preserve">SAHEL 2M CIE SARL </t>
  </si>
  <si>
    <t xml:space="preserve">SALAME ENTREPRISE SARL </t>
  </si>
  <si>
    <t xml:space="preserve">GUILLAYE DIOP </t>
  </si>
  <si>
    <t xml:space="preserve">SINTRADE SA </t>
  </si>
  <si>
    <t xml:space="preserve">GENERAL MULTI SERVICES TRADING SENEGAL SARL </t>
  </si>
  <si>
    <t xml:space="preserve">KHELKOM'S LION SARL </t>
  </si>
  <si>
    <t xml:space="preserve">ENTREPRISE BOUGAR DIOUF </t>
  </si>
  <si>
    <t xml:space="preserve">MEDY INDUSTRIE SARL </t>
  </si>
  <si>
    <t xml:space="preserve">COMPTOIR COMMERCIAL BALLA AICHA CCBA SUARL </t>
  </si>
  <si>
    <t xml:space="preserve">SENECARMINES (SENEGALAISE DES MINES ET CARRIERES ) </t>
  </si>
  <si>
    <t xml:space="preserve">SOCIETE IMMOBILIERE DE CONSTRUCTION ET DE GERANCE  ( SICOGER ) SARL </t>
  </si>
  <si>
    <t xml:space="preserve">AREZKI S.A </t>
  </si>
  <si>
    <t xml:space="preserve">DIMAT BAT &amp; TP SAU </t>
  </si>
  <si>
    <t xml:space="preserve">SOCIETE "S3D" SARL </t>
  </si>
  <si>
    <t xml:space="preserve">ABANDOUR GEOLINK </t>
  </si>
  <si>
    <t xml:space="preserve">GEO EXPLOIT SARL </t>
  </si>
  <si>
    <t xml:space="preserve">SCI NGARAFF </t>
  </si>
  <si>
    <t xml:space="preserve">SOCIETE TOUBA NIBODJI SUARL </t>
  </si>
  <si>
    <t xml:space="preserve">SOCIETE INTERNATIONALE DE BATIMENT ET DE COMMERCE ET DE TRAVAUX PUBLICS (SICOBAT TP) </t>
  </si>
  <si>
    <t xml:space="preserve">MBACKE SERIGNE CHEIKH IBRA  </t>
  </si>
  <si>
    <t xml:space="preserve">LANVIC CONSULTING </t>
  </si>
  <si>
    <t xml:space="preserve">XINJIN ZIRCONIUM INDUSTRY SARL </t>
  </si>
  <si>
    <t xml:space="preserve">MBAYE FAMILY BUSINESS GROUP  </t>
  </si>
  <si>
    <t xml:space="preserve">GOLDMINE BISINESS </t>
  </si>
  <si>
    <t xml:space="preserve">SENEGALAISE DE COMMERCE ET DE SERVICES </t>
  </si>
  <si>
    <t xml:space="preserve">G-SAND SARL </t>
  </si>
  <si>
    <t xml:space="preserve">SKDT NEW ENERGY TECHNOLOGY SARL </t>
  </si>
  <si>
    <t xml:space="preserve">TCHILMA BUILDING SUARL </t>
  </si>
  <si>
    <t xml:space="preserve">MAODO GLOBAL BUISINESS </t>
  </si>
  <si>
    <t xml:space="preserve">YELLOW GROUND SENEGAL SAS </t>
  </si>
  <si>
    <t xml:space="preserve">AL JABER BTP SAU </t>
  </si>
  <si>
    <t xml:space="preserve">FIRDAWSI GLOBAL BUSINESS SUARL </t>
  </si>
  <si>
    <t xml:space="preserve">STE.AGRO-SENEGAL EXPORTS SARL </t>
  </si>
  <si>
    <t xml:space="preserve">BIGSAM OR SARL </t>
  </si>
  <si>
    <t xml:space="preserve">PARTNERS MINING DEVELOPMENT SERVICES SAS </t>
  </si>
  <si>
    <t xml:space="preserve">GIE AGIR POUR LE DEVELOPPEMENT LOCAL </t>
  </si>
  <si>
    <t xml:space="preserve">WEST WIND SA </t>
  </si>
  <si>
    <t xml:space="preserve">COMPTOIR D'OR DE LA REGION SARL </t>
  </si>
  <si>
    <t xml:space="preserve">BIRIMA GOLD RESOURCES </t>
  </si>
  <si>
    <t xml:space="preserve">HALWAR MULTISERVICES SARL </t>
  </si>
  <si>
    <t xml:space="preserve">GIE KANBIN BAADIN NA </t>
  </si>
  <si>
    <t xml:space="preserve">SOCIETE D'EXPLOITATION DE LOGISTIQUE ET DES TRAVAUX </t>
  </si>
  <si>
    <t xml:space="preserve">SDT NEW ENERGY TECHNOLOGY </t>
  </si>
  <si>
    <t xml:space="preserve">GIE DIAGNE ET FRERES DE SARAYA </t>
  </si>
  <si>
    <t xml:space="preserve">AMCI GOLD MINE SARL </t>
  </si>
  <si>
    <t xml:space="preserve">NIANY TRANSIT SARL </t>
  </si>
  <si>
    <t xml:space="preserve">DIOMAYE GRANULATS/GROUPE HOLDING DIOMAYE </t>
  </si>
  <si>
    <t xml:space="preserve">FAKMOZ SARL </t>
  </si>
  <si>
    <t xml:space="preserve">GREENFIELD ASSETS INVEST  </t>
  </si>
  <si>
    <t xml:space="preserve">GIE KANKISSI SALAYAMA </t>
  </si>
  <si>
    <t xml:space="preserve">3T SARL </t>
  </si>
  <si>
    <t xml:space="preserve">STARDUST GOLD COMPANY SARL </t>
  </si>
  <si>
    <t xml:space="preserve">HLNT SENEGAL </t>
  </si>
  <si>
    <t xml:space="preserve">SOCIETE MINIERE AFRICAINE </t>
  </si>
  <si>
    <t xml:space="preserve">TRANS FAVO SUARL </t>
  </si>
  <si>
    <t xml:space="preserve">NODA SA </t>
  </si>
  <si>
    <t xml:space="preserve">HYDROMIN SENEGAL </t>
  </si>
  <si>
    <t xml:space="preserve">ENERGIE DISTRIBUTION SERVICES SUARL </t>
  </si>
  <si>
    <t xml:space="preserve">MAREEG SUARL </t>
  </si>
  <si>
    <t xml:space="preserve">KABIR 313 SUARL </t>
  </si>
  <si>
    <t xml:space="preserve">MUSA MINING COMPANY SARL </t>
  </si>
  <si>
    <t xml:space="preserve">ROMOU-SASU </t>
  </si>
  <si>
    <t xml:space="preserve">HABITAT - SUARL </t>
  </si>
  <si>
    <t xml:space="preserve">AFRIK'MINES SUARL </t>
  </si>
  <si>
    <t xml:space="preserve">GIE BINKHANTO BAITOULAYE </t>
  </si>
  <si>
    <t xml:space="preserve">ALIM GOLD SARL </t>
  </si>
  <si>
    <t xml:space="preserve">GIE DJIGUIBADALA </t>
  </si>
  <si>
    <t xml:space="preserve">SAOCASIK COMPANU SASU </t>
  </si>
  <si>
    <t xml:space="preserve">TANOR SA </t>
  </si>
  <si>
    <t xml:space="preserve">X.W.O. SARL </t>
  </si>
  <si>
    <t xml:space="preserve">CONSTRUCTION GESTION INNOVATION IMMOBILIERE </t>
  </si>
  <si>
    <t xml:space="preserve">DIAMONDIOP ENTREPRISES ET COMPAGNIES SARL </t>
  </si>
  <si>
    <t xml:space="preserve">GAYESY SUARL </t>
  </si>
  <si>
    <t xml:space="preserve">VINCI Grands Projets/ANDRITZ-Hydro </t>
  </si>
  <si>
    <t xml:space="preserve">AMFICI GOLD </t>
  </si>
  <si>
    <t xml:space="preserve">SOCIETE SENEGALAISE DES PHOSPHATES DE THIES </t>
  </si>
  <si>
    <t xml:space="preserve">GIE BALAL COMMUNE DE MADINA FOULBE </t>
  </si>
  <si>
    <t xml:space="preserve">GENERALE ENTREPRISE DE REALISATION D'ETUDE ET DE SUPERVISION </t>
  </si>
  <si>
    <t xml:space="preserve">GUEYE ET FRERES THIORO TRANSPORT-GF2T </t>
  </si>
  <si>
    <t xml:space="preserve">MAOR TECHNOLOGIES SA </t>
  </si>
  <si>
    <t xml:space="preserve">GIE GROUPE AIDE DEVELOPPEMENT </t>
  </si>
  <si>
    <t xml:space="preserve">DAME DIAKHATE </t>
  </si>
  <si>
    <t xml:space="preserve">LES GRANDS TRAVAUX DE GOUNASS SARL </t>
  </si>
  <si>
    <t xml:space="preserve">YICHEN SARL </t>
  </si>
  <si>
    <t xml:space="preserve">SOCIETE CARRIERE MINES SENEGAL SARL </t>
  </si>
  <si>
    <t xml:space="preserve">ETS THIEUDEME SAR SERVICE </t>
  </si>
  <si>
    <t xml:space="preserve">GRACE GOLD COMPANY SENEGAL SARL </t>
  </si>
  <si>
    <t xml:space="preserve">KANEL RESOURCES SARL </t>
  </si>
  <si>
    <t xml:space="preserve">ENTREPRISE LINTHIO GLOBAL BUSINESS </t>
  </si>
  <si>
    <t xml:space="preserve">LEYDI MINING COMPANY SARL </t>
  </si>
  <si>
    <t xml:space="preserve">SEN-STONES </t>
  </si>
  <si>
    <t xml:space="preserve">DIA MANSOUR - DIA COMPANY  </t>
  </si>
  <si>
    <t xml:space="preserve">JAMOMINING SARL </t>
  </si>
  <si>
    <t xml:space="preserve">MEDY INDUSTRIES MODERNES SARL </t>
  </si>
  <si>
    <t xml:space="preserve">SOCIETE EDTSG-SARL </t>
  </si>
  <si>
    <t xml:space="preserve">KEUR BASSINE SARL </t>
  </si>
  <si>
    <t xml:space="preserve">SENECARRIERE </t>
  </si>
  <si>
    <t xml:space="preserve">SOCIETE SENEGALAISE DE SERVICES MINIERS DE GENIE CIVIL SARL </t>
  </si>
  <si>
    <t xml:space="preserve">LAMP MINES BTP SA </t>
  </si>
  <si>
    <t xml:space="preserve">GIE KHAMBEINTEINKOTO NDIN </t>
  </si>
  <si>
    <t xml:space="preserve">AMMSA GROUP AFRICA . SA </t>
  </si>
  <si>
    <t xml:space="preserve">COMMUNE DE ROSS-BETHIO </t>
  </si>
  <si>
    <t xml:space="preserve">SOCIÉTÉ TERRACALCO SÉNÉGAL  </t>
  </si>
  <si>
    <t xml:space="preserve">IVOIRE INGENIERIE PLUS SUARL </t>
  </si>
  <si>
    <t xml:space="preserve">DELTA MARINE BUSINESS INDUSTRIEL DU SENEGAL </t>
  </si>
  <si>
    <t xml:space="preserve">SOCIETE D'EXPLOITATION MINIERE IMMOBILIERE ET COMMERCIALE </t>
  </si>
  <si>
    <t xml:space="preserve">BAMBOUK EXPLORATION SARL </t>
  </si>
  <si>
    <t xml:space="preserve">ROCAMJO SUARL </t>
  </si>
  <si>
    <t xml:space="preserve">BIJOUTERIE SERIGNE BABACAR SY </t>
  </si>
  <si>
    <t xml:space="preserve">SOCIETE CIVILE H2 MOCOSA </t>
  </si>
  <si>
    <t xml:space="preserve">SANTARGILE SA </t>
  </si>
  <si>
    <t xml:space="preserve">SALIOU MINES INDUSTRIES ET TECHNIQUES </t>
  </si>
  <si>
    <t xml:space="preserve">SENEGALAISE D'ETUDE, DE REALISATION ET DE SERVICES SA </t>
  </si>
  <si>
    <t xml:space="preserve">PROMO MINES SARL </t>
  </si>
  <si>
    <t xml:space="preserve">GEOPARTNERS CONSULTING </t>
  </si>
  <si>
    <t xml:space="preserve">SOCIETE DE GESTION DES CARRIERES DU SENEGAL </t>
  </si>
  <si>
    <t xml:space="preserve">MBENGUE FAMILY BUSINESS SARL </t>
  </si>
  <si>
    <t xml:space="preserve">NGALOU EXPLOITATION ET SERVICES-SASU </t>
  </si>
  <si>
    <t xml:space="preserve">BA MAMADOU </t>
  </si>
  <si>
    <t xml:space="preserve">GIE KA BUSINESS COMPANY </t>
  </si>
  <si>
    <t xml:space="preserve">WALY DIOUF PARTNERS SOLUTION </t>
  </si>
  <si>
    <t xml:space="preserve">GIE NGAAY DJITTE </t>
  </si>
  <si>
    <t xml:space="preserve">GIE KOLIA </t>
  </si>
  <si>
    <t xml:space="preserve">CENTRALE DE MATERIEL ET MATERIAUX SARL </t>
  </si>
  <si>
    <t xml:space="preserve">SOCIETE DE GESTION DES MINES ET CARRIERES SARL </t>
  </si>
  <si>
    <t xml:space="preserve">ENTREPRISE DIENDER  </t>
  </si>
  <si>
    <t xml:space="preserve">ENTREPRISE AICHA </t>
  </si>
  <si>
    <t xml:space="preserve">LAMTORO NATURAL RERSOURCES </t>
  </si>
  <si>
    <t xml:space="preserve">CHROME SUARL </t>
  </si>
  <si>
    <t xml:space="preserve">ETABLISSEMENT HABIB SAMB </t>
  </si>
  <si>
    <t xml:space="preserve">TALIX MINES SARL </t>
  </si>
  <si>
    <t xml:space="preserve">WAHABA BUILDING </t>
  </si>
  <si>
    <t xml:space="preserve">EIFFAGE </t>
  </si>
  <si>
    <t xml:space="preserve">ENTREPRISE GENERALE DAROU SALAM </t>
  </si>
  <si>
    <t xml:space="preserve">ENTREPRISE DE TRAVAUX D'INDUSTRIE ET DE COMMERCE  </t>
  </si>
  <si>
    <t xml:space="preserve">GIE EXPRESS LOGISTICS PLUS </t>
  </si>
  <si>
    <t xml:space="preserve">NDEYE MATY TRADE </t>
  </si>
  <si>
    <t xml:space="preserve">AFRIQUE MINES COMPANY PLUS </t>
  </si>
  <si>
    <t xml:space="preserve">DARA SALAM - SUARL </t>
  </si>
  <si>
    <t xml:space="preserve">AFG RESSOURCES  </t>
  </si>
  <si>
    <t xml:space="preserve">DIARRA MAMADOU DIAKHATE </t>
  </si>
  <si>
    <t xml:space="preserve">GROUPE DE SOCIETES ULSAN </t>
  </si>
  <si>
    <t xml:space="preserve">NDOYE ABDOULAYE (EAND) </t>
  </si>
  <si>
    <t xml:space="preserve">KAPI GROUP </t>
  </si>
  <si>
    <t xml:space="preserve">AFRICAN BUILDERS SARL </t>
  </si>
  <si>
    <t xml:space="preserve">AIR DYNAMICS SOLUTIONS SENEGAL </t>
  </si>
  <si>
    <t xml:space="preserve">CHINA ROAD AND BRIDGE CORPORATION SENEGAL </t>
  </si>
  <si>
    <t xml:space="preserve">GOLD MINING CORPORATION </t>
  </si>
  <si>
    <t xml:space="preserve">CK CARRIERE  </t>
  </si>
  <si>
    <t xml:space="preserve">BAOBAB MINERALS SARL </t>
  </si>
  <si>
    <t xml:space="preserve">AFRICA SERVICES GROUP SUARL </t>
  </si>
  <si>
    <t xml:space="preserve">EBD ENTREPRISES SUARL </t>
  </si>
  <si>
    <t xml:space="preserve">GIE GARAGE SOUF </t>
  </si>
  <si>
    <t xml:space="preserve">COMMUNE DE BOKHOL </t>
  </si>
  <si>
    <t xml:space="preserve">COMMUNE DE PIRE  </t>
  </si>
  <si>
    <t xml:space="preserve">LD ECOMINING- SARL </t>
  </si>
  <si>
    <t xml:space="preserve">SOCIETE COMMERCIALE NDIAMBOUR NDIGUEUL SARL </t>
  </si>
  <si>
    <t xml:space="preserve">SABODALA GOLD OPERATIONS SA (SGO) </t>
  </si>
  <si>
    <t xml:space="preserve">SENEGAL CARRIERE IMMO SARL </t>
  </si>
  <si>
    <t xml:space="preserve">KAANGUI A-F SUARL </t>
  </si>
  <si>
    <t xml:space="preserve">DAROU MINAM PRESTIGE SUARL </t>
  </si>
  <si>
    <t xml:space="preserve">AMAFRIQUE SENEGAL </t>
  </si>
  <si>
    <t xml:space="preserve">CHINA HARBOUR ENGINEERING COMPANY SENEGAL SUARL </t>
  </si>
  <si>
    <t xml:space="preserve">GIE LIGGUEY BUNU BOKOU </t>
  </si>
  <si>
    <t xml:space="preserve">MINES PROFESSIONAL HOLDING SARL </t>
  </si>
  <si>
    <t xml:space="preserve">COMPAGNY SAKHO - C.S </t>
  </si>
  <si>
    <t xml:space="preserve">BASMALA INTERNATIONAL SARL </t>
  </si>
  <si>
    <t xml:space="preserve">Mairie de la commune de Bagadadji </t>
  </si>
  <si>
    <t xml:space="preserve">COMMUNE DE NGUIDILLE  </t>
  </si>
  <si>
    <t xml:space="preserve">ENTREPRISE DE TRANSPORT ET DE COMMERCE </t>
  </si>
  <si>
    <t xml:space="preserve">ENTREPRISE DAROU SALAM TAWFEKH </t>
  </si>
  <si>
    <t xml:space="preserve">MAIRIE DE DYA </t>
  </si>
  <si>
    <t xml:space="preserve">CSE GRANULATS SA </t>
  </si>
  <si>
    <t xml:space="preserve">DAROU SALAM TRANSPORTS SARL </t>
  </si>
  <si>
    <t xml:space="preserve">GLADIAMA SUARL </t>
  </si>
  <si>
    <t xml:space="preserve">GASS IMMO SUARL </t>
  </si>
  <si>
    <t xml:space="preserve">SOCIETE DES MINES DU SENEGAL </t>
  </si>
  <si>
    <t xml:space="preserve">MAMADOU SENE TRANSPORT ET COMMERCE SARL  </t>
  </si>
  <si>
    <t xml:space="preserve">MC TRANSPORT AND TRADING SARL </t>
  </si>
  <si>
    <t xml:space="preserve">LES GRANDES CARRIERES DU SENEGAL </t>
  </si>
  <si>
    <t xml:space="preserve">COMMUNE DE KEUR MADIABEL </t>
  </si>
  <si>
    <t xml:space="preserve">DI CORP SAS </t>
  </si>
  <si>
    <t xml:space="preserve">XEWELL CIMENTERIES SA </t>
  </si>
  <si>
    <t xml:space="preserve">LION RISE CEMENT CO SARL </t>
  </si>
  <si>
    <t xml:space="preserve">DIA COMPANY NAFOORE-SARL </t>
  </si>
  <si>
    <t xml:space="preserve">TOUBA CARRIERES SARL  </t>
  </si>
  <si>
    <t xml:space="preserve">DANGOTE CEMENT SENEGAL SA </t>
  </si>
  <si>
    <t xml:space="preserve">Cheikh KANE </t>
  </si>
  <si>
    <t xml:space="preserve">TETACAR </t>
  </si>
  <si>
    <t xml:space="preserve">CAYORIENNE DES TRANSPORTS, CARRIERES ET TRAVAUX PUBLICS </t>
  </si>
  <si>
    <t xml:space="preserve">INCA SARL </t>
  </si>
  <si>
    <t xml:space="preserve">SOCIETE D'EXPLOITATION DES MINES ET CARRIERES (SEMC) </t>
  </si>
  <si>
    <t xml:space="preserve">SENOR GROUP </t>
  </si>
  <si>
    <t xml:space="preserve">CK CARRIRES SA </t>
  </si>
  <si>
    <t xml:space="preserve">MINES et BATIMENTS GROUP MBG Sarl </t>
  </si>
  <si>
    <t xml:space="preserve">SOCIETE SENEGALAISE DE CONSTRUCTION ET DE PROMOTION IMMOBILIERE </t>
  </si>
  <si>
    <t xml:space="preserve">GIE BIJOUTERIE AIR FRANCE </t>
  </si>
  <si>
    <t xml:space="preserve">Mairie de la commune de Ronkh-Saint louis </t>
  </si>
  <si>
    <t xml:space="preserve">Mairie de la commune de Gaé- Saint Louis </t>
  </si>
  <si>
    <t xml:space="preserve">AGEM EXPLORATION SENEGAL </t>
  </si>
  <si>
    <t>COGECA</t>
  </si>
  <si>
    <t>CSE</t>
  </si>
  <si>
    <t>SGO</t>
  </si>
  <si>
    <t>CIMAF</t>
  </si>
  <si>
    <t>CDS</t>
  </si>
  <si>
    <t>SOCOBE</t>
  </si>
  <si>
    <t>SODEMINES</t>
  </si>
  <si>
    <t>Colonne1</t>
  </si>
  <si>
    <t>déclarant</t>
  </si>
  <si>
    <t xml:space="preserve">AFRIGOLD  SARL </t>
  </si>
  <si>
    <t xml:space="preserve">BOTO SA </t>
  </si>
  <si>
    <t xml:space="preserve">MAKABINGUI GOLD OPERATIONS SA </t>
  </si>
  <si>
    <t>2021</t>
  </si>
  <si>
    <t>2022</t>
  </si>
  <si>
    <t>2023</t>
  </si>
  <si>
    <t>2024</t>
  </si>
  <si>
    <t>2025</t>
  </si>
  <si>
    <t>Nombre de Denomination Sociale2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</si>
</sst>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8B1A1A"/>
      <name val="Arial"/>
      <family val="2"/>
    </font>
    <font>
      <b/>
      <sz val="9"/>
      <color rgb="FF1A6B3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5F9E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B3A6B"/>
      </patternFill>
    </fill>
    <fill>
      <patternFill patternType="solid">
        <fgColor rgb="FFD5E8F5"/>
      </patternFill>
    </fill>
    <fill>
      <patternFill patternType="solid">
        <fgColor rgb="FFFDECEA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3">
    <xf numFmtId="0" fontId="0" fillId="0" borderId="0"/>
    <xf numFmtId="0" fontId="2" fillId="0" borderId="0" applyBorder="0"/>
    <xf numFmtId="0" fontId="4" fillId="0" borderId="0"/>
  </cellStyleXfs>
  <cellXfs count="39">
    <xf numFmtId="0" fontId="0" fillId="0" borderId="0" xfId="0"/>
    <xf numFmtId="0" fontId="3" fillId="2" borderId="0" xfId="1" applyFont="1" applyFill="1"/>
    <xf numFmtId="0" fontId="2" fillId="0" borderId="0" xfId="1"/>
    <xf numFmtId="14" fontId="2" fillId="0" borderId="0" xfId="1" applyNumberFormat="1"/>
    <xf numFmtId="0" fontId="2" fillId="0" borderId="0" xfId="1" applyAlignment="1">
      <alignment wrapText="1"/>
    </xf>
    <xf numFmtId="22" fontId="2" fillId="0" borderId="0" xfId="1" applyNumberForma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4" fillId="4" borderId="0" xfId="2" applyFill="1"/>
    <xf numFmtId="0" fontId="2" fillId="4" borderId="0" xfId="1" applyFill="1"/>
    <xf numFmtId="0" fontId="4" fillId="0" borderId="0" xfId="2" applyFill="1"/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14" fontId="2" fillId="4" borderId="0" xfId="1" applyNumberForma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3">
    <cellStyle name="Normal" xfId="0" builtinId="0"/>
    <cellStyle name="Normal 2" xfId="1" xr:uid="{2A5D0BF4-A691-48DD-8589-29A2F85EA20F}"/>
    <cellStyle name="Normal 3" xfId="2" xr:uid="{80409552-ED92-4509-AC88-E206D8C5A27C}"/>
  </cellStyles>
  <dxfs count="27"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8B1A1A"/>
        <name val="Arial"/>
        <scheme val="none"/>
      </font>
      <fill>
        <patternFill patternType="solid">
          <fgColor indexed="64"/>
          <bgColor rgb="FFFDECE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5E8F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4.610258912035" createdVersion="8" refreshedVersion="8" minRefreshableVersion="3" recordCount="628" xr:uid="{2F582687-E2E7-4BE9-8778-9204B44407BB}">
  <cacheSource type="worksheet">
    <worksheetSource ref="A1:P629" sheet="RBE"/>
  </cacheSource>
  <cacheFields count="14">
    <cacheField name="Région" numFmtId="0">
      <sharedItems count="9">
        <s v="Dakar"/>
        <s v="Diourbel"/>
        <s v="Fatick"/>
        <s v="Kaolack"/>
        <s v="Kédougou"/>
        <s v="Mbour"/>
        <s v="Tambacounda"/>
        <s v="Thiès"/>
        <s v="Ziguinchor"/>
      </sharedItems>
    </cacheField>
    <cacheField name="Denomination Sociale" numFmtId="0">
      <sharedItems count="317">
        <s v="&quot; ADAMA UNIVERSAL IMMOBILIER ET AFFAIRES &quot; ADA-SUARL"/>
        <s v="&quot; CANSEN ENERGY RESSOURCES &quot; SAS"/>
        <s v="&quot; EMEEF CONSULTING &quot;"/>
        <s v="&quot; ETABLISSEMENT MAODO MINES &quot; SARL"/>
        <s v="&quot; GEOSCIENCES AND PROCESS SERVICES &quot; SARL"/>
        <s v="&quot; INCA &quot; SARL"/>
        <s v="&quot; LEBOUGUI DE DIENDER &quot;"/>
        <s v="&quot; P.S.S SERVICES MINES ET CARRIERES&quot; SARL"/>
        <s v="&quot; SALAME ENTREPRISE &quot; SARL"/>
        <s v="&quot; SEN &amp; UK FARMING &quot;"/>
        <s v="&quot; SOCIETE DE TRAVAUX GENERAL ET DE COMMERCE &quot; SARL"/>
        <s v="&quot; SOGEMIC &quot; SARL"/>
        <s v="&quot;AFIA SERVICES&quot;"/>
        <s v="&quot;AWAHABA GROUP&quot; SARL"/>
        <s v="&quot;BOOK JOM ANDE LIGUEY MECKHE &quot;"/>
        <s v="&quot;EBD ENTREPRISE&quot; SUARL"/>
        <s v="&quot;GIE GARAGE SOUF&quot;"/>
        <s v="&quot;GRACE GOLD COMPANY SENEGAL&quot;"/>
        <s v="&quot;LES LITIERES DU SENEGAL&quot; SARL"/>
        <s v="&quot;PS - SENECAT &quot; SUARL"/>
        <s v="&quot;SALIOU MINES INDUSTRIES ET TECHNIQUES&quot; (S.M.I.T)"/>
        <s v="&quot;SENEGALAISE DE DISTRIBUTION DE PRODUITS PETROLIERS&quot; SDPP SARL"/>
        <s v="2S GOLD"/>
        <s v="ABA SERVICES"/>
        <s v="ABABACAR DIOP TRANSPORTS SARL"/>
        <s v="ABANDOUR GEOLINK"/>
        <s v="AD GLOD"/>
        <s v="ADJAF UNIVERSEL"/>
        <s v="AFRICA A WAY"/>
        <s v="AFRICA CONSULTING BUSINESS (ACB)"/>
        <s v="AFRICA GLOBAL GEOINGENIERIE (A2G)"/>
        <s v="AFRICA TRADE AND INVESTMENT CONSULTING (ATIC-SARL)"/>
        <s v="Africa Traiding-Equipement et Transport (AF-TECO)"/>
        <s v="AFRICA VISION MINING ( AVM-SARL)"/>
        <s v="AFRICAN BUILDERS SARL"/>
        <s v="AGEM SENEGAL EXPLORATION"/>
        <s v="AGRO SENEGAL EXPORTS"/>
        <s v="AL MAKHTOUM GENERAL TRADING"/>
        <s v="ALLIANCE GOLD"/>
        <s v="ALPHA OMEGA"/>
        <s v="AMATH NDIAYE INTERNATIONAL PRESTIGE (ANIP)"/>
        <s v="AMICALE DES ORPAILLEURS DE KEDOUGOU"/>
        <s v="AMSA GROUP AFRICA SA"/>
        <s v="ARC EN CIEL"/>
        <s v="ARDIMINES SARL"/>
        <s v="AREZKI-SA"/>
        <s v="AWA PRESTA SERVICES"/>
        <s v="AWAHABA GROUP"/>
        <s v="BAKHOUM BUSINESS COMPANY"/>
        <s v="BAMBADJI SA"/>
        <s v="BAMBOUK EXPLORATION SUARL"/>
        <s v="BAMBUK MINERALS SENEGAL"/>
        <s v="BAMINE"/>
        <s v="BANTAL DE BEROLA"/>
        <s v="BAOBAB GOLD (BG SARL)"/>
        <s v="BAOBAB MINING"/>
        <s v="BATIR MON PAYS"/>
        <s v="BAU"/>
        <s v="BB FIRST COMMODITY HOLDING LTD"/>
        <s v="BENCOUTA DE SAMECOUTA"/>
        <s v="BENKANTO"/>
        <s v="BENKHANGHO"/>
        <s v="BHAIRAVA AGRICOLE"/>
        <s v="BIGSAM OR"/>
        <s v="BINKHANTO BAITOULAYE"/>
        <s v="BINOME SARL"/>
        <s v="BIRIMA GOLD RESSOURCES"/>
        <s v="BLY SENEGAL"/>
        <s v="BOKAMINE"/>
        <s v="BOLLO BAKH"/>
        <s v="BOYA"/>
        <s v="BP SENEGAL INVESTMENTS LIMITED"/>
        <s v="CAMMACH-SN"/>
        <s v="CARRISEN SARL"/>
        <s v="CASA BAMBA FAILIAL"/>
        <s v="CHEHUMA"/>
        <s v="COMPAGNIE GENERALE DE CONSTRUCTION ET D'EXPLOITATION MINIERE"/>
        <s v="COMPAGNIE KHADIMOU RASSOUL"/>
        <s v="COMPAGNIE SAKHO C.S"/>
        <s v="COMPAGNIE SENEGALAISE DE TRANSPORT MINIER ET AGRICOLE (CSTMA)"/>
        <s v="COMPTOIR COMMERCIAL BALLA AICHA SUARL"/>
        <s v="COMPTOIR D'OR DE LA REGION ( C.OR.R)"/>
        <s v="CONSULTING BUSINESS AGENCY"/>
        <s v="CSE GRANULATS"/>
        <s v="DADICO"/>
        <s v="DANGOTE CEMENT SENEGAL"/>
        <s v="DANTILA MINE D'OR"/>
        <s v="DARA SALAM"/>
        <s v="DESK OFFICE"/>
        <s v="DIA COMPANY"/>
        <s v="DIAGNE ET FRERES ( SARAYA)"/>
        <s v="DIAMBAR IMMOBILIER"/>
        <s v="DIAMOND OFFSHORE DRILLING SENEGAL"/>
        <s v="DIENG &amp; CO ENGINEERING"/>
        <s v="DIOUF BOUGAR"/>
        <s v="EAUX SOUTERRAINES DU SENEGAL en abrégé ESS"/>
        <s v="ECAMM'S"/>
        <s v="ECOSEC"/>
        <s v="EMERGENCE MINES &amp; INVESTISSEMENTS"/>
        <s v="EMMALY SARL"/>
        <s v="ENTREPRISE AICHA"/>
        <s v="ENTREPRISE DAROU SALAM TAWFEX"/>
        <s v="ENTREPRISE DE RECHERCHE ET D'EXPLOITATION MINIERE (EREM)"/>
        <s v="ENTREPRISE DJOLOF TRANSPORT ET SERVICES"/>
        <s v="Entreprise Générale Darou Salam (EGDS)"/>
        <s v="ENTREPRISE GENERALE DE CONSTRUCTION ET D'AMENAGEMENT"/>
        <s v="ENTREPRISE GENERALE DE TRAVAUX PUBLICS ET BATIMENTS(EGTPB)"/>
        <s v="ENTREPRISE LE GANDIOL GROUPE"/>
        <s v="Entreprise Mamour NDIAYE"/>
        <s v="ENTREPRISE QUINCAILLERIE CISSE ET FRERES"/>
        <s v="ENTREPRISE WAKEUR BOROM GAWANE"/>
        <s v="ETABLISSEMENT SEGA ET FRERES"/>
        <s v="ETE MINING"/>
        <s v="ETOILE X 313 SUARL"/>
        <s v="ETS ABDOULAHAT MBAYE"/>
        <s v="ETS SERIGNE BABACAR SY"/>
        <s v="ETS&quot;  SERIGNE MANSOUR SY BOROOM DARADJI &quot;"/>
        <s v="EUROPEAN RAIL ROAD ESTABLISHED SERVICES (ERES)"/>
        <s v="EX. &amp; CO SARL"/>
        <s v="FADIALLAYA DE LEFAKHO"/>
        <s v="FAKMOZ"/>
        <s v="FAYMINING CORPORATE"/>
        <s v="G3DI"/>
        <s v="GACH MINING COMPANY LIMITED SENEGAL"/>
        <s v="GADDE"/>
        <s v="GAGNICK MINES"/>
        <s v="GAMMA CORPORATE"/>
        <s v="GANGUE TOUS TRAVAUX (G2T)"/>
        <s v="GASH MINING SENEGAL (GASH MINING SEN) SARL)"/>
        <s v="GAYI SUARL"/>
        <s v="GENERALE DE COMMERCE ET D'INDUSTRIE (GECI))"/>
        <s v="GEOSERVICES ENGINEERING (GSE)"/>
        <s v="GEOTEC"/>
        <s v="GIE &quot; CAYOR SILEX CORPORATION &quot;"/>
        <s v="GIE &quot; E.B.T.S &quot; ( ENTREPRISE BATIMENT TRAVAUX SARR)"/>
        <s v="GIE &quot; FARLOU &quot;"/>
        <s v="GIE CARAHMA"/>
        <s v="GIE COUMBOUTOUROU"/>
        <s v="GIE KA BUSINESS  COMPANY / KBC"/>
        <s v="GIE MAGNANKANTY"/>
        <s v="GIE SHENG HUA MINING CO,LTD"/>
        <s v="GLADIAMA SUARL"/>
        <s v="GLOBAL GEOSERVICES GROUP (3G-SARL)"/>
        <s v="GLOBAL IMMO SENEGAL"/>
        <s v="GLOBAL MINING OPERATIONS"/>
        <s v="GOLD MINE BUSINESS"/>
        <s v="GOLDEN KADJOR"/>
        <s v="GOLDINA"/>
        <s v="GRANDE COTE OPERATIONS"/>
        <s v="GROUPE SOCIETE SENEGALO SUISSE DES AFFAIRES"/>
        <s v="GUENE MINING SUARL"/>
        <s v="GUEYE &amp; FRERES THIORO TRANSPORT&quot; G.F.2T"/>
        <s v="HAILITHEN"/>
        <s v="HALDIFOTTY"/>
        <s v="HALWAR MULTISERVICES"/>
        <s v="HARANGA RESOURCES LTD"/>
        <s v="HINDOR"/>
        <s v="HLNT SENEGAL"/>
        <s v="I M GOLD"/>
        <s v="IAMGOLD BOTO"/>
        <s v="IMPERATOR RESOURCE"/>
        <s v="IMPROVE SENEGAL (IMPSEN)"/>
        <s v="INNOVA INVESTMENT"/>
        <s v="INTERNATIONAL CONSULTING GROUP (I.C.G)"/>
        <s v="INTERNATIONAL DRILLING COMPANY SENEGAL SASU"/>
        <s v="INTERNATIONAL MINING COMPANY"/>
        <s v="IRION TRANSFERS"/>
        <s v="JAMOMINING"/>
        <s v="JIN DIAN MINING"/>
        <s v="JIWANA RESOURCES PTY.LTD"/>
        <s v="KAIXUN GOLD MINING CO.LTD (K.G.M CO.LTD)"/>
        <s v="KALISO 2S-SAS"/>
        <s v="KANEL RESOURCES SARL"/>
        <s v="KANOUMERY"/>
        <s v="KARAMBA CONSTRUCTION TRANSPORT &amp; SERVICES"/>
        <s v="KEDOUGOU BUSINESS ET MINING SERVICES"/>
        <s v="KEDOUGOU MINE ET CARRIERE"/>
        <s v="KEUR MAME M'BASLA NDIAYE"/>
        <s v="KHAMBEN TEINKOTO NDIN"/>
        <s v="KHANIANG LIMITED"/>
        <s v="KHELKOM'S LION"/>
        <s v="KHEWEUL DIAMA"/>
        <s v="KOLIA"/>
        <s v="KONKOUTOU GOLD OPERATION"/>
        <s v="KOSMOS ENERGY INVESTMENTS SENEGAL LIMITED"/>
        <s v="KOUNDA GROUP"/>
        <s v="L &amp; D ECOMINING"/>
        <s v="L'AFRICAINE DES MINES (AFRIK'MINES)"/>
        <s v="LAMTORO NATURAL RESOURCES"/>
        <s v="LAYE BEYE"/>
        <s v="LE FATAA"/>
        <s v="LE GRAVIER"/>
        <s v="LES CIMENTS DU SAHEL"/>
        <s v="LES GRANDES CARRIERES DU SENEGAL"/>
        <s v="LES MINES DE LUMIERE"/>
        <s v="LES MINES DU JEGUEM (MDJ)"/>
        <s v="LIN WEILIN"/>
        <s v="LINGO D'OR SENEGAL"/>
        <s v="LOGICOM SN"/>
        <s v="M&amp;H CORPORATION"/>
        <s v="MADISSIMO"/>
        <s v="MAKABINGUI GOLD OPERATION"/>
        <s v="MAMADOU DIAKHITE DIARRA"/>
        <s v="MANDINGA RESOURCES"/>
        <s v="MANSA GOLD CORPORATION"/>
        <s v="MASSAWA"/>
        <s v="MAXIMERIT"/>
        <s v="MC TRANSPORT AND TRADING (MC2T)"/>
        <s v="MEDY INDUSTRIES MODERNES SARL"/>
        <s v="MFC INTERNATIONAL"/>
        <s v="MINES PROFESSIONAL HOLDING"/>
        <s v="MININVEST S.A  "/>
        <s v="MOULT INVEST - SUARL"/>
        <s v="MOUSTAPHA NDIAYE"/>
        <s v="NDATTE YALLAH COMPAGNIE"/>
        <s v="NEGOS FIABLE SENEGAL / NEFIS"/>
        <s v="NEW ENERGY INVESTMENT"/>
        <s v="NEW ERA INTERNATIONAL MINING DEVELOPMENT"/>
        <s v="NIANE ET FRERES"/>
        <s v="NIANY TRANSIT"/>
        <s v="NOGA MINE SARL"/>
        <s v="NOGAYE BUSINESS CONSULTING COMPANY"/>
        <s v="NOV OIL &amp; GAS SERVICES SENEGAL"/>
        <s v="OUSMANE SOW"/>
        <s v="PANAFRICAN MINERAL RESOURCES (PMR SAS)"/>
        <s v="PETROLEUM SENEGAL INDUSTRIES (P.S.I)"/>
        <s v="PIKINE MINING"/>
        <s v="PITABOULOUNG DE SYLLABOUNDA"/>
        <s v="PROSPECTIUNI"/>
        <s v="Q M D COMPANY"/>
        <s v="RACKY PRESTATIONS TECHNIQUES (RPT)"/>
        <s v="RASSOUL MINING OIL GAZ &amp; ENERGY"/>
        <s v="RESEAU NATIONAL DES BIJOUTIERS DU SENEGAL"/>
        <s v="SABODALA GOLD OPERATIONS"/>
        <s v="SABODALA MINING COMPANY SARL"/>
        <s v="SAHAD COMPAGNY"/>
        <s v="SAHEL MINES ET LOGISTICS SARL"/>
        <s v="SAM INVEST"/>
        <s v="SAMAGOLD SARL"/>
        <s v="SAMSAM GOLD"/>
        <s v="SANTANG NEGOCE INVESTMENT"/>
        <s v="SANTARGILE"/>
        <s v="SARAKOTO DE TENKOTO"/>
        <s v="SARAYA ENERGY"/>
        <s v="SDPP"/>
        <s v="SDT NEW ENERGY TACHNOLOGY (SDTNET-SARL)"/>
        <s v="SEN GENERAL ACTIVITIES"/>
        <s v="SEN MINES GROUP"/>
        <s v="SEN ZHANGHUA MINERAL"/>
        <s v="SENEGAL KOM KOM PLUS"/>
        <s v="SENEGAL MINERAL RESOURCES"/>
        <s v="SENEGAL NDINDI"/>
        <s v="SENEGAL SILEX"/>
        <s v="SENEGALAISE DE DISTRIBUTION AGROALIMENTAIRE  en abrégé  &quot;SE.D.ALI&quot; S.A.R.L"/>
        <s v="SENEGALAISE DE SERVICES MINIERS ET DE GENIE CIVIL"/>
        <s v="SENEGALAISE DES MINES ET GEOLOGIE"/>
        <s v="SENGINDIA SA"/>
        <s v="SENGOLD COMPANY"/>
        <s v="SEN-STONES"/>
        <s v="SERTER"/>
        <s v="SINOHYDRO SENEGAL-SARL"/>
        <s v="SINTRADE"/>
        <s v="SIRAJ MINES ET INDUSTRIES SARL"/>
        <s v="SKDT NEW NERGY TECHNOLOGY"/>
        <s v="SOCABEG MINING"/>
        <s v="SOCIETE DE CONCASSAGE ET DE BETON"/>
        <s v="SOCIETE DES MINES DU SENEGAL (SODEMINES)"/>
        <s v="SOCIETE DES MINES DU SENEGAL (SOMISEN)"/>
        <s v="SOCIETE D'EXPLOITATION DE LOGISTIQUE ET DE TRAVAUX"/>
        <s v="SOCIETE D'EXPLOITATION MINIERE DU SENEGAL (SEMIS-SUARL)"/>
        <s v="SOCIETE GENERALE DE CARRIERES,D'AGRICULTURE ET DES MINIES (GECAMINES - SA)"/>
        <s v="SOCIETE GENERALE DES MINES (SGM)"/>
        <s v="SOCIETE IMMOBILIERE DE CONSTRUCTION ET DE GERANCE 'SICOGER)"/>
        <s v="SOCIETE INTERNATIONALE DE BIENS DE SERVICES"/>
        <s v="SOCIETE MINIERE DE LA VALLEE DU FLEUVE SENEGAL / SOMIVA"/>
        <s v="SOCIETE SAHELIENNE D'ENTREPRISE (SSE)"/>
        <s v="SOCIETE SENEGALAISE DE PHOSPHATES DE THIES (SSPT)"/>
        <s v="SOCOCIM INDUSTRIES"/>
        <s v="SOCOTRABAT"/>
        <s v="SODA HOLDING COMPANY SUARL"/>
        <s v="SONKO ET FILS SARL"/>
        <s v="SOYA GOLD"/>
        <s v="STAPEM OFFSHORE SENEGAL"/>
        <s v="SUBSEA 7 SENEGAL"/>
        <s v="SUPER SALE"/>
        <s v="SWANI MINES-SA"/>
        <s v="SYFARO MINING COMPANY"/>
        <s v="SYLLA COUNDA"/>
        <s v="SYPROM"/>
        <s v="TALIX MINES"/>
        <s v="TAYSTONES SARL"/>
        <s v="TCHILMA BUILDING"/>
        <s v="TERANGA HORIZON"/>
        <s v="TERRACALCO SENEGAL"/>
        <s v="TESORO SERVICES"/>
        <s v="THIAM SENEGAL GOLD FAMILY"/>
        <s v="TIQ SENEGAL"/>
        <s v="TOP BUSINESS CONCEPT"/>
        <s v="TOTALENERGIES EP SENEGAL"/>
        <s v="TOUBA AMEUBLEMENT"/>
        <s v="TOUBA DENDEYE"/>
        <s v="TOUBA MINERAL RESSOURCES"/>
        <s v="TOULAYE AFRIQUE SARL"/>
        <s v="TOUS TRAVAUX SOUS MARINS (TTSM)"/>
        <s v="TRANSPORT NAR GAYE SUARL"/>
        <s v="TRIYANGS INTERNATIONAL MINING GROUP"/>
        <s v="UNION GOLD SENEGAL"/>
        <s v="UTK MINING SENEGAL"/>
        <s v="WALY DIOUF PARTNERS SOLUTION"/>
        <s v="WEST AFRICA MINES (WAM)"/>
        <s v="WEST WIND-SA"/>
        <s v="WONDER MINE &amp; TRADE (WMT-SAS)"/>
        <s v="WOODSIDE ENERGY SENEGAL BV"/>
        <s v="X.W.O"/>
        <s v="XINJIN ZIRCONIUM INDUSTRY"/>
        <s v="YELLOW GROUND SENEGAL SAS"/>
        <s v="ZEYNA TRANSPORTS-IMMO-CONSTRUCTIONS(Z.T.I.C)"/>
      </sharedItems>
    </cacheField>
    <cacheField name="Denomination Sociale2" numFmtId="0">
      <sharedItems count="317">
        <s v="ADAMA UNIVERSAL IMMOBILIER ET AFFAIRES ADA-SUARL"/>
        <s v="CANSEN ENERGY RESSOURCES SAS"/>
        <s v="EMEEF CONSULTING"/>
        <s v="ETABLISSEMENT MAODO MINES SARL"/>
        <s v="GEOSCIENCES AND PROCESS SERVICES SARL"/>
        <s v="INCA SARL"/>
        <s v="LEBOUGUI DE DIENDER"/>
        <s v="P.S.S SERVICES MINES ET CARRIERES SARL"/>
        <s v="SALAME ENTREPRISE SARL"/>
        <s v="SEN &amp; UK FARMING"/>
        <s v="SOCIETE DE TRAVAUX GENERAL ET DE COMMERCE SARL"/>
        <s v="SOGEMIC SARL"/>
        <s v="AFIA SERVICES"/>
        <s v="AWAHABA GROUP SARL"/>
        <s v="BOOK JOM ANDE LIGUEY MECKHE"/>
        <s v="EBD ENTREPRISE SUARL"/>
        <s v="GIE GARAGE SOUF"/>
        <s v="GRACE GOLD COMPANY SENEGAL"/>
        <s v="LES LITIERES DU SENEGAL SARL"/>
        <s v="PS - SENECAT SUARL"/>
        <s v="SALIOU MINES INDUSTRIES ET TECHNIQUES (S.M.I.T)"/>
        <s v="SENEGALAISE DE DISTRIBUTION DE PRODUITS PETROLIERS SDPP SARL"/>
        <s v="2S GOLD"/>
        <s v="ABA SERVICES"/>
        <s v="ABABACAR DIOP TRANSPORTS SARL"/>
        <s v="ABANDOUR GEOLINK"/>
        <s v="AD GLOD"/>
        <s v="ADJAF UNIVERSEL"/>
        <s v="AFRICA A WAY"/>
        <s v="AFRICA CONSULTING BUSINESS (ACB)"/>
        <s v="AFRICA GLOBAL GEOINGENIERIE (A2G)"/>
        <s v="AFRICA TRADE AND INVESTMENT CONSULTING (ATIC-SARL)"/>
        <s v="Africa Traiding-Equipement et Transport (AF-TECO)"/>
        <s v="AFRICA VISION MINING ( AVM-SARL)"/>
        <s v="AFRICAN BUILDERS SARL"/>
        <s v="AGEM SENEGAL EXPLORATION"/>
        <s v="AGRO SENEGAL EXPORTS"/>
        <s v="AL MAKHTOUM GENERAL TRADING"/>
        <s v="ALLIANCE GOLD"/>
        <s v="ALPHA OMEGA"/>
        <s v="AMATH NDIAYE INTERNATIONAL PRESTIGE (ANIP)"/>
        <s v="AMICALE DES ORPAILLEURS DE KEDOUGOU"/>
        <s v="AMSA GROUP AFRICA SA"/>
        <s v="ARC EN CIEL"/>
        <s v="ARDIMINES SARL"/>
        <s v="AREZKI-SA"/>
        <s v="AWA PRESTA SERVICES"/>
        <s v="AWAHABA GROUP"/>
        <s v="BAKHOUM BUSINESS COMPANY"/>
        <s v="BAMBADJI SA"/>
        <s v="BAMBOUK EXPLORATION SUARL"/>
        <s v="BAMBUK MINERALS SENEGAL"/>
        <s v="BAMINE"/>
        <s v="BANTAL DE BEROLA"/>
        <s v="BAOBAB GOLD (BG SARL)"/>
        <s v="BAOBAB MINING"/>
        <s v="BATIR MON PAYS"/>
        <s v="BAU"/>
        <s v="BB FIRST COMMODITY HOLDING LTD"/>
        <s v="BENCOUTA DE SAMECOUTA"/>
        <s v="BENKANTO"/>
        <s v="BENKHANGHO"/>
        <s v="BHAIRAVA AGRICOLE"/>
        <s v="BIGSAM OR"/>
        <s v="BINKHANTO BAITOULAYE"/>
        <s v="BINOME SARL"/>
        <s v="BIRIMA GOLD RESSOURCES"/>
        <s v="BLY SENEGAL"/>
        <s v="BOKAMINE"/>
        <s v="BOLLO BAKH"/>
        <s v="BOYA"/>
        <s v="BP SENEGAL INVESTMENTS LIMITED"/>
        <s v="CAMMACH-SN"/>
        <s v="CARRISEN SARL"/>
        <s v="CASA BAMBA FAILIAL"/>
        <s v="CHEHUMA"/>
        <s v="COMPAGNIE GENERALE DE CONSTRUCTION ET D'EXPLOITATION MINIERE"/>
        <s v="COMPAGNIE KHADIMOU RASSOUL"/>
        <s v="COMPAGNIE SAKHO C.S"/>
        <s v="COMPAGNIE SENEGALAISE DE TRANSPORT MINIER ET AGRICOLE (CSTMA)"/>
        <s v="COMPTOIR COMMERCIAL BALLA AICHA SUARL"/>
        <s v="COMPTOIR D'OR DE LA REGION ( C.OR.R)"/>
        <s v="CONSULTING BUSINESS AGENCY"/>
        <s v="CSE GRANULATS"/>
        <s v="DADICO"/>
        <s v="DANGOTE CEMENT SENEGAL"/>
        <s v="DANTILA MINE D'OR"/>
        <s v="DARA SALAM"/>
        <s v="DESK OFFICE"/>
        <s v="DIA COMPANY"/>
        <s v="DIAGNE ET FRERES ( SARAYA)"/>
        <s v="DIAMBAR IMMOBILIER"/>
        <s v="DIAMOND OFFSHORE DRILLING SENEGAL"/>
        <s v="DIENG &amp; CO ENGINEERING"/>
        <s v="DIOUF BOUGAR"/>
        <s v="EAUX SOUTERRAINES DU SENEGAL en abrégé ESS"/>
        <s v="ECAMM'S"/>
        <s v="ECOSEC"/>
        <s v="EMERGENCE MINES &amp; INVESTISSEMENTS"/>
        <s v="EMMALY SARL"/>
        <s v="ENTREPRISE AICHA"/>
        <s v="ENTREPRISE DAROU SALAM TAWFEX"/>
        <s v="ENTREPRISE DE RECHERCHE ET D'EXPLOITATION MINIERE (EREM)"/>
        <s v="ENTREPRISE DJOLOF TRANSPORT ET SERVICES"/>
        <s v="Entreprise Générale Darou Salam (EGDS)"/>
        <s v="ENTREPRISE GENERALE DE CONSTRUCTION ET D'AMENAGEMENT"/>
        <s v="ENTREPRISE GENERALE DE TRAVAUX PUBLICS ET BATIMENTS(EGTPB)"/>
        <s v="ENTREPRISE LE GANDIOL GROUPE"/>
        <s v="Entreprise Mamour NDIAYE"/>
        <s v="ENTREPRISE QUINCAILLERIE CISSE ET FRERES"/>
        <s v="ENTREPRISE WAKEUR BOROM GAWANE"/>
        <s v="ETABLISSEMENT SEGA ET FRERES"/>
        <s v="ETE MINING"/>
        <s v="ETOILE X 313 SUARL"/>
        <s v="ETS ABDOULAHAT MBAYE"/>
        <s v="ETS SERIGNE BABACAR SY"/>
        <s v="ETS  SERIGNE MANSOUR SY BOROOM DARADJI"/>
        <s v="EUROPEAN RAIL ROAD ESTABLISHED SERVICES (ERES)"/>
        <s v="EX. &amp; CO SARL"/>
        <s v="FADIALLAYA DE LEFAKHO"/>
        <s v="FAKMOZ"/>
        <s v="FAYMINING CORPORATE"/>
        <s v="G3DI"/>
        <s v="GACH MINING COMPANY LIMITED SENEGAL"/>
        <s v="GADDE"/>
        <s v="GAGNICK MINES"/>
        <s v="GAMMA CORPORATE"/>
        <s v="GANGUE TOUS TRAVAUX (G2T)"/>
        <s v="GASH MINING SENEGAL (GASH MINING SEN) SARL)"/>
        <s v="GAYI SUARL"/>
        <s v="GENERALE DE COMMERCE ET D'INDUSTRIE (GECI))"/>
        <s v="GEOSERVICES ENGINEERING (GSE)"/>
        <s v="GEOTEC"/>
        <s v="GIE CAYOR SILEX CORPORATION"/>
        <s v="GIE E.B.T.S ( ENTREPRISE BATIMENT TRAVAUX SARR)"/>
        <s v="GIE FARLOU"/>
        <s v="GIE CARAHMA"/>
        <s v="GIE COUMBOUTOUROU"/>
        <s v="GIE KA BUSINESS  COMPANY / KBC"/>
        <s v="GIE MAGNANKANTY"/>
        <s v="GIE SHENG HUA MINING CO,LTD"/>
        <s v="GLADIAMA SUARL"/>
        <s v="GLOBAL GEOSERVICES GROUP (3G-SARL)"/>
        <s v="GLOBAL IMMO SENEGAL"/>
        <s v="GLOBAL MINING OPERATIONS"/>
        <s v="GOLD MINE BUSINESS"/>
        <s v="GOLDEN KADJOR"/>
        <s v="GOLDINA"/>
        <s v="GRANDE COTE OPERATIONS"/>
        <s v="GROUPE SOCIETE SENEGALO SUISSE DES AFFAIRES"/>
        <s v="GUENE MINING SUARL"/>
        <s v="GUEYE &amp; FRERES THIORO TRANSPORT G.F.2T"/>
        <s v="HAILITHEN"/>
        <s v="HALDIFOTTY"/>
        <s v="HALWAR MULTISERVICES"/>
        <s v="HARANGA RESOURCES LTD"/>
        <s v="HINDOR"/>
        <s v="HLNT SENEGAL"/>
        <s v="I M GOLD"/>
        <s v="IAMGOLD BOTO"/>
        <s v="IMPERATOR RESOURCE"/>
        <s v="IMPROVE SENEGAL (IMPSEN)"/>
        <s v="INNOVA INVESTMENT"/>
        <s v="INTERNATIONAL CONSULTING GROUP (I.C.G)"/>
        <s v="INTERNATIONAL DRILLING COMPANY SENEGAL SASU"/>
        <s v="INTERNATIONAL MINING COMPANY"/>
        <s v="IRION TRANSFERS"/>
        <s v="JAMOMINING"/>
        <s v="JIN DIAN MINING"/>
        <s v="JIWANA RESOURCES PTY.LTD"/>
        <s v="KAIXUN GOLD MINING CO.LTD (K.G.M CO.LTD)"/>
        <s v="KALISO 2S-SAS"/>
        <s v="KANEL RESOURCES SARL"/>
        <s v="KANOUMERY"/>
        <s v="KARAMBA CONSTRUCTION TRANSPORT &amp; SERVICES"/>
        <s v="KEDOUGOU BUSINESS ET MINING SERVICES"/>
        <s v="KEDOUGOU MINE ET CARRIERE"/>
        <s v="KEUR MAME M'BASLA NDIAYE"/>
        <s v="KHAMBEN TEINKOTO NDIN"/>
        <s v="KHANIANG LIMITED"/>
        <s v="KHELKOM'S LION"/>
        <s v="KHEWEUL DIAMA"/>
        <s v="KOLIA"/>
        <s v="KONKOUTOU GOLD OPERATION"/>
        <s v="KOSMOS ENERGY INVESTMENTS SENEGAL LIMITED"/>
        <s v="KOUNDA GROUP"/>
        <s v="L &amp; D ECOMINING"/>
        <s v="L'AFRICAINE DES MINES (AFRIK'MINES)"/>
        <s v="LAMTORO NATURAL RESOURCES"/>
        <s v="LAYE BEYE"/>
        <s v="LE FATAA"/>
        <s v="LE GRAVIER"/>
        <s v="LES CIMENTS DU SAHEL"/>
        <s v="LES GRANDES CARRIERES DU SENEGAL"/>
        <s v="LES MINES DE LUMIERE"/>
        <s v="LES MINES DU JEGUEM (MDJ)"/>
        <s v="LIN WEILIN"/>
        <s v="LINGO D'OR SENEGAL"/>
        <s v="LOGICOM SN"/>
        <s v="M&amp;H CORPORATION"/>
        <s v="MADISSIMO"/>
        <s v="MAKABINGUI GOLD OPERATION"/>
        <s v="MAMADOU DIAKHITE DIARRA"/>
        <s v="MANDINGA RESOURCES"/>
        <s v="MANSA GOLD CORPORATION"/>
        <s v="MASSAWA"/>
        <s v="MAXIMERIT"/>
        <s v="MC TRANSPORT AND TRADING (MC2T)"/>
        <s v="MEDY INDUSTRIES MODERNES SARL"/>
        <s v="MFC INTERNATIONAL"/>
        <s v="MINES PROFESSIONAL HOLDING"/>
        <s v="MININVEST S.A  "/>
        <s v="MOULT INVEST - SUARL"/>
        <s v="MOUSTAPHA NDIAYE"/>
        <s v="NDATTE YALLAH COMPAGNIE"/>
        <s v="NEGOS FIABLE SENEGAL / NEFIS"/>
        <s v="NEW ENERGY INVESTMENT"/>
        <s v="NEW ERA INTERNATIONAL MINING DEVELOPMENT"/>
        <s v="NIANE ET FRERES"/>
        <s v="NIANY TRANSIT"/>
        <s v="NOGA MINE SARL"/>
        <s v="NOGAYE BUSINESS CONSULTING COMPANY"/>
        <s v="NOV OIL &amp; GAS SERVICES SENEGAL"/>
        <s v="OUSMANE SOW"/>
        <s v="PANAFRICAN MINERAL RESOURCES (PMR SAS)"/>
        <s v="PETROLEUM SENEGAL INDUSTRIES (P.S.I)"/>
        <s v="PIKINE MINING"/>
        <s v="PITABOULOUNG DE SYLLABOUNDA"/>
        <s v="PROSPECTIUNI"/>
        <s v="Q M D COMPANY"/>
        <s v="RACKY PRESTATIONS TECHNIQUES (RPT)"/>
        <s v="RASSOUL MINING OIL GAZ &amp; ENERGY"/>
        <s v="RESEAU NATIONAL DES BIJOUTIERS DU SENEGAL"/>
        <s v="SABODALA GOLD OPERATIONS"/>
        <s v="SABODALA MINING COMPANY SARL"/>
        <s v="SAHAD COMPAGNY"/>
        <s v="SAHEL MINES ET LOGISTICS SARL"/>
        <s v="SAM INVEST"/>
        <s v="SAMAGOLD SARL"/>
        <s v="SAMSAM GOLD"/>
        <s v="SANTANG NEGOCE INVESTMENT"/>
        <s v="SANTARGILE"/>
        <s v="SARAKOTO DE TENKOTO"/>
        <s v="SARAYA ENERGY"/>
        <s v="SDPP"/>
        <s v="SDT NEW ENERGY TACHNOLOGY (SDTNET-SARL)"/>
        <s v="SEN GENERAL ACTIVITIES"/>
        <s v="SEN MINES GROUP"/>
        <s v="SEN ZHANGHUA MINERAL"/>
        <s v="SENEGAL KOM KOM PLUS"/>
        <s v="SENEGAL MINERAL RESOURCES"/>
        <s v="SENEGAL NDINDI"/>
        <s v="SENEGAL SILEX"/>
        <s v="SENEGALAISE DE DISTRIBUTION AGROALIMENTAIRE  en abrégé  SE.D.ALI S.A.R.L"/>
        <s v="SENEGALAISE DE SERVICES MINIERS ET DE GENIE CIVIL"/>
        <s v="SENEGALAISE DES MINES ET GEOLOGIE"/>
        <s v="SENGINDIA SA"/>
        <s v="SENGOLD COMPANY"/>
        <s v="SEN-STONES"/>
        <s v="SERTER"/>
        <s v="SINOHYDRO SENEGAL-SARL"/>
        <s v="SINTRADE"/>
        <s v="SIRAJ MINES ET INDUSTRIES SARL"/>
        <s v="SKDT NEW NERGY TECHNOLOGY"/>
        <s v="SOCABEG MINING"/>
        <s v="SOCIETE DE CONCASSAGE ET DE BETON"/>
        <s v="SOCIETE DES MINES DU SENEGAL (SODEMINES)"/>
        <s v="SOCIETE DES MINES DU SENEGAL (SOMISEN)"/>
        <s v="SOCIETE D'EXPLOITATION DE LOGISTIQUE ET DE TRAVAUX"/>
        <s v="SOCIETE D'EXPLOITATION MINIERE DU SENEGAL (SEMIS-SUARL)"/>
        <s v="SOCIETE GENERALE DE CARRIERES,D'AGRICULTURE ET DES MINIES (GECAMINES - SA)"/>
        <s v="SOCIETE GENERALE DES MINES (SGM)"/>
        <s v="SOCIETE IMMOBILIERE DE CONSTRUCTION ET DE GERANCE 'SICOGER)"/>
        <s v="SOCIETE INTERNATIONALE DE BIENS DE SERVICES"/>
        <s v="SOCIETE MINIERE DE LA VALLEE DU FLEUVE SENEGAL / SOMIVA"/>
        <s v="SOCIETE SAHELIENNE D'ENTREPRISE (SSE)"/>
        <s v="SOCIETE SENEGALAISE DE PHOSPHATES DE THIES (SSPT)"/>
        <s v="SOCOCIM INDUSTRIES"/>
        <s v="SOCOTRABAT"/>
        <s v="SODA HOLDING COMPANY SUARL"/>
        <s v="SONKO ET FILS SARL"/>
        <s v="SOYA GOLD"/>
        <s v="STAPEM OFFSHORE SENEGAL"/>
        <s v="SUBSEA 7 SENEGAL"/>
        <s v="SUPER SALE"/>
        <s v="SWANI MINES-SA"/>
        <s v="SYFARO MINING COMPANY"/>
        <s v="SYLLA COUNDA"/>
        <s v="SYPROM"/>
        <s v="TALIX MINES"/>
        <s v="TAYSTONES SARL"/>
        <s v="TCHILMA BUILDING"/>
        <s v="TERANGA HORIZON"/>
        <s v="TERRACALCO SENEGAL"/>
        <s v="TESORO SERVICES"/>
        <s v="THIAM SENEGAL GOLD FAMILY"/>
        <s v="TIQ SENEGAL"/>
        <s v="TOP BUSINESS CONCEPT"/>
        <s v="TOTALENERGIES EP SENEGAL"/>
        <s v="TOUBA AMEUBLEMENT"/>
        <s v="TOUBA DENDEYE"/>
        <s v="TOUBA MINERAL RESSOURCES"/>
        <s v="TOULAYE AFRIQUE SARL"/>
        <s v="TOUS TRAVAUX SOUS MARINS (TTSM)"/>
        <s v="TRANSPORT NAR GAYE SUARL"/>
        <s v="TRIYANGS INTERNATIONAL MINING GROUP"/>
        <s v="UNION GOLD SENEGAL"/>
        <s v="UTK MINING SENEGAL"/>
        <s v="WALY DIOUF PARTNERS SOLUTION"/>
        <s v="WEST AFRICA MINES (WAM)"/>
        <s v="WEST WIND-SA"/>
        <s v="WONDER MINE &amp; TRADE (WMT-SAS)"/>
        <s v="WOODSIDE ENERGY SENEGAL BV"/>
        <s v="X.W.O"/>
        <s v="XINJIN ZIRCONIUM INDUSTRY"/>
        <s v="YELLOW GROUND SENEGAL SAS"/>
        <s v="ZEYNA TRANSPORTS-IMMO-CONSTRUCTIONS(Z.T.I.C)"/>
      </sharedItems>
    </cacheField>
    <cacheField name="Prénom et Nom Bénéficiaire" numFmtId="0">
      <sharedItems/>
    </cacheField>
    <cacheField name="Date d'acquisition" numFmtId="0">
      <sharedItems/>
    </cacheField>
    <cacheField name="% Action Direct" numFmtId="0">
      <sharedItems containsMixedTypes="1" containsNumber="1" containsInteger="1" minValue="1" maxValue="200"/>
    </cacheField>
    <cacheField name="% Voix Direct" numFmtId="0">
      <sharedItems containsMixedTypes="1" containsNumber="1" containsInteger="1" minValue="2" maxValue="200"/>
    </cacheField>
    <cacheField name="Nationalite" numFmtId="0">
      <sharedItems/>
    </cacheField>
    <cacheField name="Pays de résidence" numFmtId="0">
      <sharedItems containsBlank="1"/>
    </cacheField>
    <cacheField name="Est Une PPE" numFmtId="0">
      <sharedItems containsMixedTypes="1" containsNumber="1" containsInteger="1" minValue="0" maxValue="1"/>
    </cacheField>
    <cacheField name="Fonction PPE" numFmtId="0">
      <sharedItems containsMixedTypes="1" containsNumber="1" containsInteger="1" minValue="0" maxValue="1"/>
    </cacheField>
    <cacheField name="NomPPE" numFmtId="0">
      <sharedItems/>
    </cacheField>
    <cacheField name="Greffe" numFmtId="0">
      <sharedItems/>
    </cacheField>
    <cacheField name="Reg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4.634976273148" createdVersion="8" refreshedVersion="8" minRefreshableVersion="3" recordCount="555" xr:uid="{345D7374-15D6-4A1D-ACAB-04C33B3A82D1}">
  <cacheSource type="worksheet">
    <worksheetSource name="Permis"/>
  </cacheSource>
  <cacheFields count="13">
    <cacheField name="Code" numFmtId="0">
      <sharedItems/>
    </cacheField>
    <cacheField name="Nom" numFmtId="0">
      <sharedItems containsBlank="1"/>
    </cacheField>
    <cacheField name="Parties" numFmtId="0">
      <sharedItems containsBlank="1" count="413">
        <s v="COMPAGNIE  SENEGALAISE DES PHOSPHATES DE TAIBA"/>
        <s v="PROCHIMAT"/>
        <s v="ENTREPRISE DE GENIE CIVIL CONCASSEUR BASALTE NDIAMBOUR (EGCCBN) SUARL  (100%)"/>
        <s v="SOCIETE SENEGALAISE DES PHOSPHATES DE THIES"/>
        <s v="COMPAGNIE GENERALE D'EXPLOITATION DE CARRIERE (100%)"/>
        <s v="GECAMINES.SA (100%)"/>
        <s v="COMPAGNIE SAHELIENNE D'ENTREPRISE GRANULATS (100%)"/>
        <s v="GECAMINES.SA"/>
        <s v="SENEGAL MINES"/>
        <s v="INDUSTRIES CHIMIQUES DU SENEGAL"/>
        <s v="CIMENTS DU SAHEL"/>
        <s v="SOCIETE DE RECHERCHE ET DE DEVELOPPEMENT DES MINES SA (SORED-MINES)"/>
        <s v="SABODALA GOLD OPERATIONS SA (SGO)"/>
        <s v="SOCIETE DE COMMERCIALISATION DU CIMENT (SOCOCIM) INDUSTRIES "/>
        <s v="SOCIETE DE COMMERCIALISATION DU CIMENT (SOCOCIM) INDUSTRIES  (100%)"/>
        <s v="GRANDE COTE OPERATIONS SA "/>
        <s v="LIBASSE NIANG (100%)"/>
        <s v="DANGOTE INDUSTRIES SENEGAL SA"/>
        <s v="CARRIERE ABDOU FATTAH SA (100%)"/>
        <s v="MINING RESEARCH COMPANY S.L (100%)"/>
        <s v="SYPROM SA (100%)"/>
        <s v="ENTREPRISE MAPATHE NDIOUCK (100%)"/>
        <s v="DIAKHA GOLD MINES"/>
        <s v="SOCIETE DES MINES DU SENEGAL (SODEMINES) (100%)"/>
        <s v="SOCIETE D'ETUDES ET DE REALISATION DES PHOSPHATES DE MATAM (SERPM)"/>
        <s v="SERIGNE SALIOU MBACKE SARL"/>
        <s v="GH MINING SARL (100%)"/>
        <s v="SEN-HMC MINING SUARL (100%)"/>
        <s v="COMPTOIRE COMMERCIAL DAOUDA DIA SUARL (100%)"/>
        <s v="CAYOR PHOSPHATE MINING SA (100%)"/>
        <s v="SDK MINING SA (100%)"/>
        <s v="REPUBLIQUE DU SENEGAL (100%)"/>
        <s v="VAPROM AFRICA SA (100%)"/>
        <s v="SOCIETE INDUSTRIELLE ET MINIERE SUARL (100%)"/>
        <s v="BOYA SAU"/>
        <s v="ETS/PID"/>
        <s v="LIMETECH SA (100%)"/>
        <s v="MOM SARL (100%)"/>
        <s v="SOCIETE DES TERRES NEUVES SARL (100%)"/>
        <s v="SOCIETE DE SERVICES, BATIMENT ET COMMERCE INTERNATIONALE 2SBCI SUARL (100%)"/>
        <s v="CONSORTIUM SENEGALAISE D' INDUSTRIE ET DE COMMERCE"/>
        <s v="SOCIETE  DES MINES DE FER DE LA FALEME (MIFERSO)"/>
        <s v="AFRIGOLD  SARL (90%)"/>
        <s v="BAOBAB MINING AND CHEMICAL CORP SA"/>
        <s v="MAKABINGUI GOLD OPERATIONS SA (90%)"/>
        <s v="LES CARRIERES CTG SARL (100%)"/>
        <s v="ISLE WORLDWIDE (100%)"/>
        <s v="PETOWAL MINING COMPANY (PMC) SA"/>
        <s v="GIE SINING KANG (100%)"/>
        <s v="SOCIETE CIVILE IMMOBILIERE S.C.I.D.D (100%)"/>
        <s v="ENTREPRISE GENERALE D'EQUIPEMENT  SARL (100%)"/>
        <s v="URBAINE D'ENTREPRISE (100%)"/>
        <s v="SWAMI MINES SAU (100%)"/>
        <s v="AGROMINE SUARL (100%)"/>
        <s v="BUL FAALE PRODUCTION (100%)"/>
        <s v="FUTURIS IMMOBILIER (100%)"/>
        <s v="WEST AFRICAN TRADING INVESTMENT CONSTRUCTION (100%)"/>
        <s v="G.I.E. &quot; LE WOUROUS&quot;"/>
        <s v="MOUHAMED RASSOUL SECK SERVICES (100%)"/>
        <s v="SEGIMAR SA"/>
        <s v="ALBINA SENEGAL (100%)"/>
        <s v="GIE REBISEN (100%)"/>
        <s v="GIE KEDOUGOU BISNESS"/>
        <s v="SOCIETE SENEGALAISE DES MINES ET CARRIERES (100%)"/>
        <s v="SOCIETE DE CONCASSAGE ET DE BETON SARL (100%)"/>
        <s v="BB FIRST COMMODITY HOLDING LTD"/>
        <s v="SABODALA MINING COMPANY (100%)"/>
        <s v="TRIYANGS INTERNATIONAL MINING GROUP SA (100%)"/>
        <s v="ENTREPRISE GENERALE D'ELECTRICITE (100%)"/>
        <s v="G-PHOS S.A.U"/>
        <s v="MANDINGA RESOURCES SARL (100%)"/>
        <s v="ETS MAMADOU DIOUF CISSE (100%)"/>
        <s v="PRESTIGES-EXPORT LLC (100%)"/>
        <s v="AGEM (100%)"/>
        <s v="FUTURMINE SARL (100%)"/>
        <s v="BAMBADJI SA (100%)"/>
        <s v="TANOR SOLUTIONS INDUSTRIELLES (100%)"/>
        <s v="ETABLISSEMENT WI MARS (100%)"/>
        <s v="COMPAGNIE DES SABLES DU SENEGAL  (100%)"/>
        <s v=" AFRICA TRADE AND INVESTMENT CONSULTING SARL (100%)"/>
        <s v="SOCIETE DE BATIMENT et TRAVAUX PUBLICS SUARL (100%)"/>
        <s v="BABJUF MINES (100%)"/>
        <s v="GLOBAL IMMO SENEGAL SARL (100%)"/>
        <s v="RAMATOO (100%)"/>
        <s v="PROFILEX COMPANY (100%)"/>
        <s v="KAYAR HMC MINING SA (100%)"/>
        <s v="NEW ENERGY INVESTISMENT SARL (100%)"/>
        <s v="IMPROVE SENEGAL SAS (100%)"/>
        <s v="SOCIETE SENEGALAISE DE GRAVIERS SARL (100%)"/>
        <s v="SOMINES GRANULATS SA (100%)"/>
        <s v="GIE MARBRE BASALTE-GRANITE DU SENEGAL (100%)"/>
        <s v="BOTO SA (90%)"/>
        <s v="DIYAN EXPLOITATION MINIERE SUARL (100%)"/>
        <s v="BAMBUK MINERALS (100%)"/>
        <s v="SCATY INDUSTRIES  (100%)"/>
        <s v="STRATEX-EMC SA (50%)"/>
        <s v="GIE DJIGUI (100%)"/>
        <s v="LYONS FIELD SUARL (100%)"/>
        <m/>
        <s v="SAMA GOLD SARL (100%)"/>
        <s v="ARDIMINES (100%)"/>
        <s v="PROSPECTIUNI (10%)"/>
        <s v="MASSAWA JERSEY LIMITED (100%)"/>
        <s v="SOCIETE DES MINES DU SENEGAL (SODEMINES)"/>
        <s v="BHAIRAVA AGRICOL SARL (100%)"/>
        <s v="GIE SOLIDARITE POUR LE DEVELOPPEMENT (100%)"/>
        <s v="HOLDING ATLANTIC MINING PETROLUM &quot; MINE PETRO-SA&quot; (100%)"/>
        <s v="CANGAY MINES"/>
        <s v="CIMENTS DE L'AFRIQUE  (100%)"/>
        <s v="GECAMINES GRANULATS (100%)"/>
        <s v="SOCIETE WAAGAAN BTP SARL (100%)"/>
        <s v="INTERNATIONAL COMPANY OF TRADE AND SERVICES SA  (100%); SOCIETE CAPITAL PLUS (100%)"/>
        <s v="DAMOUNGHAYE SUARL (100%)"/>
        <s v="EBONY NATURAL RESOURCES - SUARL (100%)"/>
        <s v="GENERAL SERVICES SARL (100%)"/>
        <s v="AZ SERVICES SARL (100%)"/>
        <s v="TAYSIR SARL (100%)"/>
        <s v="THIAM SENEGAL GOLD FAMILY (100%)"/>
        <s v="SOCIETE DE FORAGE ET DE TRAVAUX PUBLICS MINING (100%)"/>
        <s v="ETABLISSEMENT SAM SARL (100%)"/>
        <s v="SERVICE REGIONAL DE TAMBACOUNDA (100%)"/>
        <s v="NEGOCE FIABLE SENEGAL SARL (100%)"/>
        <s v="S DOM HOLDING GOLD SARL (100%)"/>
        <s v="BANDESERVICES (100%)"/>
        <s v="BETAMINES SA (100%)"/>
        <s v="SOFITA SERVICES &amp; LOGISTIQUE (100%)"/>
        <s v="AMIN TRANS SUARL (100%)"/>
        <s v="HGR SENEGAL SARL (100%)"/>
        <s v="DIOR GOLD SUARL (100%)"/>
        <s v="SILIKA GRANULATS SARL (100%)"/>
        <s v="TESORO SERVICES (100%)"/>
        <s v="GREENFIELD ASSETS INVEST GAIN (100%)"/>
        <s v="SEN CONSORTIUM D'ENTREPRISE SARL (100%)"/>
        <s v="ELIKANE SUARL (100%)"/>
        <s v="GROUPE SOCIETE SENEGALO SUISSE DES AFFAIRES SUARL (100%)"/>
        <s v="GEO CONSULTING"/>
        <s v="GLOBAL MINING OPERATIONS (100%)"/>
        <s v="QINGNING SUARL (100%)"/>
        <s v="ADAMA UNIVERSAL IMMOBILIER ET AFFAIRES (100%)"/>
        <s v="CHESSER SAU (100%)"/>
        <s v="CILAGE MINE (100%)"/>
        <s v="MAIGA HOLDING (100%)"/>
        <s v="DIAMBAR IMMOBILIER SARL"/>
        <s v="KEDOUGOU BUSINESS &amp; MINING SERVICES SARL (100%)"/>
        <s v="SOYA GOLD SARL (100%)"/>
        <s v="GIE JOKKER ENDANG WAKILARE (100%)"/>
        <s v="GOLDSKY (100%)"/>
        <s v="CILAGE MINE SUARL (100%)"/>
        <s v="BARRICK GOLD SENEGAL SA (100%)"/>
        <s v="SHIFENG MINING COMPANY SARL (100%)"/>
        <s v="MANSA GOLD CORPORATION (100%)"/>
        <s v="ENTREPRISE INTERNATIONALE DES BIENS ET SERVICES  (100%)"/>
        <s v="MINE PETRO SA (100%)"/>
        <s v="ENEVIS SENEGAL  SA (100%)"/>
        <s v="CASA BAMBA  (100%)"/>
        <s v="AMATH NDIAYE INTERNATIONALE PRESTIGE SUARL (100%)"/>
        <s v="NDATTE YALLAH COMPAGNIE (100%)"/>
        <s v="NOGA MINE SARL (100%)"/>
        <s v="ETAT DU SENEGAL (100%)"/>
        <s v="BAU (100%)"/>
        <s v="ETABLISSEMENT GENERAL DE COMMERCE IMPORT/EXPORT (100%)"/>
        <s v="ALWAR PRODUCTION GROUP (100%)"/>
        <s v="ZEYKA SARL (100%)"/>
        <s v="SENEGAL SILEX SA (100%)"/>
        <s v="KONKOUTOU GOLD OPERATION SUARL (100%)"/>
        <s v="DIAGNE ASSANE (100%)"/>
        <s v="HARANGA RESOURCES LIMETED (100%)"/>
        <s v="THA MINES &amp; INDUSTRIES SARL (100%)"/>
        <s v="STAM BDA SARL (100%)"/>
        <s v="SAFIA IMPORT EXPORT (100%)"/>
        <s v="EL MODI SERVICES (100%)"/>
        <s v="GENIUS MULTISERVICE SUARL  (100%)"/>
        <s v="APSA MINES SA  (100%)"/>
        <s v="GIE CAYOR SILEX CORPORATION CSC (100%)"/>
        <s v="ADICO SARL (100%)"/>
        <s v="SARAYA ENERGY (100%)"/>
        <s v="GIE SYLLA KOUNDA (100%)"/>
        <s v="AFRICA TRADING  EQUIPEMENT CONSTRUCTION SUARL (100%)"/>
        <s v="BOUTA CONSULTING ET SERVICE (GAYE PAPA AL HOUSSEYNOU) (100%)"/>
        <s v="GIE FALL ET FRERES DE KHOUMA (100%)"/>
        <s v="LOCAL BUSINESS SERVICES  (NDONGO DJIBRIL) (100%)"/>
        <s v="RACKY PRESTATIONS TECHNIQUES SARL (100%)"/>
        <s v="SAHEL 2M CIE SARL (100%)"/>
        <s v="SALAME ENTREPRISE SARL (100%)"/>
        <s v="GUILLAYE DIOP (100%)"/>
        <s v="SINTRADE SA (100%)"/>
        <s v="GENERAL MULTI SERVICES TRADING SENEGAL SARL (100%)"/>
        <s v="ENTREPRISE OUSMANE SOW"/>
        <s v="KHELKOM'S LION SARL (100%)"/>
        <s v="ENTREPRISE BOUGAR DIOUF (100%)"/>
        <s v="MEDY INDUSTRIE SARL (100%)"/>
        <s v="COMPTOIR COMMERCIAL BALLA AICHA CCBA SUARL (100%)"/>
        <s v="SENECARMINES (SENEGALAISE DES MINES ET CARRIERES ) (100%)"/>
        <s v="SOCIETE IMMOBILIERE DE CONSTRUCTION ET DE GERANCE  ( SICOGER ) SARL (100%)"/>
        <s v="AREZKI S.A (100%)"/>
        <s v="DIMAT BAT &amp; TP SAU (100%)"/>
        <s v="SOCIETE &quot;S3D&quot; SARL (100%)"/>
        <s v="ABANDOUR GEOLINK (100%)"/>
        <s v="GEO EXPLOIT SARL (100%)"/>
        <s v="SCI NGARAFF (100%)"/>
        <s v="SOCIETE TOUBA NIBODJI SUARL (100%)"/>
        <s v="NDATTE YALLAH COMPAGNIE"/>
        <s v="SOCIETE INTERNATIONALE DE BATIMENT ET DE COMMERCE ET DE TRAVAUX PUBLICS (SICOBAT TP) (100%)"/>
        <s v="MBACKE SERIGNE CHEIKH IBRA  (100%)"/>
        <s v="LANVIC CONSULTING (100%)"/>
        <s v="XINJIN ZIRCONIUM INDUSTRY SARL (100%)"/>
        <s v="MBAYE FAMILY BUSINESS GROUP  (100%)"/>
        <s v="GOLDMINE BISINESS (100%)"/>
        <s v="SENEGALAISE DE COMMERCE ET DE SERVICES (100%)"/>
        <s v="G-SAND SARL (100%)"/>
        <s v="SKDT NEW ENERGY TECHNOLOGY SARL (100%)"/>
        <s v="TCHILMA BUILDING SUARL (100%)"/>
        <s v="MAODO GLOBAL BUISINESS (100%)"/>
        <s v="YELLOW GROUND SENEGAL SAS (100%)"/>
        <s v="AL JABER BTP SAU (100%)"/>
        <s v="FIRDAWSI GLOBAL BUSINESS SUARL (100%)"/>
        <s v="STE.AGRO-SENEGAL EXPORTS SARL (100%)"/>
        <s v="BIGSAM OR SARL (100%)"/>
        <s v="FABRIMETAL"/>
        <s v="PARTNERS MINING DEVELOPMENT SERVICES SAS (100%)"/>
        <s v="GIE AGIR POUR LE DEVELOPPEMENT LOCAL (100%)"/>
        <s v="WEST WIND SA (100%)"/>
        <s v="TAMIL MINES SARL"/>
        <s v="COMPTOIR D'OR DE LA REGION SARL (100%)"/>
        <s v="BIRIMA GOLD RESOURCES (100%)"/>
        <s v="HALWAR MULTISERVICES SARL (100%)"/>
        <s v="GIE KANBIN BAADIN NA (100%)"/>
        <s v="GLOBAL MINING &amp; RESSOURCES SA"/>
        <s v="KEDOUGOU BUSINESS &amp; MINING SERVICES SARL"/>
        <s v="SOCIETE D'EXPLOITATION DE LOGISTIQUE ET DES TRAVAUX (100%)"/>
        <s v="SDT NEW ENERGY TECHNOLOGY (100%)"/>
        <s v="GIE DIAGNE ET FRERES DE SARAYA (100%)"/>
        <s v="AMCI GOLD MINE SARL (100%)"/>
        <s v="NIANY TRANSIT SARL (100%)"/>
        <s v="DIOMAYE GRANULATS/GROUPE HOLDING DIOMAYE (100%)"/>
        <s v="FAKMOZ SARL (100%)"/>
        <s v="GREENFIELD ASSETS INVEST  (100%)"/>
        <s v="GIE KANKISSI SALAYAMA (100%)"/>
        <s v="3T SARL (100%)"/>
        <s v="IMPERATOR RESOURCE SARL"/>
        <s v="STARDUST GOLD COMPANY SARL (100%)"/>
        <s v="HLNT SENEGAL (100%)"/>
        <s v="SOCIETE MINIERE AFRICAINE (100%)"/>
        <s v="TRANS FAVO SUARL (100%)"/>
        <s v="NODA SA (100%)"/>
        <s v="HYDROMIN SENEGAL (100%)"/>
        <s v="CIMENTS DE L'AFRIQUE  (90%)"/>
        <s v="ENERGIE DISTRIBUTION SERVICES SUARL (100%)"/>
        <s v="MAREEG SUARL (100%)"/>
        <s v="KABIR 313 SUARL (100%)"/>
        <s v="MUSA MINING COMPANY SARL (100%)"/>
        <s v="ROMOU-SASU (100%)"/>
        <s v="HABITAT - SUARL (100%)"/>
        <s v="AFRIK'MINES SUARL (100%)"/>
        <s v="GIE BINKHANTO BAITOULAYE (100%)"/>
        <s v="ALIM GOLD SARL (100%)"/>
        <s v="SOFRU SARL"/>
        <s v="ETE MINING SARL"/>
        <s v="GIE DJIGUIBADALA (100%)"/>
        <s v="SAOCASIK COMPANU SASU (100%)"/>
        <s v="TANOR SA (100%)"/>
        <s v="X.W.O. SARL (100%)"/>
        <s v="CONSTRUCTION GESTION INNOVATION IMMOBILIERE (100%)"/>
        <s v="DIAMONDIOP ENTREPRISES ET COMPAGNIES SARL (100%)"/>
        <s v="GAYESY SUARL (100%)"/>
        <s v="VINCI Grands Projets/ANDRITZ-Hydro (100%)"/>
        <s v="AMFICI GOLD (100%)"/>
        <s v="AMCI GOLD MINE SARL"/>
        <s v="TRIYANGS INTERNATIONAL MINING GROUP SA"/>
        <s v="SINO-AFRICAINE COMMUNICATION SUARL"/>
        <s v="SOCIETE SENEGALAISE DES PHOSPHATES DE THIES (100%)"/>
        <s v="GIE BALAL COMMUNE DE MADINA FOULBE (100%)"/>
        <s v="AMMSA GROUP AFRICA . SA"/>
        <s v="GENERALE ENTREPRISE DE REALISATION D'ETUDE ET DE SUPERVISION (100%)"/>
        <s v="GUEYE ET FRERES THIORO TRANSPORT-GF2T (100%)"/>
        <s v="MAOR TECHNOLOGIES SA (100%)"/>
        <s v="GIE GROUPE AIDE DEVELOPPEMENT (100%)"/>
        <s v="DAME DIAKHATE (100%)"/>
        <s v="LES GRANDS TRAVAUX DE GOUNASS SARL (100%)"/>
        <s v="GAYESY SUARL"/>
        <s v="YICHEN SARL (100%)"/>
        <s v="SOCIETE CARRIERE MINES SENEGAL SARL (100%)"/>
        <s v="ETS THIEUDEME SAR SERVICE (100%)"/>
        <s v="GRACE GOLD COMPANY SENEGAL SARL (100%)"/>
        <s v="KANEL RESOURCES SARL (100%)"/>
        <s v="ENTREPRISE LINTHIO GLOBAL BUSINESS (100%)"/>
        <s v="LEYDI MINING COMPANY SARL (100%)"/>
        <s v="SEN-STONES (100%)"/>
        <s v="DIA MANSOUR - DIA COMPANY  (100%)"/>
        <s v="AFRICA GLOBAL GEOINGENIERIE SARL "/>
        <s v="JAMOMINING SARL (100%)"/>
        <s v="MEDY INDUSTRIES MODERNES SARL (100%)"/>
        <s v="SOCIETE EDTSG-SARL (100%)"/>
        <s v="KEUR BASSINE SARL (100%)"/>
        <s v="SENECARRIERE (100%)"/>
        <s v="SOCIETE D'AMENAGEMENT DE BATIMENT ET D'ETUDES GENERALES (SOCABEG)"/>
        <s v="SOCIETE SENEGALAISE DE SERVICES MINIERS DE GENIE CIVIL SARL (100%)"/>
        <s v="LAMP MINES BTP SA (100%)"/>
        <s v="LAMP MINES BTP SA"/>
        <s v="GIE KHAMBEINTEINKOTO NDIN (100%)"/>
        <s v="AMMSA GROUP AFRICA . SA (100%)"/>
        <s v="COMMUNE DE ROSS-BETHIO (100%)"/>
        <s v="SOCIÉTÉ TERRACALCO SÉNÉGAL  (100%)"/>
        <s v="IVOIRE INGENIERIE PLUS SUARL (100%)"/>
        <s v="DELTA MARINE BUSINESS INDUSTRIEL DU SENEGAL (100%)"/>
        <s v="SOCIETE D'EXPLOITATION MINIERE IMMOBILIERE ET COMMERCIALE (100%)"/>
        <s v=" SURVEY SERVICES SUARL"/>
        <s v="BAMBOUK EXPLORATION SARL (100%)"/>
        <s v="ROCAMJO SUARL (100%)"/>
        <s v="BIJOUTERIE SERIGNE BABACAR SY (100%)"/>
        <s v="SOCIETE CIVILE H2 MOCOSA (100%)"/>
        <s v="SANTARGILE SA (100%)"/>
        <s v="SALIOU MINES INDUSTRIES ET TECHNIQUES (100%)"/>
        <s v="SENEGALAISE D'ETUDE, DE REALISATION ET DE SERVICES SA (100%)"/>
        <s v="PROMO MINES SARL (100%)"/>
        <s v="GEOPARTNERS CONSULTING (100%)"/>
        <s v="SOCIETE DE GESTION DES CARRIERES DU SENEGAL (100%)"/>
        <s v="MBENGUE FAMILY BUSINESS SARL (100%)"/>
        <s v="SALL PAPA SANGONE"/>
        <s v="NGALOU EXPLOITATION ET SERVICES-SASU (100%)"/>
        <s v="BA MAMADOU (100%)"/>
        <s v="GIE KA BUSINESS COMPANY (100%)"/>
        <s v="WALY DIOUF PARTNERS SOLUTION (100%)"/>
        <s v="GIE NGAAY DJITTE (100%)"/>
        <s v="NAZATA AND MAYA SAS"/>
        <s v="GIE KOLIA (100%)"/>
        <s v="CENTRALE DE MATERIEL ET MATERIAUX SARL (100%)"/>
        <s v="SOCIETE DE GESTION DES MINES ET CARRIERES SARL (100%)"/>
        <s v="ENTREPRISE DIENDER  (100%)"/>
        <s v="ENTREPRISE AICHA (100%)"/>
        <s v="LAMTORO NATURAL RERSOURCES (100%)"/>
        <s v="ENTREPRISE BOUGAR DIOUF"/>
        <s v="CHROME SUARL (100%)"/>
        <s v="SOCIETE CIVILE H2 MOCOSA"/>
        <s v="ETABLISSEMENT HABIB SAMB (100%)"/>
        <s v="TALIX MINES SARL (100%)"/>
        <s v="WAHABA BUILDING (100%)"/>
        <s v="EIFFAGE (100%)"/>
        <s v="ENTREPRISE GENERALE DAROU SALAM (100%)"/>
        <s v="ENTREPRISE DE TRAVAUX D'INDUSTRIE ET DE COMMERCE  (100%)"/>
        <s v="GIE EXPRESS LOGISTICS PLUS (100%)"/>
        <s v="NDEYE MATY TRADE (100%)"/>
        <s v="AFRIQUE MINES COMPANY PLUS (100%)"/>
        <s v="DARA SALAM - SUARL (100%)"/>
        <s v="AFG RESSOURCES  (100%)"/>
        <s v="DIARRA MAMADOU DIAKHATE (100%)"/>
        <s v="GROUPE DE SOCIETES ULSAN (100%)"/>
        <s v="NDOYE ABDOULAYE (EAND) (100%)"/>
        <s v="KAPI GROUP (100%)"/>
        <s v="AFRICAN BUILDERS SARL (100%)"/>
        <s v="AIR DYNAMICS SOLUTIONS SENEGAL (100%)"/>
        <s v="CHINA ROAD AND BRIDGE CORPORATION SENEGAL (100%)"/>
        <s v="GOLD MINING CORPORATION (100%)"/>
        <s v="CK CARRIERE  (100%)"/>
        <s v="BAOBAB MINERALS SARL (100%)"/>
        <s v="AFRICA SERVICES GROUP SUARL (100%)"/>
        <s v="EBD ENTREPRISES SUARL (100%)"/>
        <s v="COMMUNE GANDON"/>
        <s v="GIE GARAGE SOUF (100%)"/>
        <s v="COMMUNE DE BOKHOL (100%)"/>
        <s v="COMMUNE DE PIRE  (100%)"/>
        <s v="LD ECOMINING- SARL (100%)"/>
        <s v="SOCIETE COMMERCIALE NDIAMBOUR NDIGUEUL SARL (100%)"/>
        <s v="SABODALA GOLD OPERATIONS SA (SGO) (100%)"/>
        <s v="SENEGAL CARRIERE IMMO SARL (100%)"/>
        <s v="KAANGUI A-F SUARL"/>
        <s v="KAANGUI A-F SUARL (100%)"/>
        <s v="DAROU MINAM PRESTIGE SUARL (100%)"/>
        <s v="AMAFRIQUE SENEGAL (100%)"/>
        <s v="CHINA HARBOUR ENGINEERING COMPANY SENEGAL SUARL (100%)"/>
        <s v="GIE LIGGUEY BUNU BOKOU (100%)"/>
        <s v="Maire de la Commune de Mbadiane "/>
        <s v="MINES PROFESSIONAL HOLDING SARL (100%)"/>
        <s v="REPUBLIQUE DU SENEGAL"/>
        <s v="COMPAGNY SAKHO - C.S (100%)"/>
        <s v="BASMALA INTERNATIONAL SARL (100%)"/>
        <s v="Mairie de la commune de Bagadadji (100%)"/>
        <s v="COMMUNE DE NGUIDILLE  (100%)"/>
        <s v="ENTREPRISE DE TRANSPORT ET DE COMMERCE (100%)"/>
        <s v="ENTREPRISE DAROU SALAM TAWFEKH (100%)"/>
        <s v="MAIRIE DE DYA (100%)"/>
        <s v="CSE GRANULATS SA (100%)"/>
        <s v="DAROU SALAM TRANSPORTS SARL (100%)"/>
        <s v="GLADIAMA SUARL (100%)"/>
        <s v="GASS IMMO SUARL (100%)"/>
        <s v="SOCIETE DES MINES DU SENEGAL (100%)"/>
        <s v="MAMADOU SENE TRANSPORT ET COMMERCE SARL  (100%)"/>
        <s v="MC TRANSPORT AND TRADING SARL (100%)"/>
        <s v="LES GRANDES CARRIERES DU SENEGAL (100%)"/>
        <s v="COMMUNE DE KEUR MADIABEL (100%)"/>
        <s v="DI CORP SAS (100%)"/>
        <s v="XEWELL CIMENTERIES SA (100%)"/>
        <s v="LION RISE CEMENT CO SARL (100%)"/>
        <s v="DIA COMPANY NAFOORE-SARL (100%)"/>
        <s v="TOUBA CARRIERES SARL  (100%)"/>
        <s v="DANGOTE CEMENT SENEGAL SA (100%)"/>
        <s v="Cheikh KANE (100%)"/>
        <s v="TETACAR (100%)"/>
        <s v="CAYORIENNE DES TRANSPORTS, CARRIERES ET TRAVAUX PUBLICS (100%)"/>
        <s v="INCA SARL (100%)"/>
        <s v="SOCIETE D'EXPLOITATION DES MINES ET CARRIERES (SEMC) (100%)"/>
        <s v="GAYE THIOLOM GANDIOLE ENTREPRISES SUARL"/>
        <s v="CONSORTIUM PETROMIR &amp; PETROLINE"/>
        <s v="SNEPAC INTERNATIONAL SARL"/>
        <s v="SENOR GROUP (100%)"/>
        <s v="CK CARRIRES SA (100%)"/>
        <s v="MINES et BATIMENTS GROUP MBG Sarl (100%)"/>
        <s v="SOCIETE SENEGALAISE DE CONSTRUCTION ET DE PROMOTION IMMOBILIERE (100%)"/>
        <s v="GIE BIJOUTERIE AIR FRANCE (100%)"/>
        <s v="Mairie de la commune de Ronkh-Saint louis (100%)"/>
        <s v="Mairie de la commune de Gaé- Saint Louis (100%)"/>
        <s v="AGEM EXPLORATION SENEGAL (100%)"/>
        <s v="Spatial Dimension Test Company; Tim Wallis"/>
      </sharedItems>
    </cacheField>
    <cacheField name="Juridiction" numFmtId="0">
      <sharedItems/>
    </cacheField>
    <cacheField name="Type" numFmtId="0">
      <sharedItems/>
    </cacheField>
    <cacheField name="Substances" numFmtId="0">
      <sharedItems containsBlank="1"/>
    </cacheField>
    <cacheField name="Statut" numFmtId="0">
      <sharedItems/>
    </cacheField>
    <cacheField name="Région" numFmtId="0">
      <sharedItems containsBlank="1"/>
    </cacheField>
    <cacheField name="Demande faite" numFmtId="0">
      <sharedItems containsSemiMixedTypes="0" containsNonDate="0" containsDate="1" containsString="0" minDate="1957-12-23T00:00:00" maxDate="2026-04-16T14:48:09"/>
    </cacheField>
    <cacheField name="Octroyé" numFmtId="0">
      <sharedItems containsDate="1" containsString="0" containsBlank="1" minDate="1959-01-01T00:00:00" maxDate="2026-04-21T00:00:00"/>
    </cacheField>
    <cacheField name="Expire le" numFmtId="0">
      <sharedItems containsDate="1" containsString="0" containsBlank="1" minDate="2013-05-26T00:00:00" maxDate="2052-01-02T00:00:00"/>
    </cacheField>
    <cacheField name="Renouvelé" numFmtId="0">
      <sharedItems containsDate="1" containsString="0" containsBlank="1" minDate="2017-08-30T00:00:00" maxDate="2025-05-20T00:00:00"/>
    </cacheField>
    <cacheField name="superfici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4.63619016204" createdVersion="8" refreshedVersion="8" minRefreshableVersion="3" recordCount="41" xr:uid="{1E7ADA8E-E15C-4C65-8FE4-17C4F48D2CE4}">
  <cacheSource type="worksheet">
    <worksheetSource name="Tableau3"/>
  </cacheSource>
  <cacheFields count="4">
    <cacheField name="Entreprise" numFmtId="0">
      <sharedItems count="41">
        <s v="CHEIKH FALL"/>
        <s v="FORADRILL-SENEGAL"/>
        <s v="AMS Senegal SUARL"/>
        <s v="African Underground Mining Services Senegal SUARL"/>
        <s v="KEKENDO AFRICA ENGINEERING "/>
        <s v="CORICA MINING SERVICES SARL"/>
        <s v="CHALLENGE 2000 SARL "/>
        <s v="EIFFAGE SENEGAL SAS"/>
        <s v="GLOBAL AFRICINVEST"/>
        <s v="MCI SENEGAL SAS"/>
        <s v="Africa Power Services Senegal"/>
        <s v="Lycopodium Minerals Canada LTD"/>
        <s v="Les Spécialistes de l'Energie"/>
        <s v="INTER-MINING SERVICES SENEGAL"/>
        <s v="GEODRILL SENEGAL SARL"/>
        <s v="BOSFOR SARL"/>
        <s v="MOTA ENGIL SENEGAL MINING SUARL"/>
        <s v="Lycopodium Marine and Modular (Pty) Ltd"/>
        <s v="AECI SENEGAL "/>
        <s v="IDC"/>
        <s v="Lycopodium Senegal SUARL"/>
        <s v="MCI SENEGAL"/>
        <s v="Traore Electricité Bâtiment et industrie "/>
        <s v="CADEX SENEGAL"/>
        <s v="SEA-INVEST SENEGAL"/>
        <s v="E G C 2 I  sarl"/>
        <s v="PARAMOUNT MINING SERVICES SUARL"/>
        <s v="EPC MINEEX SA"/>
        <s v="enikon senegal sarl"/>
        <s v="DRILLEEX"/>
        <s v="FORAGE FTE SÉNÉGAL"/>
        <s v="Winde-bat"/>
        <s v="TransportsDieye"/>
        <s v="GISMAF SUARL"/>
        <s v="INTERNATIONAL DRILLING COMPANY"/>
        <s v="Redpath Africa Limited"/>
        <s v="Fives FCB Sénégal SARL"/>
        <s v="BAUER"/>
        <s v="GRANDS TRAVAUX ET SERVICES SARL "/>
        <s v="NRG Exploration CC"/>
        <s v="CJ ICM LOGISTICS BELGIUM BV"/>
      </sharedItems>
    </cacheField>
    <cacheField name="Email" numFmtId="0">
      <sharedItems/>
    </cacheField>
    <cacheField name="Profile" numFmtId="0">
      <sharedItems/>
    </cacheField>
    <cacheField name="Pay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4.644222916664" createdVersion="8" refreshedVersion="8" minRefreshableVersion="3" recordCount="596" xr:uid="{85C72D1E-97A3-497C-B08B-8B8E0A5BD733}">
  <cacheSource type="worksheet">
    <worksheetSource name="Permis5"/>
  </cacheSource>
  <cacheFields count="15">
    <cacheField name="Code" numFmtId="0">
      <sharedItems containsBlank="1"/>
    </cacheField>
    <cacheField name="Nom" numFmtId="0">
      <sharedItems containsBlank="1"/>
    </cacheField>
    <cacheField name="Parties" numFmtId="0">
      <sharedItems containsBlank="1" count="454">
        <s v="COMPAGNIE  SENEGALAISE DES PHOSPHATES DE TAIBA"/>
        <s v="PROCHIMAT"/>
        <s v="ENTREPRISE DE GENIE CIVIL CONCASSEUR BASALTE NDIAMBOUR (EGCCBN) SUARL  (100%)"/>
        <s v="SOCIETE SENEGALAISE DES PHOSPHATES DE THIES"/>
        <s v="COMPAGNIE GENERALE D'EXPLOITATION DE CARRIERE (100%)"/>
        <s v="GECAMINES.SA (100%)"/>
        <s v="COMPAGNIE SAHELIENNE D'ENTREPRISE GRANULATS (100%)"/>
        <s v="GECAMINES.SA"/>
        <s v="SENEGAL MINES"/>
        <s v="INDUSTRIES CHIMIQUES DU SENEGAL"/>
        <s v="CIMENTS DU SAHEL"/>
        <s v="SOCIETE DE RECHERCHE ET DE DEVELOPPEMENT DES MINES SA (SORED-MINES)"/>
        <s v="SABODALA GOLD OPERATIONS SA (SGO)"/>
        <s v="SOCIETE DE COMMERCIALISATION DU CIMENT (SOCOCIM) INDUSTRIES "/>
        <s v="SOCIETE DE COMMERCIALISATION DU CIMENT (SOCOCIM) INDUSTRIES  (100%)"/>
        <s v="GRANDE COTE OPERATIONS SA "/>
        <s v="LIBASSE NIANG (100%)"/>
        <s v="DANGOTE INDUSTRIES SENEGAL SA"/>
        <s v="CARRIERE ABDOU FATTAH SA (100%)"/>
        <s v="MINING RESEARCH COMPANY S.L (100%)"/>
        <s v="SYPROM SA (100%)"/>
        <s v="ENTREPRISE MAPATHE NDIOUCK (100%)"/>
        <s v="DIAKHA GOLD MINES"/>
        <s v="SOCIETE DES MINES DU SENEGAL (SODEMINES) (100%)"/>
        <s v="SOCIETE D'ETUDES ET DE REALISATION DES PHOSPHATES DE MATAM (SERPM)"/>
        <s v="SERIGNE SALIOU MBACKE SARL"/>
        <s v="GH MINING SARL (100%)"/>
        <s v="SEN-HMC MINING SUARL (100%)"/>
        <s v="COMPTOIRE COMMERCIAL DAOUDA DIA SUARL (100%)"/>
        <s v="CAYOR PHOSPHATE MINING SA (100%)"/>
        <s v="SDK MINING SA (100%)"/>
        <s v="REPUBLIQUE DU SENEGAL (100%)"/>
        <s v="VAPROM AFRICA SA (100%)"/>
        <s v="SOCIETE INDUSTRIELLE ET MINIERE SUARL (100%)"/>
        <s v="BOYA SAU"/>
        <s v="ETS/PID"/>
        <s v="LIMETECH SA (100%)"/>
        <s v="MOM SARL (100%)"/>
        <s v="SOCIETE DES TERRES NEUVES SARL (100%)"/>
        <s v="SOCIETE DE SERVICES, BATIMENT ET COMMERCE INTERNATIONALE 2SBCI SUARL (100%)"/>
        <s v="CONSORTIUM SENEGALAISE D' INDUSTRIE ET DE COMMERCE"/>
        <s v="SOCIETE  DES MINES DE FER DE LA FALEME (MIFERSO)"/>
        <s v="AFRIGOLD  SARL (90%)"/>
        <s v="BAOBAB MINING AND CHEMICAL CORP SA"/>
        <s v="MAKABINGUI GOLD OPERATIONS SA (90%)"/>
        <s v="LES CARRIERES CTG SARL (100%)"/>
        <s v="ISLE WORLDWIDE (100%)"/>
        <s v="PETOWAL MINING COMPANY (PMC) SA"/>
        <s v="GIE SINING KANG (100%)"/>
        <s v="SOCIETE CIVILE IMMOBILIERE S.C.I.D.D (100%)"/>
        <s v="ENTREPRISE GENERALE D'EQUIPEMENT  SARL (100%)"/>
        <s v="URBAINE D'ENTREPRISE (100%)"/>
        <s v="SWAMI MINES SAU (100%)"/>
        <s v="AGROMINE SUARL (100%)"/>
        <s v="BUL FAALE PRODUCTION (100%)"/>
        <s v="FUTURIS IMMOBILIER (100%)"/>
        <s v="WEST AFRICAN TRADING INVESTMENT CONSTRUCTION (100%)"/>
        <s v="G.I.E. &quot; LE WOUROUS&quot;"/>
        <s v="MOUHAMED RASSOUL SECK SERVICES (100%)"/>
        <s v="SEGIMAR SA"/>
        <s v="ALBINA SENEGAL (100%)"/>
        <s v="GIE REBISEN (100%)"/>
        <s v="GIE KEDOUGOU BISNESS"/>
        <s v="SOCIETE SENEGALAISE DES MINES ET CARRIERES (100%)"/>
        <s v="SOCIETE DE CONCASSAGE ET DE BETON SARL (100%)"/>
        <s v="BB FIRST COMMODITY HOLDING LTD"/>
        <s v="SABODALA MINING COMPANY (100%)"/>
        <s v="TRIYANGS INTERNATIONAL MINING GROUP SA (100%)"/>
        <s v="ENTREPRISE GENERALE D'ELECTRICITE (100%)"/>
        <s v="G-PHOS S.A.U"/>
        <s v="MANDINGA RESOURCES SARL (100%)"/>
        <s v="ETS MAMADOU DIOUF CISSE (100%)"/>
        <s v="PRESTIGES-EXPORT LLC (100%)"/>
        <s v="AGEM (100%)"/>
        <s v="FUTURMINE SARL (100%)"/>
        <s v="BAMBADJI SA (100%)"/>
        <s v="TANOR SOLUTIONS INDUSTRIELLES (100%)"/>
        <s v="ETABLISSEMENT WI MARS (100%)"/>
        <s v="COMPAGNIE DES SABLES DU SENEGAL  (100%)"/>
        <s v=" AFRICA TRADE AND INVESTMENT CONSULTING SARL (100%)"/>
        <s v="SOCIETE DE BATIMENT et TRAVAUX PUBLICS SUARL (100%)"/>
        <s v="BABJUF MINES (100%)"/>
        <s v="GLOBAL IMMO SENEGAL SARL (100%)"/>
        <s v="RAMATOO (100%)"/>
        <s v="PROFILEX COMPANY (100%)"/>
        <s v="KAYAR HMC MINING SA (100%)"/>
        <s v="NEW ENERGY INVESTISMENT SARL (100%)"/>
        <s v="IMPROVE SENEGAL SAS (100%)"/>
        <s v="SOCIETE SENEGALAISE DE GRAVIERS SARL (100%)"/>
        <s v="SOMINES GRANULATS SA (100%)"/>
        <s v="GIE MARBRE BASALTE-GRANITE DU SENEGAL (100%)"/>
        <s v="BOTO SA (90%)"/>
        <s v="DIYAN EXPLOITATION MINIERE SUARL (100%)"/>
        <s v="BAMBUK MINERALS (100%)"/>
        <s v="SCATY INDUSTRIES  (100%)"/>
        <s v="STRATEX-EMC SA (50%)"/>
        <s v="GIE DJIGUI (100%)"/>
        <s v="LYONS FIELD SUARL (100%)"/>
        <m/>
        <s v="SAMA GOLD SARL (100%)"/>
        <s v="ARDIMINES (100%)"/>
        <s v="PROSPECTIUNI (10%)"/>
        <s v="MASSAWA JERSEY LIMITED (100%)"/>
        <s v="SOCIETE DES MINES DU SENEGAL (SODEMINES)"/>
        <s v="BHAIRAVA AGRICOL SARL (100%)"/>
        <s v="GIE SOLIDARITE POUR LE DEVELOPPEMENT (100%)"/>
        <s v="HOLDING ATLANTIC MINING PETROLUM &quot; MINE PETRO-SA&quot; (100%)"/>
        <s v="CANGAY MINES"/>
        <s v="CIMENTS DE L'AFRIQUE  (100%)"/>
        <s v="GECAMINES GRANULATS (100%)"/>
        <s v="SOCIETE WAAGAAN BTP SARL (100%)"/>
        <s v="INTERNATIONAL COMPANY OF TRADE AND SERVICES SA  (100%); SOCIETE CAPITAL PLUS (100%)"/>
        <s v="DAMOUNGHAYE SUARL (100%)"/>
        <s v="EBONY NATURAL RESOURCES - SUARL (100%)"/>
        <s v="GENERAL SERVICES SARL (100%)"/>
        <s v="AZ SERVICES SARL (100%)"/>
        <s v="TAYSIR SARL (100%)"/>
        <s v="THIAM SENEGAL GOLD FAMILY (100%)"/>
        <s v="SOCIETE DE FORAGE ET DE TRAVAUX PUBLICS MINING (100%)"/>
        <s v="ETABLISSEMENT SAM SARL (100%)"/>
        <s v="SERVICE REGIONAL DE TAMBACOUNDA (100%)"/>
        <s v="NEGOCE FIABLE SENEGAL SARL (100%)"/>
        <s v="S DOM HOLDING GOLD SARL (100%)"/>
        <s v="BANDESERVICES (100%)"/>
        <s v="BETAMINES SA (100%)"/>
        <s v="SOFITA SERVICES &amp; LOGISTIQUE (100%)"/>
        <s v="AMIN TRANS SUARL (100%)"/>
        <s v="HGR SENEGAL SARL (100%)"/>
        <s v="DIOR GOLD SUARL (100%)"/>
        <s v="SILIKA GRANULATS SARL (100%)"/>
        <s v="TESORO SERVICES (100%)"/>
        <s v="GREENFIELD ASSETS INVEST GAIN (100%)"/>
        <s v="SEN CONSORTIUM D'ENTREPRISE SARL (100%)"/>
        <s v="ELIKANE SUARL (100%)"/>
        <s v="GROUPE SOCIETE SENEGALO SUISSE DES AFFAIRES SUARL (100%)"/>
        <s v="GEO CONSULTING"/>
        <s v="GLOBAL MINING OPERATIONS (100%)"/>
        <s v="QINGNING SUARL (100%)"/>
        <s v="ADAMA UNIVERSAL IMMOBILIER ET AFFAIRES (100%)"/>
        <s v="CHESSER SAU (100%)"/>
        <s v="CILAGE MINE (100%)"/>
        <s v="MAIGA HOLDING (100%)"/>
        <s v="DIAMBAR IMMOBILIER SARL"/>
        <s v="KEDOUGOU BUSINESS &amp; MINING SERVICES SARL (100%)"/>
        <s v="SOYA GOLD SARL (100%)"/>
        <s v="GIE JOKKER ENDANG WAKILARE (100%)"/>
        <s v="GOLDSKY (100%)"/>
        <s v="CILAGE MINE SUARL (100%)"/>
        <s v="BARRICK GOLD SENEGAL SA (100%)"/>
        <s v="SHIFENG MINING COMPANY SARL (100%)"/>
        <s v="MANSA GOLD CORPORATION (100%)"/>
        <s v="ENTREPRISE INTERNATIONALE DES BIENS ET SERVICES  (100%)"/>
        <s v="MINE PETRO SA (100%)"/>
        <s v="ENEVIS SENEGAL  SA (100%)"/>
        <s v="CASA BAMBA  (100%)"/>
        <s v="AMATH NDIAYE INTERNATIONALE PRESTIGE SUARL (100%)"/>
        <s v="NDATTE YALLAH COMPAGNIE (100%)"/>
        <s v="NOGA MINE SARL (100%)"/>
        <s v="ETAT DU SENEGAL (100%)"/>
        <s v="BAU (100%)"/>
        <s v="ETABLISSEMENT GENERAL DE COMMERCE IMPORT/EXPORT (100%)"/>
        <s v="ALWAR PRODUCTION GROUP (100%)"/>
        <s v="ZEYKA SARL (100%)"/>
        <s v="SENEGAL SILEX SA (100%)"/>
        <s v="KONKOUTOU GOLD OPERATION SUARL (100%)"/>
        <s v="DIAGNE ASSANE (100%)"/>
        <s v="HARANGA RESOURCES LIMETED (100%)"/>
        <s v="THA MINES &amp; INDUSTRIES SARL (100%)"/>
        <s v="STAM BDA SARL (100%)"/>
        <s v="SAFIA IMPORT EXPORT (100%)"/>
        <s v="EL MODI SERVICES (100%)"/>
        <s v="GENIUS MULTISERVICE SUARL  (100%)"/>
        <s v="APSA MINES SA  (100%)"/>
        <s v="GIE CAYOR SILEX CORPORATION CSC (100%)"/>
        <s v="ADICO SARL (100%)"/>
        <s v="SARAYA ENERGY (100%)"/>
        <s v="GIE SYLLA KOUNDA (100%)"/>
        <s v="AFRICA TRADING  EQUIPEMENT CONSTRUCTION SUARL (100%)"/>
        <s v="BOUTA CONSULTING ET SERVICE (GAYE PAPA AL HOUSSEYNOU) (100%)"/>
        <s v="GIE FALL ET FRERES DE KHOUMA (100%)"/>
        <s v="LOCAL BUSINESS SERVICES  (NDONGO DJIBRIL) (100%)"/>
        <s v="RACKY PRESTATIONS TECHNIQUES SARL (100%)"/>
        <s v="SAHEL 2M CIE SARL (100%)"/>
        <s v="SALAME ENTREPRISE SARL (100%)"/>
        <s v="GUILLAYE DIOP (100%)"/>
        <s v="SINTRADE SA (100%)"/>
        <s v="GENERAL MULTI SERVICES TRADING SENEGAL SARL (100%)"/>
        <s v="ENTREPRISE OUSMANE SOW"/>
        <s v="KHELKOM'S LION SARL (100%)"/>
        <s v="ENTREPRISE BOUGAR DIOUF (100%)"/>
        <s v="MEDY INDUSTRIE SARL (100%)"/>
        <s v="COMPTOIR COMMERCIAL BALLA AICHA CCBA SUARL (100%)"/>
        <s v="SENECARMINES (SENEGALAISE DES MINES ET CARRIERES ) (100%)"/>
        <s v="SOCIETE IMMOBILIERE DE CONSTRUCTION ET DE GERANCE  ( SICOGER ) SARL (100%)"/>
        <s v="AREZKI S.A (100%)"/>
        <s v="DIMAT BAT &amp; TP SAU (100%)"/>
        <s v="SOCIETE &quot;S3D&quot; SARL (100%)"/>
        <s v="ABANDOUR GEOLINK (100%)"/>
        <s v="GEO EXPLOIT SARL (100%)"/>
        <s v="SCI NGARAFF (100%)"/>
        <s v="SOCIETE TOUBA NIBODJI SUARL (100%)"/>
        <s v="NDATTE YALLAH COMPAGNIE"/>
        <s v="SOCIETE INTERNATIONALE DE BATIMENT ET DE COMMERCE ET DE TRAVAUX PUBLICS (SICOBAT TP) (100%)"/>
        <s v="MBACKE SERIGNE CHEIKH IBRA  (100%)"/>
        <s v="LANVIC CONSULTING (100%)"/>
        <s v="XINJIN ZIRCONIUM INDUSTRY SARL (100%)"/>
        <s v="MBAYE FAMILY BUSINESS GROUP  (100%)"/>
        <s v="GOLDMINE BISINESS (100%)"/>
        <s v="SENEGALAISE DE COMMERCE ET DE SERVICES (100%)"/>
        <s v="G-SAND SARL (100%)"/>
        <s v="SKDT NEW ENERGY TECHNOLOGY SARL (100%)"/>
        <s v="TCHILMA BUILDING SUARL (100%)"/>
        <s v="MAODO GLOBAL BUISINESS (100%)"/>
        <s v="YELLOW GROUND SENEGAL SAS (100%)"/>
        <s v="AL JABER BTP SAU (100%)"/>
        <s v="FIRDAWSI GLOBAL BUSINESS SUARL (100%)"/>
        <s v="STE.AGRO-SENEGAL EXPORTS SARL (100%)"/>
        <s v="BIGSAM OR SARL (100%)"/>
        <s v="FABRIMETAL"/>
        <s v="PARTNERS MINING DEVELOPMENT SERVICES SAS (100%)"/>
        <s v="GIE AGIR POUR LE DEVELOPPEMENT LOCAL (100%)"/>
        <s v="WEST WIND SA (100%)"/>
        <s v="TAMIL MINES SARL"/>
        <s v="COMPTOIR D'OR DE LA REGION SARL (100%)"/>
        <s v="BIRIMA GOLD RESOURCES (100%)"/>
        <s v="HALWAR MULTISERVICES SARL (100%)"/>
        <s v="GIE KANBIN BAADIN NA (100%)"/>
        <s v="GLOBAL MINING &amp; RESSOURCES SA"/>
        <s v="KEDOUGOU BUSINESS &amp; MINING SERVICES SARL"/>
        <s v="SOCIETE D'EXPLOITATION DE LOGISTIQUE ET DES TRAVAUX (100%)"/>
        <s v="SDT NEW ENERGY TECHNOLOGY (100%)"/>
        <s v="GIE DIAGNE ET FRERES DE SARAYA (100%)"/>
        <s v="AMCI GOLD MINE SARL (100%)"/>
        <s v="NIANY TRANSIT SARL (100%)"/>
        <s v="DIOMAYE GRANULATS/GROUPE HOLDING DIOMAYE (100%)"/>
        <s v="FAKMOZ SARL (100%)"/>
        <s v="GREENFIELD ASSETS INVEST  (100%)"/>
        <s v="GIE KANKISSI SALAYAMA (100%)"/>
        <s v="3T SARL (100%)"/>
        <s v="IMPERATOR RESOURCE SARL"/>
        <s v="STARDUST GOLD COMPANY SARL (100%)"/>
        <s v="HLNT SENEGAL (100%)"/>
        <s v="SOCIETE MINIERE AFRICAINE (100%)"/>
        <s v="TRANS FAVO SUARL (100%)"/>
        <s v="NODA SA (100%)"/>
        <s v="HYDROMIN SENEGAL (100%)"/>
        <s v="CIMENTS DE L'AFRIQUE  (90%)"/>
        <s v="ENERGIE DISTRIBUTION SERVICES SUARL (100%)"/>
        <s v="MAREEG SUARL (100%)"/>
        <s v="KABIR 313 SUARL (100%)"/>
        <s v="MUSA MINING COMPANY SARL (100%)"/>
        <s v="ROMOU-SASU (100%)"/>
        <s v="HABITAT - SUARL (100%)"/>
        <s v="AFRIK'MINES SUARL (100%)"/>
        <s v="GIE BINKHANTO BAITOULAYE (100%)"/>
        <s v="ALIM GOLD SARL (100%)"/>
        <s v="SOFRU SARL"/>
        <s v="ETE MINING SARL"/>
        <s v="GIE DJIGUIBADALA (100%)"/>
        <s v="SAOCASIK COMPANU SASU (100%)"/>
        <s v="TANOR SA (100%)"/>
        <s v="X.W.O. SARL (100%)"/>
        <s v="CONSTRUCTION GESTION INNOVATION IMMOBILIERE (100%)"/>
        <s v="DIAMONDIOP ENTREPRISES ET COMPAGNIES SARL (100%)"/>
        <s v="GAYESY SUARL (100%)"/>
        <s v="VINCI Grands Projets/ANDRITZ-Hydro (100%)"/>
        <s v="AMFICI GOLD (100%)"/>
        <s v="AMCI GOLD MINE SARL"/>
        <s v="TRIYANGS INTERNATIONAL MINING GROUP SA"/>
        <s v="SINO-AFRICAINE COMMUNICATION SUARL"/>
        <s v="SOCIETE SENEGALAISE DES PHOSPHATES DE THIES (100%)"/>
        <s v="GIE BALAL COMMUNE DE MADINA FOULBE (100%)"/>
        <s v="AMMSA GROUP AFRICA . SA"/>
        <s v="GENERALE ENTREPRISE DE REALISATION D'ETUDE ET DE SUPERVISION (100%)"/>
        <s v="GUEYE ET FRERES THIORO TRANSPORT-GF2T (100%)"/>
        <s v="MAOR TECHNOLOGIES SA (100%)"/>
        <s v="GIE GROUPE AIDE DEVELOPPEMENT (100%)"/>
        <s v="DAME DIAKHATE (100%)"/>
        <s v="LES GRANDS TRAVAUX DE GOUNASS SARL (100%)"/>
        <s v="GAYESY SUARL"/>
        <s v="YICHEN SARL (100%)"/>
        <s v="SOCIETE CARRIERE MINES SENEGAL SARL (100%)"/>
        <s v="ETS THIEUDEME SAR SERVICE (100%)"/>
        <s v="GRACE GOLD COMPANY SENEGAL SARL (100%)"/>
        <s v="KANEL RESOURCES SARL (100%)"/>
        <s v="ENTREPRISE LINTHIO GLOBAL BUSINESS (100%)"/>
        <s v="LEYDI MINING COMPANY SARL (100%)"/>
        <s v="SEN-STONES (100%)"/>
        <s v="DIA MANSOUR - DIA COMPANY  (100%)"/>
        <s v="AFRICA GLOBAL GEOINGENIERIE SARL "/>
        <s v="JAMOMINING SARL (100%)"/>
        <s v="MEDY INDUSTRIES MODERNES SARL (100%)"/>
        <s v="SOCIETE EDTSG-SARL (100%)"/>
        <s v="KEUR BASSINE SARL (100%)"/>
        <s v="SENECARRIERE (100%)"/>
        <s v="SOCIETE D'AMENAGEMENT DE BATIMENT ET D'ETUDES GENERALES (SOCABEG)"/>
        <s v="SOCIETE SENEGALAISE DE SERVICES MINIERS DE GENIE CIVIL SARL (100%)"/>
        <s v="LAMP MINES BTP SA (100%)"/>
        <s v="LAMP MINES BTP SA"/>
        <s v="GIE KHAMBEINTEINKOTO NDIN (100%)"/>
        <s v="AMMSA GROUP AFRICA . SA (100%)"/>
        <s v="COMMUNE DE ROSS-BETHIO (100%)"/>
        <s v="SOCIÉTÉ TERRACALCO SÉNÉGAL  (100%)"/>
        <s v="IVOIRE INGENIERIE PLUS SUARL (100%)"/>
        <s v="DELTA MARINE BUSINESS INDUSTRIEL DU SENEGAL (100%)"/>
        <s v="SOCIETE D'EXPLOITATION MINIERE IMMOBILIERE ET COMMERCIALE (100%)"/>
        <s v=" SURVEY SERVICES SUARL"/>
        <s v="BAMBOUK EXPLORATION SARL (100%)"/>
        <s v="ROCAMJO SUARL (100%)"/>
        <s v="BIJOUTERIE SERIGNE BABACAR SY (100%)"/>
        <s v="SOCIETE CIVILE H2 MOCOSA (100%)"/>
        <s v="SANTARGILE SA (100%)"/>
        <s v="SALIOU MINES INDUSTRIES ET TECHNIQUES (100%)"/>
        <s v="SENEGALAISE D'ETUDE, DE REALISATION ET DE SERVICES SA (100%)"/>
        <s v="PROMO MINES SARL (100%)"/>
        <s v="GEOPARTNERS CONSULTING (100%)"/>
        <s v="SOCIETE DE GESTION DES CARRIERES DU SENEGAL (100%)"/>
        <s v="MBENGUE FAMILY BUSINESS SARL (100%)"/>
        <s v="SALL PAPA SANGONE"/>
        <s v="NGALOU EXPLOITATION ET SERVICES-SASU (100%)"/>
        <s v="BA MAMADOU (100%)"/>
        <s v="GIE KA BUSINESS COMPANY (100%)"/>
        <s v="WALY DIOUF PARTNERS SOLUTION (100%)"/>
        <s v="GIE NGAAY DJITTE (100%)"/>
        <s v="NAZATA AND MAYA SAS"/>
        <s v="GIE KOLIA (100%)"/>
        <s v="CENTRALE DE MATERIEL ET MATERIAUX SARL (100%)"/>
        <s v="SOCIETE DE GESTION DES MINES ET CARRIERES SARL (100%)"/>
        <s v="ENTREPRISE DIENDER  (100%)"/>
        <s v="ENTREPRISE AICHA (100%)"/>
        <s v="LAMTORO NATURAL RERSOURCES (100%)"/>
        <s v="ENTREPRISE BOUGAR DIOUF"/>
        <s v="CHROME SUARL (100%)"/>
        <s v="SOCIETE CIVILE H2 MOCOSA"/>
        <s v="ETABLISSEMENT HABIB SAMB (100%)"/>
        <s v="TALIX MINES SARL (100%)"/>
        <s v="WAHABA BUILDING (100%)"/>
        <s v="EIFFAGE (100%)"/>
        <s v="ENTREPRISE GENERALE DAROU SALAM (100%)"/>
        <s v="ENTREPRISE DE TRAVAUX D'INDUSTRIE ET DE COMMERCE  (100%)"/>
        <s v="GIE EXPRESS LOGISTICS PLUS (100%)"/>
        <s v="NDEYE MATY TRADE (100%)"/>
        <s v="AFRIQUE MINES COMPANY PLUS (100%)"/>
        <s v="DARA SALAM - SUARL (100%)"/>
        <s v="AFG RESSOURCES  (100%)"/>
        <s v="DIARRA MAMADOU DIAKHATE (100%)"/>
        <s v="GROUPE DE SOCIETES ULSAN (100%)"/>
        <s v="NDOYE ABDOULAYE (EAND) (100%)"/>
        <s v="KAPI GROUP (100%)"/>
        <s v="AFRICAN BUILDERS SARL (100%)"/>
        <s v="AIR DYNAMICS SOLUTIONS SENEGAL (100%)"/>
        <s v="CHINA ROAD AND BRIDGE CORPORATION SENEGAL (100%)"/>
        <s v="GOLD MINING CORPORATION (100%)"/>
        <s v="CK CARRIERE  (100%)"/>
        <s v="BAOBAB MINERALS SARL (100%)"/>
        <s v="AFRICA SERVICES GROUP SUARL (100%)"/>
        <s v="EBD ENTREPRISES SUARL (100%)"/>
        <s v="COMMUNE GANDON"/>
        <s v="GIE GARAGE SOUF (100%)"/>
        <s v="COMMUNE DE BOKHOL (100%)"/>
        <s v="COMMUNE DE PIRE  (100%)"/>
        <s v="LD ECOMINING- SARL (100%)"/>
        <s v="SOCIETE COMMERCIALE NDIAMBOUR NDIGUEUL SARL (100%)"/>
        <s v="SABODALA GOLD OPERATIONS SA (SGO) (100%)"/>
        <s v="SENEGAL CARRIERE IMMO SARL (100%)"/>
        <s v="KAANGUI A-F SUARL"/>
        <s v="KAANGUI A-F SUARL (100%)"/>
        <s v="DAROU MINAM PRESTIGE SUARL (100%)"/>
        <s v="AMAFRIQUE SENEGAL (100%)"/>
        <s v="CHINA HARBOUR ENGINEERING COMPANY SENEGAL SUARL (100%)"/>
        <s v="GIE LIGGUEY BUNU BOKOU (100%)"/>
        <s v="Maire de la Commune de Mbadiane "/>
        <s v="MINES PROFESSIONAL HOLDING SARL (100%)"/>
        <s v="REPUBLIQUE DU SENEGAL"/>
        <s v="COMPAGNY SAKHO - C.S (100%)"/>
        <s v="BASMALA INTERNATIONAL SARL (100%)"/>
        <s v="Mairie de la commune de Bagadadji (100%)"/>
        <s v="COMMUNE DE NGUIDILLE  (100%)"/>
        <s v="ENTREPRISE DE TRANSPORT ET DE COMMERCE (100%)"/>
        <s v="ENTREPRISE DAROU SALAM TAWFEKH (100%)"/>
        <s v="MAIRIE DE DYA (100%)"/>
        <s v="CSE GRANULATS SA (100%)"/>
        <s v="DAROU SALAM TRANSPORTS SARL (100%)"/>
        <s v="GLADIAMA SUARL (100%)"/>
        <s v="GASS IMMO SUARL (100%)"/>
        <s v="SOCIETE DES MINES DU SENEGAL (100%)"/>
        <s v="MAMADOU SENE TRANSPORT ET COMMERCE SARL  (100%)"/>
        <s v="MC TRANSPORT AND TRADING SARL (100%)"/>
        <s v="LES GRANDES CARRIERES DU SENEGAL (100%)"/>
        <s v="COMMUNE DE KEUR MADIABEL (100%)"/>
        <s v="DI CORP SAS (100%)"/>
        <s v="XEWELL CIMENTERIES SA (100%)"/>
        <s v="LION RISE CEMENT CO SARL (100%)"/>
        <s v="DIA COMPANY NAFOORE-SARL (100%)"/>
        <s v="TOUBA CARRIERES SARL  (100%)"/>
        <s v="DANGOTE CEMENT SENEGAL SA (100%)"/>
        <s v="Cheikh KANE (100%)"/>
        <s v="TETACAR (100%)"/>
        <s v="CAYORIENNE DES TRANSPORTS, CARRIERES ET TRAVAUX PUBLICS (100%)"/>
        <s v="INCA SARL (100%)"/>
        <s v="SOCIETE D'EXPLOITATION DES MINES ET CARRIERES (SEMC) (100%)"/>
        <s v="GAYE THIOLOM GANDIOLE ENTREPRISES SUARL"/>
        <s v="CONSORTIUM PETROMIR &amp; PETROLINE"/>
        <s v="SNEPAC INTERNATIONAL SARL"/>
        <s v="SENOR GROUP (100%)"/>
        <s v="CK CARRIRES SA (100%)"/>
        <s v="MINES et BATIMENTS GROUP MBG Sarl (100%)"/>
        <s v="SOCIETE SENEGALAISE DE CONSTRUCTION ET DE PROMOTION IMMOBILIERE (100%)"/>
        <s v="GIE BIJOUTERIE AIR FRANCE (100%)"/>
        <s v="Mairie de la commune de Ronkh-Saint louis (100%)"/>
        <s v="Mairie de la commune de Gaé- Saint Louis (100%)"/>
        <s v="AGEM EXPLORATION SENEGAL (100%)"/>
        <s v="Spatial Dimension Test Company; Tim Wallis"/>
        <s v="CHEIKH FALL"/>
        <s v="FORADRILL-SENEGAL"/>
        <s v="AMS Senegal SUARL"/>
        <s v="African Underground Mining Services Senegal SUARL"/>
        <s v="KEKENDO AFRICA ENGINEERING "/>
        <s v="CORICA MINING SERVICES SARL"/>
        <s v="CHALLENGE 2000 SARL "/>
        <s v="EIFFAGE SENEGAL SAS"/>
        <s v="GLOBAL AFRICINVEST"/>
        <s v="MCI SENEGAL SAS"/>
        <s v="Africa Power Services Senegal"/>
        <s v="Lycopodium Minerals Canada LTD"/>
        <s v="Les Spécialistes de l'Energie"/>
        <s v="INTER-MINING SERVICES SENEGAL"/>
        <s v="GEODRILL SENEGAL SARL"/>
        <s v="BOSFOR SARL"/>
        <s v="MOTA ENGIL SENEGAL MINING SUARL"/>
        <s v="Lycopodium Marine and Modular (Pty) Ltd"/>
        <s v="AECI SENEGAL "/>
        <s v="IDC"/>
        <s v="Lycopodium Senegal SUARL"/>
        <s v="MCI SENEGAL"/>
        <s v="Traore Electricité Bâtiment et industrie "/>
        <s v="CADEX SENEGAL"/>
        <s v="SEA-INVEST SENEGAL"/>
        <s v="E G C 2 I  sarl"/>
        <s v="PARAMOUNT MINING SERVICES SUARL"/>
        <s v="EPC MINEEX SA"/>
        <s v="enikon senegal sarl"/>
        <s v="DRILLEEX"/>
        <s v="FORAGE FTE SÉNÉGAL"/>
        <s v="Winde-bat"/>
        <s v="TransportsDieye"/>
        <s v="GISMAF SUARL"/>
        <s v="INTERNATIONAL DRILLING COMPANY"/>
        <s v="Redpath Africa Limited"/>
        <s v="Fives FCB Sénégal SARL"/>
        <s v="BAUER"/>
        <s v="GRANDS TRAVAUX ET SERVICES SARL "/>
        <s v="NRG Exploration CC"/>
        <s v="CJ ICM LOGISTICS BELGIUM BV"/>
      </sharedItems>
    </cacheField>
    <cacheField name="Profile" numFmtId="0">
      <sharedItems count="2">
        <s v="Permis"/>
        <s v="Sous-traitants"/>
      </sharedItems>
    </cacheField>
    <cacheField name="Juridiction" numFmtId="0">
      <sharedItems/>
    </cacheField>
    <cacheField name="Contact" numFmtId="0">
      <sharedItems containsBlank="1"/>
    </cacheField>
    <cacheField name="Type" numFmtId="0">
      <sharedItems containsBlank="1"/>
    </cacheField>
    <cacheField name="Substances" numFmtId="0">
      <sharedItems containsBlank="1"/>
    </cacheField>
    <cacheField name="Statut" numFmtId="0">
      <sharedItems containsBlank="1"/>
    </cacheField>
    <cacheField name="Région" numFmtId="0">
      <sharedItems containsBlank="1"/>
    </cacheField>
    <cacheField name="Demande faite" numFmtId="0">
      <sharedItems containsDate="1" containsString="0" containsBlank="1" minDate="1957-12-23T00:00:00" maxDate="2026-04-16T14:48:09"/>
    </cacheField>
    <cacheField name="Octroyé" numFmtId="0">
      <sharedItems containsDate="1" containsString="0" containsBlank="1" minDate="1959-01-01T00:00:00" maxDate="2026-04-21T00:00:00"/>
    </cacheField>
    <cacheField name="Expire le" numFmtId="0">
      <sharedItems containsDate="1" containsString="0" containsBlank="1" minDate="2013-05-26T00:00:00" maxDate="2052-01-02T00:00:00"/>
    </cacheField>
    <cacheField name="Renouvelé" numFmtId="0">
      <sharedItems containsDate="1" containsString="0" containsBlank="1" minDate="2017-08-30T00:00:00" maxDate="2025-05-20T00:00:00"/>
    </cacheField>
    <cacheField name="superfici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4.676977314812" createdVersion="8" refreshedVersion="8" minRefreshableVersion="3" recordCount="555" xr:uid="{4ACA5A37-32D3-49E7-A024-C88EC41F80EE}">
  <cacheSource type="worksheet">
    <worksheetSource name="Tableau1"/>
  </cacheSource>
  <cacheFields count="13">
    <cacheField name="Code" numFmtId="0">
      <sharedItems/>
    </cacheField>
    <cacheField name="Entreprise Titulaire" numFmtId="0">
      <sharedItems containsBlank="1" count="413">
        <s v="COMPAGNIE  SENEGALAISE DES PHOSPHATES DE TAIBA"/>
        <s v="PROCHIMAT"/>
        <s v="ENTREPRISE DE GENIE CIVIL CONCASSEUR BASALTE NDIAMBOUR (EGCCBN) SUARL  "/>
        <s v="SOCIETE SENEGALAISE DES PHOSPHATES DE THIES"/>
        <s v="COMPAGNIE GENERALE D'EXPLOITATION DE CARRIERE "/>
        <s v="GECAMINES.SA "/>
        <s v="COMPAGNIE SAHELIENNE D'ENTREPRISE GRANULATS "/>
        <s v="GECAMINES.SA"/>
        <s v="SENEGAL MINES"/>
        <s v="INDUSTRIES CHIMIQUES DU SENEGAL"/>
        <s v="CIMENTS DU SAHEL"/>
        <s v="SOCIETE DE RECHERCHE ET DE DEVELOPPEMENT DES MINES SA (SORED-MINES)"/>
        <s v="SABODALA GOLD OPERATIONS SA (SGO)"/>
        <s v="SOCIETE DE COMMERCIALISATION DU CIMENT (SOCOCIM) INDUSTRIES "/>
        <s v="SOCIETE DE COMMERCIALISATION DU CIMENT (SOCOCIM) INDUSTRIES  "/>
        <s v="GRANDE COTE OPERATIONS SA "/>
        <s v="LIBASSE NIANG "/>
        <s v="DANGOTE INDUSTRIES SENEGAL SA"/>
        <s v="CARRIERE ABDOU FATTAH SA "/>
        <s v="MINING RESEARCH COMPANY S.L "/>
        <s v="SYPROM SA "/>
        <s v="ENTREPRISE MAPATHE NDIOUCK "/>
        <s v="DIAKHA GOLD MINES"/>
        <s v="SOCIETE DES MINES DU SENEGAL (SODEMINES) "/>
        <s v="SOCIETE D'ETUDES ET DE REALISATION DES PHOSPHATES DE MATAM (SERPM)"/>
        <s v="SERIGNE SALIOU MBACKE SARL"/>
        <s v="GH MINING SARL "/>
        <s v="SEN-HMC MINING SUARL "/>
        <s v="COMPTOIRE COMMERCIAL DAOUDA DIA SUARL "/>
        <s v="CAYOR PHOSPHATE MINING SA "/>
        <s v="SDK MINING SA "/>
        <s v="REPUBLIQUE DU SENEGAL "/>
        <s v="VAPROM AFRICA SA "/>
        <s v="SOCIETE INDUSTRIELLE ET MINIERE SUARL "/>
        <s v="BOYA SAU"/>
        <s v="ETS/PID"/>
        <s v="LIMETECH SA "/>
        <s v="MOM SARL "/>
        <s v="SOCIETE DES TERRES NEUVES SARL "/>
        <s v="SOCIETE DE SERVICES, BATIMENT ET COMMERCE INTERNATIONALE 2SBCI SUARL "/>
        <s v="CONSORTIUM SENEGALAISE D' INDUSTRIE ET DE COMMERCE"/>
        <s v="SOCIETE  DES MINES DE FER DE LA FALEME (MIFERSO)"/>
        <s v="AFRIGOLD  SARL (90%)"/>
        <s v="BAOBAB MINING AND CHEMICAL CORP SA"/>
        <s v="MAKABINGUI GOLD OPERATIONS SA (90%)"/>
        <s v="LES CARRIERES CTG SARL "/>
        <s v="ISLE WORLDWIDE "/>
        <s v="PETOWAL MINING COMPANY (PMC) SA"/>
        <s v="GIE SINING KANG "/>
        <s v="SOCIETE CIVILE IMMOBILIERE S.C.I.D.D "/>
        <s v="ENTREPRISE GENERALE D'EQUIPEMENT  SARL "/>
        <s v="URBAINE D'ENTREPRISE "/>
        <s v="SWAMI MINES SAU "/>
        <s v="AGROMINE SUARL "/>
        <s v="BUL FAALE PRODUCTION "/>
        <s v="FUTURIS IMMOBILIER "/>
        <s v="WEST AFRICAN TRADING INVESTMENT CONSTRUCTION "/>
        <s v="G.I.E. &quot; LE WOUROUS&quot;"/>
        <s v="MOUHAMED RASSOUL SECK SERVICES "/>
        <s v="SEGIMAR SA"/>
        <s v="ALBINA SENEGAL "/>
        <s v="GIE REBISEN "/>
        <s v="GIE KEDOUGOU BISNESS"/>
        <s v="SOCIETE SENEGALAISE DES MINES ET CARRIERES "/>
        <s v="SOCIETE DE CONCASSAGE ET DE BETON SARL "/>
        <s v="BB FIRST COMMODITY HOLDING LTD"/>
        <s v="SABODALA MINING COMPANY "/>
        <s v="TRIYANGS INTERNATIONAL MINING GROUP SA "/>
        <s v="ENTREPRISE GENERALE D'ELECTRICITE "/>
        <s v="G-PHOS S.A.U"/>
        <s v="MANDINGA RESOURCES SARL "/>
        <s v="ETS MAMADOU DIOUF CISSE "/>
        <s v="PRESTIGES-EXPORT LLC "/>
        <s v="AGEM "/>
        <s v="FUTURMINE SARL "/>
        <s v="BAMBADJI SA "/>
        <s v="TANOR SOLUTIONS INDUSTRIELLES "/>
        <s v="ETABLISSEMENT WI MARS "/>
        <s v="COMPAGNIE DES SABLES DU SENEGAL  "/>
        <s v=" AFRICA TRADE AND INVESTMENT CONSULTING SARL "/>
        <s v="SOCIETE DE BATIMENT et TRAVAUX PUBLICS SUARL "/>
        <s v="BABJUF MINES "/>
        <s v="GLOBAL IMMO SENEGAL SARL "/>
        <s v="RAMATOO "/>
        <s v="PROFILEX COMPANY "/>
        <s v="KAYAR HMC MINING SA "/>
        <s v="NEW ENERGY INVESTISMENT SARL "/>
        <s v="IMPROVE SENEGAL SAS "/>
        <s v="SOCIETE SENEGALAISE DE GRAVIERS SARL "/>
        <s v="SOMINES GRANULATS SA "/>
        <s v="GIE MARBRE BASALTE-GRANITE DU SENEGAL "/>
        <s v="BOTO SA (90%)"/>
        <s v="DIYAN EXPLOITATION MINIERE SUARL "/>
        <s v="BAMBUK MINERALS "/>
        <s v="SCATY INDUSTRIES  "/>
        <s v="STRATEX-EMC SA (50%)"/>
        <s v="GIE DJIGUI "/>
        <s v="LYONS FIELD SUARL "/>
        <m/>
        <s v="SAMA GOLD SARL "/>
        <s v="ARDIMINES "/>
        <s v="PROSPECTIUNI (10%)"/>
        <s v="MASSAWA JERSEY LIMITED "/>
        <s v="SOCIETE DES MINES DU SENEGAL (SODEMINES)"/>
        <s v="BHAIRAVA AGRICOL SARL "/>
        <s v="GIE SOLIDARITE POUR LE DEVELOPPEMENT "/>
        <s v="HOLDING ATLANTIC MINING PETROLUM &quot; MINE PETRO-SA&quot; "/>
        <s v="CANGAY MINES"/>
        <s v="CIMENTS DE L'AFRIQUE  "/>
        <s v="GECAMINES GRANULATS "/>
        <s v="SOCIETE WAAGAAN BTP SARL "/>
        <s v="INTERNATIONAL COMPANY OF TRADE AND SERVICES SA  ; SOCIETE CAPITAL PLUS "/>
        <s v="DAMOUNGHAYE SUARL "/>
        <s v="EBONY NATURAL RESOURCES - SUARL "/>
        <s v="GENERAL SERVICES SARL "/>
        <s v="AZ SERVICES SARL "/>
        <s v="TAYSIR SARL "/>
        <s v="THIAM SENEGAL GOLD FAMILY "/>
        <s v="SOCIETE DE FORAGE ET DE TRAVAUX PUBLICS MINING "/>
        <s v="ETABLISSEMENT SAM SARL "/>
        <s v="SERVICE REGIONAL DE TAMBACOUNDA "/>
        <s v="NEGOCE FIABLE SENEGAL SARL "/>
        <s v="S DOM HOLDING GOLD SARL "/>
        <s v="BANDESERVICES "/>
        <s v="BETAMINES SA "/>
        <s v="SOFITA SERVICES &amp; LOGISTIQUE "/>
        <s v="AMIN TRANS SUARL "/>
        <s v="HGR SENEGAL SARL "/>
        <s v="DIOR GOLD SUARL "/>
        <s v="SILIKA GRANULATS SARL "/>
        <s v="TESORO SERVICES "/>
        <s v="GREENFIELD ASSETS INVEST GAIN "/>
        <s v="SEN CONSORTIUM D'ENTREPRISE SARL "/>
        <s v="ELIKANE SUARL "/>
        <s v="GROUPE SOCIETE SENEGALO SUISSE DES AFFAIRES SUARL "/>
        <s v="GEO CONSULTING"/>
        <s v="GLOBAL MINING OPERATIONS "/>
        <s v="QINGNING SUARL "/>
        <s v="ADAMA UNIVERSAL IMMOBILIER ET AFFAIRES "/>
        <s v="CHESSER SAU "/>
        <s v="CILAGE MINE "/>
        <s v="MAIGA HOLDING "/>
        <s v="DIAMBAR IMMOBILIER SARL"/>
        <s v="KEDOUGOU BUSINESS &amp; MINING SERVICES SARL "/>
        <s v="SOYA GOLD SARL "/>
        <s v="GIE JOKKER ENDANG WAKILARE "/>
        <s v="GOLDSKY "/>
        <s v="CILAGE MINE SUARL "/>
        <s v="BARRICK GOLD SENEGAL SA "/>
        <s v="SHIFENG MINING COMPANY SARL "/>
        <s v="MANSA GOLD CORPORATION "/>
        <s v="ENTREPRISE INTERNATIONALE DES BIENS ET SERVICES  "/>
        <s v="MINE PETRO SA "/>
        <s v="ENEVIS SENEGAL  SA "/>
        <s v="CASA BAMBA  "/>
        <s v="AMATH NDIAYE INTERNATIONALE PRESTIGE SUARL "/>
        <s v="NDATTE YALLAH COMPAGNIE "/>
        <s v="NOGA MINE SARL "/>
        <s v="ETAT DU SENEGAL "/>
        <s v="BAU "/>
        <s v="ETABLISSEMENT GENERAL DE COMMERCE IMPORT/EXPORT "/>
        <s v="ALWAR PRODUCTION GROUP "/>
        <s v="ZEYKA SARL "/>
        <s v="SENEGAL SILEX SA "/>
        <s v="KONKOUTOU GOLD OPERATION SUARL "/>
        <s v="DIAGNE ASSANE "/>
        <s v="HARANGA RESOURCES LIMETED "/>
        <s v="THA MINES &amp; INDUSTRIES SARL "/>
        <s v="STAM BDA SARL "/>
        <s v="SAFIA IMPORT EXPORT "/>
        <s v="EL MODI SERVICES "/>
        <s v="GENIUS MULTISERVICE SUARL  "/>
        <s v="APSA MINES SA  "/>
        <s v="GIE CAYOR SILEX CORPORATION CSC "/>
        <s v="ADICO SARL "/>
        <s v="SARAYA ENERGY "/>
        <s v="GIE SYLLA KOUNDA "/>
        <s v="AFRICA TRADING  EQUIPEMENT CONSTRUCTION SUARL "/>
        <s v="BOUTA CONSULTING ET SERVICE (GAYE PAPA AL HOUSSEYNOU) "/>
        <s v="GIE FALL ET FRERES DE KHOUMA "/>
        <s v="LOCAL BUSINESS SERVICES  (NDONGO DJIBRIL) "/>
        <s v="RACKY PRESTATIONS TECHNIQUES SARL "/>
        <s v="SAHEL 2M CIE SARL "/>
        <s v="SALAME ENTREPRISE SARL "/>
        <s v="GUILLAYE DIOP "/>
        <s v="SINTRADE SA "/>
        <s v="GENERAL MULTI SERVICES TRADING SENEGAL SARL "/>
        <s v="ENTREPRISE OUSMANE SOW"/>
        <s v="KHELKOM'S LION SARL "/>
        <s v="ENTREPRISE BOUGAR DIOUF "/>
        <s v="MEDY INDUSTRIE SARL "/>
        <s v="COMPTOIR COMMERCIAL BALLA AICHA CCBA SUARL "/>
        <s v="SENECARMINES (SENEGALAISE DES MINES ET CARRIERES ) "/>
        <s v="SOCIETE IMMOBILIERE DE CONSTRUCTION ET DE GERANCE  ( SICOGER ) SARL "/>
        <s v="AREZKI S.A "/>
        <s v="DIMAT BAT &amp; TP SAU "/>
        <s v="SOCIETE &quot;S3D&quot; SARL "/>
        <s v="ABANDOUR GEOLINK "/>
        <s v="GEO EXPLOIT SARL "/>
        <s v="SCI NGARAFF "/>
        <s v="SOCIETE TOUBA NIBODJI SUARL "/>
        <s v="NDATTE YALLAH COMPAGNIE"/>
        <s v="SOCIETE INTERNATIONALE DE BATIMENT ET DE COMMERCE ET DE TRAVAUX PUBLICS (SICOBAT TP) "/>
        <s v="MBACKE SERIGNE CHEIKH IBRA  "/>
        <s v="LANVIC CONSULTING "/>
        <s v="XINJIN ZIRCONIUM INDUSTRY SARL "/>
        <s v="MBAYE FAMILY BUSINESS GROUP  "/>
        <s v="GOLDMINE BISINESS "/>
        <s v="SENEGALAISE DE COMMERCE ET DE SERVICES "/>
        <s v="G-SAND SARL "/>
        <s v="SKDT NEW ENERGY TECHNOLOGY SARL "/>
        <s v="TCHILMA BUILDING SUARL "/>
        <s v="MAODO GLOBAL BUISINESS "/>
        <s v="YELLOW GROUND SENEGAL SAS "/>
        <s v="AL JABER BTP SAU "/>
        <s v="FIRDAWSI GLOBAL BUSINESS SUARL "/>
        <s v="STE.AGRO-SENEGAL EXPORTS SARL "/>
        <s v="BIGSAM OR SARL "/>
        <s v="FABRIMETAL"/>
        <s v="PARTNERS MINING DEVELOPMENT SERVICES SAS "/>
        <s v="GIE AGIR POUR LE DEVELOPPEMENT LOCAL "/>
        <s v="WEST WIND SA "/>
        <s v="TAMIL MINES SARL"/>
        <s v="COMPTOIR D'OR DE LA REGION SARL "/>
        <s v="BIRIMA GOLD RESOURCES "/>
        <s v="HALWAR MULTISERVICES SARL "/>
        <s v="GIE KANBIN BAADIN NA "/>
        <s v="GLOBAL MINING &amp; RESSOURCES SA"/>
        <s v="KEDOUGOU BUSINESS &amp; MINING SERVICES SARL"/>
        <s v="SOCIETE D'EXPLOITATION DE LOGISTIQUE ET DES TRAVAUX "/>
        <s v="SDT NEW ENERGY TECHNOLOGY "/>
        <s v="GIE DIAGNE ET FRERES DE SARAYA "/>
        <s v="AMCI GOLD MINE SARL "/>
        <s v="NIANY TRANSIT SARL "/>
        <s v="DIOMAYE GRANULATS/GROUPE HOLDING DIOMAYE "/>
        <s v="FAKMOZ SARL "/>
        <s v="GREENFIELD ASSETS INVEST  "/>
        <s v="GIE KANKISSI SALAYAMA "/>
        <s v="3T SARL "/>
        <s v="IMPERATOR RESOURCE SARL"/>
        <s v="STARDUST GOLD COMPANY SARL "/>
        <s v="HLNT SENEGAL "/>
        <s v="SOCIETE MINIERE AFRICAINE "/>
        <s v="TRANS FAVO SUARL "/>
        <s v="NODA SA "/>
        <s v="HYDROMIN SENEGAL "/>
        <s v="CIMENTS DE L'AFRIQUE  (90%)"/>
        <s v="ENERGIE DISTRIBUTION SERVICES SUARL "/>
        <s v="MAREEG SUARL "/>
        <s v="KABIR 313 SUARL "/>
        <s v="MUSA MINING COMPANY SARL "/>
        <s v="ROMOU-SASU "/>
        <s v="HABITAT - SUARL "/>
        <s v="AFRIK'MINES SUARL "/>
        <s v="GIE BINKHANTO BAITOULAYE "/>
        <s v="ALIM GOLD SARL "/>
        <s v="SOFRU SARL"/>
        <s v="ETE MINING SARL"/>
        <s v="GIE DJIGUIBADALA "/>
        <s v="SAOCASIK COMPANU SASU "/>
        <s v="TANOR SA "/>
        <s v="X.W.O. SARL "/>
        <s v="CONSTRUCTION GESTION INNOVATION IMMOBILIERE "/>
        <s v="DIAMONDIOP ENTREPRISES ET COMPAGNIES SARL "/>
        <s v="GAYESY SUARL "/>
        <s v="VINCI Grands Projets/ANDRITZ-Hydro "/>
        <s v="AMFICI GOLD "/>
        <s v="AMCI GOLD MINE SARL"/>
        <s v="TRIYANGS INTERNATIONAL MINING GROUP SA"/>
        <s v="SINO-AFRICAINE COMMUNICATION SUARL"/>
        <s v="SOCIETE SENEGALAISE DES PHOSPHATES DE THIES "/>
        <s v="GIE BALAL COMMUNE DE MADINA FOULBE "/>
        <s v="AMMSA GROUP AFRICA . SA"/>
        <s v="GENERALE ENTREPRISE DE REALISATION D'ETUDE ET DE SUPERVISION "/>
        <s v="GUEYE ET FRERES THIORO TRANSPORT-GF2T "/>
        <s v="MAOR TECHNOLOGIES SA "/>
        <s v="GIE GROUPE AIDE DEVELOPPEMENT "/>
        <s v="DAME DIAKHATE "/>
        <s v="LES GRANDS TRAVAUX DE GOUNASS SARL "/>
        <s v="GAYESY SUARL"/>
        <s v="YICHEN SARL "/>
        <s v="SOCIETE CARRIERE MINES SENEGAL SARL "/>
        <s v="ETS THIEUDEME SAR SERVICE "/>
        <s v="GRACE GOLD COMPANY SENEGAL SARL "/>
        <s v="KANEL RESOURCES SARL "/>
        <s v="ENTREPRISE LINTHIO GLOBAL BUSINESS "/>
        <s v="LEYDI MINING COMPANY SARL "/>
        <s v="SEN-STONES "/>
        <s v="DIA MANSOUR - DIA COMPANY  "/>
        <s v="AFRICA GLOBAL GEOINGENIERIE SARL "/>
        <s v="JAMOMINING SARL "/>
        <s v="MEDY INDUSTRIES MODERNES SARL "/>
        <s v="SOCIETE EDTSG-SARL "/>
        <s v="KEUR BASSINE SARL "/>
        <s v="SENECARRIERE "/>
        <s v="SOCIETE D'AMENAGEMENT DE BATIMENT ET D'ETUDES GENERALES (SOCABEG)"/>
        <s v="SOCIETE SENEGALAISE DE SERVICES MINIERS DE GENIE CIVIL SARL "/>
        <s v="LAMP MINES BTP SA "/>
        <s v="LAMP MINES BTP SA"/>
        <s v="GIE KHAMBEINTEINKOTO NDIN "/>
        <s v="AMMSA GROUP AFRICA . SA "/>
        <s v="COMMUNE DE ROSS-BETHIO "/>
        <s v="SOCIÉTÉ TERRACALCO SÉNÉGAL  "/>
        <s v="IVOIRE INGENIERIE PLUS SUARL "/>
        <s v="DELTA MARINE BUSINESS INDUSTRIEL DU SENEGAL "/>
        <s v="SOCIETE D'EXPLOITATION MINIERE IMMOBILIERE ET COMMERCIALE "/>
        <s v=" SURVEY SERVICES SUARL"/>
        <s v="BAMBOUK EXPLORATION SARL "/>
        <s v="ROCAMJO SUARL "/>
        <s v="BIJOUTERIE SERIGNE BABACAR SY "/>
        <s v="SOCIETE CIVILE H2 MOCOSA "/>
        <s v="SANTARGILE SA "/>
        <s v="SALIOU MINES INDUSTRIES ET TECHNIQUES "/>
        <s v="SENEGALAISE D'ETUDE, DE REALISATION ET DE SERVICES SA "/>
        <s v="PROMO MINES SARL "/>
        <s v="GEOPARTNERS CONSULTING "/>
        <s v="SOCIETE DE GESTION DES CARRIERES DU SENEGAL "/>
        <s v="MBENGUE FAMILY BUSINESS SARL "/>
        <s v="SALL PAPA SANGONE"/>
        <s v="NGALOU EXPLOITATION ET SERVICES-SASU "/>
        <s v="BA MAMADOU "/>
        <s v="GIE KA BUSINESS COMPANY "/>
        <s v="WALY DIOUF PARTNERS SOLUTION "/>
        <s v="GIE NGAAY DJITTE "/>
        <s v="NAZATA AND MAYA SAS"/>
        <s v="GIE KOLIA "/>
        <s v="CENTRALE DE MATERIEL ET MATERIAUX SARL "/>
        <s v="SOCIETE DE GESTION DES MINES ET CARRIERES SARL "/>
        <s v="ENTREPRISE DIENDER  "/>
        <s v="ENTREPRISE AICHA "/>
        <s v="LAMTORO NATURAL RERSOURCES "/>
        <s v="ENTREPRISE BOUGAR DIOUF"/>
        <s v="CHROME SUARL "/>
        <s v="SOCIETE CIVILE H2 MOCOSA"/>
        <s v="ETABLISSEMENT HABIB SAMB "/>
        <s v="TALIX MINES SARL "/>
        <s v="WAHABA BUILDING "/>
        <s v="EIFFAGE "/>
        <s v="ENTREPRISE GENERALE DAROU SALAM "/>
        <s v="ENTREPRISE DE TRAVAUX D'INDUSTRIE ET DE COMMERCE  "/>
        <s v="GIE EXPRESS LOGISTICS PLUS "/>
        <s v="NDEYE MATY TRADE "/>
        <s v="AFRIQUE MINES COMPANY PLUS "/>
        <s v="DARA SALAM - SUARL "/>
        <s v="AFG RESSOURCES  "/>
        <s v="DIARRA MAMADOU DIAKHATE "/>
        <s v="GROUPE DE SOCIETES ULSAN "/>
        <s v="NDOYE ABDOULAYE (EAND) "/>
        <s v="KAPI GROUP "/>
        <s v="AFRICAN BUILDERS SARL "/>
        <s v="AIR DYNAMICS SOLUTIONS SENEGAL "/>
        <s v="CHINA ROAD AND BRIDGE CORPORATION SENEGAL "/>
        <s v="GOLD MINING CORPORATION "/>
        <s v="CK CARRIERE  "/>
        <s v="BAOBAB MINERALS SARL "/>
        <s v="AFRICA SERVICES GROUP SUARL "/>
        <s v="EBD ENTREPRISES SUARL "/>
        <s v="COMMUNE GANDON"/>
        <s v="GIE GARAGE SOUF "/>
        <s v="COMMUNE DE BOKHOL "/>
        <s v="COMMUNE DE PIRE  "/>
        <s v="LD ECOMINING- SARL "/>
        <s v="SOCIETE COMMERCIALE NDIAMBOUR NDIGUEUL SARL "/>
        <s v="SABODALA GOLD OPERATIONS SA (SGO) "/>
        <s v="SENEGAL CARRIERE IMMO SARL "/>
        <s v="KAANGUI A-F SUARL"/>
        <s v="KAANGUI A-F SUARL "/>
        <s v="DAROU MINAM PRESTIGE SUARL "/>
        <s v="AMAFRIQUE SENEGAL "/>
        <s v="CHINA HARBOUR ENGINEERING COMPANY SENEGAL SUARL "/>
        <s v="GIE LIGGUEY BUNU BOKOU "/>
        <s v="Maire de la Commune de Mbadiane "/>
        <s v="MINES PROFESSIONAL HOLDING SARL "/>
        <s v="REPUBLIQUE DU SENEGAL"/>
        <s v="COMPAGNY SAKHO - C.S "/>
        <s v="BASMALA INTERNATIONAL SARL "/>
        <s v="Mairie de la commune de Bagadadji "/>
        <s v="COMMUNE DE NGUIDILLE  "/>
        <s v="ENTREPRISE DE TRANSPORT ET DE COMMERCE "/>
        <s v="ENTREPRISE DAROU SALAM TAWFEKH "/>
        <s v="MAIRIE DE DYA "/>
        <s v="CSE GRANULATS SA "/>
        <s v="DAROU SALAM TRANSPORTS SARL "/>
        <s v="GLADIAMA SUARL "/>
        <s v="GASS IMMO SUARL "/>
        <s v="SOCIETE DES MINES DU SENEGAL "/>
        <s v="MAMADOU SENE TRANSPORT ET COMMERCE SARL  "/>
        <s v="MC TRANSPORT AND TRADING SARL "/>
        <s v="LES GRANDES CARRIERES DU SENEGAL "/>
        <s v="COMMUNE DE KEUR MADIABEL "/>
        <s v="DI CORP SAS "/>
        <s v="XEWELL CIMENTERIES SA "/>
        <s v="LION RISE CEMENT CO SARL "/>
        <s v="DIA COMPANY NAFOORE-SARL "/>
        <s v="TOUBA CARRIERES SARL  "/>
        <s v="DANGOTE CEMENT SENEGAL SA "/>
        <s v="Cheikh KANE "/>
        <s v="TETACAR "/>
        <s v="CAYORIENNE DES TRANSPORTS, CARRIERES ET TRAVAUX PUBLICS "/>
        <s v="INCA SARL "/>
        <s v="SOCIETE D'EXPLOITATION DES MINES ET CARRIERES (SEMC) "/>
        <s v="GAYE THIOLOM GANDIOLE ENTREPRISES SUARL"/>
        <s v="CONSORTIUM PETROMIR &amp; PETROLINE"/>
        <s v="SNEPAC INTERNATIONAL SARL"/>
        <s v="SENOR GROUP "/>
        <s v="CK CARRIRES SA "/>
        <s v="MINES et BATIMENTS GROUP MBG Sarl "/>
        <s v="SOCIETE SENEGALAISE DE CONSTRUCTION ET DE PROMOTION IMMOBILIERE "/>
        <s v="GIE BIJOUTERIE AIR FRANCE "/>
        <s v="Mairie de la commune de Ronkh-Saint louis "/>
        <s v="Mairie de la commune de Gaé- Saint Louis "/>
        <s v="AGEM EXPLORATION SENEGAL "/>
        <s v="Spatial Dimension Test Company; Tim Wallis"/>
      </sharedItems>
    </cacheField>
    <cacheField name="Type" numFmtId="0">
      <sharedItems/>
    </cacheField>
    <cacheField name="Substances" numFmtId="0">
      <sharedItems containsBlank="1"/>
    </cacheField>
    <cacheField name="Statut" numFmtId="0">
      <sharedItems/>
    </cacheField>
    <cacheField name="Région" numFmtId="0">
      <sharedItems containsBlank="1"/>
    </cacheField>
    <cacheField name="Date Octroi" numFmtId="0">
      <sharedItems containsBlank="1"/>
    </cacheField>
    <cacheField name="Date Expiration" numFmtId="0">
      <sharedItems containsBlank="1"/>
    </cacheField>
    <cacheField name="Année Octroi" numFmtId="0">
      <sharedItems containsString="0" containsBlank="1" containsNumber="1" containsInteger="1" minValue="1959" maxValue="2026"/>
    </cacheField>
    <cacheField name="Correspondance RBE" numFmtId="0">
      <sharedItems containsBlank="1"/>
    </cacheField>
    <cacheField name="Score Matching" numFmtId="0">
      <sharedItems containsString="0" containsBlank="1" containsNumber="1" minValue="84.4" maxValue="100"/>
    </cacheField>
    <cacheField name="Année 1re Décl. RBE" numFmtId="0">
      <sharedItems containsString="0" containsBlank="1" containsNumber="1" containsInteger="1" minValue="2021" maxValue="2025"/>
    </cacheField>
    <cacheField name="Déclaré (0/1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8.41865983796" createdVersion="8" refreshedVersion="8" minRefreshableVersion="3" recordCount="628" xr:uid="{D04F6C08-B749-4C58-8DD5-0C8E6EBD5B68}">
  <cacheSource type="worksheet">
    <worksheetSource ref="A1:P629" sheet="RBE"/>
  </cacheSource>
  <cacheFields count="15">
    <cacheField name="Région" numFmtId="0">
      <sharedItems count="9">
        <s v="Dakar"/>
        <s v="Diourbel"/>
        <s v="Fatick"/>
        <s v="Kaolack"/>
        <s v="Kédougou"/>
        <s v="Mbour"/>
        <s v="Tambacounda"/>
        <s v="Thiès"/>
        <s v="Ziguinchor"/>
      </sharedItems>
    </cacheField>
    <cacheField name="Denomination Sociale" numFmtId="0">
      <sharedItems count="317">
        <s v="2S GOLD"/>
        <s v="ABA SERVICES"/>
        <s v="ABABACAR DIOP TRANSPORTS SARL"/>
        <s v="ABANDOUR GEOLINK"/>
        <s v="AD GLOD"/>
        <s v="&quot; ADAMA UNIVERSAL IMMOBILIER ET AFFAIRES &quot; ADA-SUARL"/>
        <s v="ADJAF UNIVERSEL"/>
        <s v="&quot;AFIA SERVICES&quot;"/>
        <s v="AFRICA A WAY"/>
        <s v="AFRICA CONSULTING BUSINESS (ACB)"/>
        <s v="AFRICA GLOBAL GEOINGENIERIE (A2G)"/>
        <s v="AFRICA TRADE AND INVESTMENT CONSULTING (ATIC-SARL)"/>
        <s v="Africa Traiding-Equipement et Transport (AF-TECO)"/>
        <s v="AFRICA VISION MINING ( AVM-SARL)"/>
        <s v="AFRICAN BUILDERS SARL"/>
        <s v="AGEM SENEGAL EXPLORATION"/>
        <s v="AGRO SENEGAL EXPORTS"/>
        <s v="AL MAKHTOUM GENERAL TRADING"/>
        <s v="ALLIANCE GOLD"/>
        <s v="ALPHA OMEGA"/>
        <s v="AMATH NDIAYE INTERNATIONAL PRESTIGE (ANIP)"/>
        <s v="AMICALE DES ORPAILLEURS DE KEDOUGOU"/>
        <s v="AMSA GROUP AFRICA SA"/>
        <s v="ARC EN CIEL"/>
        <s v="ARDIMINES SARL"/>
        <s v="AREZKI-SA"/>
        <s v="AWA PRESTA SERVICES"/>
        <s v="AWAHABA GROUP"/>
        <s v="&quot;AWAHABA GROUP&quot; SARL"/>
        <s v="BAKHOUM BUSINESS COMPANY"/>
        <s v="BAMBADJI SA"/>
        <s v="BAMBOUK EXPLORATION SUARL"/>
        <s v="BAMBUK MINERALS SENEGAL"/>
        <s v="BAMINE"/>
        <s v="BANTAL DE BEROLA"/>
        <s v="BAOBAB GOLD (BG SARL)"/>
        <s v="BAOBAB MINING"/>
        <s v="BATIR MON PAYS"/>
        <s v="BAU"/>
        <s v="BB FIRST COMMODITY HOLDING LTD"/>
        <s v="BENCOUTA DE SAMECOUTA"/>
        <s v="BENKANTO"/>
        <s v="BENKHANGHO"/>
        <s v="BHAIRAVA AGRICOLE"/>
        <s v="BIGSAM OR"/>
        <s v="BINKHANTO BAITOULAYE"/>
        <s v="BINOME SARL"/>
        <s v="BIRIMA GOLD RESSOURCES"/>
        <s v="BLY SENEGAL"/>
        <s v="BOKAMINE"/>
        <s v="BOLLO BAKH"/>
        <s v="&quot;BOOK JOM ANDE LIGUEY MECKHE &quot;"/>
        <s v="BOYA"/>
        <s v="BP SENEGAL INVESTMENTS LIMITED"/>
        <s v="CAMMACH-SN"/>
        <s v="&quot; CANSEN ENERGY RESSOURCES &quot; SAS"/>
        <s v="CARRISEN SARL"/>
        <s v="CASA BAMBA FAILIAL"/>
        <s v="CHEHUMA"/>
        <s v="COMPAGNIE GENERALE DE CONSTRUCTION ET D'EXPLOITATION MINIERE"/>
        <s v="COMPAGNIE KHADIMOU RASSOUL"/>
        <s v="COMPAGNIE SAKHO C.S"/>
        <s v="COMPAGNIE SENEGALAISE DE TRANSPORT MINIER ET AGRICOLE (CSTMA)"/>
        <s v="COMPTOIR COMMERCIAL BALLA AICHA SUARL"/>
        <s v="COMPTOIR D'OR DE LA REGION ( C.OR.R)"/>
        <s v="CONSULTING BUSINESS AGENCY"/>
        <s v="CSE GRANULATS"/>
        <s v="DADICO"/>
        <s v="DANGOTE CEMENT SENEGAL"/>
        <s v="DANTILA MINE D'OR"/>
        <s v="DARA SALAM"/>
        <s v="DESK OFFICE"/>
        <s v="DIA COMPANY"/>
        <s v="DIAGNE ET FRERES ( SARAYA)"/>
        <s v="DIAMBAR IMMOBILIER"/>
        <s v="DIAMOND OFFSHORE DRILLING SENEGAL"/>
        <s v="DIENG &amp; CO ENGINEERING"/>
        <s v="DIOUF BOUGAR"/>
        <s v="EAUX SOUTERRAINES DU SENEGAL en abrégé ESS"/>
        <s v="&quot;EBD ENTREPRISE&quot; SUARL"/>
        <s v="ECAMM'S"/>
        <s v="ECOSEC"/>
        <s v="&quot; EMEEF CONSULTING &quot;"/>
        <s v="EMERGENCE MINES &amp; INVESTISSEMENTS"/>
        <s v="EMMALY SARL"/>
        <s v="ENTREPRISE AICHA"/>
        <s v="ENTREPRISE DAROU SALAM TAWFEX"/>
        <s v="ENTREPRISE DE RECHERCHE ET D'EXPLOITATION MINIERE (EREM)"/>
        <s v="ENTREPRISE DJOLOF TRANSPORT ET SERVICES"/>
        <s v="Entreprise Générale Darou Salam (EGDS)"/>
        <s v="ENTREPRISE GENERALE DE CONSTRUCTION ET D'AMENAGEMENT"/>
        <s v="ENTREPRISE GENERALE DE TRAVAUX PUBLICS ET BATIMENTS(EGTPB)"/>
        <s v="ENTREPRISE LE GANDIOL GROUPE"/>
        <s v="Entreprise Mamour NDIAYE"/>
        <s v="ENTREPRISE QUINCAILLERIE CISSE ET FRERES"/>
        <s v="ENTREPRISE WAKEUR BOROM GAWANE"/>
        <s v="&quot; ETABLISSEMENT MAODO MINES &quot; SARL"/>
        <s v="ETABLISSEMENT SEGA ET FRERES"/>
        <s v="ETE MINING"/>
        <s v="ETOILE X 313 SUARL"/>
        <s v="ETS&quot;  SERIGNE MANSOUR SY BOROOM DARADJI &quot;"/>
        <s v="ETS ABDOULAHAT MBAYE"/>
        <s v="ETS SERIGNE BABACAR SY"/>
        <s v="EUROPEAN RAIL ROAD ESTABLISHED SERVICES (ERES)"/>
        <s v="EX. &amp; CO SARL"/>
        <s v="FADIALLAYA DE LEFAKHO"/>
        <s v="FAKMOZ"/>
        <s v="FAYMINING CORPORATE"/>
        <s v="G3DI"/>
        <s v="GACH MINING COMPANY LIMITED SENEGAL"/>
        <s v="GADDE"/>
        <s v="GAGNICK MINES"/>
        <s v="GAMMA CORPORATE"/>
        <s v="GANGUE TOUS TRAVAUX (G2T)"/>
        <s v="GASH MINING SENEGAL (GASH MINING SEN) SARL)"/>
        <s v="GAYI SUARL"/>
        <s v="GENERALE DE COMMERCE ET D'INDUSTRIE (GECI))"/>
        <s v="&quot; GEOSCIENCES AND PROCESS SERVICES &quot; SARL"/>
        <s v="GEOSERVICES ENGINEERING (GSE)"/>
        <s v="GEOTEC"/>
        <s v="GIE CARAHMA"/>
        <s v="GIE &quot; CAYOR SILEX CORPORATION &quot;"/>
        <s v="GIE COUMBOUTOUROU"/>
        <s v="GIE &quot; E.B.T.S &quot; ( ENTREPRISE BATIMENT TRAVAUX SARR)"/>
        <s v="GIE &quot; FARLOU &quot;"/>
        <s v="&quot;GIE GARAGE SOUF&quot;"/>
        <s v="GIE KA BUSINESS  COMPANY / KBC"/>
        <s v="GIE MAGNANKANTY"/>
        <s v="GIE SHENG HUA MINING CO,LTD"/>
        <s v="GLADIAMA SUARL"/>
        <s v="GLOBAL GEOSERVICES GROUP (3G-SARL)"/>
        <s v="GLOBAL IMMO SENEGAL"/>
        <s v="GLOBAL MINING OPERATIONS"/>
        <s v="GOLD MINE BUSINESS"/>
        <s v="GOLDEN KADJOR"/>
        <s v="GOLDINA"/>
        <s v="&quot;GRACE GOLD COMPANY SENEGAL&quot;"/>
        <s v="GRANDE COTE OPERATIONS"/>
        <s v="GROUPE SOCIETE SENEGALO SUISSE DES AFFAIRES"/>
        <s v="GUENE MINING SUARL"/>
        <s v="GUEYE &amp; FRERES THIORO TRANSPORT&quot; G.F.2T"/>
        <s v="HAILITHEN"/>
        <s v="HALDIFOTTY"/>
        <s v="HALWAR MULTISERVICES"/>
        <s v="HARANGA RESOURCES LTD"/>
        <s v="HINDOR"/>
        <s v="HLNT SENEGAL"/>
        <s v="I M GOLD"/>
        <s v="IAMGOLD BOTO"/>
        <s v="IMPERATOR RESOURCE"/>
        <s v="IMPROVE SENEGAL (IMPSEN)"/>
        <s v="&quot; INCA &quot; SARL"/>
        <s v="INNOVA INVESTMENT"/>
        <s v="INTERNATIONAL CONSULTING GROUP (I.C.G)"/>
        <s v="INTERNATIONAL DRILLING COMPANY SENEGAL SASU"/>
        <s v="INTERNATIONAL MINING COMPANY"/>
        <s v="IRION TRANSFERS"/>
        <s v="JAMOMINING"/>
        <s v="JIN DIAN MINING"/>
        <s v="JIWANA RESOURCES PTY.LTD"/>
        <s v="KAIXUN GOLD MINING CO.LTD (K.G.M CO.LTD)"/>
        <s v="KALISO 2S-SAS"/>
        <s v="KANEL RESOURCES SARL"/>
        <s v="KANOUMERY"/>
        <s v="KARAMBA CONSTRUCTION TRANSPORT &amp; SERVICES"/>
        <s v="KEDOUGOU BUSINESS ET MINING SERVICES"/>
        <s v="KEDOUGOU MINE ET CARRIERE"/>
        <s v="KEUR MAME M'BASLA NDIAYE"/>
        <s v="KHAMBEN TEINKOTO NDIN"/>
        <s v="KHANIANG LIMITED"/>
        <s v="KHELKOM'S LION"/>
        <s v="KHEWEUL DIAMA"/>
        <s v="KOLIA"/>
        <s v="KONKOUTOU GOLD OPERATION"/>
        <s v="KOSMOS ENERGY INVESTMENTS SENEGAL LIMITED"/>
        <s v="KOUNDA GROUP"/>
        <s v="L &amp; D ECOMINING"/>
        <s v="L'AFRICAINE DES MINES (AFRIK'MINES)"/>
        <s v="LAMTORO NATURAL RESOURCES"/>
        <s v="LAYE BEYE"/>
        <s v="LE FATAA"/>
        <s v="LE GRAVIER"/>
        <s v="&quot; LEBOUGUI DE DIENDER &quot;"/>
        <s v="LES CIMENTS DU SAHEL"/>
        <s v="LES GRANDES CARRIERES DU SENEGAL"/>
        <s v="&quot;LES LITIERES DU SENEGAL&quot; SARL"/>
        <s v="LES MINES DE LUMIERE"/>
        <s v="LES MINES DU JEGUEM (MDJ)"/>
        <s v="LIN WEILIN"/>
        <s v="LINGO D'OR SENEGAL"/>
        <s v="LOGICOM SN"/>
        <s v="M&amp;H CORPORATION"/>
        <s v="MADISSIMO"/>
        <s v="MAKABINGUI GOLD OPERATION"/>
        <s v="MAMADOU DIAKHITE DIARRA"/>
        <s v="MANDINGA RESOURCES"/>
        <s v="MANSA GOLD CORPORATION"/>
        <s v="MASSAWA"/>
        <s v="MAXIMERIT"/>
        <s v="MC TRANSPORT AND TRADING (MC2T)"/>
        <s v="MEDY INDUSTRIES MODERNES SARL"/>
        <s v="MFC INTERNATIONAL"/>
        <s v="MINES PROFESSIONAL HOLDING"/>
        <s v="MININVEST S.A  "/>
        <s v="MOULT INVEST - SUARL"/>
        <s v="MOUSTAPHA NDIAYE"/>
        <s v="NDATTE YALLAH COMPAGNIE"/>
        <s v="NEGOS FIABLE SENEGAL / NEFIS"/>
        <s v="NEW ENERGY INVESTMENT"/>
        <s v="NEW ERA INTERNATIONAL MINING DEVELOPMENT"/>
        <s v="NIANE ET FRERES"/>
        <s v="NIANY TRANSIT"/>
        <s v="NOGA MINE SARL"/>
        <s v="NOGAYE BUSINESS CONSULTING COMPANY"/>
        <s v="NOV OIL &amp; GAS SERVICES SENEGAL"/>
        <s v="OUSMANE SOW"/>
        <s v="&quot; P.S.S SERVICES MINES ET CARRIERES&quot; SARL"/>
        <s v="PANAFRICAN MINERAL RESOURCES (PMR SAS)"/>
        <s v="PETROLEUM SENEGAL INDUSTRIES (P.S.I)"/>
        <s v="PIKINE MINING"/>
        <s v="PITABOULOUNG DE SYLLABOUNDA"/>
        <s v="PROSPECTIUNI"/>
        <s v="&quot;PS - SENECAT &quot; SUARL"/>
        <s v="Q M D COMPANY"/>
        <s v="RACKY PRESTATIONS TECHNIQUES (RPT)"/>
        <s v="RASSOUL MINING OIL GAZ &amp; ENERGY"/>
        <s v="RESEAU NATIONAL DES BIJOUTIERS DU SENEGAL"/>
        <s v="SABODALA GOLD OPERATIONS"/>
        <s v="SABODALA MINING COMPANY SARL"/>
        <s v="SAHAD COMPAGNY"/>
        <s v="SAHEL MINES ET LOGISTICS SARL"/>
        <s v="&quot; SALAME ENTREPRISE &quot; SARL"/>
        <s v="&quot;SALIOU MINES INDUSTRIES ET TECHNIQUES&quot; (S.M.I.T)"/>
        <s v="SAM INVEST"/>
        <s v="SAMAGOLD SARL"/>
        <s v="SAMSAM GOLD"/>
        <s v="SANTANG NEGOCE INVESTMENT"/>
        <s v="SANTARGILE"/>
        <s v="SARAKOTO DE TENKOTO"/>
        <s v="SARAYA ENERGY"/>
        <s v="SDPP"/>
        <s v="SDT NEW ENERGY TACHNOLOGY (SDTNET-SARL)"/>
        <s v="&quot; SEN &amp; UK FARMING &quot;"/>
        <s v="SEN GENERAL ACTIVITIES"/>
        <s v="SEN MINES GROUP"/>
        <s v="SEN ZHANGHUA MINERAL"/>
        <s v="SENEGAL KOM KOM PLUS"/>
        <s v="SENEGAL MINERAL RESOURCES"/>
        <s v="SENEGAL NDINDI"/>
        <s v="SENEGAL SILEX"/>
        <s v="SENEGALAISE DE DISTRIBUTION AGROALIMENTAIRE  en abrégé  &quot;SE.D.ALI&quot; S.A.R.L"/>
        <s v="&quot;SENEGALAISE DE DISTRIBUTION DE PRODUITS PETROLIERS&quot; SDPP SARL"/>
        <s v="SENEGALAISE DE SERVICES MINIERS ET DE GENIE CIVIL"/>
        <s v="SENEGALAISE DES MINES ET GEOLOGIE"/>
        <s v="SENGINDIA SA"/>
        <s v="SENGOLD COMPANY"/>
        <s v="SEN-STONES"/>
        <s v="SERTER"/>
        <s v="SINOHYDRO SENEGAL-SARL"/>
        <s v="SINTRADE"/>
        <s v="SIRAJ MINES ET INDUSTRIES SARL"/>
        <s v="SKDT NEW NERGY TECHNOLOGY"/>
        <s v="SOCABEG MINING"/>
        <s v="SOCIETE DE CONCASSAGE ET DE BETON"/>
        <s v="&quot; SOCIETE DE TRAVAUX GENERAL ET DE COMMERCE &quot; SARL"/>
        <s v="SOCIETE DES MINES DU SENEGAL (SODEMINES)"/>
        <s v="SOCIETE DES MINES DU SENEGAL (SOMISEN)"/>
        <s v="SOCIETE D'EXPLOITATION DE LOGISTIQUE ET DE TRAVAUX"/>
        <s v="SOCIETE D'EXPLOITATION MINIERE DU SENEGAL (SEMIS-SUARL)"/>
        <s v="SOCIETE GENERALE DE CARRIERES,D'AGRICULTURE ET DES MINIES (GECAMINES - SA)"/>
        <s v="SOCIETE GENERALE DES MINES (SGM)"/>
        <s v="SOCIETE IMMOBILIERE DE CONSTRUCTION ET DE GERANCE 'SICOGER)"/>
        <s v="SOCIETE INTERNATIONALE DE BIENS DE SERVICES"/>
        <s v="SOCIETE MINIERE DE LA VALLEE DU FLEUVE SENEGAL / SOMIVA"/>
        <s v="SOCIETE SAHELIENNE D'ENTREPRISE (SSE)"/>
        <s v="SOCIETE SENEGALAISE DE PHOSPHATES DE THIES (SSPT)"/>
        <s v="SOCOCIM INDUSTRIES"/>
        <s v="SOCOTRABAT"/>
        <s v="SODA HOLDING COMPANY SUARL"/>
        <s v="&quot; SOGEMIC &quot; SARL"/>
        <s v="SONKO ET FILS SARL"/>
        <s v="SOYA GOLD"/>
        <s v="STAPEM OFFSHORE SENEGAL"/>
        <s v="SUBSEA 7 SENEGAL"/>
        <s v="SUPER SALE"/>
        <s v="SWANI MINES-SA"/>
        <s v="SYFARO MINING COMPANY"/>
        <s v="SYLLA COUNDA"/>
        <s v="SYPROM"/>
        <s v="TALIX MINES"/>
        <s v="TAYSTONES SARL"/>
        <s v="TCHILMA BUILDING"/>
        <s v="TERANGA HORIZON"/>
        <s v="TERRACALCO SENEGAL"/>
        <s v="TESORO SERVICES"/>
        <s v="THIAM SENEGAL GOLD FAMILY"/>
        <s v="TIQ SENEGAL"/>
        <s v="TOP BUSINESS CONCEPT"/>
        <s v="TOTALENERGIES EP SENEGAL"/>
        <s v="TOUBA AMEUBLEMENT"/>
        <s v="TOUBA DENDEYE"/>
        <s v="TOUBA MINERAL RESSOURCES"/>
        <s v="TOULAYE AFRIQUE SARL"/>
        <s v="TOUS TRAVAUX SOUS MARINS (TTSM)"/>
        <s v="TRANSPORT NAR GAYE SUARL"/>
        <s v="TRIYANGS INTERNATIONAL MINING GROUP"/>
        <s v="UNION GOLD SENEGAL"/>
        <s v="UTK MINING SENEGAL"/>
        <s v="WALY DIOUF PARTNERS SOLUTION"/>
        <s v="WEST AFRICA MINES (WAM)"/>
        <s v="WEST WIND-SA"/>
        <s v="WONDER MINE &amp; TRADE (WMT-SAS)"/>
        <s v="WOODSIDE ENERGY SENEGAL BV"/>
        <s v="X.W.O"/>
        <s v="XINJIN ZIRCONIUM INDUSTRY"/>
        <s v="YELLOW GROUND SENEGAL SAS"/>
        <s v="ZEYNA TRANSPORTS-IMMO-CONSTRUCTIONS(Z.T.I.C)"/>
      </sharedItems>
    </cacheField>
    <cacheField name="Denomination Sociale2" numFmtId="0">
      <sharedItems count="317">
        <s v="2S GOLD"/>
        <s v="ABA SERVICES"/>
        <s v="ABABACAR DIOP TRANSPORTS SARL"/>
        <s v="ABANDOUR GEOLINK"/>
        <s v="AD GLOD"/>
        <s v="ADAMA UNIVERSAL IMMOBILIER ET AFFAIRES ADA-SUARL"/>
        <s v="ADJAF UNIVERSEL"/>
        <s v="AFIA SERVICES"/>
        <s v="AFRICA A WAY"/>
        <s v="AFRICA CONSULTING BUSINESS (ACB)"/>
        <s v="AFRICA GLOBAL GEOINGENIERIE (A2G)"/>
        <s v="AFRICA TRADE AND INVESTMENT CONSULTING (ATIC-SARL)"/>
        <s v="Africa Traiding-Equipement et Transport (AF-TECO)"/>
        <s v="AFRICA VISION MINING ( AVM-SARL)"/>
        <s v="AFRICAN BUILDERS SARL"/>
        <s v="AGEM SENEGAL EXPLORATION"/>
        <s v="AGRO SENEGAL EXPORTS"/>
        <s v="AL MAKHTOUM GENERAL TRADING"/>
        <s v="ALLIANCE GOLD"/>
        <s v="ALPHA OMEGA"/>
        <s v="AMATH NDIAYE INTERNATIONAL PRESTIGE (ANIP)"/>
        <s v="AMICALE DES ORPAILLEURS DE KEDOUGOU"/>
        <s v="AMSA GROUP AFRICA SA"/>
        <s v="ARC EN CIEL"/>
        <s v="ARDIMINES SARL"/>
        <s v="AREZKI-SA"/>
        <s v="AWA PRESTA SERVICES"/>
        <s v="AWAHABA GROUP"/>
        <s v="AWAHABA GROUP SARL"/>
        <s v="BAKHOUM BUSINESS COMPANY"/>
        <s v="BAMBADJI SA"/>
        <s v="BAMBOUK EXPLORATION SUARL"/>
        <s v="BAMBUK MINERALS SENEGAL"/>
        <s v="BAMINE"/>
        <s v="BANTAL DE BEROLA"/>
        <s v="BAOBAB GOLD (BG SARL)"/>
        <s v="BAOBAB MINING"/>
        <s v="BATIR MON PAYS"/>
        <s v="BAU"/>
        <s v="BB FIRST COMMODITY HOLDING LTD"/>
        <s v="BENCOUTA DE SAMECOUTA"/>
        <s v="BENKANTO"/>
        <s v="BENKHANGHO"/>
        <s v="BHAIRAVA AGRICOLE"/>
        <s v="BIGSAM OR"/>
        <s v="BINKHANTO BAITOULAYE"/>
        <s v="BINOME SARL"/>
        <s v="BIRIMA GOLD RESSOURCES"/>
        <s v="BLY SENEGAL"/>
        <s v="BOKAMINE"/>
        <s v="BOLLO BAKH"/>
        <s v="BOOK JOM ANDE LIGUEY MECKHE"/>
        <s v="BOYA"/>
        <s v="BP SENEGAL INVESTMENTS LIMITED"/>
        <s v="CAMMACH-SN"/>
        <s v="CANSEN ENERGY RESSOURCES SAS"/>
        <s v="CARRISEN SARL"/>
        <s v="CASA BAMBA FAILIAL"/>
        <s v="CHEHUMA"/>
        <s v="COMPAGNIE GENERALE DE CONSTRUCTION ET D'EXPLOITATION MINIERE"/>
        <s v="COMPAGNIE KHADIMOU RASSOUL"/>
        <s v="COMPAGNIE SAKHO C.S"/>
        <s v="COMPAGNIE SENEGALAISE DE TRANSPORT MINIER ET AGRICOLE (CSTMA)"/>
        <s v="COMPTOIR COMMERCIAL BALLA AICHA SUARL"/>
        <s v="COMPTOIR D'OR DE LA REGION ( C.OR.R)"/>
        <s v="CONSULTING BUSINESS AGENCY"/>
        <s v="CSE GRANULATS"/>
        <s v="DADICO"/>
        <s v="DANGOTE CEMENT SENEGAL"/>
        <s v="DANTILA MINE D'OR"/>
        <s v="DARA SALAM"/>
        <s v="DESK OFFICE"/>
        <s v="DIA COMPANY"/>
        <s v="DIAGNE ET FRERES ( SARAYA)"/>
        <s v="DIAMBAR IMMOBILIER"/>
        <s v="DIAMOND OFFSHORE DRILLING SENEGAL"/>
        <s v="DIENG &amp; CO ENGINEERING"/>
        <s v="DIOUF BOUGAR"/>
        <s v="EAUX SOUTERRAINES DU SENEGAL en abrégé ESS"/>
        <s v="EBD ENTREPRISE SUARL"/>
        <s v="ECAMM'S"/>
        <s v="ECOSEC"/>
        <s v="EMEEF CONSULTING"/>
        <s v="EMERGENCE MINES &amp; INVESTISSEMENTS"/>
        <s v="EMMALY SARL"/>
        <s v="ENTREPRISE AICHA"/>
        <s v="ENTREPRISE DAROU SALAM TAWFEX"/>
        <s v="ENTREPRISE DE RECHERCHE ET D'EXPLOITATION MINIERE (EREM)"/>
        <s v="ENTREPRISE DJOLOF TRANSPORT ET SERVICES"/>
        <s v="Entreprise Générale Darou Salam (EGDS)"/>
        <s v="ENTREPRISE GENERALE DE CONSTRUCTION ET D'AMENAGEMENT"/>
        <s v="ENTREPRISE GENERALE DE TRAVAUX PUBLICS ET BATIMENTS(EGTPB)"/>
        <s v="ENTREPRISE LE GANDIOL GROUPE"/>
        <s v="Entreprise Mamour NDIAYE"/>
        <s v="ENTREPRISE QUINCAILLERIE CISSE ET FRERES"/>
        <s v="ENTREPRISE WAKEUR BOROM GAWANE"/>
        <s v="ETABLISSEMENT MAODO MINES SARL"/>
        <s v="ETABLISSEMENT SEGA ET FRERES"/>
        <s v="ETE MINING"/>
        <s v="ETOILE X 313 SUARL"/>
        <s v="ETS  SERIGNE MANSOUR SY BOROOM DARADJI"/>
        <s v="ETS ABDOULAHAT MBAYE"/>
        <s v="ETS SERIGNE BABACAR SY"/>
        <s v="EUROPEAN RAIL ROAD ESTABLISHED SERVICES (ERES)"/>
        <s v="EX. &amp; CO SARL"/>
        <s v="FADIALLAYA DE LEFAKHO"/>
        <s v="FAKMOZ"/>
        <s v="FAYMINING CORPORATE"/>
        <s v="G3DI"/>
        <s v="GACH MINING COMPANY LIMITED SENEGAL"/>
        <s v="GADDE"/>
        <s v="GAGNICK MINES"/>
        <s v="GAMMA CORPORATE"/>
        <s v="GANGUE TOUS TRAVAUX (G2T)"/>
        <s v="GASH MINING SENEGAL (GASH MINING SEN) SARL)"/>
        <s v="GAYI SUARL"/>
        <s v="GENERALE DE COMMERCE ET D'INDUSTRIE (GECI))"/>
        <s v="GEOSCIENCES AND PROCESS SERVICES SARL"/>
        <s v="GEOSERVICES ENGINEERING (GSE)"/>
        <s v="GEOTEC"/>
        <s v="GIE CARAHMA"/>
        <s v="GIE CAYOR SILEX CORPORATION"/>
        <s v="GIE COUMBOUTOUROU"/>
        <s v="GIE E.B.T.S ( ENTREPRISE BATIMENT TRAVAUX SARR)"/>
        <s v="GIE FARLOU"/>
        <s v="GIE GARAGE SOUF"/>
        <s v="GIE KA BUSINESS  COMPANY / KBC"/>
        <s v="GIE MAGNANKANTY"/>
        <s v="GIE SHENG HUA MINING CO,LTD"/>
        <s v="GLADIAMA SUARL"/>
        <s v="GLOBAL GEOSERVICES GROUP (3G-SARL)"/>
        <s v="GLOBAL IMMO SENEGAL"/>
        <s v="GLOBAL MINING OPERATIONS"/>
        <s v="GOLD MINE BUSINESS"/>
        <s v="GOLDEN KADJOR"/>
        <s v="GOLDINA"/>
        <s v="GRACE GOLD COMPANY SENEGAL"/>
        <s v="GRANDE COTE OPERATIONS"/>
        <s v="GROUPE SOCIETE SENEGALO SUISSE DES AFFAIRES"/>
        <s v="GUENE MINING SUARL"/>
        <s v="GUEYE &amp; FRERES THIORO TRANSPORT G.F.2T"/>
        <s v="HAILITHEN"/>
        <s v="HALDIFOTTY"/>
        <s v="HALWAR MULTISERVICES"/>
        <s v="HARANGA RESOURCES LTD"/>
        <s v="HINDOR"/>
        <s v="HLNT SENEGAL"/>
        <s v="I M GOLD"/>
        <s v="IAMGOLD BOTO"/>
        <s v="IMPERATOR RESOURCE"/>
        <s v="IMPROVE SENEGAL (IMPSEN)"/>
        <s v="INCA SARL"/>
        <s v="INNOVA INVESTMENT"/>
        <s v="INTERNATIONAL CONSULTING GROUP (I.C.G)"/>
        <s v="INTERNATIONAL DRILLING COMPANY SENEGAL SASU"/>
        <s v="INTERNATIONAL MINING COMPANY"/>
        <s v="IRION TRANSFERS"/>
        <s v="JAMOMINING"/>
        <s v="JIN DIAN MINING"/>
        <s v="JIWANA RESOURCES PTY.LTD"/>
        <s v="KAIXUN GOLD MINING CO.LTD (K.G.M CO.LTD)"/>
        <s v="KALISO 2S-SAS"/>
        <s v="KANEL RESOURCES SARL"/>
        <s v="KANOUMERY"/>
        <s v="KARAMBA CONSTRUCTION TRANSPORT &amp; SERVICES"/>
        <s v="KEDOUGOU BUSINESS ET MINING SERVICES"/>
        <s v="KEDOUGOU MINE ET CARRIERE"/>
        <s v="KEUR MAME M'BASLA NDIAYE"/>
        <s v="KHAMBEN TEINKOTO NDIN"/>
        <s v="KHANIANG LIMITED"/>
        <s v="KHELKOM'S LION"/>
        <s v="KHEWEUL DIAMA"/>
        <s v="KOLIA"/>
        <s v="KONKOUTOU GOLD OPERATION"/>
        <s v="KOSMOS ENERGY INVESTMENTS SENEGAL LIMITED"/>
        <s v="KOUNDA GROUP"/>
        <s v="L &amp; D ECOMINING"/>
        <s v="L'AFRICAINE DES MINES (AFRIK'MINES)"/>
        <s v="LAMTORO NATURAL RESOURCES"/>
        <s v="LAYE BEYE"/>
        <s v="LE FATAA"/>
        <s v="LE GRAVIER"/>
        <s v="LEBOUGUI DE DIENDER"/>
        <s v="LES CIMENTS DU SAHEL"/>
        <s v="LES GRANDES CARRIERES DU SENEGAL"/>
        <s v="LES LITIERES DU SENEGAL SARL"/>
        <s v="LES MINES DE LUMIERE"/>
        <s v="LES MINES DU JEGUEM (MDJ)"/>
        <s v="LIN WEILIN"/>
        <s v="LINGO D'OR SENEGAL"/>
        <s v="LOGICOM SN"/>
        <s v="M&amp;H CORPORATION"/>
        <s v="MADISSIMO"/>
        <s v="MAKABINGUI GOLD OPERATION"/>
        <s v="MAMADOU DIAKHITE DIARRA"/>
        <s v="MANDINGA RESOURCES"/>
        <s v="MANSA GOLD CORPORATION"/>
        <s v="MASSAWA"/>
        <s v="MAXIMERIT"/>
        <s v="MC TRANSPORT AND TRADING (MC2T)"/>
        <s v="MEDY INDUSTRIES MODERNES SARL"/>
        <s v="MFC INTERNATIONAL"/>
        <s v="MINES PROFESSIONAL HOLDING"/>
        <s v="MININVEST S.A  "/>
        <s v="MOULT INVEST - SUARL"/>
        <s v="MOUSTAPHA NDIAYE"/>
        <s v="NDATTE YALLAH COMPAGNIE"/>
        <s v="NEGOS FIABLE SENEGAL / NEFIS"/>
        <s v="NEW ENERGY INVESTMENT"/>
        <s v="NEW ERA INTERNATIONAL MINING DEVELOPMENT"/>
        <s v="NIANE ET FRERES"/>
        <s v="NIANY TRANSIT"/>
        <s v="NOGA MINE SARL"/>
        <s v="NOGAYE BUSINESS CONSULTING COMPANY"/>
        <s v="NOV OIL &amp; GAS SERVICES SENEGAL"/>
        <s v="OUSMANE SOW"/>
        <s v="P.S.S SERVICES MINES ET CARRIERES SARL"/>
        <s v="PANAFRICAN MINERAL RESOURCES (PMR SAS)"/>
        <s v="PETROLEUM SENEGAL INDUSTRIES (P.S.I)"/>
        <s v="PIKINE MINING"/>
        <s v="PITABOULOUNG DE SYLLABOUNDA"/>
        <s v="PROSPECTIUNI"/>
        <s v="PS - SENECAT SUARL"/>
        <s v="Q M D COMPANY"/>
        <s v="RACKY PRESTATIONS TECHNIQUES (RPT)"/>
        <s v="RASSOUL MINING OIL GAZ &amp; ENERGY"/>
        <s v="RESEAU NATIONAL DES BIJOUTIERS DU SENEGAL"/>
        <s v="SABODALA GOLD OPERATIONS"/>
        <s v="SABODALA MINING COMPANY SARL"/>
        <s v="SAHAD COMPAGNY"/>
        <s v="SAHEL MINES ET LOGISTICS SARL"/>
        <s v="SALAME ENTREPRISE SARL"/>
        <s v="SALIOU MINES INDUSTRIES ET TECHNIQUES (S.M.I.T)"/>
        <s v="SAM INVEST"/>
        <s v="SAMAGOLD SARL"/>
        <s v="SAMSAM GOLD"/>
        <s v="SANTANG NEGOCE INVESTMENT"/>
        <s v="SANTARGILE"/>
        <s v="SARAKOTO DE TENKOTO"/>
        <s v="SARAYA ENERGY"/>
        <s v="SDPP"/>
        <s v="SDT NEW ENERGY TACHNOLOGY (SDTNET-SARL)"/>
        <s v="SEN &amp; UK FARMING"/>
        <s v="SEN GENERAL ACTIVITIES"/>
        <s v="SEN MINES GROUP"/>
        <s v="SEN ZHANGHUA MINERAL"/>
        <s v="SENEGAL KOM KOM PLUS"/>
        <s v="SENEGAL MINERAL RESOURCES"/>
        <s v="SENEGAL NDINDI"/>
        <s v="SENEGAL SILEX"/>
        <s v="SENEGALAISE DE DISTRIBUTION AGROALIMENTAIRE  en abrégé  SE.D.ALI S.A.R.L"/>
        <s v="SENEGALAISE DE DISTRIBUTION DE PRODUITS PETROLIERS SDPP SARL"/>
        <s v="SENEGALAISE DE SERVICES MINIERS ET DE GENIE CIVIL"/>
        <s v="SENEGALAISE DES MINES ET GEOLOGIE"/>
        <s v="SENGINDIA SA"/>
        <s v="SENGOLD COMPANY"/>
        <s v="SEN-STONES"/>
        <s v="SERTER"/>
        <s v="SINOHYDRO SENEGAL-SARL"/>
        <s v="SINTRADE"/>
        <s v="SIRAJ MINES ET INDUSTRIES SARL"/>
        <s v="SKDT NEW NERGY TECHNOLOGY"/>
        <s v="SOCABEG MINING"/>
        <s v="SOCIETE DE CONCASSAGE ET DE BETON"/>
        <s v="SOCIETE DE TRAVAUX GENERAL ET DE COMMERCE SARL"/>
        <s v="SOCIETE DES MINES DU SENEGAL (SODEMINES)"/>
        <s v="SOCIETE DES MINES DU SENEGAL (SOMISEN)"/>
        <s v="SOCIETE D'EXPLOITATION DE LOGISTIQUE ET DE TRAVAUX"/>
        <s v="SOCIETE D'EXPLOITATION MINIERE DU SENEGAL (SEMIS-SUARL)"/>
        <s v="SOCIETE GENERALE DE CARRIERES,D'AGRICULTURE ET DES MINIES (GECAMINES - SA)"/>
        <s v="SOCIETE GENERALE DES MINES (SGM)"/>
        <s v="SOCIETE IMMOBILIERE DE CONSTRUCTION ET DE GERANCE 'SICOGER)"/>
        <s v="SOCIETE INTERNATIONALE DE BIENS DE SERVICES"/>
        <s v="SOCIETE MINIERE DE LA VALLEE DU FLEUVE SENEGAL / SOMIVA"/>
        <s v="SOCIETE SAHELIENNE D'ENTREPRISE (SSE)"/>
        <s v="SOCIETE SENEGALAISE DE PHOSPHATES DE THIES (SSPT)"/>
        <s v="SOCOCIM INDUSTRIES"/>
        <s v="SOCOTRABAT"/>
        <s v="SODA HOLDING COMPANY SUARL"/>
        <s v="SOGEMIC SARL"/>
        <s v="SONKO ET FILS SARL"/>
        <s v="SOYA GOLD"/>
        <s v="STAPEM OFFSHORE SENEGAL"/>
        <s v="SUBSEA 7 SENEGAL"/>
        <s v="SUPER SALE"/>
        <s v="SWANI MINES-SA"/>
        <s v="SYFARO MINING COMPANY"/>
        <s v="SYLLA COUNDA"/>
        <s v="SYPROM"/>
        <s v="TALIX MINES"/>
        <s v="TAYSTONES SARL"/>
        <s v="TCHILMA BUILDING"/>
        <s v="TERANGA HORIZON"/>
        <s v="TERRACALCO SENEGAL"/>
        <s v="TESORO SERVICES"/>
        <s v="THIAM SENEGAL GOLD FAMILY"/>
        <s v="TIQ SENEGAL"/>
        <s v="TOP BUSINESS CONCEPT"/>
        <s v="TOTALENERGIES EP SENEGAL"/>
        <s v="TOUBA AMEUBLEMENT"/>
        <s v="TOUBA DENDEYE"/>
        <s v="TOUBA MINERAL RESSOURCES"/>
        <s v="TOULAYE AFRIQUE SARL"/>
        <s v="TOUS TRAVAUX SOUS MARINS (TTSM)"/>
        <s v="TRANSPORT NAR GAYE SUARL"/>
        <s v="TRIYANGS INTERNATIONAL MINING GROUP"/>
        <s v="UNION GOLD SENEGAL"/>
        <s v="UTK MINING SENEGAL"/>
        <s v="WALY DIOUF PARTNERS SOLUTION"/>
        <s v="WEST AFRICA MINES (WAM)"/>
        <s v="WEST WIND-SA"/>
        <s v="WONDER MINE &amp; TRADE (WMT-SAS)"/>
        <s v="WOODSIDE ENERGY SENEGAL BV"/>
        <s v="X.W.O"/>
        <s v="XINJIN ZIRCONIUM INDUSTRY"/>
        <s v="YELLOW GROUND SENEGAL SAS"/>
        <s v="ZEYNA TRANSPORTS-IMMO-CONSTRUCTIONS(Z.T.I.C)"/>
      </sharedItems>
    </cacheField>
    <cacheField name="Prénom et Nom Bénéficiaire" numFmtId="0">
      <sharedItems count="550">
        <s v="ALEXANDRE BRINGER"/>
        <s v="ALFRED SYMPA"/>
        <s v="ALIKO DANGOTE"/>
        <s v="ALIOU CAMARA"/>
        <s v="ALIOU CISSE"/>
        <s v="ALIOU DIOUF"/>
        <s v="ALIOU NDIAYE"/>
        <s v="ALIOU SOUARE"/>
        <s v="ABABACAR DIOP"/>
        <s v="ALIOUNE CISSE"/>
        <s v="ADAMA CISSOKHO"/>
        <s v="ALIOUNE DIALLO"/>
        <s v="ALIOUNE TELEMAQUE SOW"/>
        <s v="ALIOUNEDIOP FAYE"/>
        <s v="ALLE THIAM"/>
        <s v="ALPHA MOUSSA KANE"/>
        <s v="AMADOU AIDARA"/>
        <s v="AMADOU APITHY"/>
        <s v="AMADOU BA"/>
        <s v="AMADOU DIALLO"/>
        <s v="AMADOU DIANE"/>
        <s v="AMADOU DIANGO"/>
        <s v="AMADOU DIOP"/>
        <s v="AMADOU DIOP GUEYE"/>
        <s v="AMADOU GAYE"/>
        <s v="AMADOU MALICK SONKO"/>
        <s v="AMADOU RACINE SOW"/>
        <s v="AMADOU THIAM"/>
        <s v="AMADOU YERO DIALLO"/>
        <s v="AMATH NDIAYE"/>
        <s v="AMETH DIAMANKA"/>
        <s v="AMINATA BAIDY SOW"/>
        <s v="AMINATA BASSE"/>
        <s v="AMINATA CISSE"/>
        <s v="AMINATA DIA"/>
        <s v="AMINATA DIOP"/>
        <s v="ADAMA DIALLO"/>
        <s v="AMINATA KEBE"/>
        <s v="AMINATA SALL"/>
        <s v="AMRANE HAMADY GANGUE"/>
        <s v="ANDRE SADIAKHOU"/>
        <s v="ANDREAS PHILIP DEMETRIOU"/>
        <s v="ANNE ELISE MADELEINE APPRILL"/>
        <s v="ANSOUMANE CISSOKHO"/>
        <s v="ARDO SADIO SOW"/>
        <s v="ARFANG BOUBACAR DAFFE"/>
        <s v="ASSANE FALL"/>
        <s v="ASTOU MBODJ"/>
        <s v="AUGUSTIN MANE"/>
        <s v="AWA AMINATA BA"/>
        <s v="AWA DIOP"/>
        <s v="BABACAR CISSE"/>
        <s v="BABACAR MASSAR MBENGUE"/>
        <s v="BABACAR SECK"/>
        <s v="BABACAR SEYE"/>
        <s v="BABACAR THIAM"/>
        <s v="BABOU SENE"/>
        <s v="BADJI FATOU KINE"/>
        <s v="BAGNAN SIDIBE"/>
        <s v="BAKHOUME PAPA ABDOULAYE"/>
        <s v="BAMBA SEKHOU DANSOKHO"/>
        <s v="BAMBO DIABY"/>
        <s v="BANGALY FODE SAKHO"/>
        <s v="BANNA TOUNKARA"/>
        <s v="BARA DIOUF NDIAYE"/>
        <s v="BARA SARR"/>
        <s v="BAYE FALLOU DIOP"/>
        <s v="BAYO CHARLOTTE"/>
        <s v="BEAUCLAIR RAYMOND ZEMFACK"/>
        <s v="BERNARD RAYMOND ORTEGAT"/>
        <s v="BINTOU MADY DRAME"/>
        <s v="BINTOU SONKO"/>
        <s v="BINTOU SOUARE"/>
        <s v="BIRAMA NDOYE"/>
        <s v="BIRAME FAYE"/>
        <s v="BOUBACAR DIALLO"/>
        <s v="BOUBACAR SOUARE"/>
        <s v="BOUBACAR THIAW"/>
        <s v="BOUGAR DIOUF"/>
        <s v="BOUNA DIAKHOUMPA"/>
        <s v="Bruno"/>
        <s v="BRUNO VICTOR LOUIS DERNEVILLE"/>
        <s v="CAILIN ZHU"/>
        <s v="CHEICH BADIANE SAKHO"/>
        <s v="CHEIKH ABO MADIYANA MBACKE"/>
        <s v="CHEIKH AHMADOU BAMBA DIENG"/>
        <s v="CHEIKH AHMED TIDIANE THIAM"/>
        <s v="CHEIKH AHMED TIDIANY THIAM"/>
        <s v="CHEIKH AHMET TIDIANE DIOP"/>
        <s v="CHEIKH GUEYE"/>
        <s v="ADAMA DIONGUE"/>
        <s v="ADAMA DIOUF"/>
        <s v="CHEIKH IBRAHIMA FAYE"/>
        <s v="CHEIKH MOHAMED FADEL SONKO"/>
        <s v="CHEIKH NA DIOP"/>
        <s v="CHEIKH SIDY BA"/>
        <s v="CHEIKH TIDIANE DIOP"/>
        <s v="ABASS SOW"/>
        <s v="ABDOU DIOUF"/>
        <s v="ABDOU KHADIR MBACKE"/>
        <s v="Abdou Lahat  Mbaye"/>
        <s v="ABDOU SAKHO"/>
        <s v="ABDOU SALAM MBACKE"/>
        <s v="CHEIKHOU FAYE"/>
        <s v="CHEN FANG"/>
        <s v="CHERIF AMEDINE BA"/>
        <s v="CIRE MAMADOU BAYO LY"/>
        <s v="CLEMENT ALPHONSE NDIAYE"/>
        <s v="COUMBA FAYE"/>
        <s v="DAME DIAKHATE"/>
        <s v="DAME DIANE"/>
        <s v="DAME DIENG"/>
        <s v="DAOUDA KANE"/>
        <s v="DAOUR DIENG"/>
        <s v="DAVID JACQUES MIMRAN"/>
        <s v="DIA MANSOUR"/>
        <s v="DIADIE DIT AMADOU SANKARE"/>
        <s v="DIADIE KABA"/>
        <s v="DIAGNE YANDE"/>
        <s v="DIALI SOUO CISSOKHO"/>
        <s v="DIARIATOU KANTE"/>
        <s v="DIARY DIALLO"/>
        <s v="DIEYE DOUDOU"/>
        <s v="DIEYNABA DIALLO"/>
        <s v="DINESH GOVIND GORASIYA"/>
        <s v="DIOME MALICK"/>
        <s v="DIYNABA THIAM"/>
        <s v="DJIBGUIBA DIAKHABY"/>
        <s v="DJIBRIL BADIANE"/>
        <s v="DJIBRIL CAMARA"/>
        <s v="DJIBRIL GUEYE"/>
        <s v="DJIBRIL NDIME"/>
        <s v="DJIGA FAYE"/>
        <s v="DJIMO SOUARE"/>
        <s v="DORO NIANG"/>
        <s v="DUSKO LJUBOJEVIC"/>
        <s v="EDUARDO MANUEL PRIOR BASTOS"/>
        <s v="EL HADJI AMADOU DIAGNE"/>
        <s v="EL HADJI BABACAR THIAM"/>
        <s v="EL HADJI BOUBACAR SIDIKI DIARRA"/>
        <s v="ELHADJI ABDOULAYE CAMARA"/>
        <s v="ELHADJI AMADOU DIAGNE"/>
        <s v="ELHADJI BABA SOW"/>
        <s v="ELHADJI BITEYE"/>
        <s v="ELHADJI BOUBACAR CISSE"/>
        <s v="ELHADJI DIAGNE"/>
        <s v="ELHADJI DIOP"/>
        <s v="ADNANE BA"/>
        <s v="ELHADJI FALILOU MBACKE"/>
        <s v="ELHADJI FARY KA"/>
        <s v="ELHADJI MAMADOU GUEYE"/>
        <s v="ABDOU SYLLA"/>
        <s v="ELHASJI MAKHA SANKHARE"/>
        <s v="EMMANUEL DIOH"/>
        <s v="FALDI ISMAIL"/>
        <s v="FALL AMADOU"/>
        <s v="FAMARA KABA"/>
        <s v="FANG CHEN"/>
        <s v="FANTA CISSE SOUARE"/>
        <s v="FANTA FOUNE SOUARE"/>
        <s v="FATIMA ZOHRA"/>
        <s v="FATIMATA BA"/>
        <s v="FATOU DIOUF"/>
        <s v="FATOU GUEYE"/>
        <s v="FATOU KHADY SECK"/>
        <s v="FATOU SAKHO"/>
        <s v="FATOUMATA MBAYE"/>
        <s v="ABDOU WAHAB DIOP"/>
        <s v="ABDOUL AZIZ NDIAYE"/>
        <s v="FILY CAMARA"/>
        <s v="FILY CISSOKHO"/>
        <s v="FODE DANFAKHA"/>
        <s v="FRANCOIS CHERPION"/>
        <s v="GEORGES MICHEL DOUMET"/>
        <s v="FREDERIC EMILE ROYER"/>
        <s v="FUKUDA KOTARO"/>
        <s v="GAYE ASSANE"/>
        <s v="GEORGES NICHOLAS MICHAELIDES"/>
        <s v="GERARD ARTHUR KING"/>
        <s v="GHADA DIOKHANE"/>
        <s v="GUANG YANG"/>
        <s v="GUENE MODOU DIOP"/>
        <s v="GUEYE"/>
        <s v="GUEYE GALAYE"/>
        <s v="GUILLAUME JEAN HENRI DUBUY"/>
        <s v="GUILLAUME NICOLAS RAYMOND MARTIN"/>
        <s v="HADJI PAPA MACOUMBA DIOP"/>
        <s v="HAILIAN WANG"/>
        <s v="HAMIDOU SOW"/>
        <s v="HASSANA DIALLO"/>
        <s v="HAYATI BAYRAM"/>
        <s v="HE XIUYUN"/>
        <s v="HENRY STANLY"/>
        <s v="HEQIANG YU"/>
        <s v="HITESH GOPAL GORASIA"/>
        <s v="HUANG JIEQI"/>
        <s v="HUANG PING"/>
        <s v="HUANG QILIU"/>
        <s v="HUANG XIANZI"/>
        <s v="IBRAHIM SONKO"/>
        <s v="IBRAHIMA CISSOKHO"/>
        <s v="ABDOUL KARIMOU CISSOKHO"/>
        <s v="IBRAHIMA DIAW"/>
        <s v="IBRAHIMA MBACKE"/>
        <s v="IBRAHIMA GAYE"/>
        <s v="IBRAHIMA HANE"/>
        <s v="IBRAHIMA KHALIL BALDE"/>
        <s v="IBRAHIMA KHALILE SONKO"/>
        <s v="AHMADDOU NDIAYE"/>
        <s v="IBRAHIMA N'DANE"/>
        <s v="IBRAHIMA NGOM"/>
        <s v="IBRAHIMA SAKHO"/>
        <s v="IBRAHIMA SORY KEITA"/>
        <s v="IBRAHIMA SOW"/>
        <s v="IBRAHIMA THIAM"/>
        <s v="IDRISSA BODIAN"/>
        <s v="IGINIO TERZI"/>
        <s v="IMAD TOUMI"/>
        <s v="JACQUES MARIE MERCERON-VICAT"/>
        <s v="JAMAI USAGE BICHAT-JAMAI MAEVA MAHBOUBA VERONIQUE"/>
        <s v="JEAN MARC GERBER"/>
        <s v="JEAN MICHEL ALBERT MARCEL"/>
        <s v="JEAN MICHEL ALBERT MARCEL MAES"/>
        <s v="JEAN NOEL BITTAR"/>
        <s v="JEAN PIERRE GERBER"/>
        <s v="JEAN SERGE HOUNKANLIN DOSSOU"/>
        <s v="JEAN-BRICE SAINT-MARTIN"/>
        <s v="JENNIFER ALICE ELISABETH HUVERS DE VRIES"/>
        <s v="AHMADOU KHADIM MBENGUE"/>
        <s v="AHMED AREZKI"/>
        <s v="AHMETH MEDOUNE FALL"/>
        <s v="JIEQI HUANG"/>
        <s v="JINSONG WEN"/>
        <s v="JORGE ALBERTO GANOZA DURANT"/>
        <s v="JOSEPH PREIRA"/>
        <s v="JULIEN ALEXANDRE COURCHET"/>
        <s v="JUNMING YANG"/>
        <s v="KA ABOU BAKRY"/>
        <s v="KAIXIANG SONG"/>
        <s v="KALY KEITA"/>
        <s v="KALYAN RAVJI PATEL"/>
        <s v="KAMIDOU KABA"/>
        <s v="KANTE ALASSANE"/>
        <s v="KARAMBA KALOGA"/>
        <s v="KARAMOKHODING SAKHO"/>
        <s v="KARASSE KANE"/>
        <s v="KARIM HARATI"/>
        <s v="KENGUE MITAMONA JAUDY BREMN"/>
        <s v="KHADIDIATOU BA"/>
        <s v="KHADIDIATOU SARR"/>
        <s v="KHADIDIATOU THIAM"/>
        <s v="ABDOUL WAHAB AIDARA"/>
        <s v="ABDOULATIF BOUSSO"/>
        <s v="ABDOULAYE BA"/>
        <s v="KHADIM DIOUF"/>
        <s v="KHADY DIOR NDIAYE"/>
        <s v="KHADY LENA SY"/>
        <s v="KHALILOU DIOP"/>
        <s v="KOFFI FELIX EKRA"/>
        <s v="KOUMOUNA SADIAKHOU"/>
        <s v="KWAMI SESSI GAYI"/>
        <s v="LAMINE DABO"/>
        <s v="LAMINE DIABY"/>
        <s v="LAMINE DIACK DIOUF"/>
        <s v="LAMINE DIOP"/>
        <s v="LAMINE KABA"/>
        <s v="LAMINE KONARE"/>
        <s v="LAMINE SONKO"/>
        <s v="LAMINE SY"/>
        <s v="LATYR TANOR DIENG"/>
        <s v="LAURENT DIARRA"/>
        <s v="LAYE BEYE"/>
        <s v="LAYTI NDIAYE"/>
        <s v="LIN WEI SONG"/>
        <s v="LIU YANLONG"/>
        <s v="LOLO CAMARA"/>
        <s v="LONZHANG WEI"/>
        <s v="LOTFALLA LAYOUSSE"/>
        <s v="LOUISE HORNBY"/>
        <s v="LUCAS CHARLES ENZO PEREZ"/>
        <s v="LUIGI CAIAZZO"/>
        <s v="MADY CAMARA"/>
        <s v="MADY SOUMARE"/>
        <s v="MAGATTE GAYE"/>
        <s v="MAGUETTE SECK"/>
        <s v="MAHMOUTH FALL"/>
        <s v="MAHOMAD BACHIR"/>
        <s v="MAIRAM SONKO"/>
        <s v="MAKHAN CAMARA"/>
        <s v="MALICK FAYE"/>
        <s v="MAMADOU ALPHA BARRY"/>
        <s v="MAMADOU DENAGO SARRE"/>
        <s v="MAMADOU DIAKHITE DIARRA"/>
        <s v="MAMADOU DIAW"/>
        <s v="MAMADOU DIOP"/>
        <s v="MAMADOU GUEYE"/>
        <s v="MAMADOU KA"/>
        <s v="MAMADOU KEITA"/>
        <s v="MAMADOU LAMINE KEITA"/>
        <s v="ABDOULAYE BARRO"/>
        <s v="MAMADOU LOUM"/>
        <s v="MAMADOU MANDE GUEYE"/>
        <s v="AIDA DIOP"/>
        <s v="MAMADOU MBAYE"/>
        <s v="MAMADOU MOUSTAPHA LO"/>
        <s v="MAMADOU MOUSTAPHA MBACKE"/>
        <s v="MAMADOU OURY BA"/>
        <s v="MAMADOU SAKHO"/>
        <s v="MAMADOU SARR"/>
        <s v="MAMADOU SECK"/>
        <s v="MAMADOU SOUARE"/>
        <s v="MAMADOU SY"/>
        <s v="MAMADY TOURE"/>
        <s v="MAME DIARRA DIOP"/>
        <s v="MAME ISSA GAYE THIOYE"/>
        <s v="MAME LEYE MBAYE"/>
        <s v="MAME MALICK BA"/>
        <s v="MAME MATAR SECK"/>
        <s v="MAMOUNE GAYE"/>
        <s v="Mamour NDIAYE"/>
        <s v="MANSOUR AMADOU SOW"/>
        <s v="MANSOUR SY"/>
        <s v="MARIAMA BAKHOUM"/>
        <s v="MARIAMA DIALLO"/>
        <s v="MARIAMA GUEYE"/>
        <s v="MARIAMA KANE"/>
        <s v="MARIAMA NDONG"/>
        <s v="MARIE JOSEPHINE THERERSE DIONE"/>
        <s v="MARK PHILIPP GOSSEL"/>
        <s v="MARTIN JOACHIM PAWLISCHEK"/>
        <s v="MARYSE BELANGER"/>
        <s v="MASSAMBA MAMADOU SY"/>
        <s v="MAWDO NDIAYE"/>
        <s v="MBALLO KEBE"/>
        <s v="MBALOUDI DIABY"/>
        <s v="MBAYE NDIAYE"/>
        <s v="MBAYE WADE"/>
        <s v="MBENGUE BABACAR MASSAR"/>
        <s v="MEHMET FERHAT"/>
        <s v="MICHAEL JOHN DAVY"/>
        <s v="MICHEL WALTER ANGE HEER"/>
        <s v="MIKIDACH MAMADOU SY"/>
        <s v="MOCTAR ALIOUNE SADIAN SALL"/>
        <s v="MODOU DIAGNE"/>
        <s v="MODOU DIOP GUENE"/>
        <s v="MODOU FALL"/>
        <s v="MOHAMED ABABACAR SOW"/>
        <s v="MOHAMED DICKO"/>
        <s v="MOHAMED KAGNASSY"/>
        <s v="MOHAMED KHALED KOUKI"/>
        <s v="MOHAMED NIANG"/>
        <s v="MOHAMED NIARE"/>
        <s v="MOHAMMED EL ASSALI"/>
        <s v="MOMAR DIOP"/>
        <s v="MOMAR SOKHNA DIOP"/>
        <s v="MOR AMINATA KEBE"/>
        <s v="MOR GUEYE"/>
        <s v="MOR SAMBA GUEYE"/>
        <s v="ABDOULAYE DIAGNE"/>
        <s v="ABDOULAYE DIALLO"/>
        <s v="MOSSA SADIAKHOU"/>
        <s v="MOUHAMADOU BA"/>
        <s v="MOUHAMADOU FALILOU FALL"/>
        <s v="MOUHAMADOU FAYE"/>
        <s v="MOUHAMADOU LAMINE TOURE"/>
        <s v="MOUHAMADOU MOUSTAPHA DIOP"/>
        <s v="MOUHAMADOU SOW"/>
        <s v="MOUHAMADOU SY"/>
        <s v="MOUHAMED DAVID MBAYE"/>
        <s v="MOUHAMED EL MOKHTAR BOULEBAT"/>
        <s v="AIDARA ABDOUL WAHAB"/>
        <s v="MOUHAMED FALL"/>
        <s v="MOUHAMED TINE"/>
        <s v="MOUSSA CISSOKHO"/>
        <s v="MOUSSA MAKHASSOUBA"/>
        <s v="MOUSSA MBENGUE"/>
        <s v="MOUSSA MOISE CAMARA"/>
        <s v="MOUSSA SAMB"/>
        <s v="MOUSSA SYLLA"/>
        <s v="MOUSSA TRAORE"/>
        <s v="MOUSTAPHA DIAGNE"/>
        <s v="MOUSTAPHA FAYE"/>
        <s v="MOUSTAPHA NDIAYE"/>
        <s v="MOUSTAPHA NIANG"/>
        <s v="NAFISSATOU GUEYE"/>
        <s v="NDABA CISSOKHO"/>
        <s v="NDEYE ANTHIA BA"/>
        <s v="NDEYE CELLE SOW"/>
        <s v="NDEYE DIOUMA DIAGNE"/>
        <s v="NDEYE FALL DIOP"/>
        <s v="ABDOULAYE DIOP"/>
        <s v="ABDOULAYE DRAME"/>
        <s v="ALAEDDIN MOHAMAD"/>
        <s v="ALAIN CHISTOPHE CHARLES GERBER"/>
        <s v="NDEYE FATIM SY"/>
        <s v="NDEYE MATY THIOUNE"/>
        <s v="NDEYE PEINDA NIANG"/>
        <s v="NDIAYE IBRAHIMA"/>
        <s v="NDIAYE MAMADOU"/>
        <s v="NDONG PAPA MALICK"/>
        <s v="NDOYE MASYLLA"/>
        <s v="NGAGNE DEMBA TOURE"/>
        <s v="NGOM IBRAHIMA"/>
        <s v="NZUE NZUE FREEDY"/>
        <s v="OILIVIER MARC HEER"/>
        <s v="OLIVIER GOUDIABY"/>
        <s v="OMAR SYLLA"/>
        <s v="ONGALI RUPHIN GLAISE"/>
        <s v="OUMAR DIALLO"/>
        <s v="OUMAR SALL"/>
        <s v="OUMAR SOW"/>
        <s v="OUMAR SYLLA"/>
        <s v="OUMOU DIA"/>
        <s v="OUMOU KALSOUM BA"/>
        <s v="OUMY DIAGNE"/>
        <s v="OUSMAN NDIAYE"/>
        <s v="OUSMANE CISSE"/>
        <s v="OUSMANE DIAGNE"/>
        <s v="OUSMANE MANE"/>
        <s v="ABDOULAYE NDIOGOU SAMB"/>
        <s v="OUSMANE SOW"/>
        <s v="OUSMANE THIAM"/>
        <s v="OUSSEYNOU NDIAYE"/>
        <s v="OUSSEYNOU NDOUR"/>
        <s v="OUSSEYNOU SARR"/>
        <s v="OUSSEYNOU WADE"/>
        <s v="PAPA DEMBA SATHIE"/>
        <s v="PAPA LASSANA BA"/>
        <s v="PAPA MASSE SEYE DIOP"/>
        <s v="PAPA MAYELAD FALL"/>
        <s v="PAPA OUSMANE BADJI"/>
        <s v="PAPA OUSMANE NDIAYE"/>
        <s v="PAPA SAMBA MBENGUE"/>
        <s v="PAPE CHEIKH AMADOU AMAR"/>
        <s v="PAPE MAMOUR SOKHNA"/>
        <s v="PAPE MASSAER BEN SALOUM CISSE"/>
        <s v="ALASANE BA"/>
        <s v="PIERRE ALAIN BIRAME NDONG"/>
        <s v="POUYE"/>
        <s v="PRAKAHS PUTHENVILA SATHYAN"/>
        <s v="QI BO"/>
        <s v="QI WANG"/>
        <s v="QIN MINGFU"/>
        <s v="RACKY ABDOUL WANE"/>
        <s v="RAMATA KEBE"/>
        <s v="RAMATOULAYE NDIAYE"/>
        <s v="REZAT KTHUPI"/>
        <s v="ROBITAILLE BENOIT"/>
        <s v="ROKHAYA COULIBALY"/>
        <s v="ROKHAYA DIALLO"/>
        <s v="ROMUALDO LAMPITELLI"/>
        <s v="ROSALIE NDIAYE SENE"/>
        <s v="SADIO KANDE"/>
        <s v="SADIO SADIAKHOU"/>
        <s v="SAKHALE KABA"/>
        <s v="SALIMOU DRAME"/>
        <s v="SALIOU CISSE"/>
        <s v="ABDOULAYE NIANG"/>
        <s v="ABDOURAHMANE BA"/>
        <s v="ABDOURAHMANE DIALLO"/>
        <s v="ABOUBAKRY JAWARA"/>
        <s v="SALIOU DIAGNE"/>
        <s v="SALIOU MBAYE"/>
        <s v="SALIOU NDAW"/>
        <s v="SALIOU SECK"/>
        <s v="SALIOU SENE"/>
        <s v="SALL PAPA SANGONE"/>
        <s v="SAMBA CAMARA"/>
        <s v="SAMBA DIALLO"/>
        <s v="SAMBA GADIAGA"/>
        <s v="SAMBA MAMADOU SY"/>
        <s v="SAMBA NDAO NDIR"/>
        <s v="SAMBALY"/>
        <s v="SAME MBAYE NIASSE"/>
        <s v="SARR CHEIKH"/>
        <s v="SARR MATY"/>
        <s v="SARR PAPA THIONE"/>
        <s v="SATOU SAKHO"/>
        <s v="SECK FATOU KHADY"/>
        <s v="SECK SOKHNA MOUSLINE"/>
        <s v="SEGA KANTE"/>
        <s v="SEKHOU SENE"/>
        <s v="SEKHOU SOUARE"/>
        <s v="ABUBAKARY JAWARA"/>
        <s v="SERIGNE ASSA FALLE GAYE"/>
        <s v="SERIGNE BAMBA DIOP"/>
        <s v="SERIGNE BAMBA MBACKE DIOP"/>
        <s v="SERIGNE DIENG"/>
        <s v="SERIGNE MBACKE NIANE"/>
        <s v="SERIGNE OMAR DIOP"/>
        <s v="SEYDINA DIOP"/>
        <s v="SEYDINA GUEYE"/>
        <s v="SEYDOU GASSAMA"/>
        <s v="SEYDOU SAER HANE"/>
        <s v="SEYNABOU MBENGUE"/>
        <s v="SHAUN MARTIN GREGORY"/>
        <s v="SIBHARAM ARUN AGGARWAL"/>
        <s v="SOKHNA NDONGO"/>
        <s v="SORY KABA"/>
        <s v="SORY SOUARE"/>
        <s v="SOUAREBA SOUARE"/>
        <s v="SOULEYE SECK"/>
        <s v="SOULEYMANE KANTE"/>
        <s v="SOULEYMANE NIANG"/>
        <s v="SOULEYMANE SOW"/>
        <s v="SOW ABDOUL AZIZ"/>
        <s v="SOW ABDOUL KARIM"/>
        <s v="SULTAN DIOP"/>
        <s v="SUZANE BOISSY"/>
        <s v="SY MOUHAMADOU"/>
        <s v="SYLLA"/>
        <s v="TAMBA SADIAKHOU"/>
        <s v="TAMSIR BABACAR"/>
        <s v="TARECK AREZKI"/>
        <s v="TENDER NICOLETA-DANIELA"/>
        <s v="TERENCE NEIL"/>
        <s v="THIAM"/>
        <s v="THIORO MBAYE"/>
        <s v="TIDIANE KEITA"/>
        <s v="TREVOR BRIAN MARTIN"/>
        <s v="TSENG LUNG YI"/>
        <s v="TSENG PING-FU"/>
        <s v="VAHAP KANITOGLU"/>
        <s v="WALY DIOUF"/>
        <s v="WANG WEI"/>
        <s v="WARREN FRANK MACKENZIE"/>
        <s v="WEILIN LIN"/>
        <s v="WILLIAM KEITH BARCLAY"/>
        <s v="WILSON BELLI"/>
        <s v="WOLFGANG ENGELBERG BEDORF"/>
        <s v="XIAMING ZHANG"/>
        <s v="XIFU YANG"/>
        <s v="YAKHYA DIOP"/>
        <s v="YAMAGISHI CHISA"/>
        <s v="YAN ZHANG"/>
        <s v="YANG GUANG"/>
        <s v="YANG JUNMING"/>
        <s v="YANG QINHAI"/>
        <s v="YANTING WANG"/>
        <s v="YAYA IBRAHIMA SOW"/>
        <s v="YAYE DIOR SECK"/>
        <s v="YAYE NOGAYE DIOP"/>
        <s v="YIYIRAN XIA"/>
        <s v="YONGQIANG QU"/>
        <s v="YOUSR AREZKI"/>
        <s v="YOUSRIYA NASSIF LOZA"/>
        <s v="YOUSSOUPH DIAITE"/>
        <s v="YU YANLIANG"/>
        <s v="ZHANG"/>
        <s v="ZIAD AREZKI"/>
      </sharedItems>
    </cacheField>
    <cacheField name="Date d'acquisition" numFmtId="0">
      <sharedItems count="319">
        <s v="2021-11-16 15:40:33.487"/>
        <s v="2021-11-17 15:38:42.123"/>
        <s v="2021-12-24 11:36:59.230"/>
        <s v="2021-12-21 15:13:29.357"/>
        <s v="2021-12-13 15:49:50.663"/>
        <s v="2021-06-28 13:12:04.777"/>
        <s v="2021-07-02 09:29:40.887"/>
        <s v="2021-11-19 15:35:36.977"/>
        <s v="2022-02-21 15:55:15.067"/>
        <s v="2022-05-18 14:06:56.020"/>
        <s v="2022-11-11 14:48:03.010"/>
        <s v="2022-12-02 09:59:34.317"/>
        <s v="2022-07-28 13:22:53.183"/>
        <s v="2022-09-30 08:41:23.457"/>
        <s v="2022-09-30 16:34:27.577"/>
        <s v="2022-11-17 15:32:59.050"/>
        <s v="2022-01-12 13:28:08.260"/>
        <s v="2022-05-24 13:56:54.337"/>
        <s v="2022-10-05 13:25:42.720"/>
        <s v="2022-08-08 09:56:35.827"/>
        <s v="2022-01-19 14:56:56.897"/>
        <s v="2022-09-08 15:17:23.333"/>
        <s v="2022-07-08 14:32:33.017"/>
        <s v="2022-03-15 14:29:25.337"/>
        <s v="2022-04-21 11:04:03.023"/>
        <s v="2022-09-06 16:31:41.953"/>
        <s v="2021-06-30 14:02:24.310"/>
        <s v="2022-01-27 15:21:10.527"/>
        <s v="2022-04-05 15:18:17.890"/>
        <s v="2022-05-06 08:09:21.790"/>
        <s v="2022-09-12 15:53:28.840"/>
        <s v="2022-01-17 13:28:31.023"/>
        <s v="2022-04-28 08:45:45.023"/>
        <s v="2022-09-12 08:33:25.280"/>
        <s v="2022-06-20 15:54:20.793"/>
        <s v="2022-04-05 14:46:43.493"/>
        <s v="2022-06-21 11:07:29.003"/>
        <s v="2022-02-09 13:32:48.583"/>
        <s v="2022-09-12 08:51:46.180"/>
        <s v="2022-11-16 15:33:53.333"/>
        <s v="2022-12-09 13:29:58.887"/>
        <s v="2022-05-18 14:57:52.787"/>
        <s v="2022-10-10 13:49:10.657"/>
        <s v="2022-01-31 12:17:16.243"/>
        <s v="2022-10-12 16:50:56.950"/>
        <s v="2022-12-27 15:10:30.383"/>
        <s v="2022-08-29 16:22:46.800"/>
        <s v="2022-09-07 16:08:33.433"/>
        <s v="2022-01-04 15:58:52.750"/>
        <s v="2022-07-13 11:55:20.860"/>
        <s v="2022-04-07 15:26:19.047"/>
        <s v="2022-09-08 16:27:03.483"/>
        <s v="2022-09-12 09:25:33.697"/>
        <s v="2022-12-02 12:06:18.623"/>
        <s v="2022-06-30 15:44:36.867"/>
        <s v="2022-04-27 15:35:05.490"/>
        <s v="2022-12-19 09:15:14.990"/>
        <s v="2022-02-09 17:30:09.653"/>
        <s v="2022-12-19 13:33:53.013"/>
        <s v="2022-09-30 16:57:00.950"/>
        <s v="2021-12-08 15:39:53.490"/>
        <s v="2022-07-04 10:13:07.860"/>
        <s v="2022-04-20 13:44:15.417"/>
        <s v="2021-11-29 12:24:34.590"/>
        <s v="2021-11-23 12:59:42.517"/>
        <s v="2021-06-30 11:32:13.853"/>
        <s v="2021-12-31 14:08:00.687"/>
        <s v="2021-11-09 10:43:15.867"/>
        <s v="2022-05-18 15:57:59.140"/>
        <s v="2022-01-19 15:16:44.950"/>
        <s v="2022-10-30 17:57:37.773"/>
        <s v="2022-04-11 08:43:42.460"/>
        <s v="2022-07-26 10:18:47.990"/>
        <s v="2022-01-17 14:49:13.893"/>
        <s v="2022-02-14 14:27:49.163"/>
        <s v="2022-04-20 14:09:54.237"/>
        <s v="2022-01-26 13:30:38.377"/>
        <s v="2022-10-30 18:19:40.313"/>
        <s v="2022-11-11 15:13:31.517"/>
        <s v="2022-09-30 08:23:13.527"/>
        <s v="2022-12-02 11:32:59.307"/>
        <s v="2022-04-28 11:59:05.277"/>
        <s v="2022-07-15 13:08:40.893"/>
        <s v="2022-07-25 14:52:00.307"/>
        <s v="2022-07-21 14:50:01.253"/>
        <s v="2023-03-06 12:48:11.333"/>
        <s v="2023-12-26 15:06:05.387"/>
        <s v="2023-03-13 11:56:43.607"/>
        <s v="2023-06-15 13:37:00.967"/>
        <s v="2023-05-15 13:29:57.227"/>
        <s v="2023-02-03 13:43:59.120"/>
        <s v="2021-12-29 09:03:57.973"/>
        <s v="2023-05-31 14:20:03.737"/>
        <s v="2023-03-02 14:02:07.767"/>
        <s v="2023-06-12 14:54:30.333"/>
        <s v="2021-12-17 14:41:11.017"/>
        <s v="2023-10-13 11:22:43.773"/>
        <s v="2023-03-20 15:25:07.447"/>
        <s v="2023-11-06 09:53:37.663"/>
        <s v="2023-05-16 11:57:08.110"/>
        <s v="2023-07-20 15:20:50.320"/>
        <s v="2023-02-02 13:49:50.770"/>
        <s v="2023-06-13 14:55:38.930"/>
        <s v="2023-06-27 09:14:56.097"/>
        <s v="2023-11-27 09:59:43.160"/>
        <s v="2023-01-13 13:34:20.203"/>
        <s v="2023-07-20 16:23:27.507"/>
        <s v="2021-10-13 19:48:49.073"/>
        <s v="2021-07-01 10:34:48.853"/>
        <s v="2023-02-03 12:39:46.120"/>
        <s v="2023-05-19 13:03:52.517"/>
        <s v="2023-05-23 13:56:59.267"/>
        <s v="2023-11-03 10:06:43.480"/>
        <s v="2023-07-12 13:57:37.030"/>
        <s v="2023-11-20 13:47:10.650"/>
        <s v="2023-07-06 10:00:24.837"/>
        <s v="2023-07-06 09:08:53.390"/>
        <s v="2023-12-14 13:35:50.000"/>
        <s v="2023-08-22 15:04:26.873"/>
        <s v="2023-03-13 16:34:49.310"/>
        <s v="2023-05-03 15:24:35.440"/>
        <s v="2023-10-20 11:51:03.910"/>
        <s v="2023-02-22 13:19:54.303"/>
        <s v="2023-05-22 15:20:16.997"/>
        <s v="2023-01-27 11:47:03.997"/>
        <s v="2021-11-10 09:50:57.967"/>
        <s v="2023-05-24 16:53:38.570"/>
        <s v="2023-07-20 10:11:19.497"/>
        <s v="2023-03-23 15:12:26.627"/>
        <s v="2023-06-07 15:18:57.323"/>
        <s v="2023-09-07 14:27:42.150"/>
        <s v="2023-01-27 13:25:29.290"/>
        <s v="2023-04-26 15:13:53.983"/>
        <s v="2023-03-07 09:48:55.627"/>
        <s v="2023-12-08 11:26:32.713"/>
        <s v="2023-03-30 10:01:38.490"/>
        <s v="2023-04-12 15:56:28.120"/>
        <s v="2023-06-16 10:36:40.637"/>
        <s v="2023-02-02 08:28:51.077"/>
        <s v="2023-05-23 11:38:42.217"/>
        <s v="2023-12-26 15:44:19.147"/>
        <s v="2023-08-22 08:34:56.247"/>
        <s v="2021-11-15 10:04:17.657"/>
        <s v="2021-12-31 13:49:05.257"/>
        <s v="2023-04-28 10:20:25.723"/>
        <s v="2023-01-27 11:16:10.017"/>
        <s v="2023-01-27 13:50:56.630"/>
        <s v="2023-05-03 15:51:46.553"/>
        <s v="2023-04-20 10:20:30.170"/>
        <s v="2023-09-29 14:56:26.230"/>
        <s v="2023-03-13 15:56:33.843"/>
        <s v="2023-06-07 13:00:35.723"/>
        <s v="2023-02-21 15:31:59.233"/>
        <s v="2023-07-31 11:36:06.970"/>
        <s v="2023-03-23 10:41:50.637"/>
        <s v="2023-01-24 11:22:00.427"/>
        <s v="2021-12-29 13:18:19.937"/>
        <s v="2023-12-24 16:09:02.610"/>
        <s v="2023-10-09 09:00:38.800"/>
        <s v="2023-12-01 14:55:20.087"/>
        <s v="2023-12-14 14:03:45.547"/>
        <s v="2023-04-18 14:42:17.360"/>
        <s v="2023-04-26 12:18:31.457"/>
        <s v="2023-06-12 13:08:57.573"/>
        <s v="2023-09-12 14:57:14.000"/>
        <s v="2023-02-10 10:51:11.687"/>
        <s v="2023-04-11 15:49:33.603"/>
        <s v="2023-05-10 08:25:05.087"/>
        <s v="2023-08-14 08:07:46.390"/>
        <s v="2024-03-14 15:11:30.777"/>
        <s v="2024-01-12 09:09:56.773"/>
        <s v="2024-02-15 10:53:42.337"/>
        <s v="2024-11-26 14:11:10.363"/>
        <s v="2024-07-09 13:41:54.150"/>
        <s v="2024-03-29 10:39:20.883"/>
        <s v="2024-11-22 12:00:20.480"/>
        <s v="2024-02-09 11:53:34.940"/>
        <s v="2024-01-12 09:32:24.367"/>
        <s v="2024-07-26 13:26:19.370"/>
        <s v="2024-01-12 13:35:36.850"/>
        <s v="2024-09-10 09:01:56.687"/>
        <s v="2024-12-16 15:48:06.717"/>
        <s v="2024-09-06 08:37:52.037"/>
        <s v="2024-05-15 09:18:53.207"/>
        <s v="2024-07-04 09:53:24.367"/>
        <s v="2024-03-18 10:13:55.643"/>
        <s v="2024-02-29 13:54:04.207"/>
        <s v="2024-03-27 11:37:25.707"/>
        <s v="2024-04-18 14:47:01.697"/>
        <s v="2024-02-09 11:37:57.190"/>
        <s v="2024-07-02 16:10:08.687"/>
        <s v="2024-03-28 13:28:52.360"/>
        <s v="2024-03-08 10:29:07.657"/>
        <s v="2024-07-03 15:47:14.400"/>
        <s v="2024-07-26 11:19:41.933"/>
        <s v="2024-07-03 15:47:14.401"/>
        <s v="2024-07-26 11:19:41.934"/>
        <s v="2024-02-02 09:58:46.587"/>
        <s v="2024-03-28 11:47:54.150"/>
        <s v="2024-07-26 13:47:29.547"/>
        <s v="2024-03-20 11:55:46.160"/>
        <s v="2024-01-26 10:47:12.450"/>
        <s v="2024-11-12 13:07:35.363"/>
        <s v="2024-01-18 15:06:32.927"/>
        <s v="2024-07-16 09:22:02.473"/>
        <s v="2024-01-06 16:29:35.020"/>
        <s v="2024-01-26 11:16:39.423"/>
        <s v="2024-02-09 11:26:27.263"/>
        <s v="2024-02-16 13:56:39.197"/>
        <s v="2024-03-15 13:53:13.290"/>
        <s v="2024-12-12 13:03:05.733"/>
        <s v="2024-02-08 14:55:19.317"/>
        <s v="2024-06-24 13:44:59.053"/>
        <s v="2024-03-20 12:41:01.343"/>
        <s v="2025-08-28 14:13:06.110"/>
        <s v="2025-08-25 09:49:33.177"/>
        <s v="2025-08-08 09:15:10.790"/>
        <s v="2025-05-23 13:50:58.837"/>
        <s v="2025-05-07 15:59:47.943"/>
        <s v="2025-04-23 15:58:38.653"/>
        <s v="2025-04-18 13:03:27.627"/>
        <s v="2025-04-14 09:12:23.160"/>
        <s v="2025-04-14 08:55:09.170"/>
        <s v="2025-04-09 14:03:31.007"/>
        <s v="2025-04-09 13:44:29.980"/>
        <s v="2025-03-14 13:04:26.693"/>
        <s v="2025-03-04 14:33:18.227"/>
        <s v="2025-02-28 14:47:13.277"/>
        <s v="2025-02-14 14:57:20.747"/>
        <s v="2025-02-14 14:33:31.770"/>
        <s v="2025-02-14 13:06:39.337"/>
        <s v="2025-02-10 09:02:55.850"/>
        <s v="2025-01-29 15:17:16.843"/>
        <s v="2025-01-17 13:32:33.707"/>
        <s v="2025-01-17 10:58:34.090"/>
        <s v="2025-01-15 08:45:53.070"/>
        <s v="2025-01-09 09:44:45.747"/>
        <s v="2025-01-09 09:02:34.100"/>
        <s v="2021-07-02 15:13:53.873"/>
        <s v="2021-10-12 16:00:22.117"/>
        <s v="2021-10-20 15:37:02.807"/>
        <s v="2021-12-01 10:39:52.347"/>
        <s v="2022-10-03 16:14:20.760"/>
        <s v="2023-04-27 14:49:19.800"/>
        <s v="2023-04-18 12:12:41.787"/>
        <s v="2023-03-22 16:19:01.333"/>
        <s v="2023-01-09 12:20:52.290"/>
        <s v="2023-05-24 10:12:13.910"/>
        <s v="2021-11-26 12:56:57.153"/>
        <s v="2022-01-11 10:38:05.440"/>
        <s v="2022-07-25 12:27:38.607"/>
        <s v="2022-07-26 12:10:34.870"/>
        <s v="2023-11-17 12:47:41.203"/>
        <s v="2022-03-03 11:15:43.840"/>
        <s v="2023-04-14 14:46:59.680"/>
        <s v="2023-05-19 10:44:14.050"/>
        <s v="2023-06-24 14:24:56.320"/>
        <s v="2023-03-06 11:57:03.297"/>
        <s v="2023-03-24 15:15:10.320"/>
        <s v="2023-06-24 15:00:02.820"/>
        <s v="2023-04-20 11:54:31.177"/>
        <s v="2023-09-15 16:41:35.307"/>
        <s v="2023-06-24 14:06:26.707"/>
        <s v="2023-06-24 14:47:34.287"/>
        <s v="2021-06-30 13:23:53.740"/>
        <s v="2021-12-23 13:38:07.707"/>
        <s v="2023-01-30 12:11:01.097"/>
        <s v="2024-01-06 15:31:34.577"/>
        <s v="2025-08-07 19:41:59.387"/>
        <s v="2025-08-07 12:06:38.113"/>
        <s v="2025-08-06 19:41:54.687"/>
        <s v="2021-12-15 14:05:22.117"/>
        <s v="2025-04-23 11:17:43.520"/>
        <s v="2025-03-17 23:01:08.827"/>
        <s v="2025-03-17 22:26:15.717"/>
        <s v="2025-03-17 21:40:18.303"/>
        <s v="2025-03-06 21:16:36.197"/>
        <s v="2025-02-25 15:57:19.837"/>
        <s v="2025-01-12 18:28:58.637"/>
        <s v="2023-07-24 15:22:55.063"/>
        <s v="2024-03-27 13:29:49.853"/>
        <s v="2025-08-06 14:10:17.893"/>
        <s v="2025-04-29 13:52:48.187"/>
        <s v="2025-02-14 14:25:41.847"/>
        <s v="2023-10-16 17:36:11.080"/>
        <s v="2024-12-05 10:23:26.867"/>
        <s v="2021-11-09 12:53:43.717"/>
        <s v="2021-10-14 13:07:20.937"/>
        <s v="2021-11-25 13:41:17.070"/>
        <s v="2021-12-07 13:41:27.180"/>
        <s v="2021-07-28 12:53:56.230"/>
        <s v="2022-10-25 12:55:37.077"/>
        <s v="2022-08-26 16:55:54.787"/>
        <s v="2022-06-28 10:17:50.400"/>
        <s v="2022-09-13 12:43:09.637"/>
        <s v="2022-10-31 16:46:15.537"/>
        <s v="2022-09-21 16:23:20.703"/>
        <s v="2022-06-17 09:45:02.553"/>
        <s v="2022-04-06 16:03:59.817"/>
        <s v="2022-08-25 13:04:07.017"/>
        <s v="2022-07-08 12:25:15.940"/>
        <s v="2022-07-06 13:54:30.297"/>
        <s v="2022-08-05 13:09:06.490"/>
        <s v="2022-09-20 16:56:18.357"/>
        <s v="2022-07-29 10:38:46.930"/>
        <s v="2022-07-05 13:29:19.847"/>
        <s v="2022-04-27 15:25:50.800"/>
        <s v="2023-02-01 13:32:13.700"/>
        <s v="2023-05-03 10:22:36.810"/>
        <s v="2024-10-17 14:05:38.997"/>
        <s v="2024-01-02 13:44:43.337"/>
        <s v="2024-07-31 16:23:20.937"/>
        <s v="2024-04-15 12:35:06.120"/>
        <s v="2024-05-16 16:25:53.140"/>
        <s v="2025-08-22 16:47:33.150"/>
        <s v="2025-06-03 16:08:54.233"/>
        <s v="2025-04-03 12:30:18.653"/>
        <s v="2025-03-25 15:05:40.897"/>
        <s v="2024-10-22 23:18:09.513"/>
      </sharedItems>
    </cacheField>
    <cacheField name="Année" numFmtId="0">
      <sharedItems count="5">
        <s v="2021"/>
        <s v="2022"/>
        <s v="2023"/>
        <s v="2024"/>
        <s v="2025"/>
      </sharedItems>
    </cacheField>
    <cacheField name="% Action Direct" numFmtId="0">
      <sharedItems containsMixedTypes="1" containsNumber="1" containsInteger="1" minValue="1" maxValue="200" count="53">
        <n v="20"/>
        <n v="100"/>
        <n v="25"/>
        <n v="30"/>
        <n v="70"/>
        <n v="50"/>
        <s v="99.99"/>
        <s v="NULL"/>
        <n v="40"/>
        <n v="24"/>
        <n v="5"/>
        <n v="11"/>
        <n v="23"/>
        <n v="80"/>
        <n v="65"/>
        <n v="15"/>
        <n v="33"/>
        <n v="10"/>
        <n v="8"/>
        <n v="77"/>
        <n v="48"/>
        <n v="60"/>
        <n v="67"/>
        <n v="55"/>
        <n v="45"/>
        <n v="12"/>
        <n v="75"/>
        <n v="34"/>
        <n v="35"/>
        <s v="99.9"/>
        <n v="90"/>
        <n v="2"/>
        <n v="52"/>
        <n v="14"/>
        <n v="13"/>
        <n v="95"/>
        <n v="150"/>
        <n v="200"/>
        <n v="21"/>
        <n v="27"/>
        <n v="4"/>
        <s v="47.26"/>
        <s v="47.25"/>
        <s v="5.49"/>
        <n v="49"/>
        <n v="51"/>
        <n v="18"/>
        <n v="32"/>
        <n v="1"/>
        <n v="29"/>
        <s v="96.29"/>
        <n v="72"/>
        <s v="22.5"/>
      </sharedItems>
    </cacheField>
    <cacheField name="% Voix Direct" numFmtId="0">
      <sharedItems containsMixedTypes="1" containsNumber="1" containsInteger="1" minValue="2" maxValue="200" count="46">
        <s v="NULL"/>
        <n v="50"/>
        <s v="99.99"/>
        <n v="100"/>
        <n v="2"/>
        <n v="40"/>
        <n v="30"/>
        <n v="80"/>
        <n v="20"/>
        <n v="5"/>
        <n v="65"/>
        <n v="33"/>
        <n v="25"/>
        <n v="15"/>
        <n v="10"/>
        <n v="8"/>
        <n v="77"/>
        <n v="48"/>
        <n v="23"/>
        <n v="24"/>
        <n v="60"/>
        <n v="67"/>
        <n v="55"/>
        <n v="45"/>
        <n v="70"/>
        <n v="34"/>
        <n v="35"/>
        <s v="99.9"/>
        <s v="99.96"/>
        <n v="52"/>
        <n v="75"/>
        <n v="95"/>
        <n v="90"/>
        <n v="150"/>
        <n v="200"/>
        <n v="21"/>
        <n v="27"/>
        <n v="4"/>
        <s v="47.26"/>
        <s v="47.25"/>
        <s v="5.49"/>
        <n v="49"/>
        <n v="51"/>
        <s v="96.29"/>
        <n v="72"/>
        <s v="22.5"/>
      </sharedItems>
    </cacheField>
    <cacheField name="Nationalite" numFmtId="0">
      <sharedItems/>
    </cacheField>
    <cacheField name="Pays de résidence" numFmtId="0">
      <sharedItems containsBlank="1"/>
    </cacheField>
    <cacheField name="Est Une PPE" numFmtId="0">
      <sharedItems containsMixedTypes="1" containsNumber="1" containsInteger="1" minValue="0" maxValue="1"/>
    </cacheField>
    <cacheField name="Fonction PPE" numFmtId="0">
      <sharedItems containsMixedTypes="1" containsNumber="1" containsInteger="1" minValue="0" maxValue="1"/>
    </cacheField>
    <cacheField name="NomPPE" numFmtId="0">
      <sharedItems/>
    </cacheField>
    <cacheField name="Greffe" numFmtId="0">
      <sharedItems/>
    </cacheField>
    <cacheField name="Reg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x v="0"/>
    <x v="0"/>
    <x v="0"/>
    <s v="ABABACAR DIOP"/>
    <s v="2021-06-28 13:12:04.777"/>
    <s v="99.99"/>
    <s v="99.99"/>
    <s v="NIGÉRIA"/>
    <s v="NIGÉRIA"/>
    <s v="NULL"/>
    <n v="0"/>
    <s v="NULL"/>
    <s v="Greffe"/>
    <s v="Dakar"/>
  </r>
  <r>
    <x v="0"/>
    <x v="1"/>
    <x v="1"/>
    <s v="ABASS SOW"/>
    <s v="2021-11-29 12:24:34.590"/>
    <n v="100"/>
    <s v="NULL"/>
    <s v="ZAMBIE"/>
    <s v="ZAMBIE"/>
    <s v="NULL"/>
    <n v="0"/>
    <s v="NULL"/>
    <s v="Greffe"/>
    <s v="Dakar"/>
  </r>
  <r>
    <x v="0"/>
    <x v="1"/>
    <x v="1"/>
    <s v="ABDOU DIOUF"/>
    <s v="2021-11-23 12:59:42.517"/>
    <n v="100"/>
    <s v="NULL"/>
    <s v="SÉNÉGAL"/>
    <s v="SÉNÉGAL"/>
    <s v="NULL"/>
    <n v="0"/>
    <s v="NULL"/>
    <s v="Greffe"/>
    <s v="Dakar"/>
  </r>
  <r>
    <x v="0"/>
    <x v="1"/>
    <x v="1"/>
    <s v="ABDOU KHADIR MBACKE"/>
    <s v="2021-06-30 11:32:13.853"/>
    <n v="80"/>
    <n v="80"/>
    <s v="SÉNÉGAL"/>
    <s v="SÉNÉGAL"/>
    <s v="NULL"/>
    <n v="0"/>
    <s v="NULL"/>
    <s v="Greffe"/>
    <s v="Dakar"/>
  </r>
  <r>
    <x v="0"/>
    <x v="1"/>
    <x v="1"/>
    <s v="Abdou Lahat  Mbaye"/>
    <s v="2021-12-31 14:08:00.687"/>
    <n v="25"/>
    <s v="NULL"/>
    <s v="SÉNÉGAL"/>
    <s v="SÉNÉGAL"/>
    <s v="NULL"/>
    <n v="0"/>
    <s v="NULL"/>
    <s v="Greffe"/>
    <s v="Dakar"/>
  </r>
  <r>
    <x v="0"/>
    <x v="1"/>
    <x v="1"/>
    <s v="ABDOU SAKHO"/>
    <s v="2021-11-09 10:43:15.867"/>
    <s v="NULL"/>
    <s v="NULL"/>
    <s v="SÉNÉGAL"/>
    <s v="SÉNÉGAL"/>
    <s v="NULL"/>
    <n v="0"/>
    <s v="NULL"/>
    <s v="Greffe"/>
    <s v="Dakar"/>
  </r>
  <r>
    <x v="0"/>
    <x v="1"/>
    <x v="1"/>
    <s v="ABDOU SALAM MBACKE"/>
    <s v="2021-12-31 14:08:00.687"/>
    <n v="75"/>
    <s v="NULL"/>
    <s v="SÉNÉGAL"/>
    <s v="SÉNÉGAL"/>
    <s v="NULL"/>
    <n v="0"/>
    <s v="NULL"/>
    <s v="Greffe"/>
    <s v="Dakar"/>
  </r>
  <r>
    <x v="0"/>
    <x v="2"/>
    <x v="2"/>
    <s v="ABDOU SYLLA"/>
    <s v="2021-12-17 14:41:11.017"/>
    <n v="100"/>
    <n v="100"/>
    <s v="SÉNÉGAL"/>
    <s v="SÉNÉGAL"/>
    <s v="NULL"/>
    <n v="0"/>
    <s v="NULL"/>
    <s v="Greffe"/>
    <s v="Dakar"/>
  </r>
  <r>
    <x v="0"/>
    <x v="3"/>
    <x v="3"/>
    <s v="ABDOU WAHAB DIOP"/>
    <s v="2021-10-13 19:48:49.073"/>
    <s v="NULL"/>
    <s v="NULL"/>
    <s v="FRANCE"/>
    <s v="FRANCE"/>
    <s v="NULL"/>
    <n v="0"/>
    <s v="NULL"/>
    <s v="Greffe"/>
    <s v="Dakar"/>
  </r>
  <r>
    <x v="0"/>
    <x v="3"/>
    <x v="3"/>
    <s v="ABDOUL AZIZ NDIAYE"/>
    <s v="2021-07-01 10:34:48.853"/>
    <s v="99.9"/>
    <s v="99.9"/>
    <s v="FRANCE"/>
    <s v="FRANCE"/>
    <s v="NULL"/>
    <n v="0"/>
    <s v="NULL"/>
    <s v="Greffe"/>
    <s v="Dakar"/>
  </r>
  <r>
    <x v="0"/>
    <x v="4"/>
    <x v="4"/>
    <s v="ABDOUL KARIMOU CISSOKHO"/>
    <s v="2021-11-10 09:50:57.967"/>
    <n v="100"/>
    <n v="100"/>
    <s v="SÉNÉGAL"/>
    <s v="SÉNÉGAL"/>
    <s v="NULL"/>
    <n v="0"/>
    <s v="NULL"/>
    <s v="Greffe"/>
    <s v="Dakar"/>
  </r>
  <r>
    <x v="0"/>
    <x v="5"/>
    <x v="5"/>
    <s v="ABDOUL WAHAB AIDARA"/>
    <s v="2021-06-30 11:32:13.853"/>
    <n v="20"/>
    <n v="20"/>
    <s v="SÉNÉGAL"/>
    <s v="SÉNÉGAL"/>
    <s v="NULL"/>
    <n v="0"/>
    <s v="NULL"/>
    <s v="Greffe"/>
    <s v="Dakar"/>
  </r>
  <r>
    <x v="0"/>
    <x v="5"/>
    <x v="5"/>
    <s v="ABDOULATIF BOUSSO"/>
    <s v="2021-12-29 13:18:19.937"/>
    <s v="NULL"/>
    <s v="NULL"/>
    <s v="SÉNÉGAL"/>
    <s v="SÉNÉGAL"/>
    <s v="NULL"/>
    <n v="0"/>
    <s v="NULL"/>
    <s v="Greffe"/>
    <s v="Dakar"/>
  </r>
  <r>
    <x v="0"/>
    <x v="5"/>
    <x v="5"/>
    <s v="ABDOULAYE BA"/>
    <s v="2021-12-29 13:18:19.937"/>
    <s v="NULL"/>
    <s v="NULL"/>
    <s v="FRANCE"/>
    <s v="FRANCE"/>
    <s v="NULL"/>
    <n v="0"/>
    <s v="NULL"/>
    <s v="Greffe"/>
    <s v="Dakar"/>
  </r>
  <r>
    <x v="0"/>
    <x v="6"/>
    <x v="6"/>
    <s v="ABDOULAYE BARRO"/>
    <s v="2021-12-29 13:18:19.937"/>
    <s v="NULL"/>
    <s v="NULL"/>
    <s v="FRANCE"/>
    <s v="FRANCE"/>
    <s v="NULL"/>
    <n v="0"/>
    <s v="NULL"/>
    <s v="Greffe"/>
    <s v="Dakar"/>
  </r>
  <r>
    <x v="0"/>
    <x v="7"/>
    <x v="7"/>
    <s v="ABDOULAYE DIAGNE"/>
    <s v="2021-12-29 13:18:19.937"/>
    <n v="60"/>
    <n v="60"/>
    <s v="SÉNÉGAL"/>
    <s v="SÉNÉGAL"/>
    <s v="NULL"/>
    <n v="0"/>
    <s v="NULL"/>
    <s v="Greffe"/>
    <s v="Dakar"/>
  </r>
  <r>
    <x v="0"/>
    <x v="7"/>
    <x v="7"/>
    <s v="ABDOULAYE DIALLO"/>
    <s v="2021-12-29 13:18:19.937"/>
    <s v="NULL"/>
    <s v="NULL"/>
    <s v="FRANCE"/>
    <s v="FRANCE"/>
    <s v="NULL"/>
    <n v="0"/>
    <s v="NULL"/>
    <s v="Greffe"/>
    <s v="Dakar"/>
  </r>
  <r>
    <x v="0"/>
    <x v="8"/>
    <x v="8"/>
    <s v="ABDOULAYE DIOP"/>
    <s v="2021-07-02 15:13:53.873"/>
    <n v="25"/>
    <n v="25"/>
    <s v="SÉNÉGAL"/>
    <s v="SÉNÉGAL"/>
    <s v="NULL"/>
    <n v="0"/>
    <s v="NULL"/>
    <s v="Greffe"/>
    <s v="Dakar"/>
  </r>
  <r>
    <x v="0"/>
    <x v="8"/>
    <x v="8"/>
    <s v="ABDOULAYE DRAME"/>
    <s v="2021-07-02 15:13:53.873"/>
    <n v="20"/>
    <n v="20"/>
    <s v="SÉNÉGAL"/>
    <s v="SÉNÉGAL"/>
    <s v="NULL"/>
    <n v="0"/>
    <s v="NULL"/>
    <s v="Greffe"/>
    <s v="Dakar"/>
  </r>
  <r>
    <x v="0"/>
    <x v="9"/>
    <x v="9"/>
    <s v="ABDOULAYE NDIOGOU SAMB"/>
    <s v="2021-07-02 15:13:53.873"/>
    <n v="55"/>
    <n v="55"/>
    <s v="SÉNÉGAL"/>
    <s v="SÉNÉGAL"/>
    <s v="NULL"/>
    <n v="0"/>
    <s v="NULL"/>
    <s v="Greffe"/>
    <s v="Dakar"/>
  </r>
  <r>
    <x v="0"/>
    <x v="10"/>
    <x v="10"/>
    <s v="ABDOULAYE NIANG"/>
    <s v="2021-06-30 13:23:53.740"/>
    <n v="100"/>
    <n v="100"/>
    <s v="SÉNÉGAL"/>
    <s v="SÉNÉGAL"/>
    <s v="NULL"/>
    <n v="0"/>
    <s v="NULL"/>
    <s v="Greffe"/>
    <s v="Dakar"/>
  </r>
  <r>
    <x v="0"/>
    <x v="10"/>
    <x v="10"/>
    <s v="ABDOURAHMANE BA"/>
    <s v="2021-06-30 14:02:24.310"/>
    <n v="10"/>
    <s v="NULL"/>
    <s v="SÉNÉGAL"/>
    <s v="SÉNÉGAL"/>
    <s v="NULL"/>
    <n v="0"/>
    <s v="NULL"/>
    <s v="Greffe"/>
    <s v="Dakar"/>
  </r>
  <r>
    <x v="0"/>
    <x v="10"/>
    <x v="10"/>
    <s v="ABDOURAHMANE DIALLO"/>
    <s v="2021-12-23 13:38:07.707"/>
    <n v="100"/>
    <s v="NULL"/>
    <s v="SÉNÉGAL"/>
    <s v="SÉNÉGAL"/>
    <s v="NULL"/>
    <n v="0"/>
    <s v="NULL"/>
    <s v="Greffe"/>
    <s v="Dakar"/>
  </r>
  <r>
    <x v="0"/>
    <x v="10"/>
    <x v="10"/>
    <s v="ABOUBAKRY JAWARA"/>
    <s v="2021-06-30 14:02:24.310"/>
    <n v="15"/>
    <s v="NULL"/>
    <s v="SÉNÉGAL"/>
    <s v="SÉNÉGAL"/>
    <s v="NULL"/>
    <n v="0"/>
    <s v="NULL"/>
    <s v="Greffe"/>
    <s v="Dakar"/>
  </r>
  <r>
    <x v="0"/>
    <x v="11"/>
    <x v="11"/>
    <s v="ABUBAKARY JAWARA"/>
    <s v="2021-12-15 14:05:22.117"/>
    <n v="50"/>
    <n v="50"/>
    <s v="SÉNÉGAL"/>
    <s v="SÉNÉGAL"/>
    <s v="NULL"/>
    <n v="0"/>
    <s v="NULL"/>
    <s v="Greffe"/>
    <s v="Dakar"/>
  </r>
  <r>
    <x v="0"/>
    <x v="12"/>
    <x v="12"/>
    <s v="ADAMA CISSOKHO"/>
    <s v="2021-11-16 15:40:33.487"/>
    <n v="20"/>
    <s v="NULL"/>
    <s v="SÉNÉGAL"/>
    <s v="SÉNÉGAL"/>
    <s v="NULL"/>
    <n v="0"/>
    <s v="NULL"/>
    <s v="Greffe"/>
    <s v="Dakar"/>
  </r>
  <r>
    <x v="0"/>
    <x v="13"/>
    <x v="13"/>
    <s v="ADAMA DIALLO"/>
    <s v="2021-06-30 14:02:24.310"/>
    <n v="15"/>
    <s v="NULL"/>
    <s v="CAMEROUN"/>
    <s v="CAMEROUN"/>
    <s v="NULL"/>
    <n v="0"/>
    <s v="NULL"/>
    <s v="Greffe"/>
    <s v="Dakar"/>
  </r>
  <r>
    <x v="0"/>
    <x v="13"/>
    <x v="13"/>
    <s v="ADAMA DIALLO"/>
    <s v="2022-01-27 15:21:10.527"/>
    <n v="33"/>
    <n v="33"/>
    <s v="SÉNÉGAL"/>
    <s v="SÉNÉGAL"/>
    <s v="NULL"/>
    <n v="0"/>
    <s v="NULL"/>
    <s v="Greffe"/>
    <s v="Dakar"/>
  </r>
  <r>
    <x v="0"/>
    <x v="14"/>
    <x v="14"/>
    <s v="ADAMA DIONGUE"/>
    <s v="2021-12-08 15:39:53.490"/>
    <n v="30"/>
    <n v="30"/>
    <s v="SÉNÉGAL"/>
    <s v="SÉNÉGAL"/>
    <s v="NULL"/>
    <n v="0"/>
    <s v="NULL"/>
    <s v="Greffe"/>
    <s v="Dakar"/>
  </r>
  <r>
    <x v="0"/>
    <x v="14"/>
    <x v="14"/>
    <s v="ADAMA DIOUF"/>
    <s v="2021-12-08 15:39:53.490"/>
    <n v="40"/>
    <n v="40"/>
    <s v="SÉNÉGAL"/>
    <s v="SÉNÉGAL"/>
    <s v="NULL"/>
    <n v="0"/>
    <s v="NULL"/>
    <s v="Greffe"/>
    <s v="Dakar"/>
  </r>
  <r>
    <x v="0"/>
    <x v="15"/>
    <x v="15"/>
    <s v="ADNANE BA"/>
    <s v="2021-12-29 09:03:57.973"/>
    <n v="15"/>
    <n v="15"/>
    <s v="SÉNÉGAL"/>
    <s v="SÉNÉGAL"/>
    <s v="NULL"/>
    <n v="0"/>
    <s v="NULL"/>
    <s v="Greffe"/>
    <s v="Dakar"/>
  </r>
  <r>
    <x v="0"/>
    <x v="16"/>
    <x v="16"/>
    <s v="AHMADDOU NDIAYE"/>
    <s v="2021-12-08 15:39:53.490"/>
    <n v="30"/>
    <n v="30"/>
    <s v="SÉNÉGAL"/>
    <s v="SÉNÉGAL"/>
    <s v="NULL"/>
    <n v="0"/>
    <s v="NULL"/>
    <s v="Greffe"/>
    <s v="Dakar"/>
  </r>
  <r>
    <x v="0"/>
    <x v="17"/>
    <x v="17"/>
    <s v="AHMADOU KHADIM MBENGUE"/>
    <s v="2021-11-15 10:04:17.657"/>
    <n v="48"/>
    <n v="48"/>
    <s v="SÉNÉGAL"/>
    <s v="SÉNÉGAL"/>
    <s v="NULL"/>
    <n v="0"/>
    <s v="NULL"/>
    <s v="Greffe"/>
    <s v="Dakar"/>
  </r>
  <r>
    <x v="0"/>
    <x v="17"/>
    <x v="17"/>
    <s v="AHMED AREZKI"/>
    <s v="2021-11-15 10:04:17.657"/>
    <n v="52"/>
    <n v="52"/>
    <s v="SÉNÉGAL"/>
    <s v="SÉNÉGAL"/>
    <s v="NULL"/>
    <n v="0"/>
    <s v="NULL"/>
    <s v="Greffe"/>
    <s v="Dakar"/>
  </r>
  <r>
    <x v="0"/>
    <x v="17"/>
    <x v="17"/>
    <s v="AHMETH MEDOUNE FALL"/>
    <s v="2021-12-31 13:49:05.257"/>
    <n v="100"/>
    <n v="100"/>
    <s v="SÉNÉGAL"/>
    <s v="SÉNÉGAL"/>
    <s v="NULL"/>
    <n v="0"/>
    <s v="NULL"/>
    <s v="Greffe"/>
    <s v="Dakar"/>
  </r>
  <r>
    <x v="0"/>
    <x v="18"/>
    <x v="18"/>
    <s v="AIDA DIOP"/>
    <s v="2021-06-30 14:02:24.310"/>
    <n v="30"/>
    <s v="NULL"/>
    <s v="SÉNÉGAL"/>
    <s v="SÉNÉGAL"/>
    <s v="NULL"/>
    <n v="0"/>
    <s v="NULL"/>
    <s v="Greffe"/>
    <s v="Dakar"/>
  </r>
  <r>
    <x v="0"/>
    <x v="19"/>
    <x v="19"/>
    <s v="AIDARA ABDOUL WAHAB"/>
    <s v="2021-06-30 14:02:24.310"/>
    <n v="30"/>
    <s v="NULL"/>
    <s v="SÉNÉGAL"/>
    <s v="SÉNÉGAL"/>
    <s v="NULL"/>
    <n v="0"/>
    <s v="NULL"/>
    <s v="Greffe"/>
    <s v="Dakar"/>
  </r>
  <r>
    <x v="0"/>
    <x v="20"/>
    <x v="20"/>
    <s v="ALAEDDIN MOHAMAD"/>
    <s v="2021-10-12 16:00:22.117"/>
    <s v="NULL"/>
    <s v="NULL"/>
    <s v="PÉROU"/>
    <s v="PÉROU"/>
    <s v="NULL"/>
    <n v="0"/>
    <s v="NULL"/>
    <s v="Greffe"/>
    <s v="Dakar"/>
  </r>
  <r>
    <x v="0"/>
    <x v="20"/>
    <x v="20"/>
    <s v="ALAIN CHISTOPHE CHARLES GERBER"/>
    <s v="2021-10-20 15:37:02.807"/>
    <s v="NULL"/>
    <s v="NULL"/>
    <s v="SÉNÉGAL"/>
    <s v="SÉNÉGAL"/>
    <s v="NULL"/>
    <n v="0"/>
    <s v="NULL"/>
    <s v="Greffe"/>
    <s v="Dakar"/>
  </r>
  <r>
    <x v="0"/>
    <x v="21"/>
    <x v="21"/>
    <s v="ALASANE BA"/>
    <s v="2021-11-16 15:40:33.487"/>
    <n v="20"/>
    <s v="NULL"/>
    <s v="SÉNÉGAL"/>
    <s v="SÉNÉGAL"/>
    <s v="NULL"/>
    <n v="0"/>
    <s v="NULL"/>
    <s v="Greffe"/>
    <s v="Dakar"/>
  </r>
  <r>
    <x v="0"/>
    <x v="22"/>
    <x v="22"/>
    <s v="ALEXANDRE BRINGER"/>
    <s v="2021-11-16 15:40:33.487"/>
    <n v="20"/>
    <s v="NULL"/>
    <s v="SÉNÉGAL"/>
    <s v="SÉNÉGAL"/>
    <s v="NULL"/>
    <n v="0"/>
    <s v="NULL"/>
    <s v="Greffe"/>
    <s v="Dakar"/>
  </r>
  <r>
    <x v="0"/>
    <x v="23"/>
    <x v="23"/>
    <s v="ALFRED SYMPA"/>
    <s v="2021-11-17 15:38:42.123"/>
    <n v="100"/>
    <s v="NULL"/>
    <s v="ALBANIE"/>
    <s v="ALBANIE"/>
    <s v="NULL"/>
    <n v="0"/>
    <s v="NULL"/>
    <s v="Greffe"/>
    <s v="Dakar"/>
  </r>
  <r>
    <x v="0"/>
    <x v="24"/>
    <x v="24"/>
    <s v="ALIKO DANGOTE"/>
    <s v="2021-12-24 11:36:59.230"/>
    <n v="25"/>
    <s v="NULL"/>
    <s v="SÉNÉGAL"/>
    <s v="SÉNÉGAL"/>
    <s v="NULL"/>
    <n v="0"/>
    <s v="NULL"/>
    <s v="Greffe"/>
    <s v="Dakar"/>
  </r>
  <r>
    <x v="0"/>
    <x v="25"/>
    <x v="25"/>
    <s v="ALIOU CAMARA"/>
    <s v="2021-12-24 11:36:59.230"/>
    <n v="25"/>
    <s v="NULL"/>
    <s v="SÉNÉGAL"/>
    <s v="SÉNÉGAL"/>
    <s v="NULL"/>
    <n v="0"/>
    <s v="NULL"/>
    <s v="Greffe"/>
    <s v="Dakar"/>
  </r>
  <r>
    <x v="0"/>
    <x v="25"/>
    <x v="25"/>
    <s v="ALIOU CISSE"/>
    <s v="2021-12-21 15:13:29.357"/>
    <n v="30"/>
    <s v="NULL"/>
    <s v="SÉNÉGAL"/>
    <s v="SÉNÉGAL"/>
    <s v="NULL"/>
    <n v="0"/>
    <s v="NULL"/>
    <s v="Greffe"/>
    <s v="Dakar"/>
  </r>
  <r>
    <x v="0"/>
    <x v="26"/>
    <x v="26"/>
    <s v="ALIOU DIOUF"/>
    <s v="2021-12-21 15:13:29.357"/>
    <n v="70"/>
    <s v="NULL"/>
    <s v="SÉNÉGAL"/>
    <s v="SÉNÉGAL"/>
    <s v="NULL"/>
    <n v="0"/>
    <s v="NULL"/>
    <s v="Greffe"/>
    <s v="Dakar"/>
  </r>
  <r>
    <x v="0"/>
    <x v="26"/>
    <x v="26"/>
    <s v="ALIOU NDIAYE"/>
    <s v="2021-12-13 15:49:50.663"/>
    <n v="50"/>
    <n v="50"/>
    <s v="SÉNÉGAL"/>
    <s v="SÉNÉGAL"/>
    <s v="SENEGAL"/>
    <n v="0"/>
    <s v="CHEIKHOUNA THIOUNE"/>
    <s v="Greffe"/>
    <s v="Dakar"/>
  </r>
  <r>
    <x v="0"/>
    <x v="26"/>
    <x v="26"/>
    <s v="ALIOU SOUARE"/>
    <s v="2021-12-13 15:49:50.663"/>
    <n v="50"/>
    <n v="50"/>
    <s v="SÉNÉGAL"/>
    <s v="SÉNÉGAL"/>
    <s v="SÉNÉGAL"/>
    <n v="0"/>
    <s v="CHEIKHOUNA THIOUNE"/>
    <s v="Greffe"/>
    <s v="Dakar"/>
  </r>
  <r>
    <x v="0"/>
    <x v="27"/>
    <x v="27"/>
    <s v="ALIOUNE CISSE"/>
    <s v="2021-12-24 11:36:59.230"/>
    <n v="25"/>
    <s v="NULL"/>
    <s v="SÉNÉGAL"/>
    <s v="SÉNÉGAL"/>
    <s v="NULL"/>
    <n v="0"/>
    <s v="NULL"/>
    <s v="Greffe"/>
    <s v="Dakar"/>
  </r>
  <r>
    <x v="0"/>
    <x v="28"/>
    <x v="28"/>
    <s v="ALIOUNE CISSE"/>
    <s v="2021-12-24 11:36:59.230"/>
    <n v="25"/>
    <s v="NULL"/>
    <s v="SÉNÉGAL"/>
    <s v="SÉNÉGAL"/>
    <s v="NULL"/>
    <n v="0"/>
    <s v="NULL"/>
    <s v="Greffe"/>
    <s v="Dakar"/>
  </r>
  <r>
    <x v="0"/>
    <x v="28"/>
    <x v="28"/>
    <s v="ALIOUNE CISSE"/>
    <s v="2021-07-02 09:29:40.887"/>
    <s v="NULL"/>
    <s v="NULL"/>
    <s v="CANADA"/>
    <s v="CANADA"/>
    <s v="NULL"/>
    <n v="0"/>
    <s v="NULL"/>
    <s v="Greffe"/>
    <s v="Dakar"/>
  </r>
  <r>
    <x v="0"/>
    <x v="29"/>
    <x v="29"/>
    <s v="ALIOUNE DIALLO"/>
    <s v="2021-11-19 15:35:36.977"/>
    <n v="100"/>
    <n v="100"/>
    <s v="SÉNÉGAL"/>
    <s v="SÉNÉGAL"/>
    <s v="NULL"/>
    <n v="0"/>
    <s v="NULL"/>
    <s v="Greffe"/>
    <s v="Dakar"/>
  </r>
  <r>
    <x v="0"/>
    <x v="30"/>
    <x v="30"/>
    <s v="ALIOUNE TELEMAQUE SOW"/>
    <s v="2022-02-21 15:55:15.067"/>
    <n v="100"/>
    <s v="NULL"/>
    <s v="SÉNÉGAL"/>
    <s v="SÉNÉGAL"/>
    <s v="NULL"/>
    <n v="0"/>
    <s v="NULL"/>
    <s v="Greffe"/>
    <s v="Dakar"/>
  </r>
  <r>
    <x v="0"/>
    <x v="30"/>
    <x v="30"/>
    <s v="ALIOUNEDIOP FAYE"/>
    <s v="2022-05-18 14:06:56.020"/>
    <s v="NULL"/>
    <n v="2"/>
    <s v="SÉNÉGAL"/>
    <s v="SÉNÉGAL"/>
    <s v="NULL"/>
    <n v="0"/>
    <s v="NULL"/>
    <s v="Greffe"/>
    <s v="Dakar"/>
  </r>
  <r>
    <x v="0"/>
    <x v="31"/>
    <x v="31"/>
    <s v="ALLE THIAM"/>
    <s v="2022-11-11 14:48:03.010"/>
    <n v="100"/>
    <n v="100"/>
    <s v="SÉNÉGAL"/>
    <s v="SÉNÉGAL"/>
    <s v="NULL"/>
    <n v="0"/>
    <s v="NULL"/>
    <s v="Greffe"/>
    <s v="Dakar"/>
  </r>
  <r>
    <x v="0"/>
    <x v="32"/>
    <x v="32"/>
    <s v="ALPHA MOUSSA KANE"/>
    <s v="2022-12-02 09:59:34.317"/>
    <n v="40"/>
    <n v="40"/>
    <s v="SÉNÉGAL"/>
    <s v="SÉNÉGAL"/>
    <s v="NULL"/>
    <n v="0"/>
    <s v="NULL"/>
    <s v="Greffe"/>
    <s v="Dakar"/>
  </r>
  <r>
    <x v="0"/>
    <x v="33"/>
    <x v="33"/>
    <s v="AMADOU AIDARA"/>
    <s v="2022-05-18 14:06:56.020"/>
    <s v="NULL"/>
    <n v="2"/>
    <s v="SÉNÉGAL"/>
    <s v="SÉNÉGAL"/>
    <s v="NULL"/>
    <n v="0"/>
    <s v="NULL"/>
    <s v="Greffe"/>
    <s v="Dakar"/>
  </r>
  <r>
    <x v="0"/>
    <x v="33"/>
    <x v="33"/>
    <s v="AMADOU APITHY"/>
    <s v="2022-07-28 13:22:53.183"/>
    <n v="100"/>
    <s v="NULL"/>
    <s v="SÉNÉGAL"/>
    <s v="SÉNÉGAL"/>
    <s v="NULL"/>
    <n v="0"/>
    <s v="NULL"/>
    <s v="Greffe"/>
    <s v="Dakar"/>
  </r>
  <r>
    <x v="0"/>
    <x v="34"/>
    <x v="34"/>
    <s v="AMADOU BA"/>
    <s v="2022-12-02 09:59:34.317"/>
    <n v="40"/>
    <n v="40"/>
    <s v="SÉNÉGAL"/>
    <s v="SÉNÉGAL"/>
    <s v="NULL"/>
    <n v="0"/>
    <s v="NULL"/>
    <s v="Greffe"/>
    <s v="Dakar"/>
  </r>
  <r>
    <x v="0"/>
    <x v="34"/>
    <x v="34"/>
    <s v="AMADOU DIALLO"/>
    <s v="2022-12-02 09:59:34.317"/>
    <n v="30"/>
    <n v="30"/>
    <s v="SÉNÉGAL"/>
    <s v="SÉNÉGAL"/>
    <s v="NULL"/>
    <n v="0"/>
    <s v="NULL"/>
    <s v="Greffe"/>
    <s v="Dakar"/>
  </r>
  <r>
    <x v="0"/>
    <x v="34"/>
    <x v="34"/>
    <s v="AMADOU DIANE"/>
    <s v="2022-09-30 08:41:23.457"/>
    <n v="24"/>
    <s v="NULL"/>
    <s v="SÉNÉGAL"/>
    <s v="SÉNÉGAL"/>
    <s v="NULL"/>
    <n v="0"/>
    <s v="NULL"/>
    <s v="Greffe"/>
    <s v="Dakar"/>
  </r>
  <r>
    <x v="0"/>
    <x v="34"/>
    <x v="34"/>
    <s v="AMADOU DIANGO"/>
    <s v="2022-09-30 08:41:23.457"/>
    <n v="5"/>
    <s v="NULL"/>
    <s v="SÉNÉGAL"/>
    <s v="SÉNÉGAL"/>
    <s v="NULL"/>
    <n v="0"/>
    <s v="NULL"/>
    <s v="Greffe"/>
    <s v="Dakar"/>
  </r>
  <r>
    <x v="0"/>
    <x v="35"/>
    <x v="35"/>
    <s v="AMADOU DIOP"/>
    <s v="2022-09-30 08:41:23.457"/>
    <n v="11"/>
    <s v="NULL"/>
    <s v="SÉNÉGAL"/>
    <s v="SÉNÉGAL"/>
    <s v="NULL"/>
    <n v="0"/>
    <s v="NULL"/>
    <s v="Greffe"/>
    <s v="Dakar"/>
  </r>
  <r>
    <x v="0"/>
    <x v="36"/>
    <x v="36"/>
    <s v="AMADOU DIOP GUEYE"/>
    <s v="2022-09-30 08:41:23.457"/>
    <n v="23"/>
    <s v="NULL"/>
    <s v="SÉNÉGAL"/>
    <s v="SÉNÉGAL"/>
    <s v="NULL"/>
    <n v="0"/>
    <s v="NULL"/>
    <s v="Greffe"/>
    <s v="Dakar"/>
  </r>
  <r>
    <x v="0"/>
    <x v="36"/>
    <x v="36"/>
    <s v="AMADOU DIOP GUEYE"/>
    <s v="2022-09-30 08:41:23.457"/>
    <n v="11"/>
    <s v="NULL"/>
    <s v="SÉNÉGAL"/>
    <s v="SÉNÉGAL"/>
    <s v="NULL"/>
    <n v="0"/>
    <s v="NULL"/>
    <s v="Greffe"/>
    <s v="Dakar"/>
  </r>
  <r>
    <x v="0"/>
    <x v="37"/>
    <x v="37"/>
    <s v="AMADOU DIOP GUEYE"/>
    <s v="2022-09-30 08:41:23.457"/>
    <n v="11"/>
    <s v="NULL"/>
    <s v="SÉNÉGAL"/>
    <s v="SÉNÉGAL"/>
    <s v="NULL"/>
    <n v="0"/>
    <s v="NULL"/>
    <s v="Greffe"/>
    <s v="Dakar"/>
  </r>
  <r>
    <x v="0"/>
    <x v="38"/>
    <x v="38"/>
    <s v="AMADOU DIOP GUEYE"/>
    <s v="2022-09-30 16:34:27.577"/>
    <s v="NULL"/>
    <s v="NULL"/>
    <s v="CANADA"/>
    <s v="CANADA"/>
    <s v="NULL"/>
    <n v="0"/>
    <s v="NULL"/>
    <s v="Greffe"/>
    <s v="Dakar"/>
  </r>
  <r>
    <x v="0"/>
    <x v="38"/>
    <x v="38"/>
    <s v="AMADOU DIOP GUEYE"/>
    <s v="2022-11-17 15:32:59.050"/>
    <n v="100"/>
    <n v="100"/>
    <s v="SÉNÉGAL"/>
    <s v="SÉNÉGAL"/>
    <s v="NULL"/>
    <n v="0"/>
    <s v="NULL"/>
    <s v="Greffe"/>
    <s v="Dakar"/>
  </r>
  <r>
    <x v="0"/>
    <x v="39"/>
    <x v="39"/>
    <s v="AMADOU GAYE"/>
    <s v="2022-01-12 13:28:08.260"/>
    <n v="30"/>
    <n v="30"/>
    <s v="SÉNÉGAL"/>
    <s v="SÉNÉGAL"/>
    <s v="NULL"/>
    <n v="0"/>
    <s v="NULL"/>
    <s v="Greffe"/>
    <s v="Dakar"/>
  </r>
  <r>
    <x v="0"/>
    <x v="40"/>
    <x v="40"/>
    <s v="AMADOU MALICK SONKO"/>
    <s v="2022-01-12 13:28:08.260"/>
    <n v="30"/>
    <n v="30"/>
    <s v="SÉNÉGAL"/>
    <s v="SÉNÉGAL"/>
    <s v="NULL"/>
    <n v="0"/>
    <s v="NULL"/>
    <s v="Greffe"/>
    <s v="Dakar"/>
  </r>
  <r>
    <x v="0"/>
    <x v="41"/>
    <x v="41"/>
    <s v="AMADOU RACINE SOW"/>
    <s v="2022-05-24 13:56:54.337"/>
    <n v="100"/>
    <n v="100"/>
    <s v="SÉNÉGAL"/>
    <s v="SÉNÉGAL"/>
    <s v="NULL"/>
    <n v="0"/>
    <s v="NULL"/>
    <s v="Greffe"/>
    <s v="Dakar"/>
  </r>
  <r>
    <x v="0"/>
    <x v="42"/>
    <x v="42"/>
    <s v="AMADOU THIAM"/>
    <s v="2022-10-05 13:25:42.720"/>
    <s v="NULL"/>
    <s v="NULL"/>
    <s v="ALLEMAGNE"/>
    <s v="ALLEMAGNE"/>
    <s v="NULL"/>
    <n v="0"/>
    <s v="NULL"/>
    <s v="Greffe"/>
    <s v="Dakar"/>
  </r>
  <r>
    <x v="0"/>
    <x v="43"/>
    <x v="43"/>
    <s v="AMADOU THIAM"/>
    <s v="2022-08-08 09:56:35.827"/>
    <n v="100"/>
    <n v="100"/>
    <s v="SÉNÉGAL"/>
    <s v="SÉNÉGAL"/>
    <s v="NULL"/>
    <n v="0"/>
    <s v="NULL"/>
    <s v="Greffe"/>
    <s v="Dakar"/>
  </r>
  <r>
    <x v="0"/>
    <x v="44"/>
    <x v="44"/>
    <s v="AMADOU YERO DIALLO"/>
    <s v="2022-01-19 14:56:56.897"/>
    <n v="100"/>
    <n v="100"/>
    <s v="SÉNÉGAL"/>
    <s v="SÉNÉGAL"/>
    <s v="NULL"/>
    <n v="0"/>
    <s v="NULL"/>
    <s v="Greffe"/>
    <s v="Dakar"/>
  </r>
  <r>
    <x v="0"/>
    <x v="44"/>
    <x v="44"/>
    <s v="AMATH NDIAYE"/>
    <s v="2022-09-08 15:17:23.333"/>
    <s v="NULL"/>
    <s v="NULL"/>
    <s v="CANADA"/>
    <s v="CANADA"/>
    <s v="NULL"/>
    <n v="0"/>
    <s v="NULL"/>
    <s v="Greffe"/>
    <s v="Dakar"/>
  </r>
  <r>
    <x v="0"/>
    <x v="45"/>
    <x v="45"/>
    <s v="AMETH DIAMANKA"/>
    <s v="2022-07-08 14:32:33.017"/>
    <n v="100"/>
    <n v="100"/>
    <s v="SÉNÉGAL"/>
    <s v="SÉNÉGAL"/>
    <s v="NULL"/>
    <n v="0"/>
    <s v="NULL"/>
    <s v="Greffe"/>
    <s v="Dakar"/>
  </r>
  <r>
    <x v="0"/>
    <x v="45"/>
    <x v="45"/>
    <s v="AMINATA BAIDY SOW"/>
    <s v="2022-03-15 14:29:25.337"/>
    <n v="100"/>
    <n v="100"/>
    <s v="SÉNÉGAL"/>
    <s v="SÉNÉGAL"/>
    <s v="NULL"/>
    <n v="0"/>
    <s v="NULL"/>
    <s v="Greffe"/>
    <s v="Dakar"/>
  </r>
  <r>
    <x v="0"/>
    <x v="45"/>
    <x v="45"/>
    <s v="AMINATA BASSE"/>
    <s v="2022-04-21 11:04:03.023"/>
    <n v="80"/>
    <n v="80"/>
    <s v="SÉNÉGAL"/>
    <s v="SÉNÉGAL"/>
    <s v="NULL"/>
    <n v="0"/>
    <s v="NULL"/>
    <s v="Greffe"/>
    <s v="Dakar"/>
  </r>
  <r>
    <x v="0"/>
    <x v="45"/>
    <x v="45"/>
    <s v="AMINATA CISSE"/>
    <s v="2022-04-21 11:04:03.023"/>
    <n v="20"/>
    <n v="20"/>
    <s v="SÉNÉGAL"/>
    <s v="SÉNÉGAL"/>
    <s v="NULL"/>
    <n v="0"/>
    <s v="NULL"/>
    <s v="Greffe"/>
    <s v="Dakar"/>
  </r>
  <r>
    <x v="0"/>
    <x v="46"/>
    <x v="46"/>
    <s v="AMINATA DIA"/>
    <s v="2022-09-06 16:31:41.953"/>
    <n v="5"/>
    <n v="5"/>
    <s v="SÉNÉGAL"/>
    <s v="SÉNÉGAL"/>
    <s v="NULL"/>
    <n v="0"/>
    <s v="NULL"/>
    <s v="Greffe"/>
    <s v="Dakar"/>
  </r>
  <r>
    <x v="0"/>
    <x v="47"/>
    <x v="47"/>
    <s v="AMINATA DIOP"/>
    <s v="2022-09-06 16:31:41.953"/>
    <n v="65"/>
    <n v="65"/>
    <s v="SÉNÉGAL"/>
    <s v="SÉNÉGAL"/>
    <s v="NULL"/>
    <n v="0"/>
    <s v="NULL"/>
    <s v="Greffe"/>
    <s v="Dakar"/>
  </r>
  <r>
    <x v="0"/>
    <x v="48"/>
    <x v="48"/>
    <s v="AMINATA KEBE"/>
    <s v="2022-09-06 16:31:41.953"/>
    <n v="30"/>
    <n v="30"/>
    <s v="SÉNÉGAL"/>
    <s v="SÉNÉGAL"/>
    <s v="NULL"/>
    <n v="0"/>
    <s v="NULL"/>
    <s v="Greffe"/>
    <s v="Dakar"/>
  </r>
  <r>
    <x v="0"/>
    <x v="49"/>
    <x v="49"/>
    <s v="AMINATA SALL"/>
    <s v="2022-04-05 15:18:17.890"/>
    <n v="20"/>
    <n v="20"/>
    <s v="SÉNÉGAL"/>
    <s v="SÉNÉGAL"/>
    <s v="NULL"/>
    <n v="0"/>
    <s v="NULL"/>
    <s v="Greffe"/>
    <s v="Dakar"/>
  </r>
  <r>
    <x v="0"/>
    <x v="50"/>
    <x v="50"/>
    <s v="AMRANE HAMADY GANGUE"/>
    <s v="2022-04-05 15:18:17.890"/>
    <n v="40"/>
    <n v="40"/>
    <s v="MAURITANIE"/>
    <s v="MAURITANIE"/>
    <s v="NULL"/>
    <n v="0"/>
    <s v="NULL"/>
    <s v="Greffe"/>
    <s v="Dakar"/>
  </r>
  <r>
    <x v="0"/>
    <x v="51"/>
    <x v="51"/>
    <s v="ANDRE SADIAKHOU"/>
    <s v="2022-04-05 15:18:17.890"/>
    <n v="40"/>
    <n v="40"/>
    <s v="SÉNÉGAL"/>
    <s v="SÉNÉGAL"/>
    <s v="NULL"/>
    <n v="0"/>
    <s v="NULL"/>
    <s v="Greffe"/>
    <s v="Dakar"/>
  </r>
  <r>
    <x v="0"/>
    <x v="52"/>
    <x v="52"/>
    <s v="ANDREAS PHILIP DEMETRIOU"/>
    <s v="2022-05-06 08:09:21.790"/>
    <n v="25"/>
    <n v="25"/>
    <s v="SÉNÉGAL"/>
    <s v="SÉNÉGAL"/>
    <s v="NULL"/>
    <n v="0"/>
    <s v="NULL"/>
    <s v="Greffe"/>
    <s v="Dakar"/>
  </r>
  <r>
    <x v="0"/>
    <x v="53"/>
    <x v="53"/>
    <s v="ANNE ELISE MADELEINE APPRILL"/>
    <s v="2022-05-06 08:09:21.790"/>
    <n v="30"/>
    <n v="30"/>
    <s v="SÉNÉGAL"/>
    <s v="SÉNÉGAL"/>
    <s v="NULL"/>
    <n v="0"/>
    <s v="NULL"/>
    <s v="Greffe"/>
    <s v="Dakar"/>
  </r>
  <r>
    <x v="0"/>
    <x v="53"/>
    <x v="53"/>
    <s v="ANSOUMANE CISSOKHO"/>
    <s v="2022-05-06 08:09:21.790"/>
    <n v="15"/>
    <n v="15"/>
    <s v="SÉNÉGAL"/>
    <s v="SÉNÉGAL"/>
    <s v="NULL"/>
    <n v="0"/>
    <s v="NULL"/>
    <s v="Greffe"/>
    <s v="Dakar"/>
  </r>
  <r>
    <x v="0"/>
    <x v="53"/>
    <x v="53"/>
    <s v="ARDO SADIO SOW"/>
    <s v="2022-05-06 08:09:21.790"/>
    <n v="30"/>
    <n v="30"/>
    <s v="SÉNÉGAL"/>
    <s v="SÉNÉGAL"/>
    <s v="NULL"/>
    <n v="0"/>
    <s v="NULL"/>
    <s v="Greffe"/>
    <s v="Dakar"/>
  </r>
  <r>
    <x v="0"/>
    <x v="54"/>
    <x v="54"/>
    <s v="ARFANG BOUBACAR DAFFE"/>
    <s v="2022-09-12 15:53:28.840"/>
    <n v="100"/>
    <s v="NULL"/>
    <s v="SÉNÉGAL"/>
    <s v="SÉNÉGAL"/>
    <s v="NULL"/>
    <n v="0"/>
    <s v="NULL"/>
    <s v="Greffe"/>
    <s v="Dakar"/>
  </r>
  <r>
    <x v="0"/>
    <x v="54"/>
    <x v="54"/>
    <s v="ASSANE FALL"/>
    <s v="2022-01-17 13:28:31.023"/>
    <n v="100"/>
    <n v="100"/>
    <s v="SÉNÉGAL"/>
    <s v="SÉNÉGAL"/>
    <s v="NULL"/>
    <n v="0"/>
    <s v="NULL"/>
    <s v="Greffe"/>
    <s v="Dakar"/>
  </r>
  <r>
    <x v="0"/>
    <x v="55"/>
    <x v="55"/>
    <s v="ASTOU MBODJ"/>
    <s v="2022-04-28 08:45:45.023"/>
    <n v="5"/>
    <n v="5"/>
    <s v="SÉNÉGAL"/>
    <s v="SÉNÉGAL"/>
    <s v="NULL"/>
    <n v="0"/>
    <s v="NULL"/>
    <s v="Greffe"/>
    <s v="Dakar"/>
  </r>
  <r>
    <x v="0"/>
    <x v="55"/>
    <x v="55"/>
    <s v="AUGUSTIN MANE"/>
    <s v="2022-04-28 08:45:45.023"/>
    <n v="10"/>
    <n v="10"/>
    <s v="SÉNÉGAL"/>
    <s v="SÉNÉGAL"/>
    <s v="NULL"/>
    <n v="0"/>
    <s v="NULL"/>
    <s v="Greffe"/>
    <s v="Dakar"/>
  </r>
  <r>
    <x v="0"/>
    <x v="56"/>
    <x v="56"/>
    <s v="AUGUSTIN MANE"/>
    <s v="2022-04-28 08:45:45.023"/>
    <n v="8"/>
    <n v="8"/>
    <s v="SÉNÉGAL"/>
    <s v="SÉNÉGAL"/>
    <s v="NULL"/>
    <n v="0"/>
    <s v="NULL"/>
    <s v="Greffe"/>
    <s v="Dakar"/>
  </r>
  <r>
    <x v="0"/>
    <x v="57"/>
    <x v="57"/>
    <s v="AUGUSTIN MANE"/>
    <s v="2022-04-28 08:45:45.023"/>
    <n v="77"/>
    <n v="77"/>
    <s v="SÉNÉGAL"/>
    <s v="SÉNÉGAL"/>
    <s v="NULL"/>
    <n v="0"/>
    <s v="NULL"/>
    <s v="Greffe"/>
    <s v="Dakar"/>
  </r>
  <r>
    <x v="0"/>
    <x v="58"/>
    <x v="58"/>
    <s v="AUGUSTIN MANE"/>
    <s v="2022-09-12 08:33:25.280"/>
    <n v="100"/>
    <n v="100"/>
    <s v="SÉNÉGAL"/>
    <s v="SÉNÉGAL"/>
    <s v="NULL"/>
    <n v="0"/>
    <s v="NULL"/>
    <s v="Greffe"/>
    <s v="Dakar"/>
  </r>
  <r>
    <x v="0"/>
    <x v="59"/>
    <x v="59"/>
    <s v="AWA AMINATA BA"/>
    <s v="2022-06-20 15:54:20.793"/>
    <n v="50"/>
    <n v="50"/>
    <s v="SÉNÉGAL"/>
    <s v="SÉNÉGAL"/>
    <s v="NULL"/>
    <n v="0"/>
    <s v="NULL"/>
    <s v="Greffe"/>
    <s v="Dakar"/>
  </r>
  <r>
    <x v="0"/>
    <x v="59"/>
    <x v="59"/>
    <s v="AWA DIOP"/>
    <s v="2022-06-20 15:54:20.793"/>
    <n v="50"/>
    <n v="50"/>
    <s v="SÉNÉGAL"/>
    <s v="SÉNÉGAL"/>
    <s v="NULL"/>
    <n v="0"/>
    <s v="NULL"/>
    <s v="Greffe"/>
    <s v="Dakar"/>
  </r>
  <r>
    <x v="0"/>
    <x v="59"/>
    <x v="59"/>
    <s v="BABACAR CISSE"/>
    <s v="2022-04-05 14:46:43.493"/>
    <n v="48"/>
    <n v="48"/>
    <s v="GAMBIE"/>
    <s v="GAMBIE"/>
    <s v="NULL"/>
    <n v="0"/>
    <s v="NULL"/>
    <s v="Greffe"/>
    <s v="Dakar"/>
  </r>
  <r>
    <x v="0"/>
    <x v="60"/>
    <x v="60"/>
    <s v="BABACAR MASSAR MBENGUE"/>
    <s v="2022-06-21 11:07:29.003"/>
    <n v="100"/>
    <n v="100"/>
    <s v="SÉNÉGAL"/>
    <s v="SÉNÉGAL"/>
    <s v="NULL"/>
    <n v="0"/>
    <s v="NULL"/>
    <s v="Greffe"/>
    <s v="Dakar"/>
  </r>
  <r>
    <x v="0"/>
    <x v="60"/>
    <x v="60"/>
    <s v="BABACAR MASSAR MBENGUE"/>
    <s v="2022-04-05 14:46:43.493"/>
    <n v="5"/>
    <n v="5"/>
    <s v="SÉNÉGAL"/>
    <s v="SÉNÉGAL"/>
    <s v="NULL"/>
    <n v="0"/>
    <s v="NULL"/>
    <s v="Greffe"/>
    <s v="Dakar"/>
  </r>
  <r>
    <x v="0"/>
    <x v="60"/>
    <x v="60"/>
    <s v="BABACAR MASSAR MBENGUE"/>
    <s v="2022-04-05 14:46:43.493"/>
    <n v="23"/>
    <n v="23"/>
    <s v="MAURITANIE"/>
    <s v="MAURITANIE"/>
    <s v="NULL"/>
    <n v="0"/>
    <s v="NULL"/>
    <s v="Greffe"/>
    <s v="Dakar"/>
  </r>
  <r>
    <x v="0"/>
    <x v="60"/>
    <x v="60"/>
    <s v="BABACAR SECK"/>
    <s v="2022-04-05 14:46:43.493"/>
    <n v="24"/>
    <n v="24"/>
    <s v="SÉNÉGAL"/>
    <s v="SÉNÉGAL"/>
    <s v="NULL"/>
    <n v="0"/>
    <s v="NULL"/>
    <s v="Greffe"/>
    <s v="Dakar"/>
  </r>
  <r>
    <x v="0"/>
    <x v="60"/>
    <x v="60"/>
    <s v="BABACAR SEYE"/>
    <s v="2022-02-09 13:32:48.583"/>
    <n v="100"/>
    <n v="100"/>
    <s v="ALLEMAGNE"/>
    <s v="ALLEMAGNE"/>
    <s v="NULL"/>
    <n v="0"/>
    <s v="NULL"/>
    <s v="Greffe"/>
    <s v="Dakar"/>
  </r>
  <r>
    <x v="0"/>
    <x v="60"/>
    <x v="60"/>
    <s v="BABACAR THIAM"/>
    <s v="2022-09-12 08:51:46.180"/>
    <n v="10"/>
    <n v="10"/>
    <s v="SÉNÉGAL"/>
    <s v="SÉNÉGAL"/>
    <s v="NULL"/>
    <n v="0"/>
    <s v="NULL"/>
    <s v="Greffe"/>
    <s v="Dakar"/>
  </r>
  <r>
    <x v="0"/>
    <x v="60"/>
    <x v="60"/>
    <s v="BABOU SENE"/>
    <s v="2022-09-12 08:51:46.180"/>
    <n v="65"/>
    <n v="65"/>
    <s v="SÉNÉGAL"/>
    <s v="SÉNÉGAL"/>
    <s v="NULL"/>
    <n v="0"/>
    <s v="NULL"/>
    <s v="Greffe"/>
    <s v="Dakar"/>
  </r>
  <r>
    <x v="0"/>
    <x v="60"/>
    <x v="60"/>
    <s v="BADJI FATOU KINE"/>
    <s v="2022-09-12 08:51:46.180"/>
    <n v="25"/>
    <n v="25"/>
    <s v="SÉNÉGAL"/>
    <s v="SÉNÉGAL"/>
    <s v="NULL"/>
    <n v="0"/>
    <s v="NULL"/>
    <s v="Greffe"/>
    <s v="Dakar"/>
  </r>
  <r>
    <x v="0"/>
    <x v="60"/>
    <x v="60"/>
    <s v="BAGNAN SIDIBE"/>
    <s v="2022-11-16 15:33:53.333"/>
    <n v="100"/>
    <n v="100"/>
    <s v="SÉNÉGAL"/>
    <s v="SÉNÉGAL"/>
    <s v="NULL"/>
    <n v="0"/>
    <s v="NULL"/>
    <s v="Greffe"/>
    <s v="Dakar"/>
  </r>
  <r>
    <x v="0"/>
    <x v="60"/>
    <x v="60"/>
    <s v="BAKHOUME PAPA ABDOULAYE"/>
    <s v="2022-12-09 13:29:58.887"/>
    <n v="50"/>
    <n v="50"/>
    <s v="SÉNÉGAL"/>
    <s v="SÉNÉGAL"/>
    <s v="NULL"/>
    <n v="0"/>
    <s v="NULL"/>
    <s v="Greffe"/>
    <s v="Dakar"/>
  </r>
  <r>
    <x v="0"/>
    <x v="60"/>
    <x v="60"/>
    <s v="BAMBA SEKHOU DANSOKHO"/>
    <s v="2022-12-09 13:29:58.887"/>
    <n v="50"/>
    <n v="50"/>
    <s v="SÉNÉGAL"/>
    <s v="SÉNÉGAL"/>
    <s v="NULL"/>
    <n v="0"/>
    <s v="NULL"/>
    <s v="Greffe"/>
    <s v="Dakar"/>
  </r>
  <r>
    <x v="0"/>
    <x v="60"/>
    <x v="60"/>
    <s v="BAMBO DIABY"/>
    <s v="2022-05-18 14:57:52.787"/>
    <n v="100"/>
    <n v="100"/>
    <s v="SÉNÉGAL"/>
    <s v="SÉNÉGAL"/>
    <s v="NULL"/>
    <n v="0"/>
    <s v="NULL"/>
    <s v="Greffe"/>
    <s v="Dakar"/>
  </r>
  <r>
    <x v="0"/>
    <x v="60"/>
    <x v="60"/>
    <s v="BANGALY FODE SAKHO"/>
    <s v="2022-10-10 13:49:10.657"/>
    <n v="30"/>
    <n v="30"/>
    <s v="SÉNÉGAL"/>
    <s v="SÉNÉGAL"/>
    <s v="NULL"/>
    <n v="0"/>
    <s v="NULL"/>
    <s v="Greffe"/>
    <s v="Dakar"/>
  </r>
  <r>
    <x v="0"/>
    <x v="60"/>
    <x v="60"/>
    <s v="BANNA TOUNKARA"/>
    <s v="2022-10-10 13:49:10.657"/>
    <n v="10"/>
    <n v="10"/>
    <s v="SÉNÉGAL"/>
    <s v="SÉNÉGAL"/>
    <s v="NULL"/>
    <n v="0"/>
    <s v="NULL"/>
    <s v="Greffe"/>
    <s v="Dakar"/>
  </r>
  <r>
    <x v="0"/>
    <x v="60"/>
    <x v="60"/>
    <s v="BARA DIOUF NDIAYE"/>
    <s v="2022-10-10 13:49:10.657"/>
    <n v="60"/>
    <n v="60"/>
    <s v="JAPON"/>
    <s v="JAPON"/>
    <s v="NULL"/>
    <n v="0"/>
    <s v="NULL"/>
    <s v="Greffe"/>
    <s v="Dakar"/>
  </r>
  <r>
    <x v="0"/>
    <x v="60"/>
    <x v="60"/>
    <s v="BARA SARR"/>
    <s v="2022-01-27 15:21:10.527"/>
    <n v="67"/>
    <n v="67"/>
    <s v="SÉNÉGAL"/>
    <s v="SÉNÉGAL"/>
    <s v="NULL"/>
    <n v="0"/>
    <s v="NULL"/>
    <s v="Greffe"/>
    <s v="Dakar"/>
  </r>
  <r>
    <x v="0"/>
    <x v="60"/>
    <x v="60"/>
    <s v="BAYE FALLOU DIOP"/>
    <s v="2022-01-31 12:17:16.243"/>
    <n v="100"/>
    <n v="100"/>
    <s v="SÉNÉGAL"/>
    <s v="SÉNÉGAL"/>
    <s v="NULL"/>
    <n v="0"/>
    <s v="NULL"/>
    <s v="Greffe"/>
    <s v="Dakar"/>
  </r>
  <r>
    <x v="0"/>
    <x v="60"/>
    <x v="60"/>
    <s v="BAYO CHARLOTTE"/>
    <s v="2022-10-12 16:50:56.950"/>
    <n v="100"/>
    <s v="NULL"/>
    <s v="SÉNÉGAL"/>
    <s v="SÉNÉGAL"/>
    <s v="NULL"/>
    <n v="0"/>
    <s v="NULL"/>
    <s v="Greffe"/>
    <s v="Dakar"/>
  </r>
  <r>
    <x v="0"/>
    <x v="60"/>
    <x v="60"/>
    <s v="BEAUCLAIR RAYMOND ZEMFACK"/>
    <s v="2022-12-27 15:10:30.383"/>
    <n v="55"/>
    <n v="55"/>
    <s v="SÉNÉGAL"/>
    <s v="SÉNÉGAL"/>
    <s v="NULL"/>
    <n v="0"/>
    <s v="NULL"/>
    <s v="Greffe"/>
    <s v="Dakar"/>
  </r>
  <r>
    <x v="0"/>
    <x v="60"/>
    <x v="60"/>
    <s v="BERNARD RAYMOND ORTEGAT"/>
    <s v="2022-12-27 15:10:30.383"/>
    <n v="45"/>
    <n v="45"/>
    <s v="SÉNÉGAL"/>
    <s v="SÉNÉGAL"/>
    <s v="NULL"/>
    <n v="0"/>
    <s v="NULL"/>
    <s v="Greffe"/>
    <s v="Dakar"/>
  </r>
  <r>
    <x v="0"/>
    <x v="60"/>
    <x v="60"/>
    <s v="BINTOU MADY DRAME"/>
    <s v="2022-08-29 16:22:46.800"/>
    <s v="NULL"/>
    <s v="NULL"/>
    <s v="SÉNÉGAL"/>
    <s v="SÉNÉGAL"/>
    <s v="NULL"/>
    <n v="1"/>
    <s v="NULL"/>
    <s v="Greffe"/>
    <s v="Dakar"/>
  </r>
  <r>
    <x v="0"/>
    <x v="60"/>
    <x v="60"/>
    <s v="BINTOU SONKO"/>
    <s v="2022-09-07 16:08:33.433"/>
    <n v="33"/>
    <n v="33"/>
    <s v="SÉNÉGAL"/>
    <s v="SÉNÉGAL"/>
    <s v="NULL"/>
    <n v="0"/>
    <s v="NULL"/>
    <s v="Greffe"/>
    <s v="Dakar"/>
  </r>
  <r>
    <x v="0"/>
    <x v="60"/>
    <x v="60"/>
    <s v="BINTOU SOUARE"/>
    <s v="2022-09-07 16:08:33.433"/>
    <n v="33"/>
    <s v="NULL"/>
    <s v="TURQUIE"/>
    <s v="TURQUIE"/>
    <s v="NULL"/>
    <n v="0"/>
    <s v="NULL"/>
    <s v="Greffe"/>
    <s v="Dakar"/>
  </r>
  <r>
    <x v="0"/>
    <x v="60"/>
    <x v="60"/>
    <s v="BIRAMA NDOYE"/>
    <s v="2022-09-07 16:08:33.433"/>
    <n v="12"/>
    <s v="NULL"/>
    <s v="SÉNÉGAL"/>
    <s v="SÉNÉGAL"/>
    <s v="NULL"/>
    <n v="0"/>
    <s v="NULL"/>
    <s v="Greffe"/>
    <s v="Dakar"/>
  </r>
  <r>
    <x v="0"/>
    <x v="60"/>
    <x v="60"/>
    <s v="BIRAME FAYE"/>
    <s v="2022-01-04 15:58:52.750"/>
    <n v="100"/>
    <n v="100"/>
    <s v="SÉNÉGAL"/>
    <s v="SÉNÉGAL"/>
    <s v="NULL"/>
    <n v="0"/>
    <s v="NULL"/>
    <s v="Greffe"/>
    <s v="Dakar"/>
  </r>
  <r>
    <x v="0"/>
    <x v="60"/>
    <x v="60"/>
    <s v="BOUBACAR DIALLO"/>
    <s v="2022-07-13 11:55:20.860"/>
    <n v="100"/>
    <n v="100"/>
    <s v="SÉNÉGAL"/>
    <s v="SÉNÉGAL"/>
    <s v="NULL"/>
    <n v="0"/>
    <s v="NULL"/>
    <s v="Greffe"/>
    <s v="Dakar"/>
  </r>
  <r>
    <x v="0"/>
    <x v="60"/>
    <x v="60"/>
    <s v="BOUBACAR SOUARE"/>
    <s v="2022-04-07 15:26:19.047"/>
    <n v="50"/>
    <n v="50"/>
    <s v="SÉNÉGAL"/>
    <s v="SÉNÉGAL"/>
    <s v="NULL"/>
    <n v="0"/>
    <s v="NULL"/>
    <s v="Greffe"/>
    <s v="Dakar"/>
  </r>
  <r>
    <x v="0"/>
    <x v="61"/>
    <x v="61"/>
    <s v="BOUBACAR THIAW"/>
    <s v="2022-04-07 15:26:19.047"/>
    <n v="50"/>
    <n v="50"/>
    <s v="SÉNÉGAL"/>
    <s v="SÉNÉGAL"/>
    <s v="NULL"/>
    <n v="0"/>
    <s v="NULL"/>
    <s v="Greffe"/>
    <s v="Dakar"/>
  </r>
  <r>
    <x v="0"/>
    <x v="62"/>
    <x v="62"/>
    <s v="BOUBACAR THIAW"/>
    <s v="2022-09-08 16:27:03.483"/>
    <n v="100"/>
    <s v="NULL"/>
    <s v="SÉNÉGAL"/>
    <s v="SÉNÉGAL"/>
    <s v="NULL"/>
    <n v="0"/>
    <s v="NULL"/>
    <s v="Greffe"/>
    <s v="Dakar"/>
  </r>
  <r>
    <x v="0"/>
    <x v="63"/>
    <x v="63"/>
    <s v="BOUGAR DIOUF"/>
    <s v="2022-09-12 09:25:33.697"/>
    <n v="60"/>
    <s v="NULL"/>
    <s v="SÉNÉGAL"/>
    <s v="SÉNÉGAL"/>
    <s v="NULL"/>
    <n v="0"/>
    <s v="NULL"/>
    <s v="Greffe"/>
    <s v="Dakar"/>
  </r>
  <r>
    <x v="0"/>
    <x v="63"/>
    <x v="63"/>
    <s v="BOUGAR DIOUF"/>
    <s v="2022-09-12 09:25:33.697"/>
    <n v="40"/>
    <n v="40"/>
    <s v="SÉNÉGAL"/>
    <s v="SÉNÉGAL"/>
    <s v="NULL"/>
    <n v="0"/>
    <s v="NULL"/>
    <s v="Greffe"/>
    <s v="Dakar"/>
  </r>
  <r>
    <x v="0"/>
    <x v="64"/>
    <x v="64"/>
    <s v="BOUNA DIAKHOUMPA"/>
    <s v="2022-12-02 12:06:18.623"/>
    <n v="100"/>
    <n v="100"/>
    <s v="SÉNÉGAL"/>
    <s v="SÉNÉGAL"/>
    <s v="NULL"/>
    <n v="0"/>
    <s v="NULL"/>
    <s v="Greffe"/>
    <s v="Dakar"/>
  </r>
  <r>
    <x v="0"/>
    <x v="64"/>
    <x v="64"/>
    <s v="Bruno"/>
    <s v="2022-06-30 15:44:36.867"/>
    <s v="NULL"/>
    <n v="25"/>
    <s v="SÉNÉGAL"/>
    <s v="SÉNÉGAL"/>
    <s v="NULL"/>
    <n v="0"/>
    <s v="NULL"/>
    <s v="Greffe"/>
    <s v="Dakar"/>
  </r>
  <r>
    <x v="0"/>
    <x v="64"/>
    <x v="64"/>
    <s v="BRUNO VICTOR LOUIS DERNEVILLE"/>
    <s v="2022-04-27 15:35:05.490"/>
    <n v="5"/>
    <n v="5"/>
    <s v="SERBIE"/>
    <s v="SERBIE"/>
    <s v="NULL"/>
    <n v="0"/>
    <s v="NULL"/>
    <s v="Greffe"/>
    <s v="Dakar"/>
  </r>
  <r>
    <x v="0"/>
    <x v="65"/>
    <x v="65"/>
    <s v="CAILIN ZHU"/>
    <s v="2022-04-27 15:35:05.490"/>
    <n v="5"/>
    <n v="5"/>
    <s v="AUSTRALIE"/>
    <s v="AUSTRALIE"/>
    <s v="NULL"/>
    <n v="0"/>
    <s v="NULL"/>
    <s v="Greffe"/>
    <s v="Dakar"/>
  </r>
  <r>
    <x v="0"/>
    <x v="65"/>
    <x v="65"/>
    <s v="CHEICH BADIANE SAKHO"/>
    <s v="2022-04-27 15:35:05.490"/>
    <n v="5"/>
    <n v="5"/>
    <s v="AFRIQUE DU SUD"/>
    <s v="AFRIQUE DU SUD"/>
    <s v="NULL"/>
    <n v="0"/>
    <s v="NULL"/>
    <s v="Greffe"/>
    <s v="Dakar"/>
  </r>
  <r>
    <x v="0"/>
    <x v="66"/>
    <x v="66"/>
    <s v="CHEIKH ABO MADIYANA MBACKE"/>
    <s v="2022-12-19 09:15:14.990"/>
    <n v="40"/>
    <n v="40"/>
    <s v="PAKISTAN"/>
    <s v="PAKISTAN"/>
    <s v="NULL"/>
    <n v="0"/>
    <s v="NULL"/>
    <s v="Greffe"/>
    <s v="Dakar"/>
  </r>
  <r>
    <x v="0"/>
    <x v="67"/>
    <x v="67"/>
    <s v="CHEIKH AHMADOU BAMBA DIENG"/>
    <s v="2022-12-19 09:15:14.990"/>
    <n v="60"/>
    <n v="60"/>
    <s v="SÉNÉGAL"/>
    <s v="SÉNÉGAL"/>
    <s v="NULL"/>
    <n v="0"/>
    <s v="NULL"/>
    <s v="Greffe"/>
    <s v="Dakar"/>
  </r>
  <r>
    <x v="0"/>
    <x v="68"/>
    <x v="68"/>
    <s v="CHEIKH AHMED TIDIANE THIAM"/>
    <s v="2022-02-09 17:30:09.653"/>
    <n v="100"/>
    <n v="100"/>
    <s v="SÉNÉGAL"/>
    <s v="SÉNÉGAL"/>
    <s v="NULL"/>
    <n v="0"/>
    <s v="NULL"/>
    <s v="Greffe"/>
    <s v="Dakar"/>
  </r>
  <r>
    <x v="0"/>
    <x v="68"/>
    <x v="68"/>
    <s v="CHEIKH AHMED TIDIANY THIAM"/>
    <s v="2022-12-19 13:33:53.013"/>
    <n v="100"/>
    <n v="100"/>
    <s v="SÉNÉGAL"/>
    <s v="SÉNÉGAL"/>
    <s v="NULL"/>
    <n v="0"/>
    <s v="NULL"/>
    <s v="Greffe"/>
    <s v="Dakar"/>
  </r>
  <r>
    <x v="0"/>
    <x v="68"/>
    <x v="68"/>
    <s v="CHEIKH AHMET TIDIANE DIOP"/>
    <s v="2022-09-30 16:57:00.950"/>
    <n v="12"/>
    <s v="NULL"/>
    <s v="SÉNÉGAL"/>
    <s v="SÉNÉGAL"/>
    <s v="NULL"/>
    <n v="0"/>
    <s v="NULL"/>
    <s v="Greffe"/>
    <s v="Dakar"/>
  </r>
  <r>
    <x v="0"/>
    <x v="69"/>
    <x v="69"/>
    <s v="CHEIKH GUEYE"/>
    <s v="2022-09-30 16:57:00.950"/>
    <n v="12"/>
    <s v="NULL"/>
    <s v="SÉNÉGAL"/>
    <s v="SÉNÉGAL"/>
    <s v="NULL"/>
    <n v="0"/>
    <s v="NULL"/>
    <s v="Greffe"/>
    <s v="Dakar"/>
  </r>
  <r>
    <x v="0"/>
    <x v="70"/>
    <x v="70"/>
    <s v="CHEIKH IBRAHIMA FAYE"/>
    <s v="2022-09-30 16:57:00.950"/>
    <n v="12"/>
    <s v="NULL"/>
    <s v="SÉNÉGAL"/>
    <s v="SÉNÉGAL"/>
    <s v="NULL"/>
    <n v="0"/>
    <s v="NULL"/>
    <s v="Greffe"/>
    <s v="Dakar"/>
  </r>
  <r>
    <x v="0"/>
    <x v="71"/>
    <x v="71"/>
    <s v="CHEIKH MOHAMED FADEL SONKO"/>
    <s v="2022-09-30 16:57:00.950"/>
    <n v="12"/>
    <s v="NULL"/>
    <s v="SÉNÉGAL"/>
    <s v="SÉNÉGAL"/>
    <s v="NULL"/>
    <n v="0"/>
    <s v="NULL"/>
    <s v="Greffe"/>
    <s v="Dakar"/>
  </r>
  <r>
    <x v="0"/>
    <x v="72"/>
    <x v="72"/>
    <s v="CHEIKH NA DIOP"/>
    <s v="2022-09-30 16:57:00.950"/>
    <n v="80"/>
    <s v="NULL"/>
    <s v="SÉNÉGAL"/>
    <s v="SÉNÉGAL"/>
    <s v="NULL"/>
    <n v="0"/>
    <s v="NULL"/>
    <s v="Greffe"/>
    <s v="Dakar"/>
  </r>
  <r>
    <x v="0"/>
    <x v="72"/>
    <x v="72"/>
    <s v="CHEIKH SIDY BA"/>
    <s v="2022-07-04 10:13:07.860"/>
    <s v="NULL"/>
    <s v="NULL"/>
    <s v="SÉNÉGAL"/>
    <s v="SÉNÉGAL"/>
    <s v="NULL"/>
    <n v="0"/>
    <s v="NULL"/>
    <s v="Greffe"/>
    <s v="Dakar"/>
  </r>
  <r>
    <x v="0"/>
    <x v="72"/>
    <x v="72"/>
    <s v="CHEIKH TIDIANE DIOP"/>
    <s v="2022-04-20 13:44:15.417"/>
    <n v="30"/>
    <n v="30"/>
    <s v="SÉNÉGAL"/>
    <s v="SÉNÉGAL"/>
    <s v="NULL"/>
    <n v="0"/>
    <s v="NULL"/>
    <s v="Greffe"/>
    <s v="Dakar"/>
  </r>
  <r>
    <x v="0"/>
    <x v="73"/>
    <x v="73"/>
    <s v="CHEIKHOU FAYE"/>
    <s v="2022-04-27 15:35:05.490"/>
    <n v="5"/>
    <n v="5"/>
    <s v="SÉNÉGAL"/>
    <s v="SÉNÉGAL"/>
    <s v="NULL"/>
    <n v="0"/>
    <s v="NULL"/>
    <s v="Greffe"/>
    <s v="Dakar"/>
  </r>
  <r>
    <x v="0"/>
    <x v="73"/>
    <x v="73"/>
    <s v="CHEN FANG"/>
    <s v="2022-04-27 15:35:05.490"/>
    <n v="5"/>
    <n v="5"/>
    <s v="SÉNÉGAL"/>
    <s v="SÉNÉGAL"/>
    <s v="NULL"/>
    <n v="0"/>
    <s v="NULL"/>
    <s v="Greffe"/>
    <s v="Dakar"/>
  </r>
  <r>
    <x v="0"/>
    <x v="74"/>
    <x v="74"/>
    <s v="CHEN FANG"/>
    <s v="2022-04-27 15:35:05.490"/>
    <n v="70"/>
    <n v="70"/>
    <s v="AUSTRALIE"/>
    <s v="AUSTRALIE"/>
    <s v="NULL"/>
    <n v="0"/>
    <s v="NULL"/>
    <s v="Greffe"/>
    <s v="Dakar"/>
  </r>
  <r>
    <x v="0"/>
    <x v="74"/>
    <x v="74"/>
    <s v="CHERIF AMEDINE BA"/>
    <s v="2022-04-27 15:35:05.490"/>
    <n v="5"/>
    <n v="5"/>
    <s v="MALI"/>
    <s v="MALI"/>
    <s v="NULL"/>
    <n v="0"/>
    <s v="NULL"/>
    <s v="Greffe"/>
    <s v="Dakar"/>
  </r>
  <r>
    <x v="0"/>
    <x v="75"/>
    <x v="75"/>
    <s v="CIRE MAMADOU BAYO LY"/>
    <s v="2022-05-18 15:57:59.140"/>
    <n v="100"/>
    <n v="100"/>
    <s v="SÉNÉGAL"/>
    <s v="SÉNÉGAL"/>
    <s v="NULL"/>
    <n v="0"/>
    <s v="NULL"/>
    <s v="Greffe"/>
    <s v="Dakar"/>
  </r>
  <r>
    <x v="0"/>
    <x v="75"/>
    <x v="75"/>
    <s v="CLEMENT ALPHONSE NDIAYE"/>
    <s v="2022-06-30 15:44:36.867"/>
    <s v="NULL"/>
    <n v="25"/>
    <s v="PAYS-BAS"/>
    <s v="PAYS-BAS"/>
    <s v="NULL"/>
    <n v="0"/>
    <s v="NULL"/>
    <s v="Greffe"/>
    <s v="Dakar"/>
  </r>
  <r>
    <x v="0"/>
    <x v="75"/>
    <x v="75"/>
    <s v="COUMBA FAYE"/>
    <s v="2022-06-30 15:44:36.867"/>
    <s v="NULL"/>
    <n v="25"/>
    <s v="ROYAUME-UNI"/>
    <s v="ROYAUME-UNI"/>
    <s v="NULL"/>
    <n v="0"/>
    <s v="NULL"/>
    <s v="Greffe"/>
    <s v="Dakar"/>
  </r>
  <r>
    <x v="0"/>
    <x v="75"/>
    <x v="75"/>
    <s v="DAME DIAKHATE"/>
    <s v="2022-06-30 15:44:36.867"/>
    <s v="NULL"/>
    <n v="25"/>
    <s v="AUSTRALIE"/>
    <s v="AUSTRALIE"/>
    <s v="NULL"/>
    <n v="0"/>
    <s v="NULL"/>
    <s v="Greffe"/>
    <s v="Dakar"/>
  </r>
  <r>
    <x v="0"/>
    <x v="76"/>
    <x v="76"/>
    <s v="DAME DIANE"/>
    <s v="2022-01-19 15:16:44.950"/>
    <n v="20"/>
    <n v="20"/>
    <s v="SÉNÉGAL"/>
    <s v="SÉNÉGAL"/>
    <s v="NULL"/>
    <n v="0"/>
    <s v="NULL"/>
    <s v="Greffe"/>
    <s v="Dakar"/>
  </r>
  <r>
    <x v="0"/>
    <x v="77"/>
    <x v="77"/>
    <s v="DAME DIENG"/>
    <s v="2022-01-19 15:16:44.950"/>
    <n v="20"/>
    <n v="20"/>
    <s v="CHINE"/>
    <s v="CHINE"/>
    <s v="NULL"/>
    <n v="0"/>
    <s v="NULL"/>
    <s v="Greffe"/>
    <s v="Dakar"/>
  </r>
  <r>
    <x v="0"/>
    <x v="77"/>
    <x v="77"/>
    <s v="DAOUDA KANE"/>
    <s v="2022-01-19 15:16:44.950"/>
    <n v="60"/>
    <n v="60"/>
    <s v="SÉNÉGAL"/>
    <s v="SÉNÉGAL"/>
    <s v="NULL"/>
    <n v="0"/>
    <s v="NULL"/>
    <s v="Greffe"/>
    <s v="Dakar"/>
  </r>
  <r>
    <x v="0"/>
    <x v="77"/>
    <x v="77"/>
    <s v="DAOUR DIENG"/>
    <s v="2022-10-30 17:57:37.773"/>
    <n v="100"/>
    <n v="100"/>
    <s v="SÉNÉGAL"/>
    <s v="SÉNÉGAL"/>
    <s v="NULL"/>
    <n v="0"/>
    <s v="NULL"/>
    <s v="Greffe"/>
    <s v="Dakar"/>
  </r>
  <r>
    <x v="0"/>
    <x v="77"/>
    <x v="77"/>
    <s v="DAOUR DIENG"/>
    <s v="2022-09-07 16:08:33.433"/>
    <n v="33"/>
    <n v="33"/>
    <s v="TURQUIE"/>
    <s v="TURQUIE"/>
    <s v="NULL"/>
    <n v="0"/>
    <s v="NULL"/>
    <s v="Greffe"/>
    <s v="Dakar"/>
  </r>
  <r>
    <x v="0"/>
    <x v="78"/>
    <x v="78"/>
    <s v="DAVID JACQUES MIMRAN"/>
    <s v="2022-04-11 08:43:42.460"/>
    <s v="NULL"/>
    <n v="100"/>
    <s v="SÉNÉGAL"/>
    <s v="SÉNÉGAL"/>
    <s v="NULL"/>
    <n v="0"/>
    <s v="NULL"/>
    <s v="Greffe"/>
    <s v="Dakar"/>
  </r>
  <r>
    <x v="0"/>
    <x v="79"/>
    <x v="79"/>
    <s v="DAVID JACQUES MIMRAN"/>
    <s v="2022-07-26 10:18:47.990"/>
    <s v="NULL"/>
    <s v="NULL"/>
    <s v="SÉNÉGAL"/>
    <s v="SÉNÉGAL"/>
    <s v="NULL"/>
    <n v="0"/>
    <s v="NULL"/>
    <s v="Greffe"/>
    <s v="Dakar"/>
  </r>
  <r>
    <x v="0"/>
    <x v="79"/>
    <x v="79"/>
    <s v="DAVID JACQUES MIMRAN"/>
    <s v="2022-01-17 14:49:13.893"/>
    <n v="50"/>
    <n v="50"/>
    <s v="SÉNÉGAL"/>
    <s v="SÉNÉGAL"/>
    <s v="NULL"/>
    <n v="0"/>
    <s v="NULL"/>
    <s v="Greffe"/>
    <s v="Dakar"/>
  </r>
  <r>
    <x v="0"/>
    <x v="79"/>
    <x v="79"/>
    <s v="DIA MANSOUR"/>
    <s v="2022-02-14 14:27:49.163"/>
    <n v="100"/>
    <s v="NULL"/>
    <s v="SÉNÉGAL"/>
    <s v="SÉNÉGAL"/>
    <s v="NULL"/>
    <n v="0"/>
    <s v="NULL"/>
    <s v="Greffe"/>
    <s v="Dakar"/>
  </r>
  <r>
    <x v="0"/>
    <x v="79"/>
    <x v="79"/>
    <s v="DIADIE DIT AMADOU SANKARE"/>
    <s v="2022-04-20 14:09:54.237"/>
    <n v="5"/>
    <n v="5"/>
    <s v="SÉNÉGAL"/>
    <s v="SÉNÉGAL"/>
    <s v="NULL"/>
    <n v="0"/>
    <s v="NULL"/>
    <s v="Greffe"/>
    <s v="Dakar"/>
  </r>
  <r>
    <x v="0"/>
    <x v="80"/>
    <x v="80"/>
    <s v="DIADIE KABA"/>
    <s v="2022-04-20 14:09:54.237"/>
    <n v="5"/>
    <n v="5"/>
    <s v="SÉNÉGAL"/>
    <s v="SÉNÉGAL"/>
    <s v="NULL"/>
    <n v="0"/>
    <s v="NULL"/>
    <s v="Greffe"/>
    <s v="Dakar"/>
  </r>
  <r>
    <x v="0"/>
    <x v="81"/>
    <x v="81"/>
    <s v="DIAGNE YANDE"/>
    <s v="2022-04-20 14:09:54.237"/>
    <n v="10"/>
    <n v="10"/>
    <s v="SÉNÉGAL"/>
    <s v="SÉNÉGAL"/>
    <s v="NULL"/>
    <n v="0"/>
    <s v="NULL"/>
    <s v="Greffe"/>
    <s v="Dakar"/>
  </r>
  <r>
    <x v="0"/>
    <x v="81"/>
    <x v="81"/>
    <s v="DIALI SOUO CISSOKHO"/>
    <s v="2022-04-20 14:09:54.237"/>
    <n v="10"/>
    <n v="10"/>
    <s v="SÉNÉGAL"/>
    <s v="SÉNÉGAL"/>
    <s v="NULL"/>
    <n v="0"/>
    <s v="NULL"/>
    <s v="Greffe"/>
    <s v="Dakar"/>
  </r>
  <r>
    <x v="0"/>
    <x v="81"/>
    <x v="81"/>
    <s v="DIARIATOU KANTE"/>
    <s v="2022-04-20 14:09:54.237"/>
    <n v="5"/>
    <n v="5"/>
    <s v="SÉNÉGAL"/>
    <s v="SÉNÉGAL"/>
    <s v="NULL"/>
    <n v="0"/>
    <s v="NULL"/>
    <s v="Greffe"/>
    <s v="Dakar"/>
  </r>
  <r>
    <x v="0"/>
    <x v="81"/>
    <x v="81"/>
    <s v="DIARY DIALLO"/>
    <s v="2022-04-20 14:09:54.237"/>
    <n v="10"/>
    <n v="10"/>
    <s v="SÉNÉGAL"/>
    <s v="SÉNÉGAL"/>
    <s v="NULL"/>
    <n v="0"/>
    <s v="NULL"/>
    <s v="Greffe"/>
    <s v="Dakar"/>
  </r>
  <r>
    <x v="0"/>
    <x v="82"/>
    <x v="82"/>
    <s v="DIEYE DOUDOU"/>
    <s v="2022-04-20 14:09:54.237"/>
    <n v="55"/>
    <n v="55"/>
    <s v="SÉNÉGAL"/>
    <s v="SÉNÉGAL"/>
    <s v="NULL"/>
    <n v="0"/>
    <s v="NULL"/>
    <s v="Greffe"/>
    <s v="Dakar"/>
  </r>
  <r>
    <x v="0"/>
    <x v="82"/>
    <x v="82"/>
    <s v="DIEYNABA DIALLO"/>
    <s v="2022-01-26 13:30:38.377"/>
    <s v="NULL"/>
    <s v="NULL"/>
    <s v="SUISSE"/>
    <s v="SUISSE"/>
    <s v="NULL"/>
    <n v="0"/>
    <s v="NULL"/>
    <s v="Greffe"/>
    <s v="Dakar"/>
  </r>
  <r>
    <x v="0"/>
    <x v="83"/>
    <x v="83"/>
    <s v="DINESH GOVIND GORASIYA"/>
    <s v="2022-01-26 13:30:38.377"/>
    <s v="NULL"/>
    <s v="NULL"/>
    <s v="ÉGYPTE"/>
    <s v="ÉGYPTE"/>
    <s v="EGYPT"/>
    <n v="1"/>
    <s v="NAGUIB ONSI SAWIRIS"/>
    <s v="Greffe"/>
    <s v="Dakar"/>
  </r>
  <r>
    <x v="0"/>
    <x v="83"/>
    <x v="83"/>
    <s v="DINESH GOVIND GORASIYA"/>
    <s v="2022-01-26 13:30:38.377"/>
    <s v="NULL"/>
    <s v="NULL"/>
    <s v="ÉGYPTE"/>
    <s v="ÉGYPTE"/>
    <s v="ÉGYPTE"/>
    <n v="1"/>
    <s v="NAGUIB ONSI SAWIRIS"/>
    <s v="Greffe"/>
    <s v="Dakar"/>
  </r>
  <r>
    <x v="0"/>
    <x v="83"/>
    <x v="83"/>
    <s v="DIOME MALICK"/>
    <s v="2022-10-30 18:19:40.313"/>
    <n v="25"/>
    <n v="25"/>
    <s v="SÉNÉGAL"/>
    <s v="SÉNÉGAL"/>
    <s v="NULL"/>
    <n v="0"/>
    <s v="NULL"/>
    <s v="Greffe"/>
    <s v="Dakar"/>
  </r>
  <r>
    <x v="0"/>
    <x v="83"/>
    <x v="83"/>
    <s v="DIYNABA THIAM"/>
    <s v="2022-10-30 18:19:40.313"/>
    <n v="30"/>
    <n v="30"/>
    <s v="SÉNÉGAL"/>
    <s v="SÉNÉGAL"/>
    <s v="NULL"/>
    <n v="0"/>
    <s v="NULL"/>
    <s v="Greffe"/>
    <s v="Dakar"/>
  </r>
  <r>
    <x v="0"/>
    <x v="83"/>
    <x v="83"/>
    <s v="DJIBGUIBA DIAKHABY"/>
    <s v="2022-10-30 18:19:40.313"/>
    <n v="15"/>
    <n v="15"/>
    <s v="SÉNÉGAL"/>
    <s v="SÉNÉGAL"/>
    <s v="NULL"/>
    <n v="0"/>
    <s v="NULL"/>
    <s v="Greffe"/>
    <s v="Dakar"/>
  </r>
  <r>
    <x v="0"/>
    <x v="83"/>
    <x v="83"/>
    <s v="DJIBRIL BADIANE"/>
    <s v="2022-10-30 18:19:40.313"/>
    <n v="30"/>
    <n v="30"/>
    <s v="SÉNÉGAL"/>
    <s v="SÉNÉGAL"/>
    <s v="NULL"/>
    <n v="0"/>
    <s v="NULL"/>
    <s v="Greffe"/>
    <s v="Dakar"/>
  </r>
  <r>
    <x v="0"/>
    <x v="84"/>
    <x v="84"/>
    <s v="DJIBRIL CAMARA"/>
    <s v="2022-11-11 15:13:31.517"/>
    <n v="100"/>
    <n v="100"/>
    <s v="SÉNÉGAL"/>
    <s v="SÉNÉGAL"/>
    <s v="NULL"/>
    <n v="0"/>
    <s v="NULL"/>
    <s v="Greffe"/>
    <s v="Dakar"/>
  </r>
  <r>
    <x v="0"/>
    <x v="85"/>
    <x v="85"/>
    <s v="DJIBRIL GUEYE"/>
    <s v="2022-04-20 13:44:15.417"/>
    <n v="15"/>
    <n v="15"/>
    <s v="SÉNÉGAL"/>
    <s v="SÉNÉGAL"/>
    <s v="NULL"/>
    <n v="0"/>
    <s v="NULL"/>
    <s v="Greffe"/>
    <s v="Dakar"/>
  </r>
  <r>
    <x v="0"/>
    <x v="86"/>
    <x v="86"/>
    <s v="DJIBRIL NDIME"/>
    <s v="2022-04-20 13:44:15.417"/>
    <n v="55"/>
    <n v="55"/>
    <s v="SÉNÉGAL"/>
    <s v="SÉNÉGAL"/>
    <s v="NULL"/>
    <n v="0"/>
    <s v="NULL"/>
    <s v="Greffe"/>
    <s v="Dakar"/>
  </r>
  <r>
    <x v="0"/>
    <x v="86"/>
    <x v="86"/>
    <s v="DJIGA FAYE"/>
    <s v="2022-09-30 08:23:13.527"/>
    <n v="100"/>
    <n v="100"/>
    <s v="SÉNÉGAL"/>
    <s v="SÉNÉGAL"/>
    <s v="NULL"/>
    <n v="0"/>
    <s v="NULL"/>
    <s v="Greffe"/>
    <s v="Dakar"/>
  </r>
  <r>
    <x v="0"/>
    <x v="86"/>
    <x v="86"/>
    <s v="DJIMO SOUARE"/>
    <s v="2022-12-02 11:32:59.307"/>
    <n v="100"/>
    <n v="100"/>
    <s v="SÉNÉGAL"/>
    <s v="SÉNÉGAL"/>
    <s v="NULL"/>
    <n v="0"/>
    <s v="NULL"/>
    <s v="Greffe"/>
    <s v="Dakar"/>
  </r>
  <r>
    <x v="0"/>
    <x v="87"/>
    <x v="87"/>
    <s v="DORO NIANG"/>
    <s v="2022-04-28 11:59:05.277"/>
    <n v="100"/>
    <n v="100"/>
    <s v="SÉNÉGAL"/>
    <s v="SÉNÉGAL"/>
    <s v="NULL"/>
    <n v="0"/>
    <s v="NULL"/>
    <s v="Greffe"/>
    <s v="Dakar"/>
  </r>
  <r>
    <x v="0"/>
    <x v="88"/>
    <x v="88"/>
    <s v="DUSKO LJUBOJEVIC"/>
    <s v="2022-07-15 13:08:40.893"/>
    <n v="100"/>
    <n v="100"/>
    <s v="SÉNÉGAL"/>
    <s v="SÉNÉGAL"/>
    <s v="NULL"/>
    <n v="0"/>
    <s v="NULL"/>
    <s v="Greffe"/>
    <s v="Dakar"/>
  </r>
  <r>
    <x v="0"/>
    <x v="89"/>
    <x v="89"/>
    <s v="EDUARDO MANUEL PRIOR BASTOS"/>
    <s v="2022-07-25 14:52:00.307"/>
    <n v="25"/>
    <s v="NULL"/>
    <s v="SÉNÉGAL"/>
    <s v="SÉNÉGAL"/>
    <s v="NULL"/>
    <n v="0"/>
    <s v="NULL"/>
    <s v="Greffe"/>
    <s v="Dakar"/>
  </r>
  <r>
    <x v="0"/>
    <x v="90"/>
    <x v="90"/>
    <s v="EDUARDO MANUEL PRIOR BASTOS"/>
    <s v="2022-07-25 14:52:00.307"/>
    <n v="15"/>
    <s v="NULL"/>
    <s v="SÉNÉGAL"/>
    <s v="SÉNÉGAL"/>
    <s v="NULL"/>
    <n v="0"/>
    <s v="NULL"/>
    <s v="Greffe"/>
    <s v="Dakar"/>
  </r>
  <r>
    <x v="0"/>
    <x v="90"/>
    <x v="90"/>
    <s v="EL HADJI AMADOU DIAGNE"/>
    <s v="2022-07-25 14:52:00.307"/>
    <n v="60"/>
    <s v="NULL"/>
    <s v="SÉNÉGAL"/>
    <s v="SÉNÉGAL"/>
    <s v="NULL"/>
    <n v="0"/>
    <s v="NULL"/>
    <s v="Greffe"/>
    <s v="Dakar"/>
  </r>
  <r>
    <x v="0"/>
    <x v="90"/>
    <x v="90"/>
    <s v="EL HADJI BABACAR THIAM"/>
    <s v="2022-07-21 14:50:01.253"/>
    <n v="100"/>
    <n v="100"/>
    <s v="SÉNÉGAL"/>
    <s v="SÉNÉGAL"/>
    <s v="NULL"/>
    <n v="0"/>
    <s v="NULL"/>
    <s v="Greffe"/>
    <s v="Dakar"/>
  </r>
  <r>
    <x v="0"/>
    <x v="90"/>
    <x v="90"/>
    <s v="EL HADJI BOUBACAR SIDIKI DIARRA"/>
    <s v="2023-03-06 12:48:11.333"/>
    <n v="67"/>
    <s v="NULL"/>
    <s v="SÉNÉGAL"/>
    <s v="SÉNÉGAL"/>
    <s v="NULL"/>
    <n v="0"/>
    <s v="NULL"/>
    <s v="Greffe"/>
    <s v="Dakar"/>
  </r>
  <r>
    <x v="0"/>
    <x v="90"/>
    <x v="90"/>
    <s v="ELHADJI ABDOULAYE CAMARA"/>
    <s v="2023-03-06 12:48:11.333"/>
    <n v="33"/>
    <s v="NULL"/>
    <s v="SÉNÉGAL"/>
    <s v="SÉNÉGAL"/>
    <s v="NULL"/>
    <n v="0"/>
    <s v="NULL"/>
    <s v="Greffe"/>
    <s v="Dakar"/>
  </r>
  <r>
    <x v="0"/>
    <x v="90"/>
    <x v="90"/>
    <s v="ELHADJI ABDOULAYE CAMARA"/>
    <s v="2023-12-26 15:06:05.387"/>
    <n v="100"/>
    <n v="100"/>
    <s v="SÉNÉGAL"/>
    <s v="SÉNÉGAL"/>
    <s v="NULL"/>
    <n v="0"/>
    <s v="NULL"/>
    <s v="Greffe"/>
    <s v="Dakar"/>
  </r>
  <r>
    <x v="0"/>
    <x v="91"/>
    <x v="91"/>
    <s v="ELHADJI AMADOU DIAGNE"/>
    <s v="2023-03-13 11:56:43.607"/>
    <n v="100"/>
    <s v="NULL"/>
    <s v="SÉNÉGAL"/>
    <s v="SÉNÉGAL"/>
    <s v="NULL"/>
    <n v="0"/>
    <s v="NULL"/>
    <s v="Greffe"/>
    <s v="Dakar"/>
  </r>
  <r>
    <x v="0"/>
    <x v="92"/>
    <x v="92"/>
    <s v="ELHADJI BABA SOW"/>
    <s v="2023-06-15 13:37:00.967"/>
    <n v="50"/>
    <n v="50"/>
    <s v="SÉNÉGAL"/>
    <s v="SÉNÉGAL"/>
    <s v="NULL"/>
    <n v="0"/>
    <s v="NULL"/>
    <s v="Greffe"/>
    <s v="Dakar"/>
  </r>
  <r>
    <x v="0"/>
    <x v="93"/>
    <x v="93"/>
    <s v="ELHADJI BITEYE"/>
    <s v="2023-06-15 13:37:00.967"/>
    <n v="50"/>
    <n v="50"/>
    <s v="SÉNÉGAL"/>
    <s v="SÉNÉGAL"/>
    <s v="NULL"/>
    <n v="0"/>
    <s v="NULL"/>
    <s v="Greffe"/>
    <s v="Dakar"/>
  </r>
  <r>
    <x v="0"/>
    <x v="93"/>
    <x v="93"/>
    <s v="ELHADJI BOUBACAR CISSE"/>
    <s v="2023-05-15 13:29:57.227"/>
    <n v="100"/>
    <n v="100"/>
    <s v="SÉNÉGAL"/>
    <s v="SÉNÉGAL"/>
    <s v="NULL"/>
    <n v="0"/>
    <s v="NULL"/>
    <s v="Greffe"/>
    <s v="Dakar"/>
  </r>
  <r>
    <x v="0"/>
    <x v="94"/>
    <x v="94"/>
    <s v="ELHADJI DIAGNE"/>
    <s v="2023-02-03 13:43:59.120"/>
    <n v="60"/>
    <n v="60"/>
    <s v="SÉNÉGAL"/>
    <s v="SÉNÉGAL"/>
    <s v="NULL"/>
    <n v="0"/>
    <s v="NULL"/>
    <s v="Greffe"/>
    <s v="Dakar"/>
  </r>
  <r>
    <x v="0"/>
    <x v="95"/>
    <x v="95"/>
    <s v="ELHADJI DIOP"/>
    <s v="2023-02-03 13:43:59.120"/>
    <n v="40"/>
    <n v="40"/>
    <s v="SÉNÉGAL"/>
    <s v="SÉNÉGAL"/>
    <s v="NULL"/>
    <n v="0"/>
    <s v="NULL"/>
    <s v="Greffe"/>
    <s v="Dakar"/>
  </r>
  <r>
    <x v="0"/>
    <x v="96"/>
    <x v="96"/>
    <s v="ELHADJI DIOP"/>
    <s v="2023-05-31 14:20:03.737"/>
    <n v="100"/>
    <n v="100"/>
    <s v="SÉNÉGAL"/>
    <s v="SÉNÉGAL"/>
    <s v="NULL"/>
    <n v="0"/>
    <s v="NULL"/>
    <s v="Greffe"/>
    <s v="Dakar"/>
  </r>
  <r>
    <x v="0"/>
    <x v="96"/>
    <x v="96"/>
    <s v="ELHADJI FALILOU MBACKE"/>
    <s v="2023-03-02 14:02:07.767"/>
    <n v="100"/>
    <s v="NULL"/>
    <s v="SÉNÉGAL"/>
    <s v="SÉNÉGAL"/>
    <s v="NULL"/>
    <n v="0"/>
    <s v="NULL"/>
    <s v="Greffe"/>
    <s v="Dakar"/>
  </r>
  <r>
    <x v="0"/>
    <x v="96"/>
    <x v="96"/>
    <s v="ELHADJI FARY KA"/>
    <s v="2023-06-12 14:54:30.333"/>
    <n v="50"/>
    <n v="50"/>
    <s v="SÉNÉGAL"/>
    <s v="SÉNÉGAL"/>
    <s v="NULL"/>
    <n v="0"/>
    <s v="NULL"/>
    <s v="Greffe"/>
    <s v="Dakar"/>
  </r>
  <r>
    <x v="0"/>
    <x v="97"/>
    <x v="97"/>
    <s v="ELHADJI MAMADOU GUEYE"/>
    <s v="2023-06-12 14:54:30.333"/>
    <n v="50"/>
    <n v="50"/>
    <s v="MALI"/>
    <s v="MALI"/>
    <s v="NULL"/>
    <n v="0"/>
    <s v="NULL"/>
    <s v="Greffe"/>
    <s v="Dakar"/>
  </r>
  <r>
    <x v="0"/>
    <x v="98"/>
    <x v="98"/>
    <s v="ELHASJI MAKHA SANKHARE"/>
    <s v="2023-10-13 11:22:43.773"/>
    <n v="100"/>
    <s v="NULL"/>
    <s v="SÉNÉGAL"/>
    <s v="SÉNÉGAL"/>
    <s v="NULL"/>
    <n v="0"/>
    <s v="NULL"/>
    <s v="Greffe"/>
    <s v="Dakar"/>
  </r>
  <r>
    <x v="0"/>
    <x v="98"/>
    <x v="98"/>
    <s v="EMMANUEL DIOH"/>
    <s v="2023-03-20 15:25:07.447"/>
    <n v="100"/>
    <n v="100"/>
    <s v="SÉNÉGAL"/>
    <s v="SÉNÉGAL"/>
    <s v="NULL"/>
    <n v="0"/>
    <s v="NULL"/>
    <s v="Greffe"/>
    <s v="Dakar"/>
  </r>
  <r>
    <x v="0"/>
    <x v="98"/>
    <x v="98"/>
    <s v="EMMANUEL DIOH"/>
    <s v="2023-11-06 09:53:37.663"/>
    <n v="50"/>
    <n v="50"/>
    <s v="SÉNÉGAL"/>
    <s v="SÉNÉGAL"/>
    <s v="NULL"/>
    <n v="0"/>
    <s v="NULL"/>
    <s v="Greffe"/>
    <s v="Dakar"/>
  </r>
  <r>
    <x v="0"/>
    <x v="99"/>
    <x v="99"/>
    <s v="EMMANUEL DIOH"/>
    <s v="2023-11-06 09:53:37.663"/>
    <n v="50"/>
    <n v="50"/>
    <s v="SÉNÉGAL"/>
    <s v="SÉNÉGAL"/>
    <s v="NULL"/>
    <n v="0"/>
    <s v="NULL"/>
    <s v="Greffe"/>
    <s v="Dakar"/>
  </r>
  <r>
    <x v="0"/>
    <x v="99"/>
    <x v="99"/>
    <s v="EMMANUEL DIOH"/>
    <s v="2023-05-16 11:57:08.110"/>
    <s v="NULL"/>
    <s v="NULL"/>
    <s v="SÉNÉGAL"/>
    <s v="SÉNÉGAL"/>
    <s v="NULL"/>
    <n v="0"/>
    <s v="NULL"/>
    <s v="Greffe"/>
    <s v="Dakar"/>
  </r>
  <r>
    <x v="0"/>
    <x v="99"/>
    <x v="99"/>
    <s v="FALDI ISMAIL"/>
    <s v="2023-07-20 15:20:50.320"/>
    <s v="NULL"/>
    <s v="NULL"/>
    <s v="MAROC"/>
    <s v="MAROC"/>
    <s v="NULL"/>
    <n v="0"/>
    <s v="NULL"/>
    <s v="Greffe"/>
    <s v="Dakar"/>
  </r>
  <r>
    <x v="0"/>
    <x v="100"/>
    <x v="100"/>
    <s v="FALL AMADOU"/>
    <s v="2023-02-02 13:49:50.770"/>
    <s v="NULL"/>
    <s v="NULL"/>
    <s v="HONGRIE"/>
    <s v="HONGRIE"/>
    <s v="NULL"/>
    <n v="0"/>
    <s v="NULL"/>
    <s v="Greffe"/>
    <s v="Dakar"/>
  </r>
  <r>
    <x v="0"/>
    <x v="101"/>
    <x v="101"/>
    <s v="FAMARA KABA"/>
    <s v="2023-06-13 14:55:38.930"/>
    <n v="50"/>
    <n v="50"/>
    <s v="SÉNÉGAL"/>
    <s v="SÉNÉGAL"/>
    <s v="NULL"/>
    <n v="0"/>
    <s v="NULL"/>
    <s v="Greffe"/>
    <s v="Dakar"/>
  </r>
  <r>
    <x v="0"/>
    <x v="102"/>
    <x v="102"/>
    <s v="FANG CHEN"/>
    <s v="2023-06-13 14:55:38.930"/>
    <n v="50"/>
    <n v="50"/>
    <s v="SÉNÉGAL"/>
    <s v="SÉNÉGAL"/>
    <s v="NULL"/>
    <n v="0"/>
    <s v="NULL"/>
    <s v="Greffe"/>
    <s v="Dakar"/>
  </r>
  <r>
    <x v="0"/>
    <x v="102"/>
    <x v="102"/>
    <s v="FANTA CISSE SOUARE"/>
    <s v="2023-06-27 09:14:56.097"/>
    <n v="33"/>
    <n v="33"/>
    <s v="SÉNÉGAL"/>
    <s v="SÉNÉGAL"/>
    <s v="NULL"/>
    <n v="0"/>
    <s v="NULL"/>
    <s v="Greffe"/>
    <s v="Dakar"/>
  </r>
  <r>
    <x v="0"/>
    <x v="102"/>
    <x v="102"/>
    <s v="FANTA FOUNE SOUARE"/>
    <s v="2023-06-27 09:14:56.097"/>
    <n v="33"/>
    <n v="33"/>
    <s v="SÉNÉGAL"/>
    <s v="SÉNÉGAL"/>
    <s v="NULL"/>
    <n v="0"/>
    <s v="NULL"/>
    <s v="Greffe"/>
    <s v="Dakar"/>
  </r>
  <r>
    <x v="0"/>
    <x v="103"/>
    <x v="103"/>
    <s v="FATIMA ZOHRA"/>
    <s v="2023-06-27 09:14:56.097"/>
    <n v="34"/>
    <n v="34"/>
    <s v="ROYAUME-UNI"/>
    <s v="ROYAUME-UNI"/>
    <s v="NULL"/>
    <n v="0"/>
    <s v="NULL"/>
    <s v="Greffe"/>
    <s v="Dakar"/>
  </r>
  <r>
    <x v="0"/>
    <x v="104"/>
    <x v="104"/>
    <s v="FATIMATA BA"/>
    <s v="2023-11-27 09:59:43.160"/>
    <n v="10"/>
    <n v="10"/>
    <s v="SÉNÉGAL"/>
    <s v="SÉNÉGAL"/>
    <s v="NULL"/>
    <n v="0"/>
    <s v="NULL"/>
    <s v="Greffe"/>
    <s v="Dakar"/>
  </r>
  <r>
    <x v="0"/>
    <x v="105"/>
    <x v="105"/>
    <s v="FATOU DIOUF"/>
    <s v="2023-11-27 09:59:43.160"/>
    <n v="35"/>
    <n v="35"/>
    <s v="SÉNÉGAL"/>
    <s v="SÉNÉGAL"/>
    <s v="NULL"/>
    <n v="0"/>
    <s v="NULL"/>
    <s v="Greffe"/>
    <s v="Dakar"/>
  </r>
  <r>
    <x v="0"/>
    <x v="106"/>
    <x v="106"/>
    <s v="FATOU GUEYE"/>
    <s v="2023-11-27 09:59:43.160"/>
    <n v="5"/>
    <n v="5"/>
    <s v="SÉNÉGAL"/>
    <s v="SÉNÉGAL"/>
    <s v="NULL"/>
    <n v="0"/>
    <s v="NULL"/>
    <s v="Greffe"/>
    <s v="Dakar"/>
  </r>
  <r>
    <x v="0"/>
    <x v="107"/>
    <x v="107"/>
    <s v="FATOU KHADY SECK"/>
    <s v="2023-11-27 09:59:43.160"/>
    <n v="50"/>
    <n v="50"/>
    <s v="SÉNÉGAL"/>
    <s v="SÉNÉGAL"/>
    <s v="NULL"/>
    <n v="0"/>
    <s v="NULL"/>
    <s v="Greffe"/>
    <s v="Dakar"/>
  </r>
  <r>
    <x v="0"/>
    <x v="108"/>
    <x v="108"/>
    <s v="FATOU SAKHO"/>
    <s v="2023-01-13 13:34:20.203"/>
    <n v="100"/>
    <n v="100"/>
    <s v="SÉNÉGAL"/>
    <s v="SÉNÉGAL"/>
    <s v="NULL"/>
    <n v="0"/>
    <s v="NULL"/>
    <s v="Greffe"/>
    <s v="Dakar"/>
  </r>
  <r>
    <x v="0"/>
    <x v="109"/>
    <x v="109"/>
    <s v="FATOUMATA MBAYE"/>
    <s v="2023-07-20 16:23:27.507"/>
    <n v="30"/>
    <s v="NULL"/>
    <s v="SÉNÉGAL"/>
    <s v="SÉNÉGAL"/>
    <s v="NULL"/>
    <n v="0"/>
    <s v="NULL"/>
    <s v="Greffe"/>
    <s v="Dakar"/>
  </r>
  <r>
    <x v="0"/>
    <x v="110"/>
    <x v="110"/>
    <s v="FATOUMATA MBAYE"/>
    <s v="2023-07-20 16:23:27.507"/>
    <n v="40"/>
    <s v="NULL"/>
    <s v="SÉNÉGAL"/>
    <s v="SÉNÉGAL"/>
    <s v="NULL"/>
    <n v="0"/>
    <s v="NULL"/>
    <s v="Greffe"/>
    <s v="Dakar"/>
  </r>
  <r>
    <x v="0"/>
    <x v="111"/>
    <x v="111"/>
    <s v="FILY CAMARA"/>
    <s v="2023-07-20 16:23:27.507"/>
    <n v="30"/>
    <s v="NULL"/>
    <s v="SÉNÉGAL"/>
    <s v="SÉNÉGAL"/>
    <s v="NULL"/>
    <n v="0"/>
    <s v="NULL"/>
    <s v="Greffe"/>
    <s v="Dakar"/>
  </r>
  <r>
    <x v="0"/>
    <x v="112"/>
    <x v="112"/>
    <s v="FILY CISSOKHO"/>
    <s v="2023-02-03 12:39:46.120"/>
    <n v="100"/>
    <s v="NULL"/>
    <s v="SÉNÉGAL"/>
    <s v="SÉNÉGAL"/>
    <s v="NULL"/>
    <n v="0"/>
    <s v="NULL"/>
    <s v="Greffe"/>
    <s v="Dakar"/>
  </r>
  <r>
    <x v="0"/>
    <x v="112"/>
    <x v="112"/>
    <s v="FODE DANFAKHA"/>
    <s v="2023-05-19 13:03:52.517"/>
    <n v="100"/>
    <s v="NULL"/>
    <s v="SÉNÉGAL"/>
    <s v="SÉNÉGAL"/>
    <s v="NULL"/>
    <n v="0"/>
    <s v="NULL"/>
    <s v="Greffe"/>
    <s v="Dakar"/>
  </r>
  <r>
    <x v="0"/>
    <x v="113"/>
    <x v="113"/>
    <s v="FRANCOIS CHERPION"/>
    <s v="2023-05-23 13:56:59.267"/>
    <n v="90"/>
    <s v="NULL"/>
    <s v="SÉNÉGAL"/>
    <s v="SÉNÉGAL"/>
    <s v="NULL"/>
    <n v="0"/>
    <s v="NULL"/>
    <s v="Greffe"/>
    <s v="Dakar"/>
  </r>
  <r>
    <x v="0"/>
    <x v="114"/>
    <x v="114"/>
    <s v="FREDERIC EMILE ROYER"/>
    <s v="2023-05-23 13:56:59.267"/>
    <n v="10"/>
    <s v="NULL"/>
    <s v="SÉNÉGAL"/>
    <s v="SÉNÉGAL"/>
    <s v="NULL"/>
    <n v="0"/>
    <s v="NULL"/>
    <s v="Greffe"/>
    <s v="Dakar"/>
  </r>
  <r>
    <x v="0"/>
    <x v="115"/>
    <x v="115"/>
    <s v="FUKUDA KOTARO"/>
    <s v="2023-07-12 13:57:37.030"/>
    <n v="50"/>
    <n v="50"/>
    <s v="SÉNÉGAL"/>
    <s v="SÉNÉGAL"/>
    <s v="NULL"/>
    <n v="0"/>
    <s v="NULL"/>
    <s v="Greffe"/>
    <s v="Dakar"/>
  </r>
  <r>
    <x v="0"/>
    <x v="115"/>
    <x v="115"/>
    <s v="GAYE ASSANE"/>
    <s v="2023-07-12 13:57:37.030"/>
    <n v="50"/>
    <n v="50"/>
    <s v="SÉNÉGAL"/>
    <s v="SÉNÉGAL"/>
    <s v="NULL"/>
    <n v="0"/>
    <s v="NULL"/>
    <s v="Greffe"/>
    <s v="Dakar"/>
  </r>
  <r>
    <x v="0"/>
    <x v="116"/>
    <x v="116"/>
    <s v="GEORGES MICHEL DOUMET"/>
    <s v="2023-11-03 10:06:43.480"/>
    <n v="20"/>
    <n v="20"/>
    <s v="SÉNÉGAL"/>
    <s v="SÉNÉGAL"/>
    <s v="NULL"/>
    <n v="0"/>
    <s v="NULL"/>
    <s v="Greffe"/>
    <s v="Dakar"/>
  </r>
  <r>
    <x v="0"/>
    <x v="117"/>
    <x v="117"/>
    <s v="GEORGES MICHEL DOUMET"/>
    <s v="2023-11-03 10:06:43.480"/>
    <n v="40"/>
    <n v="40"/>
    <s v="SÉNÉGAL"/>
    <s v="SÉNÉGAL"/>
    <s v="NULL"/>
    <n v="0"/>
    <s v="NULL"/>
    <s v="Greffe"/>
    <s v="Dakar"/>
  </r>
  <r>
    <x v="0"/>
    <x v="117"/>
    <x v="117"/>
    <s v="GEORGES NICHOLAS MICHAELIDES"/>
    <s v="2023-11-03 10:06:43.480"/>
    <n v="40"/>
    <n v="40"/>
    <s v="SÉNÉGAL"/>
    <s v="SÉNÉGAL"/>
    <s v="NULL"/>
    <n v="0"/>
    <s v="NULL"/>
    <s v="Greffe"/>
    <s v="Dakar"/>
  </r>
  <r>
    <x v="0"/>
    <x v="118"/>
    <x v="118"/>
    <s v="GERARD ARTHUR KING"/>
    <s v="2023-11-20 13:47:10.650"/>
    <s v="NULL"/>
    <s v="NULL"/>
    <s v="AFRIQUE DU SUD"/>
    <s v="AFRIQUE DU SUD"/>
    <s v="NULL"/>
    <n v="0"/>
    <s v="NULL"/>
    <s v="Greffe"/>
    <s v="Dakar"/>
  </r>
  <r>
    <x v="0"/>
    <x v="119"/>
    <x v="119"/>
    <s v="GHADA DIOKHANE"/>
    <s v="2023-11-20 13:47:10.650"/>
    <s v="NULL"/>
    <s v="NULL"/>
    <s v="FRANCE"/>
    <s v="FRANCE"/>
    <s v="NULL"/>
    <n v="0"/>
    <s v="NULL"/>
    <s v="Greffe"/>
    <s v="Dakar"/>
  </r>
  <r>
    <x v="0"/>
    <x v="119"/>
    <x v="119"/>
    <s v="GUANG YANG"/>
    <s v="2023-07-06 10:00:24.837"/>
    <n v="50"/>
    <n v="50"/>
    <s v="SÉNÉGAL"/>
    <s v="SÉNÉGAL"/>
    <s v="NULL"/>
    <n v="0"/>
    <s v="NULL"/>
    <s v="Greffe"/>
    <s v="Dakar"/>
  </r>
  <r>
    <x v="0"/>
    <x v="119"/>
    <x v="119"/>
    <s v="GUENE MODOU DIOP"/>
    <s v="2023-07-06 10:00:24.837"/>
    <n v="50"/>
    <n v="50"/>
    <s v="SÉNÉGAL"/>
    <s v="SÉNÉGAL"/>
    <s v="NULL"/>
    <n v="0"/>
    <s v="NULL"/>
    <s v="Greffe"/>
    <s v="Dakar"/>
  </r>
  <r>
    <x v="0"/>
    <x v="120"/>
    <x v="120"/>
    <s v="GUEYE"/>
    <s v="2023-07-06 09:08:53.390"/>
    <n v="20"/>
    <n v="20"/>
    <s v="SÉNÉGAL"/>
    <s v="SÉNÉGAL"/>
    <s v="NULL"/>
    <n v="0"/>
    <s v="NULL"/>
    <s v="Greffe"/>
    <s v="Dakar"/>
  </r>
  <r>
    <x v="0"/>
    <x v="120"/>
    <x v="120"/>
    <s v="GUEYE GALAYE"/>
    <s v="2023-07-06 09:08:53.390"/>
    <n v="20"/>
    <n v="20"/>
    <s v="SÉNÉGAL"/>
    <s v="SÉNÉGAL"/>
    <s v="NULL"/>
    <n v="0"/>
    <s v="NULL"/>
    <s v="Greffe"/>
    <s v="Dakar"/>
  </r>
  <r>
    <x v="0"/>
    <x v="121"/>
    <x v="121"/>
    <s v="GUILLAUME JEAN HENRI DUBUY"/>
    <s v="2023-07-06 09:08:53.390"/>
    <n v="20"/>
    <n v="20"/>
    <s v="SÉNÉGAL"/>
    <s v="SÉNÉGAL"/>
    <s v="NULL"/>
    <n v="0"/>
    <s v="NULL"/>
    <s v="Greffe"/>
    <s v="Dakar"/>
  </r>
  <r>
    <x v="0"/>
    <x v="121"/>
    <x v="121"/>
    <s v="GUILLAUME NICOLAS RAYMOND MARTIN"/>
    <s v="2023-07-06 09:08:53.390"/>
    <n v="20"/>
    <n v="20"/>
    <s v="SÉNÉGAL"/>
    <s v="SÉNÉGAL"/>
    <s v="NULL"/>
    <n v="0"/>
    <s v="NULL"/>
    <s v="Greffe"/>
    <s v="Dakar"/>
  </r>
  <r>
    <x v="0"/>
    <x v="122"/>
    <x v="122"/>
    <s v="HADJI PAPA MACOUMBA DIOP"/>
    <s v="2023-07-06 09:08:53.390"/>
    <n v="20"/>
    <n v="20"/>
    <s v="SÉNÉGAL"/>
    <s v="SÉNÉGAL"/>
    <s v="NULL"/>
    <n v="0"/>
    <s v="NULL"/>
    <s v="Greffe"/>
    <s v="Dakar"/>
  </r>
  <r>
    <x v="0"/>
    <x v="122"/>
    <x v="122"/>
    <s v="HAILIAN WANG"/>
    <s v="2023-12-14 13:35:50.000"/>
    <n v="100"/>
    <s v="NULL"/>
    <s v="SÉNÉGAL"/>
    <s v="SÉNÉGAL"/>
    <s v="NULL"/>
    <n v="0"/>
    <s v="NULL"/>
    <s v="Greffe"/>
    <s v="Dakar"/>
  </r>
  <r>
    <x v="0"/>
    <x v="122"/>
    <x v="122"/>
    <s v="HAMIDOU SOW"/>
    <s v="2023-08-22 15:04:26.873"/>
    <s v="NULL"/>
    <s v="NULL"/>
    <s v="SÉNÉGAL"/>
    <s v="SÉNÉGAL"/>
    <s v="NULL"/>
    <n v="0"/>
    <s v="NULL"/>
    <s v="Greffe"/>
    <s v="Dakar"/>
  </r>
  <r>
    <x v="0"/>
    <x v="123"/>
    <x v="123"/>
    <s v="HASSANA DIALLO"/>
    <s v="2023-03-13 16:34:49.310"/>
    <n v="15"/>
    <n v="15"/>
    <s v="SÉNÉGAL"/>
    <s v="SÉNÉGAL"/>
    <s v="NULL"/>
    <n v="0"/>
    <s v="NULL"/>
    <s v="Greffe"/>
    <s v="Dakar"/>
  </r>
  <r>
    <x v="0"/>
    <x v="123"/>
    <x v="123"/>
    <s v="HAYATI BAYRAM"/>
    <s v="2023-03-13 16:34:49.310"/>
    <n v="15"/>
    <n v="15"/>
    <s v="SÉNÉGAL"/>
    <s v="SÉNÉGAL"/>
    <s v="NULL"/>
    <n v="0"/>
    <s v="NULL"/>
    <s v="Greffe"/>
    <s v="Dakar"/>
  </r>
  <r>
    <x v="0"/>
    <x v="123"/>
    <x v="123"/>
    <s v="HE XIUYUN"/>
    <s v="2023-05-03 15:24:35.440"/>
    <s v="NULL"/>
    <s v="NULL"/>
    <s v="SÉNÉGAL"/>
    <s v="SÉNÉGAL"/>
    <s v="NULL"/>
    <n v="0"/>
    <s v="NULL"/>
    <s v="Greffe"/>
    <s v="Dakar"/>
  </r>
  <r>
    <x v="0"/>
    <x v="123"/>
    <x v="123"/>
    <s v="HENRY STANLY"/>
    <s v="2023-03-13 16:34:49.310"/>
    <n v="15"/>
    <n v="15"/>
    <s v="SÉNÉGAL"/>
    <s v="SÉNÉGAL"/>
    <s v="NULL"/>
    <n v="0"/>
    <s v="NULL"/>
    <s v="Greffe"/>
    <s v="Dakar"/>
  </r>
  <r>
    <x v="0"/>
    <x v="124"/>
    <x v="124"/>
    <s v="HEQIANG YU"/>
    <s v="2023-10-20 11:51:03.910"/>
    <n v="5"/>
    <s v="NULL"/>
    <s v="SÉNÉGAL"/>
    <s v="SÉNÉGAL"/>
    <s v="NULL"/>
    <n v="0"/>
    <s v="NULL"/>
    <s v="Greffe"/>
    <s v="Dakar"/>
  </r>
  <r>
    <x v="0"/>
    <x v="125"/>
    <x v="125"/>
    <s v="HITESH GOPAL GORASIA"/>
    <s v="2023-10-20 11:51:03.910"/>
    <n v="5"/>
    <s v="NULL"/>
    <s v="SÉNÉGAL"/>
    <s v="SÉNÉGAL"/>
    <s v="NULL"/>
    <n v="0"/>
    <s v="NULL"/>
    <s v="Greffe"/>
    <s v="Dakar"/>
  </r>
  <r>
    <x v="0"/>
    <x v="126"/>
    <x v="126"/>
    <s v="HUANG JIEQI"/>
    <s v="2023-10-20 11:51:03.910"/>
    <n v="90"/>
    <s v="NULL"/>
    <s v="SÉNÉGAL"/>
    <s v="SÉNÉGAL"/>
    <s v="NULL"/>
    <n v="0"/>
    <s v="NULL"/>
    <s v="Greffe"/>
    <s v="Dakar"/>
  </r>
  <r>
    <x v="0"/>
    <x v="126"/>
    <x v="126"/>
    <s v="HUANG PING"/>
    <s v="2023-02-22 13:19:54.303"/>
    <n v="50"/>
    <n v="50"/>
    <s v="SUISSE"/>
    <s v="SUISSE"/>
    <s v="NULL"/>
    <n v="0"/>
    <s v="NULL"/>
    <s v="Greffe"/>
    <s v="Dakar"/>
  </r>
  <r>
    <x v="0"/>
    <x v="127"/>
    <x v="127"/>
    <s v="HUANG QILIU"/>
    <s v="2023-02-22 13:19:54.303"/>
    <n v="50"/>
    <n v="50"/>
    <s v="SUISSE"/>
    <s v="SUISSE"/>
    <s v="NULL"/>
    <n v="0"/>
    <s v="NULL"/>
    <s v="Greffe"/>
    <s v="Dakar"/>
  </r>
  <r>
    <x v="0"/>
    <x v="128"/>
    <x v="128"/>
    <s v="HUANG XIANZI"/>
    <s v="2023-05-22 15:20:16.997"/>
    <n v="30"/>
    <n v="30"/>
    <s v="SÉNÉGAL"/>
    <s v="SÉNÉGAL"/>
    <s v="NULL"/>
    <n v="0"/>
    <s v="NULL"/>
    <s v="Greffe"/>
    <s v="Dakar"/>
  </r>
  <r>
    <x v="0"/>
    <x v="129"/>
    <x v="129"/>
    <s v="IBRAHIM SONKO"/>
    <s v="2023-05-22 15:20:16.997"/>
    <n v="70"/>
    <n v="70"/>
    <s v="CAMEROUN"/>
    <s v="CAMEROUN"/>
    <s v="NULL"/>
    <n v="0"/>
    <s v="NULL"/>
    <s v="Greffe"/>
    <s v="Dakar"/>
  </r>
  <r>
    <x v="0"/>
    <x v="130"/>
    <x v="130"/>
    <s v="IBRAHIMA CISSOKHO"/>
    <s v="2023-01-27 11:47:03.997"/>
    <s v="NULL"/>
    <s v="NULL"/>
    <s v="SUISSE"/>
    <s v="SUISSE"/>
    <s v="NULL"/>
    <n v="0"/>
    <s v="NULL"/>
    <s v="Greffe"/>
    <s v="Dakar"/>
  </r>
  <r>
    <x v="0"/>
    <x v="131"/>
    <x v="131"/>
    <s v="IBRAHIMA CISSOKHO"/>
    <s v="2023-01-27 11:47:03.997"/>
    <s v="NULL"/>
    <s v="NULL"/>
    <s v="ÉGYPTE"/>
    <s v="ÉGYPTE"/>
    <s v="EGYPT"/>
    <n v="1"/>
    <s v="NAGUIB ONSI SAWIRIS"/>
    <s v="Greffe"/>
    <s v="Dakar"/>
  </r>
  <r>
    <x v="0"/>
    <x v="131"/>
    <x v="131"/>
    <s v="IBRAHIMA DIAW"/>
    <s v="2023-01-27 11:47:03.997"/>
    <s v="NULL"/>
    <s v="NULL"/>
    <s v="ÉGYPTE"/>
    <s v="ÉGYPTE"/>
    <s v="ÉGYPTE"/>
    <n v="1"/>
    <s v="NAGUIB ONSI SAWIRIS"/>
    <s v="Greffe"/>
    <s v="Dakar"/>
  </r>
  <r>
    <x v="0"/>
    <x v="132"/>
    <x v="132"/>
    <s v="IBRAHIMA DIAW"/>
    <s v="2023-05-24 16:53:38.570"/>
    <n v="100"/>
    <n v="100"/>
    <s v="SÉNÉGAL"/>
    <s v="SÉNÉGAL"/>
    <s v="NULL"/>
    <n v="0"/>
    <s v="NULL"/>
    <s v="Greffe"/>
    <s v="Dakar"/>
  </r>
  <r>
    <x v="0"/>
    <x v="133"/>
    <x v="133"/>
    <s v="IBRAHIMA GAYE"/>
    <s v="2023-03-13 16:34:49.310"/>
    <n v="15"/>
    <n v="15"/>
    <s v="SÉNÉGAL"/>
    <s v="SÉNÉGAL"/>
    <s v="NULL"/>
    <n v="0"/>
    <s v="NULL"/>
    <s v="Greffe"/>
    <s v="Dakar"/>
  </r>
  <r>
    <x v="0"/>
    <x v="134"/>
    <x v="134"/>
    <s v="IBRAHIMA HANE"/>
    <s v="2023-03-13 16:34:49.310"/>
    <n v="40"/>
    <n v="40"/>
    <s v="SÉNÉGAL"/>
    <s v="SÉNÉGAL"/>
    <s v="NULL"/>
    <n v="0"/>
    <s v="NULL"/>
    <s v="Greffe"/>
    <s v="Dakar"/>
  </r>
  <r>
    <x v="0"/>
    <x v="134"/>
    <x v="134"/>
    <s v="IBRAHIMA KHALIL BALDE"/>
    <s v="2023-06-07 15:18:57.323"/>
    <n v="100"/>
    <n v="100"/>
    <s v="SÉNÉGAL"/>
    <s v="SÉNÉGAL"/>
    <s v="NULL"/>
    <n v="0"/>
    <s v="NULL"/>
    <s v="Greffe"/>
    <s v="Dakar"/>
  </r>
  <r>
    <x v="0"/>
    <x v="134"/>
    <x v="134"/>
    <s v="IBRAHIMA KHALILE SONKO"/>
    <s v="2023-07-20 10:11:19.497"/>
    <n v="20"/>
    <n v="20"/>
    <s v="SÉNÉGAL"/>
    <s v="SÉNÉGAL"/>
    <s v="NULL"/>
    <n v="0"/>
    <s v="NULL"/>
    <s v="Greffe"/>
    <s v="Dakar"/>
  </r>
  <r>
    <x v="0"/>
    <x v="135"/>
    <x v="135"/>
    <s v="IBRAHIMA MBACKE"/>
    <s v="2023-07-20 10:11:19.497"/>
    <n v="30"/>
    <n v="30"/>
    <s v="SÉNÉGAL"/>
    <s v="SÉNÉGAL"/>
    <s v="NULL"/>
    <n v="0"/>
    <s v="NULL"/>
    <s v="Greffe"/>
    <s v="Dakar"/>
  </r>
  <r>
    <x v="0"/>
    <x v="136"/>
    <x v="136"/>
    <s v="IBRAHIMA MBACKE"/>
    <s v="2023-07-20 10:11:19.497"/>
    <n v="20"/>
    <n v="20"/>
    <s v="SÉNÉGAL"/>
    <s v="SÉNÉGAL"/>
    <s v="NULL"/>
    <n v="0"/>
    <s v="NULL"/>
    <s v="Greffe"/>
    <s v="Dakar"/>
  </r>
  <r>
    <x v="0"/>
    <x v="136"/>
    <x v="136"/>
    <s v="IBRAHIMA MBACKE"/>
    <s v="2023-07-20 10:11:19.497"/>
    <n v="30"/>
    <n v="30"/>
    <s v="SÉNÉGAL"/>
    <s v="SÉNÉGAL"/>
    <s v="NULL"/>
    <n v="0"/>
    <s v="NULL"/>
    <s v="Greffe"/>
    <s v="Dakar"/>
  </r>
  <r>
    <x v="0"/>
    <x v="137"/>
    <x v="137"/>
    <s v="IBRAHIMA MBACKE"/>
    <s v="2023-03-23 15:12:26.627"/>
    <n v="15"/>
    <n v="15"/>
    <s v="SÉNÉGAL"/>
    <s v="SÉNÉGAL"/>
    <s v="NULL"/>
    <n v="0"/>
    <s v="NULL"/>
    <s v="Greffe"/>
    <s v="Dakar"/>
  </r>
  <r>
    <x v="0"/>
    <x v="138"/>
    <x v="138"/>
    <s v="IBRAHIMA N'DANE"/>
    <s v="2023-03-23 15:12:26.627"/>
    <n v="50"/>
    <n v="50"/>
    <s v="SÉNÉGAL"/>
    <s v="SÉNÉGAL"/>
    <s v="NULL"/>
    <n v="0"/>
    <s v="NULL"/>
    <s v="Greffe"/>
    <s v="Dakar"/>
  </r>
  <r>
    <x v="0"/>
    <x v="138"/>
    <x v="138"/>
    <s v="IBRAHIMA NGOM"/>
    <s v="2023-03-23 15:12:26.627"/>
    <n v="10"/>
    <n v="10"/>
    <s v="SÉNÉGAL"/>
    <s v="SÉNÉGAL"/>
    <s v="NULL"/>
    <n v="0"/>
    <s v="NULL"/>
    <s v="Greffe"/>
    <s v="Dakar"/>
  </r>
  <r>
    <x v="0"/>
    <x v="139"/>
    <x v="139"/>
    <s v="IBRAHIMA SAKHO"/>
    <s v="2023-03-23 15:12:26.627"/>
    <n v="25"/>
    <n v="25"/>
    <s v="SÉNÉGAL"/>
    <s v="SÉNÉGAL"/>
    <s v="NULL"/>
    <n v="0"/>
    <s v="NULL"/>
    <s v="Greffe"/>
    <s v="Dakar"/>
  </r>
  <r>
    <x v="0"/>
    <x v="139"/>
    <x v="139"/>
    <s v="IBRAHIMA SORY KEITA"/>
    <s v="2023-09-07 14:27:42.150"/>
    <n v="34"/>
    <s v="NULL"/>
    <s v="SÉNÉGAL"/>
    <s v="SÉNÉGAL"/>
    <s v="NULL"/>
    <n v="0"/>
    <s v="NULL"/>
    <s v="Greffe"/>
    <s v="Dakar"/>
  </r>
  <r>
    <x v="0"/>
    <x v="139"/>
    <x v="139"/>
    <s v="IBRAHIMA SOW"/>
    <s v="2023-01-27 13:25:29.290"/>
    <n v="2"/>
    <s v="NULL"/>
    <s v="SÉNÉGAL"/>
    <s v="SÉNÉGAL"/>
    <s v="NULL"/>
    <n v="0"/>
    <s v="NULL"/>
    <s v="Greffe"/>
    <s v="Dakar"/>
  </r>
  <r>
    <x v="0"/>
    <x v="140"/>
    <x v="140"/>
    <s v="IBRAHIMA THIAM"/>
    <s v="2023-04-26 15:13:53.983"/>
    <n v="50"/>
    <n v="50"/>
    <s v="SÉNÉGAL"/>
    <s v="SÉNÉGAL"/>
    <s v="NULL"/>
    <n v="0"/>
    <s v="NULL"/>
    <s v="Greffe"/>
    <s v="Dakar"/>
  </r>
  <r>
    <x v="0"/>
    <x v="140"/>
    <x v="140"/>
    <s v="IDRISSA BODIAN"/>
    <s v="2023-04-26 15:13:53.983"/>
    <n v="50"/>
    <n v="50"/>
    <s v="SÉNÉGAL"/>
    <s v="SÉNÉGAL"/>
    <s v="NULL"/>
    <n v="0"/>
    <s v="NULL"/>
    <s v="Greffe"/>
    <s v="Dakar"/>
  </r>
  <r>
    <x v="0"/>
    <x v="141"/>
    <x v="141"/>
    <s v="IGINIO TERZI"/>
    <s v="2023-03-07 09:48:55.627"/>
    <s v="NULL"/>
    <s v="NULL"/>
    <s v="AUSTRALIE"/>
    <s v="AUSTRALIE"/>
    <s v="NULL"/>
    <n v="0"/>
    <s v="NULL"/>
    <s v="Greffe"/>
    <s v="Dakar"/>
  </r>
  <r>
    <x v="0"/>
    <x v="142"/>
    <x v="142"/>
    <s v="IMAD TOUMI"/>
    <s v="2023-12-08 11:26:32.713"/>
    <n v="50"/>
    <n v="50"/>
    <s v="SÉNÉGAL"/>
    <s v="SÉNÉGAL"/>
    <s v="NULL"/>
    <n v="0"/>
    <s v="NULL"/>
    <s v="Greffe"/>
    <s v="Dakar"/>
  </r>
  <r>
    <x v="0"/>
    <x v="142"/>
    <x v="142"/>
    <s v="JACQUES MARIE MERCERON-VICAT"/>
    <s v="2023-12-08 11:26:32.713"/>
    <n v="50"/>
    <n v="50"/>
    <s v="CANADA"/>
    <s v="CANADA"/>
    <s v="NULL"/>
    <n v="0"/>
    <s v="NULL"/>
    <s v="Greffe"/>
    <s v="Dakar"/>
  </r>
  <r>
    <x v="0"/>
    <x v="142"/>
    <x v="142"/>
    <s v="JAMAI USAGE BICHAT-JAMAI MAEVA MAHBOUBA VERONIQUE"/>
    <s v="2023-03-30 10:01:38.490"/>
    <s v="NULL"/>
    <s v="NULL"/>
    <s v="SÉNÉGAL"/>
    <s v="SÉNÉGAL"/>
    <s v="NULL"/>
    <n v="0"/>
    <s v="NULL"/>
    <s v="Greffe"/>
    <s v="Dakar"/>
  </r>
  <r>
    <x v="0"/>
    <x v="142"/>
    <x v="142"/>
    <s v="JEAN MARC GERBER"/>
    <s v="2023-03-30 10:01:38.490"/>
    <s v="NULL"/>
    <s v="NULL"/>
    <s v="SÉNÉGAL"/>
    <s v="SÉNÉGAL"/>
    <s v="NULL"/>
    <s v="NULL"/>
    <s v="NULL"/>
    <s v="Greffe"/>
    <s v="Dakar"/>
  </r>
  <r>
    <x v="0"/>
    <x v="142"/>
    <x v="142"/>
    <s v="JEAN MICHEL ALBERT MARCEL"/>
    <s v="2023-03-30 10:01:38.490"/>
    <s v="NULL"/>
    <s v="NULL"/>
    <s v="SÉNÉGAL"/>
    <s v="SÉNÉGAL"/>
    <s v="NULL"/>
    <n v="0"/>
    <s v="NULL"/>
    <s v="Greffe"/>
    <s v="Dakar"/>
  </r>
  <r>
    <x v="0"/>
    <x v="143"/>
    <x v="143"/>
    <s v="JEAN MICHEL ALBERT MARCEL MAES"/>
    <s v="2023-04-12 15:56:28.120"/>
    <n v="100"/>
    <s v="99.96"/>
    <s v="SÉNÉGAL"/>
    <s v="SÉNÉGAL"/>
    <s v="NULL"/>
    <n v="0"/>
    <s v="NULL"/>
    <s v="Greffe"/>
    <s v="Dakar"/>
  </r>
  <r>
    <x v="0"/>
    <x v="143"/>
    <x v="143"/>
    <s v="JEAN NOEL BITTAR"/>
    <s v="2023-06-16 10:36:40.637"/>
    <s v="NULL"/>
    <s v="NULL"/>
    <s v="SÉNÉGAL"/>
    <s v="SÉNÉGAL"/>
    <s v="NULL"/>
    <n v="0"/>
    <s v="NULL"/>
    <s v="Greffe"/>
    <s v="Dakar"/>
  </r>
  <r>
    <x v="0"/>
    <x v="144"/>
    <x v="144"/>
    <s v="JEAN PIERRE GERBER"/>
    <s v="2023-02-02 08:28:51.077"/>
    <n v="70"/>
    <n v="70"/>
    <s v="SÉNÉGAL"/>
    <s v="SÉNÉGAL"/>
    <s v="NULL"/>
    <n v="0"/>
    <s v="NULL"/>
    <s v="Greffe"/>
    <s v="Dakar"/>
  </r>
  <r>
    <x v="0"/>
    <x v="145"/>
    <x v="145"/>
    <s v="JEAN SERGE HOUNKANLIN DOSSOU"/>
    <s v="2023-02-02 08:28:51.077"/>
    <n v="30"/>
    <n v="30"/>
    <s v="SÉNÉGAL"/>
    <s v="SÉNÉGAL"/>
    <s v="NULL"/>
    <n v="0"/>
    <s v="NULL"/>
    <s v="Greffe"/>
    <s v="Dakar"/>
  </r>
  <r>
    <x v="0"/>
    <x v="146"/>
    <x v="146"/>
    <s v="JEAN SERGE HOUNKANLIN DOSSOU"/>
    <s v="2023-05-23 11:38:42.217"/>
    <n v="100"/>
    <s v="NULL"/>
    <s v="SÉNÉGAL"/>
    <s v="SÉNÉGAL"/>
    <s v="NULL"/>
    <n v="0"/>
    <s v="NULL"/>
    <s v="Greffe"/>
    <s v="Dakar"/>
  </r>
  <r>
    <x v="0"/>
    <x v="146"/>
    <x v="146"/>
    <s v="JEAN-BRICE SAINT-MARTIN"/>
    <s v="2023-12-26 15:44:19.147"/>
    <n v="100"/>
    <n v="100"/>
    <s v="SÉNÉGAL"/>
    <s v="SÉNÉGAL"/>
    <s v="NULL"/>
    <n v="0"/>
    <s v="NULL"/>
    <s v="Greffe"/>
    <s v="Dakar"/>
  </r>
  <r>
    <x v="0"/>
    <x v="147"/>
    <x v="147"/>
    <s v="JENNIFER ALICE ELISABETH HUVERS DE VRIES"/>
    <s v="2023-08-22 08:34:56.247"/>
    <n v="100"/>
    <s v="NULL"/>
    <s v="SÉNÉGAL"/>
    <s v="SÉNÉGAL"/>
    <s v="NULL"/>
    <n v="0"/>
    <s v="NULL"/>
    <s v="Greffe"/>
    <s v="Dakar"/>
  </r>
  <r>
    <x v="0"/>
    <x v="148"/>
    <x v="148"/>
    <s v="JIEQI HUANG"/>
    <s v="2023-04-28 10:20:25.723"/>
    <n v="100"/>
    <n v="100"/>
    <s v="SÉNÉGAL"/>
    <s v="SÉNÉGAL"/>
    <s v="NULL"/>
    <n v="0"/>
    <s v="NULL"/>
    <s v="Greffe"/>
    <s v="Dakar"/>
  </r>
  <r>
    <x v="0"/>
    <x v="149"/>
    <x v="149"/>
    <s v="JIEQI HUANG"/>
    <s v="2023-01-27 11:16:10.017"/>
    <s v="NULL"/>
    <s v="NULL"/>
    <s v="SÉNÉGAL"/>
    <s v="SÉNÉGAL"/>
    <s v="NULL"/>
    <n v="0"/>
    <s v="NULL"/>
    <s v="Greffe"/>
    <s v="Dakar"/>
  </r>
  <r>
    <x v="0"/>
    <x v="150"/>
    <x v="150"/>
    <s v="JIEQI HUANG"/>
    <s v="2023-01-27 13:50:56.630"/>
    <s v="NULL"/>
    <s v="NULL"/>
    <s v="FRANCE"/>
    <s v="FRANCE"/>
    <s v="NULL"/>
    <n v="0"/>
    <s v="NULL"/>
    <s v="Greffe"/>
    <s v="Dakar"/>
  </r>
  <r>
    <x v="0"/>
    <x v="151"/>
    <x v="151"/>
    <s v="JINSONG WEN"/>
    <s v="2023-01-27 13:50:56.630"/>
    <s v="NULL"/>
    <s v="NULL"/>
    <s v="ÉGYPTE"/>
    <s v="ÉGYPTE"/>
    <s v="EGYPT"/>
    <n v="1"/>
    <s v="NAGUIB ONSI SAWIRIS"/>
    <s v="Greffe"/>
    <s v="Dakar"/>
  </r>
  <r>
    <x v="0"/>
    <x v="151"/>
    <x v="151"/>
    <s v="JORGE ALBERTO GANOZA DURANT"/>
    <s v="2023-01-27 13:50:56.630"/>
    <s v="NULL"/>
    <s v="NULL"/>
    <s v="ÉGYPTE"/>
    <s v="ÉGYPTE"/>
    <s v="ÉGYPTE"/>
    <n v="1"/>
    <s v="NAGUIB ONSI SAWIRIS"/>
    <s v="Greffe"/>
    <s v="Dakar"/>
  </r>
  <r>
    <x v="0"/>
    <x v="152"/>
    <x v="152"/>
    <s v="JOSEPH PREIRA"/>
    <s v="2023-05-03 15:51:46.553"/>
    <n v="55"/>
    <s v="NULL"/>
    <s v="SÉNÉGAL"/>
    <s v="SÉNÉGAL"/>
    <s v="NULL"/>
    <n v="0"/>
    <s v="NULL"/>
    <s v="Greffe"/>
    <s v="Dakar"/>
  </r>
  <r>
    <x v="0"/>
    <x v="152"/>
    <x v="152"/>
    <s v="JULIEN ALEXANDRE COURCHET"/>
    <s v="2023-05-03 15:51:46.553"/>
    <n v="45"/>
    <n v="45"/>
    <s v="SÉNÉGAL"/>
    <s v="SÉNÉGAL"/>
    <s v="NULL"/>
    <n v="0"/>
    <s v="NULL"/>
    <s v="Greffe"/>
    <s v="Dakar"/>
  </r>
  <r>
    <x v="0"/>
    <x v="153"/>
    <x v="153"/>
    <s v="JUNMING YANG"/>
    <s v="2023-04-20 10:20:30.170"/>
    <n v="5"/>
    <n v="5"/>
    <s v="SÉNÉGAL"/>
    <s v="SÉNÉGAL"/>
    <s v="NULL"/>
    <n v="0"/>
    <s v="NULL"/>
    <s v="Greffe"/>
    <s v="Dakar"/>
  </r>
  <r>
    <x v="0"/>
    <x v="153"/>
    <x v="153"/>
    <s v="JUNMING YANG"/>
    <s v="2023-04-20 10:20:30.170"/>
    <n v="5"/>
    <n v="5"/>
    <s v="SÉNÉGAL"/>
    <s v="SÉNÉGAL"/>
    <s v="NULL"/>
    <n v="0"/>
    <s v="NULL"/>
    <s v="Greffe"/>
    <s v="Dakar"/>
  </r>
  <r>
    <x v="0"/>
    <x v="154"/>
    <x v="154"/>
    <s v="KA ABOU BAKRY"/>
    <s v="2023-04-20 10:20:30.170"/>
    <n v="5"/>
    <n v="5"/>
    <s v="SÉNÉGAL"/>
    <s v="SÉNÉGAL"/>
    <s v="NULL"/>
    <n v="0"/>
    <s v="NULL"/>
    <s v="Greffe"/>
    <s v="Dakar"/>
  </r>
  <r>
    <x v="0"/>
    <x v="154"/>
    <x v="154"/>
    <s v="KAIXIANG SONG"/>
    <s v="2023-04-20 10:20:30.170"/>
    <n v="70"/>
    <n v="70"/>
    <s v="SÉNÉGAL"/>
    <s v="SÉNÉGAL"/>
    <s v="NULL"/>
    <n v="0"/>
    <s v="NULL"/>
    <s v="Greffe"/>
    <s v="Dakar"/>
  </r>
  <r>
    <x v="0"/>
    <x v="154"/>
    <x v="154"/>
    <s v="KAIXIANG SONG"/>
    <s v="2023-04-20 10:20:30.170"/>
    <n v="5"/>
    <n v="5"/>
    <s v="SÉNÉGAL"/>
    <s v="SÉNÉGAL"/>
    <s v="NULL"/>
    <n v="0"/>
    <s v="NULL"/>
    <s v="Greffe"/>
    <s v="Dakar"/>
  </r>
  <r>
    <x v="0"/>
    <x v="154"/>
    <x v="154"/>
    <s v="KALY KEITA"/>
    <s v="2023-04-20 10:20:30.170"/>
    <n v="5"/>
    <n v="5"/>
    <s v="SÉNÉGAL"/>
    <s v="SÉNÉGAL"/>
    <s v="NULL"/>
    <n v="0"/>
    <s v="NULL"/>
    <s v="Greffe"/>
    <s v="Dakar"/>
  </r>
  <r>
    <x v="0"/>
    <x v="154"/>
    <x v="154"/>
    <s v="KALYAN RAVJI PATEL"/>
    <s v="2023-04-20 10:20:30.170"/>
    <n v="5"/>
    <n v="5"/>
    <s v="SÉNÉGAL"/>
    <s v="SÉNÉGAL"/>
    <s v="NULL"/>
    <n v="0"/>
    <s v="NULL"/>
    <s v="Greffe"/>
    <s v="Dakar"/>
  </r>
  <r>
    <x v="0"/>
    <x v="155"/>
    <x v="155"/>
    <s v="KAMIDOU KABA"/>
    <s v="2023-09-29 14:56:26.230"/>
    <n v="100"/>
    <n v="100"/>
    <s v="SÉNÉGAL"/>
    <s v="SÉNÉGAL"/>
    <s v="NULL"/>
    <n v="0"/>
    <s v="NULL"/>
    <s v="Greffe"/>
    <s v="Dakar"/>
  </r>
  <r>
    <x v="0"/>
    <x v="156"/>
    <x v="156"/>
    <s v="KANTE ALASSANE"/>
    <s v="2023-03-13 15:56:33.843"/>
    <n v="100"/>
    <n v="100"/>
    <s v="SÉNÉGAL"/>
    <s v="SÉNÉGAL"/>
    <s v="NULL"/>
    <n v="0"/>
    <s v="NULL"/>
    <s v="Greffe"/>
    <s v="Dakar"/>
  </r>
  <r>
    <x v="0"/>
    <x v="156"/>
    <x v="156"/>
    <s v="KARAMBA KALOGA"/>
    <s v="2023-06-07 13:00:35.723"/>
    <s v="NULL"/>
    <s v="NULL"/>
    <s v="PAKISTAN"/>
    <s v="PAKISTAN"/>
    <s v="NULL"/>
    <n v="0"/>
    <s v="NULL"/>
    <s v="Greffe"/>
    <s v="Dakar"/>
  </r>
  <r>
    <x v="0"/>
    <x v="157"/>
    <x v="157"/>
    <s v="KARAMOKHODING SAKHO"/>
    <s v="2023-02-21 15:31:59.233"/>
    <s v="NULL"/>
    <s v="NULL"/>
    <s v="SÉNÉGAL"/>
    <s v="SÉNÉGAL"/>
    <s v="NULL"/>
    <n v="0"/>
    <s v="NULL"/>
    <s v="Greffe"/>
    <s v="Dakar"/>
  </r>
  <r>
    <x v="0"/>
    <x v="158"/>
    <x v="158"/>
    <s v="KARASSE KANE"/>
    <s v="2023-02-21 15:31:59.233"/>
    <s v="NULL"/>
    <s v="NULL"/>
    <s v="SÉNÉGAL"/>
    <s v="SÉNÉGAL"/>
    <s v="NULL"/>
    <n v="0"/>
    <s v="NULL"/>
    <s v="Greffe"/>
    <s v="Dakar"/>
  </r>
  <r>
    <x v="0"/>
    <x v="158"/>
    <x v="158"/>
    <s v="KARASSE KANE"/>
    <s v="2023-02-21 15:31:59.233"/>
    <s v="NULL"/>
    <s v="NULL"/>
    <s v="SÉNÉGAL"/>
    <s v="SÉNÉGAL"/>
    <s v="NULL"/>
    <n v="0"/>
    <s v="NULL"/>
    <s v="Greffe"/>
    <s v="Dakar"/>
  </r>
  <r>
    <x v="0"/>
    <x v="158"/>
    <x v="158"/>
    <s v="KARASSE KANE"/>
    <s v="2023-07-31 11:36:06.970"/>
    <n v="10"/>
    <n v="10"/>
    <s v="SÉNÉGAL"/>
    <s v="SÉNÉGAL"/>
    <s v="NULL"/>
    <n v="0"/>
    <s v="NULL"/>
    <s v="Greffe"/>
    <s v="Dakar"/>
  </r>
  <r>
    <x v="0"/>
    <x v="159"/>
    <x v="159"/>
    <s v="KARIM HARATI"/>
    <s v="2023-07-31 11:36:06.970"/>
    <n v="10"/>
    <n v="10"/>
    <s v="SÉNÉGAL"/>
    <s v="SÉNÉGAL"/>
    <s v="NULL"/>
    <n v="0"/>
    <s v="NULL"/>
    <s v="Greffe"/>
    <s v="Dakar"/>
  </r>
  <r>
    <x v="0"/>
    <x v="160"/>
    <x v="160"/>
    <s v="KENGUE MITAMONA JAUDY BREMN"/>
    <s v="2023-07-31 11:36:06.970"/>
    <n v="70"/>
    <n v="70"/>
    <s v="SÉNÉGAL"/>
    <s v="SÉNÉGAL"/>
    <s v="NULL"/>
    <n v="0"/>
    <s v="NULL"/>
    <s v="Greffe"/>
    <s v="Dakar"/>
  </r>
  <r>
    <x v="0"/>
    <x v="160"/>
    <x v="160"/>
    <s v="KHADIDIATOU BA"/>
    <s v="2023-07-31 11:36:06.970"/>
    <n v="10"/>
    <n v="10"/>
    <s v="SÉNÉGAL"/>
    <s v="SÉNÉGAL"/>
    <s v="NULL"/>
    <n v="0"/>
    <s v="NULL"/>
    <s v="Greffe"/>
    <s v="Dakar"/>
  </r>
  <r>
    <x v="0"/>
    <x v="161"/>
    <x v="161"/>
    <s v="KHADIDIATOU SARR"/>
    <s v="2023-03-23 10:41:50.637"/>
    <s v="NULL"/>
    <s v="NULL"/>
    <s v="SÉNÉGAL"/>
    <s v="SÉNÉGAL"/>
    <s v="NULL"/>
    <n v="0"/>
    <s v="NULL"/>
    <s v="Greffe"/>
    <s v="Dakar"/>
  </r>
  <r>
    <x v="0"/>
    <x v="161"/>
    <x v="161"/>
    <s v="KHADIDIATOU THIAM"/>
    <s v="2023-01-24 11:22:00.427"/>
    <s v="NULL"/>
    <s v="NULL"/>
    <s v="SÉNÉGAL"/>
    <s v="SÉNÉGAL"/>
    <s v="NULL"/>
    <n v="0"/>
    <s v="NULL"/>
    <s v="Greffe"/>
    <s v="Dakar"/>
  </r>
  <r>
    <x v="0"/>
    <x v="162"/>
    <x v="162"/>
    <s v="KHADIM DIOUF"/>
    <s v="2023-01-24 11:22:00.427"/>
    <s v="NULL"/>
    <s v="NULL"/>
    <s v="SÉNÉGAL"/>
    <s v="SÉNÉGAL"/>
    <s v="NULL"/>
    <n v="0"/>
    <s v="NULL"/>
    <s v="Greffe"/>
    <s v="Dakar"/>
  </r>
  <r>
    <x v="0"/>
    <x v="163"/>
    <x v="163"/>
    <s v="KHADY DIOR NDIAYE"/>
    <s v="2023-12-24 16:09:02.610"/>
    <n v="60"/>
    <n v="60"/>
    <s v="SÉNÉGAL"/>
    <s v="SÉNÉGAL"/>
    <s v="NULL"/>
    <n v="0"/>
    <s v="NULL"/>
    <s v="Greffe"/>
    <s v="Dakar"/>
  </r>
  <r>
    <x v="0"/>
    <x v="164"/>
    <x v="164"/>
    <s v="KHADY LENA SY"/>
    <s v="2023-12-24 16:09:02.610"/>
    <n v="20"/>
    <n v="20"/>
    <s v="SÉNÉGAL"/>
    <s v="SÉNÉGAL"/>
    <s v="NULL"/>
    <n v="0"/>
    <s v="NULL"/>
    <s v="Greffe"/>
    <s v="Dakar"/>
  </r>
  <r>
    <x v="0"/>
    <x v="165"/>
    <x v="165"/>
    <s v="KHALILOU DIOP"/>
    <s v="2023-12-24 16:09:02.610"/>
    <n v="20"/>
    <n v="20"/>
    <s v="SÉNÉGAL"/>
    <s v="SÉNÉGAL"/>
    <s v="NULL"/>
    <n v="0"/>
    <s v="NULL"/>
    <s v="Greffe"/>
    <s v="Dakar"/>
  </r>
  <r>
    <x v="0"/>
    <x v="165"/>
    <x v="165"/>
    <s v="KOFFI FELIX EKRA"/>
    <s v="2023-10-09 09:00:38.800"/>
    <s v="NULL"/>
    <s v="NULL"/>
    <s v="FRANCE"/>
    <s v="FRANCE"/>
    <s v="NULL"/>
    <n v="0"/>
    <s v="NULL"/>
    <s v="Greffe"/>
    <s v="Dakar"/>
  </r>
  <r>
    <x v="0"/>
    <x v="166"/>
    <x v="166"/>
    <s v="KOUMOUNA SADIAKHOU"/>
    <s v="2023-12-01 14:55:20.087"/>
    <n v="14"/>
    <s v="NULL"/>
    <s v="SÉNÉGAL"/>
    <s v="SÉNÉGAL"/>
    <s v="NULL"/>
    <n v="0"/>
    <s v="NULL"/>
    <s v="Greffe"/>
    <s v="Dakar"/>
  </r>
  <r>
    <x v="0"/>
    <x v="167"/>
    <x v="167"/>
    <s v="KWAMI SESSI GAYI"/>
    <s v="2023-12-01 14:55:20.087"/>
    <n v="30"/>
    <s v="NULL"/>
    <s v="FRANCE"/>
    <s v="FRANCE"/>
    <s v="NULL"/>
    <n v="0"/>
    <s v="NULL"/>
    <s v="Greffe"/>
    <s v="Dakar"/>
  </r>
  <r>
    <x v="0"/>
    <x v="167"/>
    <x v="167"/>
    <s v="KWAMI SESSI GAYI"/>
    <s v="2023-12-01 14:55:20.087"/>
    <n v="14"/>
    <s v="NULL"/>
    <s v="FRANCE"/>
    <s v="FRANCE"/>
    <s v="NULL"/>
    <n v="0"/>
    <s v="NULL"/>
    <s v="Greffe"/>
    <s v="Dakar"/>
  </r>
  <r>
    <x v="0"/>
    <x v="168"/>
    <x v="168"/>
    <s v="LAMINE DABO"/>
    <s v="2023-12-01 14:55:20.087"/>
    <n v="14"/>
    <s v="NULL"/>
    <s v="SÉNÉGAL"/>
    <s v="SÉNÉGAL"/>
    <s v="NULL"/>
    <n v="0"/>
    <s v="NULL"/>
    <s v="Greffe"/>
    <s v="Dakar"/>
  </r>
  <r>
    <x v="0"/>
    <x v="168"/>
    <x v="168"/>
    <s v="LAMINE DIABY"/>
    <s v="2023-12-01 14:55:20.087"/>
    <n v="13"/>
    <s v="NULL"/>
    <s v="SÉNÉGAL"/>
    <s v="SÉNÉGAL"/>
    <s v="NULL"/>
    <n v="0"/>
    <s v="NULL"/>
    <s v="Greffe"/>
    <s v="Dakar"/>
  </r>
  <r>
    <x v="0"/>
    <x v="169"/>
    <x v="169"/>
    <s v="LAMINE DIACK DIOUF"/>
    <s v="2023-12-01 14:55:20.087"/>
    <n v="15"/>
    <s v="NULL"/>
    <s v="FRANCE"/>
    <s v="FRANCE"/>
    <s v="NULL"/>
    <n v="0"/>
    <s v="NULL"/>
    <s v="Greffe"/>
    <s v="Dakar"/>
  </r>
  <r>
    <x v="0"/>
    <x v="170"/>
    <x v="170"/>
    <s v="LAMINE DIACK DIOUF"/>
    <s v="2023-12-14 14:03:45.547"/>
    <s v="NULL"/>
    <s v="NULL"/>
    <s v="LIBAN"/>
    <s v="LIBAN"/>
    <s v="NULL"/>
    <n v="0"/>
    <s v="NULL"/>
    <s v="Greffe"/>
    <s v="Dakar"/>
  </r>
  <r>
    <x v="0"/>
    <x v="171"/>
    <x v="171"/>
    <s v="LAMINE DIACK DIOUF"/>
    <s v="2023-12-14 14:03:45.547"/>
    <s v="NULL"/>
    <s v="NULL"/>
    <s v="SÉNÉGAL"/>
    <s v="SÉNÉGAL"/>
    <s v="NULL"/>
    <n v="0"/>
    <s v="NULL"/>
    <s v="Greffe"/>
    <s v="Dakar"/>
  </r>
  <r>
    <x v="0"/>
    <x v="171"/>
    <x v="171"/>
    <s v="LAMINE DIACK DIOUF"/>
    <s v="2023-04-18 14:42:17.360"/>
    <n v="100"/>
    <s v="NULL"/>
    <s v="SÉNÉGAL"/>
    <s v="SÉNÉGAL"/>
    <s v="NULL"/>
    <n v="0"/>
    <s v="NULL"/>
    <s v="Greffe"/>
    <s v="Dakar"/>
  </r>
  <r>
    <x v="0"/>
    <x v="172"/>
    <x v="172"/>
    <s v="LAMINE DIOP"/>
    <s v="2023-04-26 12:18:31.457"/>
    <n v="100"/>
    <s v="NULL"/>
    <s v="SÉNÉGAL"/>
    <s v="SÉNÉGAL"/>
    <s v="NULL"/>
    <n v="0"/>
    <s v="NULL"/>
    <s v="Greffe"/>
    <s v="Dakar"/>
  </r>
  <r>
    <x v="0"/>
    <x v="172"/>
    <x v="172"/>
    <s v="LAMINE KABA"/>
    <s v="2023-06-12 13:08:57.573"/>
    <s v="NULL"/>
    <s v="NULL"/>
    <s v="SÉNÉGAL"/>
    <s v="SÉNÉGAL"/>
    <s v="NULL"/>
    <n v="0"/>
    <s v="NULL"/>
    <s v="Greffe"/>
    <s v="Dakar"/>
  </r>
  <r>
    <x v="0"/>
    <x v="173"/>
    <x v="173"/>
    <s v="LAMINE KONARE"/>
    <s v="2023-09-12 14:57:14.000"/>
    <n v="100"/>
    <s v="NULL"/>
    <s v="SÉNÉGAL"/>
    <s v="SÉNÉGAL"/>
    <s v="NULL"/>
    <n v="0"/>
    <s v="NULL"/>
    <s v="Greffe"/>
    <s v="Dakar"/>
  </r>
  <r>
    <x v="0"/>
    <x v="173"/>
    <x v="173"/>
    <s v="LAMINE SONKO"/>
    <s v="2023-02-10 10:51:11.687"/>
    <n v="100"/>
    <n v="100"/>
    <s v="SÉNÉGAL"/>
    <s v="SÉNÉGAL"/>
    <s v="NULL"/>
    <n v="0"/>
    <s v="NULL"/>
    <s v="Greffe"/>
    <s v="Dakar"/>
  </r>
  <r>
    <x v="0"/>
    <x v="173"/>
    <x v="173"/>
    <s v="LAMINE SY"/>
    <s v="2023-04-11 15:49:33.603"/>
    <n v="33"/>
    <n v="33"/>
    <s v="SÉNÉGAL"/>
    <s v="SÉNÉGAL"/>
    <s v="NULL"/>
    <n v="0"/>
    <s v="NULL"/>
    <s v="Greffe"/>
    <s v="Dakar"/>
  </r>
  <r>
    <x v="0"/>
    <x v="174"/>
    <x v="174"/>
    <s v="LATYR TANOR DIENG"/>
    <s v="2023-05-10 08:25:05.087"/>
    <n v="100"/>
    <n v="100"/>
    <s v="SÉNÉGAL"/>
    <s v="SÉNÉGAL"/>
    <s v="NULL"/>
    <n v="0"/>
    <s v="NULL"/>
    <s v="Greffe"/>
    <s v="Dakar"/>
  </r>
  <r>
    <x v="0"/>
    <x v="174"/>
    <x v="174"/>
    <s v="LAURENT DIARRA"/>
    <s v="2023-08-14 08:07:46.390"/>
    <n v="100"/>
    <s v="NULL"/>
    <s v="SÉNÉGAL"/>
    <s v="SÉNÉGAL"/>
    <s v="NULL"/>
    <n v="0"/>
    <s v="NULL"/>
    <s v="Greffe"/>
    <s v="Dakar"/>
  </r>
  <r>
    <x v="0"/>
    <x v="174"/>
    <x v="174"/>
    <s v="LAYE BEYE"/>
    <s v="2023-04-11 15:49:33.603"/>
    <n v="33"/>
    <n v="33"/>
    <s v="SÉNÉGAL"/>
    <s v="SÉNÉGAL"/>
    <s v="NULL"/>
    <n v="0"/>
    <s v="NULL"/>
    <s v="Greffe"/>
    <s v="Dakar"/>
  </r>
  <r>
    <x v="0"/>
    <x v="175"/>
    <x v="175"/>
    <s v="LAYTI NDIAYE"/>
    <s v="2023-04-11 15:49:33.603"/>
    <n v="34"/>
    <n v="34"/>
    <s v="SÉNÉGAL"/>
    <s v="SÉNÉGAL"/>
    <s v="NULL"/>
    <n v="0"/>
    <s v="NULL"/>
    <s v="Greffe"/>
    <s v="Dakar"/>
  </r>
  <r>
    <x v="0"/>
    <x v="175"/>
    <x v="175"/>
    <s v="LAYTI NDIAYE"/>
    <s v="2024-03-14 15:11:30.777"/>
    <n v="100"/>
    <n v="100"/>
    <s v="SÉNÉGAL"/>
    <s v="SÉNÉGAL"/>
    <s v="NULL"/>
    <n v="0"/>
    <s v="NULL"/>
    <s v="Greffe"/>
    <s v="Dakar"/>
  </r>
  <r>
    <x v="0"/>
    <x v="175"/>
    <x v="175"/>
    <s v="LIN WEI SONG"/>
    <s v="2024-01-12 09:09:56.773"/>
    <n v="100"/>
    <n v="100"/>
    <s v="SÉNÉGAL"/>
    <s v="SÉNÉGAL"/>
    <s v="NULL"/>
    <n v="0"/>
    <s v="NULL"/>
    <s v="Greffe"/>
    <s v="Dakar"/>
  </r>
  <r>
    <x v="0"/>
    <x v="176"/>
    <x v="176"/>
    <s v="LIU YANLONG"/>
    <s v="2024-02-15 10:53:42.337"/>
    <s v="NULL"/>
    <s v="NULL"/>
    <s v="LIBAN"/>
    <s v="LIBAN"/>
    <s v="NULL"/>
    <n v="0"/>
    <s v="NULL"/>
    <s v="Greffe"/>
    <s v="Dakar"/>
  </r>
  <r>
    <x v="0"/>
    <x v="176"/>
    <x v="176"/>
    <s v="LOLO CAMARA"/>
    <s v="2024-11-26 14:11:10.363"/>
    <n v="33"/>
    <n v="33"/>
    <s v="SÉNÉGAL"/>
    <s v="SÉNÉGAL"/>
    <s v="NULL"/>
    <n v="0"/>
    <s v="NULL"/>
    <s v="Greffe"/>
    <s v="Dakar"/>
  </r>
  <r>
    <x v="0"/>
    <x v="176"/>
    <x v="176"/>
    <s v="LONZHANG WEI"/>
    <s v="2024-11-26 14:11:10.363"/>
    <n v="34"/>
    <n v="34"/>
    <s v="SÉNÉGAL"/>
    <s v="SÉNÉGAL"/>
    <s v="NULL"/>
    <n v="0"/>
    <s v="NULL"/>
    <s v="Greffe"/>
    <s v="Dakar"/>
  </r>
  <r>
    <x v="0"/>
    <x v="176"/>
    <x v="176"/>
    <s v="LOTFALLA LAYOUSSE"/>
    <s v="2024-11-26 14:11:10.363"/>
    <n v="33"/>
    <n v="33"/>
    <s v="SÉNÉGAL"/>
    <s v="SÉNÉGAL"/>
    <s v="NULL"/>
    <n v="0"/>
    <s v="NULL"/>
    <s v="Greffe"/>
    <s v="Dakar"/>
  </r>
  <r>
    <x v="0"/>
    <x v="177"/>
    <x v="177"/>
    <s v="LOUISE HORNBY"/>
    <s v="2024-07-09 13:41:54.150"/>
    <n v="25"/>
    <n v="25"/>
    <s v="SÉNÉGAL"/>
    <s v="SÉNÉGAL"/>
    <s v="NULL"/>
    <n v="0"/>
    <s v="NULL"/>
    <s v="Greffe"/>
    <s v="Dakar"/>
  </r>
  <r>
    <x v="0"/>
    <x v="178"/>
    <x v="178"/>
    <s v="LUCAS CHARLES ENZO PEREZ"/>
    <s v="2024-07-09 13:41:54.150"/>
    <n v="75"/>
    <n v="75"/>
    <s v="SÉNÉGAL"/>
    <s v="SÉNÉGAL"/>
    <s v="NULL"/>
    <n v="0"/>
    <s v="NULL"/>
    <s v="Greffe"/>
    <s v="Dakar"/>
  </r>
  <r>
    <x v="0"/>
    <x v="178"/>
    <x v="178"/>
    <s v="LUIGI CAIAZZO"/>
    <s v="2024-03-29 10:39:20.883"/>
    <s v="NULL"/>
    <s v="NULL"/>
    <s v="SÉNÉGAL"/>
    <s v="SÉNÉGAL"/>
    <s v="NULL"/>
    <n v="0"/>
    <s v="NULL"/>
    <s v="Greffe"/>
    <s v="Dakar"/>
  </r>
  <r>
    <x v="0"/>
    <x v="178"/>
    <x v="178"/>
    <s v="MADY CAMARA"/>
    <s v="2024-11-22 12:00:20.480"/>
    <s v="NULL"/>
    <s v="NULL"/>
    <s v="FRANCE"/>
    <s v="FRANCE"/>
    <s v="NULL"/>
    <n v="0"/>
    <s v="NULL"/>
    <s v="Greffe"/>
    <s v="Dakar"/>
  </r>
  <r>
    <x v="0"/>
    <x v="179"/>
    <x v="179"/>
    <s v="MADY SOUMARE"/>
    <s v="2024-02-09 11:53:34.940"/>
    <n v="50"/>
    <n v="50"/>
    <s v="SÉNÉGAL"/>
    <s v="SÉNÉGAL"/>
    <s v="NULL"/>
    <n v="0"/>
    <s v="NULL"/>
    <s v="Greffe"/>
    <s v="Dakar"/>
  </r>
  <r>
    <x v="0"/>
    <x v="180"/>
    <x v="180"/>
    <s v="MAGATTE GAYE"/>
    <s v="2024-02-09 11:53:34.940"/>
    <n v="50"/>
    <n v="50"/>
    <s v="SÉNÉGAL"/>
    <s v="SÉNÉGAL"/>
    <s v="NULL"/>
    <n v="0"/>
    <s v="NULL"/>
    <s v="Greffe"/>
    <s v="Dakar"/>
  </r>
  <r>
    <x v="0"/>
    <x v="181"/>
    <x v="181"/>
    <s v="MAGUETTE SECK"/>
    <s v="2024-01-12 09:32:24.367"/>
    <n v="100"/>
    <n v="100"/>
    <s v="SÉNÉGAL"/>
    <s v="SÉNÉGAL"/>
    <s v="NULL"/>
    <n v="0"/>
    <s v="NULL"/>
    <s v="Greffe"/>
    <s v="Dakar"/>
  </r>
  <r>
    <x v="0"/>
    <x v="182"/>
    <x v="182"/>
    <s v="MAHMOUTH FALL"/>
    <s v="2024-07-26 13:26:19.370"/>
    <n v="100"/>
    <s v="NULL"/>
    <s v="SÉNÉGAL"/>
    <s v="SÉNÉGAL"/>
    <s v="NULL"/>
    <n v="0"/>
    <s v="NULL"/>
    <s v="Greffe"/>
    <s v="Dakar"/>
  </r>
  <r>
    <x v="0"/>
    <x v="182"/>
    <x v="182"/>
    <s v="MAHOMAD BACHIR"/>
    <s v="2024-01-12 13:35:36.850"/>
    <n v="100"/>
    <n v="100"/>
    <s v="SÉNÉGAL"/>
    <s v="SÉNÉGAL"/>
    <s v="NULL"/>
    <n v="0"/>
    <s v="NULL"/>
    <s v="Greffe"/>
    <s v="Dakar"/>
  </r>
  <r>
    <x v="0"/>
    <x v="182"/>
    <x v="182"/>
    <s v="MAIRAM SONKO"/>
    <s v="2024-09-10 09:01:56.687"/>
    <n v="25"/>
    <n v="25"/>
    <s v="SÉNÉGAL"/>
    <s v="SÉNÉGAL"/>
    <s v="NULL"/>
    <n v="0"/>
    <s v="NULL"/>
    <s v="Greffe"/>
    <s v="Dakar"/>
  </r>
  <r>
    <x v="0"/>
    <x v="183"/>
    <x v="183"/>
    <s v="MAKHAN CAMARA"/>
    <s v="2024-09-10 09:01:56.687"/>
    <n v="75"/>
    <n v="75"/>
    <s v="SÉNÉGAL"/>
    <s v="SÉNÉGAL"/>
    <s v="NULL"/>
    <n v="0"/>
    <s v="NULL"/>
    <s v="Greffe"/>
    <s v="Dakar"/>
  </r>
  <r>
    <x v="0"/>
    <x v="184"/>
    <x v="184"/>
    <s v="MALICK FAYE"/>
    <s v="2024-12-16 15:48:06.717"/>
    <s v="NULL"/>
    <s v="NULL"/>
    <s v="SÉNÉGAL"/>
    <s v="SÉNÉGAL"/>
    <s v="NULL"/>
    <n v="0"/>
    <s v="NULL"/>
    <s v="Greffe"/>
    <s v="Dakar"/>
  </r>
  <r>
    <x v="0"/>
    <x v="185"/>
    <x v="185"/>
    <s v="MAMADOU ALPHA BARRY"/>
    <s v="2024-09-06 08:37:52.037"/>
    <n v="50"/>
    <n v="50"/>
    <s v="SÉNÉGAL"/>
    <s v="SÉNÉGAL"/>
    <s v="NULL"/>
    <n v="0"/>
    <s v="NULL"/>
    <s v="Greffe"/>
    <s v="Dakar"/>
  </r>
  <r>
    <x v="0"/>
    <x v="185"/>
    <x v="185"/>
    <s v="MAMADOU DENAGO SARRE"/>
    <s v="2024-09-06 08:37:52.037"/>
    <n v="50"/>
    <n v="50"/>
    <s v="SÉNÉGAL"/>
    <s v="SÉNÉGAL"/>
    <s v="NULL"/>
    <n v="0"/>
    <s v="NULL"/>
    <s v="Greffe"/>
    <s v="Dakar"/>
  </r>
  <r>
    <x v="0"/>
    <x v="185"/>
    <x v="185"/>
    <s v="MAMADOU DIAKHITE DIARRA"/>
    <s v="2024-05-15 09:18:53.207"/>
    <n v="25"/>
    <n v="25"/>
    <s v="SÉNÉGAL"/>
    <s v="SÉNÉGAL"/>
    <s v="NULL"/>
    <n v="0"/>
    <s v="NULL"/>
    <s v="Greffe"/>
    <s v="Dakar"/>
  </r>
  <r>
    <x v="0"/>
    <x v="186"/>
    <x v="186"/>
    <s v="MAMADOU DIAW"/>
    <s v="2024-07-04 09:53:24.367"/>
    <n v="5"/>
    <n v="5"/>
    <s v="SÉNÉGAL"/>
    <s v="SÉNÉGAL"/>
    <s v="NULL"/>
    <n v="0"/>
    <s v="NULL"/>
    <s v="Greffe"/>
    <s v="Dakar"/>
  </r>
  <r>
    <x v="0"/>
    <x v="186"/>
    <x v="186"/>
    <s v="MAMADOU DIAW"/>
    <s v="2024-07-04 09:53:24.367"/>
    <n v="95"/>
    <n v="95"/>
    <s v="SÉNÉGAL"/>
    <s v="SÉNÉGAL"/>
    <s v="NULL"/>
    <n v="0"/>
    <s v="NULL"/>
    <s v="Greffe"/>
    <s v="Dakar"/>
  </r>
  <r>
    <x v="0"/>
    <x v="187"/>
    <x v="187"/>
    <s v="MAMADOU DIOP"/>
    <s v="2024-03-18 10:13:55.643"/>
    <n v="20"/>
    <n v="20"/>
    <s v="SÉNÉGAL"/>
    <s v="SÉNÉGAL"/>
    <s v="NULL"/>
    <n v="0"/>
    <s v="NULL"/>
    <s v="Greffe"/>
    <s v="Dakar"/>
  </r>
  <r>
    <x v="0"/>
    <x v="188"/>
    <x v="188"/>
    <s v="MAMADOU GUEYE"/>
    <s v="2024-03-18 10:13:55.643"/>
    <n v="80"/>
    <n v="80"/>
    <s v="SÉNÉGAL"/>
    <s v="SÉNÉGAL"/>
    <s v="NULL"/>
    <n v="0"/>
    <s v="NULL"/>
    <s v="Greffe"/>
    <s v="Dakar"/>
  </r>
  <r>
    <x v="0"/>
    <x v="189"/>
    <x v="189"/>
    <s v="MAMADOU KA"/>
    <s v="2024-02-29 13:54:04.207"/>
    <n v="5"/>
    <n v="5"/>
    <s v="SÉNÉGAL"/>
    <s v="SÉNÉGAL"/>
    <s v="NULL"/>
    <n v="0"/>
    <s v="NULL"/>
    <s v="Greffe"/>
    <s v="Dakar"/>
  </r>
  <r>
    <x v="0"/>
    <x v="190"/>
    <x v="190"/>
    <s v="MAMADOU KEITA"/>
    <s v="2024-02-29 13:54:04.207"/>
    <n v="90"/>
    <n v="90"/>
    <s v="SÉNÉGAL"/>
    <s v="SÉNÉGAL"/>
    <s v="NULL"/>
    <n v="0"/>
    <s v="NULL"/>
    <s v="Greffe"/>
    <s v="Dakar"/>
  </r>
  <r>
    <x v="0"/>
    <x v="191"/>
    <x v="191"/>
    <s v="MAMADOU LAMINE KEITA"/>
    <s v="2024-02-29 13:54:04.207"/>
    <n v="5"/>
    <n v="5"/>
    <s v="SÉNÉGAL"/>
    <s v="SÉNÉGAL"/>
    <s v="NULL"/>
    <n v="0"/>
    <s v="NULL"/>
    <s v="Greffe"/>
    <s v="Dakar"/>
  </r>
  <r>
    <x v="0"/>
    <x v="192"/>
    <x v="192"/>
    <s v="MAMADOU LOUM"/>
    <s v="2024-03-27 11:37:25.707"/>
    <s v="NULL"/>
    <s v="NULL"/>
    <s v="SÉNÉGAL"/>
    <s v="SÉNÉGAL"/>
    <s v="NULL"/>
    <n v="0"/>
    <s v="NULL"/>
    <s v="Greffe"/>
    <s v="Dakar"/>
  </r>
  <r>
    <x v="0"/>
    <x v="193"/>
    <x v="193"/>
    <s v="MAMADOU MANDE GUEYE"/>
    <s v="2024-04-18 14:47:01.697"/>
    <n v="100"/>
    <n v="100"/>
    <s v="SÉNÉGAL"/>
    <s v="SÉNÉGAL"/>
    <s v="NULL"/>
    <n v="0"/>
    <s v="NULL"/>
    <s v="Greffe"/>
    <s v="Dakar"/>
  </r>
  <r>
    <x v="0"/>
    <x v="194"/>
    <x v="194"/>
    <s v="MAMADOU MBAYE"/>
    <s v="2024-05-15 09:18:53.207"/>
    <n v="75"/>
    <n v="75"/>
    <s v="SÉNÉGAL"/>
    <s v="SÉNÉGAL"/>
    <s v="NULL"/>
    <n v="0"/>
    <s v="NULL"/>
    <s v="Greffe"/>
    <s v="Dakar"/>
  </r>
  <r>
    <x v="0"/>
    <x v="195"/>
    <x v="195"/>
    <s v="MAMADOU MOUSTAPHA LO"/>
    <s v="2024-02-09 11:37:57.190"/>
    <n v="30"/>
    <n v="30"/>
    <s v="SÉNÉGAL"/>
    <s v="SÉNÉGAL"/>
    <s v="NULL"/>
    <n v="0"/>
    <s v="NULL"/>
    <s v="Greffe"/>
    <s v="Dakar"/>
  </r>
  <r>
    <x v="0"/>
    <x v="196"/>
    <x v="196"/>
    <s v="MAMADOU MOUSTAPHA MBACKE"/>
    <s v="2024-02-09 11:37:57.190"/>
    <n v="30"/>
    <n v="30"/>
    <s v="SÉNÉGAL"/>
    <s v="SÉNÉGAL"/>
    <s v="NULL"/>
    <n v="0"/>
    <s v="NULL"/>
    <s v="Greffe"/>
    <s v="Dakar"/>
  </r>
  <r>
    <x v="0"/>
    <x v="197"/>
    <x v="197"/>
    <s v="MAMADOU OURY BA"/>
    <s v="2024-02-09 11:37:57.190"/>
    <n v="40"/>
    <n v="40"/>
    <s v="SÉNÉGAL"/>
    <s v="SÉNÉGAL"/>
    <s v="NULL"/>
    <n v="0"/>
    <s v="NULL"/>
    <s v="Greffe"/>
    <s v="Dakar"/>
  </r>
  <r>
    <x v="0"/>
    <x v="197"/>
    <x v="197"/>
    <s v="MAMADOU SAKHO"/>
    <s v="2024-07-02 16:10:08.687"/>
    <n v="100"/>
    <n v="100"/>
    <s v="SÉNÉGAL"/>
    <s v="SÉNÉGAL"/>
    <s v="NULL"/>
    <n v="0"/>
    <s v="NULL"/>
    <s v="Greffe"/>
    <s v="Dakar"/>
  </r>
  <r>
    <x v="0"/>
    <x v="197"/>
    <x v="197"/>
    <s v="MAMADOU SARR"/>
    <s v="2024-03-28 13:28:52.360"/>
    <n v="100"/>
    <n v="100"/>
    <s v="SÉNÉGAL"/>
    <s v="SÉNÉGAL"/>
    <s v="NULL"/>
    <n v="0"/>
    <s v="NULL"/>
    <s v="Greffe"/>
    <s v="Dakar"/>
  </r>
  <r>
    <x v="0"/>
    <x v="198"/>
    <x v="198"/>
    <s v="MAMADOU SECK"/>
    <s v="2024-03-08 10:29:07.657"/>
    <n v="14"/>
    <s v="NULL"/>
    <s v="ITALIE"/>
    <s v="ITALIE"/>
    <s v="NULL"/>
    <n v="0"/>
    <s v="NULL"/>
    <s v="Greffe"/>
    <s v="Dakar"/>
  </r>
  <r>
    <x v="0"/>
    <x v="198"/>
    <x v="198"/>
    <s v="MAMADOU SOUARE"/>
    <s v="2024-03-08 10:29:07.657"/>
    <n v="23"/>
    <s v="NULL"/>
    <s v="SÉNÉGAL"/>
    <s v="SÉNÉGAL"/>
    <s v="NULL"/>
    <n v="0"/>
    <s v="NULL"/>
    <s v="Greffe"/>
    <s v="Dakar"/>
  </r>
  <r>
    <x v="0"/>
    <x v="198"/>
    <x v="198"/>
    <s v="MAMADOU SY"/>
    <s v="2024-03-08 10:29:07.657"/>
    <n v="13"/>
    <s v="NULL"/>
    <s v="SÉNÉGAL"/>
    <s v="SÉNÉGAL"/>
    <s v="NULL"/>
    <n v="0"/>
    <s v="NULL"/>
    <s v="Greffe"/>
    <s v="Dakar"/>
  </r>
  <r>
    <x v="0"/>
    <x v="199"/>
    <x v="199"/>
    <s v="MAMADOU SY"/>
    <s v="2024-07-03 15:47:14.400"/>
    <n v="50"/>
    <n v="50"/>
    <s v="SÉNÉGAL"/>
    <s v="SÉNÉGAL"/>
    <s v="NULL"/>
    <n v="0"/>
    <s v="NULL"/>
    <s v="Greffe"/>
    <s v="Dakar"/>
  </r>
  <r>
    <x v="0"/>
    <x v="200"/>
    <x v="200"/>
    <s v="MAMADY TOURE"/>
    <s v="2024-07-26 11:19:41.933"/>
    <n v="100"/>
    <n v="100"/>
    <s v="SÉNÉGAL"/>
    <s v="SÉNÉGAL"/>
    <s v="NULL"/>
    <n v="0"/>
    <s v="NULL"/>
    <s v="Greffe"/>
    <s v="Dakar"/>
  </r>
  <r>
    <x v="0"/>
    <x v="201"/>
    <x v="201"/>
    <s v="MAMADY TOURE"/>
    <s v="2024-07-03 15:47:14.401"/>
    <n v="150"/>
    <n v="150"/>
    <s v="SÉNÉGAL"/>
    <s v="SÉNÉGAL"/>
    <s v="NULL"/>
    <n v="0"/>
    <s v="NULL"/>
    <s v="Greffe"/>
    <s v="Dakar"/>
  </r>
  <r>
    <x v="0"/>
    <x v="202"/>
    <x v="202"/>
    <s v="MAME DIARRA DIOP"/>
    <s v="2024-07-26 11:19:41.934"/>
    <n v="200"/>
    <n v="200"/>
    <s v="SÉNÉGAL"/>
    <s v="SÉNÉGAL"/>
    <s v="NULL"/>
    <n v="0"/>
    <s v="NULL"/>
    <s v="Greffe"/>
    <s v="Dakar"/>
  </r>
  <r>
    <x v="0"/>
    <x v="203"/>
    <x v="203"/>
    <s v="MAME ISSA GAYE THIOYE"/>
    <s v="2024-03-08 10:29:07.657"/>
    <n v="50"/>
    <s v="NULL"/>
    <s v="ITALIE"/>
    <s v="ITALIE"/>
    <s v="NULL"/>
    <n v="0"/>
    <s v="NULL"/>
    <s v="Greffe"/>
    <s v="Dakar"/>
  </r>
  <r>
    <x v="0"/>
    <x v="203"/>
    <x v="203"/>
    <s v="MAME LEYE MBAYE"/>
    <s v="2024-02-02 09:58:46.587"/>
    <s v="NULL"/>
    <n v="70"/>
    <s v="SÉNÉGAL"/>
    <s v="SÉNÉGAL"/>
    <s v="NULL"/>
    <s v="NULL"/>
    <s v="NULL"/>
    <s v="Greffe"/>
    <s v="Dakar"/>
  </r>
  <r>
    <x v="0"/>
    <x v="203"/>
    <x v="203"/>
    <s v="MAME MALICK BA"/>
    <s v="2024-02-02 09:58:46.587"/>
    <n v="30"/>
    <n v="30"/>
    <s v="SÉNÉGAL"/>
    <s v="SÉNÉGAL"/>
    <s v="NULL"/>
    <n v="0"/>
    <s v="NULL"/>
    <s v="Greffe"/>
    <s v="Dakar"/>
  </r>
  <r>
    <x v="0"/>
    <x v="203"/>
    <x v="203"/>
    <s v="MAME MATAR SECK"/>
    <s v="2024-03-28 11:47:54.150"/>
    <n v="100"/>
    <n v="100"/>
    <s v="SÉNÉGAL"/>
    <s v="SÉNÉGAL"/>
    <s v="NULL"/>
    <n v="0"/>
    <s v="NULL"/>
    <s v="Greffe"/>
    <s v="Dakar"/>
  </r>
  <r>
    <x v="0"/>
    <x v="203"/>
    <x v="203"/>
    <s v="MAMOUNE GAYE"/>
    <s v="2024-07-26 13:47:29.547"/>
    <n v="100"/>
    <s v="NULL"/>
    <s v="SÉNÉGAL"/>
    <s v="SÉNÉGAL"/>
    <s v="NULL"/>
    <n v="0"/>
    <s v="NULL"/>
    <s v="Greffe"/>
    <s v="Dakar"/>
  </r>
  <r>
    <x v="0"/>
    <x v="203"/>
    <x v="203"/>
    <s v="Mamour NDIAYE"/>
    <s v="2024-03-20 11:55:46.160"/>
    <s v="NULL"/>
    <s v="NULL"/>
    <s v="SÉNÉGAL"/>
    <s v="SÉNÉGAL"/>
    <s v="NULL"/>
    <n v="0"/>
    <s v="NULL"/>
    <s v="Greffe"/>
    <s v="Dakar"/>
  </r>
  <r>
    <x v="0"/>
    <x v="203"/>
    <x v="203"/>
    <s v="MANSOUR AMADOU SOW"/>
    <s v="2024-01-26 10:47:12.450"/>
    <n v="100"/>
    <n v="100"/>
    <s v="SÉNÉGAL"/>
    <s v="SÉNÉGAL"/>
    <s v="NULL"/>
    <n v="0"/>
    <s v="NULL"/>
    <s v="Greffe"/>
    <s v="Dakar"/>
  </r>
  <r>
    <x v="0"/>
    <x v="204"/>
    <x v="204"/>
    <s v="MANSOUR SY"/>
    <s v="2024-11-12 13:07:35.363"/>
    <n v="50"/>
    <n v="50"/>
    <s v="SÉNÉGAL"/>
    <s v="SÉNÉGAL"/>
    <s v="NULL"/>
    <n v="0"/>
    <s v="NULL"/>
    <s v="Greffe"/>
    <s v="Dakar"/>
  </r>
  <r>
    <x v="0"/>
    <x v="205"/>
    <x v="205"/>
    <s v="MARIAMA BAKHOUM"/>
    <s v="2024-11-12 13:07:35.363"/>
    <n v="50"/>
    <n v="50"/>
    <s v="SÉNÉGAL"/>
    <s v="SÉNÉGAL"/>
    <s v="NULL"/>
    <n v="0"/>
    <s v="NULL"/>
    <s v="Greffe"/>
    <s v="Dakar"/>
  </r>
  <r>
    <x v="0"/>
    <x v="205"/>
    <x v="205"/>
    <s v="MARIAMA DIALLO"/>
    <s v="2024-01-18 15:06:32.927"/>
    <n v="90"/>
    <s v="NULL"/>
    <s v="SÉNÉGAL"/>
    <s v="SÉNÉGAL"/>
    <s v="NULL"/>
    <n v="0"/>
    <s v="NULL"/>
    <s v="Greffe"/>
    <s v="Dakar"/>
  </r>
  <r>
    <x v="0"/>
    <x v="205"/>
    <x v="205"/>
    <s v="MARIAMA GUEYE"/>
    <s v="2024-07-16 09:22:02.473"/>
    <n v="50"/>
    <s v="NULL"/>
    <s v="SÉNÉGAL"/>
    <s v="SÉNÉGAL"/>
    <s v="NULL"/>
    <n v="0"/>
    <s v="NULL"/>
    <s v="Greffe"/>
    <s v="Dakar"/>
  </r>
  <r>
    <x v="0"/>
    <x v="206"/>
    <x v="206"/>
    <s v="MARIAMA KANE"/>
    <s v="2024-07-16 09:22:02.473"/>
    <n v="50"/>
    <s v="NULL"/>
    <s v="SÉNÉGAL"/>
    <s v="SÉNÉGAL"/>
    <s v="NULL"/>
    <n v="0"/>
    <s v="NULL"/>
    <s v="Greffe"/>
    <s v="Dakar"/>
  </r>
  <r>
    <x v="0"/>
    <x v="206"/>
    <x v="206"/>
    <s v="MARIAMA NDONG"/>
    <s v="2024-01-18 15:06:32.927"/>
    <n v="10"/>
    <s v="NULL"/>
    <s v="SÉNÉGAL"/>
    <s v="SÉNÉGAL"/>
    <s v="NULL"/>
    <n v="0"/>
    <s v="NULL"/>
    <s v="Greffe"/>
    <s v="Dakar"/>
  </r>
  <r>
    <x v="0"/>
    <x v="206"/>
    <x v="206"/>
    <s v="MARIE JOSEPHINE THERERSE DIONE"/>
    <s v="2024-01-06 16:29:35.020"/>
    <n v="21"/>
    <n v="21"/>
    <s v="SÉNÉGAL"/>
    <s v="SÉNÉGAL"/>
    <s v="NULL"/>
    <n v="0"/>
    <s v="NULL"/>
    <s v="Greffe"/>
    <s v="Dakar"/>
  </r>
  <r>
    <x v="0"/>
    <x v="207"/>
    <x v="207"/>
    <s v="MARK PHILIPP GOSSEL"/>
    <s v="2024-01-06 16:29:35.020"/>
    <n v="27"/>
    <n v="27"/>
    <s v="SÉNÉGAL"/>
    <s v="SÉNÉGAL"/>
    <s v="NULL"/>
    <n v="0"/>
    <s v="NULL"/>
    <s v="Greffe"/>
    <s v="Dakar"/>
  </r>
  <r>
    <x v="0"/>
    <x v="207"/>
    <x v="207"/>
    <s v="MARTIN JOACHIM PAWLISCHEK"/>
    <s v="2024-01-06 16:29:35.020"/>
    <n v="5"/>
    <n v="5"/>
    <s v="SÉNÉGAL"/>
    <s v="SÉNÉGAL"/>
    <s v="NULL"/>
    <n v="0"/>
    <s v="NULL"/>
    <s v="Greffe"/>
    <s v="Dakar"/>
  </r>
  <r>
    <x v="0"/>
    <x v="208"/>
    <x v="208"/>
    <s v="MARYSE BELANGER"/>
    <s v="2024-01-06 16:29:35.020"/>
    <n v="5"/>
    <n v="5"/>
    <s v="SÉNÉGAL"/>
    <s v="SÉNÉGAL"/>
    <s v="NULL"/>
    <n v="0"/>
    <s v="NULL"/>
    <s v="Greffe"/>
    <s v="Dakar"/>
  </r>
  <r>
    <x v="0"/>
    <x v="208"/>
    <x v="208"/>
    <s v="MARYSE BELANGER"/>
    <s v="2024-01-06 16:29:35.020"/>
    <n v="23"/>
    <n v="23"/>
    <s v="SÉNÉGAL"/>
    <s v="SÉNÉGAL"/>
    <s v="NULL"/>
    <n v="0"/>
    <s v="NULL"/>
    <s v="Greffe"/>
    <s v="Dakar"/>
  </r>
  <r>
    <x v="0"/>
    <x v="208"/>
    <x v="208"/>
    <s v="MASSAMBA MAMADOU SY"/>
    <s v="2024-01-06 16:29:35.020"/>
    <n v="5"/>
    <n v="5"/>
    <s v="SÉNÉGAL"/>
    <s v="SÉNÉGAL"/>
    <s v="NULL"/>
    <n v="0"/>
    <s v="NULL"/>
    <s v="Greffe"/>
    <s v="Dakar"/>
  </r>
  <r>
    <x v="0"/>
    <x v="209"/>
    <x v="209"/>
    <s v="MAWDO NDIAYE"/>
    <s v="2024-01-06 16:29:35.020"/>
    <n v="5"/>
    <n v="5"/>
    <s v="SÉNÉGAL"/>
    <s v="SÉNÉGAL"/>
    <s v="NULL"/>
    <n v="0"/>
    <s v="NULL"/>
    <s v="Greffe"/>
    <s v="Dakar"/>
  </r>
  <r>
    <x v="0"/>
    <x v="210"/>
    <x v="210"/>
    <s v="MAWDO NDIAYE"/>
    <s v="2024-01-06 16:29:35.020"/>
    <n v="4"/>
    <n v="4"/>
    <s v="SÉNÉGAL"/>
    <s v="SÉNÉGAL"/>
    <s v="NULL"/>
    <n v="0"/>
    <s v="NULL"/>
    <s v="Greffe"/>
    <s v="Dakar"/>
  </r>
  <r>
    <x v="0"/>
    <x v="210"/>
    <x v="210"/>
    <s v="MBALLO KEBE"/>
    <s v="2024-01-06 16:29:35.020"/>
    <n v="5"/>
    <n v="5"/>
    <s v="SÉNÉGAL"/>
    <s v="SÉNÉGAL"/>
    <s v="NULL"/>
    <n v="0"/>
    <s v="NULL"/>
    <s v="Greffe"/>
    <s v="Dakar"/>
  </r>
  <r>
    <x v="0"/>
    <x v="211"/>
    <x v="211"/>
    <s v="MBALOUDI DIABY"/>
    <s v="2024-01-26 11:16:39.423"/>
    <n v="40"/>
    <n v="40"/>
    <s v="SÉNÉGAL"/>
    <s v="SÉNÉGAL"/>
    <s v="NULL"/>
    <n v="0"/>
    <s v="NULL"/>
    <s v="Greffe"/>
    <s v="Dakar"/>
  </r>
  <r>
    <x v="0"/>
    <x v="212"/>
    <x v="212"/>
    <s v="MBAYE NDIAYE"/>
    <s v="2024-01-26 11:16:39.423"/>
    <n v="30"/>
    <n v="30"/>
    <s v="SÉNÉGAL"/>
    <s v="SÉNÉGAL"/>
    <s v="NULL"/>
    <n v="0"/>
    <s v="NULL"/>
    <s v="Greffe"/>
    <s v="Dakar"/>
  </r>
  <r>
    <x v="0"/>
    <x v="213"/>
    <x v="213"/>
    <s v="MBAYE WADE"/>
    <s v="2024-01-26 11:16:39.423"/>
    <n v="30"/>
    <n v="30"/>
    <s v="SÉNÉGAL"/>
    <s v="SÉNÉGAL"/>
    <s v="NULL"/>
    <n v="0"/>
    <s v="NULL"/>
    <s v="Greffe"/>
    <s v="Dakar"/>
  </r>
  <r>
    <x v="0"/>
    <x v="214"/>
    <x v="214"/>
    <s v="MBENGUE BABACAR MASSAR"/>
    <s v="2024-02-09 11:26:27.263"/>
    <n v="50"/>
    <n v="50"/>
    <s v="SÉNÉGAL"/>
    <s v="SÉNÉGAL"/>
    <s v="NULL"/>
    <n v="0"/>
    <s v="NULL"/>
    <s v="Greffe"/>
    <s v="Dakar"/>
  </r>
  <r>
    <x v="0"/>
    <x v="215"/>
    <x v="215"/>
    <s v="MEHMET FERHAT"/>
    <s v="2024-02-09 11:26:27.263"/>
    <n v="50"/>
    <n v="50"/>
    <s v="SÉNÉGAL"/>
    <s v="SÉNÉGAL"/>
    <s v="NULL"/>
    <n v="0"/>
    <s v="NULL"/>
    <s v="Greffe"/>
    <s v="Dakar"/>
  </r>
  <r>
    <x v="0"/>
    <x v="215"/>
    <x v="215"/>
    <s v="MICHAEL JOHN DAVY"/>
    <s v="2024-02-16 13:56:39.197"/>
    <s v="NULL"/>
    <s v="NULL"/>
    <s v="SÉNÉGAL"/>
    <s v="SÉNÉGAL"/>
    <s v="NULL"/>
    <n v="0"/>
    <s v="NULL"/>
    <s v="Greffe"/>
    <s v="Dakar"/>
  </r>
  <r>
    <x v="0"/>
    <x v="215"/>
    <x v="215"/>
    <s v="MICHEL WALTER ANGE HEER"/>
    <s v="2024-03-15 13:53:13.290"/>
    <s v="NULL"/>
    <s v="NULL"/>
    <s v="ÉTATS-UNIS"/>
    <s v="ÉTATS-UNIS"/>
    <s v="NULL"/>
    <n v="0"/>
    <s v="NULL"/>
    <s v="Greffe"/>
    <s v="Dakar"/>
  </r>
  <r>
    <x v="0"/>
    <x v="216"/>
    <x v="216"/>
    <s v="MIKIDACH MAMADOU SY"/>
    <s v="2024-12-12 13:03:05.733"/>
    <n v="30"/>
    <n v="30"/>
    <s v="SÉNÉGAL"/>
    <s v="SÉNÉGAL"/>
    <s v="NULL"/>
    <n v="0"/>
    <s v="NULL"/>
    <s v="Greffe"/>
    <s v="Dakar"/>
  </r>
  <r>
    <x v="0"/>
    <x v="216"/>
    <x v="216"/>
    <s v="MOCTAR ALIOUNE SADIAN SALL"/>
    <s v="2024-12-12 13:03:05.733"/>
    <n v="30"/>
    <n v="30"/>
    <s v="SÉNÉGAL"/>
    <s v="SÉNÉGAL"/>
    <s v="NULL"/>
    <n v="0"/>
    <s v="NULL"/>
    <s v="Greffe"/>
    <s v="Dakar"/>
  </r>
  <r>
    <x v="0"/>
    <x v="216"/>
    <x v="216"/>
    <s v="MODOU DIAGNE"/>
    <s v="2024-12-12 13:03:05.733"/>
    <n v="40"/>
    <n v="40"/>
    <s v="SÉNÉGAL"/>
    <s v="SÉNÉGAL"/>
    <s v="NULL"/>
    <n v="0"/>
    <s v="NULL"/>
    <s v="Greffe"/>
    <s v="Dakar"/>
  </r>
  <r>
    <x v="0"/>
    <x v="216"/>
    <x v="216"/>
    <s v="MODOU DIOP GUENE"/>
    <s v="2024-02-08 14:55:19.317"/>
    <n v="100"/>
    <n v="100"/>
    <s v="SÉNÉGAL"/>
    <s v="SÉNÉGAL"/>
    <s v="NULL"/>
    <n v="0"/>
    <s v="NULL"/>
    <s v="Greffe"/>
    <s v="Dakar"/>
  </r>
  <r>
    <x v="0"/>
    <x v="216"/>
    <x v="216"/>
    <s v="MODOU FALL"/>
    <s v="2024-06-24 13:44:59.053"/>
    <s v="NULL"/>
    <s v="NULL"/>
    <s v="SÉNÉGAL"/>
    <s v="SÉNÉGAL"/>
    <s v="NULL"/>
    <n v="0"/>
    <s v="NULL"/>
    <s v="Greffe"/>
    <s v="Dakar"/>
  </r>
  <r>
    <x v="0"/>
    <x v="217"/>
    <x v="217"/>
    <s v="MOHAMED ABABACAR SOW"/>
    <s v="2024-03-20 12:41:01.343"/>
    <n v="5"/>
    <n v="5"/>
    <s v="SÉNÉGAL"/>
    <s v="SÉNÉGAL"/>
    <s v="NULL"/>
    <n v="0"/>
    <s v="NULL"/>
    <s v="Greffe"/>
    <s v="Dakar"/>
  </r>
  <r>
    <x v="0"/>
    <x v="217"/>
    <x v="217"/>
    <s v="MOHAMED DICKO"/>
    <s v="2024-03-20 12:41:01.343"/>
    <n v="5"/>
    <n v="5"/>
    <s v="SÉNÉGAL"/>
    <s v="SÉNÉGAL"/>
    <s v="NULL"/>
    <n v="0"/>
    <s v="NULL"/>
    <s v="Greffe"/>
    <s v="Dakar"/>
  </r>
  <r>
    <x v="0"/>
    <x v="217"/>
    <x v="217"/>
    <s v="MOHAMED DICKO"/>
    <s v="2024-03-20 12:41:01.343"/>
    <n v="90"/>
    <n v="90"/>
    <s v="SÉNÉGAL"/>
    <s v="SÉNÉGAL"/>
    <s v="NULL"/>
    <n v="0"/>
    <s v="NULL"/>
    <s v="Greffe"/>
    <s v="Dakar"/>
  </r>
  <r>
    <x v="0"/>
    <x v="217"/>
    <x v="217"/>
    <s v="MOHAMED KAGNASSY"/>
    <s v="2025-08-28 14:13:06.110"/>
    <s v="NULL"/>
    <s v="NULL"/>
    <s v="SÉNÉGAL"/>
    <m/>
    <n v="0"/>
    <s v="NULL"/>
    <s v="NULL"/>
    <s v="Greffe"/>
    <s v="Dakar"/>
  </r>
  <r>
    <x v="0"/>
    <x v="218"/>
    <x v="218"/>
    <s v="MOHAMED KHALED KOUKI"/>
    <s v="2025-08-25 09:49:33.177"/>
    <s v="NULL"/>
    <s v="NULL"/>
    <s v="SÉNÉGAL"/>
    <m/>
    <n v="0"/>
    <s v="NULL"/>
    <s v="NULL"/>
    <s v="Greffe"/>
    <s v="Dakar"/>
  </r>
  <r>
    <x v="0"/>
    <x v="219"/>
    <x v="219"/>
    <s v="MOHAMED NIANG"/>
    <s v="2025-08-08 09:15:10.790"/>
    <n v="100"/>
    <s v="NULL"/>
    <s v="SÉNÉGAL"/>
    <m/>
    <n v="0"/>
    <s v="NULL"/>
    <s v="NULL"/>
    <s v="Greffe"/>
    <s v="Dakar"/>
  </r>
  <r>
    <x v="0"/>
    <x v="219"/>
    <x v="219"/>
    <s v="MOHAMED NIARE"/>
    <s v="2025-05-23 13:50:58.837"/>
    <n v="100"/>
    <n v="100"/>
    <s v="SÉNÉGAL"/>
    <m/>
    <n v="0"/>
    <s v="NULL"/>
    <s v="NULL"/>
    <s v="Greffe"/>
    <s v="Dakar"/>
  </r>
  <r>
    <x v="0"/>
    <x v="219"/>
    <x v="219"/>
    <s v="MOHAMMED EL ASSALI"/>
    <s v="2025-05-07 15:59:47.943"/>
    <n v="100"/>
    <n v="100"/>
    <s v="SÉNÉGAL"/>
    <m/>
    <n v="0"/>
    <s v="NULL"/>
    <s v="NULL"/>
    <s v="Greffe"/>
    <s v="Dakar"/>
  </r>
  <r>
    <x v="0"/>
    <x v="219"/>
    <x v="219"/>
    <s v="MOMAR DIOP"/>
    <s v="2025-04-23 15:58:38.653"/>
    <n v="25"/>
    <n v="25"/>
    <s v="SÉNÉGAL"/>
    <m/>
    <n v="0"/>
    <s v="NULL"/>
    <s v="NULL"/>
    <s v="Greffe"/>
    <s v="Dakar"/>
  </r>
  <r>
    <x v="0"/>
    <x v="220"/>
    <x v="220"/>
    <s v="MOMAR SOKHNA DIOP"/>
    <s v="2025-04-23 15:58:38.653"/>
    <n v="50"/>
    <n v="50"/>
    <s v="SÉNÉGAL"/>
    <m/>
    <n v="0"/>
    <s v="NULL"/>
    <s v="NULL"/>
    <s v="Greffe"/>
    <s v="Dakar"/>
  </r>
  <r>
    <x v="0"/>
    <x v="221"/>
    <x v="221"/>
    <s v="MOR AMINATA KEBE"/>
    <s v="2025-04-23 15:58:38.653"/>
    <n v="25"/>
    <n v="25"/>
    <s v="SÉNÉGAL"/>
    <m/>
    <n v="0"/>
    <s v="NULL"/>
    <s v="NULL"/>
    <s v="Greffe"/>
    <s v="Dakar"/>
  </r>
  <r>
    <x v="0"/>
    <x v="222"/>
    <x v="222"/>
    <s v="MOR GUEYE"/>
    <s v="2025-04-18 13:03:27.627"/>
    <n v="100"/>
    <n v="100"/>
    <s v="SÉNÉGAL"/>
    <m/>
    <n v="0"/>
    <s v="NULL"/>
    <s v="NULL"/>
    <s v="Greffe"/>
    <s v="Dakar"/>
  </r>
  <r>
    <x v="0"/>
    <x v="223"/>
    <x v="223"/>
    <s v="MOR SAMBA GUEYE"/>
    <s v="2025-04-14 09:12:23.160"/>
    <s v="NULL"/>
    <s v="NULL"/>
    <s v="SÉNÉGAL"/>
    <m/>
    <n v="0"/>
    <s v="NULL"/>
    <s v="NULL"/>
    <s v="Greffe"/>
    <s v="Dakar"/>
  </r>
  <r>
    <x v="0"/>
    <x v="224"/>
    <x v="224"/>
    <s v="MOSSA SADIAKHOU"/>
    <s v="2025-04-14 08:55:09.170"/>
    <n v="34"/>
    <n v="34"/>
    <s v="SÉNÉGAL"/>
    <m/>
    <n v="0"/>
    <s v="NULL"/>
    <s v="NULL"/>
    <s v="Greffe"/>
    <s v="Dakar"/>
  </r>
  <r>
    <x v="0"/>
    <x v="224"/>
    <x v="224"/>
    <s v="MOUHAMADOU BA"/>
    <s v="2025-04-14 08:55:09.170"/>
    <s v="NULL"/>
    <s v="NULL"/>
    <s v="SÉNÉGAL"/>
    <m/>
    <n v="0"/>
    <s v="NULL"/>
    <s v="NULL"/>
    <s v="Greffe"/>
    <s v="Dakar"/>
  </r>
  <r>
    <x v="0"/>
    <x v="224"/>
    <x v="224"/>
    <s v="MOUHAMADOU FALILOU FALL"/>
    <s v="2025-04-14 08:55:09.170"/>
    <s v="NULL"/>
    <s v="NULL"/>
    <s v="SÉNÉGAL"/>
    <m/>
    <n v="0"/>
    <s v="NULL"/>
    <s v="NULL"/>
    <s v="Greffe"/>
    <s v="Dakar"/>
  </r>
  <r>
    <x v="0"/>
    <x v="225"/>
    <x v="225"/>
    <s v="MOUHAMADOU FAYE"/>
    <s v="2025-04-14 08:55:09.170"/>
    <n v="10"/>
    <n v="10"/>
    <s v="SÉNÉGAL"/>
    <m/>
    <n v="0"/>
    <s v="NULL"/>
    <s v="NULL"/>
    <s v="Greffe"/>
    <s v="Dakar"/>
  </r>
  <r>
    <x v="0"/>
    <x v="225"/>
    <x v="225"/>
    <s v="MOUHAMADOU LAMINE TOURE"/>
    <s v="2025-04-09 14:03:31.007"/>
    <n v="100"/>
    <n v="100"/>
    <s v="SÉNÉGAL"/>
    <m/>
    <n v="0"/>
    <s v="NULL"/>
    <s v="NULL"/>
    <s v="Greffe"/>
    <s v="Dakar"/>
  </r>
  <r>
    <x v="0"/>
    <x v="225"/>
    <x v="225"/>
    <s v="MOUHAMADOU MOUSTAPHA DIOP"/>
    <s v="2025-04-09 13:44:29.980"/>
    <n v="100"/>
    <n v="100"/>
    <s v="SÉNÉGAL"/>
    <m/>
    <n v="0"/>
    <s v="NULL"/>
    <s v="NULL"/>
    <s v="Greffe"/>
    <s v="Dakar"/>
  </r>
  <r>
    <x v="0"/>
    <x v="225"/>
    <x v="225"/>
    <s v="MOUHAMADOU SOW"/>
    <s v="2025-03-14 13:04:26.693"/>
    <n v="25"/>
    <n v="25"/>
    <s v="SÉNÉGAL"/>
    <m/>
    <n v="0"/>
    <s v="NULL"/>
    <s v="NULL"/>
    <s v="Greffe"/>
    <s v="Dakar"/>
  </r>
  <r>
    <x v="0"/>
    <x v="226"/>
    <x v="226"/>
    <s v="MOUHAMADOU SY"/>
    <s v="2025-03-14 13:04:26.693"/>
    <n v="25"/>
    <n v="25"/>
    <s v="SÉNÉGAL"/>
    <m/>
    <n v="0"/>
    <s v="NULL"/>
    <s v="NULL"/>
    <s v="Greffe"/>
    <s v="Dakar"/>
  </r>
  <r>
    <x v="0"/>
    <x v="227"/>
    <x v="227"/>
    <s v="MOUHAMADOU SY"/>
    <s v="2025-03-14 13:04:26.693"/>
    <n v="50"/>
    <n v="50"/>
    <s v="SÉNÉGAL"/>
    <m/>
    <n v="0"/>
    <s v="NULL"/>
    <s v="NULL"/>
    <s v="Greffe"/>
    <s v="Dakar"/>
  </r>
  <r>
    <x v="0"/>
    <x v="227"/>
    <x v="227"/>
    <s v="MOUHAMED DAVID MBAYE"/>
    <s v="2025-03-04 14:33:18.227"/>
    <s v="47.26"/>
    <s v="47.26"/>
    <s v="SÉNÉGAL"/>
    <m/>
    <n v="0"/>
    <s v="NULL"/>
    <s v="NULL"/>
    <s v="Greffe"/>
    <s v="Dakar"/>
  </r>
  <r>
    <x v="0"/>
    <x v="227"/>
    <x v="227"/>
    <s v="MOUHAMED EL MOKHTAR BOULEBAT"/>
    <s v="2025-03-04 14:33:18.227"/>
    <s v="47.25"/>
    <s v="47.25"/>
    <s v="SÉNÉGAL"/>
    <m/>
    <n v="0"/>
    <s v="NULL"/>
    <s v="NULL"/>
    <s v="Greffe"/>
    <s v="Dakar"/>
  </r>
  <r>
    <x v="0"/>
    <x v="228"/>
    <x v="228"/>
    <s v="MOUHAMED EL MOKHTAR BOULEBAT"/>
    <s v="2025-03-04 14:33:18.227"/>
    <s v="5.49"/>
    <s v="5.49"/>
    <s v="ROYAUME-UNI"/>
    <m/>
    <n v="0"/>
    <s v="NULL"/>
    <s v="NULL"/>
    <s v="Greffe"/>
    <s v="Dakar"/>
  </r>
  <r>
    <x v="0"/>
    <x v="229"/>
    <x v="229"/>
    <s v="MOUHAMED FALL"/>
    <s v="2025-02-28 14:47:13.277"/>
    <n v="75"/>
    <n v="75"/>
    <s v="SÉNÉGAL"/>
    <m/>
    <n v="0"/>
    <s v="NULL"/>
    <s v="NULL"/>
    <s v="Greffe"/>
    <s v="Dakar"/>
  </r>
  <r>
    <x v="0"/>
    <x v="229"/>
    <x v="229"/>
    <s v="MOUHAMED TINE"/>
    <s v="2025-02-28 14:47:13.277"/>
    <n v="25"/>
    <n v="25"/>
    <s v="SÉNÉGAL"/>
    <m/>
    <n v="0"/>
    <s v="NULL"/>
    <s v="NULL"/>
    <s v="Greffe"/>
    <s v="Dakar"/>
  </r>
  <r>
    <x v="0"/>
    <x v="229"/>
    <x v="229"/>
    <s v="MOUSSA CISSOKHO"/>
    <s v="2025-02-14 14:57:20.747"/>
    <n v="20"/>
    <n v="20"/>
    <s v="SÉNÉGAL"/>
    <m/>
    <n v="0"/>
    <s v="NULL"/>
    <s v="NULL"/>
    <s v="Greffe"/>
    <s v="Dakar"/>
  </r>
  <r>
    <x v="0"/>
    <x v="230"/>
    <x v="230"/>
    <s v="MOUSSA CISSOKHO"/>
    <s v="2025-02-14 14:57:20.747"/>
    <n v="80"/>
    <n v="80"/>
    <s v="SÉNÉGAL"/>
    <m/>
    <n v="0"/>
    <s v="NULL"/>
    <s v="NULL"/>
    <s v="Greffe"/>
    <s v="Dakar"/>
  </r>
  <r>
    <x v="0"/>
    <x v="231"/>
    <x v="231"/>
    <s v="MOUSSA CISSOKHO"/>
    <s v="2025-02-14 14:33:31.770"/>
    <n v="100"/>
    <n v="100"/>
    <s v="SÉNÉGAL"/>
    <m/>
    <n v="0"/>
    <s v="NULL"/>
    <s v="NULL"/>
    <s v="Greffe"/>
    <s v="Dakar"/>
  </r>
  <r>
    <x v="0"/>
    <x v="232"/>
    <x v="232"/>
    <s v="MOUSSA MAKHASSOUBA"/>
    <s v="2025-02-14 13:06:39.337"/>
    <n v="100"/>
    <n v="100"/>
    <s v="SÉNÉGAL"/>
    <m/>
    <n v="0"/>
    <s v="NULL"/>
    <s v="NULL"/>
    <s v="Greffe"/>
    <s v="Dakar"/>
  </r>
  <r>
    <x v="0"/>
    <x v="232"/>
    <x v="232"/>
    <s v="MOUSSA MBENGUE"/>
    <s v="2025-02-10 09:02:55.850"/>
    <n v="70"/>
    <n v="70"/>
    <s v="SÉNÉGAL"/>
    <m/>
    <n v="0"/>
    <s v="NULL"/>
    <s v="NULL"/>
    <s v="Greffe"/>
    <s v="Dakar"/>
  </r>
  <r>
    <x v="0"/>
    <x v="232"/>
    <x v="232"/>
    <s v="MOUSSA MOISE CAMARA"/>
    <s v="2025-02-10 09:02:55.850"/>
    <n v="5"/>
    <n v="5"/>
    <s v="SÉNÉGAL"/>
    <m/>
    <n v="0"/>
    <s v="NULL"/>
    <s v="NULL"/>
    <s v="Greffe"/>
    <s v="Dakar"/>
  </r>
  <r>
    <x v="0"/>
    <x v="232"/>
    <x v="232"/>
    <s v="MOUSSA SAMB"/>
    <s v="2025-02-10 09:02:55.850"/>
    <n v="5"/>
    <n v="5"/>
    <s v="SÉNÉGAL"/>
    <m/>
    <n v="0"/>
    <s v="NULL"/>
    <s v="NULL"/>
    <s v="Greffe"/>
    <s v="Dakar"/>
  </r>
  <r>
    <x v="0"/>
    <x v="232"/>
    <x v="232"/>
    <s v="MOUSSA SYLLA"/>
    <s v="2025-02-10 09:02:55.850"/>
    <n v="5"/>
    <n v="5"/>
    <s v="SÉNÉGAL"/>
    <m/>
    <n v="0"/>
    <s v="NULL"/>
    <s v="NULL"/>
    <s v="Greffe"/>
    <s v="Dakar"/>
  </r>
  <r>
    <x v="0"/>
    <x v="232"/>
    <x v="232"/>
    <s v="MOUSSA TRAORE"/>
    <s v="2025-02-10 09:02:55.850"/>
    <n v="5"/>
    <n v="5"/>
    <s v="SÉNÉGAL"/>
    <m/>
    <n v="0"/>
    <s v="NULL"/>
    <s v="NULL"/>
    <s v="Greffe"/>
    <s v="Dakar"/>
  </r>
  <r>
    <x v="0"/>
    <x v="232"/>
    <x v="232"/>
    <s v="MOUSTAPHA DIAGNE"/>
    <s v="2025-02-10 09:02:55.850"/>
    <n v="10"/>
    <n v="10"/>
    <s v="SÉNÉGAL"/>
    <m/>
    <n v="0"/>
    <s v="NULL"/>
    <s v="NULL"/>
    <s v="Greffe"/>
    <s v="Dakar"/>
  </r>
  <r>
    <x v="0"/>
    <x v="233"/>
    <x v="233"/>
    <s v="MOUSTAPHA FAYE"/>
    <s v="2025-01-29 15:17:16.843"/>
    <s v="NULL"/>
    <s v="NULL"/>
    <s v="SÉNÉGAL"/>
    <m/>
    <n v="1"/>
    <s v="CHIEKH AHMADOU BAMBA NIANG"/>
    <s v="les Directeurs généraux des ministères"/>
    <s v="Greffe"/>
    <s v="Dakar"/>
  </r>
  <r>
    <x v="0"/>
    <x v="233"/>
    <x v="233"/>
    <s v="MOUSTAPHA NDIAYE"/>
    <s v="2025-01-29 15:17:16.843"/>
    <s v="NULL"/>
    <s v="NULL"/>
    <s v="SÉNÉGAL"/>
    <m/>
    <n v="1"/>
    <s v="CHIEKH AHMADOU BAMBA NIANG"/>
    <s v="les Directeurs généraux des ministères"/>
    <s v="Greffe"/>
    <s v="Dakar"/>
  </r>
  <r>
    <x v="0"/>
    <x v="233"/>
    <x v="233"/>
    <s v="MOUSTAPHA NIANG"/>
    <s v="2025-01-17 13:32:33.707"/>
    <n v="49"/>
    <n v="49"/>
    <s v="SÉNÉGAL"/>
    <m/>
    <n v="0"/>
    <s v="NULL"/>
    <s v="NULL"/>
    <s v="Greffe"/>
    <s v="Dakar"/>
  </r>
  <r>
    <x v="0"/>
    <x v="234"/>
    <x v="234"/>
    <s v="NAFISSATOU GUEYE"/>
    <s v="2025-01-17 13:32:33.707"/>
    <n v="51"/>
    <n v="51"/>
    <s v="SÉNÉGAL"/>
    <m/>
    <n v="0"/>
    <s v="NULL"/>
    <s v="NULL"/>
    <s v="Greffe"/>
    <s v="Dakar"/>
  </r>
  <r>
    <x v="0"/>
    <x v="234"/>
    <x v="234"/>
    <s v="NDABA CISSOKHO"/>
    <s v="2025-01-17 10:58:34.090"/>
    <s v="NULL"/>
    <s v="NULL"/>
    <s v="SÉNÉGAL"/>
    <m/>
    <s v="NULL"/>
    <s v="NULL"/>
    <s v="NULL"/>
    <s v="Greffe"/>
    <s v="Dakar"/>
  </r>
  <r>
    <x v="0"/>
    <x v="234"/>
    <x v="234"/>
    <s v="NDEYE ANTHIA BA"/>
    <s v="2025-01-15 08:45:53.070"/>
    <s v="NULL"/>
    <s v="NULL"/>
    <s v="SÉNÉGAL"/>
    <m/>
    <n v="0"/>
    <s v="NULL"/>
    <s v="NULL"/>
    <s v="Greffe"/>
    <s v="Dakar"/>
  </r>
  <r>
    <x v="0"/>
    <x v="235"/>
    <x v="235"/>
    <s v="NDEYE CELLE SOW"/>
    <s v="2025-01-15 08:45:53.070"/>
    <s v="NULL"/>
    <s v="NULL"/>
    <s v="SÉNÉGAL"/>
    <m/>
    <n v="0"/>
    <s v="NULL"/>
    <s v="NULL"/>
    <s v="Greffe"/>
    <s v="Dakar"/>
  </r>
  <r>
    <x v="0"/>
    <x v="235"/>
    <x v="235"/>
    <s v="NDEYE DIOUMA DIAGNE"/>
    <s v="2025-01-09 09:44:45.747"/>
    <n v="100"/>
    <s v="NULL"/>
    <s v="SÉNÉGAL"/>
    <m/>
    <n v="0"/>
    <s v="NULL"/>
    <s v="NULL"/>
    <s v="Greffe"/>
    <s v="Dakar"/>
  </r>
  <r>
    <x v="0"/>
    <x v="236"/>
    <x v="236"/>
    <s v="NDEYE FALL DIOP"/>
    <s v="2025-01-09 09:02:34.100"/>
    <n v="100"/>
    <n v="100"/>
    <s v="SÉNÉGAL"/>
    <m/>
    <n v="0"/>
    <s v="NULL"/>
    <s v="NULL"/>
    <s v="Greffe"/>
    <s v="Dakar"/>
  </r>
  <r>
    <x v="1"/>
    <x v="237"/>
    <x v="237"/>
    <s v="NDEYE FATIM SY"/>
    <s v="2021-12-01 10:39:52.347"/>
    <s v="NULL"/>
    <s v="NULL"/>
    <s v="SÉNÉGAL"/>
    <s v="SÉNÉGAL"/>
    <s v="NULL"/>
    <n v="0"/>
    <s v="NULL"/>
    <s v="Greffe"/>
    <s v="Diourbel"/>
  </r>
  <r>
    <x v="1"/>
    <x v="237"/>
    <x v="237"/>
    <s v="NDEYE MATY THIOUNE"/>
    <s v="2022-10-03 16:14:20.760"/>
    <s v="NULL"/>
    <s v="NULL"/>
    <s v="SÉNÉGAL"/>
    <s v="SÉNÉGAL"/>
    <s v="NULL"/>
    <n v="0"/>
    <s v="NULL"/>
    <s v="Greffe"/>
    <s v="Diourbel"/>
  </r>
  <r>
    <x v="1"/>
    <x v="238"/>
    <x v="238"/>
    <s v="NDEYE PEINDA NIANG"/>
    <s v="2023-04-27 14:49:19.800"/>
    <s v="NULL"/>
    <s v="NULL"/>
    <s v="SÉNÉGAL"/>
    <s v="SÉNÉGAL"/>
    <s v="NULL"/>
    <n v="0"/>
    <s v="NULL"/>
    <s v="Greffe"/>
    <s v="Diourbel"/>
  </r>
  <r>
    <x v="1"/>
    <x v="238"/>
    <x v="238"/>
    <s v="NDIAYE IBRAHIMA"/>
    <s v="2023-04-18 12:12:41.787"/>
    <s v="NULL"/>
    <s v="NULL"/>
    <s v="SÉNÉGAL"/>
    <s v="SÉNÉGAL"/>
    <s v="NULL"/>
    <n v="0"/>
    <s v="NULL"/>
    <s v="Greffe"/>
    <s v="Diourbel"/>
  </r>
  <r>
    <x v="1"/>
    <x v="239"/>
    <x v="239"/>
    <s v="NDIAYE MAMADOU"/>
    <s v="2023-03-22 16:19:01.333"/>
    <s v="NULL"/>
    <s v="NULL"/>
    <s v="SÉNÉGAL"/>
    <s v="SÉNÉGAL"/>
    <s v="NULL"/>
    <n v="0"/>
    <s v="NULL"/>
    <s v="Greffe"/>
    <s v="Diourbel"/>
  </r>
  <r>
    <x v="1"/>
    <x v="239"/>
    <x v="239"/>
    <s v="NDONG PAPA MALICK"/>
    <s v="2023-01-09 12:20:52.290"/>
    <s v="NULL"/>
    <s v="NULL"/>
    <s v="SÉNÉGAL"/>
    <s v="SÉNÉGAL"/>
    <s v="NULL"/>
    <n v="0"/>
    <s v="NULL"/>
    <s v="Greffe"/>
    <s v="Diourbel"/>
  </r>
  <r>
    <x v="1"/>
    <x v="239"/>
    <x v="239"/>
    <s v="NDOYE MASYLLA"/>
    <s v="2023-05-24 10:12:13.910"/>
    <s v="NULL"/>
    <s v="NULL"/>
    <s v="SÉNÉGAL"/>
    <s v="SÉNÉGAL"/>
    <s v="NULL"/>
    <n v="0"/>
    <s v="NULL"/>
    <s v="Greffe"/>
    <s v="Diourbel"/>
  </r>
  <r>
    <x v="2"/>
    <x v="239"/>
    <x v="239"/>
    <s v="NGAGNE DEMBA TOURE"/>
    <s v="2021-11-26 12:56:57.153"/>
    <s v="NULL"/>
    <s v="NULL"/>
    <s v="SÉNÉGAL"/>
    <s v="SÉNÉGAL"/>
    <s v="NULL"/>
    <n v="0"/>
    <s v="NULL"/>
    <s v="Greffe"/>
    <s v="Fatick"/>
  </r>
  <r>
    <x v="2"/>
    <x v="239"/>
    <x v="239"/>
    <s v="NGAGNE DEMBA TOURE"/>
    <s v="2022-01-11 10:38:05.440"/>
    <n v="100"/>
    <n v="100"/>
    <s v="SÉNÉGAL"/>
    <s v="SÉNÉGAL"/>
    <s v="NULL"/>
    <n v="0"/>
    <s v="NULL"/>
    <s v="Greffe"/>
    <s v="Fatick"/>
  </r>
  <r>
    <x v="3"/>
    <x v="240"/>
    <x v="240"/>
    <s v="NGOM IBRAHIMA"/>
    <s v="2022-07-25 12:27:38.607"/>
    <s v="NULL"/>
    <s v="NULL"/>
    <s v="SÉNÉGAL"/>
    <s v="SÉNÉGAL"/>
    <s v="NULL"/>
    <n v="0"/>
    <s v="NULL"/>
    <s v="Greffe"/>
    <s v="Kaolack"/>
  </r>
  <r>
    <x v="3"/>
    <x v="240"/>
    <x v="240"/>
    <s v="NGOM IBRAHIMA"/>
    <s v="2022-07-26 12:10:34.870"/>
    <s v="NULL"/>
    <s v="NULL"/>
    <s v="SÉNÉGAL"/>
    <s v="SÉNÉGAL"/>
    <s v="NULL"/>
    <n v="0"/>
    <s v="NULL"/>
    <s v="Greffe"/>
    <s v="Kaolack"/>
  </r>
  <r>
    <x v="3"/>
    <x v="241"/>
    <x v="241"/>
    <s v="NZUE NZUE FREEDY"/>
    <s v="2023-11-17 12:47:41.203"/>
    <s v="NULL"/>
    <s v="NULL"/>
    <s v="BELGIQUE"/>
    <s v="BELGIQUE"/>
    <s v="NULL"/>
    <n v="0"/>
    <s v="NULL"/>
    <s v="Greffe"/>
    <s v="Kaolack"/>
  </r>
  <r>
    <x v="4"/>
    <x v="241"/>
    <x v="241"/>
    <s v="OILIVIER MARC HEER"/>
    <s v="2022-03-03 11:15:43.840"/>
    <n v="5"/>
    <s v="NULL"/>
    <s v="SÉNÉGAL"/>
    <s v="SÉNÉGAL"/>
    <s v="NULL"/>
    <n v="0"/>
    <s v="NULL"/>
    <s v="Greffe"/>
    <s v="Kédougou"/>
  </r>
  <r>
    <x v="4"/>
    <x v="241"/>
    <x v="241"/>
    <s v="OLIVIER GOUDIABY"/>
    <s v="2022-03-03 11:15:43.840"/>
    <n v="55"/>
    <s v="NULL"/>
    <s v="SÉNÉGAL"/>
    <s v="SÉNÉGAL"/>
    <s v="NULL"/>
    <n v="0"/>
    <s v="NULL"/>
    <s v="Greffe"/>
    <s v="Kédougou"/>
  </r>
  <r>
    <x v="4"/>
    <x v="241"/>
    <x v="241"/>
    <s v="OMAR SYLLA"/>
    <s v="2022-03-03 11:15:43.840"/>
    <n v="40"/>
    <s v="NULL"/>
    <s v="MAROC"/>
    <s v="MAROC"/>
    <s v="NULL"/>
    <s v="NULL"/>
    <s v="NULL"/>
    <s v="Greffe"/>
    <s v="Kédougou"/>
  </r>
  <r>
    <x v="4"/>
    <x v="241"/>
    <x v="241"/>
    <s v="ONGALI RUPHIN GLAISE"/>
    <s v="2023-04-14 14:46:59.680"/>
    <s v="NULL"/>
    <s v="NULL"/>
    <s v="SÉNÉGAL"/>
    <s v="SÉNÉGAL"/>
    <s v="NULL"/>
    <n v="0"/>
    <s v="NULL"/>
    <s v="Greffe"/>
    <s v="Kédougou"/>
  </r>
  <r>
    <x v="4"/>
    <x v="241"/>
    <x v="241"/>
    <s v="OUMAR DIALLO"/>
    <s v="2023-04-14 14:46:59.680"/>
    <s v="NULL"/>
    <s v="NULL"/>
    <s v="SÉNÉGAL"/>
    <s v="SÉNÉGAL"/>
    <s v="NULL"/>
    <n v="0"/>
    <s v="NULL"/>
    <s v="Greffe"/>
    <s v="Kédougou"/>
  </r>
  <r>
    <x v="4"/>
    <x v="241"/>
    <x v="241"/>
    <s v="OUMAR SALL"/>
    <s v="2023-04-14 14:46:59.680"/>
    <s v="NULL"/>
    <s v="NULL"/>
    <s v="SÉNÉGAL"/>
    <s v="SÉNÉGAL"/>
    <s v="NULL"/>
    <n v="0"/>
    <s v="NULL"/>
    <s v="Greffe"/>
    <s v="Kédougou"/>
  </r>
  <r>
    <x v="4"/>
    <x v="241"/>
    <x v="241"/>
    <s v="OUMAR SOW"/>
    <s v="2023-04-14 14:46:59.680"/>
    <s v="NULL"/>
    <s v="NULL"/>
    <s v="SÉNÉGAL"/>
    <s v="SÉNÉGAL"/>
    <s v="NULL"/>
    <n v="0"/>
    <s v="NULL"/>
    <s v="Greffe"/>
    <s v="Kédougou"/>
  </r>
  <r>
    <x v="4"/>
    <x v="241"/>
    <x v="241"/>
    <s v="OUMAR SYLLA"/>
    <s v="2023-04-14 14:46:59.680"/>
    <s v="NULL"/>
    <s v="NULL"/>
    <s v="SÉNÉGAL"/>
    <s v="SÉNÉGAL"/>
    <s v="NULL"/>
    <n v="0"/>
    <s v="NULL"/>
    <s v="Greffe"/>
    <s v="Kédougou"/>
  </r>
  <r>
    <x v="4"/>
    <x v="242"/>
    <x v="242"/>
    <s v="OUMOU DIA"/>
    <s v="2023-04-14 14:46:59.680"/>
    <s v="NULL"/>
    <s v="NULL"/>
    <s v="SÉNÉGAL"/>
    <s v="SÉNÉGAL"/>
    <s v="NULL"/>
    <n v="0"/>
    <s v="NULL"/>
    <s v="Greffe"/>
    <s v="Kédougou"/>
  </r>
  <r>
    <x v="4"/>
    <x v="242"/>
    <x v="242"/>
    <s v="OUMOU KALSOUM BA"/>
    <s v="2023-04-14 14:46:59.680"/>
    <s v="NULL"/>
    <s v="NULL"/>
    <s v="SÉNÉGAL"/>
    <s v="SÉNÉGAL"/>
    <s v="NULL"/>
    <n v="0"/>
    <s v="NULL"/>
    <s v="Greffe"/>
    <s v="Kédougou"/>
  </r>
  <r>
    <x v="4"/>
    <x v="242"/>
    <x v="242"/>
    <s v="OUMY DIAGNE"/>
    <s v="2023-04-14 14:46:59.680"/>
    <s v="NULL"/>
    <s v="NULL"/>
    <s v="SÉNÉGAL"/>
    <s v="SÉNÉGAL"/>
    <s v="NULL"/>
    <n v="0"/>
    <s v="NULL"/>
    <s v="Greffe"/>
    <s v="Kédougou"/>
  </r>
  <r>
    <x v="4"/>
    <x v="243"/>
    <x v="243"/>
    <s v="OUSMAN NDIAYE"/>
    <s v="2023-04-14 14:46:59.680"/>
    <s v="NULL"/>
    <s v="NULL"/>
    <s v="SÉNÉGAL"/>
    <s v="SÉNÉGAL"/>
    <s v="NULL"/>
    <n v="0"/>
    <s v="NULL"/>
    <s v="Greffe"/>
    <s v="Kédougou"/>
  </r>
  <r>
    <x v="4"/>
    <x v="244"/>
    <x v="244"/>
    <s v="OUSMANE CISSE"/>
    <s v="2023-04-14 14:46:59.680"/>
    <s v="NULL"/>
    <s v="NULL"/>
    <s v="SÉNÉGAL"/>
    <s v="SÉNÉGAL"/>
    <s v="NULL"/>
    <n v="0"/>
    <s v="NULL"/>
    <s v="Greffe"/>
    <s v="Kédougou"/>
  </r>
  <r>
    <x v="4"/>
    <x v="245"/>
    <x v="245"/>
    <s v="OUSMANE DIAGNE"/>
    <s v="2023-04-14 14:46:59.680"/>
    <s v="NULL"/>
    <s v="NULL"/>
    <s v="SÉNÉGAL"/>
    <s v="SÉNÉGAL"/>
    <s v="NULL"/>
    <n v="0"/>
    <s v="NULL"/>
    <s v="Greffe"/>
    <s v="Kédougou"/>
  </r>
  <r>
    <x v="4"/>
    <x v="245"/>
    <x v="245"/>
    <s v="OUSMANE MANE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MANE SOW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MANE THIAM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SEYNOU NDIAYE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SEYNOU NDOUR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SEYNOU NDOUR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SEYNOU SARR"/>
    <s v="2023-04-14 14:46:59.680"/>
    <s v="NULL"/>
    <s v="NULL"/>
    <s v="SÉNÉGAL"/>
    <s v="SÉNÉGAL"/>
    <s v="NULL"/>
    <n v="0"/>
    <s v="NULL"/>
    <s v="Greffe"/>
    <s v="Kédougou"/>
  </r>
  <r>
    <x v="4"/>
    <x v="246"/>
    <x v="246"/>
    <s v="OUSSEYNOU WADE"/>
    <s v="2023-04-14 14:46:59.680"/>
    <s v="NULL"/>
    <s v="NULL"/>
    <s v="SÉNÉGAL"/>
    <s v="SÉNÉGAL"/>
    <s v="NULL"/>
    <n v="0"/>
    <s v="NULL"/>
    <s v="Greffe"/>
    <s v="Kédougou"/>
  </r>
  <r>
    <x v="4"/>
    <x v="247"/>
    <x v="247"/>
    <s v="PAPA DEMBA SATHIE"/>
    <s v="2023-04-14 14:46:59.680"/>
    <s v="NULL"/>
    <s v="NULL"/>
    <s v="SÉNÉGAL"/>
    <s v="SÉNÉGAL"/>
    <s v="NULL"/>
    <n v="0"/>
    <s v="NULL"/>
    <s v="Greffe"/>
    <s v="Kédougou"/>
  </r>
  <r>
    <x v="4"/>
    <x v="248"/>
    <x v="248"/>
    <s v="PAPA DEMBA SATHIE"/>
    <s v="2023-04-14 14:46:59.680"/>
    <s v="NULL"/>
    <s v="NULL"/>
    <s v="SÉNÉGAL"/>
    <s v="SÉNÉGAL"/>
    <s v="NULL"/>
    <n v="0"/>
    <s v="NULL"/>
    <s v="Greffe"/>
    <s v="Kédougou"/>
  </r>
  <r>
    <x v="4"/>
    <x v="249"/>
    <x v="249"/>
    <s v="PAPA LASSANA BA"/>
    <s v="2023-04-14 14:46:59.680"/>
    <s v="NULL"/>
    <s v="NULL"/>
    <s v="SÉNÉGAL"/>
    <s v="SÉNÉGAL"/>
    <s v="NULL"/>
    <n v="0"/>
    <s v="NULL"/>
    <s v="Greffe"/>
    <s v="Kédougou"/>
  </r>
  <r>
    <x v="4"/>
    <x v="250"/>
    <x v="250"/>
    <s v="PAPA MASSE SEYE DIOP"/>
    <s v="2023-04-14 14:46:59.680"/>
    <s v="NULL"/>
    <s v="NULL"/>
    <s v="SÉNÉGAL"/>
    <s v="SÉNÉGAL"/>
    <s v="NULL"/>
    <n v="0"/>
    <s v="NULL"/>
    <s v="Greffe"/>
    <s v="Kédougou"/>
  </r>
  <r>
    <x v="4"/>
    <x v="251"/>
    <x v="251"/>
    <s v="PAPA MAYELAD FALL"/>
    <s v="2023-04-14 14:46:59.680"/>
    <s v="NULL"/>
    <s v="NULL"/>
    <s v="SÉNÉGAL"/>
    <s v="SÉNÉGAL"/>
    <s v="NULL"/>
    <n v="0"/>
    <s v="NULL"/>
    <s v="Greffe"/>
    <s v="Kédougou"/>
  </r>
  <r>
    <x v="4"/>
    <x v="251"/>
    <x v="251"/>
    <s v="PAPA OUSMANE BADJI"/>
    <s v="2023-04-14 14:46:59.680"/>
    <s v="NULL"/>
    <s v="NULL"/>
    <s v="SÉNÉGAL"/>
    <s v="SÉNÉGAL"/>
    <s v="NULL"/>
    <n v="0"/>
    <s v="NULL"/>
    <s v="Greffe"/>
    <s v="Kédougou"/>
  </r>
  <r>
    <x v="4"/>
    <x v="251"/>
    <x v="251"/>
    <s v="PAPA OUSMANE NDIAYE"/>
    <s v="2023-04-14 14:46:59.680"/>
    <s v="NULL"/>
    <s v="NULL"/>
    <s v="SÉNÉGAL"/>
    <s v="SÉNÉGAL"/>
    <s v="NULL"/>
    <n v="0"/>
    <s v="NULL"/>
    <s v="Greffe"/>
    <s v="Kédougou"/>
  </r>
  <r>
    <x v="4"/>
    <x v="252"/>
    <x v="252"/>
    <s v="PAPA SAMBA MBENGUE"/>
    <s v="2023-04-14 14:46:59.680"/>
    <s v="NULL"/>
    <s v="NULL"/>
    <s v="SÉNÉGAL"/>
    <s v="SÉNÉGAL"/>
    <s v="NULL"/>
    <n v="0"/>
    <s v="NULL"/>
    <s v="Greffe"/>
    <s v="Kédougou"/>
  </r>
  <r>
    <x v="4"/>
    <x v="253"/>
    <x v="253"/>
    <s v="PAPE CHEIKH AMADOU AMAR"/>
    <s v="2023-05-19 10:44:14.050"/>
    <n v="20"/>
    <s v="NULL"/>
    <s v="SÉNÉGAL"/>
    <s v="SÉNÉGAL"/>
    <s v="NULL"/>
    <n v="0"/>
    <s v="NULL"/>
    <s v="Greffe"/>
    <s v="Kédougou"/>
  </r>
  <r>
    <x v="4"/>
    <x v="253"/>
    <x v="253"/>
    <s v="PAPE MAMOUR SOKHNA"/>
    <s v="2023-05-19 10:44:14.050"/>
    <n v="80"/>
    <s v="NULL"/>
    <s v="SÉNÉGAL"/>
    <s v="SÉNÉGAL"/>
    <s v="NULL"/>
    <n v="0"/>
    <s v="NULL"/>
    <s v="Greffe"/>
    <s v="Kédougou"/>
  </r>
  <r>
    <x v="4"/>
    <x v="253"/>
    <x v="253"/>
    <s v="PAPE MASSAER BEN SALOUM CISSE"/>
    <s v="2023-06-24 14:24:56.320"/>
    <s v="NULL"/>
    <s v="NULL"/>
    <s v="SÉNÉGAL"/>
    <s v="SÉNÉGAL"/>
    <s v="NULL"/>
    <n v="0"/>
    <s v="NULL"/>
    <s v="Greffe"/>
    <s v="Kédougou"/>
  </r>
  <r>
    <x v="4"/>
    <x v="254"/>
    <x v="254"/>
    <s v="PIERRE ALAIN BIRAME NDONG"/>
    <s v="2023-06-24 14:24:56.320"/>
    <s v="NULL"/>
    <s v="NULL"/>
    <s v="SÉNÉGAL"/>
    <s v="SÉNÉGAL"/>
    <s v="NULL"/>
    <n v="0"/>
    <s v="NULL"/>
    <s v="Greffe"/>
    <s v="Kédougou"/>
  </r>
  <r>
    <x v="4"/>
    <x v="254"/>
    <x v="254"/>
    <s v="POUYE"/>
    <s v="2023-06-24 14:24:56.320"/>
    <s v="NULL"/>
    <s v="NULL"/>
    <s v="SÉNÉGAL"/>
    <s v="SÉNÉGAL"/>
    <s v="NULL"/>
    <n v="0"/>
    <s v="NULL"/>
    <s v="Greffe"/>
    <s v="Kédougou"/>
  </r>
  <r>
    <x v="4"/>
    <x v="255"/>
    <x v="255"/>
    <s v="PRAKAHS PUTHENVILA SATHYAN"/>
    <s v="2023-03-06 11:57:03.297"/>
    <n v="15"/>
    <s v="NULL"/>
    <s v="SÉNÉGAL"/>
    <s v="SÉNÉGAL"/>
    <s v="NULL"/>
    <n v="0"/>
    <s v="NULL"/>
    <s v="Greffe"/>
    <s v="Kédougou"/>
  </r>
  <r>
    <x v="4"/>
    <x v="255"/>
    <x v="255"/>
    <s v="QI BO"/>
    <s v="2023-03-06 11:57:03.297"/>
    <n v="35"/>
    <s v="NULL"/>
    <s v="SÉNÉGAL"/>
    <s v="SÉNÉGAL"/>
    <s v="NULL"/>
    <n v="0"/>
    <s v="NULL"/>
    <s v="Greffe"/>
    <s v="Kédougou"/>
  </r>
  <r>
    <x v="4"/>
    <x v="256"/>
    <x v="256"/>
    <s v="QI WANG"/>
    <s v="2023-03-06 11:57:03.297"/>
    <n v="18"/>
    <s v="NULL"/>
    <s v="SÉNÉGAL"/>
    <s v="SÉNÉGAL"/>
    <s v="NULL"/>
    <n v="0"/>
    <s v="NULL"/>
    <s v="Greffe"/>
    <s v="Kédougou"/>
  </r>
  <r>
    <x v="4"/>
    <x v="256"/>
    <x v="256"/>
    <s v="QIN MINGFU"/>
    <s v="2023-03-06 11:57:03.297"/>
    <n v="32"/>
    <s v="NULL"/>
    <s v="SÉNÉGAL"/>
    <s v="SÉNÉGAL"/>
    <s v="NULL"/>
    <n v="0"/>
    <s v="NULL"/>
    <s v="Greffe"/>
    <s v="Kédougou"/>
  </r>
  <r>
    <x v="4"/>
    <x v="256"/>
    <x v="256"/>
    <s v="QIN MINGFU"/>
    <s v="2023-03-24 15:15:10.320"/>
    <s v="NULL"/>
    <s v="NULL"/>
    <s v="SÉNÉGAL"/>
    <s v="SÉNÉGAL"/>
    <s v="NULL"/>
    <n v="0"/>
    <s v="NULL"/>
    <s v="Greffe"/>
    <s v="Kédougou"/>
  </r>
  <r>
    <x v="4"/>
    <x v="257"/>
    <x v="257"/>
    <s v="RACKY ABDOUL WANE"/>
    <s v="2023-03-24 15:15:10.320"/>
    <s v="NULL"/>
    <s v="NULL"/>
    <s v="SÉNÉGAL"/>
    <s v="SÉNÉGAL"/>
    <s v="NULL"/>
    <n v="0"/>
    <s v="NULL"/>
    <s v="Greffe"/>
    <s v="Kédougou"/>
  </r>
  <r>
    <x v="4"/>
    <x v="258"/>
    <x v="258"/>
    <s v="RAMATA KEBE"/>
    <s v="2023-03-24 15:15:10.320"/>
    <s v="NULL"/>
    <s v="NULL"/>
    <s v="SÉNÉGAL"/>
    <s v="SÉNÉGAL"/>
    <s v="NULL"/>
    <n v="0"/>
    <s v="NULL"/>
    <s v="Greffe"/>
    <s v="Kédougou"/>
  </r>
  <r>
    <x v="4"/>
    <x v="259"/>
    <x v="259"/>
    <s v="RAMATOULAYE NDIAYE"/>
    <s v="2023-03-24 15:15:10.320"/>
    <s v="NULL"/>
    <s v="NULL"/>
    <s v="SÉNÉGAL"/>
    <s v="SÉNÉGAL"/>
    <s v="NULL"/>
    <n v="0"/>
    <s v="NULL"/>
    <s v="Greffe"/>
    <s v="Kédougou"/>
  </r>
  <r>
    <x v="4"/>
    <x v="260"/>
    <x v="260"/>
    <s v="REZAT KTHUPI"/>
    <s v="2023-03-24 15:15:10.320"/>
    <s v="NULL"/>
    <s v="NULL"/>
    <s v="SÉNÉGAL"/>
    <s v="SÉNÉGAL"/>
    <s v="NULL"/>
    <n v="0"/>
    <s v="NULL"/>
    <s v="Greffe"/>
    <s v="Kédougou"/>
  </r>
  <r>
    <x v="4"/>
    <x v="261"/>
    <x v="261"/>
    <s v="ROBITAILLE BENOIT"/>
    <s v="2023-03-24 15:15:10.320"/>
    <s v="NULL"/>
    <s v="NULL"/>
    <s v="SÉNÉGAL"/>
    <s v="SÉNÉGAL"/>
    <s v="NULL"/>
    <n v="0"/>
    <s v="NULL"/>
    <s v="Greffe"/>
    <s v="Kédougou"/>
  </r>
  <r>
    <x v="4"/>
    <x v="262"/>
    <x v="262"/>
    <s v="ROKHAYA COULIBALY"/>
    <s v="2023-06-24 15:00:02.820"/>
    <n v="100"/>
    <s v="NULL"/>
    <s v="SÉNÉGAL"/>
    <s v="SÉNÉGAL"/>
    <s v="NULL"/>
    <n v="0"/>
    <s v="NULL"/>
    <s v="Greffe"/>
    <s v="Kédougou"/>
  </r>
  <r>
    <x v="4"/>
    <x v="262"/>
    <x v="262"/>
    <s v="ROKHAYA DIALLO"/>
    <s v="2023-04-20 11:54:31.177"/>
    <n v="100"/>
    <s v="NULL"/>
    <s v="SÉNÉGAL"/>
    <s v="SÉNÉGAL"/>
    <s v="NULL"/>
    <n v="0"/>
    <s v="NULL"/>
    <s v="Greffe"/>
    <s v="Kédougou"/>
  </r>
  <r>
    <x v="4"/>
    <x v="263"/>
    <x v="263"/>
    <s v="ROMUALDO LAMPITELLI"/>
    <s v="2023-09-15 16:41:35.307"/>
    <s v="NULL"/>
    <s v="NULL"/>
    <s v="SÉNÉGAL"/>
    <s v="SÉNÉGAL"/>
    <s v="NULL"/>
    <n v="0"/>
    <s v="NULL"/>
    <s v="Greffe"/>
    <s v="Kédougou"/>
  </r>
  <r>
    <x v="4"/>
    <x v="263"/>
    <x v="263"/>
    <s v="ROSALIE NDIAYE SENE"/>
    <s v="2023-09-15 16:41:35.307"/>
    <s v="NULL"/>
    <s v="NULL"/>
    <s v="SÉNÉGAL"/>
    <s v="SÉNÉGAL"/>
    <s v="NULL"/>
    <n v="0"/>
    <s v="NULL"/>
    <s v="Greffe"/>
    <s v="Kédougou"/>
  </r>
  <r>
    <x v="4"/>
    <x v="264"/>
    <x v="264"/>
    <s v="SADIO KANDE"/>
    <s v="2023-09-15 16:41:35.307"/>
    <s v="NULL"/>
    <s v="NULL"/>
    <s v="SÉNÉGAL"/>
    <s v="SÉNÉGAL"/>
    <s v="NULL"/>
    <n v="0"/>
    <s v="NULL"/>
    <s v="Greffe"/>
    <s v="Kédougou"/>
  </r>
  <r>
    <x v="4"/>
    <x v="265"/>
    <x v="265"/>
    <s v="SADIO SADIAKHOU"/>
    <s v="2023-06-24 14:06:26.707"/>
    <s v="NULL"/>
    <s v="NULL"/>
    <s v="SÉNÉGAL"/>
    <s v="SÉNÉGAL"/>
    <s v="NULL"/>
    <n v="0"/>
    <s v="NULL"/>
    <s v="Greffe"/>
    <s v="Kédougou"/>
  </r>
  <r>
    <x v="4"/>
    <x v="265"/>
    <x v="265"/>
    <s v="SAKHALE KABA"/>
    <s v="2023-06-24 14:06:26.707"/>
    <s v="NULL"/>
    <s v="NULL"/>
    <s v="SÉNÉGAL"/>
    <s v="SÉNÉGAL"/>
    <s v="NULL"/>
    <n v="0"/>
    <s v="NULL"/>
    <s v="Greffe"/>
    <s v="Kédougou"/>
  </r>
  <r>
    <x v="4"/>
    <x v="265"/>
    <x v="265"/>
    <s v="SALIMOU DRAME"/>
    <s v="2023-06-24 14:06:26.707"/>
    <s v="NULL"/>
    <s v="NULL"/>
    <s v="SÉNÉGAL"/>
    <s v="SÉNÉGAL"/>
    <s v="NULL"/>
    <n v="0"/>
    <s v="NULL"/>
    <s v="Greffe"/>
    <s v="Kédougou"/>
  </r>
  <r>
    <x v="4"/>
    <x v="265"/>
    <x v="265"/>
    <s v="SALIOU CISSE"/>
    <s v="2023-06-24 14:47:34.287"/>
    <s v="NULL"/>
    <s v="NULL"/>
    <s v="SÉNÉGAL"/>
    <s v="SÉNÉGAL"/>
    <s v="NULL"/>
    <n v="0"/>
    <s v="NULL"/>
    <s v="Greffe"/>
    <s v="Kédougou"/>
  </r>
  <r>
    <x v="4"/>
    <x v="266"/>
    <x v="266"/>
    <s v="SALIOU DIAGNE"/>
    <s v="2023-06-24 14:47:34.287"/>
    <s v="NULL"/>
    <s v="NULL"/>
    <s v="SÉNÉGAL"/>
    <s v="SÉNÉGAL"/>
    <s v="NULL"/>
    <n v="0"/>
    <s v="NULL"/>
    <s v="Greffe"/>
    <s v="Kédougou"/>
  </r>
  <r>
    <x v="4"/>
    <x v="267"/>
    <x v="267"/>
    <s v="SALIOU MBAYE"/>
    <s v="2023-06-24 14:47:34.287"/>
    <s v="NULL"/>
    <s v="NULL"/>
    <s v="SÉNÉGAL"/>
    <s v="SÉNÉGAL"/>
    <s v="NULL"/>
    <n v="0"/>
    <s v="NULL"/>
    <s v="Greffe"/>
    <s v="Kédougou"/>
  </r>
  <r>
    <x v="4"/>
    <x v="267"/>
    <x v="267"/>
    <s v="SALIOU MBAYE"/>
    <s v="2023-01-30 12:11:01.097"/>
    <s v="NULL"/>
    <s v="NULL"/>
    <s v="SÉNÉGAL"/>
    <s v="SÉNÉGAL"/>
    <s v="NULL"/>
    <n v="0"/>
    <s v="NULL"/>
    <s v="Greffe"/>
    <s v="Kédougou"/>
  </r>
  <r>
    <x v="4"/>
    <x v="268"/>
    <x v="268"/>
    <s v="SALIOU NDAW"/>
    <s v="2023-01-30 12:11:01.097"/>
    <s v="NULL"/>
    <s v="NULL"/>
    <s v="SÉNÉGAL"/>
    <s v="SÉNÉGAL"/>
    <s v="NULL"/>
    <n v="0"/>
    <s v="NULL"/>
    <s v="Greffe"/>
    <s v="Kédougou"/>
  </r>
  <r>
    <x v="4"/>
    <x v="269"/>
    <x v="269"/>
    <s v="SALIOU SECK"/>
    <s v="2023-01-30 12:11:01.097"/>
    <s v="NULL"/>
    <s v="NULL"/>
    <s v="SÉNÉGAL"/>
    <s v="SÉNÉGAL"/>
    <s v="NULL"/>
    <n v="0"/>
    <s v="NULL"/>
    <s v="Greffe"/>
    <s v="Kédougou"/>
  </r>
  <r>
    <x v="4"/>
    <x v="270"/>
    <x v="270"/>
    <s v="SALIOU SENE"/>
    <s v="2023-01-30 12:11:01.097"/>
    <s v="NULL"/>
    <s v="NULL"/>
    <s v="SÉNÉGAL"/>
    <s v="SÉNÉGAL"/>
    <s v="NULL"/>
    <n v="0"/>
    <s v="NULL"/>
    <s v="Greffe"/>
    <s v="Kédougou"/>
  </r>
  <r>
    <x v="4"/>
    <x v="271"/>
    <x v="271"/>
    <s v="SALL PAPA SANGONE"/>
    <s v="2023-01-30 12:11:01.097"/>
    <s v="NULL"/>
    <s v="NULL"/>
    <s v="SÉNÉGAL"/>
    <s v="SÉNÉGAL"/>
    <s v="NULL"/>
    <n v="0"/>
    <s v="NULL"/>
    <s v="Greffe"/>
    <s v="Kédougou"/>
  </r>
  <r>
    <x v="4"/>
    <x v="271"/>
    <x v="271"/>
    <s v="SAMBA CAMARA"/>
    <s v="2023-01-30 12:11:01.097"/>
    <s v="NULL"/>
    <s v="NULL"/>
    <s v="SÉNÉGAL"/>
    <s v="SÉNÉGAL"/>
    <s v="NULL"/>
    <n v="0"/>
    <s v="NULL"/>
    <s v="Greffe"/>
    <s v="Kédougou"/>
  </r>
  <r>
    <x v="4"/>
    <x v="272"/>
    <x v="272"/>
    <s v="SAMBA DIALLO"/>
    <s v="2023-01-30 12:11:01.097"/>
    <s v="NULL"/>
    <s v="NULL"/>
    <s v="SÉNÉGAL"/>
    <s v="SÉNÉGAL"/>
    <s v="NULL"/>
    <n v="0"/>
    <s v="NULL"/>
    <s v="Greffe"/>
    <s v="Kédougou"/>
  </r>
  <r>
    <x v="4"/>
    <x v="272"/>
    <x v="272"/>
    <s v="SAMBA GADIAGA"/>
    <s v="2023-01-30 12:11:01.097"/>
    <s v="NULL"/>
    <s v="NULL"/>
    <s v="SÉNÉGAL"/>
    <s v="SÉNÉGAL"/>
    <s v="NULL"/>
    <n v="0"/>
    <s v="NULL"/>
    <s v="Greffe"/>
    <s v="Kédougou"/>
  </r>
  <r>
    <x v="4"/>
    <x v="272"/>
    <x v="272"/>
    <s v="SAMBA MAMADOU SY"/>
    <s v="2023-01-30 12:11:01.097"/>
    <s v="NULL"/>
    <s v="NULL"/>
    <s v="SÉNÉGAL"/>
    <s v="SÉNÉGAL"/>
    <s v="NULL"/>
    <n v="0"/>
    <s v="NULL"/>
    <s v="Greffe"/>
    <s v="Kédougou"/>
  </r>
  <r>
    <x v="4"/>
    <x v="272"/>
    <x v="272"/>
    <s v="SAMBA NDAO NDIR"/>
    <s v="2023-01-30 12:11:01.097"/>
    <s v="NULL"/>
    <s v="NULL"/>
    <s v="SÉNÉGAL"/>
    <s v="SÉNÉGAL"/>
    <s v="NULL"/>
    <n v="0"/>
    <s v="NULL"/>
    <s v="Greffe"/>
    <s v="Kédougou"/>
  </r>
  <r>
    <x v="4"/>
    <x v="273"/>
    <x v="273"/>
    <s v="SAMBALY"/>
    <s v="2023-01-30 12:11:01.097"/>
    <s v="NULL"/>
    <s v="NULL"/>
    <s v="SÉNÉGAL"/>
    <s v="SÉNÉGAL"/>
    <s v="NULL"/>
    <n v="0"/>
    <s v="NULL"/>
    <s v="Greffe"/>
    <s v="Kédougou"/>
  </r>
  <r>
    <x v="4"/>
    <x v="273"/>
    <x v="273"/>
    <s v="SAME MBAYE NIASSE"/>
    <s v="2023-01-30 12:11:01.097"/>
    <s v="NULL"/>
    <s v="NULL"/>
    <s v="SÉNÉGAL"/>
    <s v="SÉNÉGAL"/>
    <s v="NULL"/>
    <n v="0"/>
    <s v="NULL"/>
    <s v="Greffe"/>
    <s v="Kédougou"/>
  </r>
  <r>
    <x v="4"/>
    <x v="273"/>
    <x v="273"/>
    <s v="SARR CHEIKH"/>
    <s v="2024-01-06 15:31:34.577"/>
    <s v="NULL"/>
    <s v="NULL"/>
    <s v="SÉNÉGAL"/>
    <s v="SÉNÉGAL"/>
    <s v="NULL"/>
    <n v="0"/>
    <s v="NULL"/>
    <s v="Greffe"/>
    <s v="Kédougou"/>
  </r>
  <r>
    <x v="4"/>
    <x v="274"/>
    <x v="274"/>
    <s v="SARR MATY"/>
    <s v="2024-01-06 15:31:34.577"/>
    <s v="NULL"/>
    <s v="NULL"/>
    <s v="SÉNÉGAL"/>
    <s v="SÉNÉGAL"/>
    <s v="NULL"/>
    <n v="0"/>
    <s v="NULL"/>
    <s v="Greffe"/>
    <s v="Kédougou"/>
  </r>
  <r>
    <x v="4"/>
    <x v="274"/>
    <x v="274"/>
    <s v="SARR PAPA THIONE"/>
    <s v="2024-01-06 15:31:34.577"/>
    <s v="NULL"/>
    <s v="NULL"/>
    <s v="SÉNÉGAL"/>
    <s v="SÉNÉGAL"/>
    <s v="NULL"/>
    <n v="0"/>
    <s v="NULL"/>
    <s v="Greffe"/>
    <s v="Kédougou"/>
  </r>
  <r>
    <x v="4"/>
    <x v="275"/>
    <x v="275"/>
    <s v="SATOU SAKHO"/>
    <s v="2025-08-07 19:41:59.387"/>
    <s v="NULL"/>
    <s v="NULL"/>
    <s v="SÉNÉGAL"/>
    <m/>
    <n v="0"/>
    <s v="NULL"/>
    <s v="NULL"/>
    <s v="Greffe"/>
    <s v="Kédougou"/>
  </r>
  <r>
    <x v="4"/>
    <x v="275"/>
    <x v="275"/>
    <s v="SECK FATOU KHADY"/>
    <s v="2025-08-07 19:41:59.387"/>
    <s v="NULL"/>
    <s v="NULL"/>
    <s v="SÉNÉGAL"/>
    <m/>
    <n v="0"/>
    <s v="NULL"/>
    <s v="NULL"/>
    <s v="Greffe"/>
    <s v="Kédougou"/>
  </r>
  <r>
    <x v="4"/>
    <x v="275"/>
    <x v="275"/>
    <s v="SECK SOKHNA MOUSLINE"/>
    <s v="2025-08-07 19:41:59.387"/>
    <s v="NULL"/>
    <s v="NULL"/>
    <s v="SÉNÉGAL"/>
    <m/>
    <n v="0"/>
    <s v="NULL"/>
    <s v="NULL"/>
    <s v="Greffe"/>
    <s v="Kédougou"/>
  </r>
  <r>
    <x v="4"/>
    <x v="276"/>
    <x v="276"/>
    <s v="SEGA KANTE"/>
    <s v="2025-08-07 12:06:38.113"/>
    <s v="NULL"/>
    <s v="NULL"/>
    <s v="SÉNÉGAL"/>
    <m/>
    <n v="0"/>
    <s v="NULL"/>
    <s v="NULL"/>
    <s v="Greffe"/>
    <s v="Kédougou"/>
  </r>
  <r>
    <x v="4"/>
    <x v="277"/>
    <x v="277"/>
    <s v="SEGA KANTE"/>
    <s v="2025-08-07 12:06:38.113"/>
    <s v="NULL"/>
    <s v="NULL"/>
    <s v="SÉNÉGAL"/>
    <m/>
    <n v="0"/>
    <s v="NULL"/>
    <s v="NULL"/>
    <s v="Greffe"/>
    <s v="Kédougou"/>
  </r>
  <r>
    <x v="4"/>
    <x v="278"/>
    <x v="278"/>
    <s v="SEKHOU SENE"/>
    <s v="2025-08-07 12:06:38.113"/>
    <s v="NULL"/>
    <s v="NULL"/>
    <s v="SÉNÉGAL"/>
    <m/>
    <s v="NULL"/>
    <s v="NULL"/>
    <s v="NULL"/>
    <s v="Greffe"/>
    <s v="Kédougou"/>
  </r>
  <r>
    <x v="4"/>
    <x v="279"/>
    <x v="279"/>
    <s v="SEKHOU SOUARE"/>
    <s v="2025-08-06 19:41:54.687"/>
    <s v="NULL"/>
    <s v="NULL"/>
    <s v="SÉNÉGAL"/>
    <m/>
    <n v="0"/>
    <s v="NULL"/>
    <s v="NULL"/>
    <s v="Greffe"/>
    <s v="Kédougou"/>
  </r>
  <r>
    <x v="4"/>
    <x v="280"/>
    <x v="280"/>
    <s v="SERIGNE ASSA FALLE GAYE"/>
    <s v="2025-04-23 11:17:43.520"/>
    <s v="NULL"/>
    <s v="NULL"/>
    <s v="SÉNÉGAL"/>
    <m/>
    <n v="0"/>
    <s v="NULL"/>
    <s v="NULL"/>
    <s v="Greffe"/>
    <s v="Kédougou"/>
  </r>
  <r>
    <x v="4"/>
    <x v="280"/>
    <x v="280"/>
    <s v="SERIGNE BAMBA DIOP"/>
    <s v="2025-04-23 11:17:43.520"/>
    <s v="NULL"/>
    <s v="NULL"/>
    <s v="SÉNÉGAL"/>
    <m/>
    <n v="0"/>
    <s v="NULL"/>
    <s v="NULL"/>
    <s v="Greffe"/>
    <s v="Kédougou"/>
  </r>
  <r>
    <x v="4"/>
    <x v="280"/>
    <x v="280"/>
    <s v="SERIGNE BAMBA MBACKE DIOP"/>
    <s v="2025-04-23 11:17:43.520"/>
    <s v="NULL"/>
    <s v="NULL"/>
    <s v="SÉNÉGAL"/>
    <m/>
    <n v="0"/>
    <s v="NULL"/>
    <s v="NULL"/>
    <s v="Greffe"/>
    <s v="Kédougou"/>
  </r>
  <r>
    <x v="4"/>
    <x v="280"/>
    <x v="280"/>
    <s v="SERIGNE DIENG"/>
    <s v="2025-03-17 23:01:08.827"/>
    <s v="NULL"/>
    <s v="NULL"/>
    <s v="SÉNÉGAL"/>
    <m/>
    <n v="0"/>
    <s v="NULL"/>
    <s v="NULL"/>
    <s v="Greffe"/>
    <s v="Kédougou"/>
  </r>
  <r>
    <x v="4"/>
    <x v="281"/>
    <x v="281"/>
    <s v="SERIGNE MBACKE NIANE"/>
    <s v="2025-03-17 23:01:08.827"/>
    <s v="NULL"/>
    <s v="NULL"/>
    <s v="SÉNÉGAL"/>
    <m/>
    <n v="0"/>
    <s v="NULL"/>
    <s v="NULL"/>
    <s v="Greffe"/>
    <s v="Kédougou"/>
  </r>
  <r>
    <x v="4"/>
    <x v="282"/>
    <x v="282"/>
    <s v="SERIGNE OMAR DIOP"/>
    <s v="2025-03-17 23:01:08.827"/>
    <s v="NULL"/>
    <s v="NULL"/>
    <s v="SÉNÉGAL"/>
    <m/>
    <n v="0"/>
    <s v="NULL"/>
    <s v="NULL"/>
    <s v="Greffe"/>
    <s v="Kédougou"/>
  </r>
  <r>
    <x v="4"/>
    <x v="283"/>
    <x v="283"/>
    <s v="SEYDINA DIOP"/>
    <s v="2025-03-17 22:26:15.717"/>
    <s v="NULL"/>
    <s v="NULL"/>
    <s v="SÉNÉGAL"/>
    <m/>
    <n v="0"/>
    <s v="NULL"/>
    <s v="NULL"/>
    <s v="Greffe"/>
    <s v="Kédougou"/>
  </r>
  <r>
    <x v="4"/>
    <x v="284"/>
    <x v="284"/>
    <s v="SEYDINA GUEYE"/>
    <s v="2025-03-17 22:26:15.717"/>
    <s v="NULL"/>
    <s v="NULL"/>
    <s v="SÉNÉGAL"/>
    <m/>
    <n v="0"/>
    <s v="NULL"/>
    <s v="NULL"/>
    <s v="Greffe"/>
    <s v="Kédougou"/>
  </r>
  <r>
    <x v="4"/>
    <x v="285"/>
    <x v="285"/>
    <s v="SEYDINA GUEYE"/>
    <s v="2025-03-17 21:40:18.303"/>
    <s v="NULL"/>
    <s v="NULL"/>
    <s v="SÉNÉGAL"/>
    <m/>
    <n v="0"/>
    <s v="NULL"/>
    <s v="NULL"/>
    <s v="Greffe"/>
    <s v="Kédougou"/>
  </r>
  <r>
    <x v="4"/>
    <x v="286"/>
    <x v="286"/>
    <s v="SEYDOU GASSAMA"/>
    <s v="2025-03-17 21:40:18.303"/>
    <s v="NULL"/>
    <s v="NULL"/>
    <s v="SÉNÉGAL"/>
    <m/>
    <n v="0"/>
    <s v="NULL"/>
    <s v="NULL"/>
    <s v="Greffe"/>
    <s v="Kédougou"/>
  </r>
  <r>
    <x v="4"/>
    <x v="287"/>
    <x v="287"/>
    <s v="SEYDOU SAER HANE"/>
    <s v="2025-03-17 21:40:18.303"/>
    <s v="NULL"/>
    <s v="NULL"/>
    <s v="SÉNÉGAL"/>
    <m/>
    <n v="0"/>
    <s v="NULL"/>
    <s v="NULL"/>
    <s v="Greffe"/>
    <s v="Kédougou"/>
  </r>
  <r>
    <x v="4"/>
    <x v="287"/>
    <x v="287"/>
    <s v="SEYNABOU MBENGUE"/>
    <s v="2025-03-06 21:16:36.197"/>
    <n v="50"/>
    <n v="50"/>
    <s v="SÉNÉGAL"/>
    <m/>
    <n v="0"/>
    <s v="NULL"/>
    <s v="NULL"/>
    <s v="Greffe"/>
    <s v="Kédougou"/>
  </r>
  <r>
    <x v="4"/>
    <x v="287"/>
    <x v="287"/>
    <s v="SHAUN MARTIN GREGORY"/>
    <s v="2025-02-25 15:57:19.837"/>
    <n v="40"/>
    <s v="NULL"/>
    <s v="SÉNÉGAL"/>
    <m/>
    <n v="0"/>
    <s v="NULL"/>
    <s v="NULL"/>
    <s v="Greffe"/>
    <s v="Kédougou"/>
  </r>
  <r>
    <x v="4"/>
    <x v="287"/>
    <x v="287"/>
    <s v="SIBHARAM ARUN AGGARWAL"/>
    <s v="2025-01-12 18:28:58.637"/>
    <n v="1"/>
    <s v="NULL"/>
    <s v="SÉNÉGAL"/>
    <m/>
    <n v="0"/>
    <s v="NULL"/>
    <s v="NULL"/>
    <s v="Greffe"/>
    <s v="Kédougou"/>
  </r>
  <r>
    <x v="4"/>
    <x v="287"/>
    <x v="287"/>
    <s v="SOKHNA NDONGO"/>
    <s v="2025-01-12 18:28:58.637"/>
    <n v="10"/>
    <s v="NULL"/>
    <s v="SÉNÉGAL"/>
    <m/>
    <n v="0"/>
    <s v="NULL"/>
    <s v="NULL"/>
    <s v="Greffe"/>
    <s v="Kédougou"/>
  </r>
  <r>
    <x v="4"/>
    <x v="287"/>
    <x v="287"/>
    <s v="SORY KABA"/>
    <s v="2025-01-12 18:28:58.637"/>
    <n v="29"/>
    <s v="NULL"/>
    <s v="SÉNÉGAL"/>
    <m/>
    <n v="0"/>
    <s v="NULL"/>
    <s v="NULL"/>
    <s v="Greffe"/>
    <s v="Kédougou"/>
  </r>
  <r>
    <x v="4"/>
    <x v="287"/>
    <x v="287"/>
    <s v="SORY SOUARE"/>
    <s v="2025-01-12 18:28:58.637"/>
    <n v="60"/>
    <s v="NULL"/>
    <s v="SÉNÉGAL"/>
    <m/>
    <n v="0"/>
    <s v="NULL"/>
    <s v="NULL"/>
    <s v="Greffe"/>
    <s v="Kédougou"/>
  </r>
  <r>
    <x v="5"/>
    <x v="287"/>
    <x v="287"/>
    <s v="SOUAREBA SOUARE"/>
    <s v="2023-07-24 15:22:55.063"/>
    <s v="NULL"/>
    <s v="NULL"/>
    <s v="CANADA"/>
    <s v="CANADA"/>
    <s v="NULL"/>
    <n v="0"/>
    <s v="NULL"/>
    <s v="Greffe"/>
    <s v="Mbour"/>
  </r>
  <r>
    <x v="5"/>
    <x v="287"/>
    <x v="287"/>
    <s v="SOULEYE SECK"/>
    <s v="2023-07-24 15:22:55.063"/>
    <s v="NULL"/>
    <s v="NULL"/>
    <s v="SÉNÉGAL"/>
    <s v="SÉNÉGAL"/>
    <s v="NULL"/>
    <n v="0"/>
    <s v="NULL"/>
    <s v="Greffe"/>
    <s v="Mbour"/>
  </r>
  <r>
    <x v="5"/>
    <x v="287"/>
    <x v="287"/>
    <s v="SOULEYMANE KANTE"/>
    <s v="2023-07-24 15:22:55.063"/>
    <s v="NULL"/>
    <s v="NULL"/>
    <s v="SÉNÉGAL"/>
    <s v="SÉNÉGAL"/>
    <s v="NULL"/>
    <n v="0"/>
    <s v="NULL"/>
    <s v="Greffe"/>
    <s v="Mbour"/>
  </r>
  <r>
    <x v="5"/>
    <x v="287"/>
    <x v="287"/>
    <s v="SOULEYMANE NIANG"/>
    <s v="2024-03-27 13:29:49.853"/>
    <n v="2"/>
    <s v="NULL"/>
    <s v="SÉNÉGAL"/>
    <s v="SÉNÉGAL"/>
    <s v="NULL"/>
    <n v="0"/>
    <s v="NULL"/>
    <s v="Greffe"/>
    <s v="Mbour"/>
  </r>
  <r>
    <x v="5"/>
    <x v="287"/>
    <x v="287"/>
    <s v="SOULEYMANE SOW"/>
    <s v="2025-08-06 14:10:17.893"/>
    <s v="NULL"/>
    <s v="NULL"/>
    <s v="SÉNÉGAL"/>
    <m/>
    <n v="0"/>
    <s v="NULL"/>
    <s v="NULL"/>
    <s v="Greffe"/>
    <s v="Mbour"/>
  </r>
  <r>
    <x v="5"/>
    <x v="288"/>
    <x v="288"/>
    <s v="SOULEYMANE SOW"/>
    <s v="2025-04-29 13:52:48.187"/>
    <n v="100"/>
    <n v="100"/>
    <s v="SÉNÉGAL"/>
    <m/>
    <n v="0"/>
    <s v="NULL"/>
    <s v="NULL"/>
    <s v="Greffe"/>
    <s v="Mbour"/>
  </r>
  <r>
    <x v="5"/>
    <x v="289"/>
    <x v="289"/>
    <s v="SOW ABDOUL AZIZ"/>
    <s v="2025-02-14 14:25:41.847"/>
    <n v="51"/>
    <n v="51"/>
    <s v="SÉNÉGAL"/>
    <m/>
    <n v="0"/>
    <s v="NULL"/>
    <s v="NULL"/>
    <s v="Greffe"/>
    <s v="Mbour"/>
  </r>
  <r>
    <x v="6"/>
    <x v="290"/>
    <x v="290"/>
    <s v="SOW ABDOUL KARIM"/>
    <s v="2023-10-16 17:36:11.080"/>
    <n v="2"/>
    <n v="2"/>
    <s v="SÉNÉGAL"/>
    <s v="SÉNÉGAL"/>
    <s v="NULL"/>
    <n v="0"/>
    <s v="NULL"/>
    <s v="Greffe"/>
    <s v="Tambacounda"/>
  </r>
  <r>
    <x v="6"/>
    <x v="290"/>
    <x v="290"/>
    <s v="SULTAN DIOP"/>
    <s v="2024-12-05 10:23:26.867"/>
    <s v="NULL"/>
    <n v="25"/>
    <s v="SÉNÉGAL"/>
    <s v="SÉNÉGAL"/>
    <s v="NULL"/>
    <n v="0"/>
    <s v="NULL"/>
    <s v="Greffe"/>
    <s v="Tambacounda"/>
  </r>
  <r>
    <x v="7"/>
    <x v="291"/>
    <x v="291"/>
    <s v="SULTAN DIOP"/>
    <s v="2021-11-09 12:53:43.717"/>
    <n v="100"/>
    <n v="100"/>
    <s v="SÉNÉGAL"/>
    <s v="SÉNÉGAL"/>
    <s v="NULL"/>
    <n v="0"/>
    <s v="NULL"/>
    <s v="Greffe"/>
    <s v="Thiès"/>
  </r>
  <r>
    <x v="7"/>
    <x v="292"/>
    <x v="292"/>
    <s v="SULTAN DIOP"/>
    <s v="2021-10-14 13:07:20.937"/>
    <n v="100"/>
    <n v="100"/>
    <s v="SÉNÉGAL"/>
    <s v="SÉNÉGAL"/>
    <s v="SENEGAL"/>
    <n v="0"/>
    <s v="AMY DIAKHATE"/>
    <s v="Greffe"/>
    <s v="Thiès"/>
  </r>
  <r>
    <x v="7"/>
    <x v="292"/>
    <x v="292"/>
    <s v="SUZANE BOISSY"/>
    <s v="2021-10-14 13:07:20.937"/>
    <n v="100"/>
    <n v="100"/>
    <s v="SÉNÉGAL"/>
    <s v="SÉNÉGAL"/>
    <s v="SÉNÉGAL"/>
    <n v="0"/>
    <s v="AMY DIAKHATE"/>
    <s v="Greffe"/>
    <s v="Thiès"/>
  </r>
  <r>
    <x v="7"/>
    <x v="293"/>
    <x v="293"/>
    <s v="SY MOUHAMADOU"/>
    <s v="2021-11-25 13:41:17.070"/>
    <s v="NULL"/>
    <n v="100"/>
    <s v="SÉNÉGAL"/>
    <s v="SÉNÉGAL"/>
    <s v="NULL"/>
    <n v="0"/>
    <s v="NULL"/>
    <s v="Greffe"/>
    <s v="Thiès"/>
  </r>
  <r>
    <x v="7"/>
    <x v="294"/>
    <x v="294"/>
    <s v="SYLLA"/>
    <s v="2021-12-07 13:41:27.180"/>
    <n v="95"/>
    <n v="95"/>
    <s v="SÉNÉGAL"/>
    <s v="SÉNÉGAL"/>
    <s v="NULL"/>
    <n v="0"/>
    <s v="NULL"/>
    <s v="Greffe"/>
    <s v="Thiès"/>
  </r>
  <r>
    <x v="7"/>
    <x v="295"/>
    <x v="295"/>
    <s v="SYLLA"/>
    <s v="2021-12-07 13:41:27.180"/>
    <n v="5"/>
    <n v="5"/>
    <s v="SÉNÉGAL"/>
    <s v="SÉNÉGAL"/>
    <s v="NULL"/>
    <n v="0"/>
    <s v="NULL"/>
    <s v="Greffe"/>
    <s v="Thiès"/>
  </r>
  <r>
    <x v="7"/>
    <x v="296"/>
    <x v="296"/>
    <s v="TAMBA SADIAKHOU"/>
    <s v="2021-07-28 12:53:56.230"/>
    <s v="96.29"/>
    <s v="96.29"/>
    <s v="SÉNÉGAL"/>
    <s v="SÉNÉGAL"/>
    <s v="NULL"/>
    <n v="0"/>
    <s v="NULL"/>
    <s v="Greffe"/>
    <s v="Thiès"/>
  </r>
  <r>
    <x v="7"/>
    <x v="296"/>
    <x v="296"/>
    <s v="TAMSIR BABACAR"/>
    <s v="2022-10-25 12:55:37.077"/>
    <n v="100"/>
    <n v="100"/>
    <s v="SÉNÉGAL"/>
    <s v="SÉNÉGAL"/>
    <s v="SENEGAL"/>
    <n v="0"/>
    <s v="SALIOU MBAYE"/>
    <s v="Greffe"/>
    <s v="Thiès"/>
  </r>
  <r>
    <x v="7"/>
    <x v="296"/>
    <x v="296"/>
    <s v="TARECK AREZKI"/>
    <s v="2022-08-26 16:55:54.787"/>
    <n v="100"/>
    <n v="100"/>
    <s v="SÉNÉGAL"/>
    <s v="SÉNÉGAL"/>
    <s v="NULL"/>
    <n v="0"/>
    <s v="NULL"/>
    <s v="Greffe"/>
    <s v="Thiès"/>
  </r>
  <r>
    <x v="7"/>
    <x v="297"/>
    <x v="297"/>
    <s v="TENDER NICOLETA-DANIELA"/>
    <s v="2022-06-28 10:17:50.400"/>
    <n v="100"/>
    <n v="100"/>
    <s v="SÉNÉGAL"/>
    <s v="SÉNÉGAL"/>
    <s v="NULL"/>
    <n v="0"/>
    <s v="NULL"/>
    <s v="Greffe"/>
    <s v="Thiès"/>
  </r>
  <r>
    <x v="7"/>
    <x v="297"/>
    <x v="297"/>
    <s v="TERENCE NEIL"/>
    <s v="2022-09-13 12:43:09.637"/>
    <n v="50"/>
    <n v="50"/>
    <s v="SÉNÉGAL"/>
    <s v="SÉNÉGAL"/>
    <s v="NULL"/>
    <n v="0"/>
    <s v="NULL"/>
    <s v="Greffe"/>
    <s v="Thiès"/>
  </r>
  <r>
    <x v="7"/>
    <x v="298"/>
    <x v="298"/>
    <s v="THIAM"/>
    <s v="2022-10-31 16:46:15.537"/>
    <n v="100"/>
    <n v="100"/>
    <s v="SÉNÉGAL"/>
    <s v="SÉNÉGAL"/>
    <s v="NULL"/>
    <n v="0"/>
    <s v="NULL"/>
    <s v="Greffe"/>
    <s v="Thiès"/>
  </r>
  <r>
    <x v="7"/>
    <x v="299"/>
    <x v="299"/>
    <s v="THIORO MBAYE"/>
    <s v="2022-10-25 12:55:37.077"/>
    <n v="100"/>
    <n v="100"/>
    <s v="SÉNÉGAL"/>
    <s v="SÉNÉGAL"/>
    <s v="SÉNÉGAL"/>
    <n v="0"/>
    <s v="SALIOU MBAYE"/>
    <s v="Greffe"/>
    <s v="Thiès"/>
  </r>
  <r>
    <x v="7"/>
    <x v="300"/>
    <x v="300"/>
    <s v="THIORO MBAYE"/>
    <s v="2022-09-21 16:23:20.703"/>
    <n v="80"/>
    <n v="80"/>
    <s v="SÉNÉGAL"/>
    <s v="SÉNÉGAL"/>
    <s v="NULL"/>
    <n v="0"/>
    <s v="NULL"/>
    <s v="Greffe"/>
    <s v="Thiès"/>
  </r>
  <r>
    <x v="7"/>
    <x v="301"/>
    <x v="301"/>
    <s v="TIDIANE KEITA"/>
    <s v="2022-09-21 16:23:20.703"/>
    <n v="20"/>
    <n v="20"/>
    <s v="SÉNÉGAL"/>
    <s v="SÉNÉGAL"/>
    <s v="NULL"/>
    <n v="0"/>
    <s v="NULL"/>
    <s v="Greffe"/>
    <s v="Thiès"/>
  </r>
  <r>
    <x v="7"/>
    <x v="302"/>
    <x v="302"/>
    <s v="TREVOR BRIAN MARTIN"/>
    <s v="2022-06-17 09:45:02.553"/>
    <n v="100"/>
    <n v="100"/>
    <s v="SÉNÉGAL"/>
    <s v="SÉNÉGAL"/>
    <s v="NULL"/>
    <n v="0"/>
    <s v="NULL"/>
    <s v="Greffe"/>
    <s v="Thiès"/>
  </r>
  <r>
    <x v="7"/>
    <x v="302"/>
    <x v="302"/>
    <s v="TSENG LUNG YI"/>
    <s v="2022-04-06 16:03:59.817"/>
    <n v="100"/>
    <n v="100"/>
    <s v="SÉNÉGAL"/>
    <s v="SÉNÉGAL"/>
    <s v="SENEGAL"/>
    <n v="0"/>
    <s v="AUGUSTIN TINE"/>
    <s v="Greffe"/>
    <s v="Thiès"/>
  </r>
  <r>
    <x v="7"/>
    <x v="303"/>
    <x v="303"/>
    <s v="TSENG PING-FU"/>
    <s v="2022-04-06 16:03:59.817"/>
    <n v="100"/>
    <n v="100"/>
    <s v="SÉNÉGAL"/>
    <s v="SÉNÉGAL"/>
    <s v="SÉNÉGAL"/>
    <n v="0"/>
    <s v="AUGUSTIN TINE"/>
    <s v="Greffe"/>
    <s v="Thiès"/>
  </r>
  <r>
    <x v="7"/>
    <x v="303"/>
    <x v="303"/>
    <s v="VAHAP KANITOGLU"/>
    <s v="2022-08-25 13:04:07.017"/>
    <n v="72"/>
    <n v="72"/>
    <s v="SÉNÉGAL"/>
    <s v="SÉNÉGAL"/>
    <s v="NULL"/>
    <n v="0"/>
    <s v="NULL"/>
    <s v="Greffe"/>
    <s v="Thiès"/>
  </r>
  <r>
    <x v="7"/>
    <x v="303"/>
    <x v="303"/>
    <s v="WALY DIOUF"/>
    <s v="2022-08-25 13:04:07.017"/>
    <n v="5"/>
    <n v="5"/>
    <s v="SÉNÉGAL"/>
    <s v="SÉNÉGAL"/>
    <s v="NULL"/>
    <n v="0"/>
    <s v="NULL"/>
    <s v="Greffe"/>
    <s v="Thiès"/>
  </r>
  <r>
    <x v="7"/>
    <x v="303"/>
    <x v="303"/>
    <s v="WANG WEI"/>
    <s v="2022-08-25 13:04:07.017"/>
    <n v="23"/>
    <n v="23"/>
    <s v="ITALIE"/>
    <s v="ITALIE"/>
    <s v="NULL"/>
    <n v="0"/>
    <s v="NULL"/>
    <s v="Greffe"/>
    <s v="Thiès"/>
  </r>
  <r>
    <x v="7"/>
    <x v="303"/>
    <x v="303"/>
    <s v="WARREN FRANK MACKENZIE"/>
    <s v="2022-07-08 12:25:15.940"/>
    <n v="15"/>
    <n v="15"/>
    <s v="SÉNÉGAL"/>
    <s v="SÉNÉGAL"/>
    <s v="NULL"/>
    <n v="0"/>
    <s v="NULL"/>
    <s v="Greffe"/>
    <s v="Thiès"/>
  </r>
  <r>
    <x v="7"/>
    <x v="304"/>
    <x v="304"/>
    <s v="WEILIN LIN"/>
    <s v="2022-07-08 12:25:15.940"/>
    <n v="15"/>
    <n v="15"/>
    <s v="SÉNÉGAL"/>
    <s v="SÉNÉGAL"/>
    <s v="NULL"/>
    <n v="0"/>
    <s v="NULL"/>
    <s v="Greffe"/>
    <s v="Thiès"/>
  </r>
  <r>
    <x v="7"/>
    <x v="305"/>
    <x v="305"/>
    <s v="WILLIAM KEITH BARCLAY"/>
    <s v="2022-07-06 13:54:30.297"/>
    <n v="30"/>
    <n v="30"/>
    <s v="SÉNÉGAL"/>
    <s v="SÉNÉGAL"/>
    <s v="NULL"/>
    <n v="0"/>
    <s v="NULL"/>
    <s v="Greffe"/>
    <s v="Thiès"/>
  </r>
  <r>
    <x v="7"/>
    <x v="305"/>
    <x v="305"/>
    <s v="WILSON BELLI"/>
    <s v="2022-08-05 13:09:06.490"/>
    <n v="15"/>
    <n v="15"/>
    <s v="SÉNÉGAL"/>
    <s v="SÉNÉGAL"/>
    <s v="SENEGAL"/>
    <n v="1"/>
    <s v="NULL"/>
    <s v="Greffe"/>
    <s v="Thiès"/>
  </r>
  <r>
    <x v="7"/>
    <x v="305"/>
    <x v="305"/>
    <s v="WOLFGANG ENGELBERG BEDORF"/>
    <s v="2022-08-05 13:09:06.490"/>
    <n v="15"/>
    <n v="15"/>
    <s v="SÉNÉGAL"/>
    <s v="SÉNÉGAL"/>
    <s v="SÉNÉGAL"/>
    <n v="1"/>
    <s v="NULL"/>
    <s v="Greffe"/>
    <s v="Thiès"/>
  </r>
  <r>
    <x v="7"/>
    <x v="306"/>
    <x v="306"/>
    <s v="XIAMING ZHANG"/>
    <s v="2022-08-05 13:09:06.490"/>
    <n v="15"/>
    <n v="15"/>
    <s v="SÉNÉGAL"/>
    <s v="SÉNÉGAL"/>
    <s v="SENEGAL"/>
    <n v="0"/>
    <s v="OMAR BADIANE"/>
    <s v="Greffe"/>
    <s v="Thiès"/>
  </r>
  <r>
    <x v="7"/>
    <x v="307"/>
    <x v="307"/>
    <s v="XIFU YANG"/>
    <s v="2022-08-05 13:09:06.490"/>
    <n v="15"/>
    <n v="15"/>
    <s v="SÉNÉGAL"/>
    <s v="SÉNÉGAL"/>
    <s v="SÉNÉGAL"/>
    <n v="0"/>
    <s v="OMAR BADIANE"/>
    <s v="Greffe"/>
    <s v="Thiès"/>
  </r>
  <r>
    <x v="7"/>
    <x v="308"/>
    <x v="308"/>
    <s v="YAKHYA DIOP"/>
    <s v="2022-09-20 16:56:18.357"/>
    <n v="100"/>
    <n v="100"/>
    <s v="SÉNÉGAL"/>
    <s v="SÉNÉGAL"/>
    <s v="NULL"/>
    <n v="0"/>
    <s v="NULL"/>
    <s v="Greffe"/>
    <s v="Thiès"/>
  </r>
  <r>
    <x v="7"/>
    <x v="309"/>
    <x v="309"/>
    <s v="YAMAGISHI CHISA"/>
    <s v="2022-07-29 10:38:46.930"/>
    <n v="100"/>
    <n v="100"/>
    <s v="SÉNÉGAL"/>
    <s v="SÉNÉGAL"/>
    <s v="NULL"/>
    <n v="0"/>
    <s v="NULL"/>
    <s v="Greffe"/>
    <s v="Thiès"/>
  </r>
  <r>
    <x v="7"/>
    <x v="310"/>
    <x v="310"/>
    <s v="YAN ZHANG"/>
    <s v="2022-07-05 13:29:19.847"/>
    <n v="100"/>
    <n v="100"/>
    <s v="SÉNÉGAL"/>
    <s v="SÉNÉGAL"/>
    <s v="NULL"/>
    <n v="0"/>
    <s v="NULL"/>
    <s v="Greffe"/>
    <s v="Thiès"/>
  </r>
  <r>
    <x v="7"/>
    <x v="311"/>
    <x v="311"/>
    <s v="YANG GUANG"/>
    <s v="2022-04-27 15:25:50.800"/>
    <n v="100"/>
    <n v="100"/>
    <s v="SÉNÉGAL"/>
    <s v="SÉNÉGAL"/>
    <s v="NULL"/>
    <n v="0"/>
    <s v="NULL"/>
    <s v="Greffe"/>
    <s v="Thiès"/>
  </r>
  <r>
    <x v="7"/>
    <x v="311"/>
    <x v="311"/>
    <s v="YANG JUNMING"/>
    <s v="2023-02-01 13:32:13.700"/>
    <n v="100"/>
    <n v="100"/>
    <s v="SÉNÉGAL"/>
    <s v="SÉNÉGAL"/>
    <s v="NULL"/>
    <n v="0"/>
    <s v="NULL"/>
    <s v="Greffe"/>
    <s v="Thiès"/>
  </r>
  <r>
    <x v="7"/>
    <x v="311"/>
    <x v="311"/>
    <s v="YANG QINHAI"/>
    <s v="2023-05-03 10:22:36.810"/>
    <n v="15"/>
    <n v="15"/>
    <s v="SÉNÉGAL"/>
    <s v="SÉNÉGAL"/>
    <s v="NULL"/>
    <n v="0"/>
    <s v="NULL"/>
    <s v="Greffe"/>
    <s v="Thiès"/>
  </r>
  <r>
    <x v="7"/>
    <x v="311"/>
    <x v="311"/>
    <s v="YANG QINHAI"/>
    <s v="2023-05-03 10:22:36.810"/>
    <n v="70"/>
    <n v="70"/>
    <s v="SÉNÉGAL"/>
    <s v="SÉNÉGAL"/>
    <s v="NULL"/>
    <n v="0"/>
    <s v="NULL"/>
    <s v="Greffe"/>
    <s v="Thiès"/>
  </r>
  <r>
    <x v="7"/>
    <x v="311"/>
    <x v="311"/>
    <s v="YANTING WANG"/>
    <s v="2023-05-03 10:22:36.810"/>
    <n v="15"/>
    <n v="15"/>
    <s v="SÉNÉGAL"/>
    <s v="SÉNÉGAL"/>
    <s v="NULL"/>
    <n v="0"/>
    <s v="NULL"/>
    <s v="Greffe"/>
    <s v="Thiès"/>
  </r>
  <r>
    <x v="7"/>
    <x v="311"/>
    <x v="311"/>
    <s v="YAYA IBRAHIMA SOW"/>
    <s v="2024-10-17 14:05:38.997"/>
    <n v="100"/>
    <n v="100"/>
    <s v="SÉNÉGAL"/>
    <s v="SÉNÉGAL"/>
    <s v="NULL"/>
    <n v="0"/>
    <s v="NULL"/>
    <s v="Greffe"/>
    <s v="Thiès"/>
  </r>
  <r>
    <x v="7"/>
    <x v="312"/>
    <x v="312"/>
    <s v="YAYE DIOR SECK"/>
    <s v="2024-01-02 13:44:43.337"/>
    <n v="100"/>
    <n v="100"/>
    <s v="SÉNÉGAL"/>
    <s v="SÉNÉGAL"/>
    <s v="NULL"/>
    <n v="0"/>
    <s v="NULL"/>
    <s v="Greffe"/>
    <s v="Thiès"/>
  </r>
  <r>
    <x v="7"/>
    <x v="312"/>
    <x v="312"/>
    <s v="YAYE NOGAYE DIOP"/>
    <s v="2024-07-31 16:23:20.937"/>
    <s v="22.5"/>
    <s v="22.5"/>
    <s v="SÉNÉGAL"/>
    <s v="SÉNÉGAL"/>
    <s v="NULL"/>
    <n v="0"/>
    <s v="NULL"/>
    <s v="Greffe"/>
    <s v="Thiès"/>
  </r>
  <r>
    <x v="7"/>
    <x v="312"/>
    <x v="312"/>
    <s v="YIYIRAN XIA"/>
    <s v="2024-07-31 16:23:20.937"/>
    <n v="15"/>
    <n v="15"/>
    <s v="CANADA"/>
    <s v="CANADA"/>
    <s v="NULL"/>
    <n v="0"/>
    <s v="NULL"/>
    <s v="Greffe"/>
    <s v="Thiès"/>
  </r>
  <r>
    <x v="7"/>
    <x v="312"/>
    <x v="312"/>
    <s v="YIYIRAN XIA"/>
    <s v="2024-07-31 16:23:20.937"/>
    <n v="10"/>
    <n v="10"/>
    <s v="SÉNÉGAL"/>
    <s v="SÉNÉGAL"/>
    <s v="NULL"/>
    <n v="0"/>
    <s v="NULL"/>
    <s v="Greffe"/>
    <s v="Thiès"/>
  </r>
  <r>
    <x v="7"/>
    <x v="313"/>
    <x v="313"/>
    <s v="YIYIRAN XIA"/>
    <s v="2024-07-31 16:23:20.937"/>
    <n v="15"/>
    <n v="15"/>
    <s v="CANADA"/>
    <s v="CANADA"/>
    <s v="NULL"/>
    <n v="0"/>
    <s v="NULL"/>
    <s v="Greffe"/>
    <s v="Thiès"/>
  </r>
  <r>
    <x v="7"/>
    <x v="313"/>
    <x v="313"/>
    <s v="YIYIRAN XIA"/>
    <s v="2024-07-31 16:23:20.937"/>
    <n v="15"/>
    <n v="15"/>
    <s v="CANADA"/>
    <s v="CANADA"/>
    <s v="NULL"/>
    <n v="0"/>
    <s v="NULL"/>
    <s v="Greffe"/>
    <s v="Thiès"/>
  </r>
  <r>
    <x v="7"/>
    <x v="313"/>
    <x v="313"/>
    <s v="YONGQIANG QU"/>
    <s v="2024-07-31 16:23:20.937"/>
    <s v="22.5"/>
    <s v="22.5"/>
    <s v="SÉNÉGAL"/>
    <s v="SÉNÉGAL"/>
    <s v="NULL"/>
    <n v="0"/>
    <s v="NULL"/>
    <s v="Greffe"/>
    <s v="Thiès"/>
  </r>
  <r>
    <x v="7"/>
    <x v="314"/>
    <x v="314"/>
    <s v="YONGQIANG QU"/>
    <s v="2024-04-15 12:35:06.120"/>
    <n v="100"/>
    <n v="100"/>
    <s v="SÉNÉGAL"/>
    <s v="SÉNÉGAL"/>
    <s v="NULL"/>
    <n v="0"/>
    <s v="NULL"/>
    <s v="Greffe"/>
    <s v="Thiès"/>
  </r>
  <r>
    <x v="7"/>
    <x v="314"/>
    <x v="314"/>
    <s v="YOUSR AREZKI"/>
    <s v="2024-05-16 16:25:53.140"/>
    <n v="100"/>
    <n v="100"/>
    <s v="SÉNÉGAL"/>
    <s v="SÉNÉGAL"/>
    <s v="NULL"/>
    <n v="0"/>
    <s v="NULL"/>
    <s v="Greffe"/>
    <s v="Thiès"/>
  </r>
  <r>
    <x v="7"/>
    <x v="314"/>
    <x v="314"/>
    <s v="YOUSRIYA NASSIF LOZA"/>
    <s v="2025-08-22 16:47:33.150"/>
    <n v="50"/>
    <n v="50"/>
    <s v="SÉNÉGAL"/>
    <m/>
    <n v="0"/>
    <s v="NULL"/>
    <s v="NULL"/>
    <s v="Greffe"/>
    <s v="Thiès"/>
  </r>
  <r>
    <x v="7"/>
    <x v="315"/>
    <x v="315"/>
    <s v="YOUSRIYA NASSIF LOZA"/>
    <s v="2025-08-22 16:47:33.150"/>
    <n v="50"/>
    <n v="50"/>
    <s v="SÉNÉGAL"/>
    <m/>
    <n v="0"/>
    <s v="NULL"/>
    <s v="NULL"/>
    <s v="Greffe"/>
    <s v="Thiès"/>
  </r>
  <r>
    <x v="7"/>
    <x v="315"/>
    <x v="315"/>
    <s v="YOUSRIYA NASSIF LOZA"/>
    <s v="2025-06-03 16:08:54.233"/>
    <n v="50"/>
    <n v="50"/>
    <s v="SÉNÉGAL"/>
    <m/>
    <n v="0"/>
    <s v="NULL"/>
    <s v="NULL"/>
    <s v="Greffe"/>
    <s v="Thiès"/>
  </r>
  <r>
    <x v="7"/>
    <x v="315"/>
    <x v="315"/>
    <s v="YOUSRIYA NASSIF LOZA"/>
    <s v="2025-06-03 16:08:54.233"/>
    <n v="50"/>
    <n v="50"/>
    <s v="SÉNÉGAL"/>
    <m/>
    <n v="0"/>
    <s v="NULL"/>
    <s v="NULL"/>
    <s v="Greffe"/>
    <s v="Thiès"/>
  </r>
  <r>
    <x v="7"/>
    <x v="315"/>
    <x v="315"/>
    <s v="YOUSRIYA NASSIF LOZA"/>
    <s v="2025-04-03 12:30:18.653"/>
    <n v="60"/>
    <n v="60"/>
    <s v="SÉNÉGAL"/>
    <m/>
    <n v="0"/>
    <s v="NULL"/>
    <s v="NULL"/>
    <s v="Greffe"/>
    <s v="Thiès"/>
  </r>
  <r>
    <x v="7"/>
    <x v="315"/>
    <x v="315"/>
    <s v="YOUSRIYA NASSIF LOZA"/>
    <s v="2025-04-03 12:30:18.653"/>
    <n v="40"/>
    <n v="40"/>
    <s v="SÉNÉGAL"/>
    <m/>
    <n v="0"/>
    <s v="NULL"/>
    <s v="NULL"/>
    <s v="Greffe"/>
    <s v="Thiès"/>
  </r>
  <r>
    <x v="7"/>
    <x v="315"/>
    <x v="315"/>
    <s v="YOUSSOUPH DIAITE"/>
    <s v="2025-03-25 15:05:40.897"/>
    <n v="100"/>
    <n v="100"/>
    <s v="SÉNÉGAL"/>
    <m/>
    <n v="0"/>
    <s v="NULL"/>
    <s v="NULL"/>
    <s v="Greffe"/>
    <s v="Thiès"/>
  </r>
  <r>
    <x v="8"/>
    <x v="316"/>
    <x v="316"/>
    <s v="YU YANLIANG"/>
    <s v="2024-10-22 23:18:09.513"/>
    <n v="35"/>
    <n v="35"/>
    <s v="SÉNÉGAL"/>
    <s v="SÉNÉGAL"/>
    <s v="NULL"/>
    <s v="NULL"/>
    <s v="NULL"/>
    <s v="Greffe"/>
    <s v="Ziguinchor"/>
  </r>
  <r>
    <x v="8"/>
    <x v="316"/>
    <x v="316"/>
    <s v="ZHANG"/>
    <s v="2024-10-22 23:18:09.513"/>
    <n v="30"/>
    <n v="30"/>
    <s v="SÉNÉGAL"/>
    <s v="SÉNÉGAL"/>
    <s v="NULL"/>
    <s v="NULL"/>
    <s v="NULL"/>
    <s v="Greffe"/>
    <s v="Ziguinchor"/>
  </r>
  <r>
    <x v="8"/>
    <x v="316"/>
    <x v="316"/>
    <s v="ZIAD AREZKI"/>
    <s v="2024-10-22 23:18:09.513"/>
    <n v="35"/>
    <n v="35"/>
    <s v="SÉNÉGAL"/>
    <s v="SÉNÉGAL"/>
    <s v="NULL"/>
    <s v="NULL"/>
    <s v="NULL"/>
    <s v="Greffe"/>
    <s v="Ziguinch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5">
  <r>
    <s v="02001"/>
    <m/>
    <x v="0"/>
    <s v="Sénégal"/>
    <s v="CM"/>
    <s v="phosphate de chaux"/>
    <s v="Active"/>
    <s v="Thiès"/>
    <d v="1957-12-23T00:00:00"/>
    <d v="1959-01-01T00:00:00"/>
    <d v="2034-01-01T00:00:00"/>
    <m/>
    <s v="104.9462 km²"/>
  </r>
  <r>
    <s v="02002"/>
    <m/>
    <x v="1"/>
    <s v="Sénégal"/>
    <s v="CM"/>
    <s v="phosphate de chaux"/>
    <s v="Active"/>
    <s v="Thiès"/>
    <d v="1979-01-02T00:00:00"/>
    <d v="2015-03-21T00:00:00"/>
    <d v="2052-01-01T00:00:00"/>
    <m/>
    <s v="21.8889 km²"/>
  </r>
  <r>
    <s v="02003"/>
    <s v="Diack"/>
    <x v="2"/>
    <s v="Sénégal"/>
    <s v="AECPP"/>
    <s v="basalte"/>
    <s v="Active"/>
    <s v="Thiès"/>
    <d v="1979-05-15T00:00:00"/>
    <d v="2019-10-04T00:00:00"/>
    <d v="2029-10-02T00:00:00"/>
    <m/>
    <s v="6.3789 Ha"/>
  </r>
  <r>
    <s v="02004"/>
    <s v="D1985-399 Warrang"/>
    <x v="3"/>
    <s v="Sénégal"/>
    <s v="CM"/>
    <s v="argile industrielle, attapulgite, sépiolite"/>
    <s v="Active"/>
    <s v="Thiès"/>
    <d v="1980-08-28T00:00:00"/>
    <d v="1985-04-19T00:00:00"/>
    <m/>
    <m/>
    <s v="1.3304 km²"/>
  </r>
  <r>
    <s v="02005"/>
    <s v="D1985-409 Mbodiène"/>
    <x v="3"/>
    <s v="Sénégal"/>
    <s v="CM"/>
    <s v="Argile, attapulgite, sépiolite"/>
    <s v="Active"/>
    <s v="Thiès"/>
    <d v="1980-08-28T00:00:00"/>
    <d v="1985-04-19T00:00:00"/>
    <m/>
    <m/>
    <s v="1.1881 km²"/>
  </r>
  <r>
    <s v="02006"/>
    <s v="D1985-411 Allou Kagne"/>
    <x v="3"/>
    <s v="Sénégal"/>
    <s v="CM"/>
    <s v="argile industrielle, attapulgite, sépiolite"/>
    <s v="Renouvellement en Cours"/>
    <s v="Thiès"/>
    <d v="1980-08-28T00:00:00"/>
    <d v="1998-01-12T00:00:00"/>
    <d v="2023-01-11T00:00:00"/>
    <m/>
    <s v="13.0547 km²"/>
  </r>
  <r>
    <s v="02007"/>
    <s v="D1985-413 Sébikotane"/>
    <x v="3"/>
    <s v="Sénégal"/>
    <s v="CM"/>
    <s v="Argile, attapulgite, sépiolite"/>
    <s v="Active"/>
    <s v="Thiès"/>
    <d v="1980-08-28T00:00:00"/>
    <d v="1985-04-19T00:00:00"/>
    <m/>
    <m/>
    <s v="3.2995 km²"/>
  </r>
  <r>
    <s v="02008"/>
    <m/>
    <x v="4"/>
    <s v="Sénégal"/>
    <s v="AECPP"/>
    <s v="basalte"/>
    <s v="Active"/>
    <s v="Thiès"/>
    <d v="1983-02-18T00:00:00"/>
    <d v="1983-05-30T00:00:00"/>
    <d v="2026-09-20T00:00:00"/>
    <m/>
    <s v="2.7659 Ha"/>
  </r>
  <r>
    <s v="02009"/>
    <s v="A007953 Diack"/>
    <x v="5"/>
    <s v="Sénégal"/>
    <s v="AECPP"/>
    <s v="basalte"/>
    <s v="Active"/>
    <s v="Thiès"/>
    <d v="1987-04-15T00:00:00"/>
    <d v="2009-06-22T00:00:00"/>
    <d v="2025-06-21T00:00:00"/>
    <d v="2020-06-22T00:00:00"/>
    <s v="0.0193 km²"/>
  </r>
  <r>
    <s v="02010"/>
    <s v="Diack"/>
    <x v="6"/>
    <s v="Sénégal"/>
    <s v="AECPP"/>
    <s v="basalte"/>
    <s v="Avertissement Renouvellement"/>
    <s v="Thiès"/>
    <d v="1994-04-08T00:00:00"/>
    <d v="1995-10-18T00:00:00"/>
    <d v="2025-01-13T00:00:00"/>
    <m/>
    <s v="17.5424 Ha"/>
  </r>
  <r>
    <s v="02011"/>
    <s v="Bandia"/>
    <x v="7"/>
    <s v="Sénégal"/>
    <s v="AECPP"/>
    <s v="calcaire"/>
    <s v="Active"/>
    <s v="Thiès"/>
    <d v="1995-10-11T00:00:00"/>
    <d v="2021-10-07T00:00:00"/>
    <d v="2026-10-06T00:00:00"/>
    <m/>
    <s v="11.1313 Ha"/>
  </r>
  <r>
    <s v="02013"/>
    <s v="Bandia"/>
    <x v="4"/>
    <s v="Sénégal"/>
    <s v="AECPP"/>
    <s v="calcaire"/>
    <s v="Active"/>
    <s v="Thiès"/>
    <d v="1996-05-07T00:00:00"/>
    <d v="1996-11-15T00:00:00"/>
    <d v="2026-04-09T00:00:00"/>
    <m/>
    <s v="6.4607 Ha"/>
  </r>
  <r>
    <s v="02014"/>
    <s v="Mbodiène"/>
    <x v="8"/>
    <s v="Sénégal"/>
    <s v="CM"/>
    <s v="Argile, attapulgite"/>
    <s v="Avertissement Renouvellement"/>
    <s v="Thiès"/>
    <d v="1997-02-07T00:00:00"/>
    <d v="1988-05-26T00:00:00"/>
    <d v="2013-05-26T00:00:00"/>
    <m/>
    <s v="269.4724 Ha"/>
  </r>
  <r>
    <s v="02015"/>
    <s v="D1999-1020 Tobène Nord_ICS"/>
    <x v="9"/>
    <s v="Sénégal"/>
    <s v="CM"/>
    <s v="phosphate de chaux"/>
    <s v="Active"/>
    <s v="Thiès"/>
    <d v="1998-07-10T00:00:00"/>
    <d v="2009-10-16T00:00:00"/>
    <d v="2024-10-19T00:00:00"/>
    <m/>
    <s v="247.9598 km²"/>
  </r>
  <r>
    <s v="02016"/>
    <s v="Tobene Sud_ICS"/>
    <x v="9"/>
    <s v="Sénégal"/>
    <s v="CM"/>
    <s v="phosphate de chaux"/>
    <s v="Renouvellement en Cours"/>
    <s v="Thiès"/>
    <d v="1998-07-10T00:00:00"/>
    <d v="1999-10-19T00:00:00"/>
    <d v="2024-10-18T00:00:00"/>
    <m/>
    <s v="18.4142 km²"/>
  </r>
  <r>
    <s v="02017"/>
    <s v="Kirène"/>
    <x v="10"/>
    <s v="Sénégal"/>
    <s v="CM"/>
    <s v="calcaire"/>
    <s v="Active"/>
    <s v="Thiès"/>
    <d v="1999-05-05T00:00:00"/>
    <d v="2000-02-22T00:00:00"/>
    <d v="2025-02-21T00:00:00"/>
    <m/>
    <s v="586.2024 Ha"/>
  </r>
  <r>
    <s v="02018"/>
    <s v="D2000-106 Thicky"/>
    <x v="10"/>
    <s v="Sénégal"/>
    <s v="CM"/>
    <s v="Argile"/>
    <s v="Active"/>
    <s v="Thiès"/>
    <d v="1999-05-05T00:00:00"/>
    <d v="2009-10-16T00:00:00"/>
    <d v="2025-02-22T00:00:00"/>
    <m/>
    <s v="1.9998 km²"/>
  </r>
  <r>
    <s v="02019"/>
    <s v="D1998-238 Niamia"/>
    <x v="11"/>
    <s v="Sénégal"/>
    <s v="CM"/>
    <s v="Au, substance connexes"/>
    <s v="Renouvellement en Cours"/>
    <s v="Kedougou"/>
    <d v="2001-12-18T00:00:00"/>
    <d v="2007-11-02T00:00:00"/>
    <d v="2017-11-02T00:00:00"/>
    <m/>
    <s v="116.7547 km²"/>
  </r>
  <r>
    <s v="02022"/>
    <s v="SABODALA-GORA-MASSAWA"/>
    <x v="12"/>
    <s v="Sénégal"/>
    <s v="CM"/>
    <s v="Au"/>
    <s v="Active"/>
    <s v="Kedougou"/>
    <d v="2005-03-23T00:00:00"/>
    <d v="2005-06-09T00:00:00"/>
    <d v="2040-04-21T00:00:00"/>
    <m/>
    <s v="611.0000 km²"/>
  </r>
  <r>
    <s v="02024"/>
    <s v="Carrière de calcaire dans la forêt classée de Pout"/>
    <x v="5"/>
    <s v="Sénégal"/>
    <s v="AECPP"/>
    <s v="calcaire"/>
    <s v="Active"/>
    <s v="Thiès"/>
    <d v="2006-01-17T00:00:00"/>
    <d v="2010-09-09T00:00:00"/>
    <d v="2026-05-12T00:00:00"/>
    <m/>
    <s v="31.8389 Ha"/>
  </r>
  <r>
    <s v="02025"/>
    <s v="D2006-359 Bargny"/>
    <x v="13"/>
    <s v="Sénégal"/>
    <s v="CM"/>
    <s v="calcaire"/>
    <s v="Active"/>
    <s v="Dakar"/>
    <d v="2006-02-03T00:00:00"/>
    <d v="2009-10-16T00:00:00"/>
    <d v="2031-04-19T00:00:00"/>
    <m/>
    <s v="4.6153 km²"/>
  </r>
  <r>
    <s v="02026"/>
    <s v="Bandia_SOCOCIM"/>
    <x v="14"/>
    <s v="Sénégal"/>
    <s v="CM"/>
    <s v="calcaire"/>
    <s v="Active"/>
    <s v="Thiès"/>
    <d v="2006-02-03T00:00:00"/>
    <d v="2006-04-19T00:00:00"/>
    <d v="2033-04-19T00:00:00"/>
    <m/>
    <s v="1.1345 km²"/>
  </r>
  <r>
    <s v="02027"/>
    <s v="D2006-361 Pout"/>
    <x v="13"/>
    <s v="Sénégal"/>
    <s v="CM"/>
    <s v="calcaire"/>
    <s v="Active"/>
    <s v="Thiès"/>
    <d v="2006-02-03T00:00:00"/>
    <d v="2006-04-19T00:00:00"/>
    <d v="2031-04-18T00:00:00"/>
    <m/>
    <s v="4.1711 km²"/>
  </r>
  <r>
    <s v="02028"/>
    <s v="Grande Côte_MDL"/>
    <x v="15"/>
    <s v="Sénégal"/>
    <s v="CM"/>
    <s v="ML"/>
    <s v="Active"/>
    <s v="Thiès"/>
    <d v="2006-04-19T00:00:00"/>
    <d v="2009-10-16T00:00:00"/>
    <d v="2032-11-02T00:00:00"/>
    <m/>
    <s v="451.9490 km²"/>
  </r>
  <r>
    <s v="02029"/>
    <s v="PAKI"/>
    <x v="16"/>
    <s v="Sénégal"/>
    <s v="AECPP"/>
    <s v="grès"/>
    <s v="Renouvellement en Cours"/>
    <s v="Thiès"/>
    <d v="2006-06-21T00:00:00"/>
    <d v="2006-11-03T00:00:00"/>
    <d v="2021-04-10T00:00:00"/>
    <m/>
    <s v="5.5140 Ha"/>
  </r>
  <r>
    <s v="02034"/>
    <s v="Thicky-Pout"/>
    <x v="17"/>
    <s v="Sénégal"/>
    <s v="CM"/>
    <s v="argile industrielle, calcaire, latérite"/>
    <s v="Active"/>
    <s v="Thiès"/>
    <d v="2007-08-16T00:00:00"/>
    <d v="2008-12-12T00:00:00"/>
    <d v="2033-12-11T00:00:00"/>
    <m/>
    <s v="13.0574 km²"/>
  </r>
  <r>
    <s v="02035"/>
    <s v="A008206 Diack"/>
    <x v="4"/>
    <s v="Sénégal"/>
    <s v="AECPP"/>
    <s v="basalte"/>
    <s v="Active"/>
    <s v="Thiès"/>
    <d v="2007-10-29T00:00:00"/>
    <d v="2008-06-30T00:00:00"/>
    <d v="2026-04-16T00:00:00"/>
    <m/>
    <s v="40.8988 Ha"/>
  </r>
  <r>
    <s v="02036"/>
    <s v="Bandia"/>
    <x v="18"/>
    <s v="Sénégal"/>
    <s v="AECPP"/>
    <s v="calcaire"/>
    <s v="Active"/>
    <s v="Thiès"/>
    <d v="2005-11-23T00:00:00"/>
    <d v="2006-11-23T00:00:00"/>
    <d v="2025-09-28T00:00:00"/>
    <m/>
    <s v="15.2686 Ha"/>
  </r>
  <r>
    <s v="02037"/>
    <s v="A07540 _ Périmètre de Diack"/>
    <x v="4"/>
    <s v="Sénégal"/>
    <s v="AECPP"/>
    <s v="basalte"/>
    <s v="Active"/>
    <s v="Thiès"/>
    <d v="2008-02-18T00:00:00"/>
    <d v="2009-08-07T00:00:00"/>
    <d v="2026-11-13T00:00:00"/>
    <m/>
    <s v="14.9861 Ha"/>
  </r>
  <r>
    <s v="02041"/>
    <s v="Bandia"/>
    <x v="4"/>
    <s v="Sénégal"/>
    <s v="AECPP"/>
    <s v="calcaire"/>
    <s v="Active"/>
    <s v="Thiès"/>
    <d v="2008-09-03T00:00:00"/>
    <d v="2009-08-07T00:00:00"/>
    <d v="2026-04-07T00:00:00"/>
    <m/>
    <s v="5.0028 Ha"/>
  </r>
  <r>
    <s v="02059"/>
    <s v="Woyé"/>
    <x v="19"/>
    <s v="Sénégal"/>
    <s v="PR"/>
    <s v="Au"/>
    <s v="Renouvellement en Cours"/>
    <s v="Kedougou"/>
    <d v="2009-11-17T00:00:00"/>
    <d v="2019-02-04T00:00:00"/>
    <d v="2023-02-03T00:00:00"/>
    <m/>
    <s v="52.8169 km²"/>
  </r>
  <r>
    <s v="02060"/>
    <s v="Ndoukoura Ouolof- SYPROM SA"/>
    <x v="20"/>
    <s v="Sénégal"/>
    <s v="AECPP"/>
    <s v="grès"/>
    <s v="Active"/>
    <s v="Dakar"/>
    <d v="2009-12-04T00:00:00"/>
    <d v="2002-06-20T00:00:00"/>
    <d v="2025-06-22T00:00:00"/>
    <m/>
    <s v="11.4965 Ha"/>
  </r>
  <r>
    <s v="02062"/>
    <s v="TAIBA"/>
    <x v="21"/>
    <s v="Sénégal"/>
    <s v="AEPM"/>
    <s v="Sl"/>
    <s v="Renouvellement en Cours"/>
    <s v="Thiès"/>
    <d v="2010-03-25T00:00:00"/>
    <d v="2018-07-02T00:00:00"/>
    <d v="2023-07-01T00:00:00"/>
    <m/>
    <s v="73.9197 Ha"/>
  </r>
  <r>
    <s v="02063"/>
    <s v="SEGUEKHO BIS"/>
    <x v="22"/>
    <s v="Sénégal"/>
    <s v="AEMSM"/>
    <s v="Au"/>
    <s v="Avertissement Renouvellement"/>
    <s v="Kedougou"/>
    <d v="2010-05-13T00:00:00"/>
    <d v="2010-07-29T00:00:00"/>
    <d v="2024-03-02T00:00:00"/>
    <m/>
    <s v="0.5001 km²"/>
  </r>
  <r>
    <s v="02068"/>
    <s v="Wassadou Nord"/>
    <x v="23"/>
    <s v="Sénégal"/>
    <s v="PR"/>
    <s v="Au"/>
    <s v="Renouvellement en Cours"/>
    <s v="Kedougou"/>
    <d v="2010-10-04T00:00:00"/>
    <d v="2012-02-01T00:00:00"/>
    <d v="2021-11-02T00:00:00"/>
    <m/>
    <s v="30.2035 km²"/>
  </r>
  <r>
    <s v="02072"/>
    <s v="Diendouri Ouali Diala"/>
    <x v="24"/>
    <s v="Sénégal"/>
    <s v="CM"/>
    <s v="phosphate de chaux"/>
    <s v="Active"/>
    <s v="Matam"/>
    <d v="2011-06-08T00:00:00"/>
    <d v="2011-06-08T00:00:00"/>
    <d v="2036-06-08T00:00:00"/>
    <m/>
    <s v="633.5624 km²"/>
  </r>
  <r>
    <s v="02075"/>
    <s v="SANSAMBA"/>
    <x v="25"/>
    <s v="Sénégal"/>
    <s v="AEPM"/>
    <s v="Au"/>
    <s v="Active"/>
    <s v="Kedougou"/>
    <d v="2011-07-20T00:00:00"/>
    <d v="2012-01-27T00:00:00"/>
    <d v="2028-01-13T00:00:00"/>
    <m/>
    <s v="5.0133 km²"/>
  </r>
  <r>
    <s v="02078"/>
    <s v="Wassadou Sud"/>
    <x v="23"/>
    <s v="Sénégal"/>
    <s v="PR"/>
    <s v="Au"/>
    <s v="Renouvellement en Cours"/>
    <s v="Kedougou"/>
    <d v="2011-11-18T00:00:00"/>
    <d v="2012-05-22T00:00:00"/>
    <d v="2021-11-02T00:00:00"/>
    <m/>
    <s v="37.4632 km²"/>
  </r>
  <r>
    <s v="02079"/>
    <s v="Tomormadji"/>
    <x v="26"/>
    <s v="Sénégal"/>
    <s v="PR"/>
    <s v="Mn"/>
    <s v="Transformation en Cours"/>
    <s v="Tambacounda"/>
    <d v="2011-12-27T00:00:00"/>
    <d v="2012-01-10T00:00:00"/>
    <d v="2021-01-27T00:00:00"/>
    <m/>
    <s v="243.3180 km²"/>
  </r>
  <r>
    <s v="02084"/>
    <s v="Sud Kenieba &amp; Medina Foulbe"/>
    <x v="26"/>
    <s v="Sénégal"/>
    <s v="AEPM"/>
    <s v="Mn"/>
    <s v="Renouvellement en Cours"/>
    <s v="Tambacounda"/>
    <d v="2012-01-16T00:00:00"/>
    <d v="2012-02-01T00:00:00"/>
    <d v="2023-01-31T00:00:00"/>
    <m/>
    <s v="4.9797 km²"/>
  </r>
  <r>
    <s v="02085"/>
    <s v="Sud Saint Louis"/>
    <x v="27"/>
    <s v="Sénégal"/>
    <s v="AEPM"/>
    <s v="ML"/>
    <s v="Active"/>
    <s v="Saint Louis"/>
    <d v="2012-01-24T00:00:00"/>
    <d v="2019-01-09T00:00:00"/>
    <d v="2029-01-09T00:00:00"/>
    <m/>
    <s v="5.0002 km²"/>
  </r>
  <r>
    <s v="02091"/>
    <s v="YANG-YANG"/>
    <x v="28"/>
    <s v="Sénégal"/>
    <s v="AECPP"/>
    <s v="calcaire"/>
    <s v="Renouvellement en Cours"/>
    <s v="Louga"/>
    <d v="2012-06-25T00:00:00"/>
    <d v="2018-02-08T00:00:00"/>
    <d v="2023-02-07T00:00:00"/>
    <m/>
    <s v="20.1820 Ha"/>
  </r>
  <r>
    <s v="02100"/>
    <s v="KEBEMER"/>
    <x v="29"/>
    <s v="Sénégal"/>
    <s v="PR"/>
    <s v="phosphate de chaux"/>
    <s v="Active"/>
    <s v="Louga"/>
    <d v="2013-02-22T00:00:00"/>
    <d v="2013-07-10T00:00:00"/>
    <d v="2025-06-29T00:00:00"/>
    <m/>
    <s v="637.4849 km²"/>
  </r>
  <r>
    <s v="02104"/>
    <s v="Baytilaye"/>
    <x v="30"/>
    <s v="Sénégal"/>
    <s v="PR"/>
    <s v="Au"/>
    <s v="Active"/>
    <s v="Kedougou"/>
    <d v="2013-06-05T00:00:00"/>
    <d v="2013-11-21T00:00:00"/>
    <d v="2025-11-21T00:00:00"/>
    <m/>
    <s v="154.4092 km²"/>
  </r>
  <r>
    <s v="02105"/>
    <s v="Couloir 1_Diabougou"/>
    <x v="31"/>
    <s v="Sénégal"/>
    <s v="CO"/>
    <s v="Au"/>
    <s v="Active"/>
    <s v="Tambacounda"/>
    <d v="2013-06-14T00:00:00"/>
    <d v="2014-02-10T00:00:00"/>
    <m/>
    <m/>
    <s v="1,190.3535 Ha"/>
  </r>
  <r>
    <s v="02106"/>
    <s v="Couloir 2_Soukounkou"/>
    <x v="31"/>
    <s v="Sénégal"/>
    <s v="CO"/>
    <s v="Au"/>
    <s v="Active"/>
    <s v="Tambacounda"/>
    <d v="2013-06-14T00:00:00"/>
    <d v="2014-02-10T00:00:00"/>
    <m/>
    <m/>
    <s v="1,087.8000 Ha"/>
  </r>
  <r>
    <s v="02107"/>
    <s v="Couloir 3_Soreto"/>
    <x v="31"/>
    <s v="Sénégal"/>
    <s v="CO"/>
    <s v="Au"/>
    <s v="Active"/>
    <s v="Tambacounda"/>
    <d v="2013-06-14T00:00:00"/>
    <d v="2014-02-10T00:00:00"/>
    <m/>
    <m/>
    <s v="6.3000 km²"/>
  </r>
  <r>
    <s v="02108"/>
    <s v="Couloir 4_Makana"/>
    <x v="31"/>
    <s v="Sénégal"/>
    <s v="CO"/>
    <s v="Au"/>
    <s v="Active"/>
    <s v="Kedougou"/>
    <d v="2013-06-14T00:00:00"/>
    <d v="2014-02-10T00:00:00"/>
    <m/>
    <m/>
    <s v="190.0117 Ha"/>
  </r>
  <r>
    <s v="02109"/>
    <s v="Couloir 5_Tinkoto"/>
    <x v="31"/>
    <s v="Sénégal"/>
    <s v="CO"/>
    <s v="Au"/>
    <s v="Active"/>
    <s v="Kedougou"/>
    <d v="2013-06-14T00:00:00"/>
    <d v="2014-02-10T00:00:00"/>
    <m/>
    <m/>
    <s v="17.8249 km²"/>
  </r>
  <r>
    <s v="02110"/>
    <s v="Couloir 6_Bantako"/>
    <x v="31"/>
    <s v="Sénégal"/>
    <s v="CO"/>
    <s v="Au"/>
    <s v="Active"/>
    <s v="Kedougou"/>
    <d v="2013-06-14T00:00:00"/>
    <d v="2014-02-10T00:00:00"/>
    <m/>
    <m/>
    <s v="7.3250 km²"/>
  </r>
  <r>
    <s v="02111"/>
    <s v="Couloir 7_Sansamba"/>
    <x v="31"/>
    <s v="Sénégal"/>
    <s v="CO"/>
    <s v="Au"/>
    <s v="Active"/>
    <s v="Kedougou"/>
    <d v="2013-06-14T00:00:00"/>
    <d v="2014-02-10T00:00:00"/>
    <m/>
    <m/>
    <s v="7.3250 km²"/>
  </r>
  <r>
    <s v="02112"/>
    <s v="Couloir 8_kabetea Gossan"/>
    <x v="31"/>
    <s v="Sénégal"/>
    <s v="CO"/>
    <s v="Au"/>
    <s v="Active"/>
    <s v="Kedougou"/>
    <d v="2013-06-14T00:00:00"/>
    <d v="2014-02-10T00:00:00"/>
    <m/>
    <m/>
    <s v="107.6606 Ha"/>
  </r>
  <r>
    <s v="02113"/>
    <s v="Couloir 9_Baqata"/>
    <x v="31"/>
    <s v="Sénégal"/>
    <s v="CO"/>
    <s v="Au"/>
    <s v="Active"/>
    <s v="Kedougou"/>
    <d v="2013-06-14T00:00:00"/>
    <d v="2014-02-10T00:00:00"/>
    <m/>
    <m/>
    <s v="0.8458 km²"/>
  </r>
  <r>
    <s v="02114"/>
    <s v="Couloir 10_Garaboureya"/>
    <x v="31"/>
    <s v="Sénégal"/>
    <s v="CO"/>
    <s v="Au"/>
    <s v="Active"/>
    <s v="Kedougou"/>
    <d v="2013-06-14T00:00:00"/>
    <d v="2014-02-10T00:00:00"/>
    <m/>
    <m/>
    <s v="5.4193 km²"/>
  </r>
  <r>
    <s v="02115"/>
    <s v="Couloir 11_Satadougou"/>
    <x v="31"/>
    <s v="Sénégal"/>
    <s v="CO"/>
    <s v="Au"/>
    <s v="Active"/>
    <s v="Kedougou"/>
    <d v="2013-06-14T00:00:00"/>
    <d v="2014-02-10T00:00:00"/>
    <m/>
    <m/>
    <s v="12.0891 km²"/>
  </r>
  <r>
    <s v="02116"/>
    <s v="Couloir12_Daorala"/>
    <x v="31"/>
    <s v="Sénégal"/>
    <s v="CO"/>
    <s v="Au"/>
    <s v="Active"/>
    <s v="Kedougou"/>
    <d v="2013-06-14T00:00:00"/>
    <d v="2014-02-10T00:00:00"/>
    <m/>
    <m/>
    <s v="3,060.7524 Ha"/>
  </r>
  <r>
    <s v="02117"/>
    <s v="Couloir13_Karakaena"/>
    <x v="31"/>
    <s v="Sénégal"/>
    <s v="CO"/>
    <s v="Au"/>
    <s v="Active"/>
    <s v="Kedougou"/>
    <d v="2013-06-14T00:00:00"/>
    <d v="2014-02-10T00:00:00"/>
    <m/>
    <m/>
    <s v="27.0468 Ha"/>
  </r>
  <r>
    <s v="02118"/>
    <s v="Couloir 14_Bondola"/>
    <x v="31"/>
    <s v="Sénégal"/>
    <s v="CO"/>
    <s v="Au"/>
    <s v="Active"/>
    <s v="Kedougou"/>
    <d v="2013-06-14T00:00:00"/>
    <d v="2014-02-10T00:00:00"/>
    <m/>
    <m/>
    <s v="28.9050 km²"/>
  </r>
  <r>
    <s v="02119"/>
    <s v="Couloir 15_Lingokhoto"/>
    <x v="31"/>
    <s v="Sénégal"/>
    <s v="CO"/>
    <s v="Au"/>
    <s v="Active"/>
    <s v="Kedougou"/>
    <d v="2013-06-14T00:00:00"/>
    <d v="2014-02-10T00:00:00"/>
    <m/>
    <m/>
    <s v="37.8666 km²"/>
  </r>
  <r>
    <s v="02120"/>
    <s v="Couloir 16_Diakhaling"/>
    <x v="31"/>
    <s v="Sénégal"/>
    <s v="CO"/>
    <s v="Au"/>
    <s v="Active"/>
    <s v="Kedougou"/>
    <d v="2013-06-14T00:00:00"/>
    <d v="2014-02-10T00:00:00"/>
    <m/>
    <m/>
    <s v="12.7868 km²"/>
  </r>
  <r>
    <s v="02121"/>
    <s v="Couloir 17_Balankonko"/>
    <x v="31"/>
    <s v="Sénégal"/>
    <s v="CO"/>
    <s v="Au"/>
    <s v="Active"/>
    <s v="Kedougou"/>
    <d v="2013-06-14T00:00:00"/>
    <d v="2014-02-10T00:00:00"/>
    <m/>
    <m/>
    <s v="37.5356 km²"/>
  </r>
  <r>
    <s v="02126"/>
    <s v="A04252_ Diack"/>
    <x v="4"/>
    <s v="Sénégal"/>
    <s v="AECPP"/>
    <s v="basalte"/>
    <s v="Active"/>
    <s v="Thiès"/>
    <d v="2014-03-31T00:00:00"/>
    <d v="2016-11-14T00:00:00"/>
    <d v="2026-11-13T00:00:00"/>
    <m/>
    <s v="5.0633 Ha"/>
  </r>
  <r>
    <s v="02128"/>
    <s v="BANDIA"/>
    <x v="32"/>
    <s v="Sénégal"/>
    <s v="AECPP"/>
    <s v="calcaire"/>
    <s v="Active"/>
    <s v="Thiès"/>
    <d v="2014-09-15T00:00:00"/>
    <d v="2017-05-30T00:00:00"/>
    <d v="2027-05-28T00:00:00"/>
    <m/>
    <s v="14.3139 Ha"/>
  </r>
  <r>
    <s v="02129"/>
    <s v="Pout"/>
    <x v="33"/>
    <s v="Sénégal"/>
    <s v="AECPP"/>
    <s v="calcaire"/>
    <s v="Active"/>
    <s v="Thiès"/>
    <d v="2014-10-27T00:00:00"/>
    <d v="2014-10-07T00:00:00"/>
    <d v="2025-05-11T00:00:00"/>
    <m/>
    <s v="10.0173 Ha"/>
  </r>
  <r>
    <s v="02130"/>
    <s v="Diamba Sud"/>
    <x v="34"/>
    <s v="Sénégal"/>
    <s v="PR"/>
    <s v="Au"/>
    <s v="Active"/>
    <s v="Kedougou"/>
    <d v="2014-12-17T00:00:00"/>
    <d v="2015-06-10T00:00:00"/>
    <d v="2026-06-21T00:00:00"/>
    <m/>
    <s v="53.4554 km²"/>
  </r>
  <r>
    <s v="02133"/>
    <s v="BANDIA"/>
    <x v="35"/>
    <s v="Sénégal"/>
    <s v="AECPP"/>
    <s v="calcaire"/>
    <s v="Active"/>
    <s v="Thiès"/>
    <d v="2014-12-31T00:00:00"/>
    <d v="2016-04-18T00:00:00"/>
    <d v="2025-04-24T00:00:00"/>
    <m/>
    <s v="19.6553 Ha"/>
  </r>
  <r>
    <s v="02135"/>
    <s v="Bandia"/>
    <x v="36"/>
    <s v="Sénégal"/>
    <s v="AECPP"/>
    <s v="calcaire"/>
    <s v="Renouvellement en Cours"/>
    <s v="Thiès"/>
    <d v="2015-01-05T00:00:00"/>
    <d v="2015-02-19T00:00:00"/>
    <d v="2020-02-18T00:00:00"/>
    <m/>
    <s v="19.6820 Ha"/>
  </r>
  <r>
    <s v="02136"/>
    <s v="Bandia"/>
    <x v="37"/>
    <s v="Sénégal"/>
    <s v="AECPP"/>
    <s v="calcaire"/>
    <s v="Active"/>
    <s v="Thiès"/>
    <d v="2015-01-06T00:00:00"/>
    <d v="2015-02-19T00:00:00"/>
    <d v="2025-02-18T00:00:00"/>
    <m/>
    <s v="6.0200 Ha"/>
  </r>
  <r>
    <s v="02140"/>
    <s v="Bandia"/>
    <x v="38"/>
    <s v="Sénégal"/>
    <s v="AECPP"/>
    <s v="calcaire"/>
    <s v="Renouvellement en Cours"/>
    <s v="Thiès"/>
    <d v="2015-01-08T00:00:00"/>
    <d v="2015-02-19T00:00:00"/>
    <d v="2020-02-18T00:00:00"/>
    <m/>
    <s v="17.2358 Ha"/>
  </r>
  <r>
    <s v="02142"/>
    <s v="Bandia"/>
    <x v="39"/>
    <s v="Sénégal"/>
    <s v="AECPP"/>
    <s v="calcaire"/>
    <s v="Renouvellement en Cours"/>
    <s v="Thiès"/>
    <d v="2015-01-15T00:00:00"/>
    <d v="2017-05-31T00:00:00"/>
    <d v="2022-05-30T00:00:00"/>
    <m/>
    <s v="30.0345 Ha"/>
  </r>
  <r>
    <s v="02143"/>
    <s v="MAKO"/>
    <x v="40"/>
    <s v="Sénégal"/>
    <s v="AECPP"/>
    <s v="basalte"/>
    <s v="Active"/>
    <s v="Kedougou"/>
    <d v="2015-02-13T00:00:00"/>
    <d v="2016-04-19T00:00:00"/>
    <d v="2026-04-18T00:00:00"/>
    <d v="2021-04-19T00:00:00"/>
    <s v="22.2585 Ha"/>
  </r>
  <r>
    <s v="02144"/>
    <s v="D2007-851 Falémé"/>
    <x v="41"/>
    <s v="Sénégal"/>
    <s v="CM"/>
    <s v="fer"/>
    <s v="Active"/>
    <s v="Kedougou"/>
    <d v="2015-02-21T00:00:00"/>
    <d v="2015-09-16T00:00:00"/>
    <d v="2040-09-16T00:00:00"/>
    <m/>
    <s v="1,331.7571 km²"/>
  </r>
  <r>
    <s v="02146"/>
    <s v="KARAKAENA"/>
    <x v="42"/>
    <s v="Sénégal"/>
    <s v="PE"/>
    <s v="Au"/>
    <s v="Active"/>
    <s v="Kedougou"/>
    <d v="2015-04-03T00:00:00"/>
    <d v="2021-02-01T00:00:00"/>
    <d v="2026-01-31T00:00:00"/>
    <m/>
    <s v="38.6940 km²"/>
  </r>
  <r>
    <s v="02149"/>
    <s v="Cherif Lo Ngakham"/>
    <x v="43"/>
    <s v="Sénégal"/>
    <s v="PE"/>
    <s v="phosphate de chaux"/>
    <s v="Active"/>
    <s v="Diourbel"/>
    <d v="2015-04-22T00:00:00"/>
    <d v="2018-09-27T00:00:00"/>
    <d v="2038-09-26T00:00:00"/>
    <m/>
    <s v="74.5280 km²"/>
  </r>
  <r>
    <s v="02152"/>
    <s v="Sambarabougou"/>
    <x v="44"/>
    <s v="Sénégal"/>
    <s v="PE"/>
    <s v="Au"/>
    <s v="Active"/>
    <s v="Kedougou"/>
    <d v="2015-08-11T00:00:00"/>
    <d v="2017-07-13T00:00:00"/>
    <d v="2027-07-12T00:00:00"/>
    <m/>
    <s v="121.4052 km²"/>
  </r>
  <r>
    <s v="02153"/>
    <s v="KEUR LAT DIOP FALL"/>
    <x v="45"/>
    <s v="Sénégal"/>
    <s v="AECPP"/>
    <s v="calcaire"/>
    <s v="Active"/>
    <s v="Thiès"/>
    <d v="2015-09-21T00:00:00"/>
    <d v="2016-03-31T00:00:00"/>
    <d v="2026-03-29T00:00:00"/>
    <d v="2021-03-31T00:00:00"/>
    <s v="173.9988 Ha"/>
  </r>
  <r>
    <s v="02154"/>
    <s v="TAIBA"/>
    <x v="46"/>
    <s v="Sénégal"/>
    <s v="AEHTR"/>
    <s v="Sl"/>
    <s v="Renouvellement en Cours"/>
    <s v="Thiès"/>
    <d v="2015-10-02T00:00:00"/>
    <d v="2016-04-06T00:00:00"/>
    <d v="2021-04-05T00:00:00"/>
    <m/>
    <s v="0.0002 km²"/>
  </r>
  <r>
    <s v="02155"/>
    <s v="MAKO"/>
    <x v="47"/>
    <s v="Sénégal"/>
    <s v="CM"/>
    <s v="Au"/>
    <s v="Active"/>
    <s v="Kedougou"/>
    <d v="2015-10-20T00:00:00"/>
    <d v="2016-07-14T00:00:00"/>
    <d v="2031-07-14T00:00:00"/>
    <m/>
    <s v="87.2102 km²"/>
  </r>
  <r>
    <s v="02158"/>
    <s v="TINKOTO SOU"/>
    <x v="48"/>
    <s v="Sénégal"/>
    <s v="AEMSM"/>
    <s v="Au"/>
    <s v="Active"/>
    <s v="Kedougou"/>
    <d v="2016-01-12T00:00:00"/>
    <d v="2010-01-12T00:00:00"/>
    <d v="2024-05-09T00:00:00"/>
    <d v="2019-08-30T00:00:00"/>
    <s v="36.2410 Ha"/>
  </r>
  <r>
    <s v="02159"/>
    <s v="Tassette"/>
    <x v="49"/>
    <s v="Sénégal"/>
    <s v="AECPP"/>
    <s v="basalte"/>
    <s v="Active"/>
    <s v="Thiès"/>
    <d v="2016-01-26T00:00:00"/>
    <d v="2018-07-26T00:00:00"/>
    <d v="2027-08-15T00:00:00"/>
    <m/>
    <s v="38.3335 Ha"/>
  </r>
  <r>
    <s v="02160"/>
    <s v="Pout"/>
    <x v="50"/>
    <s v="Sénégal"/>
    <s v="AECPP"/>
    <s v="calcaire"/>
    <s v="Active"/>
    <s v="Thiès"/>
    <d v="2016-02-02T00:00:00"/>
    <d v="2016-06-20T00:00:00"/>
    <d v="2026-06-19T00:00:00"/>
    <m/>
    <s v="17.3701 Ha"/>
  </r>
  <r>
    <s v="02161"/>
    <s v="Taiba"/>
    <x v="51"/>
    <s v="Sénégal"/>
    <s v="AEHTR"/>
    <s v="Sl"/>
    <s v="Renouvellement en Cours"/>
    <s v="Thiès"/>
    <d v="2016-02-03T00:00:00"/>
    <d v="2016-02-15T00:00:00"/>
    <d v="2021-02-14T00:00:00"/>
    <m/>
    <s v="0.0000 km²"/>
  </r>
  <r>
    <s v="02163"/>
    <m/>
    <x v="52"/>
    <s v="Sénégal"/>
    <s v="AEHTR"/>
    <s v="Sl"/>
    <s v="Active"/>
    <s v="Thiès"/>
    <d v="2016-02-15T00:00:00"/>
    <d v="2016-09-22T00:00:00"/>
    <d v="2026-09-21T00:00:00"/>
    <d v="2021-09-22T00:00:00"/>
    <s v="0.0000 Ha"/>
  </r>
  <r>
    <s v="02165"/>
    <s v="Pout"/>
    <x v="53"/>
    <s v="Sénégal"/>
    <s v="AECPP"/>
    <s v="basalte"/>
    <s v="Active"/>
    <s v="Thiès"/>
    <d v="2016-02-22T00:00:00"/>
    <d v="2018-09-19T00:00:00"/>
    <d v="2027-09-13T00:00:00"/>
    <d v="2022-09-14T00:00:00"/>
    <s v="38.5224 Ha"/>
  </r>
  <r>
    <s v="02166"/>
    <s v="Pout"/>
    <x v="14"/>
    <s v="Sénégal"/>
    <s v="AECPP"/>
    <s v="calcaire"/>
    <s v="Active"/>
    <s v="Thiès"/>
    <d v="2016-02-26T00:00:00"/>
    <d v="2016-03-09T00:00:00"/>
    <d v="2026-03-08T00:00:00"/>
    <m/>
    <s v="94.9570 Ha"/>
  </r>
  <r>
    <s v="02167"/>
    <s v="Taiba"/>
    <x v="54"/>
    <s v="Sénégal"/>
    <s v="AEHTR"/>
    <s v="Sl"/>
    <s v="Renouvellement en Cours"/>
    <s v="Thiès"/>
    <d v="2016-04-01T00:00:00"/>
    <d v="2018-01-15T00:00:00"/>
    <d v="2023-01-14T00:00:00"/>
    <m/>
    <s v="4.8899 Ha"/>
  </r>
  <r>
    <s v="02175"/>
    <s v="WAKALI GINDE"/>
    <x v="21"/>
    <s v="Sénégal"/>
    <s v="PR"/>
    <s v="grès"/>
    <s v="Renouvellement en Cours"/>
    <s v="Tambacounda"/>
    <d v="2016-07-20T00:00:00"/>
    <d v="2016-09-22T00:00:00"/>
    <d v="2022-09-21T00:00:00"/>
    <m/>
    <s v="31.7186 km²"/>
  </r>
  <r>
    <s v="02178"/>
    <m/>
    <x v="55"/>
    <s v="Sénégal"/>
    <s v="AEHTR"/>
    <s v="Sl"/>
    <s v="Active"/>
    <s v="Thiès"/>
    <d v="2016-09-27T00:00:00"/>
    <d v="2018-03-20T00:00:00"/>
    <d v="2028-03-18T00:00:00"/>
    <d v="2023-03-20T00:00:00"/>
    <s v="0.0003 km²"/>
  </r>
  <r>
    <s v="02180"/>
    <s v="LAFIA"/>
    <x v="56"/>
    <s v="Sénégal"/>
    <s v="PR"/>
    <s v="Au"/>
    <s v="Active"/>
    <s v="Kedougou"/>
    <d v="2016-11-14T00:00:00"/>
    <d v="2018-03-20T00:00:00"/>
    <d v="2025-03-20T00:00:00"/>
    <m/>
    <s v="212.1363 km²"/>
  </r>
  <r>
    <s v="02183"/>
    <s v="KEREKONKO"/>
    <x v="57"/>
    <s v="Sénégal"/>
    <s v="AEMSM"/>
    <s v="Au"/>
    <s v="Active"/>
    <s v="Kedougou"/>
    <d v="2016-12-15T00:00:00"/>
    <d v="2021-04-06T00:00:00"/>
    <d v="2024-04-05T00:00:00"/>
    <m/>
    <s v="49.8468 Ha"/>
  </r>
  <r>
    <s v="02184"/>
    <s v="Taiba"/>
    <x v="58"/>
    <s v="Sénégal"/>
    <s v="AEHTR"/>
    <s v="Sl"/>
    <s v="Active"/>
    <s v="Thiès"/>
    <d v="2016-12-15T00:00:00"/>
    <d v="2017-12-14T00:00:00"/>
    <d v="2027-12-12T00:00:00"/>
    <d v="2022-12-14T00:00:00"/>
    <s v="5.1048 Ha"/>
  </r>
  <r>
    <s v="02185"/>
    <s v="Ndebou"/>
    <x v="59"/>
    <s v="Sénégal"/>
    <s v="AECPP"/>
    <s v="marbre"/>
    <s v="Active"/>
    <s v="Kedougou"/>
    <d v="2017-01-06T00:00:00"/>
    <d v="2018-02-08T00:00:00"/>
    <d v="2028-02-06T00:00:00"/>
    <d v="2023-02-08T00:00:00"/>
    <s v="10.1638 Ha"/>
  </r>
  <r>
    <s v="02188"/>
    <m/>
    <x v="60"/>
    <s v="Sénégal"/>
    <s v="AECPP"/>
    <s v="calcaire"/>
    <s v="Active"/>
    <s v="Thiès"/>
    <d v="2017-02-20T00:00:00"/>
    <d v="2018-07-23T00:00:00"/>
    <d v="2028-07-23T00:00:00"/>
    <m/>
    <s v="15.0505 Ha"/>
  </r>
  <r>
    <s v="02189"/>
    <s v="BANTAKO"/>
    <x v="61"/>
    <s v="Sénégal"/>
    <s v="AEMSM"/>
    <s v="Au"/>
    <s v="Renouvellement en Cours"/>
    <s v="Kedougou"/>
    <d v="2017-02-21T00:00:00"/>
    <d v="2021-03-03T00:00:00"/>
    <d v="2024-03-02T00:00:00"/>
    <m/>
    <s v="50.0000 Ha"/>
  </r>
  <r>
    <s v="02190"/>
    <s v="SEGUEKO2"/>
    <x v="62"/>
    <s v="Sénégal"/>
    <s v="AEMSM"/>
    <s v="Au"/>
    <s v="Renouvellement en Cours"/>
    <s v="Kedougou"/>
    <d v="2017-03-14T00:00:00"/>
    <d v="2021-02-22T00:00:00"/>
    <d v="2024-01-15T00:00:00"/>
    <m/>
    <s v="50.0000 Ha"/>
  </r>
  <r>
    <s v="02191"/>
    <s v="Taiba"/>
    <x v="63"/>
    <s v="Sénégal"/>
    <s v="AEHTR"/>
    <s v="Sl"/>
    <s v="Active"/>
    <s v="Thiès"/>
    <d v="2017-03-24T00:00:00"/>
    <d v="2017-08-08T00:00:00"/>
    <d v="2027-08-06T00:00:00"/>
    <d v="2022-08-08T00:00:00"/>
    <s v="0.1010 Ha"/>
  </r>
  <r>
    <s v="02195"/>
    <m/>
    <x v="64"/>
    <s v="Sénégal"/>
    <s v="AEHTR"/>
    <s v="Sl"/>
    <s v="Active"/>
    <s v="Thiès"/>
    <d v="2017-06-06T00:00:00"/>
    <d v="2017-06-22T00:00:00"/>
    <d v="2027-06-20T00:00:00"/>
    <d v="2022-06-22T00:00:00"/>
    <s v="0.0000 km²"/>
  </r>
  <r>
    <s v="02199"/>
    <s v="MADINA FOULBE"/>
    <x v="65"/>
    <s v="Sénégal"/>
    <s v="PR"/>
    <s v="Au"/>
    <s v="Active"/>
    <s v="Tambacounda"/>
    <d v="2017-07-05T00:00:00"/>
    <d v="2018-01-15T00:00:00"/>
    <d v="2025-01-14T00:00:00"/>
    <m/>
    <s v="146.2646 km²"/>
  </r>
  <r>
    <s v="02200"/>
    <s v="BRANSAN"/>
    <x v="66"/>
    <s v="Sénégal"/>
    <s v="PR"/>
    <s v="Au, substances connexes"/>
    <s v="Active"/>
    <s v="Kedougou"/>
    <d v="2017-07-20T00:00:00"/>
    <d v="2018-04-20T00:00:00"/>
    <d v="2028-04-20T00:00:00"/>
    <m/>
    <s v="193.3617 km²"/>
  </r>
  <r>
    <s v="02203"/>
    <s v="DJINDJI BASSARI"/>
    <x v="67"/>
    <s v="Sénégal"/>
    <s v="PR"/>
    <s v="Au, substances connexes"/>
    <s v="Active"/>
    <s v="Kedougou"/>
    <d v="2017-07-26T00:00:00"/>
    <d v="2018-03-20T00:00:00"/>
    <d v="2025-03-20T00:00:00"/>
    <m/>
    <s v="18.2902 km²"/>
  </r>
  <r>
    <s v="02204"/>
    <s v="ICS/TAIBA"/>
    <x v="68"/>
    <s v="Sénégal"/>
    <s v="AEHTR"/>
    <s v="sable de dune"/>
    <s v="Renouvellement en Cours"/>
    <s v="Thiès"/>
    <d v="2017-08-06T00:00:00"/>
    <d v="2018-04-20T00:00:00"/>
    <d v="2023-04-19T00:00:00"/>
    <m/>
    <s v="0.0001 km²"/>
  </r>
  <r>
    <s v="02207"/>
    <s v="BEGAL-BAITI"/>
    <x v="69"/>
    <s v="Sénégal"/>
    <s v="PE"/>
    <s v="phosphate de chaux"/>
    <s v="Active"/>
    <s v="Thiès"/>
    <d v="2017-09-22T00:00:00"/>
    <d v="2019-01-16T00:00:00"/>
    <d v="2044-01-16T00:00:00"/>
    <m/>
    <s v="68.3042 km²"/>
  </r>
  <r>
    <s v="02208"/>
    <s v="SARAYA"/>
    <x v="70"/>
    <s v="Sénégal"/>
    <s v="PR"/>
    <s v="substances connexes, uranium"/>
    <s v="Renouvellement en Cours"/>
    <s v="Kedougou"/>
    <d v="2017-09-28T00:00:00"/>
    <d v="2018-06-05T00:00:00"/>
    <d v="2025-06-05T00:00:00"/>
    <m/>
    <s v="1,648.1931 km²"/>
  </r>
  <r>
    <s v="02211"/>
    <s v="LAMINIA"/>
    <x v="71"/>
    <s v="Sénégal"/>
    <s v="AEMSM"/>
    <s v="Au"/>
    <s v="Active"/>
    <s v="Kedougou"/>
    <d v="2017-10-18T00:00:00"/>
    <d v="2018-04-20T00:00:00"/>
    <d v="2024-04-19T00:00:00"/>
    <d v="2021-04-20T00:00:00"/>
    <s v="40.0000 Ha"/>
  </r>
  <r>
    <s v="02214"/>
    <s v="TAWA PEUL"/>
    <x v="72"/>
    <s v="Sénégal"/>
    <s v="PR"/>
    <s v="Sasi"/>
    <s v="Renouvellement en Cours"/>
    <s v="Thiès"/>
    <d v="2017-10-26T00:00:00"/>
    <d v="2018-04-20T00:00:00"/>
    <d v="2022-04-20T00:00:00"/>
    <m/>
    <s v="9.8176 km²"/>
  </r>
  <r>
    <s v="02215"/>
    <s v="NOUMOUFOUKHA"/>
    <x v="73"/>
    <s v="Sénégal"/>
    <s v="PR"/>
    <s v="Au, substances connexes"/>
    <s v="Active"/>
    <s v="Kedougou"/>
    <d v="2017-10-30T00:00:00"/>
    <d v="2018-06-05T00:00:00"/>
    <d v="2025-06-05T00:00:00"/>
    <m/>
    <s v="60.0113 km²"/>
  </r>
  <r>
    <s v="02220"/>
    <s v="Marougoukoto"/>
    <x v="74"/>
    <s v="Sénégal"/>
    <s v="AECPP"/>
    <s v="basalte"/>
    <s v="Active"/>
    <s v="Kedougou"/>
    <d v="2017-12-22T00:00:00"/>
    <d v="2021-01-29T00:00:00"/>
    <d v="2026-01-28T00:00:00"/>
    <m/>
    <s v="93.5415 Ha"/>
  </r>
  <r>
    <s v="02222"/>
    <s v="Bambadji"/>
    <x v="75"/>
    <s v="Sénégal"/>
    <s v="PR"/>
    <s v="Au, Cu"/>
    <s v="Active"/>
    <s v="Kedougou"/>
    <d v="2018-01-02T00:00:00"/>
    <d v="2018-06-05T00:00:00"/>
    <d v="2028-06-04T00:00:00"/>
    <m/>
    <s v="129.5913 km²"/>
  </r>
  <r>
    <s v="02224"/>
    <s v="Taiba"/>
    <x v="76"/>
    <s v="Sénégal"/>
    <s v="AEHTR"/>
    <s v="Sl"/>
    <s v="Active"/>
    <s v="Thiès"/>
    <d v="2018-01-16T00:00:00"/>
    <d v="2018-04-17T00:00:00"/>
    <d v="2028-02-09T00:00:00"/>
    <d v="2023-02-11T00:00:00"/>
    <s v="1.6957 Ha"/>
  </r>
  <r>
    <s v="02226"/>
    <s v="TAIBA"/>
    <x v="77"/>
    <s v="Sénégal"/>
    <s v="AEHTR"/>
    <s v="Sl"/>
    <s v="Renouvellement en Cours"/>
    <s v="Thiès"/>
    <d v="2018-01-30T00:00:00"/>
    <d v="2018-06-20T00:00:00"/>
    <d v="2023-06-19T00:00:00"/>
    <m/>
    <s v="0.0004 km²"/>
  </r>
  <r>
    <s v="02229"/>
    <s v="Taiba"/>
    <x v="78"/>
    <s v="Sénégal"/>
    <s v="AEHTR"/>
    <s v="Sl"/>
    <s v="Renouvellement en Cours"/>
    <s v="Thiès"/>
    <d v="2018-02-20T00:00:00"/>
    <d v="2018-04-20T00:00:00"/>
    <d v="2023-04-19T00:00:00"/>
    <m/>
    <s v="32.2284 Ha"/>
  </r>
  <r>
    <s v="02230"/>
    <s v="ICS/TAIBA"/>
    <x v="78"/>
    <s v="Sénégal"/>
    <s v="AEHTR"/>
    <s v="sable de dune"/>
    <s v="Renouvellement en Cours"/>
    <s v="Thiès"/>
    <d v="2018-02-20T00:00:00"/>
    <d v="2018-04-20T00:00:00"/>
    <d v="2023-04-19T00:00:00"/>
    <m/>
    <s v="0.0020 km²"/>
  </r>
  <r>
    <s v="02231"/>
    <s v="Taiba"/>
    <x v="79"/>
    <s v="Sénégal"/>
    <s v="AEHTR"/>
    <s v="Sl"/>
    <s v="Active"/>
    <s v="Thiès"/>
    <d v="2018-03-06T00:00:00"/>
    <d v="2018-05-09T00:00:00"/>
    <d v="2028-05-08T00:00:00"/>
    <d v="2023-05-09T00:00:00"/>
    <s v="0.0795 Ha"/>
  </r>
  <r>
    <s v="02233"/>
    <m/>
    <x v="4"/>
    <s v="Sénégal"/>
    <s v="AECPP"/>
    <s v="basalte"/>
    <s v="Active"/>
    <s v="Thiès"/>
    <d v="2018-03-19T00:00:00"/>
    <d v="2019-01-28T00:00:00"/>
    <d v="2028-01-27T00:00:00"/>
    <m/>
    <s v="15.9334 Ha"/>
  </r>
  <r>
    <s v="02235"/>
    <s v="ICS/TAIBA"/>
    <x v="80"/>
    <s v="Sénégal"/>
    <s v="AEHTR"/>
    <s v="sable de dune"/>
    <s v="Renouvellement en Cours"/>
    <s v="Thiès"/>
    <d v="2018-03-22T00:00:00"/>
    <d v="2018-05-14T00:00:00"/>
    <d v="2023-05-13T00:00:00"/>
    <m/>
    <s v="0.0013 km²"/>
  </r>
  <r>
    <s v="02238"/>
    <m/>
    <x v="81"/>
    <s v="Sénégal"/>
    <s v="AEHTR"/>
    <s v="Sl"/>
    <s v="Active"/>
    <s v="Thiès"/>
    <d v="2018-04-18T00:00:00"/>
    <d v="2018-06-05T00:00:00"/>
    <d v="2028-06-03T00:00:00"/>
    <d v="2023-06-05T00:00:00"/>
    <s v="0.0910 Ha"/>
  </r>
  <r>
    <s v="02242"/>
    <s v="Taiba"/>
    <x v="82"/>
    <s v="Sénégal"/>
    <s v="AEHTR"/>
    <s v="Sl"/>
    <s v="Active"/>
    <s v="Thiès"/>
    <d v="2018-05-05T00:00:00"/>
    <d v="2018-06-22T00:00:00"/>
    <d v="2028-05-07T00:00:00"/>
    <d v="2023-05-09T00:00:00"/>
    <s v="0.1860 Ha"/>
  </r>
  <r>
    <s v="02247"/>
    <m/>
    <x v="83"/>
    <s v="Sénégal"/>
    <s v="AEHTR"/>
    <s v="Sl"/>
    <s v="Renouvellement en Cours"/>
    <s v="Thiès"/>
    <d v="2018-05-17T00:00:00"/>
    <d v="2018-07-23T00:00:00"/>
    <d v="2023-07-22T00:00:00"/>
    <m/>
    <s v="0.1020 Ha"/>
  </r>
  <r>
    <s v="02252"/>
    <s v="Taiba"/>
    <x v="84"/>
    <s v="Sénégal"/>
    <s v="AEHTR"/>
    <s v="Sl"/>
    <s v="Renouvellement en Cours"/>
    <s v="Thiès"/>
    <d v="2018-05-31T00:00:00"/>
    <d v="2018-07-26T00:00:00"/>
    <d v="2023-07-25T00:00:00"/>
    <m/>
    <s v="0.1600 Ha"/>
  </r>
  <r>
    <s v="02253"/>
    <s v=" KAYAR SUD"/>
    <x v="85"/>
    <s v="Sénégal"/>
    <s v="PR"/>
    <s v="ML"/>
    <s v="Active"/>
    <s v="Thiès"/>
    <d v="2018-06-05T00:00:00"/>
    <d v="2018-10-17T00:00:00"/>
    <d v="2025-10-16T00:00:00"/>
    <m/>
    <s v="17.0071 km²"/>
  </r>
  <r>
    <s v="02259"/>
    <s v="Mako"/>
    <x v="4"/>
    <s v="Sénégal"/>
    <s v="AECPP"/>
    <s v="basalte"/>
    <s v="Active"/>
    <s v="Kedougou"/>
    <d v="2018-07-10T00:00:00"/>
    <d v="2019-02-14T00:00:00"/>
    <d v="2029-02-13T00:00:00"/>
    <m/>
    <s v="115.0372 Ha"/>
  </r>
  <r>
    <s v="02261"/>
    <s v="KENIEKOTO"/>
    <x v="86"/>
    <s v="Sénégal"/>
    <s v="PR"/>
    <s v="Au"/>
    <s v="Active"/>
    <s v="Kedougou"/>
    <d v="2018-07-16T00:00:00"/>
    <d v="2019-02-05T00:00:00"/>
    <d v="2026-02-05T00:00:00"/>
    <m/>
    <s v="82.5046 km²"/>
  </r>
  <r>
    <s v="02263"/>
    <s v="SOUROUMDOU"/>
    <x v="67"/>
    <s v="Sénégal"/>
    <s v="PR"/>
    <s v="Au"/>
    <s v="Active"/>
    <s v="Tambacounda"/>
    <d v="2018-07-23T00:00:00"/>
    <d v="2019-02-05T00:00:00"/>
    <d v="2026-02-04T00:00:00"/>
    <m/>
    <s v="61.4628 km²"/>
  </r>
  <r>
    <s v="02264"/>
    <s v="BADERY"/>
    <x v="87"/>
    <s v="Sénégal"/>
    <s v="PR"/>
    <s v="Au"/>
    <s v="Active"/>
    <s v="Kedougou"/>
    <d v="2018-07-27T00:00:00"/>
    <d v="2019-03-19T00:00:00"/>
    <d v="2026-03-19T00:00:00"/>
    <m/>
    <s v="84.1912 km²"/>
  </r>
  <r>
    <s v="02268"/>
    <s v="ICS/TAIBA"/>
    <x v="88"/>
    <s v="Sénégal"/>
    <s v="AEHTR"/>
    <s v="Sl"/>
    <s v="Active"/>
    <s v="Thiès"/>
    <d v="2018-08-14T00:00:00"/>
    <d v="2018-09-27T00:00:00"/>
    <d v="2028-09-26T00:00:00"/>
    <d v="2023-09-27T00:00:00"/>
    <s v="0.1695 Ha"/>
  </r>
  <r>
    <s v="02269"/>
    <m/>
    <x v="89"/>
    <s v="Sénégal"/>
    <s v="AECPP"/>
    <s v="grès"/>
    <s v="Active"/>
    <s v="Thiès"/>
    <d v="2018-08-16T00:00:00"/>
    <d v="2019-12-26T00:00:00"/>
    <d v="2024-12-25T00:00:00"/>
    <m/>
    <s v="15.9109 Ha"/>
  </r>
  <r>
    <s v="02273"/>
    <s v="LAMBAYE"/>
    <x v="53"/>
    <s v="Sénégal"/>
    <s v="PR"/>
    <s v="phosphate de chaux"/>
    <s v="Renouvellement en Cours"/>
    <s v="Diourbel"/>
    <d v="2018-09-14T00:00:00"/>
    <d v="2019-01-31T00:00:00"/>
    <d v="2026-01-31T00:00:00"/>
    <m/>
    <s v="421.8438 km²"/>
  </r>
  <r>
    <s v="02274"/>
    <m/>
    <x v="90"/>
    <s v="Sénégal"/>
    <s v="AECPP"/>
    <s v="basalte"/>
    <s v="Renouvellement en Cours"/>
    <s v="Thiès"/>
    <d v="2018-09-17T00:00:00"/>
    <d v="2019-03-19T00:00:00"/>
    <d v="2024-03-18T00:00:00"/>
    <m/>
    <s v="0.1506 km²"/>
  </r>
  <r>
    <s v="02279"/>
    <s v="Taiba"/>
    <x v="80"/>
    <s v="Sénégal"/>
    <s v="AEHTR"/>
    <s v="Sl"/>
    <s v="Renouvellement en Cours"/>
    <s v="Thiès"/>
    <d v="2018-10-15T00:00:00"/>
    <d v="2019-01-09T00:00:00"/>
    <d v="2024-01-08T00:00:00"/>
    <m/>
    <s v="0.0002 km²"/>
  </r>
  <r>
    <s v="02280"/>
    <s v="BOTO"/>
    <x v="91"/>
    <s v="Sénégal"/>
    <s v="PE"/>
    <s v="Au"/>
    <s v="Active"/>
    <s v="Kedougou"/>
    <d v="2018-10-22T00:00:00"/>
    <d v="2019-12-16T00:00:00"/>
    <d v="2039-12-15T00:00:00"/>
    <m/>
    <s v="146.8491 km²"/>
  </r>
  <r>
    <s v="02283"/>
    <s v="ICS/TAIBA"/>
    <x v="92"/>
    <s v="Sénégal"/>
    <s v="AEHTR"/>
    <s v="Sl"/>
    <s v="Active"/>
    <s v="Thiès"/>
    <d v="2018-10-25T00:00:00"/>
    <d v="2018-12-14T00:00:00"/>
    <d v="2028-05-08T00:00:00"/>
    <d v="2023-05-09T00:00:00"/>
    <s v="0.0018 km²"/>
  </r>
  <r>
    <s v="02289"/>
    <s v="SANGOLA"/>
    <x v="93"/>
    <s v="Sénégal"/>
    <s v="PR"/>
    <s v="Au"/>
    <s v="Active"/>
    <s v="Kedougou"/>
    <d v="2018-12-21T00:00:00"/>
    <d v="2019-06-07T00:00:00"/>
    <d v="2026-06-07T00:00:00"/>
    <m/>
    <s v="287.7772 km²"/>
  </r>
  <r>
    <s v="02304"/>
    <m/>
    <x v="94"/>
    <s v="Sénégal"/>
    <s v="AECPP"/>
    <s v="basalte"/>
    <s v="Active"/>
    <s v="Kedougou"/>
    <d v="2019-07-12T00:00:00"/>
    <d v="2019-11-25T00:00:00"/>
    <d v="2024-11-24T00:00:00"/>
    <m/>
    <s v="43.0910 Ha"/>
  </r>
  <r>
    <s v="02306"/>
    <s v="SENALA"/>
    <x v="95"/>
    <s v="Sénégal"/>
    <s v="PR"/>
    <s v="Au"/>
    <s v="Active"/>
    <s v="Kedougou"/>
    <d v="2019-08-20T00:00:00"/>
    <d v="2020-02-18T00:00:00"/>
    <d v="2027-02-17T00:00:00"/>
    <m/>
    <s v="354.4861 km²"/>
  </r>
  <r>
    <s v="02313"/>
    <s v="DJIGUI"/>
    <x v="96"/>
    <s v="Sénégal"/>
    <s v="AEMSM"/>
    <s v="Au"/>
    <s v="Active"/>
    <s v="Kedougou"/>
    <d v="2019-10-11T00:00:00"/>
    <d v="2020-02-17T00:00:00"/>
    <d v="2026-02-16T00:00:00"/>
    <d v="2023-02-17T00:00:00"/>
    <s v="49.8546 Ha"/>
  </r>
  <r>
    <s v="02315"/>
    <s v="SADATOU"/>
    <x v="97"/>
    <s v="Sénégal"/>
    <s v="PR"/>
    <s v="Mn"/>
    <s v="Renouvellement en Cours"/>
    <s v="Tambacounda"/>
    <d v="2019-11-21T00:00:00"/>
    <d v="2020-05-27T00:00:00"/>
    <d v="2024-05-26T00:00:00"/>
    <m/>
    <s v="497.3462 km²"/>
  </r>
  <r>
    <s v="02320"/>
    <s v="Gandon"/>
    <x v="98"/>
    <s v="Sénégal"/>
    <s v="AECPubP"/>
    <s v="sable de dune"/>
    <s v="Active"/>
    <s v="Saint Louis"/>
    <d v="2020-01-02T00:00:00"/>
    <d v="2020-02-18T00:00:00"/>
    <d v="2025-02-18T00:00:00"/>
    <m/>
    <s v="1.3102 Ha"/>
  </r>
  <r>
    <s v="02321"/>
    <s v="SOUROUKOTO"/>
    <x v="99"/>
    <s v="Sénégal"/>
    <s v="PR"/>
    <s v="Au"/>
    <s v="Renouvellement en Cours"/>
    <s v="Kedougou"/>
    <d v="2020-01-02T00:00:00"/>
    <d v="2020-07-16T00:00:00"/>
    <d v="2024-07-15T00:00:00"/>
    <m/>
    <s v="923.7671 Ha"/>
  </r>
  <r>
    <s v="02322"/>
    <s v="Tombo"/>
    <x v="100"/>
    <s v="Sénégal"/>
    <s v="PR"/>
    <s v="Au"/>
    <s v="Active"/>
    <s v="Kedougou"/>
    <d v="2020-01-03T00:00:00"/>
    <d v="2019-02-14T00:00:00"/>
    <d v="2029-02-13T00:00:00"/>
    <m/>
    <s v="18.9029 km²"/>
  </r>
  <r>
    <s v="02327"/>
    <s v="Ouest Laminia"/>
    <x v="101"/>
    <s v="Sénégal"/>
    <s v="PR"/>
    <s v="Au, substances connexes"/>
    <s v="Renouvellement en Cours"/>
    <s v="Kedougou"/>
    <d v="2020-02-06T00:00:00"/>
    <d v="2020-08-25T00:00:00"/>
    <d v="2027-08-24T00:00:00"/>
    <m/>
    <s v="239.0016 km²"/>
  </r>
  <r>
    <s v="02332"/>
    <s v="Kanoumba"/>
    <x v="102"/>
    <s v="Sénégal"/>
    <s v="PR"/>
    <s v="Au"/>
    <s v="Renouvellement en Cours"/>
    <s v="Kedougou"/>
    <d v="2020-02-21T00:00:00"/>
    <d v="2020-02-25T00:00:00"/>
    <d v="2024-02-24T00:00:00"/>
    <m/>
    <s v="28,548.2438 Ha"/>
  </r>
  <r>
    <s v="02335"/>
    <s v="WASSADOU SUD"/>
    <x v="103"/>
    <s v="Sénégal"/>
    <s v="AEPM"/>
    <s v="Au"/>
    <s v="Active"/>
    <s v="Kedougou"/>
    <d v="2020-03-12T00:00:00"/>
    <d v="2020-02-26T00:00:00"/>
    <d v="2025-02-25T00:00:00"/>
    <m/>
    <s v="320.5987 Ha"/>
  </r>
  <r>
    <s v="02339"/>
    <s v="Kaourou"/>
    <x v="104"/>
    <s v="Sénégal"/>
    <s v="PR"/>
    <s v="Au"/>
    <s v="Active"/>
    <s v="Tambacounda"/>
    <d v="2020-05-18T00:00:00"/>
    <d v="2021-04-06T00:00:00"/>
    <d v="2025-04-05T00:00:00"/>
    <m/>
    <s v="144.2171 km²"/>
  </r>
  <r>
    <s v="02356"/>
    <s v="Kayamakho"/>
    <x v="105"/>
    <s v="Sénégal"/>
    <s v="AEMSM"/>
    <s v="Au"/>
    <s v="Renouvellement en Cours"/>
    <s v="Kedougou"/>
    <d v="2020-07-20T00:00:00"/>
    <d v="2016-06-16T00:00:00"/>
    <d v="2019-06-17T00:00:00"/>
    <m/>
    <s v="0.4938 km²"/>
  </r>
  <r>
    <s v="02364"/>
    <s v="Taiba"/>
    <x v="106"/>
    <s v="Sénégal"/>
    <s v="AEHTR"/>
    <s v="Sl"/>
    <s v="Active"/>
    <s v="Thiès"/>
    <d v="2020-08-26T00:00:00"/>
    <d v="2020-10-12T00:00:00"/>
    <d v="2025-10-11T00:00:00"/>
    <m/>
    <s v="0.0005 km²"/>
  </r>
  <r>
    <s v="02367"/>
    <s v="KHOSSANTO"/>
    <x v="107"/>
    <s v="Sénégal"/>
    <s v="PR"/>
    <s v="Au"/>
    <s v="Renouvellement en Cours"/>
    <s v="Kedougou"/>
    <d v="2020-09-30T00:00:00"/>
    <d v="2020-10-15T00:00:00"/>
    <d v="2024-10-14T00:00:00"/>
    <m/>
    <s v="13.9581 km²"/>
  </r>
  <r>
    <s v="02368"/>
    <s v="Aînoumane"/>
    <x v="106"/>
    <s v="Sénégal"/>
    <s v="PR"/>
    <s v="phosphate de chaux"/>
    <s v="Renouvellement en Cours"/>
    <s v="Diourbel"/>
    <d v="2020-10-01T00:00:00"/>
    <d v="2020-10-28T00:00:00"/>
    <d v="2024-10-27T00:00:00"/>
    <m/>
    <s v="586.6647 km²"/>
  </r>
  <r>
    <s v="02369"/>
    <s v="POUT"/>
    <x v="108"/>
    <s v="Sénégal"/>
    <s v="AECPP"/>
    <s v="calcaire"/>
    <s v="Active"/>
    <s v="Thiès"/>
    <d v="2020-10-02T00:00:00"/>
    <d v="2021-03-24T00:00:00"/>
    <d v="2026-03-23T00:00:00"/>
    <m/>
    <s v="277.3672 Ha"/>
  </r>
  <r>
    <s v="02374"/>
    <m/>
    <x v="109"/>
    <s v="Sénégal"/>
    <s v="AECPP"/>
    <s v="basalte"/>
    <s v="Active"/>
    <s v="Thiès"/>
    <d v="2020-11-25T00:00:00"/>
    <d v="2021-01-29T00:00:00"/>
    <d v="2026-01-28T00:00:00"/>
    <m/>
    <s v="10.5667 Ha"/>
  </r>
  <r>
    <s v="02382"/>
    <s v="ICS"/>
    <x v="110"/>
    <s v="Sénégal"/>
    <s v="AEHTR"/>
    <s v="Sl"/>
    <s v="Active"/>
    <s v="Thiès"/>
    <d v="2019-12-16T00:00:00"/>
    <d v="2020-02-18T00:00:00"/>
    <d v="2025-02-17T00:00:00"/>
    <m/>
    <s v="0.0005 km²"/>
  </r>
  <r>
    <s v="02383"/>
    <s v="ICS"/>
    <x v="111"/>
    <s v="Sénégal"/>
    <s v="AEHTR"/>
    <s v="Sl"/>
    <s v="Active"/>
    <s v="Thiès"/>
    <d v="2020-01-15T00:00:00"/>
    <d v="2020-02-18T00:00:00"/>
    <d v="2025-02-17T00:00:00"/>
    <m/>
    <s v="0.0005 km²"/>
  </r>
  <r>
    <s v="02388"/>
    <s v="Bambilor"/>
    <x v="112"/>
    <s v="Sénégal"/>
    <s v="AECPT"/>
    <s v="sable de dune"/>
    <s v="Retrait en Cours"/>
    <s v="Dakar"/>
    <d v="2021-01-29T00:00:00"/>
    <d v="2021-03-01T00:00:00"/>
    <d v="2021-09-02T00:00:00"/>
    <m/>
    <s v="0.1631 km²"/>
  </r>
  <r>
    <s v="03006"/>
    <s v="DALEMA"/>
    <x v="113"/>
    <s v="Sénégal"/>
    <s v="PR"/>
    <s v="Au"/>
    <s v="Renouvellement en Cours"/>
    <s v="Kedougou"/>
    <d v="2018-09-13T00:00:00"/>
    <d v="2021-03-26T00:00:00"/>
    <d v="2025-03-25T00:00:00"/>
    <m/>
    <s v="222.3545 km²"/>
  </r>
  <r>
    <s v="03047"/>
    <m/>
    <x v="114"/>
    <s v="Sénégal"/>
    <s v="AECPP"/>
    <s v="kao"/>
    <s v="Active"/>
    <s v="Tambacounda"/>
    <d v="2021-02-11T00:00:00"/>
    <d v="2021-04-19T00:00:00"/>
    <d v="2026-04-18T00:00:00"/>
    <m/>
    <s v="7.0493 Ha"/>
  </r>
  <r>
    <s v="03048"/>
    <m/>
    <x v="114"/>
    <s v="Sénégal"/>
    <s v="AECPP"/>
    <s v="granite"/>
    <s v="Active"/>
    <s v="Kedougou"/>
    <d v="2021-02-11T00:00:00"/>
    <d v="2021-04-29T00:00:00"/>
    <d v="2026-04-28T00:00:00"/>
    <m/>
    <s v="20.0475 Ha"/>
  </r>
  <r>
    <s v="03054"/>
    <m/>
    <x v="115"/>
    <s v="Sénégal"/>
    <s v="AECPP"/>
    <s v="basalte"/>
    <s v="Active"/>
    <s v="Kedougou"/>
    <d v="2019-12-17T00:00:00"/>
    <d v="2021-04-29T00:00:00"/>
    <d v="2026-04-28T00:00:00"/>
    <m/>
    <s v="50.0002 Ha"/>
  </r>
  <r>
    <s v="03101"/>
    <m/>
    <x v="116"/>
    <s v="Sénégal"/>
    <s v="AECPP"/>
    <s v="basalte"/>
    <s v="Active"/>
    <s v="Kedougou"/>
    <d v="2021-04-26T00:00:00"/>
    <d v="2021-08-31T00:00:00"/>
    <d v="2026-08-30T00:00:00"/>
    <m/>
    <s v="27.5130 Ha"/>
  </r>
  <r>
    <s v="03103"/>
    <s v="Soukouta"/>
    <x v="117"/>
    <s v="Sénégal"/>
    <s v="AEMSM"/>
    <s v="Au"/>
    <s v="Active"/>
    <s v="Kedougou"/>
    <d v="2021-04-12T00:00:00"/>
    <d v="2021-07-06T00:00:00"/>
    <d v="2024-07-05T00:00:00"/>
    <m/>
    <s v="35.9560 Ha"/>
  </r>
  <r>
    <s v="03182"/>
    <m/>
    <x v="118"/>
    <s v="Sénégal"/>
    <s v="AECPP"/>
    <s v="basalte"/>
    <s v="Active"/>
    <s v="Kedougou"/>
    <d v="2018-06-18T00:00:00"/>
    <d v="2021-07-02T00:00:00"/>
    <d v="2026-07-01T00:00:00"/>
    <m/>
    <s v="10.2223 Ha"/>
  </r>
  <r>
    <s v="03199"/>
    <m/>
    <x v="119"/>
    <s v="Sénégal"/>
    <s v="AEHTR"/>
    <s v="Sl"/>
    <s v="Active"/>
    <s v="Thiès"/>
    <d v="2021-04-08T00:00:00"/>
    <d v="2021-04-29T00:00:00"/>
    <d v="2026-04-28T00:00:00"/>
    <m/>
    <m/>
  </r>
  <r>
    <s v="03200"/>
    <m/>
    <x v="120"/>
    <s v="Sénégal"/>
    <s v="AECPubP"/>
    <s v="sable de dune"/>
    <s v="Active"/>
    <s v="Tambacounda"/>
    <d v="2021-03-25T00:00:00"/>
    <d v="2021-04-29T00:00:00"/>
    <d v="2026-04-28T00:00:00"/>
    <m/>
    <s v="10.0094 Ha"/>
  </r>
  <r>
    <s v="03214"/>
    <s v="Tafia-Nefis"/>
    <x v="121"/>
    <s v="Sénégal"/>
    <s v="AEMSM"/>
    <s v="Au"/>
    <s v="Renouvellement en Cours"/>
    <s v="Kedougou"/>
    <d v="2021-02-24T00:00:00"/>
    <d v="2021-08-05T00:00:00"/>
    <d v="2024-08-04T00:00:00"/>
    <m/>
    <s v="48.7817 Ha"/>
  </r>
  <r>
    <s v="03217"/>
    <s v="Franding"/>
    <x v="122"/>
    <s v="Sénégal"/>
    <s v="AEPM"/>
    <s v="Au"/>
    <s v="Active"/>
    <s v="Kedougou"/>
    <d v="2021-01-02T00:00:00"/>
    <d v="2021-07-07T00:00:00"/>
    <d v="2026-07-06T00:00:00"/>
    <m/>
    <s v="424.7041 Ha"/>
  </r>
  <r>
    <s v="03219"/>
    <m/>
    <x v="123"/>
    <s v="Sénégal"/>
    <s v="AECPP"/>
    <s v="grès"/>
    <s v="Active"/>
    <s v="Kedougou"/>
    <d v="2020-08-27T00:00:00"/>
    <d v="2021-06-10T00:00:00"/>
    <d v="2026-06-09T00:00:00"/>
    <m/>
    <s v="27.9553 Ha"/>
  </r>
  <r>
    <s v="03228"/>
    <m/>
    <x v="124"/>
    <s v="Sénégal"/>
    <s v="PR"/>
    <s v="basalte, tf"/>
    <s v="Active"/>
    <s v="Diourbel"/>
    <d v="2020-01-03T00:00:00"/>
    <d v="2021-10-07T00:00:00"/>
    <d v="2025-10-06T00:00:00"/>
    <m/>
    <s v="31.9992 km²"/>
  </r>
  <r>
    <s v="03241"/>
    <m/>
    <x v="125"/>
    <s v="Sénégal"/>
    <s v="AECPP"/>
    <s v="basalte"/>
    <s v="Active"/>
    <s v="Kedougou"/>
    <d v="2021-06-04T00:00:00"/>
    <d v="2021-07-28T00:00:00"/>
    <d v="2026-07-27T00:00:00"/>
    <m/>
    <s v="25.0100 Ha"/>
  </r>
  <r>
    <s v="03264"/>
    <s v="Packi"/>
    <x v="126"/>
    <s v="Sénégal"/>
    <s v="AECPP"/>
    <s v="grès, latérite"/>
    <s v="Active"/>
    <s v="Thiès"/>
    <d v="2021-07-02T00:00:00"/>
    <d v="2021-08-31T00:00:00"/>
    <d v="2026-08-30T00:00:00"/>
    <m/>
    <s v="1.9792 Ha"/>
  </r>
  <r>
    <s v="03265"/>
    <s v="ICS/Darou khoudosse"/>
    <x v="127"/>
    <s v="Sénégal"/>
    <s v="AEHTR"/>
    <s v="Sl"/>
    <s v="Active"/>
    <s v="Thiès"/>
    <d v="2021-08-09T00:00:00"/>
    <d v="2021-10-12T00:00:00"/>
    <d v="2026-10-11T00:00:00"/>
    <m/>
    <m/>
  </r>
  <r>
    <s v="03268"/>
    <m/>
    <x v="128"/>
    <s v="Sénégal"/>
    <s v="AEMSM"/>
    <s v="Au"/>
    <s v="Active"/>
    <s v="Kedougou"/>
    <d v="2020-07-21T00:00:00"/>
    <d v="2022-03-03T00:00:00"/>
    <d v="2025-03-02T00:00:00"/>
    <m/>
    <s v="49.9720 Ha"/>
  </r>
  <r>
    <s v="03271"/>
    <s v="ICS"/>
    <x v="129"/>
    <s v="Sénégal"/>
    <s v="AEHTR"/>
    <s v="Sl"/>
    <s v="Active"/>
    <s v="Thiès"/>
    <d v="2021-06-01T00:00:00"/>
    <d v="2021-10-07T00:00:00"/>
    <d v="2026-10-06T00:00:00"/>
    <m/>
    <m/>
  </r>
  <r>
    <s v="03272"/>
    <m/>
    <x v="20"/>
    <s v="Sénégal"/>
    <s v="AEHTR"/>
    <s v="Sl"/>
    <s v="Active"/>
    <s v="Thiès"/>
    <d v="2021-06-07T00:00:00"/>
    <d v="2021-10-07T00:00:00"/>
    <d v="2026-10-06T00:00:00"/>
    <m/>
    <m/>
  </r>
  <r>
    <s v="03283"/>
    <s v="ICS"/>
    <x v="130"/>
    <s v="Sénégal"/>
    <s v="AEHTR"/>
    <s v="Sl"/>
    <s v="Active"/>
    <s v="Thiès"/>
    <d v="2021-08-06T00:00:00"/>
    <d v="2021-12-07T00:00:00"/>
    <d v="2026-12-06T00:00:00"/>
    <m/>
    <m/>
  </r>
  <r>
    <s v="03292"/>
    <m/>
    <x v="131"/>
    <s v="Sénégal"/>
    <s v="AECPP"/>
    <s v="Argile, latérite"/>
    <s v="Active"/>
    <s v="Thiès"/>
    <d v="2021-05-04T00:00:00"/>
    <d v="2021-07-15T00:00:00"/>
    <d v="2026-07-14T00:00:00"/>
    <m/>
    <s v="59.9400 Ha"/>
  </r>
  <r>
    <s v="03299"/>
    <s v="ICS TAIBA"/>
    <x v="132"/>
    <s v="Sénégal"/>
    <s v="AEHTR"/>
    <s v="Sl"/>
    <s v="Active"/>
    <s v="Thiès"/>
    <d v="2021-04-15T00:00:00"/>
    <d v="2021-06-10T00:00:00"/>
    <d v="2026-06-09T00:00:00"/>
    <m/>
    <m/>
  </r>
  <r>
    <s v="03303"/>
    <s v="Pout"/>
    <x v="133"/>
    <s v="Sénégal"/>
    <s v="AECPP"/>
    <s v="basalte"/>
    <s v="Active"/>
    <s v="Thiès"/>
    <d v="2021-12-10T00:00:00"/>
    <d v="2022-01-11T00:00:00"/>
    <d v="2027-01-10T00:00:00"/>
    <m/>
    <s v="93.0049 Ha"/>
  </r>
  <r>
    <s v="03314"/>
    <s v="Sosesa/ICS darou khoudosse"/>
    <x v="134"/>
    <s v="Sénégal"/>
    <s v="AEHTR"/>
    <s v="Sl"/>
    <s v="Active"/>
    <s v="Thiès"/>
    <d v="2021-08-17T00:00:00"/>
    <d v="2021-09-23T00:00:00"/>
    <d v="2026-09-22T00:00:00"/>
    <m/>
    <m/>
  </r>
  <r>
    <s v="03317"/>
    <s v="Lam Lam"/>
    <x v="135"/>
    <s v="Sénégal"/>
    <s v="AEHTR"/>
    <s v="Sl"/>
    <s v="Active"/>
    <s v="Thiès"/>
    <d v="2021-07-08T00:00:00"/>
    <d v="2022-11-25T00:00:00"/>
    <d v="2027-11-24T00:00:00"/>
    <m/>
    <m/>
  </r>
  <r>
    <s v="03319"/>
    <s v="DALOTO NORD-OUEST"/>
    <x v="136"/>
    <s v="Sénégal"/>
    <s v="PR"/>
    <s v="Au"/>
    <s v="Active"/>
    <s v="Kedougou"/>
    <d v="2021-11-29T00:00:00"/>
    <d v="2024-03-06T00:00:00"/>
    <d v="2028-03-05T00:00:00"/>
    <m/>
    <s v="49.9917 km²"/>
  </r>
  <r>
    <s v="03340"/>
    <m/>
    <x v="137"/>
    <s v="Sénégal"/>
    <s v="AEHTR"/>
    <s v="Sl"/>
    <s v="Renouvellement en Cours"/>
    <s v="Thiès"/>
    <d v="2021-04-19T00:00:00"/>
    <d v="2021-05-10T00:00:00"/>
    <d v="2026-05-09T00:00:00"/>
    <m/>
    <m/>
  </r>
  <r>
    <s v="03344"/>
    <s v="Mansadala"/>
    <x v="6"/>
    <s v="Sénégal"/>
    <s v="AECPP"/>
    <s v="dl"/>
    <s v="Active"/>
    <s v="Tambacounda"/>
    <d v="2019-10-16T00:00:00"/>
    <d v="2020-10-10T00:00:00"/>
    <d v="2025-10-09T00:00:00"/>
    <m/>
    <s v="49.9888 Ha"/>
  </r>
  <r>
    <s v="03346"/>
    <s v="ICS MBORO"/>
    <x v="138"/>
    <s v="Sénégal"/>
    <s v="AEHTR"/>
    <s v="Sl"/>
    <s v="Active"/>
    <s v="Thiès"/>
    <d v="2021-09-16T00:00:00"/>
    <d v="2021-10-07T00:00:00"/>
    <d v="2026-10-06T00:00:00"/>
    <m/>
    <m/>
  </r>
  <r>
    <s v="03347"/>
    <s v="ICS MBORO"/>
    <x v="126"/>
    <s v="Sénégal"/>
    <s v="AEHTR"/>
    <s v="Sl"/>
    <s v="Active"/>
    <s v="Thiès"/>
    <d v="2021-07-27T00:00:00"/>
    <d v="2020-12-07T00:00:00"/>
    <d v="2025-12-06T00:00:00"/>
    <m/>
    <m/>
  </r>
  <r>
    <s v="03358"/>
    <s v="BONDALA"/>
    <x v="139"/>
    <s v="Sénégal"/>
    <s v="PR"/>
    <s v="Au"/>
    <s v="Active"/>
    <s v="Kedougou"/>
    <d v="2018-06-18T00:00:00"/>
    <d v="2022-03-03T00:00:00"/>
    <d v="2026-03-02T00:00:00"/>
    <m/>
    <s v="207.1757 km²"/>
  </r>
  <r>
    <s v="03360"/>
    <s v="MORICHOU"/>
    <x v="139"/>
    <s v="Sénégal"/>
    <s v="PR"/>
    <s v="Au"/>
    <s v="Active"/>
    <s v="Tambacounda"/>
    <d v="2021-08-23T00:00:00"/>
    <d v="2022-03-03T00:00:00"/>
    <d v="2026-03-02T00:00:00"/>
    <m/>
    <s v="431.2050 km²"/>
  </r>
  <r>
    <s v="03364"/>
    <m/>
    <x v="140"/>
    <s v="Sénégal"/>
    <s v="AEMSM"/>
    <s v="Au"/>
    <s v="Active"/>
    <s v="Kedougou"/>
    <d v="2022-02-17T00:00:00"/>
    <d v="2022-02-22T00:00:00"/>
    <d v="2025-02-21T00:00:00"/>
    <m/>
    <s v="41.9329 Ha"/>
  </r>
  <r>
    <s v="03365"/>
    <m/>
    <x v="141"/>
    <s v="Sénégal"/>
    <s v="PR"/>
    <s v="phosphate de chaux"/>
    <s v="Active"/>
    <s v="Louga"/>
    <d v="2021-09-20T00:00:00"/>
    <d v="2022-02-23T00:00:00"/>
    <d v="2026-02-22T00:00:00"/>
    <m/>
    <s v="2,855.2328 km²"/>
  </r>
  <r>
    <s v="03375"/>
    <s v="ICS"/>
    <x v="142"/>
    <s v="Sénégal"/>
    <s v="AEHTR"/>
    <s v="Sl"/>
    <s v="Active"/>
    <s v="Thiès"/>
    <d v="2021-07-27T00:00:00"/>
    <d v="2022-03-22T00:00:00"/>
    <d v="2027-03-21T00:00:00"/>
    <m/>
    <m/>
  </r>
  <r>
    <s v="03379"/>
    <s v="Baytilaye"/>
    <x v="143"/>
    <s v="Sénégal"/>
    <s v="AEMSM"/>
    <s v="Au"/>
    <s v="Active"/>
    <s v="Kedougou"/>
    <d v="2021-12-16T00:00:00"/>
    <d v="2022-07-20T00:00:00"/>
    <d v="2025-07-19T00:00:00"/>
    <m/>
    <s v="49.6799 Ha"/>
  </r>
  <r>
    <s v="03380"/>
    <s v="Kassassoko"/>
    <x v="144"/>
    <s v="Sénégal"/>
    <s v="AEPM"/>
    <s v="Au"/>
    <s v="Active"/>
    <s v="Kedougou"/>
    <d v="2021-10-25T00:00:00"/>
    <d v="2022-01-11T00:00:00"/>
    <d v="2027-01-10T00:00:00"/>
    <m/>
    <s v="39.3783 Ha"/>
  </r>
  <r>
    <s v="03381"/>
    <s v="Wakilaré"/>
    <x v="145"/>
    <s v="Sénégal"/>
    <s v="AEMSM"/>
    <s v="Au"/>
    <s v="Active"/>
    <s v="Kedougou"/>
    <d v="2021-07-07T00:00:00"/>
    <d v="2022-03-22T00:00:00"/>
    <d v="2025-03-21T00:00:00"/>
    <m/>
    <s v="50.4400 Ha"/>
  </r>
  <r>
    <s v="03382"/>
    <s v="NGari Sud"/>
    <x v="146"/>
    <s v="Sénégal"/>
    <s v="AEMSM"/>
    <s v="Au"/>
    <s v="Renouvellement en Cours"/>
    <s v="Kedougou"/>
    <d v="2009-08-20T00:00:00"/>
    <d v="2009-11-02T00:00:00"/>
    <d v="2020-11-01T00:00:00"/>
    <d v="2017-11-02T00:00:00"/>
    <s v="0.4992 km²"/>
  </r>
  <r>
    <s v="03387"/>
    <s v="Périmètre 2"/>
    <x v="147"/>
    <s v="Sénégal"/>
    <s v="AEMSM"/>
    <s v="Au"/>
    <s v="Active"/>
    <s v="Kedougou"/>
    <d v="2022-04-11T00:00:00"/>
    <d v="2022-06-24T00:00:00"/>
    <d v="2025-06-23T00:00:00"/>
    <m/>
    <s v="14.8837 Ha"/>
  </r>
  <r>
    <s v="03389"/>
    <s v="Périmètre 1"/>
    <x v="147"/>
    <s v="Sénégal"/>
    <s v="AEMSM"/>
    <s v="Au"/>
    <s v="Active"/>
    <s v="Kedougou"/>
    <d v="2022-04-11T00:00:00"/>
    <d v="2022-06-24T00:00:00"/>
    <d v="2025-06-23T00:00:00"/>
    <m/>
    <s v="15.1226 Ha"/>
  </r>
  <r>
    <s v="03400"/>
    <s v="BAMBADJI SUD"/>
    <x v="148"/>
    <s v="Sénégal"/>
    <s v="PR"/>
    <s v="Au"/>
    <s v="Active"/>
    <s v="Kedougou"/>
    <d v="2022-05-11T00:00:00"/>
    <d v="2022-08-16T00:00:00"/>
    <d v="2026-08-15T00:00:00"/>
    <m/>
    <s v="58.2506 km²"/>
  </r>
  <r>
    <s v="03404"/>
    <s v="ILYMALO"/>
    <x v="86"/>
    <s v="Sénégal"/>
    <s v="PR"/>
    <s v="Li"/>
    <s v="Active"/>
    <s v="Kedougou"/>
    <d v="2017-11-27T00:00:00"/>
    <d v="2018-05-09T00:00:00"/>
    <d v="2025-05-08T00:00:00"/>
    <m/>
    <s v="258.6613 km²"/>
  </r>
  <r>
    <s v="03406"/>
    <s v="Nord Diabougou"/>
    <x v="149"/>
    <s v="Sénégal"/>
    <s v="AEMSM"/>
    <s v="Au"/>
    <s v="Active"/>
    <s v="Kedougou"/>
    <d v="2022-05-16T00:00:00"/>
    <d v="2022-06-02T00:00:00"/>
    <d v="2025-06-01T00:00:00"/>
    <m/>
    <s v="44.7300 Ha"/>
  </r>
  <r>
    <s v="03410"/>
    <s v="Kawsara"/>
    <x v="150"/>
    <s v="Sénégal"/>
    <s v="AEMSM"/>
    <s v="Au"/>
    <s v="Active"/>
    <s v="Kedougou"/>
    <d v="2022-04-11T00:00:00"/>
    <d v="2022-07-20T00:00:00"/>
    <d v="2025-07-19T00:00:00"/>
    <m/>
    <s v="49.9590 Ha"/>
  </r>
  <r>
    <s v="03411"/>
    <m/>
    <x v="151"/>
    <s v="Sénégal"/>
    <s v="AEMSM"/>
    <s v="Au"/>
    <s v="Active"/>
    <s v="Kedougou"/>
    <d v="2021-11-09T00:00:00"/>
    <d v="2022-08-23T00:00:00"/>
    <d v="2025-08-22T00:00:00"/>
    <m/>
    <s v="47.5780 Ha"/>
  </r>
  <r>
    <s v="03419"/>
    <s v="Madina"/>
    <x v="152"/>
    <s v="Sénégal"/>
    <s v="PR"/>
    <s v="Au"/>
    <s v="Active"/>
    <s v="Kedougou"/>
    <d v="2022-03-22T00:00:00"/>
    <d v="2022-06-07T00:00:00"/>
    <d v="2026-06-06T00:00:00"/>
    <m/>
    <s v="174.8785 km²"/>
  </r>
  <r>
    <s v="03420"/>
    <s v="Ngadiawane"/>
    <x v="153"/>
    <s v="Sénégal"/>
    <s v="PR"/>
    <s v="phosphate de chaux"/>
    <s v="Active"/>
    <s v="Thiès"/>
    <d v="2022-03-16T00:00:00"/>
    <d v="2022-06-07T00:00:00"/>
    <d v="2026-06-06T00:00:00"/>
    <m/>
    <s v="270.9270 km²"/>
  </r>
  <r>
    <s v="03421"/>
    <s v="Périmètre 3"/>
    <x v="147"/>
    <s v="Sénégal"/>
    <s v="AEMSM"/>
    <s v="Au"/>
    <s v="Active"/>
    <s v="Kedougou"/>
    <d v="2022-04-11T00:00:00"/>
    <d v="2022-06-24T00:00:00"/>
    <d v="2025-06-23T00:00:00"/>
    <m/>
    <s v="22.4300 Ha"/>
  </r>
  <r>
    <s v="03423"/>
    <s v="ICS"/>
    <x v="154"/>
    <s v="Sénégal"/>
    <s v="AEHTR"/>
    <s v="Sl"/>
    <s v="Active"/>
    <s v="Thiès"/>
    <d v="2021-12-08T00:00:00"/>
    <d v="2022-03-22T00:00:00"/>
    <d v="2027-03-21T00:00:00"/>
    <m/>
    <m/>
  </r>
  <r>
    <s v="03424"/>
    <s v="ICS"/>
    <x v="155"/>
    <s v="Sénégal"/>
    <s v="AEHTR"/>
    <s v="Sl"/>
    <s v="Active"/>
    <s v="Thiès"/>
    <d v="2021-12-02T00:00:00"/>
    <d v="2022-02-02T00:00:00"/>
    <d v="2027-02-01T00:00:00"/>
    <m/>
    <m/>
  </r>
  <r>
    <s v="03427"/>
    <m/>
    <x v="156"/>
    <s v="Sénégal"/>
    <s v="AEMSM"/>
    <s v="Au"/>
    <s v="Active"/>
    <s v="Kedougou"/>
    <d v="2022-05-11T00:00:00"/>
    <d v="2023-06-03T00:00:00"/>
    <d v="2026-06-02T00:00:00"/>
    <m/>
    <s v="48.0125 Ha"/>
  </r>
  <r>
    <s v="03429"/>
    <s v="Kolomdinnkourou"/>
    <x v="149"/>
    <s v="Sénégal"/>
    <s v="AEMSM"/>
    <s v="Au"/>
    <s v="Active"/>
    <s v="Kedougou"/>
    <d v="2022-05-16T00:00:00"/>
    <d v="2022-06-02T00:00:00"/>
    <d v="2025-06-01T00:00:00"/>
    <m/>
    <s v="46.4440 Ha"/>
  </r>
  <r>
    <s v="03430"/>
    <s v="Tambanoumiya"/>
    <x v="157"/>
    <s v="Sénégal"/>
    <s v="AEMSM"/>
    <s v="Au"/>
    <s v="Active"/>
    <s v="Kedougou"/>
    <d v="2021-11-09T00:00:00"/>
    <d v="2022-05-23T00:00:00"/>
    <d v="2025-05-22T00:00:00"/>
    <m/>
    <s v="44.4012 Ha"/>
  </r>
  <r>
    <s v="03431"/>
    <m/>
    <x v="158"/>
    <s v="Sénégal"/>
    <s v="ZP"/>
    <s v="Au"/>
    <s v="Active"/>
    <s v="Kedougou"/>
    <d v="2022-06-23T00:00:00"/>
    <d v="2022-06-23T00:00:00"/>
    <d v="2032-06-22T00:00:00"/>
    <m/>
    <s v="291.7405 km²"/>
  </r>
  <r>
    <s v="03432"/>
    <s v="ICS MBORO"/>
    <x v="159"/>
    <s v="Sénégal"/>
    <s v="AEHTR"/>
    <s v="Sl"/>
    <s v="Active"/>
    <s v="Thiès"/>
    <d v="2021-12-07T00:00:00"/>
    <d v="2022-02-02T00:00:00"/>
    <d v="2027-02-01T00:00:00"/>
    <m/>
    <m/>
  </r>
  <r>
    <s v="03437"/>
    <m/>
    <x v="158"/>
    <s v="Sénégal"/>
    <s v="ZP"/>
    <s v="ph a, phosphate de chaux"/>
    <s v="Active"/>
    <s v="Thiès"/>
    <d v="2021-12-27T00:00:00"/>
    <d v="2022-06-30T00:00:00"/>
    <d v="2032-06-29T00:00:00"/>
    <m/>
    <s v="130.7275 km²"/>
  </r>
  <r>
    <s v="03448"/>
    <s v="ICS"/>
    <x v="160"/>
    <s v="Sénégal"/>
    <s v="AEHTR"/>
    <s v="Sl"/>
    <s v="Active"/>
    <s v="Thiès"/>
    <d v="2022-07-15T00:00:00"/>
    <d v="2022-07-21T00:00:00"/>
    <d v="2027-07-20T00:00:00"/>
    <m/>
    <m/>
  </r>
  <r>
    <s v="03452"/>
    <s v="ICS"/>
    <x v="161"/>
    <s v="Sénégal"/>
    <s v="AEHTR"/>
    <s v="Sl"/>
    <s v="Active"/>
    <m/>
    <d v="2021-06-10T00:00:00"/>
    <d v="2022-02-22T00:00:00"/>
    <d v="2027-02-21T00:00:00"/>
    <m/>
    <m/>
  </r>
  <r>
    <s v="03463"/>
    <m/>
    <x v="162"/>
    <s v="Sénégal"/>
    <s v="AEHTR"/>
    <s v="Sl"/>
    <s v="Active"/>
    <s v="Thiès"/>
    <d v="2022-07-29T00:00:00"/>
    <d v="2022-04-19T00:00:00"/>
    <d v="2027-04-18T00:00:00"/>
    <m/>
    <m/>
  </r>
  <r>
    <s v="03464"/>
    <m/>
    <x v="163"/>
    <s v="Sénégal"/>
    <s v="AEHTR"/>
    <s v="Sl"/>
    <s v="Active"/>
    <s v="Thiès"/>
    <d v="2022-07-29T00:00:00"/>
    <d v="2022-04-25T00:00:00"/>
    <d v="2027-04-24T00:00:00"/>
    <m/>
    <m/>
  </r>
  <r>
    <s v="03469"/>
    <m/>
    <x v="164"/>
    <s v="Sénégal"/>
    <s v="AEPM"/>
    <s v="Au"/>
    <s v="Active"/>
    <s v="Kedougou"/>
    <d v="2022-07-28T00:00:00"/>
    <d v="2022-08-10T00:00:00"/>
    <d v="2027-08-09T00:00:00"/>
    <m/>
    <s v="500.0000 Ha"/>
  </r>
  <r>
    <s v="03472"/>
    <m/>
    <x v="165"/>
    <s v="Sénégal"/>
    <s v="AEHTR"/>
    <s v="Sl"/>
    <s v="Active"/>
    <s v="Thiès"/>
    <d v="2022-08-05T00:00:00"/>
    <d v="2022-04-08T00:00:00"/>
    <d v="2027-04-07T00:00:00"/>
    <m/>
    <m/>
  </r>
  <r>
    <s v="03473"/>
    <s v="IBEL SUD"/>
    <x v="166"/>
    <s v="Sénégal"/>
    <s v="PR"/>
    <s v="Au"/>
    <s v="Active"/>
    <s v="Kedougou"/>
    <d v="2022-03-22T00:00:00"/>
    <d v="2022-08-19T00:00:00"/>
    <d v="2026-08-18T00:00:00"/>
    <m/>
    <s v="182.2500 km²"/>
  </r>
  <r>
    <s v="03474"/>
    <s v="missirah 1"/>
    <x v="167"/>
    <s v="Sénégal"/>
    <s v="AEMSM"/>
    <s v="Au"/>
    <s v="Active"/>
    <s v="Kedougou"/>
    <d v="2022-08-05T00:00:00"/>
    <d v="2022-08-30T00:00:00"/>
    <d v="2025-08-29T00:00:00"/>
    <m/>
    <s v="49.8693 Ha"/>
  </r>
  <r>
    <s v="03475"/>
    <s v="Missirah 2"/>
    <x v="167"/>
    <s v="Sénégal"/>
    <s v="AEMSM"/>
    <s v="Au"/>
    <s v="Active"/>
    <s v="Kedougou"/>
    <d v="2022-08-05T00:00:00"/>
    <d v="2022-08-30T00:00:00"/>
    <d v="2025-08-29T00:00:00"/>
    <m/>
    <s v="48.5373 Ha"/>
  </r>
  <r>
    <s v="03476"/>
    <s v="bandia"/>
    <x v="168"/>
    <s v="Sénégal"/>
    <s v="AECPP"/>
    <s v="Argile, calcaire, latérite"/>
    <s v="Active"/>
    <s v="Thiès"/>
    <d v="2015-04-06T00:00:00"/>
    <d v="2017-07-04T00:00:00"/>
    <d v="2026-06-05T00:00:00"/>
    <m/>
    <s v="20.5880 Ha"/>
  </r>
  <r>
    <s v="03477"/>
    <m/>
    <x v="39"/>
    <s v="Sénégal"/>
    <s v="AEHTR"/>
    <s v="Sl"/>
    <s v="Active"/>
    <s v="Thiès"/>
    <d v="2022-08-16T00:00:00"/>
    <d v="2022-03-30T00:00:00"/>
    <d v="2027-03-29T00:00:00"/>
    <m/>
    <m/>
  </r>
  <r>
    <s v="03478"/>
    <m/>
    <x v="169"/>
    <s v="Sénégal"/>
    <s v="AECPP"/>
    <s v="basalte"/>
    <s v="Active"/>
    <s v="Tambacounda"/>
    <d v="2019-02-21T00:00:00"/>
    <d v="2022-02-02T00:00:00"/>
    <d v="2027-02-01T00:00:00"/>
    <m/>
    <s v="10.0000 Ha"/>
  </r>
  <r>
    <s v="03479"/>
    <m/>
    <x v="170"/>
    <s v="Sénégal"/>
    <s v="AEHTR"/>
    <s v="Sl"/>
    <s v="Active"/>
    <s v="Thiès"/>
    <d v="2022-08-16T00:00:00"/>
    <d v="2020-08-11T00:00:00"/>
    <d v="2025-08-10T00:00:00"/>
    <m/>
    <m/>
  </r>
  <r>
    <s v="03484"/>
    <m/>
    <x v="171"/>
    <s v="Sénégal"/>
    <s v="AEHTR"/>
    <s v="Sl"/>
    <s v="Active"/>
    <s v="Thiès"/>
    <d v="2021-11-29T00:00:00"/>
    <d v="2022-02-02T00:00:00"/>
    <d v="2027-02-01T00:00:00"/>
    <m/>
    <m/>
  </r>
  <r>
    <s v="03488"/>
    <s v="Bandia"/>
    <x v="119"/>
    <s v="Sénégal"/>
    <s v="AECPP"/>
    <s v="calcaire"/>
    <s v="Active"/>
    <s v="Thiès"/>
    <d v="2021-05-08T00:00:00"/>
    <d v="2022-08-10T00:00:00"/>
    <d v="2027-08-09T00:00:00"/>
    <m/>
    <s v="50.0225 Ha"/>
  </r>
  <r>
    <s v="03489"/>
    <s v="Bandia"/>
    <x v="172"/>
    <s v="Sénégal"/>
    <s v="AECPP"/>
    <s v="calcaire"/>
    <s v="Active"/>
    <s v="Thiès"/>
    <d v="2011-08-10T00:00:00"/>
    <d v="2012-08-22T00:00:00"/>
    <d v="2027-08-20T00:00:00"/>
    <d v="2022-08-21T00:00:00"/>
    <s v="20.0270 Ha"/>
  </r>
  <r>
    <s v="03491"/>
    <s v="ICS"/>
    <x v="173"/>
    <s v="Sénégal"/>
    <s v="AEHTR"/>
    <s v="Sl"/>
    <s v="Active"/>
    <s v="Thiès"/>
    <d v="2022-08-26T00:00:00"/>
    <d v="2022-09-13T00:00:00"/>
    <d v="2027-09-12T00:00:00"/>
    <m/>
    <m/>
  </r>
  <r>
    <s v="03492"/>
    <s v="ICS"/>
    <x v="174"/>
    <s v="Sénégal"/>
    <s v="AEHTR"/>
    <s v="Sl"/>
    <s v="Active"/>
    <s v="Thiès"/>
    <d v="2022-08-08T00:00:00"/>
    <d v="2022-09-07T00:00:00"/>
    <d v="2027-09-06T00:00:00"/>
    <m/>
    <m/>
  </r>
  <r>
    <s v="03493"/>
    <s v="SARAYA"/>
    <x v="175"/>
    <s v="Sénégal"/>
    <s v="PR"/>
    <s v="Li"/>
    <s v="Active"/>
    <s v="Kedougou"/>
    <d v="2022-07-21T00:00:00"/>
    <d v="2023-01-30T00:00:00"/>
    <d v="2027-01-29T00:00:00"/>
    <m/>
    <s v="1,045.8607 km²"/>
  </r>
  <r>
    <s v="03494"/>
    <s v="DALOTO_x000a__x000a_"/>
    <x v="150"/>
    <s v="Sénégal"/>
    <s v="PR"/>
    <s v="Au"/>
    <s v="Active"/>
    <s v="Kedougou"/>
    <d v="2022-08-16T00:00:00"/>
    <d v="2023-03-21T00:00:00"/>
    <d v="2027-03-20T00:00:00"/>
    <m/>
    <s v="146.5961 km²"/>
  </r>
  <r>
    <s v="03500"/>
    <s v="Djindji-Taifa"/>
    <x v="176"/>
    <s v="Sénégal"/>
    <s v="AEMSM"/>
    <s v="Au"/>
    <s v="Active"/>
    <s v="Kedougou"/>
    <d v="2022-08-23T00:00:00"/>
    <d v="2023-03-15T00:00:00"/>
    <d v="2026-03-14T00:00:00"/>
    <m/>
    <s v="49.7000 Ha"/>
  </r>
  <r>
    <s v="03507"/>
    <m/>
    <x v="177"/>
    <s v="Sénégal"/>
    <s v="AEHTR"/>
    <s v="Sl"/>
    <s v="Active"/>
    <s v="Thiès"/>
    <d v="2021-09-08T00:00:00"/>
    <d v="2022-02-16T00:00:00"/>
    <d v="2027-02-15T00:00:00"/>
    <m/>
    <m/>
  </r>
  <r>
    <s v="03508"/>
    <m/>
    <x v="178"/>
    <s v="Sénégal"/>
    <s v="AEHTR"/>
    <s v="Sl"/>
    <s v="Active"/>
    <s v="Thiès"/>
    <d v="2022-04-15T00:00:00"/>
    <d v="2022-07-21T00:00:00"/>
    <d v="2027-07-20T00:00:00"/>
    <m/>
    <m/>
  </r>
  <r>
    <s v="03510"/>
    <m/>
    <x v="179"/>
    <s v="Sénégal"/>
    <s v="AEHTR"/>
    <s v="Sl"/>
    <s v="Active"/>
    <s v="Thiès"/>
    <d v="2021-08-15T00:00:00"/>
    <d v="2022-05-23T00:00:00"/>
    <d v="2027-05-22T00:00:00"/>
    <m/>
    <m/>
  </r>
  <r>
    <s v="03511"/>
    <m/>
    <x v="180"/>
    <s v="Sénégal"/>
    <s v="AEHTR"/>
    <s v="Sl"/>
    <s v="Active"/>
    <s v="Thiès"/>
    <d v="2022-07-10T00:00:00"/>
    <d v="2022-08-05T00:00:00"/>
    <d v="2027-08-04T00:00:00"/>
    <m/>
    <m/>
  </r>
  <r>
    <s v="03512"/>
    <s v="Tomboronkoto"/>
    <x v="181"/>
    <s v="Sénégal"/>
    <s v="AECPP"/>
    <s v="basalte"/>
    <s v="Active"/>
    <s v="Kedougou"/>
    <d v="2022-07-28T00:00:00"/>
    <d v="2022-08-16T00:00:00"/>
    <d v="2027-08-15T00:00:00"/>
    <m/>
    <s v="28.1601 Ha"/>
  </r>
  <r>
    <s v="03514"/>
    <m/>
    <x v="182"/>
    <s v="Sénégal"/>
    <s v="AEHTR"/>
    <s v="Sl"/>
    <s v="Active"/>
    <s v="Thiès"/>
    <d v="2022-07-08T00:00:00"/>
    <d v="2022-07-05T00:00:00"/>
    <d v="2027-07-04T00:00:00"/>
    <m/>
    <m/>
  </r>
  <r>
    <s v="03515"/>
    <m/>
    <x v="183"/>
    <s v="Sénégal"/>
    <s v="AEHTR"/>
    <s v="Sl"/>
    <s v="Active"/>
    <s v="Thiès"/>
    <d v="2022-01-10T00:00:00"/>
    <d v="2022-08-23T00:00:00"/>
    <d v="2027-08-22T00:00:00"/>
    <m/>
    <m/>
  </r>
  <r>
    <s v="03518"/>
    <s v="Wassadou"/>
    <x v="63"/>
    <s v="Sénégal"/>
    <s v="AECPP"/>
    <s v="basalte"/>
    <s v="Active"/>
    <s v="Kedougou"/>
    <d v="2016-10-24T00:00:00"/>
    <d v="2022-07-05T00:00:00"/>
    <d v="2027-07-04T00:00:00"/>
    <m/>
    <s v="29.7500 Ha"/>
  </r>
  <r>
    <s v="03520"/>
    <s v="Tassette"/>
    <x v="184"/>
    <s v="Sénégal"/>
    <s v="AECPT"/>
    <s v="sable de dune"/>
    <s v="Renouvellement en Cours"/>
    <s v="Thiès"/>
    <d v="2022-02-22T00:00:00"/>
    <d v="2023-02-14T00:00:00"/>
    <d v="2024-02-13T00:00:00"/>
    <m/>
    <s v="1.7612 Ha"/>
  </r>
  <r>
    <s v="03525"/>
    <s v="KASSAGUIRI"/>
    <x v="185"/>
    <s v="Sénégal"/>
    <s v="PR"/>
    <s v="Au"/>
    <s v="Active"/>
    <s v="Kedougou"/>
    <d v="2022-08-18T00:00:00"/>
    <d v="2022-11-14T00:00:00"/>
    <d v="2026-11-13T00:00:00"/>
    <m/>
    <s v="72.1236 km²"/>
  </r>
  <r>
    <s v="03527"/>
    <m/>
    <x v="186"/>
    <s v="Sénégal"/>
    <s v="AEMSM"/>
    <s v="Au"/>
    <s v="Active"/>
    <s v="Kedougou"/>
    <d v="2022-09-08T00:00:00"/>
    <d v="2022-12-09T00:00:00"/>
    <d v="2025-12-08T00:00:00"/>
    <m/>
    <s v="49.7158 Ha"/>
  </r>
  <r>
    <s v="03529"/>
    <m/>
    <x v="187"/>
    <s v="Sénégal"/>
    <s v="AECPP"/>
    <s v="grès"/>
    <s v="Active"/>
    <s v="Thiès"/>
    <d v="2021-08-12T00:00:00"/>
    <d v="2022-09-07T00:00:00"/>
    <d v="2027-09-06T00:00:00"/>
    <m/>
    <s v="11.1452 Ha"/>
  </r>
  <r>
    <s v="03534"/>
    <m/>
    <x v="188"/>
    <s v="Sénégal"/>
    <s v="AEMSM"/>
    <s v="Au"/>
    <s v="Active"/>
    <s v="Kedougou"/>
    <d v="2022-10-06T00:00:00"/>
    <d v="2024-01-24T00:00:00"/>
    <d v="2027-01-23T00:00:00"/>
    <m/>
    <s v="49.1180 Ha"/>
  </r>
  <r>
    <s v="03556"/>
    <s v="Keur Martin"/>
    <x v="189"/>
    <s v="Sénégal"/>
    <s v="AECPT"/>
    <s v="sable de dune"/>
    <s v="Active"/>
    <s v="Fatick"/>
    <d v="2022-11-17T00:00:00"/>
    <d v="2022-12-13T00:00:00"/>
    <d v="2024-12-12T00:00:00"/>
    <d v="2023-12-13T00:00:00"/>
    <s v="6.5898 Ha"/>
  </r>
  <r>
    <s v="03559"/>
    <m/>
    <x v="190"/>
    <s v="Sénégal"/>
    <s v="AEHTR"/>
    <s v="Sl"/>
    <s v="Active"/>
    <s v="Thiès"/>
    <d v="2022-09-10T00:00:00"/>
    <d v="2022-11-07T00:00:00"/>
    <d v="2027-11-06T00:00:00"/>
    <m/>
    <m/>
  </r>
  <r>
    <s v="03560"/>
    <m/>
    <x v="191"/>
    <s v="Sénégal"/>
    <s v="AEHTR"/>
    <s v="Sl"/>
    <s v="Active"/>
    <s v="Thiès"/>
    <d v="2022-09-10T00:00:00"/>
    <d v="2022-11-08T00:00:00"/>
    <d v="2027-11-07T00:00:00"/>
    <m/>
    <m/>
  </r>
  <r>
    <s v="03563"/>
    <s v="KIDIRA"/>
    <x v="79"/>
    <s v="Sénégal"/>
    <s v="AECPP"/>
    <s v="basalte"/>
    <s v="Active"/>
    <s v="Tambacounda"/>
    <d v="2021-01-19T00:00:00"/>
    <d v="2022-10-28T00:00:00"/>
    <d v="2027-10-27T00:00:00"/>
    <m/>
    <s v="34.7200 Ha"/>
  </r>
  <r>
    <s v="03566"/>
    <m/>
    <x v="192"/>
    <s v="Sénégal"/>
    <s v="AEHTR"/>
    <s v="Sl"/>
    <s v="Active"/>
    <s v="Thiès"/>
    <d v="2022-11-03T00:00:00"/>
    <d v="2022-11-03T00:00:00"/>
    <d v="2027-11-02T00:00:00"/>
    <m/>
    <m/>
  </r>
  <r>
    <s v="03568"/>
    <s v="Kassagueri Est 2"/>
    <x v="185"/>
    <s v="Sénégal"/>
    <s v="AEMSM"/>
    <s v="Au"/>
    <s v="Active"/>
    <s v="Kedougou"/>
    <d v="2022-11-09T00:00:00"/>
    <d v="2022-11-25T00:00:00"/>
    <d v="2025-11-24T00:00:00"/>
    <m/>
    <s v="20.6629 Ha"/>
  </r>
  <r>
    <s v="03569"/>
    <s v="Kassagueri Est 1"/>
    <x v="185"/>
    <s v="Sénégal"/>
    <s v="AEMSM"/>
    <s v="Au"/>
    <s v="Active"/>
    <s v="Kedougou"/>
    <d v="2022-11-09T00:00:00"/>
    <d v="2022-11-25T00:00:00"/>
    <d v="2025-11-24T00:00:00"/>
    <m/>
    <s v="49.7025 Ha"/>
  </r>
  <r>
    <s v="03570"/>
    <m/>
    <x v="193"/>
    <s v="Sénégal"/>
    <s v="AEHTR"/>
    <s v="Sl"/>
    <s v="Active"/>
    <s v="Thiès"/>
    <d v="2022-11-15T00:00:00"/>
    <d v="2022-11-14T00:00:00"/>
    <d v="2027-11-13T00:00:00"/>
    <m/>
    <m/>
  </r>
  <r>
    <s v="03580"/>
    <m/>
    <x v="140"/>
    <s v="Sénégal"/>
    <s v="AEMSM"/>
    <s v="Au"/>
    <s v="Active"/>
    <s v="Kedougou"/>
    <d v="2022-12-07T00:00:00"/>
    <d v="2022-12-27T00:00:00"/>
    <d v="2025-12-26T00:00:00"/>
    <m/>
    <s v="49.6984 Ha"/>
  </r>
  <r>
    <s v="03581"/>
    <m/>
    <x v="140"/>
    <s v="Sénégal"/>
    <s v="AEMSM"/>
    <s v="Au"/>
    <s v="Active"/>
    <s v="Kedougou"/>
    <d v="2022-12-07T00:00:00"/>
    <d v="2022-12-13T00:00:00"/>
    <d v="2025-12-12T00:00:00"/>
    <m/>
    <s v="49.9018 Ha"/>
  </r>
  <r>
    <s v="03588"/>
    <s v="Bélé"/>
    <x v="194"/>
    <s v="Sénégal"/>
    <s v="AECPP"/>
    <s v="basalte"/>
    <s v="Active"/>
    <s v="Tambacounda"/>
    <d v="2021-03-29T00:00:00"/>
    <d v="2021-09-23T00:00:00"/>
    <d v="2026-09-22T00:00:00"/>
    <m/>
    <s v="17.7650 Ha"/>
  </r>
  <r>
    <s v="03604"/>
    <m/>
    <x v="14"/>
    <s v="Sénégal"/>
    <s v="AECPP"/>
    <s v="calcaire"/>
    <s v="Active"/>
    <s v="Thiès"/>
    <d v="2021-06-14T00:00:00"/>
    <d v="2021-07-06T00:00:00"/>
    <d v="2026-07-05T00:00:00"/>
    <m/>
    <s v="10.8836 Ha"/>
  </r>
  <r>
    <s v="03606"/>
    <m/>
    <x v="195"/>
    <s v="Sénégal"/>
    <s v="AEHTR"/>
    <s v="Sl"/>
    <s v="Active"/>
    <s v="Thiès"/>
    <d v="2021-07-05T00:00:00"/>
    <d v="2022-08-05T00:00:00"/>
    <d v="2027-08-04T00:00:00"/>
    <m/>
    <m/>
  </r>
  <r>
    <s v="03607"/>
    <m/>
    <x v="196"/>
    <s v="Sénégal"/>
    <s v="AECPP"/>
    <s v="basalte"/>
    <s v="Active"/>
    <s v="Kedougou"/>
    <d v="2018-01-31T00:00:00"/>
    <d v="2022-08-17T00:00:00"/>
    <d v="2027-08-16T00:00:00"/>
    <m/>
    <s v="20.3860 Ha"/>
  </r>
  <r>
    <s v="03608"/>
    <s v="GUETIE"/>
    <x v="197"/>
    <s v="Sénégal"/>
    <s v="PR"/>
    <s v="Cu"/>
    <s v="Active"/>
    <s v="Tambacounda"/>
    <d v="2020-10-23T00:00:00"/>
    <d v="2022-07-05T00:00:00"/>
    <d v="2026-07-05T00:00:00"/>
    <m/>
    <s v="95.0099 km²"/>
  </r>
  <r>
    <s v="03612"/>
    <s v="BEROLA BONDALA"/>
    <x v="198"/>
    <s v="Sénégal"/>
    <s v="PR"/>
    <s v="Au"/>
    <s v="Active"/>
    <s v="Kedougou"/>
    <d v="2018-10-04T00:00:00"/>
    <d v="2019-02-04T00:00:00"/>
    <d v="2026-02-03T00:00:00"/>
    <m/>
    <s v="42.5191 km²"/>
  </r>
  <r>
    <s v="03613"/>
    <m/>
    <x v="199"/>
    <s v="Sénégal"/>
    <s v="AEHTR"/>
    <s v="Sl"/>
    <s v="Active"/>
    <s v="Thiès"/>
    <d v="2022-08-27T00:00:00"/>
    <d v="2023-05-09T00:00:00"/>
    <d v="2028-05-08T00:00:00"/>
    <m/>
    <m/>
  </r>
  <r>
    <s v="03615"/>
    <m/>
    <x v="200"/>
    <s v="Sénégal"/>
    <s v="AECPP"/>
    <s v="basalte"/>
    <s v="Active"/>
    <s v="Kedougou"/>
    <d v="2019-03-28T00:00:00"/>
    <d v="2022-08-16T00:00:00"/>
    <d v="2027-08-15T00:00:00"/>
    <m/>
    <s v="30.0092 Ha"/>
  </r>
  <r>
    <s v="03616"/>
    <s v="ICS"/>
    <x v="201"/>
    <s v="Sénégal"/>
    <s v="AEHTR"/>
    <s v="Sl"/>
    <s v="Active"/>
    <s v="Thiès"/>
    <d v="2022-06-03T00:00:00"/>
    <d v="2022-11-14T00:00:00"/>
    <d v="2027-11-13T00:00:00"/>
    <m/>
    <m/>
  </r>
  <r>
    <s v="03618"/>
    <m/>
    <x v="140"/>
    <s v="Sénégal"/>
    <s v="AEMSM"/>
    <s v="Au"/>
    <s v="Active"/>
    <s v="Kedougou"/>
    <d v="2022-12-07T00:00:00"/>
    <d v="2022-12-13T00:00:00"/>
    <d v="2025-12-12T00:00:00"/>
    <m/>
    <s v="50.0000 Ha"/>
  </r>
  <r>
    <s v="03621"/>
    <m/>
    <x v="202"/>
    <s v="Sénégal"/>
    <s v="AEHTR"/>
    <s v="Sl"/>
    <s v="Active"/>
    <s v="Thiès"/>
    <d v="2022-12-10T00:00:00"/>
    <d v="2022-12-23T00:00:00"/>
    <d v="2027-12-22T00:00:00"/>
    <m/>
    <m/>
  </r>
  <r>
    <s v="03622"/>
    <m/>
    <x v="167"/>
    <s v="Sénégal"/>
    <s v="AEHTR"/>
    <s v="Sl"/>
    <s v="Active"/>
    <s v="Thiès"/>
    <d v="2022-11-05T00:00:00"/>
    <d v="2022-12-06T00:00:00"/>
    <d v="2027-12-05T00:00:00"/>
    <m/>
    <m/>
  </r>
  <r>
    <s v="03623"/>
    <m/>
    <x v="203"/>
    <s v="Sénégal"/>
    <s v="AEHTR"/>
    <s v="Sl"/>
    <s v="Active"/>
    <s v="Thiès"/>
    <d v="2022-12-03T00:00:00"/>
    <d v="2023-01-04T00:00:00"/>
    <d v="2028-01-03T00:00:00"/>
    <m/>
    <m/>
  </r>
  <r>
    <s v="03626"/>
    <m/>
    <x v="204"/>
    <s v="Sénégal"/>
    <s v="AEHTR"/>
    <s v="Sl"/>
    <s v="Active"/>
    <s v="Thiès"/>
    <d v="2022-12-16T00:00:00"/>
    <d v="2022-12-23T00:00:00"/>
    <d v="2027-12-22T00:00:00"/>
    <m/>
    <m/>
  </r>
  <r>
    <s v="03630"/>
    <s v="Moussala_Bloc 1"/>
    <x v="205"/>
    <s v="Sénégal"/>
    <s v="AEMSM"/>
    <s v="Au"/>
    <s v="Active"/>
    <s v="Kedougou"/>
    <d v="2023-01-16T00:00:00"/>
    <d v="2023-04-25T00:00:00"/>
    <d v="2026-04-24T00:00:00"/>
    <m/>
    <s v="48.4081 Ha"/>
  </r>
  <r>
    <s v="03632"/>
    <s v="Moussala_Bloc 2"/>
    <x v="205"/>
    <s v="Sénégal"/>
    <s v="AEMSM"/>
    <s v="Au"/>
    <s v="Active"/>
    <s v="Kedougou"/>
    <d v="2023-01-16T00:00:00"/>
    <d v="2023-02-02T00:00:00"/>
    <d v="2026-02-01T00:00:00"/>
    <m/>
    <s v="48.0048 Ha"/>
  </r>
  <r>
    <s v="03634"/>
    <s v="SARAYA"/>
    <x v="125"/>
    <s v="Sénégal"/>
    <s v="PR"/>
    <s v="Au"/>
    <s v="Active"/>
    <s v="Kedougou"/>
    <d v="2022-09-29T00:00:00"/>
    <d v="2023-02-01T00:00:00"/>
    <d v="2027-01-31T00:00:00"/>
    <m/>
    <s v="56.5004 km²"/>
  </r>
  <r>
    <s v="03636"/>
    <m/>
    <x v="206"/>
    <s v="Sénégal"/>
    <s v="AEPM"/>
    <s v="Au"/>
    <s v="Active"/>
    <s v="Kedougou"/>
    <d v="2022-09-13T00:00:00"/>
    <d v="2022-09-16T00:00:00"/>
    <d v="2027-09-15T00:00:00"/>
    <m/>
    <s v="491.9114 Ha"/>
  </r>
  <r>
    <s v="03641"/>
    <m/>
    <x v="207"/>
    <s v="Sénégal"/>
    <s v="AEMSM"/>
    <s v="Au"/>
    <s v="Active"/>
    <s v="Kedougou"/>
    <d v="2022-10-27T00:00:00"/>
    <d v="2023-03-21T00:00:00"/>
    <d v="2026-03-20T00:00:00"/>
    <m/>
    <s v="33.5839 Ha"/>
  </r>
  <r>
    <s v="03643"/>
    <s v="kédougou"/>
    <x v="156"/>
    <s v="Sénégal"/>
    <s v="AECPP"/>
    <s v="basalte"/>
    <s v="Active"/>
    <s v="Kedougou"/>
    <d v="2022-06-03T00:00:00"/>
    <d v="2022-12-09T00:00:00"/>
    <d v="2027-12-08T00:00:00"/>
    <m/>
    <s v="21.6426 Ha"/>
  </r>
  <r>
    <s v="03646"/>
    <m/>
    <x v="208"/>
    <s v="Sénégal"/>
    <s v="AEHTR"/>
    <s v="sable de dune"/>
    <s v="Active"/>
    <s v="Thiès"/>
    <d v="2019-09-30T00:00:00"/>
    <d v="2019-12-13T00:00:00"/>
    <d v="2024-12-12T00:00:00"/>
    <m/>
    <m/>
  </r>
  <r>
    <s v="03648"/>
    <m/>
    <x v="133"/>
    <s v="Sénégal"/>
    <s v="AECPP"/>
    <s v="basalte"/>
    <s v="Active"/>
    <s v="Thiès"/>
    <d v="2022-11-17T00:00:00"/>
    <d v="2022-11-25T00:00:00"/>
    <d v="2027-11-24T00:00:00"/>
    <m/>
    <s v="35.9712 Ha"/>
  </r>
  <r>
    <s v="03649"/>
    <s v="Ylimalo"/>
    <x v="86"/>
    <s v="Sénégal"/>
    <s v="AEPM"/>
    <s v="Li"/>
    <s v="Active"/>
    <s v="Kedougou"/>
    <d v="2022-08-23T00:00:00"/>
    <d v="2022-08-24T00:00:00"/>
    <d v="2027-08-23T00:00:00"/>
    <m/>
    <s v="498.1406 Ha"/>
  </r>
  <r>
    <s v="03651"/>
    <s v="ABENE"/>
    <x v="209"/>
    <s v="Sénégal"/>
    <s v="AEPM"/>
    <s v="ML"/>
    <s v="Active"/>
    <s v="Ziguinchor"/>
    <d v="2023-02-13T00:00:00"/>
    <d v="2023-02-20T00:00:00"/>
    <d v="2028-02-19T00:00:00"/>
    <m/>
    <s v="121.2642 Ha"/>
  </r>
  <r>
    <s v="03653"/>
    <s v="FODE BINEYA"/>
    <x v="210"/>
    <s v="Sénégal"/>
    <s v="PR"/>
    <s v="Li"/>
    <s v="Active"/>
    <s v="Kedougou"/>
    <d v="2022-12-20T00:00:00"/>
    <d v="2023-01-24T00:00:00"/>
    <d v="2027-01-23T00:00:00"/>
    <m/>
    <s v="308.7705 km²"/>
  </r>
  <r>
    <s v="03654"/>
    <s v="MAYO"/>
    <x v="210"/>
    <s v="Sénégal"/>
    <s v="PR"/>
    <s v="Li"/>
    <s v="Active"/>
    <s v="Tambacounda"/>
    <d v="2022-12-21T00:00:00"/>
    <d v="2023-01-24T00:00:00"/>
    <d v="2027-01-23T00:00:00"/>
    <m/>
    <s v="1,904.7880 km²"/>
  </r>
  <r>
    <s v="03658"/>
    <s v="périmètre 2"/>
    <x v="140"/>
    <s v="Sénégal"/>
    <s v="AEMSM"/>
    <s v="Au"/>
    <s v="Active"/>
    <s v="Kedougou"/>
    <d v="2023-02-15T00:00:00"/>
    <d v="2023-04-12T00:00:00"/>
    <d v="2026-04-11T00:00:00"/>
    <m/>
    <s v="35.4414 Ha"/>
  </r>
  <r>
    <s v="03659"/>
    <s v="périmètre 3"/>
    <x v="140"/>
    <s v="Sénégal"/>
    <s v="AEMSM"/>
    <s v="Au"/>
    <s v="Active"/>
    <s v="Kedougou"/>
    <d v="2023-02-15T00:00:00"/>
    <d v="2023-04-12T00:00:00"/>
    <d v="2026-04-11T00:00:00"/>
    <m/>
    <s v="44.3000 Ha"/>
  </r>
  <r>
    <s v="03660"/>
    <s v="Thiokoye"/>
    <x v="211"/>
    <s v="Sénégal"/>
    <s v="AEMSM"/>
    <s v="Au"/>
    <s v="Active"/>
    <s v="Kedougou"/>
    <d v="2021-11-29T00:00:00"/>
    <d v="2023-04-25T00:00:00"/>
    <d v="2026-04-24T00:00:00"/>
    <m/>
    <s v="49.8525 Ha"/>
  </r>
  <r>
    <s v="03666"/>
    <m/>
    <x v="212"/>
    <s v="Sénégal"/>
    <s v="AEHTR"/>
    <s v="Sl"/>
    <s v="Active"/>
    <s v="Thiès"/>
    <d v="2019-08-25T00:00:00"/>
    <d v="2020-01-24T00:00:00"/>
    <d v="2025-01-23T00:00:00"/>
    <m/>
    <m/>
  </r>
  <r>
    <s v="03669"/>
    <s v="Périmètre 1"/>
    <x v="140"/>
    <s v="Sénégal"/>
    <s v="AEMSM"/>
    <s v="Au"/>
    <s v="Active"/>
    <s v="Kedougou"/>
    <d v="2023-02-15T00:00:00"/>
    <d v="2023-04-12T00:00:00"/>
    <d v="2026-04-11T00:00:00"/>
    <m/>
    <s v="49.8270 Ha"/>
  </r>
  <r>
    <s v="03670"/>
    <s v="Bantako koto2"/>
    <x v="213"/>
    <s v="Sénégal"/>
    <s v="AEMSM"/>
    <s v="Au"/>
    <s v="Active"/>
    <s v="Kedougou"/>
    <d v="2020-06-23T00:00:00"/>
    <d v="2022-06-07T00:00:00"/>
    <d v="2025-06-06T00:00:00"/>
    <m/>
    <s v="37.0954 Ha"/>
  </r>
  <r>
    <s v="03672"/>
    <m/>
    <x v="214"/>
    <s v="Sénégal"/>
    <s v="AEHTR"/>
    <s v="Sl"/>
    <s v="Active"/>
    <s v="Thiès"/>
    <d v="2022-09-30T00:00:00"/>
    <d v="2023-01-31T00:00:00"/>
    <d v="2028-01-30T00:00:00"/>
    <m/>
    <m/>
  </r>
  <r>
    <s v="03674"/>
    <s v="Souroukoto Sud 2"/>
    <x v="99"/>
    <s v="Sénégal"/>
    <s v="AEMSM"/>
    <s v="Au"/>
    <s v="Active"/>
    <s v="Kedougou"/>
    <d v="2023-01-12T00:00:00"/>
    <d v="2023-03-06T00:00:00"/>
    <d v="2026-03-05T00:00:00"/>
    <m/>
    <s v="33.8980 Ha"/>
  </r>
  <r>
    <s v="03675"/>
    <s v="Souroukoto Nord"/>
    <x v="99"/>
    <s v="Sénégal"/>
    <s v="AEMSM"/>
    <s v="Au"/>
    <s v="Active"/>
    <s v="Kedougou"/>
    <d v="2022-12-16T00:00:00"/>
    <d v="2023-03-06T00:00:00"/>
    <d v="2026-03-05T00:00:00"/>
    <m/>
    <s v="39.3631 Ha"/>
  </r>
  <r>
    <s v="03676"/>
    <m/>
    <x v="215"/>
    <s v="Sénégal"/>
    <s v="AEHTR"/>
    <s v="Sl"/>
    <s v="Active"/>
    <s v="Thiès"/>
    <d v="2022-03-20T00:00:00"/>
    <d v="2023-01-04T00:00:00"/>
    <d v="2028-01-03T00:00:00"/>
    <m/>
    <m/>
  </r>
  <r>
    <s v="03677"/>
    <m/>
    <x v="216"/>
    <s v="Sénégal"/>
    <s v="AEMSM"/>
    <s v="Au"/>
    <s v="Active"/>
    <s v="Kedougou"/>
    <d v="2023-02-08T00:00:00"/>
    <d v="2023-03-15T00:00:00"/>
    <d v="2026-03-14T00:00:00"/>
    <m/>
    <s v="17.5559 Ha"/>
  </r>
  <r>
    <s v="03683"/>
    <s v="Wassangara-moussala"/>
    <x v="217"/>
    <s v="Sénégal"/>
    <s v="AEMSM"/>
    <s v="Au"/>
    <s v="Active"/>
    <s v="Kedougou"/>
    <d v="2020-07-07T00:00:00"/>
    <d v="2023-06-26T00:00:00"/>
    <d v="2026-06-25T00:00:00"/>
    <m/>
    <s v="49.2256 Ha"/>
  </r>
  <r>
    <s v="03691"/>
    <s v="Bandia"/>
    <x v="218"/>
    <s v="Sénégal"/>
    <s v="PR"/>
    <s v="calcaire"/>
    <s v="Active"/>
    <s v="Thiès"/>
    <d v="2022-12-09T00:00:00"/>
    <d v="2023-02-17T00:00:00"/>
    <d v="2027-02-16T00:00:00"/>
    <m/>
    <s v="1.7760 km²"/>
  </r>
  <r>
    <s v="03693"/>
    <s v="diakhaba 1"/>
    <x v="219"/>
    <s v="Sénégal"/>
    <s v="AEMSM"/>
    <s v="Au"/>
    <s v="Active"/>
    <s v="Kedougou"/>
    <d v="2023-03-21T00:00:00"/>
    <d v="2023-04-25T00:00:00"/>
    <d v="2026-04-24T00:00:00"/>
    <m/>
    <s v="49.7306 Ha"/>
  </r>
  <r>
    <s v="03694"/>
    <s v="Diakhaba 2"/>
    <x v="220"/>
    <s v="Sénégal"/>
    <s v="AEMSM"/>
    <s v="Au"/>
    <s v="Active"/>
    <s v="Kedougou"/>
    <d v="2023-03-21T00:00:00"/>
    <d v="2023-04-25T00:00:00"/>
    <d v="2026-04-24T00:00:00"/>
    <m/>
    <s v="49.9641 Ha"/>
  </r>
  <r>
    <s v="03697"/>
    <m/>
    <x v="156"/>
    <s v="Sénégal"/>
    <s v="AEPM"/>
    <s v="Au"/>
    <s v="Active"/>
    <s v="Kedougou"/>
    <d v="2022-07-25T00:00:00"/>
    <d v="2022-08-16T00:00:00"/>
    <d v="2027-08-15T00:00:00"/>
    <m/>
    <s v="4.9540 km²"/>
  </r>
  <r>
    <s v="03702"/>
    <s v="Matam-Nord"/>
    <x v="221"/>
    <s v="Sénégal"/>
    <s v="PR"/>
    <s v="phosphate de chaux"/>
    <s v="Active"/>
    <s v="Matam"/>
    <d v="2022-05-11T00:00:00"/>
    <d v="2023-02-01T00:00:00"/>
    <d v="2027-01-31T00:00:00"/>
    <m/>
    <s v="280.0357 km²"/>
  </r>
  <r>
    <s v="03703"/>
    <s v="FANDING"/>
    <x v="222"/>
    <s v="Sénégal"/>
    <s v="AEMSM"/>
    <s v="Au"/>
    <s v="Renouvellement en Cours"/>
    <s v="Kedougou"/>
    <d v="2017-06-21T00:00:00"/>
    <d v="2018-03-20T00:00:00"/>
    <d v="2021-03-19T00:00:00"/>
    <m/>
    <s v="48.6500 Ha"/>
  </r>
  <r>
    <s v="03708"/>
    <s v="Madina kénioto"/>
    <x v="223"/>
    <s v="Sénégal"/>
    <s v="AEMSM"/>
    <s v="Au"/>
    <s v="Active"/>
    <s v="Kedougou"/>
    <d v="2023-03-14T00:00:00"/>
    <d v="2023-05-24T00:00:00"/>
    <d v="2026-05-23T00:00:00"/>
    <m/>
    <s v="49.4500 Ha"/>
  </r>
  <r>
    <s v="03709"/>
    <s v="Ouest Douta"/>
    <x v="224"/>
    <s v="Sénégal"/>
    <s v="PR"/>
    <s v="Au"/>
    <s v="Active"/>
    <s v="Kedougou"/>
    <d v="2022-03-28T00:00:00"/>
    <d v="2023-02-20T00:00:00"/>
    <d v="2027-02-19T00:00:00"/>
    <m/>
    <s v="106.0213 km²"/>
  </r>
  <r>
    <s v="03713"/>
    <s v="Périmètre 2"/>
    <x v="225"/>
    <s v="Sénégal"/>
    <s v="AEMSM"/>
    <s v="Au"/>
    <s v="Active"/>
    <s v="Kedougou"/>
    <d v="2023-03-28T00:00:00"/>
    <d v="2023-04-14T00:00:00"/>
    <d v="2026-04-13T00:00:00"/>
    <m/>
    <s v="49.9646 Ha"/>
  </r>
  <r>
    <s v="03714"/>
    <s v="Diakhaba"/>
    <x v="226"/>
    <s v="Sénégal"/>
    <s v="AEMSM"/>
    <s v="Au"/>
    <s v="Active"/>
    <s v="Kedougou"/>
    <d v="2022-11-02T00:00:00"/>
    <d v="2024-03-06T00:00:00"/>
    <d v="2027-03-05T00:00:00"/>
    <m/>
    <s v="50.0000 Ha"/>
  </r>
  <r>
    <s v="03720"/>
    <s v="BOUSANKHOBA"/>
    <x v="227"/>
    <s v="Sénégal"/>
    <s v="PR"/>
    <s v="Au"/>
    <s v="Active"/>
    <s v="Kedougou"/>
    <d v="2022-09-27T00:00:00"/>
    <d v="2023-02-02T00:00:00"/>
    <d v="2027-02-01T00:00:00"/>
    <m/>
    <s v="374.0005 km²"/>
  </r>
  <r>
    <s v="03721"/>
    <s v="BAYTILAYE 2"/>
    <x v="228"/>
    <s v="Sénégal"/>
    <s v="PR"/>
    <s v="Au"/>
    <s v="Active"/>
    <s v="Kedougou"/>
    <d v="2022-11-22T00:00:00"/>
    <d v="2023-09-26T00:00:00"/>
    <d v="2027-09-25T00:00:00"/>
    <m/>
    <s v="24.4200 km²"/>
  </r>
  <r>
    <s v="03725"/>
    <m/>
    <x v="229"/>
    <s v="Sénégal"/>
    <s v="AEMSM"/>
    <s v="Au"/>
    <s v="Active"/>
    <s v="Kedougou"/>
    <d v="2023-04-13T00:00:00"/>
    <d v="2023-05-09T00:00:00"/>
    <d v="2026-05-08T00:00:00"/>
    <m/>
    <s v="49.9233 Ha"/>
  </r>
  <r>
    <s v="03738"/>
    <s v="Sud Sayara"/>
    <x v="230"/>
    <s v="Sénégal"/>
    <s v="PR"/>
    <s v="Li"/>
    <s v="Active"/>
    <s v="Kedougou"/>
    <d v="2023-03-20T00:00:00"/>
    <d v="2023-05-24T00:00:00"/>
    <d v="2027-05-23T00:00:00"/>
    <m/>
    <s v="1,121.2027 km²"/>
  </r>
  <r>
    <s v="03743"/>
    <s v="LAMINIA"/>
    <x v="104"/>
    <s v="Sénégal"/>
    <s v="AEPM"/>
    <s v="Au"/>
    <s v="Active"/>
    <s v="Tambacounda"/>
    <d v="2022-08-22T00:00:00"/>
    <d v="2023-04-12T00:00:00"/>
    <d v="2028-04-11T00:00:00"/>
    <m/>
    <s v="5.0000 km²"/>
  </r>
  <r>
    <s v="03746"/>
    <m/>
    <x v="231"/>
    <s v="Sénégal"/>
    <s v="AEMSM"/>
    <s v="Au"/>
    <s v="Active"/>
    <s v="Kedougou"/>
    <d v="2023-03-01T00:00:00"/>
    <d v="2023-06-26T00:00:00"/>
    <d v="2026-06-25T00:00:00"/>
    <m/>
    <s v="49.9065 Ha"/>
  </r>
  <r>
    <s v="03751"/>
    <s v="Périmètre 3"/>
    <x v="232"/>
    <s v="Sénégal"/>
    <s v="AEMSM"/>
    <s v="Au"/>
    <s v="Active"/>
    <s v="Kedougou"/>
    <d v="2023-04-13T00:00:00"/>
    <d v="2023-06-13T00:00:00"/>
    <d v="2026-06-12T00:00:00"/>
    <m/>
    <s v="38.7250 Ha"/>
  </r>
  <r>
    <s v="03755"/>
    <m/>
    <x v="233"/>
    <s v="Sénégal"/>
    <s v="AEMSM"/>
    <s v="Au"/>
    <s v="Active"/>
    <s v="Kedougou"/>
    <d v="2023-02-03T00:00:00"/>
    <d v="2023-04-25T00:00:00"/>
    <d v="2026-04-24T00:00:00"/>
    <m/>
    <s v="49.3680 Ha"/>
  </r>
  <r>
    <s v="03756"/>
    <s v="Madina kénioto"/>
    <x v="183"/>
    <s v="Sénégal"/>
    <s v="AEMSM"/>
    <s v="Au"/>
    <s v="Active"/>
    <s v="Kedougou"/>
    <d v="2023-05-03T00:00:00"/>
    <d v="2023-06-20T00:00:00"/>
    <d v="2026-06-19T00:00:00"/>
    <m/>
    <s v="49.2075 Ha"/>
  </r>
  <r>
    <s v="03766"/>
    <m/>
    <x v="234"/>
    <s v="Sénégal"/>
    <s v="AEPM"/>
    <s v="Au"/>
    <s v="Active"/>
    <s v="Kedougou"/>
    <d v="2023-04-27T00:00:00"/>
    <d v="2024-05-19T00:00:00"/>
    <d v="2029-05-18T00:00:00"/>
    <m/>
    <s v="4.9879 km²"/>
  </r>
  <r>
    <s v="03769"/>
    <s v="ouest-Baitilaye"/>
    <x v="235"/>
    <s v="Sénégal"/>
    <s v="AEMSM"/>
    <s v="Au"/>
    <s v="Active"/>
    <s v="Kedougou"/>
    <d v="2023-05-16T00:00:00"/>
    <d v="2024-05-24T00:00:00"/>
    <d v="2027-05-23T00:00:00"/>
    <m/>
    <s v="50.0000 Ha"/>
  </r>
  <r>
    <s v="03772"/>
    <s v="THOR"/>
    <x v="236"/>
    <s v="Sénégal"/>
    <s v="PR"/>
    <s v="gypse"/>
    <s v="Active"/>
    <s v="Thiès"/>
    <d v="2021-08-13T00:00:00"/>
    <d v="2021-08-25T00:00:00"/>
    <d v="2025-08-24T00:00:00"/>
    <m/>
    <s v="4.9790 km²"/>
  </r>
  <r>
    <s v="03777"/>
    <s v="Dioubeba"/>
    <x v="237"/>
    <s v="Sénégal"/>
    <s v="AEMSM"/>
    <s v="Au"/>
    <s v="Active"/>
    <s v="Tambacounda"/>
    <d v="2023-05-25T00:00:00"/>
    <d v="2023-07-10T00:00:00"/>
    <d v="2026-07-09T00:00:00"/>
    <m/>
    <s v="48.1012 Ha"/>
  </r>
  <r>
    <s v="03785"/>
    <m/>
    <x v="238"/>
    <s v="Sénégal"/>
    <s v="AEMSM"/>
    <s v="Au"/>
    <s v="Active"/>
    <s v="Kedougou"/>
    <d v="2023-06-06T00:00:00"/>
    <d v="2023-06-13T00:00:00"/>
    <d v="2026-06-12T00:00:00"/>
    <m/>
    <s v="49.6480 Ha"/>
  </r>
  <r>
    <s v="03786"/>
    <s v="LEOBA"/>
    <x v="239"/>
    <s v="Sénégal"/>
    <s v="PR"/>
    <s v="Au"/>
    <s v="Active"/>
    <s v="Tambacounda"/>
    <d v="2023-03-13T00:00:00"/>
    <d v="2023-09-26T00:00:00"/>
    <d v="2027-09-25T00:00:00"/>
    <m/>
    <s v="92.2886 km²"/>
  </r>
  <r>
    <s v="03789"/>
    <m/>
    <x v="240"/>
    <s v="Sénégal"/>
    <s v="AEMSM"/>
    <s v="Au"/>
    <s v="Active"/>
    <s v="Kedougou"/>
    <d v="2023-05-16T00:00:00"/>
    <d v="2023-05-24T00:00:00"/>
    <d v="2026-05-23T00:00:00"/>
    <m/>
    <s v="19.2214 Ha"/>
  </r>
  <r>
    <s v="03790"/>
    <s v="SUD SARAYA"/>
    <x v="241"/>
    <s v="Sénégal"/>
    <s v="PR"/>
    <s v="Li"/>
    <s v="Active"/>
    <s v="Kedougou"/>
    <d v="2023-04-17T00:00:00"/>
    <d v="2023-05-24T00:00:00"/>
    <d v="2027-05-23T00:00:00"/>
    <m/>
    <s v="617.4641 km²"/>
  </r>
  <r>
    <s v="03791"/>
    <s v="NDENDORY"/>
    <x v="242"/>
    <s v="Sénégal"/>
    <s v="AEPM"/>
    <s v="phosphate de chaux"/>
    <s v="Active"/>
    <s v="Matam"/>
    <d v="2021-07-15T00:00:00"/>
    <d v="2022-02-02T00:00:00"/>
    <d v="2027-02-01T00:00:00"/>
    <m/>
    <s v="83.3000 Ha"/>
  </r>
  <r>
    <s v="03802"/>
    <m/>
    <x v="243"/>
    <s v="Sénégal"/>
    <s v="AECPP"/>
    <s v="basalte"/>
    <s v="Active"/>
    <s v="Thiès"/>
    <d v="2023-05-09T00:00:00"/>
    <d v="2023-05-19T00:00:00"/>
    <d v="2028-05-18T00:00:00"/>
    <m/>
    <s v="40.1464 Ha"/>
  </r>
  <r>
    <s v="03806"/>
    <s v="DIADIAKO"/>
    <x v="244"/>
    <s v="Sénégal"/>
    <s v="PR"/>
    <s v="Au"/>
    <s v="Active"/>
    <s v="Kedougou"/>
    <d v="2023-06-06T00:00:00"/>
    <d v="2023-07-05T00:00:00"/>
    <d v="2027-07-04T00:00:00"/>
    <m/>
    <s v="63.6656 km²"/>
  </r>
  <r>
    <s v="03822"/>
    <s v="Koussola"/>
    <x v="245"/>
    <s v="Sénégal"/>
    <s v="PR"/>
    <s v="Au"/>
    <s v="Active"/>
    <s v="Kedougou"/>
    <d v="2022-05-10T00:00:00"/>
    <d v="2023-07-06T00:00:00"/>
    <d v="2027-07-05T00:00:00"/>
    <m/>
    <s v="74.3119 km²"/>
  </r>
  <r>
    <s v="03824"/>
    <m/>
    <x v="27"/>
    <s v="Sénégal"/>
    <s v="PR"/>
    <s v="ML"/>
    <s v="Active"/>
    <s v="Saint Louis"/>
    <d v="2022-09-27T00:00:00"/>
    <d v="2023-07-05T00:00:00"/>
    <d v="2027-07-04T00:00:00"/>
    <m/>
    <s v="79.5969 km²"/>
  </r>
  <r>
    <s v="03831"/>
    <m/>
    <x v="79"/>
    <s v="Sénégal"/>
    <s v="AECPP"/>
    <s v="basalte"/>
    <s v="Active"/>
    <s v="Thiès"/>
    <d v="2023-06-08T00:00:00"/>
    <d v="2023-09-15T00:00:00"/>
    <d v="2028-09-14T00:00:00"/>
    <m/>
    <s v="30.0634 Ha"/>
  </r>
  <r>
    <s v="03836"/>
    <s v="POUT"/>
    <x v="246"/>
    <s v="Sénégal"/>
    <s v="PE"/>
    <s v="calcaire, substance connexes"/>
    <s v="Active"/>
    <s v="Thiès"/>
    <d v="2022-03-20T00:00:00"/>
    <d v="2022-05-31T00:00:00"/>
    <d v="2042-05-30T00:00:00"/>
    <m/>
    <s v="8.5900 km²"/>
  </r>
  <r>
    <s v="03840"/>
    <m/>
    <x v="247"/>
    <s v="Sénégal"/>
    <s v="AEHTR"/>
    <s v="Sl"/>
    <s v="Active"/>
    <s v="Thiès"/>
    <d v="2023-05-15T00:00:00"/>
    <d v="2023-06-13T00:00:00"/>
    <d v="2028-06-12T00:00:00"/>
    <m/>
    <m/>
  </r>
  <r>
    <s v="03841"/>
    <m/>
    <x v="248"/>
    <s v="Sénégal"/>
    <s v="AEHTR"/>
    <s v="Sl"/>
    <s v="Active"/>
    <s v="Thiès"/>
    <d v="2023-05-17T00:00:00"/>
    <d v="2023-06-13T00:00:00"/>
    <d v="2028-06-12T00:00:00"/>
    <m/>
    <m/>
  </r>
  <r>
    <s v="03843"/>
    <m/>
    <x v="249"/>
    <s v="Sénégal"/>
    <s v="AEHTR"/>
    <s v="Sl"/>
    <s v="Active"/>
    <s v="Thiès"/>
    <d v="2023-06-25T00:00:00"/>
    <d v="2023-07-10T00:00:00"/>
    <d v="2028-07-09T00:00:00"/>
    <m/>
    <m/>
  </r>
  <r>
    <s v="03847"/>
    <s v="Karakeana"/>
    <x v="250"/>
    <s v="Sénégal"/>
    <s v="PR"/>
    <s v="diamant"/>
    <s v="Active"/>
    <s v="Kedougou"/>
    <d v="2022-08-17T00:00:00"/>
    <d v="2023-07-10T00:00:00"/>
    <d v="2027-07-09T00:00:00"/>
    <m/>
    <s v="481.0746 km²"/>
  </r>
  <r>
    <s v="03848"/>
    <m/>
    <x v="251"/>
    <s v="Sénégal"/>
    <s v="AECPP"/>
    <s v="calcaire"/>
    <s v="Active"/>
    <s v="Thiès"/>
    <d v="2023-06-15T00:00:00"/>
    <d v="2023-06-26T00:00:00"/>
    <d v="2028-06-25T00:00:00"/>
    <m/>
    <s v="50.0507 Ha"/>
  </r>
  <r>
    <s v="03849"/>
    <m/>
    <x v="252"/>
    <s v="Sénégal"/>
    <s v="AECPP"/>
    <s v="calcaire"/>
    <s v="Active"/>
    <s v="Thiès"/>
    <d v="2023-04-25T00:00:00"/>
    <d v="2023-06-27T00:00:00"/>
    <d v="2028-06-26T00:00:00"/>
    <m/>
    <s v="25.0535 Ha"/>
  </r>
  <r>
    <s v="03855"/>
    <s v="Kéniéba"/>
    <x v="253"/>
    <s v="Sénégal"/>
    <s v="AEPM"/>
    <s v="Au"/>
    <s v="Active"/>
    <s v="Tambacounda"/>
    <d v="2023-06-21T00:00:00"/>
    <d v="2023-08-07T00:00:00"/>
    <d v="2028-08-06T00:00:00"/>
    <m/>
    <s v="4.9545 km²"/>
  </r>
  <r>
    <s v="03857"/>
    <m/>
    <x v="254"/>
    <s v="Sénégal"/>
    <s v="AEMSM"/>
    <s v="Au"/>
    <s v="Active"/>
    <s v="Kedougou"/>
    <d v="2023-07-19T00:00:00"/>
    <d v="2024-02-07T00:00:00"/>
    <d v="2027-02-06T00:00:00"/>
    <m/>
    <s v="47.4948 Ha"/>
  </r>
  <r>
    <s v="03864"/>
    <s v="Périmètre 2"/>
    <x v="255"/>
    <s v="Sénégal"/>
    <s v="AEMSM"/>
    <s v="Au"/>
    <s v="Active"/>
    <s v="Kedougou"/>
    <d v="2023-08-14T00:00:00"/>
    <d v="2023-09-25T00:00:00"/>
    <d v="2026-09-24T00:00:00"/>
    <m/>
    <s v="43.9332 Ha"/>
  </r>
  <r>
    <s v="03868"/>
    <s v="Tambanoumya"/>
    <x v="256"/>
    <s v="Sénégal"/>
    <s v="AEMSM"/>
    <s v="Au"/>
    <s v="Active"/>
    <s v="Kedougou"/>
    <d v="2023-06-15T00:00:00"/>
    <d v="2023-07-27T00:00:00"/>
    <d v="2026-07-26T00:00:00"/>
    <m/>
    <s v="49.4441 Ha"/>
  </r>
  <r>
    <s v="03873"/>
    <m/>
    <x v="257"/>
    <s v="Sénégal"/>
    <s v="AEMSM"/>
    <s v="Au"/>
    <s v="Active"/>
    <s v="Tambacounda"/>
    <d v="2023-07-13T00:00:00"/>
    <d v="2023-08-31T00:00:00"/>
    <d v="2026-08-30T00:00:00"/>
    <m/>
    <s v="49.9468 Ha"/>
  </r>
  <r>
    <s v="03876"/>
    <m/>
    <x v="258"/>
    <s v="Sénégal"/>
    <s v="AEMSM"/>
    <s v="Au"/>
    <s v="Active"/>
    <s v="Kedougou"/>
    <d v="2023-09-14T00:00:00"/>
    <d v="2024-01-08T00:00:00"/>
    <d v="2027-01-07T00:00:00"/>
    <m/>
    <s v="49.9781 Ha"/>
  </r>
  <r>
    <s v="03879"/>
    <m/>
    <x v="259"/>
    <s v="Sénégal"/>
    <s v="AECPP"/>
    <s v="basalte"/>
    <s v="Active"/>
    <s v="Thiès"/>
    <d v="2023-05-15T00:00:00"/>
    <d v="2023-08-31T00:00:00"/>
    <d v="2028-08-30T00:00:00"/>
    <m/>
    <s v="23.6095 Ha"/>
  </r>
  <r>
    <s v="03880"/>
    <m/>
    <x v="133"/>
    <s v="Sénégal"/>
    <s v="AECPP"/>
    <s v="basalte"/>
    <s v="Active"/>
    <s v="Thiès"/>
    <d v="2023-08-16T00:00:00"/>
    <d v="2023-09-15T00:00:00"/>
    <d v="2028-09-14T00:00:00"/>
    <m/>
    <s v="43.7750 Ha"/>
  </r>
  <r>
    <s v="03881"/>
    <m/>
    <x v="260"/>
    <s v="Sénégal"/>
    <s v="AECPP"/>
    <s v="basalte"/>
    <s v="Active"/>
    <s v="Thiès"/>
    <d v="2023-06-26T00:00:00"/>
    <d v="2023-09-15T00:00:00"/>
    <d v="2028-09-14T00:00:00"/>
    <m/>
    <s v="54.4320 Ha"/>
  </r>
  <r>
    <s v="03894"/>
    <s v="missirah sirimana"/>
    <x v="261"/>
    <s v="Sénégal"/>
    <s v="AEMSM"/>
    <s v="Au"/>
    <s v="Active"/>
    <s v="Kedougou"/>
    <d v="2023-05-12T00:00:00"/>
    <d v="2023-06-06T00:00:00"/>
    <d v="2026-06-05T00:00:00"/>
    <m/>
    <s v="45.8203 Ha"/>
  </r>
  <r>
    <s v="03898"/>
    <m/>
    <x v="262"/>
    <s v="Sénégal"/>
    <s v="AEHTR"/>
    <s v="Sl"/>
    <s v="Active"/>
    <s v="Thiès"/>
    <d v="2023-07-17T00:00:00"/>
    <d v="2023-08-31T00:00:00"/>
    <d v="2028-08-30T00:00:00"/>
    <m/>
    <m/>
  </r>
  <r>
    <s v="03900"/>
    <m/>
    <x v="263"/>
    <s v="Sénégal"/>
    <s v="AEHTR"/>
    <s v="Sl"/>
    <s v="Active"/>
    <s v="Thiès"/>
    <d v="2023-06-20T00:00:00"/>
    <d v="2023-08-07T00:00:00"/>
    <d v="2028-08-06T00:00:00"/>
    <m/>
    <m/>
  </r>
  <r>
    <s v="03909"/>
    <m/>
    <x v="200"/>
    <s v="Sénégal"/>
    <s v="AEHTR"/>
    <s v="Sl"/>
    <s v="Active"/>
    <s v="Thiès"/>
    <d v="2023-12-01T00:00:00"/>
    <d v="2023-08-07T00:00:00"/>
    <d v="2028-08-06T00:00:00"/>
    <m/>
    <m/>
  </r>
  <r>
    <s v="03910"/>
    <s v="Daorala"/>
    <x v="264"/>
    <s v="Sénégal"/>
    <s v="AEMSM"/>
    <s v="Au"/>
    <s v="Active"/>
    <s v="Kedougou"/>
    <d v="2023-09-19T00:00:00"/>
    <d v="2023-10-03T00:00:00"/>
    <d v="2026-10-02T00:00:00"/>
    <m/>
    <s v="49.9942 Ha"/>
  </r>
  <r>
    <s v="03918"/>
    <m/>
    <x v="265"/>
    <s v="Sénégal"/>
    <s v="AECPT"/>
    <s v="grès"/>
    <s v="Active"/>
    <s v="Kedougou"/>
    <d v="2023-05-05T00:00:00"/>
    <d v="2023-09-18T00:00:00"/>
    <d v="2025-09-17T00:00:00"/>
    <d v="2024-09-18T00:00:00"/>
    <s v="7.7385 Ha"/>
  </r>
  <r>
    <s v="03921"/>
    <s v="Périmètre 4"/>
    <x v="266"/>
    <s v="Sénégal"/>
    <s v="AEMSM"/>
    <s v="Au"/>
    <s v="Active"/>
    <s v="Kedougou"/>
    <d v="2023-09-21T00:00:00"/>
    <d v="2023-09-27T00:00:00"/>
    <d v="2026-09-26T00:00:00"/>
    <m/>
    <s v="38.7200 Ha"/>
  </r>
  <r>
    <s v="03922"/>
    <s v="Périmètre 3"/>
    <x v="266"/>
    <s v="Sénégal"/>
    <s v="AEMSM"/>
    <s v="Au"/>
    <s v="Active"/>
    <s v="Kedougou"/>
    <d v="2023-09-21T00:00:00"/>
    <d v="2023-09-27T00:00:00"/>
    <d v="2026-09-26T00:00:00"/>
    <m/>
    <s v="35.0200 Ha"/>
  </r>
  <r>
    <s v="03923"/>
    <s v="Bloc1-Bloc2-Bloc3-Bloc4"/>
    <x v="264"/>
    <s v="Sénégal"/>
    <s v="AEMSM"/>
    <s v="Au"/>
    <s v="Active"/>
    <s v="Kedougou"/>
    <d v="2023-09-21T00:00:00"/>
    <d v="2023-10-03T00:00:00"/>
    <d v="2026-10-02T00:00:00"/>
    <m/>
    <s v="49.9020 Ha"/>
  </r>
  <r>
    <s v="03925"/>
    <m/>
    <x v="267"/>
    <s v="Sénégal"/>
    <s v="AEMSM"/>
    <s v="Au"/>
    <s v="Active"/>
    <s v="Tambacounda"/>
    <d v="2023-07-10T00:00:00"/>
    <d v="2023-07-14T00:00:00"/>
    <d v="2026-07-13T00:00:00"/>
    <m/>
    <s v="49.3363 Ha"/>
  </r>
  <r>
    <s v="03930"/>
    <s v="Kourou Diakhoma"/>
    <x v="268"/>
    <s v="Sénégal"/>
    <s v="AEMSM"/>
    <s v="Au"/>
    <s v="Active"/>
    <s v="Kedougou"/>
    <d v="2023-06-21T00:00:00"/>
    <d v="2023-09-20T00:00:00"/>
    <d v="2026-09-19T00:00:00"/>
    <m/>
    <s v="43.9905 Ha"/>
  </r>
  <r>
    <s v="03932"/>
    <m/>
    <x v="252"/>
    <s v="Sénégal"/>
    <s v="AECPP"/>
    <s v="calcaire"/>
    <s v="Active"/>
    <s v="Thiès"/>
    <d v="2023-05-01T00:00:00"/>
    <d v="2023-09-27T00:00:00"/>
    <d v="2028-09-26T00:00:00"/>
    <m/>
    <s v="28.8160 Ha"/>
  </r>
  <r>
    <s v="03941"/>
    <s v="Périmètre 2"/>
    <x v="269"/>
    <s v="Sénégal"/>
    <s v="AEMSM"/>
    <s v="Au"/>
    <s v="Active"/>
    <s v="Kedougou"/>
    <d v="2023-10-19T00:00:00"/>
    <d v="2024-01-03T00:00:00"/>
    <d v="2027-01-02T00:00:00"/>
    <m/>
    <s v="49.0850 Ha"/>
  </r>
  <r>
    <s v="03942"/>
    <s v="Périmètre 4"/>
    <x v="269"/>
    <s v="Sénégal"/>
    <s v="AEMSM"/>
    <s v="Au"/>
    <s v="Active"/>
    <s v="Kedougou"/>
    <d v="2023-10-19T00:00:00"/>
    <d v="2023-12-15T00:00:00"/>
    <d v="2026-12-14T00:00:00"/>
    <m/>
    <s v="49.7920 Ha"/>
  </r>
  <r>
    <s v="03958"/>
    <s v="Sabodala-2"/>
    <x v="244"/>
    <s v="Sénégal"/>
    <s v="AEPM"/>
    <s v="Au"/>
    <s v="Active"/>
    <s v="Kedougou"/>
    <d v="2023-10-11T00:00:00"/>
    <d v="2023-10-25T00:00:00"/>
    <d v="2028-10-24T00:00:00"/>
    <m/>
    <s v="4.3155 km²"/>
  </r>
  <r>
    <s v="03959"/>
    <s v="Sabodala-1"/>
    <x v="244"/>
    <s v="Sénégal"/>
    <s v="AEPM"/>
    <s v="Au"/>
    <s v="Active"/>
    <s v="Kedougou"/>
    <d v="2023-10-19T00:00:00"/>
    <d v="2023-10-27T00:00:00"/>
    <d v="2028-10-26T00:00:00"/>
    <m/>
    <s v="4.1656 km²"/>
  </r>
  <r>
    <s v="03960"/>
    <s v="Lam-Lam"/>
    <x v="270"/>
    <s v="Sénégal"/>
    <s v="AEPM"/>
    <s v="phosphate de chaux"/>
    <s v="Active"/>
    <s v="Thiès"/>
    <d v="2023-03-28T00:00:00"/>
    <d v="2023-10-25T00:00:00"/>
    <d v="2028-10-24T00:00:00"/>
    <m/>
    <s v="4.1882 km²"/>
  </r>
  <r>
    <s v="03969"/>
    <m/>
    <x v="271"/>
    <s v="Sénégal"/>
    <s v="AEMSM"/>
    <s v="Au"/>
    <s v="Active"/>
    <s v="Tambacounda"/>
    <d v="2023-11-03T00:00:00"/>
    <d v="2024-03-15T00:00:00"/>
    <d v="2027-03-14T00:00:00"/>
    <m/>
    <s v="49.7000 Ha"/>
  </r>
  <r>
    <s v="03970"/>
    <s v="Périmètre 1"/>
    <x v="272"/>
    <s v="Sénégal"/>
    <s v="AEMSM"/>
    <s v="Au"/>
    <s v="Active"/>
    <s v="Kedougou"/>
    <d v="2023-10-18T00:00:00"/>
    <d v="2023-11-06T00:00:00"/>
    <d v="2026-11-05T00:00:00"/>
    <m/>
    <s v="49.9200 Ha"/>
  </r>
  <r>
    <s v="03971"/>
    <s v="Périmètre 2"/>
    <x v="267"/>
    <s v="Sénégal"/>
    <s v="AEMSM"/>
    <s v="Au"/>
    <s v="Active"/>
    <s v="Tambacounda"/>
    <d v="2023-07-10T00:00:00"/>
    <d v="2023-07-14T00:00:00"/>
    <d v="2026-07-13T00:00:00"/>
    <m/>
    <s v="48.7346 Ha"/>
  </r>
  <r>
    <s v="03973"/>
    <s v="Périmètre 4"/>
    <x v="267"/>
    <s v="Sénégal"/>
    <s v="AEMSM"/>
    <s v="Au"/>
    <s v="Active"/>
    <s v="Tambacounda"/>
    <d v="2023-07-10T00:00:00"/>
    <d v="2023-07-14T00:00:00"/>
    <d v="2026-07-13T00:00:00"/>
    <m/>
    <s v="49.9278 Ha"/>
  </r>
  <r>
    <s v="03989"/>
    <s v="SUD TOGLOU"/>
    <x v="149"/>
    <s v="Sénégal"/>
    <s v="AECPP"/>
    <s v="grès"/>
    <s v="Active"/>
    <s v="Thiès"/>
    <d v="2023-11-23T00:00:00"/>
    <d v="2023-12-29T00:00:00"/>
    <d v="2028-12-28T00:00:00"/>
    <m/>
    <s v="16.6074 Ha"/>
  </r>
  <r>
    <s v="03993"/>
    <s v="ICS MBORO"/>
    <x v="273"/>
    <s v="Sénégal"/>
    <s v="AEHTR"/>
    <s v="Sl"/>
    <s v="Active"/>
    <s v="Thiès"/>
    <d v="2023-11-03T00:00:00"/>
    <d v="2023-11-29T00:00:00"/>
    <d v="2028-11-28T00:00:00"/>
    <m/>
    <m/>
  </r>
  <r>
    <s v="03994"/>
    <s v="beer thialane"/>
    <x v="274"/>
    <s v="Sénégal"/>
    <s v="AECPT"/>
    <s v="sable de dune"/>
    <s v="Active"/>
    <s v="Thiès"/>
    <d v="2023-05-09T00:00:00"/>
    <d v="2023-12-26T00:00:00"/>
    <d v="2024-12-25T00:00:00"/>
    <m/>
    <s v="2.0730 Ha"/>
  </r>
  <r>
    <s v="03995"/>
    <s v="ics"/>
    <x v="275"/>
    <s v="Sénégal"/>
    <s v="AEHTR"/>
    <s v="Sl"/>
    <s v="Active"/>
    <s v="Thiès"/>
    <d v="2023-09-12T00:00:00"/>
    <d v="2023-09-25T00:00:00"/>
    <d v="2028-09-24T00:00:00"/>
    <m/>
    <m/>
  </r>
  <r>
    <s v="03999"/>
    <s v="ICS"/>
    <x v="276"/>
    <s v="Sénégal"/>
    <s v="AEHTR"/>
    <s v="Sl"/>
    <s v="Active"/>
    <s v="Thiès"/>
    <d v="2023-09-25T00:00:00"/>
    <d v="2023-10-03T00:00:00"/>
    <d v="2028-10-02T00:00:00"/>
    <m/>
    <m/>
  </r>
  <r>
    <s v="04000"/>
    <s v="Cherif LO"/>
    <x v="277"/>
    <s v="Sénégal"/>
    <s v="AECPT"/>
    <s v="latérite"/>
    <s v="Active"/>
    <s v="Thiès"/>
    <d v="2023-07-25T00:00:00"/>
    <d v="2023-12-11T00:00:00"/>
    <d v="2024-12-10T00:00:00"/>
    <m/>
    <s v="1.1133 Ha"/>
  </r>
  <r>
    <s v="04001"/>
    <s v="ics"/>
    <x v="278"/>
    <s v="Sénégal"/>
    <s v="AEHTR"/>
    <s v="Sl"/>
    <s v="Active"/>
    <s v="Thiès"/>
    <d v="2023-08-16T00:00:00"/>
    <d v="2023-09-26T00:00:00"/>
    <d v="2028-09-25T00:00:00"/>
    <m/>
    <m/>
  </r>
  <r>
    <s v="04004"/>
    <s v="NIAMAYA"/>
    <x v="66"/>
    <s v="Sénégal"/>
    <s v="PR"/>
    <s v="Au"/>
    <s v="Active"/>
    <s v="Kedougou"/>
    <d v="2023-11-21T00:00:00"/>
    <d v="2023-11-30T00:00:00"/>
    <d v="2027-11-29T00:00:00"/>
    <m/>
    <s v="74.2347 km²"/>
  </r>
  <r>
    <s v="04006"/>
    <m/>
    <x v="279"/>
    <s v="Sénégal"/>
    <s v="AEMSM"/>
    <s v="Au"/>
    <s v="Active"/>
    <s v="Kedougou"/>
    <d v="2023-09-25T00:00:00"/>
    <d v="2023-12-27T00:00:00"/>
    <d v="2026-12-26T00:00:00"/>
    <m/>
    <s v="50.0000 Ha"/>
  </r>
  <r>
    <s v="04009"/>
    <s v="Périmètre 1"/>
    <x v="280"/>
    <s v="Sénégal"/>
    <s v="AEMSM"/>
    <s v="Au"/>
    <s v="Active"/>
    <s v="Tambacounda"/>
    <d v="2023-10-18T00:00:00"/>
    <d v="2023-10-31T00:00:00"/>
    <d v="2026-10-30T00:00:00"/>
    <m/>
    <s v="41.6505 Ha"/>
  </r>
  <r>
    <s v="04011"/>
    <s v="ICS"/>
    <x v="281"/>
    <s v="Sénégal"/>
    <s v="AEHTR"/>
    <s v="Sl"/>
    <s v="Active"/>
    <s v="Thiès"/>
    <d v="2023-10-31T00:00:00"/>
    <d v="2023-11-22T00:00:00"/>
    <d v="2028-11-21T00:00:00"/>
    <m/>
    <m/>
  </r>
  <r>
    <s v="04021"/>
    <m/>
    <x v="272"/>
    <s v="Sénégal"/>
    <s v="AEMSM"/>
    <s v="Au"/>
    <s v="Active"/>
    <s v="Kedougou"/>
    <d v="2023-11-10T00:00:00"/>
    <d v="2023-12-07T00:00:00"/>
    <d v="2026-12-06T00:00:00"/>
    <m/>
    <s v="48.4600 Ha"/>
  </r>
  <r>
    <s v="04024"/>
    <s v="DIENDER"/>
    <x v="282"/>
    <s v="Sénégal"/>
    <s v="AECPT"/>
    <s v="sable de dune"/>
    <s v="Active"/>
    <s v="Thiès"/>
    <d v="2023-07-23T00:00:00"/>
    <d v="2023-12-07T00:00:00"/>
    <d v="2024-12-06T00:00:00"/>
    <m/>
    <s v="1.0059 Ha"/>
  </r>
  <r>
    <s v="04029"/>
    <s v="PISCHON"/>
    <x v="283"/>
    <s v="Sénégal"/>
    <s v="PR"/>
    <s v="Au"/>
    <s v="Active"/>
    <s v="Kedougou"/>
    <d v="2023-07-19T00:00:00"/>
    <d v="2023-11-29T00:00:00"/>
    <d v="2027-11-28T00:00:00"/>
    <m/>
    <s v="59.0542 km²"/>
  </r>
  <r>
    <s v="04030"/>
    <s v="SINTHIOU 1"/>
    <x v="284"/>
    <s v="Sénégal"/>
    <s v="AEPM"/>
    <s v="phosphate de chaux"/>
    <s v="Active"/>
    <s v="Matam"/>
    <d v="2023-12-27T00:00:00"/>
    <d v="2024-01-03T00:00:00"/>
    <d v="2029-01-02T00:00:00"/>
    <m/>
    <s v="4.9995 km²"/>
  </r>
  <r>
    <s v="04031"/>
    <s v="SINTHIOU 2"/>
    <x v="284"/>
    <s v="Sénégal"/>
    <s v="AEPM"/>
    <s v="phosphate de chaux"/>
    <s v="Active"/>
    <s v="Matam"/>
    <d v="2023-12-27T00:00:00"/>
    <d v="2024-01-03T00:00:00"/>
    <d v="2029-01-02T00:00:00"/>
    <m/>
    <s v="171.4388 Ha"/>
  </r>
  <r>
    <s v="04032"/>
    <s v="DENI BIRAME NDOA"/>
    <x v="285"/>
    <s v="Sénégal"/>
    <s v="AECPT"/>
    <s v="sable de dune"/>
    <s v="Active"/>
    <s v="Dakar"/>
    <d v="2023-10-14T00:00:00"/>
    <d v="2023-12-08T00:00:00"/>
    <d v="2024-12-07T00:00:00"/>
    <m/>
    <s v="1.9588 Ha"/>
  </r>
  <r>
    <s v="04033"/>
    <s v="ngendouf"/>
    <x v="285"/>
    <s v="Sénégal"/>
    <s v="AECPT"/>
    <s v="sable de dune"/>
    <s v="Active"/>
    <s v="Dakar"/>
    <d v="2023-08-29T00:00:00"/>
    <d v="2023-12-08T00:00:00"/>
    <d v="2024-12-07T00:00:00"/>
    <m/>
    <s v="2.5704 Ha"/>
  </r>
  <r>
    <s v="04045"/>
    <m/>
    <x v="14"/>
    <s v="Sénégal"/>
    <s v="AECPP"/>
    <s v="Argile"/>
    <s v="Active"/>
    <s v="Tambacounda"/>
    <d v="2022-06-03T00:00:00"/>
    <d v="2022-05-27T00:00:00"/>
    <d v="2027-05-26T00:00:00"/>
    <m/>
    <s v="150.2589 Ha"/>
  </r>
  <r>
    <s v="04047"/>
    <m/>
    <x v="286"/>
    <s v="Sénégal"/>
    <s v="AECPP"/>
    <s v="calcaire"/>
    <s v="Active"/>
    <s v="Thiès"/>
    <d v="2021-11-18T00:00:00"/>
    <d v="2021-10-01T00:00:00"/>
    <d v="2026-09-30T00:00:00"/>
    <m/>
    <s v="30.0121 Ha"/>
  </r>
  <r>
    <s v="04054"/>
    <s v="Bandia"/>
    <x v="287"/>
    <s v="Sénégal"/>
    <s v="AECPP"/>
    <s v="calcaire"/>
    <s v="Active"/>
    <s v="Thiès"/>
    <d v="2021-12-20T00:00:00"/>
    <d v="2022-02-10T00:00:00"/>
    <d v="2027-02-09T00:00:00"/>
    <m/>
    <s v="10.9873 Ha"/>
  </r>
  <r>
    <s v="04055"/>
    <m/>
    <x v="4"/>
    <s v="Sénégal"/>
    <s v="AECPP"/>
    <s v="basalte"/>
    <s v="Active"/>
    <s v="Thiès"/>
    <d v="2008-06-30T00:00:00"/>
    <d v="2018-06-29T00:00:00"/>
    <d v="2028-06-27T00:00:00"/>
    <m/>
    <s v="3.1454 Ha"/>
  </r>
  <r>
    <s v="04057"/>
    <s v="DIACK"/>
    <x v="5"/>
    <s v="Sénégal"/>
    <s v="AECPP"/>
    <s v="basalte"/>
    <s v="Active"/>
    <s v="Thiès"/>
    <d v="2009-03-04T00:00:00"/>
    <d v="2022-11-14T00:00:00"/>
    <d v="2027-11-13T00:00:00"/>
    <m/>
    <s v="83.5849 Ha"/>
  </r>
  <r>
    <s v="04058"/>
    <m/>
    <x v="14"/>
    <s v="Sénégal"/>
    <s v="AECPP"/>
    <s v="Argile"/>
    <s v="Active"/>
    <s v="Tambacounda"/>
    <d v="2022-05-23T00:00:00"/>
    <d v="2022-05-27T00:00:00"/>
    <d v="2027-05-26T00:00:00"/>
    <m/>
    <s v="74.5858 Ha"/>
  </r>
  <r>
    <s v="04062"/>
    <s v="Diender"/>
    <x v="288"/>
    <s v="Sénégal"/>
    <s v="AECPT"/>
    <s v="sable de dune"/>
    <s v="Active"/>
    <s v="Thiès"/>
    <d v="2023-12-27T00:00:00"/>
    <d v="2024-01-26T00:00:00"/>
    <d v="2025-01-25T00:00:00"/>
    <m/>
    <s v="1.0404 Ha"/>
  </r>
  <r>
    <s v="04063"/>
    <m/>
    <x v="289"/>
    <s v="Sénégal"/>
    <s v="AEMSM"/>
    <s v="Au"/>
    <s v="Active"/>
    <s v="Kedougou"/>
    <d v="2023-06-21T00:00:00"/>
    <d v="2023-12-29T00:00:00"/>
    <d v="2026-12-28T00:00:00"/>
    <m/>
    <s v="49.3027 Ha"/>
  </r>
  <r>
    <s v="04065"/>
    <m/>
    <x v="290"/>
    <s v="Sénégal"/>
    <s v="AEPM"/>
    <s v="Au"/>
    <s v="Active"/>
    <s v="Kedougou"/>
    <d v="2024-01-03T00:00:00"/>
    <d v="2024-01-17T00:00:00"/>
    <d v="2029-01-16T00:00:00"/>
    <m/>
    <s v="408.4754 Ha"/>
  </r>
  <r>
    <s v="04066"/>
    <m/>
    <x v="253"/>
    <s v="Sénégal"/>
    <s v="AEPM"/>
    <s v="Mn"/>
    <s v="Active"/>
    <s v="Tambacounda"/>
    <d v="2023-06-22T00:00:00"/>
    <d v="2024-01-17T00:00:00"/>
    <d v="2029-01-16T00:00:00"/>
    <m/>
    <s v="4.9978 km²"/>
  </r>
  <r>
    <s v="04067"/>
    <m/>
    <x v="291"/>
    <s v="Sénégal"/>
    <s v="AEHTR"/>
    <s v="Sl"/>
    <s v="Active"/>
    <s v="Thiès"/>
    <d v="2022-09-05T00:00:00"/>
    <d v="2022-11-07T00:00:00"/>
    <d v="2027-11-06T00:00:00"/>
    <m/>
    <m/>
  </r>
  <r>
    <s v="04070"/>
    <s v="Ndiébéne Gandiol"/>
    <x v="292"/>
    <s v="Sénégal"/>
    <s v="AECPT"/>
    <s v="sable de dune"/>
    <s v="Active"/>
    <s v="Saint Louis"/>
    <d v="2023-03-08T00:00:00"/>
    <d v="2024-02-01T00:00:00"/>
    <d v="2025-01-31T00:00:00"/>
    <m/>
    <s v="2.7957 Ha"/>
  </r>
  <r>
    <s v="04071"/>
    <m/>
    <x v="293"/>
    <s v="Sénégal"/>
    <s v="AECPP"/>
    <s v="basalte"/>
    <s v="Active"/>
    <s v="Thiès"/>
    <d v="2022-11-22T00:00:00"/>
    <d v="2023-03-15T00:00:00"/>
    <d v="2028-03-14T00:00:00"/>
    <m/>
    <s v="12.0344 Ha"/>
  </r>
  <r>
    <s v="04072"/>
    <s v="Toglou"/>
    <x v="294"/>
    <s v="Sénégal"/>
    <s v="AECPT"/>
    <s v="latérite"/>
    <s v="Active"/>
    <s v="Thiès"/>
    <d v="2023-11-30T00:00:00"/>
    <d v="2024-02-14T00:00:00"/>
    <d v="2025-02-13T00:00:00"/>
    <m/>
    <s v="0.2641 Ha"/>
  </r>
  <r>
    <s v="04074"/>
    <s v="NDINDY"/>
    <x v="295"/>
    <s v="Sénégal"/>
    <s v="AEPM"/>
    <s v="phosphate de chaux"/>
    <s v="Active"/>
    <s v="Thiès"/>
    <d v="2023-12-12T00:00:00"/>
    <d v="2024-01-17T00:00:00"/>
    <d v="2029-01-16T00:00:00"/>
    <m/>
    <s v="4.9999 km²"/>
  </r>
  <r>
    <s v="04076"/>
    <s v="Est_Diala"/>
    <x v="296"/>
    <s v="Sénégal"/>
    <s v="AEMSM"/>
    <s v="Au"/>
    <s v="Active"/>
    <s v="Tambacounda"/>
    <d v="2024-01-25T00:00:00"/>
    <d v="2024-03-15T00:00:00"/>
    <d v="2027-03-14T00:00:00"/>
    <m/>
    <s v="47.2328 Ha"/>
  </r>
  <r>
    <s v="04078"/>
    <s v="Périmètre 3"/>
    <x v="297"/>
    <s v="Sénégal"/>
    <s v="AEMSM"/>
    <s v="Au"/>
    <s v="Active"/>
    <s v="Kedougou"/>
    <d v="2024-01-08T00:00:00"/>
    <d v="2024-01-24T00:00:00"/>
    <d v="2027-01-23T00:00:00"/>
    <m/>
    <s v="49.7871 Ha"/>
  </r>
  <r>
    <s v="04079"/>
    <s v="Périmètre 2"/>
    <x v="297"/>
    <s v="Sénégal"/>
    <s v="AEMSM"/>
    <s v="Au"/>
    <s v="Active"/>
    <s v="Kedougou"/>
    <d v="2024-01-08T00:00:00"/>
    <d v="2024-01-24T00:00:00"/>
    <d v="2027-01-23T00:00:00"/>
    <m/>
    <s v="49.9713 Ha"/>
  </r>
  <r>
    <s v="04080"/>
    <s v="Périmètre 1"/>
    <x v="297"/>
    <s v="Sénégal"/>
    <s v="AEMSM"/>
    <s v="Au"/>
    <s v="Active"/>
    <s v="Kedougou"/>
    <d v="2024-01-08T00:00:00"/>
    <d v="2024-01-24T00:00:00"/>
    <d v="2027-01-23T00:00:00"/>
    <m/>
    <s v="48.4067 Ha"/>
  </r>
  <r>
    <s v="04082"/>
    <m/>
    <x v="298"/>
    <s v="Sénégal"/>
    <s v="AEMSM"/>
    <s v="Au"/>
    <s v="Active"/>
    <s v="Kedougou"/>
    <d v="2024-01-11T00:00:00"/>
    <d v="2024-01-24T00:00:00"/>
    <d v="2027-01-23T00:00:00"/>
    <m/>
    <s v="43.3089 Ha"/>
  </r>
  <r>
    <s v="04083"/>
    <m/>
    <x v="297"/>
    <s v="Sénégal"/>
    <s v="AEMSM"/>
    <s v="Au"/>
    <s v="Active"/>
    <s v="Kedougou"/>
    <d v="2024-01-08T00:00:00"/>
    <d v="2024-01-24T00:00:00"/>
    <d v="2027-01-23T00:00:00"/>
    <m/>
    <s v="39.5229 Ha"/>
  </r>
  <r>
    <s v="04089"/>
    <m/>
    <x v="14"/>
    <s v="Sénégal"/>
    <s v="AECPP"/>
    <s v="latérite"/>
    <s v="Active"/>
    <s v="Thiès"/>
    <d v="2023-03-31T00:00:00"/>
    <d v="2023-04-18T00:00:00"/>
    <d v="2028-04-17T00:00:00"/>
    <m/>
    <s v="47.1726 Ha"/>
  </r>
  <r>
    <s v="04090"/>
    <s v="Périmètre 3"/>
    <x v="255"/>
    <s v="Sénégal"/>
    <s v="AEMSM"/>
    <s v="Au"/>
    <s v="Active"/>
    <s v="Kedougou"/>
    <d v="2024-01-15T00:00:00"/>
    <d v="2024-02-27T00:00:00"/>
    <d v="2027-02-26T00:00:00"/>
    <m/>
    <s v="49.5800 Ha"/>
  </r>
  <r>
    <s v="04091"/>
    <m/>
    <x v="14"/>
    <s v="Sénégal"/>
    <s v="AECPP"/>
    <s v="calcaire"/>
    <s v="Active"/>
    <s v="Thiès"/>
    <d v="2023-03-15T00:00:00"/>
    <d v="2023-04-18T00:00:00"/>
    <d v="2028-04-17T00:00:00"/>
    <m/>
    <s v="326.6250 Ha"/>
  </r>
  <r>
    <s v="04093"/>
    <s v="Tinkoto Nding"/>
    <x v="299"/>
    <s v="Sénégal"/>
    <s v="AEMSM"/>
    <s v="Au"/>
    <s v="Active"/>
    <s v="Kedougou"/>
    <d v="2023-03-27T00:00:00"/>
    <d v="2024-01-03T00:00:00"/>
    <d v="2027-01-02T00:00:00"/>
    <m/>
    <s v="50.0000 Ha"/>
  </r>
  <r>
    <s v="04094"/>
    <s v="Périmètre 4"/>
    <x v="300"/>
    <s v="Sénégal"/>
    <s v="AEMSM"/>
    <s v="Au"/>
    <s v="Active"/>
    <s v="Kedougou"/>
    <d v="2023-10-18T00:00:00"/>
    <d v="2023-12-27T00:00:00"/>
    <d v="2026-12-26T00:00:00"/>
    <m/>
    <s v="49.7060 Ha"/>
  </r>
  <r>
    <s v="04097"/>
    <s v="ROSS BETHIO"/>
    <x v="301"/>
    <s v="Sénégal"/>
    <s v="AECPubT"/>
    <s v="sable de dune"/>
    <s v="Active"/>
    <s v="Saint Louis"/>
    <d v="2023-09-14T00:00:00"/>
    <d v="2024-02-14T00:00:00"/>
    <d v="2025-02-13T00:00:00"/>
    <m/>
    <s v="2.8110 Ha"/>
  </r>
  <r>
    <s v="04099"/>
    <s v="Barga"/>
    <x v="302"/>
    <s v="Sénégal"/>
    <s v="AECPT"/>
    <s v="calcaire"/>
    <s v="Active"/>
    <s v="Matam"/>
    <d v="2023-11-10T00:00:00"/>
    <d v="2024-02-05T00:00:00"/>
    <d v="2025-02-04T00:00:00"/>
    <m/>
    <s v="39.5736 Ha"/>
  </r>
  <r>
    <s v="04103"/>
    <m/>
    <x v="14"/>
    <s v="Sénégal"/>
    <s v="AECPP"/>
    <s v="calcaire"/>
    <s v="Active"/>
    <s v="Thiès"/>
    <d v="2023-03-31T00:00:00"/>
    <d v="2023-04-24T00:00:00"/>
    <d v="2028-04-23T00:00:00"/>
    <m/>
    <s v="133.1415 Ha"/>
  </r>
  <r>
    <s v="04106"/>
    <m/>
    <x v="303"/>
    <s v="Sénégal"/>
    <s v="AEMSM"/>
    <s v="Au"/>
    <s v="Active"/>
    <s v="Kedougou"/>
    <d v="2024-01-05T00:00:00"/>
    <d v="2024-02-20T00:00:00"/>
    <d v="2027-02-19T00:00:00"/>
    <m/>
    <s v="49.5173 Ha"/>
  </r>
  <r>
    <s v="04113"/>
    <s v="Toglou"/>
    <x v="304"/>
    <s v="Sénégal"/>
    <s v="AECPP"/>
    <s v="grès"/>
    <s v="Active"/>
    <s v="Thiès"/>
    <d v="2023-11-03T00:00:00"/>
    <d v="2024-01-03T00:00:00"/>
    <d v="2029-01-02T00:00:00"/>
    <m/>
    <s v="2.2237 Ha"/>
  </r>
  <r>
    <s v="04114"/>
    <s v="Ndiaganiao"/>
    <x v="127"/>
    <s v="Sénégal"/>
    <s v="AECPP"/>
    <s v="basalte"/>
    <s v="Active"/>
    <s v="Thiès"/>
    <d v="2023-10-23T00:00:00"/>
    <d v="2023-12-27T00:00:00"/>
    <d v="2028-12-26T00:00:00"/>
    <m/>
    <s v="20.0151 Ha"/>
  </r>
  <r>
    <s v="04115"/>
    <s v="ICS"/>
    <x v="305"/>
    <s v="Sénégal"/>
    <s v="AEHTR"/>
    <s v="Sl"/>
    <s v="Active"/>
    <s v="Thiès"/>
    <d v="2023-11-11T00:00:00"/>
    <d v="2023-12-27T00:00:00"/>
    <d v="2028-12-26T00:00:00"/>
    <m/>
    <m/>
  </r>
  <r>
    <s v="04121"/>
    <m/>
    <x v="125"/>
    <s v="Sénégal"/>
    <s v="AECPP"/>
    <s v="basalte"/>
    <s v="Active"/>
    <s v="Thiès"/>
    <d v="2023-08-30T00:00:00"/>
    <d v="2023-12-07T00:00:00"/>
    <d v="2028-12-06T00:00:00"/>
    <m/>
    <s v="54.1294 Ha"/>
  </r>
  <r>
    <s v="04124"/>
    <m/>
    <x v="306"/>
    <s v="Sénégal"/>
    <s v="AEMSM"/>
    <s v="Au"/>
    <s v="Active"/>
    <s v="Kedougou"/>
    <d v="2024-01-25T00:00:00"/>
    <d v="2024-02-07T00:00:00"/>
    <d v="2027-02-06T00:00:00"/>
    <m/>
    <s v="49.9886 Ha"/>
  </r>
  <r>
    <s v="04125"/>
    <s v="Sud-Est_Koliya"/>
    <x v="296"/>
    <s v="Sénégal"/>
    <s v="AEMSM"/>
    <s v="Au"/>
    <s v="Active"/>
    <s v="Kedougou"/>
    <d v="2023-11-23T00:00:00"/>
    <d v="2024-01-31T00:00:00"/>
    <d v="2027-01-30T00:00:00"/>
    <m/>
    <s v="45.8601 Ha"/>
  </r>
  <r>
    <s v="04127"/>
    <s v="FARABA"/>
    <x v="307"/>
    <s v="Sénégal"/>
    <s v="PR"/>
    <s v="Au"/>
    <s v="Active"/>
    <s v="Kedougou"/>
    <d v="2023-05-02T00:00:00"/>
    <d v="2024-02-02T00:00:00"/>
    <d v="2028-02-01T00:00:00"/>
    <m/>
    <s v="677.9946 km²"/>
  </r>
  <r>
    <s v="04130"/>
    <m/>
    <x v="308"/>
    <s v="Sénégal"/>
    <s v="AEMSM"/>
    <s v="Au"/>
    <s v="Active"/>
    <s v="Kedougou"/>
    <d v="2022-10-31T00:00:00"/>
    <d v="2024-02-02T00:00:00"/>
    <d v="2027-02-01T00:00:00"/>
    <m/>
    <s v="48.7725 Ha"/>
  </r>
  <r>
    <s v="04133"/>
    <m/>
    <x v="309"/>
    <s v="Sénégal"/>
    <s v="AEMSM"/>
    <s v="Au"/>
    <s v="Active"/>
    <s v="Kedougou"/>
    <d v="2024-01-25T00:00:00"/>
    <d v="2024-02-02T00:00:00"/>
    <d v="2027-02-01T00:00:00"/>
    <m/>
    <s v="49.7640 Ha"/>
  </r>
  <r>
    <s v="04135"/>
    <m/>
    <x v="310"/>
    <s v="Sénégal"/>
    <s v="AEMSM"/>
    <s v="Au"/>
    <s v="Active"/>
    <s v="Kedougou"/>
    <d v="2024-01-22T00:00:00"/>
    <d v="2024-02-02T00:00:00"/>
    <d v="2027-02-01T00:00:00"/>
    <m/>
    <s v="47.5175 Ha"/>
  </r>
  <r>
    <s v="04141"/>
    <s v="SOUKOUTA"/>
    <x v="157"/>
    <s v="Sénégal"/>
    <s v="AEPM"/>
    <s v="Au"/>
    <s v="Active"/>
    <s v="Kedougou"/>
    <d v="2023-09-21T00:00:00"/>
    <d v="2024-02-12T00:00:00"/>
    <d v="2029-02-11T00:00:00"/>
    <m/>
    <s v="4.9896 km²"/>
  </r>
  <r>
    <s v="04142"/>
    <s v="Raffo"/>
    <x v="311"/>
    <s v="Sénégal"/>
    <s v="AECPT"/>
    <s v="Argile"/>
    <s v="Active"/>
    <s v="Thiès"/>
    <d v="2023-11-29T00:00:00"/>
    <d v="2024-01-18T00:00:00"/>
    <d v="2025-01-17T00:00:00"/>
    <m/>
    <s v="9.1459 Ha"/>
  </r>
  <r>
    <s v="04143"/>
    <s v="Cayar-Khay Wérou"/>
    <x v="274"/>
    <s v="Sénégal"/>
    <s v="AECPT"/>
    <s v="sable de dune"/>
    <s v="Active"/>
    <s v="Thiès"/>
    <d v="2021-11-17T00:00:00"/>
    <d v="2024-02-21T00:00:00"/>
    <d v="2025-02-20T00:00:00"/>
    <m/>
    <s v="1.7493 Ha"/>
  </r>
  <r>
    <s v="04144"/>
    <s v="Xaay Weru"/>
    <x v="312"/>
    <s v="Sénégal"/>
    <s v="AECPT"/>
    <s v="sable de dune"/>
    <s v="Active"/>
    <s v="Thiès"/>
    <d v="2023-11-23T00:00:00"/>
    <d v="2024-02-20T00:00:00"/>
    <d v="2025-02-19T00:00:00"/>
    <m/>
    <s v="2.2326 Ha"/>
  </r>
  <r>
    <s v="04145"/>
    <s v="ICS"/>
    <x v="313"/>
    <s v="Sénégal"/>
    <s v="AEHTR"/>
    <s v="Sl"/>
    <s v="Active"/>
    <s v="Thiès"/>
    <d v="2024-01-29T00:00:00"/>
    <d v="2024-02-02T00:00:00"/>
    <d v="2029-02-01T00:00:00"/>
    <m/>
    <m/>
  </r>
  <r>
    <s v="04146"/>
    <s v="ICS"/>
    <x v="314"/>
    <s v="Sénégal"/>
    <s v="AEHTR"/>
    <s v="Sl"/>
    <s v="Active"/>
    <s v="Thiès"/>
    <d v="2024-01-29T00:00:00"/>
    <d v="2024-02-02T00:00:00"/>
    <d v="2029-02-01T00:00:00"/>
    <m/>
    <m/>
  </r>
  <r>
    <s v="04151"/>
    <s v="Thicky"/>
    <x v="315"/>
    <s v="Sénégal"/>
    <s v="AECPT"/>
    <s v="latérite"/>
    <s v="Active"/>
    <s v="Thiès"/>
    <d v="2024-02-12T00:00:00"/>
    <d v="2024-02-22T00:00:00"/>
    <d v="2025-02-21T00:00:00"/>
    <m/>
    <s v="7.8897 Ha"/>
  </r>
  <r>
    <s v="04155"/>
    <s v="Pambal"/>
    <x v="316"/>
    <s v="Sénégal"/>
    <s v="AECPT"/>
    <s v="latérite"/>
    <s v="Active"/>
    <s v="Thiès"/>
    <d v="2024-02-02T00:00:00"/>
    <d v="2024-02-26T00:00:00"/>
    <d v="2025-02-25T00:00:00"/>
    <m/>
    <s v="2.2777 Ha"/>
  </r>
  <r>
    <s v="04156"/>
    <s v="KHOTANE SERERE"/>
    <x v="317"/>
    <s v="Sénégal"/>
    <s v="AECPT"/>
    <s v="latérite"/>
    <s v="Active"/>
    <s v="Dakar"/>
    <d v="2024-02-15T00:00:00"/>
    <d v="2024-02-26T00:00:00"/>
    <d v="2025-02-25T00:00:00"/>
    <m/>
    <s v="2.1914 Ha"/>
  </r>
  <r>
    <s v="04157"/>
    <s v="Baniomba"/>
    <x v="179"/>
    <s v="Sénégal"/>
    <s v="AECPP"/>
    <s v="basalte"/>
    <s v="Active"/>
    <s v="Kedougou"/>
    <d v="2023-11-27T00:00:00"/>
    <d v="2022-02-20T00:00:00"/>
    <d v="2027-02-19T00:00:00"/>
    <m/>
    <s v="23.3780 Ha"/>
  </r>
  <r>
    <s v="04174"/>
    <s v="GOLLAM"/>
    <x v="318"/>
    <s v="Sénégal"/>
    <s v="AECPT"/>
    <s v="sable de dune"/>
    <s v="Active"/>
    <s v="Thiès"/>
    <d v="2024-02-14T00:00:00"/>
    <d v="2024-03-05T00:00:00"/>
    <d v="2025-03-04T00:00:00"/>
    <m/>
    <s v="3.4810 Ha"/>
  </r>
  <r>
    <s v="04178"/>
    <s v="Toglou"/>
    <x v="319"/>
    <s v="Sénégal"/>
    <s v="AECPT"/>
    <s v="latérite"/>
    <s v="Active"/>
    <s v="Thiès"/>
    <d v="2024-03-07T00:00:00"/>
    <d v="2024-04-03T00:00:00"/>
    <d v="2025-04-02T00:00:00"/>
    <m/>
    <s v="3.0094 Ha"/>
  </r>
  <r>
    <s v="04179"/>
    <s v="Chérif Lo"/>
    <x v="320"/>
    <s v="Sénégal"/>
    <s v="AECPT"/>
    <s v="latérite"/>
    <s v="Active"/>
    <s v="Thiès"/>
    <d v="2024-03-06T00:00:00"/>
    <d v="2024-03-07T00:00:00"/>
    <d v="2025-03-06T00:00:00"/>
    <m/>
    <s v="14.8166 Ha"/>
  </r>
  <r>
    <s v="04180"/>
    <s v="KHAR YALLAH"/>
    <x v="321"/>
    <s v="Sénégal"/>
    <s v="AECPT"/>
    <s v="sable de dune"/>
    <s v="Active"/>
    <s v="Thiès"/>
    <d v="2024-03-06T00:00:00"/>
    <d v="2024-03-08T00:00:00"/>
    <d v="2025-03-07T00:00:00"/>
    <m/>
    <s v="1.9744 Ha"/>
  </r>
  <r>
    <s v="04181"/>
    <s v="DENI BIRAME NDAO NORD"/>
    <x v="321"/>
    <s v="Sénégal"/>
    <s v="AECPT"/>
    <s v="sable de dune"/>
    <s v="Active"/>
    <s v="Thiès"/>
    <d v="2024-03-04T00:00:00"/>
    <d v="2024-03-08T00:00:00"/>
    <d v="2025-03-07T00:00:00"/>
    <m/>
    <s v="6.2951 Ha"/>
  </r>
  <r>
    <s v="04183"/>
    <s v="Tchicky"/>
    <x v="322"/>
    <s v="Sénégal"/>
    <s v="AECPT"/>
    <s v="latérite"/>
    <s v="Active"/>
    <s v="Thiès"/>
    <d v="2024-03-05T00:00:00"/>
    <d v="2024-03-08T00:00:00"/>
    <d v="2025-03-07T00:00:00"/>
    <m/>
    <s v="1.9648 Ha"/>
  </r>
  <r>
    <s v="04184"/>
    <s v="Ngaye Mékhé"/>
    <x v="323"/>
    <s v="Sénégal"/>
    <s v="AECPT"/>
    <s v="sable de dune"/>
    <s v="Active"/>
    <s v="Thiès"/>
    <d v="2024-03-07T00:00:00"/>
    <d v="2024-03-12T00:00:00"/>
    <d v="2025-03-11T00:00:00"/>
    <m/>
    <s v="2.2499 Ha"/>
  </r>
  <r>
    <s v="04187"/>
    <s v="ICS "/>
    <x v="324"/>
    <s v="Sénégal"/>
    <s v="AEHTR"/>
    <s v="Sl"/>
    <s v="Active"/>
    <s v="Thiès"/>
    <d v="2024-03-04T00:00:00"/>
    <d v="2024-03-11T00:00:00"/>
    <d v="2025-03-10T00:00:00"/>
    <m/>
    <m/>
  </r>
  <r>
    <s v="04189"/>
    <s v="KOLIA 1"/>
    <x v="325"/>
    <s v="Sénégal"/>
    <s v="AEMSM"/>
    <s v="Au"/>
    <s v="Active"/>
    <s v="Kedougou"/>
    <d v="2023-07-12T00:00:00"/>
    <d v="2024-03-06T00:00:00"/>
    <d v="2027-03-05T00:00:00"/>
    <m/>
    <s v="49.4100 Ha"/>
  </r>
  <r>
    <s v="04196"/>
    <s v="ICS/TAIBA"/>
    <x v="326"/>
    <s v="Sénégal"/>
    <s v="AEHTR"/>
    <s v="sable de dune"/>
    <s v="Active"/>
    <s v="Thiès"/>
    <d v="2018-01-29T00:00:00"/>
    <d v="2023-12-27T00:00:00"/>
    <d v="2028-12-26T00:00:00"/>
    <m/>
    <s v="0.0008 km²"/>
  </r>
  <r>
    <s v="04203"/>
    <s v="THICKY"/>
    <x v="327"/>
    <s v="Sénégal"/>
    <s v="AECPT"/>
    <s v="latérite"/>
    <s v="Active"/>
    <s v="Thiès"/>
    <d v="2024-01-24T00:00:00"/>
    <d v="2024-03-18T00:00:00"/>
    <d v="2025-03-17T00:00:00"/>
    <m/>
    <s v="5.0981 Ha"/>
  </r>
  <r>
    <s v="04204"/>
    <s v="Diender"/>
    <x v="328"/>
    <s v="Sénégal"/>
    <s v="AECPT"/>
    <s v="latérite"/>
    <s v="Active"/>
    <s v="Thiès"/>
    <d v="2023-11-24T00:00:00"/>
    <d v="2024-03-21T00:00:00"/>
    <d v="2025-03-20T00:00:00"/>
    <m/>
    <s v="16.3494 Ha"/>
  </r>
  <r>
    <s v="04205"/>
    <m/>
    <x v="329"/>
    <s v="Sénégal"/>
    <s v="AECPT"/>
    <s v="sable de dune"/>
    <s v="Active"/>
    <s v="Thiès"/>
    <d v="2024-03-07T00:00:00"/>
    <d v="2024-03-21T00:00:00"/>
    <d v="2025-03-20T00:00:00"/>
    <m/>
    <s v="7.9999 Ha"/>
  </r>
  <r>
    <s v="04208"/>
    <s v="NAMEL"/>
    <x v="221"/>
    <s v="Sénégal"/>
    <s v="PR"/>
    <s v="phosphate de chaux"/>
    <s v="Active"/>
    <s v="Kedougou"/>
    <d v="2023-08-02T00:00:00"/>
    <d v="2024-03-06T00:00:00"/>
    <d v="2028-03-05T00:00:00"/>
    <m/>
    <s v="333.2234 km²"/>
  </r>
  <r>
    <s v="04209"/>
    <s v="KENIEBA Mn"/>
    <x v="330"/>
    <s v="Sénégal"/>
    <s v="PR"/>
    <s v="Mn"/>
    <s v="Active"/>
    <s v="Kedougou"/>
    <d v="2023-09-07T00:00:00"/>
    <d v="2024-03-06T00:00:00"/>
    <d v="2028-03-05T00:00:00"/>
    <m/>
    <s v="53.4137 km²"/>
  </r>
  <r>
    <s v="04211"/>
    <s v="Mangary"/>
    <x v="331"/>
    <s v="Sénégal"/>
    <s v="AECPT"/>
    <s v="sable de dune"/>
    <s v="Active"/>
    <s v="Fatick"/>
    <d v="2024-03-28T00:00:00"/>
    <d v="2024-04-03T00:00:00"/>
    <d v="2025-04-02T00:00:00"/>
    <m/>
    <s v="9.0401 Ha"/>
  </r>
  <r>
    <s v="04213"/>
    <s v="ICS"/>
    <x v="332"/>
    <s v="Sénégal"/>
    <s v="AEHTR"/>
    <s v="Sl"/>
    <s v="Active"/>
    <s v="Thiès"/>
    <d v="2024-01-15T00:00:00"/>
    <d v="2024-03-15T00:00:00"/>
    <d v="2026-03-14T00:00:00"/>
    <m/>
    <m/>
  </r>
  <r>
    <s v="04214"/>
    <s v="ICS"/>
    <x v="333"/>
    <s v="Sénégal"/>
    <s v="AEHTR"/>
    <s v="Sl"/>
    <s v="Active"/>
    <s v="Thiès"/>
    <d v="2024-03-11T00:00:00"/>
    <d v="2024-03-15T00:00:00"/>
    <d v="2029-03-14T00:00:00"/>
    <m/>
    <m/>
  </r>
  <r>
    <s v="04218"/>
    <s v="ICS"/>
    <x v="334"/>
    <s v="Sénégal"/>
    <s v="AEHTR"/>
    <s v="Sl"/>
    <s v="Active"/>
    <s v="Thiès"/>
    <d v="2024-03-11T00:00:00"/>
    <d v="2024-03-15T00:00:00"/>
    <d v="2026-03-14T00:00:00"/>
    <m/>
    <m/>
  </r>
  <r>
    <s v="04219"/>
    <s v="ICS"/>
    <x v="335"/>
    <s v="Sénégal"/>
    <s v="AEHTR"/>
    <s v="Sl"/>
    <s v="Active"/>
    <s v="Thiès"/>
    <d v="2024-04-05T00:00:00"/>
    <d v="2024-03-15T00:00:00"/>
    <d v="2029-03-14T00:00:00"/>
    <m/>
    <m/>
  </r>
  <r>
    <s v="04227"/>
    <s v="Diass"/>
    <x v="332"/>
    <s v="Sénégal"/>
    <s v="AECPP"/>
    <s v="grès"/>
    <s v="Active"/>
    <s v="Thiès"/>
    <d v="2024-01-24T00:00:00"/>
    <d v="2024-03-22T00:00:00"/>
    <d v="2029-03-21T00:00:00"/>
    <m/>
    <s v="3.5290 Ha"/>
  </r>
  <r>
    <s v="04228"/>
    <s v="Bloc1"/>
    <x v="264"/>
    <s v="Sénégal"/>
    <s v="AEMSM"/>
    <s v="Au"/>
    <s v="Active"/>
    <s v="Kedougou"/>
    <d v="2023-12-19T00:00:00"/>
    <d v="2024-03-15T00:00:00"/>
    <d v="2027-03-14T00:00:00"/>
    <m/>
    <s v="49.9885 Ha"/>
  </r>
  <r>
    <s v="04229"/>
    <s v="THIKI"/>
    <x v="336"/>
    <s v="Sénégal"/>
    <s v="AECPT"/>
    <s v="latérite"/>
    <s v="Active"/>
    <s v="Thiès"/>
    <d v="2024-03-11T00:00:00"/>
    <d v="2024-03-29T00:00:00"/>
    <d v="2025-03-28T00:00:00"/>
    <m/>
    <s v="4.6999 Ha"/>
  </r>
  <r>
    <s v="04230"/>
    <s v="BANTACOUNTOU"/>
    <x v="337"/>
    <s v="Sénégal"/>
    <s v="AECPP"/>
    <s v="basalte"/>
    <s v="Active"/>
    <s v="Tambacounda"/>
    <d v="2022-07-20T00:00:00"/>
    <d v="2024-03-29T00:00:00"/>
    <d v="2029-03-28T00:00:00"/>
    <m/>
    <s v="49.9985 Ha"/>
  </r>
  <r>
    <s v="04231"/>
    <s v="kidira"/>
    <x v="337"/>
    <s v="Sénégal"/>
    <s v="AECPP"/>
    <s v="basalte"/>
    <s v="Active"/>
    <s v="Tambacounda"/>
    <d v="2022-07-20T00:00:00"/>
    <d v="2024-03-29T00:00:00"/>
    <d v="2029-03-28T00:00:00"/>
    <m/>
    <s v="48.7882 Ha"/>
  </r>
  <r>
    <s v="04232"/>
    <s v="ICS"/>
    <x v="338"/>
    <s v="Sénégal"/>
    <s v="AEHTR"/>
    <s v="Sl"/>
    <s v="Active"/>
    <s v="Thiès"/>
    <d v="2024-03-19T00:00:00"/>
    <d v="2024-03-29T00:00:00"/>
    <d v="2029-03-28T00:00:00"/>
    <m/>
    <m/>
  </r>
  <r>
    <s v="04235"/>
    <s v="ICS"/>
    <x v="339"/>
    <s v="Sénégal"/>
    <s v="AEHTR"/>
    <s v="Sl"/>
    <s v="Active"/>
    <s v="Thiès"/>
    <d v="2024-04-23T00:00:00"/>
    <d v="2024-03-29T00:00:00"/>
    <d v="2029-03-28T00:00:00"/>
    <m/>
    <m/>
  </r>
  <r>
    <s v="04243"/>
    <s v="TCHIKY"/>
    <x v="340"/>
    <s v="Sénégal"/>
    <s v="AECPT"/>
    <s v="latérite"/>
    <s v="Active"/>
    <s v="Thiès"/>
    <d v="2024-02-21T00:00:00"/>
    <d v="2024-02-28T00:00:00"/>
    <d v="2025-02-27T00:00:00"/>
    <m/>
    <s v="4.9863 Ha"/>
  </r>
  <r>
    <s v="04245"/>
    <s v="BOYENADJI"/>
    <x v="221"/>
    <s v="Sénégal"/>
    <s v="AEPM"/>
    <s v="phosphate de chaux"/>
    <s v="Active"/>
    <s v="Matam"/>
    <d v="2024-02-23T00:00:00"/>
    <d v="2024-03-27T00:00:00"/>
    <d v="2029-03-26T00:00:00"/>
    <m/>
    <s v="228.7510 Ha"/>
  </r>
  <r>
    <s v="04246"/>
    <m/>
    <x v="341"/>
    <s v="Sénégal"/>
    <s v="AEPM"/>
    <s v="Au"/>
    <s v="Active"/>
    <s v="Kedougou"/>
    <d v="2022-07-05T00:00:00"/>
    <d v="2022-09-07T00:00:00"/>
    <d v="2027-09-06T00:00:00"/>
    <m/>
    <s v="491.9820 Ha"/>
  </r>
  <r>
    <s v="04247"/>
    <m/>
    <x v="153"/>
    <s v="Sénégal"/>
    <s v="AEPM"/>
    <s v="phosphate de chaux"/>
    <s v="Active"/>
    <s v="Thiès"/>
    <d v="2024-03-26T00:00:00"/>
    <d v="2024-03-27T00:00:00"/>
    <d v="2029-03-26T00:00:00"/>
    <m/>
    <s v="4.9586 km²"/>
  </r>
  <r>
    <s v="04248"/>
    <s v="Kolia"/>
    <x v="342"/>
    <s v="Sénégal"/>
    <s v="AEMSM"/>
    <s v="Au"/>
    <s v="Active"/>
    <s v="Kedougou"/>
    <d v="2023-03-13T00:00:00"/>
    <d v="2023-06-22T00:00:00"/>
    <d v="2026-06-21T00:00:00"/>
    <m/>
    <s v="45.6814 Ha"/>
  </r>
  <r>
    <s v="04251"/>
    <s v="DIOUBELA"/>
    <x v="343"/>
    <s v="Sénégal"/>
    <s v="PR"/>
    <s v="Mn"/>
    <s v="Active"/>
    <s v="Tambacounda"/>
    <d v="2024-01-16T00:00:00"/>
    <d v="2024-03-14T00:00:00"/>
    <d v="2028-03-13T00:00:00"/>
    <m/>
    <s v="320.2818 km²"/>
  </r>
  <r>
    <s v="04252"/>
    <s v="BARIBARIE 1"/>
    <x v="344"/>
    <s v="Sénégal"/>
    <s v="PR"/>
    <s v="Li"/>
    <s v="Active"/>
    <s v="Kedougou"/>
    <d v="2022-10-07T00:00:00"/>
    <d v="2023-02-02T00:00:00"/>
    <d v="2027-02-01T00:00:00"/>
    <m/>
    <s v="98.9681 km²"/>
  </r>
  <r>
    <s v="04253"/>
    <m/>
    <x v="345"/>
    <s v="Sénégal"/>
    <s v="AEMSM"/>
    <s v="Au"/>
    <s v="Active"/>
    <s v="Tambacounda"/>
    <d v="2024-02-16T00:00:00"/>
    <d v="2024-03-22T00:00:00"/>
    <d v="2027-03-21T00:00:00"/>
    <m/>
    <s v="27.4968 Ha"/>
  </r>
  <r>
    <s v="04260"/>
    <s v="MAKANA"/>
    <x v="346"/>
    <s v="Sénégal"/>
    <s v="PR"/>
    <s v="Au"/>
    <s v="Active"/>
    <s v="Kedougou"/>
    <d v="2024-01-15T00:00:00"/>
    <d v="2024-03-29T00:00:00"/>
    <d v="2028-03-28T00:00:00"/>
    <m/>
    <s v="116.4829 km²"/>
  </r>
  <r>
    <s v="04262"/>
    <m/>
    <x v="347"/>
    <s v="Sénégal"/>
    <s v="AECPP"/>
    <s v="grès"/>
    <s v="Active"/>
    <s v="Thiès"/>
    <d v="2023-03-22T00:00:00"/>
    <d v="2023-05-08T00:00:00"/>
    <d v="2028-05-07T00:00:00"/>
    <m/>
    <s v="1.4342 Ha"/>
  </r>
  <r>
    <s v="04266"/>
    <s v="Mboro"/>
    <x v="348"/>
    <s v="Sénégal"/>
    <s v="AEHTR"/>
    <s v="Sl"/>
    <s v="Active"/>
    <s v="Thiès"/>
    <d v="2024-05-27T00:00:00"/>
    <d v="2023-05-11T00:00:00"/>
    <d v="2028-05-10T00:00:00"/>
    <m/>
    <m/>
  </r>
  <r>
    <s v="04267"/>
    <m/>
    <x v="349"/>
    <s v="Sénégal"/>
    <s v="AECPP"/>
    <s v="Argile, latérite"/>
    <s v="Active"/>
    <s v="Thiès"/>
    <d v="2023-05-01T00:00:00"/>
    <d v="2023-06-13T00:00:00"/>
    <d v="2028-06-12T00:00:00"/>
    <m/>
    <s v="48.6722 Ha"/>
  </r>
  <r>
    <s v="04268"/>
    <s v="MAMANKANTI"/>
    <x v="350"/>
    <s v="Sénégal"/>
    <s v="PR"/>
    <s v="Au"/>
    <s v="Active"/>
    <s v="Kedougou"/>
    <d v="2024-03-18T00:00:00"/>
    <d v="2024-03-29T00:00:00"/>
    <d v="2028-03-28T00:00:00"/>
    <m/>
    <s v="18.6813 km²"/>
  </r>
  <r>
    <s v="04274"/>
    <s v="Barabérie"/>
    <x v="245"/>
    <s v="Sénégal"/>
    <s v="PR"/>
    <s v="Li"/>
    <s v="Active"/>
    <s v="Kedougou"/>
    <d v="2022-10-03T00:00:00"/>
    <d v="2023-01-30T00:00:00"/>
    <d v="2027-01-29T00:00:00"/>
    <m/>
    <s v="381.5028 km²"/>
  </r>
  <r>
    <s v="04276"/>
    <s v="GNITH"/>
    <x v="351"/>
    <s v="Sénégal"/>
    <s v="AECPT"/>
    <s v="latérite"/>
    <s v="Active"/>
    <s v="Saint Louis"/>
    <d v="2024-05-21T00:00:00"/>
    <d v="2024-05-19T00:00:00"/>
    <d v="2026-09-28T00:00:00"/>
    <d v="2025-05-19T00:00:00"/>
    <s v="53.5362 Ha"/>
  </r>
  <r>
    <s v="04278"/>
    <s v="GNITH"/>
    <x v="351"/>
    <s v="Sénégal"/>
    <s v="AECPT"/>
    <s v="latérite"/>
    <s v="Active"/>
    <s v="Saint Louis"/>
    <d v="2024-06-13T00:00:00"/>
    <d v="2024-05-19T00:00:00"/>
    <d v="2026-09-28T00:00:00"/>
    <d v="2025-05-19T00:00:00"/>
    <s v="52.6750 Ha"/>
  </r>
  <r>
    <s v="04279"/>
    <s v="Koussoko"/>
    <x v="352"/>
    <s v="Sénégal"/>
    <s v="PR"/>
    <s v="Au"/>
    <s v="Active"/>
    <s v="Kedougou"/>
    <d v="2021-01-21T00:00:00"/>
    <d v="2021-08-05T00:00:00"/>
    <d v="2025-08-04T00:00:00"/>
    <m/>
    <s v="26.1967 km²"/>
  </r>
  <r>
    <s v="04285"/>
    <s v="TASSETTE"/>
    <x v="353"/>
    <s v="Sénégal"/>
    <s v="AECPP"/>
    <s v="basalte"/>
    <s v="Active"/>
    <s v="Thiès"/>
    <d v="2022-03-16T00:00:00"/>
    <d v="2024-02-12T00:00:00"/>
    <d v="2029-02-11T00:00:00"/>
    <m/>
    <s v="20.2251 Ha"/>
  </r>
  <r>
    <s v="04308"/>
    <m/>
    <x v="354"/>
    <s v="Sénégal"/>
    <s v="AEPM"/>
    <s v="phosphate de chaux"/>
    <s v="Active"/>
    <s v="Matam"/>
    <d v="2024-03-26T00:00:00"/>
    <d v="2024-03-27T00:00:00"/>
    <d v="2029-03-26T00:00:00"/>
    <m/>
    <s v="113.3540 Ha"/>
  </r>
  <r>
    <s v="04342"/>
    <m/>
    <x v="355"/>
    <s v="Sénégal"/>
    <s v="AECPT"/>
    <s v="sable de dune"/>
    <s v="Active"/>
    <s v="Dakar"/>
    <d v="2025-05-28T00:00:00"/>
    <d v="2025-05-30T00:00:00"/>
    <d v="2026-05-29T00:00:00"/>
    <m/>
    <s v="2.4073 Ha"/>
  </r>
  <r>
    <s v="04352"/>
    <m/>
    <x v="356"/>
    <s v="Sénégal"/>
    <s v="AECPT"/>
    <s v="sable de dune"/>
    <s v="Active"/>
    <s v="Thiès"/>
    <d v="2025-06-27T13:49:17"/>
    <d v="2025-06-27T00:00:00"/>
    <d v="2026-06-26T00:00:00"/>
    <m/>
    <s v="2.2219 Ha"/>
  </r>
  <r>
    <s v="04356"/>
    <m/>
    <x v="285"/>
    <s v="Sénégal"/>
    <s v="AECPT"/>
    <s v="sable de dune"/>
    <s v="Active"/>
    <s v="Dakar"/>
    <d v="2025-07-03T16:33:16"/>
    <d v="2025-07-07T00:00:00"/>
    <d v="2026-07-06T00:00:00"/>
    <m/>
    <s v="4.4178 Ha"/>
  </r>
  <r>
    <s v="04358"/>
    <m/>
    <x v="357"/>
    <s v="Sénégal"/>
    <s v="AECPubT"/>
    <m/>
    <s v="Active"/>
    <s v="Saint Louis"/>
    <d v="2025-05-23T00:00:00"/>
    <d v="2025-05-26T00:00:00"/>
    <d v="2026-05-25T00:00:00"/>
    <m/>
    <s v="25.6800 Ha"/>
  </r>
  <r>
    <s v="04359"/>
    <m/>
    <x v="358"/>
    <s v="Sénégal"/>
    <s v="AECPT"/>
    <s v="sable de dune"/>
    <s v="Active"/>
    <s v="Thiès"/>
    <d v="2025-07-25T10:08:48"/>
    <d v="2025-08-01T00:00:00"/>
    <d v="2026-07-31T00:00:00"/>
    <m/>
    <s v="1.8459 Ha"/>
  </r>
  <r>
    <s v="04360"/>
    <m/>
    <x v="359"/>
    <s v="Sénégal"/>
    <s v="AECPubT"/>
    <m/>
    <s v="Active"/>
    <s v="Saint Louis"/>
    <d v="2025-01-31T00:00:00"/>
    <d v="2025-03-21T00:00:00"/>
    <d v="2026-03-20T00:00:00"/>
    <m/>
    <s v="7.3698 Ha"/>
  </r>
  <r>
    <s v="04367"/>
    <m/>
    <x v="360"/>
    <s v="Sénégal"/>
    <s v="AECPubT"/>
    <s v="sable de dune"/>
    <s v="Active"/>
    <s v="Thiès"/>
    <d v="2025-07-21T17:04:13"/>
    <d v="2025-10-27T00:00:00"/>
    <d v="2026-10-26T00:00:00"/>
    <m/>
    <s v="5.4997 Ha"/>
  </r>
  <r>
    <s v="04372"/>
    <s v="KOUNGHEUL "/>
    <x v="361"/>
    <s v="Sénégal"/>
    <s v="AECPT"/>
    <s v="Argile"/>
    <s v="Active"/>
    <s v="Kaffrine"/>
    <d v="2025-08-06T10:00:00"/>
    <d v="2025-12-04T00:00:00"/>
    <d v="2026-12-03T00:00:00"/>
    <m/>
    <s v="15.1312 Ha"/>
  </r>
  <r>
    <s v="04375"/>
    <m/>
    <x v="362"/>
    <s v="Sénégal"/>
    <s v="AECPT"/>
    <s v="sable de dune"/>
    <s v="Active"/>
    <s v="Kaffrine"/>
    <d v="2025-09-09T15:16:04"/>
    <d v="2025-11-27T00:00:00"/>
    <d v="2026-11-26T00:00:00"/>
    <m/>
    <s v="3.0077 Ha"/>
  </r>
  <r>
    <s v="04376"/>
    <m/>
    <x v="363"/>
    <s v="Sénégal"/>
    <s v="AECPT"/>
    <s v="latérite"/>
    <s v="Active"/>
    <s v="Kedougou"/>
    <d v="2025-09-10T19:58:51"/>
    <d v="2025-09-29T00:00:00"/>
    <d v="2026-09-28T00:00:00"/>
    <m/>
    <s v="1.0786 Ha"/>
  </r>
  <r>
    <s v="04378"/>
    <s v="Sangalkam"/>
    <x v="364"/>
    <s v="Sénégal"/>
    <s v="AECPT"/>
    <s v="sable de dune"/>
    <s v="Active"/>
    <s v="Dakar"/>
    <d v="2025-10-17T10:57:55"/>
    <d v="2025-10-29T00:00:00"/>
    <d v="2026-10-28T00:00:00"/>
    <m/>
    <s v="4.1508 Ha"/>
  </r>
  <r>
    <s v="04385"/>
    <m/>
    <x v="365"/>
    <s v="Sénégal"/>
    <s v="AECPT"/>
    <s v="sable de dune"/>
    <s v="Active"/>
    <s v="Thiès"/>
    <d v="2025-10-10T11:59:58"/>
    <d v="2025-12-22T00:00:00"/>
    <d v="2026-12-21T00:00:00"/>
    <m/>
    <s v="1.1560 Ha"/>
  </r>
  <r>
    <s v="04386"/>
    <m/>
    <x v="366"/>
    <s v="Sénégal"/>
    <s v="AECPT"/>
    <s v="sable de dune"/>
    <s v="Active"/>
    <s v="Thiès"/>
    <d v="2025-10-10T13:22:21"/>
    <d v="2025-12-22T00:00:00"/>
    <d v="2026-12-21T00:00:00"/>
    <m/>
    <s v="3.4610 Ha"/>
  </r>
  <r>
    <s v="04387"/>
    <m/>
    <x v="366"/>
    <s v="Sénégal"/>
    <s v="AECPT"/>
    <s v="sable de dune"/>
    <s v="Active"/>
    <s v="Thiès"/>
    <d v="2025-10-10T13:56:02"/>
    <d v="2025-12-22T00:00:00"/>
    <d v="2026-12-21T00:00:00"/>
    <m/>
    <s v="1.8611 Ha"/>
  </r>
  <r>
    <s v="04389"/>
    <m/>
    <x v="366"/>
    <s v="Sénégal"/>
    <s v="AECPT"/>
    <s v="sable de dune"/>
    <s v="Active"/>
    <s v="Thiès"/>
    <d v="2025-10-10T15:15:41"/>
    <d v="2025-11-17T00:00:00"/>
    <d v="2026-11-16T00:00:00"/>
    <m/>
    <s v="11.5518 Ha"/>
  </r>
  <r>
    <s v="04390"/>
    <m/>
    <x v="366"/>
    <s v="Sénégal"/>
    <s v="AECPT"/>
    <s v="latérite"/>
    <s v="Active"/>
    <s v="Dakar"/>
    <d v="2025-10-10T15:38:42"/>
    <d v="2025-11-17T00:00:00"/>
    <d v="2026-11-16T00:00:00"/>
    <m/>
    <s v="9.7213 Ha"/>
  </r>
  <r>
    <s v="04391"/>
    <s v="Patar LIA"/>
    <x v="367"/>
    <s v="Sénégal"/>
    <s v="AECPT"/>
    <s v="sable de dune"/>
    <s v="Active"/>
    <s v="Fatick"/>
    <d v="2025-10-30T10:04:48"/>
    <d v="2025-11-24T00:00:00"/>
    <d v="2026-11-23T00:00:00"/>
    <m/>
    <s v="3.4315 Ha"/>
  </r>
  <r>
    <s v="04393"/>
    <m/>
    <x v="355"/>
    <s v="Sénégal"/>
    <s v="AECPT"/>
    <s v="sable de dune"/>
    <s v="Active"/>
    <s v="Dakar"/>
    <d v="2025-11-11T15:25:17"/>
    <d v="2025-11-28T00:00:00"/>
    <d v="2026-11-27T00:00:00"/>
    <m/>
    <s v="1.8200 Ha"/>
  </r>
  <r>
    <s v="04395"/>
    <m/>
    <x v="368"/>
    <s v="Sénégal"/>
    <s v="AP"/>
    <s v="phosphate de chaux"/>
    <s v="Active"/>
    <s v="Matam"/>
    <d v="2025-11-12T12:46:05"/>
    <d v="2026-04-01T00:00:00"/>
    <d v="2026-09-30T00:00:00"/>
    <m/>
    <s v="4.9794 km²"/>
  </r>
  <r>
    <s v="04396"/>
    <m/>
    <x v="369"/>
    <s v="Sénégal"/>
    <s v="AECPT"/>
    <s v="latérite"/>
    <s v="Active"/>
    <s v="Sédhiou"/>
    <d v="2025-11-13T10:49:02"/>
    <d v="2025-12-22T00:00:00"/>
    <d v="2026-12-21T00:00:00"/>
    <m/>
    <s v="4.7181 Ha"/>
  </r>
  <r>
    <s v="04397"/>
    <m/>
    <x v="370"/>
    <s v="Sénégal"/>
    <s v="AECPT"/>
    <s v="sable de dune"/>
    <s v="Active"/>
    <s v="Thiès"/>
    <d v="2025-11-12T13:47:58"/>
    <d v="2025-12-22T00:00:00"/>
    <d v="2026-12-21T00:00:00"/>
    <m/>
    <s v="3.1218 Ha"/>
  </r>
  <r>
    <s v="04400"/>
    <s v="Mbadiane "/>
    <x v="371"/>
    <s v="Sénégal"/>
    <s v="AECPubT"/>
    <s v="sable de dune"/>
    <s v="Active"/>
    <s v="Louga"/>
    <d v="2025-11-17T13:20:56"/>
    <d v="2025-12-23T00:00:00"/>
    <d v="2026-12-22T00:00:00"/>
    <m/>
    <s v="3.0012 Ha"/>
  </r>
  <r>
    <s v="04401"/>
    <s v="Ngogom"/>
    <x v="338"/>
    <s v="Sénégal"/>
    <s v="AECPT"/>
    <s v="sable de dune"/>
    <s v="Active"/>
    <s v="Diourbel"/>
    <d v="2025-12-08T15:47:50"/>
    <d v="2025-12-23T00:00:00"/>
    <d v="2026-12-22T00:00:00"/>
    <m/>
    <s v="1.5574 Ha"/>
  </r>
  <r>
    <s v="04403"/>
    <m/>
    <x v="372"/>
    <s v="Sénégal"/>
    <s v="AECPT"/>
    <s v="Argile"/>
    <s v="Active"/>
    <s v="Kaolack"/>
    <d v="2025-12-19T10:16:42"/>
    <d v="2025-12-23T00:00:00"/>
    <d v="2026-12-22T00:00:00"/>
    <m/>
    <s v="5.8253 Ha"/>
  </r>
  <r>
    <s v="04404"/>
    <m/>
    <x v="373"/>
    <s v="Sénégal"/>
    <s v="ZP"/>
    <s v="Au"/>
    <s v="Active"/>
    <s v="Kedougou"/>
    <d v="2026-01-12T11:21:57"/>
    <d v="2026-01-12T00:00:00"/>
    <d v="2029-01-11T00:00:00"/>
    <m/>
    <s v="28.6083 km²"/>
  </r>
  <r>
    <s v="04406"/>
    <s v="MADINA FOULBE"/>
    <x v="31"/>
    <s v="Sénégal"/>
    <s v="ZP"/>
    <s v="Au"/>
    <s v="Active"/>
    <s v="Kedougou"/>
    <d v="2026-01-16T12:14:49"/>
    <d v="2026-01-16T00:00:00"/>
    <d v="2029-01-15T00:00:00"/>
    <m/>
    <s v="181.7465 km²"/>
  </r>
  <r>
    <s v="04408"/>
    <m/>
    <x v="31"/>
    <s v="Sénégal"/>
    <s v="ZP"/>
    <s v="Au"/>
    <s v="Active"/>
    <s v="Kedougou"/>
    <d v="2026-01-22T12:02:55"/>
    <d v="2026-01-22T00:00:00"/>
    <d v="2029-01-21T00:00:00"/>
    <m/>
    <s v="12.7231 km²"/>
  </r>
  <r>
    <s v="04409"/>
    <m/>
    <x v="31"/>
    <s v="Sénégal"/>
    <s v="ZP"/>
    <s v="Au"/>
    <s v="Active"/>
    <s v="Kedougou"/>
    <d v="2026-01-23T15:28:21"/>
    <d v="2026-01-23T00:00:00"/>
    <d v="2029-01-22T00:00:00"/>
    <m/>
    <s v="17.4576 km²"/>
  </r>
  <r>
    <s v="04410"/>
    <m/>
    <x v="174"/>
    <s v="Sénégal"/>
    <s v="AECPT"/>
    <s v="sable de dune"/>
    <s v="Active"/>
    <s v="Thiès"/>
    <d v="2025-07-12T09:32:32"/>
    <d v="2025-10-27T00:00:00"/>
    <d v="2026-10-26T00:00:00"/>
    <m/>
    <s v="1.8545 Ha"/>
  </r>
  <r>
    <s v="04412"/>
    <m/>
    <x v="374"/>
    <s v="Sénégal"/>
    <s v="AECPT"/>
    <s v="sable de dune"/>
    <s v="Active"/>
    <s v="Thiès"/>
    <d v="2025-06-13T11:18:05"/>
    <d v="2025-10-27T00:00:00"/>
    <d v="2026-10-26T00:00:00"/>
    <m/>
    <s v="2.9600 Ha"/>
  </r>
  <r>
    <s v="04413"/>
    <m/>
    <x v="375"/>
    <s v="Sénégal"/>
    <s v="AP"/>
    <s v="Au"/>
    <s v="Active"/>
    <s v="Kedougou"/>
    <d v="2025-06-26T18:40:47"/>
    <d v="2025-12-08T00:00:00"/>
    <d v="2026-06-07T00:00:00"/>
    <m/>
    <s v="31.5164 Ha"/>
  </r>
  <r>
    <s v="04414"/>
    <s v="Salamata/Bahadadji"/>
    <x v="376"/>
    <s v="Sénégal"/>
    <s v="AECPubT"/>
    <s v="sable de dune"/>
    <s v="Active"/>
    <s v="Kolda"/>
    <d v="2025-09-12T11:48:08"/>
    <d v="2025-10-16T00:00:00"/>
    <d v="2026-10-15T00:00:00"/>
    <m/>
    <s v="3.0358 Ha"/>
  </r>
  <r>
    <s v="04415"/>
    <s v="MEDINA DALHATOU/ Bagadadji"/>
    <x v="376"/>
    <s v="Sénégal"/>
    <s v="AECPubT"/>
    <s v="sable de dune"/>
    <s v="Active"/>
    <s v="Kolda"/>
    <d v="2025-09-12T14:06:26"/>
    <d v="2025-10-16T00:00:00"/>
    <d v="2026-10-15T00:00:00"/>
    <m/>
    <s v="5.2179 Ha"/>
  </r>
  <r>
    <s v="04416"/>
    <s v="Mbadiane"/>
    <x v="371"/>
    <s v="Sénégal"/>
    <s v="AECPubT"/>
    <s v="sable de dune"/>
    <s v="Active"/>
    <s v="Louga"/>
    <d v="2025-11-17T13:43:15"/>
    <d v="2025-12-23T00:00:00"/>
    <d v="2026-12-22T00:00:00"/>
    <m/>
    <s v="2.0048 Ha"/>
  </r>
  <r>
    <s v="04417"/>
    <m/>
    <x v="373"/>
    <s v="Sénégal"/>
    <s v="ZP"/>
    <s v="Au"/>
    <s v="Active"/>
    <m/>
    <d v="2026-02-02T20:06:50"/>
    <d v="2026-02-02T00:00:00"/>
    <d v="2029-02-01T00:00:00"/>
    <m/>
    <s v="66.9457 km²"/>
  </r>
  <r>
    <s v="04419"/>
    <m/>
    <x v="377"/>
    <s v="Sénégal"/>
    <s v="AECPubT"/>
    <s v="sable de dune"/>
    <s v="Active"/>
    <s v="Louga"/>
    <d v="2026-02-16T09:08:43"/>
    <d v="2025-09-29T00:00:00"/>
    <d v="2026-09-28T00:00:00"/>
    <m/>
    <s v="8.7627 Ha"/>
  </r>
  <r>
    <s v="04421"/>
    <m/>
    <x v="31"/>
    <s v="Sénégal"/>
    <s v="ZP"/>
    <s v="Au"/>
    <s v="Active"/>
    <s v="Kedougou"/>
    <d v="2026-03-17T15:44:06"/>
    <d v="2026-03-17T00:00:00"/>
    <d v="2029-03-16T00:00:00"/>
    <m/>
    <s v="3,095.4867 Ha"/>
  </r>
  <r>
    <s v="04425"/>
    <m/>
    <x v="378"/>
    <s v="Sénégal"/>
    <s v="AECPT"/>
    <s v="latérite"/>
    <s v="Active"/>
    <s v="Thiès"/>
    <d v="2024-12-24T00:00:00"/>
    <d v="2025-06-27T00:00:00"/>
    <d v="2026-06-26T00:00:00"/>
    <m/>
    <s v="2.2367 Ha"/>
  </r>
  <r>
    <s v="04426"/>
    <m/>
    <x v="379"/>
    <s v="Sénégal"/>
    <s v="AECPT"/>
    <s v="sable de dune"/>
    <s v="Active"/>
    <s v="Diourbel"/>
    <d v="2025-06-17T00:00:00"/>
    <d v="2025-06-18T00:00:00"/>
    <d v="2026-06-17T00:00:00"/>
    <m/>
    <s v="14.6329 Ha"/>
  </r>
  <r>
    <s v="04427"/>
    <m/>
    <x v="380"/>
    <s v="Sénégal"/>
    <s v="AECPubT"/>
    <s v="sable de dune"/>
    <s v="Active"/>
    <s v="Kaolack"/>
    <d v="2025-06-17T00:00:00"/>
    <d v="2025-06-18T00:00:00"/>
    <d v="2026-06-17T00:00:00"/>
    <m/>
    <s v="1.7374 Ha"/>
  </r>
  <r>
    <s v="04428"/>
    <m/>
    <x v="381"/>
    <s v="Sénégal"/>
    <s v="AECPT"/>
    <s v="sable de dune"/>
    <s v="Active"/>
    <s v="Thiès"/>
    <d v="2025-11-10T14:55:36"/>
    <d v="2025-11-26T00:00:00"/>
    <d v="2026-11-25T00:00:00"/>
    <m/>
    <s v="3.9994 Ha"/>
  </r>
  <r>
    <s v="04429"/>
    <m/>
    <x v="382"/>
    <s v="Sénégal"/>
    <s v="AECPT"/>
    <s v="sable de dune"/>
    <s v="Active"/>
    <s v="Diourbel"/>
    <d v="2025-12-08T16:14:26"/>
    <d v="2025-12-23T00:00:00"/>
    <d v="2026-12-22T00:00:00"/>
    <m/>
    <s v="5.3603 Ha"/>
  </r>
  <r>
    <s v="04430"/>
    <m/>
    <x v="383"/>
    <s v="Sénégal"/>
    <s v="AECPT"/>
    <s v="latérite"/>
    <s v="Active"/>
    <s v="Thiès"/>
    <d v="2025-10-30T13:17:03"/>
    <d v="2025-12-11T00:00:00"/>
    <d v="2026-12-10T00:00:00"/>
    <m/>
    <s v="1.2215 Ha"/>
  </r>
  <r>
    <s v="04431"/>
    <m/>
    <x v="383"/>
    <s v="Sénégal"/>
    <s v="AECPT"/>
    <s v="latérite"/>
    <s v="Active"/>
    <s v="Thiès"/>
    <d v="2025-10-30T11:50:40"/>
    <d v="2025-12-11T00:00:00"/>
    <d v="2026-12-10T00:00:00"/>
    <m/>
    <s v="14.7832 Ha"/>
  </r>
  <r>
    <s v="04432"/>
    <m/>
    <x v="384"/>
    <s v="Sénégal"/>
    <s v="AP"/>
    <s v="basalte"/>
    <s v="Active"/>
    <s v="Thiès"/>
    <d v="2025-06-26T15:32:31"/>
    <d v="2025-06-27T00:00:00"/>
    <d v="2025-12-26T00:00:00"/>
    <m/>
    <s v="26.2330 Ha"/>
  </r>
  <r>
    <s v="04433"/>
    <s v="Bembou"/>
    <x v="363"/>
    <s v="Sénégal"/>
    <s v="AECPT"/>
    <s v="latérite"/>
    <s v="Active"/>
    <s v="Kedougou"/>
    <d v="2025-09-01T16:11:49"/>
    <d v="2025-09-29T00:00:00"/>
    <d v="2026-09-28T00:00:00"/>
    <m/>
    <s v="0.6789 Ha"/>
  </r>
  <r>
    <s v="04434"/>
    <s v="BEMBOU"/>
    <x v="12"/>
    <s v="Sénégal"/>
    <s v="AECPT"/>
    <s v="latérite"/>
    <s v="Active"/>
    <s v="Kedougou"/>
    <d v="2025-09-01T16:20:51"/>
    <d v="2025-09-29T00:00:00"/>
    <d v="2026-09-28T00:00:00"/>
    <m/>
    <s v="1.1420 Ha"/>
  </r>
  <r>
    <s v="04435"/>
    <m/>
    <x v="385"/>
    <s v="Sénégal"/>
    <s v="AP"/>
    <m/>
    <s v="Active"/>
    <s v="Tambacounda"/>
    <d v="2025-10-09T08:54:47"/>
    <d v="2025-12-01T00:00:00"/>
    <d v="2026-05-31T00:00:00"/>
    <m/>
    <s v="57.0654 km²"/>
  </r>
  <r>
    <s v="04436"/>
    <m/>
    <x v="362"/>
    <s v="Sénégal"/>
    <s v="AECPT"/>
    <s v="sable de dune"/>
    <s v="Active"/>
    <s v="Kaffrine"/>
    <d v="2025-10-23T12:38:24"/>
    <d v="2025-11-27T00:00:00"/>
    <d v="2026-11-26T00:00:00"/>
    <m/>
    <s v="2.8094 Ha"/>
  </r>
  <r>
    <s v="04437"/>
    <m/>
    <x v="386"/>
    <s v="Sénégal"/>
    <s v="AECPT"/>
    <s v="sable de dune"/>
    <s v="Active"/>
    <s v="Kaolack"/>
    <d v="2025-12-17T14:30:17"/>
    <d v="2025-11-27T00:00:00"/>
    <d v="2026-11-26T00:00:00"/>
    <m/>
    <s v="3.4965 Ha"/>
  </r>
  <r>
    <s v="04438"/>
    <m/>
    <x v="387"/>
    <s v="Sénégal"/>
    <s v="AECPT"/>
    <s v="Argile"/>
    <s v="Active"/>
    <s v="Dakar"/>
    <d v="2025-11-28T15:09:44"/>
    <d v="2025-12-23T00:00:00"/>
    <d v="2026-12-22T00:00:00"/>
    <m/>
    <s v="5.7000 Ha"/>
  </r>
  <r>
    <s v="04439"/>
    <m/>
    <x v="387"/>
    <s v="Sénégal"/>
    <s v="AECPT"/>
    <s v="latérite"/>
    <s v="Active"/>
    <s v="Dakar"/>
    <d v="2025-11-28T15:01:23"/>
    <d v="2025-12-23T00:00:00"/>
    <d v="2026-12-22T00:00:00"/>
    <m/>
    <s v="5.7000 Ha"/>
  </r>
  <r>
    <s v="04440"/>
    <s v="Tchiky"/>
    <x v="388"/>
    <s v="Sénégal"/>
    <s v="AECPT"/>
    <s v="latérite"/>
    <s v="Active"/>
    <s v="Thiès"/>
    <d v="2025-08-22T14:38:06"/>
    <d v="2025-09-29T00:00:00"/>
    <d v="2026-09-28T00:00:00"/>
    <m/>
    <s v="4.0890 Ha"/>
  </r>
  <r>
    <s v="04441"/>
    <m/>
    <x v="389"/>
    <s v="Sénégal"/>
    <s v="AECPubT"/>
    <s v="sable de dune"/>
    <s v="Active"/>
    <s v="Kaolack"/>
    <d v="2026-04-10T17:35:45"/>
    <d v="2025-09-08T00:00:00"/>
    <d v="2026-09-07T00:00:00"/>
    <m/>
    <s v="2.0169 Ha"/>
  </r>
  <r>
    <s v="04443"/>
    <m/>
    <x v="390"/>
    <s v="Sénégal"/>
    <s v="AECPT"/>
    <s v="latérite"/>
    <s v="Active"/>
    <s v="Thiès"/>
    <d v="2025-06-20T00:00:00"/>
    <d v="2025-07-07T00:00:00"/>
    <d v="2026-07-06T00:00:00"/>
    <m/>
    <s v="0.9068 Ha"/>
  </r>
  <r>
    <s v="04445"/>
    <m/>
    <x v="391"/>
    <s v="Sénégal"/>
    <s v="PE"/>
    <s v="calcaire"/>
    <s v="Active"/>
    <s v="Thiès"/>
    <d v="2023-12-19T00:00:00"/>
    <d v="2024-02-14T00:00:00"/>
    <d v="2044-02-13T00:00:00"/>
    <m/>
    <s v="388.2075 Ha"/>
  </r>
  <r>
    <s v="04448"/>
    <m/>
    <x v="392"/>
    <s v="Sénégal"/>
    <s v="AP"/>
    <s v="Argile, calcaire, latérite"/>
    <s v="Active"/>
    <s v="Thiès"/>
    <d v="2025-11-25T10:33:30"/>
    <d v="2025-12-09T00:00:00"/>
    <d v="2026-06-08T00:00:00"/>
    <m/>
    <s v="32.0622 km²"/>
  </r>
  <r>
    <s v="04462"/>
    <s v="Kayar"/>
    <x v="393"/>
    <s v="Sénégal"/>
    <s v="AECPT"/>
    <s v="sable de dune"/>
    <s v="Active"/>
    <s v="Thiès"/>
    <d v="2025-08-06T10:00:00"/>
    <d v="2025-12-22T00:00:00"/>
    <d v="2026-12-21T00:00:00"/>
    <m/>
    <s v="5.0001 Ha"/>
  </r>
  <r>
    <s v="04471"/>
    <m/>
    <x v="394"/>
    <s v="Sénégal"/>
    <s v="AP"/>
    <s v="basalte"/>
    <s v="Active"/>
    <s v="Thiès"/>
    <d v="2025-12-10T23:07:53"/>
    <d v="2026-01-26T00:00:00"/>
    <d v="2026-07-25T00:00:00"/>
    <m/>
    <s v="0.4542 km²"/>
  </r>
  <r>
    <s v="04472"/>
    <m/>
    <x v="395"/>
    <s v="Sénégal"/>
    <s v="AP"/>
    <s v="Argile"/>
    <s v="Active"/>
    <s v="Tambacounda"/>
    <d v="2024-05-06T00:00:00"/>
    <d v="2026-02-23T00:00:00"/>
    <d v="2026-08-22T00:00:00"/>
    <m/>
    <s v="1,773.8522 Ha"/>
  </r>
  <r>
    <s v="04487"/>
    <m/>
    <x v="389"/>
    <s v="Sénégal"/>
    <s v="AECPubT"/>
    <s v="sable de dune"/>
    <s v="Active"/>
    <s v="Kaolack"/>
    <d v="2026-04-16T14:48:09"/>
    <d v="2026-04-20T00:00:00"/>
    <d v="2027-04-19T00:00:00"/>
    <m/>
    <s v="2.5208 Ha"/>
  </r>
  <r>
    <s v="A02352"/>
    <s v="Bandia"/>
    <x v="396"/>
    <s v="Sénégal"/>
    <s v="AECPP"/>
    <s v="calcaire"/>
    <s v="Renouvellement en Cours"/>
    <s v="Thiès"/>
    <d v="2014-12-31T00:00:00"/>
    <d v="2015-02-19T00:00:00"/>
    <d v="2025-02-18T00:00:00"/>
    <d v="2020-02-19T00:00:00"/>
    <s v="15.3955 Ha"/>
  </r>
  <r>
    <s v="A02353"/>
    <s v="Bandia"/>
    <x v="397"/>
    <s v="Sénégal"/>
    <s v="AECPP"/>
    <s v="calcaire"/>
    <s v="Active"/>
    <s v="Thiès"/>
    <d v="2015-01-07T00:00:00"/>
    <d v="2015-02-19T00:00:00"/>
    <d v="2025-02-18T00:00:00"/>
    <d v="2020-02-19T00:00:00"/>
    <s v="22.2626 Ha"/>
  </r>
  <r>
    <s v="A02472-18"/>
    <s v="Couloir 18_Wassadou SUD"/>
    <x v="31"/>
    <s v="Sénégal"/>
    <s v="CO"/>
    <s v="Au"/>
    <s v="Active"/>
    <s v="Kedougou"/>
    <d v="2013-06-14T00:00:00"/>
    <m/>
    <m/>
    <m/>
    <s v="19.8375 km²"/>
  </r>
  <r>
    <s v="A02472-19"/>
    <s v="Couloir 19_Garaboureya SUD"/>
    <x v="31"/>
    <s v="Sénégal"/>
    <s v="CO"/>
    <s v="Au"/>
    <s v="Active"/>
    <s v="Kedougou"/>
    <d v="2013-06-14T00:00:00"/>
    <m/>
    <m/>
    <m/>
    <s v="11.5262 km²"/>
  </r>
  <r>
    <s v="A008024"/>
    <s v="Paki"/>
    <x v="398"/>
    <s v="Sénégal"/>
    <s v="AECPP"/>
    <s v="grès"/>
    <s v="Active"/>
    <s v="Thiès"/>
    <d v="2005-06-28T00:00:00"/>
    <d v="2007-08-09T00:00:00"/>
    <d v="2026-06-29T00:00:00"/>
    <m/>
    <s v="5.0082 Ha"/>
  </r>
  <r>
    <s v="A00010660"/>
    <s v="BANDIA"/>
    <x v="399"/>
    <s v="Sénégal"/>
    <s v="AECPP"/>
    <s v="calcaire"/>
    <s v="Renouvellement en Cours"/>
    <s v="Thiès"/>
    <d v="2013-11-25T00:00:00"/>
    <d v="2014-06-26T00:00:00"/>
    <d v="2024-06-25T00:00:00"/>
    <m/>
    <s v="20.8983 Ha"/>
  </r>
  <r>
    <s v="A012439"/>
    <s v="TOGLOU"/>
    <x v="400"/>
    <s v="Sénégal"/>
    <s v="AECPP"/>
    <s v="grès"/>
    <s v="Active"/>
    <s v="Thiès"/>
    <d v="2012-06-12T00:00:00"/>
    <d v="2013-07-26T00:00:00"/>
    <d v="2029-03-29T00:00:00"/>
    <m/>
    <s v="6.4106 Ha"/>
  </r>
  <r>
    <s v="A13985"/>
    <s v="NORD BANTAKO KOTO"/>
    <x v="401"/>
    <s v="Sénégal"/>
    <s v="AEMSM"/>
    <s v="Au"/>
    <s v="Renouvellement en Cours"/>
    <s v="Kedougou"/>
    <d v="2017-03-15T00:00:00"/>
    <d v="2017-08-08T00:00:00"/>
    <d v="2020-08-08T00:00:00"/>
    <m/>
    <s v="50.0000 Ha"/>
  </r>
  <r>
    <s v="A014208"/>
    <s v="Bandola"/>
    <x v="402"/>
    <s v="Sénégal"/>
    <s v="AEMSM"/>
    <s v="Au"/>
    <s v="Active"/>
    <s v="Kedougou"/>
    <d v="2012-12-27T00:00:00"/>
    <d v="2013-08-30T00:00:00"/>
    <d v="2024-07-06T00:00:00"/>
    <d v="2017-08-30T00:00:00"/>
    <s v="50.0000 Ha"/>
  </r>
  <r>
    <s v="A15099"/>
    <s v="BANTACO"/>
    <x v="403"/>
    <s v="Sénégal"/>
    <s v="PR"/>
    <s v="Au"/>
    <s v="Renouvellement en Cours"/>
    <s v="Kedougou"/>
    <d v="2016-10-01T00:00:00"/>
    <d v="2017-08-22T00:00:00"/>
    <d v="2024-08-20T00:00:00"/>
    <m/>
    <s v="63.5128 km²"/>
  </r>
  <r>
    <s v="A17620"/>
    <s v="GANGARA"/>
    <x v="404"/>
    <s v="Sénégal"/>
    <s v="AEMSM"/>
    <s v="Au"/>
    <s v="Renouvellement en Cours"/>
    <s v="Kedougou"/>
    <d v="2016-08-03T00:00:00"/>
    <d v="2016-12-01T00:00:00"/>
    <d v="2027-01-03T00:00:00"/>
    <d v="2024-01-04T00:00:00"/>
    <s v="50.0000 Ha"/>
  </r>
  <r>
    <s v="A018463"/>
    <s v="TAIBA"/>
    <x v="405"/>
    <s v="Sénégal"/>
    <s v="AEHTR"/>
    <s v="Sl"/>
    <s v="Active"/>
    <s v="Thiès"/>
    <d v="2015-12-30T00:00:00"/>
    <d v="2022-07-20T00:00:00"/>
    <d v="2027-07-19T00:00:00"/>
    <m/>
    <s v="0.0003 km²"/>
  </r>
  <r>
    <s v="A027976"/>
    <s v="ics taiba"/>
    <x v="406"/>
    <s v="Sénégal"/>
    <s v="AEHTR"/>
    <s v="Sl"/>
    <s v="Active"/>
    <s v="Thiès"/>
    <d v="2020-10-21T00:00:00"/>
    <d v="2020-12-14T00:00:00"/>
    <d v="2025-12-13T00:00:00"/>
    <m/>
    <s v="0.0097 km²"/>
  </r>
  <r>
    <s v="DACPT 2019"/>
    <m/>
    <x v="407"/>
    <s v="Sénégal"/>
    <s v="AECPT"/>
    <s v="granite"/>
    <s v="Renouvellement en Cours"/>
    <s v="Kedougou"/>
    <d v="2019-12-23T00:00:00"/>
    <d v="2022-10-27T00:00:00"/>
    <d v="2024-11-08T00:00:00"/>
    <m/>
    <s v="0.3252 km²"/>
  </r>
  <r>
    <s v="DAESM28122020"/>
    <m/>
    <x v="408"/>
    <s v="Sénégal"/>
    <s v="AEMSM"/>
    <s v="Au"/>
    <s v="Renouvellement en Cours"/>
    <s v="Kedougou"/>
    <d v="2020-12-28T00:00:00"/>
    <d v="2021-07-27T00:00:00"/>
    <d v="2024-07-26T00:00:00"/>
    <m/>
    <s v="50.8173 Ha"/>
  </r>
  <r>
    <s v="Demande N° 11483"/>
    <s v="Mairie de Ronkh"/>
    <x v="409"/>
    <s v="Sénégal"/>
    <s v="AECPubT"/>
    <s v="latérite"/>
    <s v="Active"/>
    <s v="Saint Louis"/>
    <d v="2024-03-14T00:00:00"/>
    <d v="2024-03-18T00:00:00"/>
    <d v="2025-03-17T00:00:00"/>
    <m/>
    <s v="30.0672 Ha"/>
  </r>
  <r>
    <s v="Demande N° 11493"/>
    <s v="Gaé, "/>
    <x v="410"/>
    <s v="Sénégal"/>
    <s v="AECPubT"/>
    <s v="latérite"/>
    <s v="Active"/>
    <s v="Saint Louis"/>
    <d v="2024-03-20T00:00:00"/>
    <d v="2024-03-21T00:00:00"/>
    <d v="2025-03-20T00:00:00"/>
    <m/>
    <s v="10.5559 Ha"/>
  </r>
  <r>
    <s v="DPR22102018"/>
    <s v="DAORALA"/>
    <x v="411"/>
    <s v="Sénégal"/>
    <s v="PR"/>
    <s v="Au"/>
    <s v="Active"/>
    <s v="Kedougou"/>
    <d v="2021-02-25T00:00:00"/>
    <d v="2021-07-28T00:00:00"/>
    <d v="2025-07-27T00:00:00"/>
    <m/>
    <s v="83.4261 km²"/>
  </r>
  <r>
    <s v="RRC/00002/2025"/>
    <m/>
    <x v="412"/>
    <s v="Sénégal"/>
    <s v="RR-S"/>
    <m/>
    <s v="Active"/>
    <m/>
    <d v="2025-05-20T00:00:00"/>
    <d v="2025-05-20T00:00:00"/>
    <d v="2025-05-20T00:00:00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cheikhomar2003@yahoo.fr"/>
    <s v="Sous-traitants"/>
    <s v="Sénégal"/>
  </r>
  <r>
    <x v="1"/>
    <s v="ghazmohamad@yahoo.fr"/>
    <s v="Sous-traitants"/>
    <s v="Sénégal"/>
  </r>
  <r>
    <x v="2"/>
    <s v="amssenegal@outlook.com"/>
    <s v="Sous-traitants"/>
    <s v="Sénégal"/>
  </r>
  <r>
    <x v="3"/>
    <s v="mark.mclaskey@amsgh.com"/>
    <s v="Sous-traitants"/>
    <s v="Sénégal"/>
  </r>
  <r>
    <x v="4"/>
    <s v="kagny.lamine@kekendoafricapoly.com"/>
    <s v="Sous-traitants"/>
    <s v="Sénégal"/>
  </r>
  <r>
    <x v="5"/>
    <s v="abdoulaye.diallo@corica.com"/>
    <s v="Sous-traitants"/>
    <s v="Sénégal"/>
  </r>
  <r>
    <x v="6"/>
    <s v="lamine.diagne@challenge2000.sn"/>
    <s v="Sous-traitants"/>
    <s v="Sénégal"/>
  </r>
  <r>
    <x v="7"/>
    <s v="dame.sene@eiffage.com"/>
    <s v="Sous-traitants"/>
    <s v="Sénégal"/>
  </r>
  <r>
    <x v="8"/>
    <s v="lamine.globalai@gmail.com"/>
    <s v="Sous-traitants"/>
    <s v="Sénégal"/>
  </r>
  <r>
    <x v="9"/>
    <s v="gaelle.ndiaye@mci-int.com"/>
    <s v="Sous-traitants"/>
    <s v="Sénégal"/>
  </r>
  <r>
    <x v="10"/>
    <s v="juridique@delmasip.com"/>
    <s v="Sous-traitants"/>
    <s v="Sénégal"/>
  </r>
  <r>
    <x v="11"/>
    <s v="khuram.mushtaq@lycopodium.com"/>
    <s v="Sous-traitants"/>
    <s v="Canada"/>
  </r>
  <r>
    <x v="12"/>
    <s v="bineta.fall@vinci-construction.com"/>
    <s v="Sous-traitants"/>
    <s v="Sénégal"/>
  </r>
  <r>
    <x v="13"/>
    <s v="hcisse@inter-mining.com"/>
    <s v="Sous-traitants"/>
    <s v="Sénégal"/>
  </r>
  <r>
    <x v="14"/>
    <s v="dahmadou@gtsdrilling.com"/>
    <s v="Sous-traitants"/>
    <s v="Sénégal"/>
  </r>
  <r>
    <x v="15"/>
    <s v="administration@bosforsarl.com"/>
    <s v="Sous-traitants"/>
    <s v="Sénégal"/>
  </r>
  <r>
    <x v="16"/>
    <s v="daniel.baeta@mota-engil.sn"/>
    <s v="Sous-traitants"/>
    <s v="Sénégal"/>
  </r>
  <r>
    <x v="17"/>
    <s v="angelique.teixeira@lycopodium.com"/>
    <s v="Sous-traitants"/>
    <s v="Sénégal"/>
  </r>
  <r>
    <x v="18"/>
    <s v="malika.kabo@aeciworld.com"/>
    <s v="Sous-traitants"/>
    <s v="Sénégal"/>
  </r>
  <r>
    <x v="19"/>
    <s v="ibaderi@idc-drilling.com"/>
    <s v="Sous-traitants"/>
    <s v="Sénégal"/>
  </r>
  <r>
    <x v="20"/>
    <s v="yaochin.choo@lycopodium.com"/>
    <s v="Sous-traitants"/>
    <s v="Sénégal"/>
  </r>
  <r>
    <x v="21"/>
    <s v="gaelle.nndiaye@mci-int.com"/>
    <s v="Sous-traitants"/>
    <s v="Sénégal"/>
  </r>
  <r>
    <x v="22"/>
    <s v="traelecbati@gmail.com"/>
    <s v="Sous-traitants"/>
    <s v="Sénégal"/>
  </r>
  <r>
    <x v="23"/>
    <s v="moussathiam1971@gmail.com"/>
    <s v="Sous-traitants"/>
    <s v="Sénégal"/>
  </r>
  <r>
    <x v="24"/>
    <s v="mameaicha.ndoye@sea-invest.com"/>
    <s v="Sous-traitants"/>
    <s v="Sénégal"/>
  </r>
  <r>
    <x v="25"/>
    <s v="egcisarl@hotmail.com"/>
    <s v="Sous-traitants"/>
    <s v="Sénégal"/>
  </r>
  <r>
    <x v="26"/>
    <s v="harryvprmnc@gmail.com"/>
    <s v="Sous-traitants"/>
    <s v="Sénégal"/>
  </r>
  <r>
    <x v="27"/>
    <s v="innocencia.mbaye@epc-mineex.sn"/>
    <s v="Sous-traitants"/>
    <s v="Sénégal"/>
  </r>
  <r>
    <x v="28"/>
    <s v="pascalambou@gmail.com"/>
    <s v="Sous-traitants"/>
    <s v="Sénégal"/>
  </r>
  <r>
    <x v="29"/>
    <s v="drilleex@gmail.com"/>
    <s v="Sous-traitants"/>
    <s v="Sénégal"/>
  </r>
  <r>
    <x v="30"/>
    <s v="dianko88@hotmail.com"/>
    <s v="Sous-traitants"/>
    <s v="Sénégal"/>
  </r>
  <r>
    <x v="31"/>
    <s v="windebat695@gmail.com"/>
    <s v="Sous-traitants"/>
    <s v="Sénégal"/>
  </r>
  <r>
    <x v="32"/>
    <s v="souleymane.ndiaye@transportsdieye.sn"/>
    <s v="Sous-traitants"/>
    <s v="Sénégal"/>
  </r>
  <r>
    <x v="33"/>
    <s v="idbouichou@gismaf.com"/>
    <s v="Sous-traitants"/>
    <s v="Sénégal"/>
  </r>
  <r>
    <x v="34"/>
    <s v="asambe@idc-drilling.com"/>
    <s v="Sous-traitants"/>
    <s v="Sénégal"/>
  </r>
  <r>
    <x v="35"/>
    <s v="lindokuhle.mdluli@redpathmining.com"/>
    <s v="Sous-traitants"/>
    <s v="Mauritanie"/>
  </r>
  <r>
    <x v="36"/>
    <s v="jacques-olivier.bou@fivesgroup.com"/>
    <s v="Sous-traitants"/>
    <s v="France"/>
  </r>
  <r>
    <x v="37"/>
    <s v="frank.weimert@bauer-senegal.com"/>
    <s v="Sous-traitants"/>
    <s v="Sénégal"/>
  </r>
  <r>
    <x v="38"/>
    <s v="bamba.diagne@gtservicesn.com"/>
    <s v="Sous-traitants"/>
    <s v="Sénégal"/>
  </r>
  <r>
    <x v="39"/>
    <s v="kiara.kruger@nrgex.co.za"/>
    <s v="Sous-traitants"/>
    <s v="Afrique du Sud"/>
  </r>
  <r>
    <x v="40"/>
    <s v="ilidia.rocha@cj-icm.com"/>
    <s v="Sous-traitants"/>
    <s v="Belgiqu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s v="02001"/>
    <m/>
    <x v="0"/>
    <x v="0"/>
    <s v="Sénégal"/>
    <m/>
    <s v="CM"/>
    <s v="phosphate de chaux"/>
    <s v="Active"/>
    <s v="Thiès"/>
    <d v="1957-12-23T00:00:00"/>
    <d v="1959-01-01T00:00:00"/>
    <d v="2034-01-01T00:00:00"/>
    <m/>
    <s v="104.9462 km²"/>
  </r>
  <r>
    <s v="02002"/>
    <m/>
    <x v="1"/>
    <x v="0"/>
    <s v="Sénégal"/>
    <m/>
    <s v="CM"/>
    <s v="phosphate de chaux"/>
    <s v="Active"/>
    <s v="Thiès"/>
    <d v="1979-01-02T00:00:00"/>
    <d v="2015-03-21T00:00:00"/>
    <d v="2052-01-01T00:00:00"/>
    <m/>
    <s v="21.8889 km²"/>
  </r>
  <r>
    <s v="02003"/>
    <s v="Diack"/>
    <x v="2"/>
    <x v="0"/>
    <s v="Sénégal"/>
    <m/>
    <s v="AECPP"/>
    <s v="basalte"/>
    <s v="Active"/>
    <s v="Thiès"/>
    <d v="1979-05-15T00:00:00"/>
    <d v="2019-10-04T00:00:00"/>
    <d v="2029-10-02T00:00:00"/>
    <m/>
    <s v="6.3789 Ha"/>
  </r>
  <r>
    <s v="02004"/>
    <s v="D1985-399 Warrang"/>
    <x v="3"/>
    <x v="0"/>
    <s v="Sénégal"/>
    <m/>
    <s v="CM"/>
    <s v="argile industrielle, attapulgite, sépiolite"/>
    <s v="Active"/>
    <s v="Thiès"/>
    <d v="1980-08-28T00:00:00"/>
    <d v="1985-04-19T00:00:00"/>
    <m/>
    <m/>
    <s v="1.3304 km²"/>
  </r>
  <r>
    <s v="02005"/>
    <s v="D1985-409 Mbodiène"/>
    <x v="3"/>
    <x v="0"/>
    <s v="Sénégal"/>
    <m/>
    <s v="CM"/>
    <s v="Argile, attapulgite, sépiolite"/>
    <s v="Active"/>
    <s v="Thiès"/>
    <d v="1980-08-28T00:00:00"/>
    <d v="1985-04-19T00:00:00"/>
    <m/>
    <m/>
    <s v="1.1881 km²"/>
  </r>
  <r>
    <s v="02006"/>
    <s v="D1985-411 Allou Kagne"/>
    <x v="3"/>
    <x v="0"/>
    <s v="Sénégal"/>
    <m/>
    <s v="CM"/>
    <s v="argile industrielle, attapulgite, sépiolite"/>
    <s v="Renouvellement en Cours"/>
    <s v="Thiès"/>
    <d v="1980-08-28T00:00:00"/>
    <d v="1998-01-12T00:00:00"/>
    <d v="2023-01-11T00:00:00"/>
    <m/>
    <s v="13.0547 km²"/>
  </r>
  <r>
    <s v="02007"/>
    <s v="D1985-413 Sébikotane"/>
    <x v="3"/>
    <x v="0"/>
    <s v="Sénégal"/>
    <m/>
    <s v="CM"/>
    <s v="Argile, attapulgite, sépiolite"/>
    <s v="Active"/>
    <s v="Thiès"/>
    <d v="1980-08-28T00:00:00"/>
    <d v="1985-04-19T00:00:00"/>
    <m/>
    <m/>
    <s v="3.2995 km²"/>
  </r>
  <r>
    <s v="02008"/>
    <m/>
    <x v="4"/>
    <x v="0"/>
    <s v="Sénégal"/>
    <m/>
    <s v="AECPP"/>
    <s v="basalte"/>
    <s v="Active"/>
    <s v="Thiès"/>
    <d v="1983-02-18T00:00:00"/>
    <d v="1983-05-30T00:00:00"/>
    <d v="2026-09-20T00:00:00"/>
    <m/>
    <s v="2.7659 Ha"/>
  </r>
  <r>
    <s v="02009"/>
    <s v="A007953 Diack"/>
    <x v="5"/>
    <x v="0"/>
    <s v="Sénégal"/>
    <m/>
    <s v="AECPP"/>
    <s v="basalte"/>
    <s v="Active"/>
    <s v="Thiès"/>
    <d v="1987-04-15T00:00:00"/>
    <d v="2009-06-22T00:00:00"/>
    <d v="2025-06-21T00:00:00"/>
    <d v="2020-06-22T00:00:00"/>
    <s v="0.0193 km²"/>
  </r>
  <r>
    <s v="02010"/>
    <s v="Diack"/>
    <x v="6"/>
    <x v="0"/>
    <s v="Sénégal"/>
    <m/>
    <s v="AECPP"/>
    <s v="basalte"/>
    <s v="Avertissement Renouvellement"/>
    <s v="Thiès"/>
    <d v="1994-04-08T00:00:00"/>
    <d v="1995-10-18T00:00:00"/>
    <d v="2025-01-13T00:00:00"/>
    <m/>
    <s v="17.5424 Ha"/>
  </r>
  <r>
    <s v="02011"/>
    <s v="Bandia"/>
    <x v="7"/>
    <x v="0"/>
    <s v="Sénégal"/>
    <m/>
    <s v="AECPP"/>
    <s v="calcaire"/>
    <s v="Active"/>
    <s v="Thiès"/>
    <d v="1995-10-11T00:00:00"/>
    <d v="2021-10-07T00:00:00"/>
    <d v="2026-10-06T00:00:00"/>
    <m/>
    <s v="11.1313 Ha"/>
  </r>
  <r>
    <s v="02013"/>
    <s v="Bandia"/>
    <x v="4"/>
    <x v="0"/>
    <s v="Sénégal"/>
    <m/>
    <s v="AECPP"/>
    <s v="calcaire"/>
    <s v="Active"/>
    <s v="Thiès"/>
    <d v="1996-05-07T00:00:00"/>
    <d v="1996-11-15T00:00:00"/>
    <d v="2026-04-09T00:00:00"/>
    <m/>
    <s v="6.4607 Ha"/>
  </r>
  <r>
    <s v="02014"/>
    <s v="Mbodiène"/>
    <x v="8"/>
    <x v="0"/>
    <s v="Sénégal"/>
    <m/>
    <s v="CM"/>
    <s v="Argile, attapulgite"/>
    <s v="Avertissement Renouvellement"/>
    <s v="Thiès"/>
    <d v="1997-02-07T00:00:00"/>
    <d v="1988-05-26T00:00:00"/>
    <d v="2013-05-26T00:00:00"/>
    <m/>
    <s v="269.4724 Ha"/>
  </r>
  <r>
    <s v="02015"/>
    <s v="D1999-1020 Tobène Nord_ICS"/>
    <x v="9"/>
    <x v="0"/>
    <s v="Sénégal"/>
    <m/>
    <s v="CM"/>
    <s v="phosphate de chaux"/>
    <s v="Active"/>
    <s v="Thiès"/>
    <d v="1998-07-10T00:00:00"/>
    <d v="2009-10-16T00:00:00"/>
    <d v="2024-10-19T00:00:00"/>
    <m/>
    <s v="247.9598 km²"/>
  </r>
  <r>
    <s v="02016"/>
    <s v="Tobene Sud_ICS"/>
    <x v="9"/>
    <x v="0"/>
    <s v="Sénégal"/>
    <m/>
    <s v="CM"/>
    <s v="phosphate de chaux"/>
    <s v="Renouvellement en Cours"/>
    <s v="Thiès"/>
    <d v="1998-07-10T00:00:00"/>
    <d v="1999-10-19T00:00:00"/>
    <d v="2024-10-18T00:00:00"/>
    <m/>
    <s v="18.4142 km²"/>
  </r>
  <r>
    <s v="02017"/>
    <s v="Kirène"/>
    <x v="10"/>
    <x v="0"/>
    <s v="Sénégal"/>
    <m/>
    <s v="CM"/>
    <s v="calcaire"/>
    <s v="Active"/>
    <s v="Thiès"/>
    <d v="1999-05-05T00:00:00"/>
    <d v="2000-02-22T00:00:00"/>
    <d v="2025-02-21T00:00:00"/>
    <m/>
    <s v="586.2024 Ha"/>
  </r>
  <r>
    <s v="02018"/>
    <s v="D2000-106 Thicky"/>
    <x v="10"/>
    <x v="0"/>
    <s v="Sénégal"/>
    <m/>
    <s v="CM"/>
    <s v="Argile"/>
    <s v="Active"/>
    <s v="Thiès"/>
    <d v="1999-05-05T00:00:00"/>
    <d v="2009-10-16T00:00:00"/>
    <d v="2025-02-22T00:00:00"/>
    <m/>
    <s v="1.9998 km²"/>
  </r>
  <r>
    <s v="02019"/>
    <s v="D1998-238 Niamia"/>
    <x v="11"/>
    <x v="0"/>
    <s v="Sénégal"/>
    <m/>
    <s v="CM"/>
    <s v="Au, substance connexes"/>
    <s v="Renouvellement en Cours"/>
    <s v="Kedougou"/>
    <d v="2001-12-18T00:00:00"/>
    <d v="2007-11-02T00:00:00"/>
    <d v="2017-11-02T00:00:00"/>
    <m/>
    <s v="116.7547 km²"/>
  </r>
  <r>
    <s v="02022"/>
    <s v="SABODALA-GORA-MASSAWA"/>
    <x v="12"/>
    <x v="0"/>
    <s v="Sénégal"/>
    <m/>
    <s v="CM"/>
    <s v="Au"/>
    <s v="Active"/>
    <s v="Kedougou"/>
    <d v="2005-03-23T00:00:00"/>
    <d v="2005-06-09T00:00:00"/>
    <d v="2040-04-21T00:00:00"/>
    <m/>
    <s v="611.0000 km²"/>
  </r>
  <r>
    <s v="02024"/>
    <s v="Carrière de calcaire dans la forêt classée de Pout"/>
    <x v="5"/>
    <x v="0"/>
    <s v="Sénégal"/>
    <m/>
    <s v="AECPP"/>
    <s v="calcaire"/>
    <s v="Active"/>
    <s v="Thiès"/>
    <d v="2006-01-17T00:00:00"/>
    <d v="2010-09-09T00:00:00"/>
    <d v="2026-05-12T00:00:00"/>
    <m/>
    <s v="31.8389 Ha"/>
  </r>
  <r>
    <s v="02025"/>
    <s v="D2006-359 Bargny"/>
    <x v="13"/>
    <x v="0"/>
    <s v="Sénégal"/>
    <m/>
    <s v="CM"/>
    <s v="calcaire"/>
    <s v="Active"/>
    <s v="Dakar"/>
    <d v="2006-02-03T00:00:00"/>
    <d v="2009-10-16T00:00:00"/>
    <d v="2031-04-19T00:00:00"/>
    <m/>
    <s v="4.6153 km²"/>
  </r>
  <r>
    <s v="02026"/>
    <s v="Bandia_SOCOCIM"/>
    <x v="14"/>
    <x v="0"/>
    <s v="Sénégal"/>
    <m/>
    <s v="CM"/>
    <s v="calcaire"/>
    <s v="Active"/>
    <s v="Thiès"/>
    <d v="2006-02-03T00:00:00"/>
    <d v="2006-04-19T00:00:00"/>
    <d v="2033-04-19T00:00:00"/>
    <m/>
    <s v="1.1345 km²"/>
  </r>
  <r>
    <s v="02027"/>
    <s v="D2006-361 Pout"/>
    <x v="13"/>
    <x v="0"/>
    <s v="Sénégal"/>
    <m/>
    <s v="CM"/>
    <s v="calcaire"/>
    <s v="Active"/>
    <s v="Thiès"/>
    <d v="2006-02-03T00:00:00"/>
    <d v="2006-04-19T00:00:00"/>
    <d v="2031-04-18T00:00:00"/>
    <m/>
    <s v="4.1711 km²"/>
  </r>
  <r>
    <s v="02028"/>
    <s v="Grande Côte_MDL"/>
    <x v="15"/>
    <x v="0"/>
    <s v="Sénégal"/>
    <m/>
    <s v="CM"/>
    <s v="ML"/>
    <s v="Active"/>
    <s v="Thiès"/>
    <d v="2006-04-19T00:00:00"/>
    <d v="2009-10-16T00:00:00"/>
    <d v="2032-11-02T00:00:00"/>
    <m/>
    <s v="451.9490 km²"/>
  </r>
  <r>
    <s v="02029"/>
    <s v="PAKI"/>
    <x v="16"/>
    <x v="0"/>
    <s v="Sénégal"/>
    <m/>
    <s v="AECPP"/>
    <s v="grès"/>
    <s v="Renouvellement en Cours"/>
    <s v="Thiès"/>
    <d v="2006-06-21T00:00:00"/>
    <d v="2006-11-03T00:00:00"/>
    <d v="2021-04-10T00:00:00"/>
    <m/>
    <s v="5.5140 Ha"/>
  </r>
  <r>
    <s v="02034"/>
    <s v="Thicky-Pout"/>
    <x v="17"/>
    <x v="0"/>
    <s v="Sénégal"/>
    <m/>
    <s v="CM"/>
    <s v="argile industrielle, calcaire, latérite"/>
    <s v="Active"/>
    <s v="Thiès"/>
    <d v="2007-08-16T00:00:00"/>
    <d v="2008-12-12T00:00:00"/>
    <d v="2033-12-11T00:00:00"/>
    <m/>
    <s v="13.0574 km²"/>
  </r>
  <r>
    <s v="02035"/>
    <s v="A008206 Diack"/>
    <x v="4"/>
    <x v="0"/>
    <s v="Sénégal"/>
    <m/>
    <s v="AECPP"/>
    <s v="basalte"/>
    <s v="Active"/>
    <s v="Thiès"/>
    <d v="2007-10-29T00:00:00"/>
    <d v="2008-06-30T00:00:00"/>
    <d v="2026-04-16T00:00:00"/>
    <m/>
    <s v="40.8988 Ha"/>
  </r>
  <r>
    <s v="02036"/>
    <s v="Bandia"/>
    <x v="18"/>
    <x v="0"/>
    <s v="Sénégal"/>
    <m/>
    <s v="AECPP"/>
    <s v="calcaire"/>
    <s v="Active"/>
    <s v="Thiès"/>
    <d v="2005-11-23T00:00:00"/>
    <d v="2006-11-23T00:00:00"/>
    <d v="2025-09-28T00:00:00"/>
    <m/>
    <s v="15.2686 Ha"/>
  </r>
  <r>
    <s v="02037"/>
    <s v="A07540 _ Périmètre de Diack"/>
    <x v="4"/>
    <x v="0"/>
    <s v="Sénégal"/>
    <m/>
    <s v="AECPP"/>
    <s v="basalte"/>
    <s v="Active"/>
    <s v="Thiès"/>
    <d v="2008-02-18T00:00:00"/>
    <d v="2009-08-07T00:00:00"/>
    <d v="2026-11-13T00:00:00"/>
    <m/>
    <s v="14.9861 Ha"/>
  </r>
  <r>
    <s v="02041"/>
    <s v="Bandia"/>
    <x v="4"/>
    <x v="0"/>
    <s v="Sénégal"/>
    <m/>
    <s v="AECPP"/>
    <s v="calcaire"/>
    <s v="Active"/>
    <s v="Thiès"/>
    <d v="2008-09-03T00:00:00"/>
    <d v="2009-08-07T00:00:00"/>
    <d v="2026-04-07T00:00:00"/>
    <m/>
    <s v="5.0028 Ha"/>
  </r>
  <r>
    <s v="02059"/>
    <s v="Woyé"/>
    <x v="19"/>
    <x v="0"/>
    <s v="Sénégal"/>
    <m/>
    <s v="PR"/>
    <s v="Au"/>
    <s v="Renouvellement en Cours"/>
    <s v="Kedougou"/>
    <d v="2009-11-17T00:00:00"/>
    <d v="2019-02-04T00:00:00"/>
    <d v="2023-02-03T00:00:00"/>
    <m/>
    <s v="52.8169 km²"/>
  </r>
  <r>
    <s v="02060"/>
    <s v="Ndoukoura Ouolof- SYPROM SA"/>
    <x v="20"/>
    <x v="0"/>
    <s v="Sénégal"/>
    <m/>
    <s v="AECPP"/>
    <s v="grès"/>
    <s v="Active"/>
    <s v="Dakar"/>
    <d v="2009-12-04T00:00:00"/>
    <d v="2002-06-20T00:00:00"/>
    <d v="2025-06-22T00:00:00"/>
    <m/>
    <s v="11.4965 Ha"/>
  </r>
  <r>
    <s v="02062"/>
    <s v="TAIBA"/>
    <x v="21"/>
    <x v="0"/>
    <s v="Sénégal"/>
    <m/>
    <s v="AEPM"/>
    <s v="Sl"/>
    <s v="Renouvellement en Cours"/>
    <s v="Thiès"/>
    <d v="2010-03-25T00:00:00"/>
    <d v="2018-07-02T00:00:00"/>
    <d v="2023-07-01T00:00:00"/>
    <m/>
    <s v="73.9197 Ha"/>
  </r>
  <r>
    <s v="02063"/>
    <s v="SEGUEKHO BIS"/>
    <x v="22"/>
    <x v="0"/>
    <s v="Sénégal"/>
    <m/>
    <s v="AEMSM"/>
    <s v="Au"/>
    <s v="Avertissement Renouvellement"/>
    <s v="Kedougou"/>
    <d v="2010-05-13T00:00:00"/>
    <d v="2010-07-29T00:00:00"/>
    <d v="2024-03-02T00:00:00"/>
    <m/>
    <s v="0.5001 km²"/>
  </r>
  <r>
    <s v="02068"/>
    <s v="Wassadou Nord"/>
    <x v="23"/>
    <x v="0"/>
    <s v="Sénégal"/>
    <m/>
    <s v="PR"/>
    <s v="Au"/>
    <s v="Renouvellement en Cours"/>
    <s v="Kedougou"/>
    <d v="2010-10-04T00:00:00"/>
    <d v="2012-02-01T00:00:00"/>
    <d v="2021-11-02T00:00:00"/>
    <m/>
    <s v="30.2035 km²"/>
  </r>
  <r>
    <s v="02072"/>
    <s v="Diendouri Ouali Diala"/>
    <x v="24"/>
    <x v="0"/>
    <s v="Sénégal"/>
    <m/>
    <s v="CM"/>
    <s v="phosphate de chaux"/>
    <s v="Active"/>
    <s v="Matam"/>
    <d v="2011-06-08T00:00:00"/>
    <d v="2011-06-08T00:00:00"/>
    <d v="2036-06-08T00:00:00"/>
    <m/>
    <s v="633.5624 km²"/>
  </r>
  <r>
    <s v="02075"/>
    <s v="SANSAMBA"/>
    <x v="25"/>
    <x v="0"/>
    <s v="Sénégal"/>
    <m/>
    <s v="AEPM"/>
    <s v="Au"/>
    <s v="Active"/>
    <s v="Kedougou"/>
    <d v="2011-07-20T00:00:00"/>
    <d v="2012-01-27T00:00:00"/>
    <d v="2028-01-13T00:00:00"/>
    <m/>
    <s v="5.0133 km²"/>
  </r>
  <r>
    <s v="02078"/>
    <s v="Wassadou Sud"/>
    <x v="23"/>
    <x v="0"/>
    <s v="Sénégal"/>
    <m/>
    <s v="PR"/>
    <s v="Au"/>
    <s v="Renouvellement en Cours"/>
    <s v="Kedougou"/>
    <d v="2011-11-18T00:00:00"/>
    <d v="2012-05-22T00:00:00"/>
    <d v="2021-11-02T00:00:00"/>
    <m/>
    <s v="37.4632 km²"/>
  </r>
  <r>
    <s v="02079"/>
    <s v="Tomormadji"/>
    <x v="26"/>
    <x v="0"/>
    <s v="Sénégal"/>
    <m/>
    <s v="PR"/>
    <s v="Mn"/>
    <s v="Transformation en Cours"/>
    <s v="Tambacounda"/>
    <d v="2011-12-27T00:00:00"/>
    <d v="2012-01-10T00:00:00"/>
    <d v="2021-01-27T00:00:00"/>
    <m/>
    <s v="243.3180 km²"/>
  </r>
  <r>
    <s v="02084"/>
    <s v="Sud Kenieba &amp; Medina Foulbe"/>
    <x v="26"/>
    <x v="0"/>
    <s v="Sénégal"/>
    <m/>
    <s v="AEPM"/>
    <s v="Mn"/>
    <s v="Renouvellement en Cours"/>
    <s v="Tambacounda"/>
    <d v="2012-01-16T00:00:00"/>
    <d v="2012-02-01T00:00:00"/>
    <d v="2023-01-31T00:00:00"/>
    <m/>
    <s v="4.9797 km²"/>
  </r>
  <r>
    <s v="02085"/>
    <s v="Sud Saint Louis"/>
    <x v="27"/>
    <x v="0"/>
    <s v="Sénégal"/>
    <m/>
    <s v="AEPM"/>
    <s v="ML"/>
    <s v="Active"/>
    <s v="Saint Louis"/>
    <d v="2012-01-24T00:00:00"/>
    <d v="2019-01-09T00:00:00"/>
    <d v="2029-01-09T00:00:00"/>
    <m/>
    <s v="5.0002 km²"/>
  </r>
  <r>
    <s v="02091"/>
    <s v="YANG-YANG"/>
    <x v="28"/>
    <x v="0"/>
    <s v="Sénégal"/>
    <m/>
    <s v="AECPP"/>
    <s v="calcaire"/>
    <s v="Renouvellement en Cours"/>
    <s v="Louga"/>
    <d v="2012-06-25T00:00:00"/>
    <d v="2018-02-08T00:00:00"/>
    <d v="2023-02-07T00:00:00"/>
    <m/>
    <s v="20.1820 Ha"/>
  </r>
  <r>
    <s v="02100"/>
    <s v="KEBEMER"/>
    <x v="29"/>
    <x v="0"/>
    <s v="Sénégal"/>
    <m/>
    <s v="PR"/>
    <s v="phosphate de chaux"/>
    <s v="Active"/>
    <s v="Louga"/>
    <d v="2013-02-22T00:00:00"/>
    <d v="2013-07-10T00:00:00"/>
    <d v="2025-06-29T00:00:00"/>
    <m/>
    <s v="637.4849 km²"/>
  </r>
  <r>
    <s v="02104"/>
    <s v="Baytilaye"/>
    <x v="30"/>
    <x v="0"/>
    <s v="Sénégal"/>
    <m/>
    <s v="PR"/>
    <s v="Au"/>
    <s v="Active"/>
    <s v="Kedougou"/>
    <d v="2013-06-05T00:00:00"/>
    <d v="2013-11-21T00:00:00"/>
    <d v="2025-11-21T00:00:00"/>
    <m/>
    <s v="154.4092 km²"/>
  </r>
  <r>
    <s v="02105"/>
    <s v="Couloir 1_Diabougou"/>
    <x v="31"/>
    <x v="0"/>
    <s v="Sénégal"/>
    <m/>
    <s v="CO"/>
    <s v="Au"/>
    <s v="Active"/>
    <s v="Tambacounda"/>
    <d v="2013-06-14T00:00:00"/>
    <d v="2014-02-10T00:00:00"/>
    <m/>
    <m/>
    <s v="1,190.3535 Ha"/>
  </r>
  <r>
    <s v="02106"/>
    <s v="Couloir 2_Soukounkou"/>
    <x v="31"/>
    <x v="0"/>
    <s v="Sénégal"/>
    <m/>
    <s v="CO"/>
    <s v="Au"/>
    <s v="Active"/>
    <s v="Tambacounda"/>
    <d v="2013-06-14T00:00:00"/>
    <d v="2014-02-10T00:00:00"/>
    <m/>
    <m/>
    <s v="1,087.8000 Ha"/>
  </r>
  <r>
    <s v="02107"/>
    <s v="Couloir 3_Soreto"/>
    <x v="31"/>
    <x v="0"/>
    <s v="Sénégal"/>
    <m/>
    <s v="CO"/>
    <s v="Au"/>
    <s v="Active"/>
    <s v="Tambacounda"/>
    <d v="2013-06-14T00:00:00"/>
    <d v="2014-02-10T00:00:00"/>
    <m/>
    <m/>
    <s v="6.3000 km²"/>
  </r>
  <r>
    <s v="02108"/>
    <s v="Couloir 4_Makana"/>
    <x v="31"/>
    <x v="0"/>
    <s v="Sénégal"/>
    <m/>
    <s v="CO"/>
    <s v="Au"/>
    <s v="Active"/>
    <s v="Kedougou"/>
    <d v="2013-06-14T00:00:00"/>
    <d v="2014-02-10T00:00:00"/>
    <m/>
    <m/>
    <s v="190.0117 Ha"/>
  </r>
  <r>
    <s v="02109"/>
    <s v="Couloir 5_Tinkoto"/>
    <x v="31"/>
    <x v="0"/>
    <s v="Sénégal"/>
    <m/>
    <s v="CO"/>
    <s v="Au"/>
    <s v="Active"/>
    <s v="Kedougou"/>
    <d v="2013-06-14T00:00:00"/>
    <d v="2014-02-10T00:00:00"/>
    <m/>
    <m/>
    <s v="17.8249 km²"/>
  </r>
  <r>
    <s v="02110"/>
    <s v="Couloir 6_Bantako"/>
    <x v="31"/>
    <x v="0"/>
    <s v="Sénégal"/>
    <m/>
    <s v="CO"/>
    <s v="Au"/>
    <s v="Active"/>
    <s v="Kedougou"/>
    <d v="2013-06-14T00:00:00"/>
    <d v="2014-02-10T00:00:00"/>
    <m/>
    <m/>
    <s v="7.3250 km²"/>
  </r>
  <r>
    <s v="02111"/>
    <s v="Couloir 7_Sansamba"/>
    <x v="31"/>
    <x v="0"/>
    <s v="Sénégal"/>
    <m/>
    <s v="CO"/>
    <s v="Au"/>
    <s v="Active"/>
    <s v="Kedougou"/>
    <d v="2013-06-14T00:00:00"/>
    <d v="2014-02-10T00:00:00"/>
    <m/>
    <m/>
    <s v="7.3250 km²"/>
  </r>
  <r>
    <s v="02112"/>
    <s v="Couloir 8_kabetea Gossan"/>
    <x v="31"/>
    <x v="0"/>
    <s v="Sénégal"/>
    <m/>
    <s v="CO"/>
    <s v="Au"/>
    <s v="Active"/>
    <s v="Kedougou"/>
    <d v="2013-06-14T00:00:00"/>
    <d v="2014-02-10T00:00:00"/>
    <m/>
    <m/>
    <s v="107.6606 Ha"/>
  </r>
  <r>
    <s v="02113"/>
    <s v="Couloir 9_Baqata"/>
    <x v="31"/>
    <x v="0"/>
    <s v="Sénégal"/>
    <m/>
    <s v="CO"/>
    <s v="Au"/>
    <s v="Active"/>
    <s v="Kedougou"/>
    <d v="2013-06-14T00:00:00"/>
    <d v="2014-02-10T00:00:00"/>
    <m/>
    <m/>
    <s v="0.8458 km²"/>
  </r>
  <r>
    <s v="02114"/>
    <s v="Couloir 10_Garaboureya"/>
    <x v="31"/>
    <x v="0"/>
    <s v="Sénégal"/>
    <m/>
    <s v="CO"/>
    <s v="Au"/>
    <s v="Active"/>
    <s v="Kedougou"/>
    <d v="2013-06-14T00:00:00"/>
    <d v="2014-02-10T00:00:00"/>
    <m/>
    <m/>
    <s v="5.4193 km²"/>
  </r>
  <r>
    <s v="02115"/>
    <s v="Couloir 11_Satadougou"/>
    <x v="31"/>
    <x v="0"/>
    <s v="Sénégal"/>
    <m/>
    <s v="CO"/>
    <s v="Au"/>
    <s v="Active"/>
    <s v="Kedougou"/>
    <d v="2013-06-14T00:00:00"/>
    <d v="2014-02-10T00:00:00"/>
    <m/>
    <m/>
    <s v="12.0891 km²"/>
  </r>
  <r>
    <s v="02116"/>
    <s v="Couloir12_Daorala"/>
    <x v="31"/>
    <x v="0"/>
    <s v="Sénégal"/>
    <m/>
    <s v="CO"/>
    <s v="Au"/>
    <s v="Active"/>
    <s v="Kedougou"/>
    <d v="2013-06-14T00:00:00"/>
    <d v="2014-02-10T00:00:00"/>
    <m/>
    <m/>
    <s v="3,060.7524 Ha"/>
  </r>
  <r>
    <s v="02117"/>
    <s v="Couloir13_Karakaena"/>
    <x v="31"/>
    <x v="0"/>
    <s v="Sénégal"/>
    <m/>
    <s v="CO"/>
    <s v="Au"/>
    <s v="Active"/>
    <s v="Kedougou"/>
    <d v="2013-06-14T00:00:00"/>
    <d v="2014-02-10T00:00:00"/>
    <m/>
    <m/>
    <s v="27.0468 Ha"/>
  </r>
  <r>
    <s v="02118"/>
    <s v="Couloir 14_Bondola"/>
    <x v="31"/>
    <x v="0"/>
    <s v="Sénégal"/>
    <m/>
    <s v="CO"/>
    <s v="Au"/>
    <s v="Active"/>
    <s v="Kedougou"/>
    <d v="2013-06-14T00:00:00"/>
    <d v="2014-02-10T00:00:00"/>
    <m/>
    <m/>
    <s v="28.9050 km²"/>
  </r>
  <r>
    <s v="02119"/>
    <s v="Couloir 15_Lingokhoto"/>
    <x v="31"/>
    <x v="0"/>
    <s v="Sénégal"/>
    <m/>
    <s v="CO"/>
    <s v="Au"/>
    <s v="Active"/>
    <s v="Kedougou"/>
    <d v="2013-06-14T00:00:00"/>
    <d v="2014-02-10T00:00:00"/>
    <m/>
    <m/>
    <s v="37.8666 km²"/>
  </r>
  <r>
    <s v="02120"/>
    <s v="Couloir 16_Diakhaling"/>
    <x v="31"/>
    <x v="0"/>
    <s v="Sénégal"/>
    <m/>
    <s v="CO"/>
    <s v="Au"/>
    <s v="Active"/>
    <s v="Kedougou"/>
    <d v="2013-06-14T00:00:00"/>
    <d v="2014-02-10T00:00:00"/>
    <m/>
    <m/>
    <s v="12.7868 km²"/>
  </r>
  <r>
    <s v="02121"/>
    <s v="Couloir 17_Balankonko"/>
    <x v="31"/>
    <x v="0"/>
    <s v="Sénégal"/>
    <m/>
    <s v="CO"/>
    <s v="Au"/>
    <s v="Active"/>
    <s v="Kedougou"/>
    <d v="2013-06-14T00:00:00"/>
    <d v="2014-02-10T00:00:00"/>
    <m/>
    <m/>
    <s v="37.5356 km²"/>
  </r>
  <r>
    <s v="02126"/>
    <s v="A04252_ Diack"/>
    <x v="4"/>
    <x v="0"/>
    <s v="Sénégal"/>
    <m/>
    <s v="AECPP"/>
    <s v="basalte"/>
    <s v="Active"/>
    <s v="Thiès"/>
    <d v="2014-03-31T00:00:00"/>
    <d v="2016-11-14T00:00:00"/>
    <d v="2026-11-13T00:00:00"/>
    <m/>
    <s v="5.0633 Ha"/>
  </r>
  <r>
    <s v="02128"/>
    <s v="BANDIA"/>
    <x v="32"/>
    <x v="0"/>
    <s v="Sénégal"/>
    <m/>
    <s v="AECPP"/>
    <s v="calcaire"/>
    <s v="Active"/>
    <s v="Thiès"/>
    <d v="2014-09-15T00:00:00"/>
    <d v="2017-05-30T00:00:00"/>
    <d v="2027-05-28T00:00:00"/>
    <m/>
    <s v="14.3139 Ha"/>
  </r>
  <r>
    <s v="02129"/>
    <s v="Pout"/>
    <x v="33"/>
    <x v="0"/>
    <s v="Sénégal"/>
    <m/>
    <s v="AECPP"/>
    <s v="calcaire"/>
    <s v="Active"/>
    <s v="Thiès"/>
    <d v="2014-10-27T00:00:00"/>
    <d v="2014-10-07T00:00:00"/>
    <d v="2025-05-11T00:00:00"/>
    <m/>
    <s v="10.0173 Ha"/>
  </r>
  <r>
    <s v="02130"/>
    <s v="Diamba Sud"/>
    <x v="34"/>
    <x v="0"/>
    <s v="Sénégal"/>
    <m/>
    <s v="PR"/>
    <s v="Au"/>
    <s v="Active"/>
    <s v="Kedougou"/>
    <d v="2014-12-17T00:00:00"/>
    <d v="2015-06-10T00:00:00"/>
    <d v="2026-06-21T00:00:00"/>
    <m/>
    <s v="53.4554 km²"/>
  </r>
  <r>
    <s v="02133"/>
    <s v="BANDIA"/>
    <x v="35"/>
    <x v="0"/>
    <s v="Sénégal"/>
    <m/>
    <s v="AECPP"/>
    <s v="calcaire"/>
    <s v="Active"/>
    <s v="Thiès"/>
    <d v="2014-12-31T00:00:00"/>
    <d v="2016-04-18T00:00:00"/>
    <d v="2025-04-24T00:00:00"/>
    <m/>
    <s v="19.6553 Ha"/>
  </r>
  <r>
    <s v="02135"/>
    <s v="Bandia"/>
    <x v="36"/>
    <x v="0"/>
    <s v="Sénégal"/>
    <m/>
    <s v="AECPP"/>
    <s v="calcaire"/>
    <s v="Renouvellement en Cours"/>
    <s v="Thiès"/>
    <d v="2015-01-05T00:00:00"/>
    <d v="2015-02-19T00:00:00"/>
    <d v="2020-02-18T00:00:00"/>
    <m/>
    <s v="19.6820 Ha"/>
  </r>
  <r>
    <s v="02136"/>
    <s v="Bandia"/>
    <x v="37"/>
    <x v="0"/>
    <s v="Sénégal"/>
    <m/>
    <s v="AECPP"/>
    <s v="calcaire"/>
    <s v="Active"/>
    <s v="Thiès"/>
    <d v="2015-01-06T00:00:00"/>
    <d v="2015-02-19T00:00:00"/>
    <d v="2025-02-18T00:00:00"/>
    <m/>
    <s v="6.0200 Ha"/>
  </r>
  <r>
    <s v="02140"/>
    <s v="Bandia"/>
    <x v="38"/>
    <x v="0"/>
    <s v="Sénégal"/>
    <m/>
    <s v="AECPP"/>
    <s v="calcaire"/>
    <s v="Renouvellement en Cours"/>
    <s v="Thiès"/>
    <d v="2015-01-08T00:00:00"/>
    <d v="2015-02-19T00:00:00"/>
    <d v="2020-02-18T00:00:00"/>
    <m/>
    <s v="17.2358 Ha"/>
  </r>
  <r>
    <s v="02142"/>
    <s v="Bandia"/>
    <x v="39"/>
    <x v="0"/>
    <s v="Sénégal"/>
    <m/>
    <s v="AECPP"/>
    <s v="calcaire"/>
    <s v="Renouvellement en Cours"/>
    <s v="Thiès"/>
    <d v="2015-01-15T00:00:00"/>
    <d v="2017-05-31T00:00:00"/>
    <d v="2022-05-30T00:00:00"/>
    <m/>
    <s v="30.0345 Ha"/>
  </r>
  <r>
    <s v="02143"/>
    <s v="MAKO"/>
    <x v="40"/>
    <x v="0"/>
    <s v="Sénégal"/>
    <m/>
    <s v="AECPP"/>
    <s v="basalte"/>
    <s v="Active"/>
    <s v="Kedougou"/>
    <d v="2015-02-13T00:00:00"/>
    <d v="2016-04-19T00:00:00"/>
    <d v="2026-04-18T00:00:00"/>
    <d v="2021-04-19T00:00:00"/>
    <s v="22.2585 Ha"/>
  </r>
  <r>
    <s v="02144"/>
    <s v="D2007-851 Falémé"/>
    <x v="41"/>
    <x v="0"/>
    <s v="Sénégal"/>
    <m/>
    <s v="CM"/>
    <s v="fer"/>
    <s v="Active"/>
    <s v="Kedougou"/>
    <d v="2015-02-21T00:00:00"/>
    <d v="2015-09-16T00:00:00"/>
    <d v="2040-09-16T00:00:00"/>
    <m/>
    <s v="1,331.7571 km²"/>
  </r>
  <r>
    <s v="02146"/>
    <s v="KARAKAENA"/>
    <x v="42"/>
    <x v="0"/>
    <s v="Sénégal"/>
    <m/>
    <s v="PE"/>
    <s v="Au"/>
    <s v="Active"/>
    <s v="Kedougou"/>
    <d v="2015-04-03T00:00:00"/>
    <d v="2021-02-01T00:00:00"/>
    <d v="2026-01-31T00:00:00"/>
    <m/>
    <s v="38.6940 km²"/>
  </r>
  <r>
    <s v="02149"/>
    <s v="Cherif Lo Ngakham"/>
    <x v="43"/>
    <x v="0"/>
    <s v="Sénégal"/>
    <m/>
    <s v="PE"/>
    <s v="phosphate de chaux"/>
    <s v="Active"/>
    <s v="Diourbel"/>
    <d v="2015-04-22T00:00:00"/>
    <d v="2018-09-27T00:00:00"/>
    <d v="2038-09-26T00:00:00"/>
    <m/>
    <s v="74.5280 km²"/>
  </r>
  <r>
    <s v="02152"/>
    <s v="Sambarabougou"/>
    <x v="44"/>
    <x v="0"/>
    <s v="Sénégal"/>
    <m/>
    <s v="PE"/>
    <s v="Au"/>
    <s v="Active"/>
    <s v="Kedougou"/>
    <d v="2015-08-11T00:00:00"/>
    <d v="2017-07-13T00:00:00"/>
    <d v="2027-07-12T00:00:00"/>
    <m/>
    <s v="121.4052 km²"/>
  </r>
  <r>
    <s v="02153"/>
    <s v="KEUR LAT DIOP FALL"/>
    <x v="45"/>
    <x v="0"/>
    <s v="Sénégal"/>
    <m/>
    <s v="AECPP"/>
    <s v="calcaire"/>
    <s v="Active"/>
    <s v="Thiès"/>
    <d v="2015-09-21T00:00:00"/>
    <d v="2016-03-31T00:00:00"/>
    <d v="2026-03-29T00:00:00"/>
    <d v="2021-03-31T00:00:00"/>
    <s v="173.9988 Ha"/>
  </r>
  <r>
    <s v="02154"/>
    <s v="TAIBA"/>
    <x v="46"/>
    <x v="0"/>
    <s v="Sénégal"/>
    <m/>
    <s v="AEHTR"/>
    <s v="Sl"/>
    <s v="Renouvellement en Cours"/>
    <s v="Thiès"/>
    <d v="2015-10-02T00:00:00"/>
    <d v="2016-04-06T00:00:00"/>
    <d v="2021-04-05T00:00:00"/>
    <m/>
    <s v="0.0002 km²"/>
  </r>
  <r>
    <s v="02155"/>
    <s v="MAKO"/>
    <x v="47"/>
    <x v="0"/>
    <s v="Sénégal"/>
    <m/>
    <s v="CM"/>
    <s v="Au"/>
    <s v="Active"/>
    <s v="Kedougou"/>
    <d v="2015-10-20T00:00:00"/>
    <d v="2016-07-14T00:00:00"/>
    <d v="2031-07-14T00:00:00"/>
    <m/>
    <s v="87.2102 km²"/>
  </r>
  <r>
    <s v="02158"/>
    <s v="TINKOTO SOU"/>
    <x v="48"/>
    <x v="0"/>
    <s v="Sénégal"/>
    <m/>
    <s v="AEMSM"/>
    <s v="Au"/>
    <s v="Active"/>
    <s v="Kedougou"/>
    <d v="2016-01-12T00:00:00"/>
    <d v="2010-01-12T00:00:00"/>
    <d v="2024-05-09T00:00:00"/>
    <d v="2019-08-30T00:00:00"/>
    <s v="36.2410 Ha"/>
  </r>
  <r>
    <s v="02159"/>
    <s v="Tassette"/>
    <x v="49"/>
    <x v="0"/>
    <s v="Sénégal"/>
    <m/>
    <s v="AECPP"/>
    <s v="basalte"/>
    <s v="Active"/>
    <s v="Thiès"/>
    <d v="2016-01-26T00:00:00"/>
    <d v="2018-07-26T00:00:00"/>
    <d v="2027-08-15T00:00:00"/>
    <m/>
    <s v="38.3335 Ha"/>
  </r>
  <r>
    <s v="02160"/>
    <s v="Pout"/>
    <x v="50"/>
    <x v="0"/>
    <s v="Sénégal"/>
    <m/>
    <s v="AECPP"/>
    <s v="calcaire"/>
    <s v="Active"/>
    <s v="Thiès"/>
    <d v="2016-02-02T00:00:00"/>
    <d v="2016-06-20T00:00:00"/>
    <d v="2026-06-19T00:00:00"/>
    <m/>
    <s v="17.3701 Ha"/>
  </r>
  <r>
    <s v="02161"/>
    <s v="Taiba"/>
    <x v="51"/>
    <x v="0"/>
    <s v="Sénégal"/>
    <m/>
    <s v="AEHTR"/>
    <s v="Sl"/>
    <s v="Renouvellement en Cours"/>
    <s v="Thiès"/>
    <d v="2016-02-03T00:00:00"/>
    <d v="2016-02-15T00:00:00"/>
    <d v="2021-02-14T00:00:00"/>
    <m/>
    <s v="0.0000 km²"/>
  </r>
  <r>
    <s v="02163"/>
    <m/>
    <x v="52"/>
    <x v="0"/>
    <s v="Sénégal"/>
    <m/>
    <s v="AEHTR"/>
    <s v="Sl"/>
    <s v="Active"/>
    <s v="Thiès"/>
    <d v="2016-02-15T00:00:00"/>
    <d v="2016-09-22T00:00:00"/>
    <d v="2026-09-21T00:00:00"/>
    <d v="2021-09-22T00:00:00"/>
    <s v="0.0000 Ha"/>
  </r>
  <r>
    <s v="02165"/>
    <s v="Pout"/>
    <x v="53"/>
    <x v="0"/>
    <s v="Sénégal"/>
    <m/>
    <s v="AECPP"/>
    <s v="basalte"/>
    <s v="Active"/>
    <s v="Thiès"/>
    <d v="2016-02-22T00:00:00"/>
    <d v="2018-09-19T00:00:00"/>
    <d v="2027-09-13T00:00:00"/>
    <d v="2022-09-14T00:00:00"/>
    <s v="38.5224 Ha"/>
  </r>
  <r>
    <s v="02166"/>
    <s v="Pout"/>
    <x v="14"/>
    <x v="0"/>
    <s v="Sénégal"/>
    <m/>
    <s v="AECPP"/>
    <s v="calcaire"/>
    <s v="Active"/>
    <s v="Thiès"/>
    <d v="2016-02-26T00:00:00"/>
    <d v="2016-03-09T00:00:00"/>
    <d v="2026-03-08T00:00:00"/>
    <m/>
    <s v="94.9570 Ha"/>
  </r>
  <r>
    <s v="02167"/>
    <s v="Taiba"/>
    <x v="54"/>
    <x v="0"/>
    <s v="Sénégal"/>
    <m/>
    <s v="AEHTR"/>
    <s v="Sl"/>
    <s v="Renouvellement en Cours"/>
    <s v="Thiès"/>
    <d v="2016-04-01T00:00:00"/>
    <d v="2018-01-15T00:00:00"/>
    <d v="2023-01-14T00:00:00"/>
    <m/>
    <s v="4.8899 Ha"/>
  </r>
  <r>
    <s v="02175"/>
    <s v="WAKALI GINDE"/>
    <x v="21"/>
    <x v="0"/>
    <s v="Sénégal"/>
    <m/>
    <s v="PR"/>
    <s v="grès"/>
    <s v="Renouvellement en Cours"/>
    <s v="Tambacounda"/>
    <d v="2016-07-20T00:00:00"/>
    <d v="2016-09-22T00:00:00"/>
    <d v="2022-09-21T00:00:00"/>
    <m/>
    <s v="31.7186 km²"/>
  </r>
  <r>
    <s v="02178"/>
    <m/>
    <x v="55"/>
    <x v="0"/>
    <s v="Sénégal"/>
    <m/>
    <s v="AEHTR"/>
    <s v="Sl"/>
    <s v="Active"/>
    <s v="Thiès"/>
    <d v="2016-09-27T00:00:00"/>
    <d v="2018-03-20T00:00:00"/>
    <d v="2028-03-18T00:00:00"/>
    <d v="2023-03-20T00:00:00"/>
    <s v="0.0003 km²"/>
  </r>
  <r>
    <s v="02180"/>
    <s v="LAFIA"/>
    <x v="56"/>
    <x v="0"/>
    <s v="Sénégal"/>
    <m/>
    <s v="PR"/>
    <s v="Au"/>
    <s v="Active"/>
    <s v="Kedougou"/>
    <d v="2016-11-14T00:00:00"/>
    <d v="2018-03-20T00:00:00"/>
    <d v="2025-03-20T00:00:00"/>
    <m/>
    <s v="212.1363 km²"/>
  </r>
  <r>
    <s v="02183"/>
    <s v="KEREKONKO"/>
    <x v="57"/>
    <x v="0"/>
    <s v="Sénégal"/>
    <m/>
    <s v="AEMSM"/>
    <s v="Au"/>
    <s v="Active"/>
    <s v="Kedougou"/>
    <d v="2016-12-15T00:00:00"/>
    <d v="2021-04-06T00:00:00"/>
    <d v="2024-04-05T00:00:00"/>
    <m/>
    <s v="49.8468 Ha"/>
  </r>
  <r>
    <s v="02184"/>
    <s v="Taiba"/>
    <x v="58"/>
    <x v="0"/>
    <s v="Sénégal"/>
    <m/>
    <s v="AEHTR"/>
    <s v="Sl"/>
    <s v="Active"/>
    <s v="Thiès"/>
    <d v="2016-12-15T00:00:00"/>
    <d v="2017-12-14T00:00:00"/>
    <d v="2027-12-12T00:00:00"/>
    <d v="2022-12-14T00:00:00"/>
    <s v="5.1048 Ha"/>
  </r>
  <r>
    <s v="02185"/>
    <s v="Ndebou"/>
    <x v="59"/>
    <x v="0"/>
    <s v="Sénégal"/>
    <m/>
    <s v="AECPP"/>
    <s v="marbre"/>
    <s v="Active"/>
    <s v="Kedougou"/>
    <d v="2017-01-06T00:00:00"/>
    <d v="2018-02-08T00:00:00"/>
    <d v="2028-02-06T00:00:00"/>
    <d v="2023-02-08T00:00:00"/>
    <s v="10.1638 Ha"/>
  </r>
  <r>
    <s v="02188"/>
    <m/>
    <x v="60"/>
    <x v="0"/>
    <s v="Sénégal"/>
    <m/>
    <s v="AECPP"/>
    <s v="calcaire"/>
    <s v="Active"/>
    <s v="Thiès"/>
    <d v="2017-02-20T00:00:00"/>
    <d v="2018-07-23T00:00:00"/>
    <d v="2028-07-23T00:00:00"/>
    <m/>
    <s v="15.0505 Ha"/>
  </r>
  <r>
    <s v="02189"/>
    <s v="BANTAKO"/>
    <x v="61"/>
    <x v="0"/>
    <s v="Sénégal"/>
    <m/>
    <s v="AEMSM"/>
    <s v="Au"/>
    <s v="Renouvellement en Cours"/>
    <s v="Kedougou"/>
    <d v="2017-02-21T00:00:00"/>
    <d v="2021-03-03T00:00:00"/>
    <d v="2024-03-02T00:00:00"/>
    <m/>
    <s v="50.0000 Ha"/>
  </r>
  <r>
    <s v="02190"/>
    <s v="SEGUEKO2"/>
    <x v="62"/>
    <x v="0"/>
    <s v="Sénégal"/>
    <m/>
    <s v="AEMSM"/>
    <s v="Au"/>
    <s v="Renouvellement en Cours"/>
    <s v="Kedougou"/>
    <d v="2017-03-14T00:00:00"/>
    <d v="2021-02-22T00:00:00"/>
    <d v="2024-01-15T00:00:00"/>
    <m/>
    <s v="50.0000 Ha"/>
  </r>
  <r>
    <s v="02191"/>
    <s v="Taiba"/>
    <x v="63"/>
    <x v="0"/>
    <s v="Sénégal"/>
    <m/>
    <s v="AEHTR"/>
    <s v="Sl"/>
    <s v="Active"/>
    <s v="Thiès"/>
    <d v="2017-03-24T00:00:00"/>
    <d v="2017-08-08T00:00:00"/>
    <d v="2027-08-06T00:00:00"/>
    <d v="2022-08-08T00:00:00"/>
    <s v="0.1010 Ha"/>
  </r>
  <r>
    <s v="02195"/>
    <m/>
    <x v="64"/>
    <x v="0"/>
    <s v="Sénégal"/>
    <m/>
    <s v="AEHTR"/>
    <s v="Sl"/>
    <s v="Active"/>
    <s v="Thiès"/>
    <d v="2017-06-06T00:00:00"/>
    <d v="2017-06-22T00:00:00"/>
    <d v="2027-06-20T00:00:00"/>
    <d v="2022-06-22T00:00:00"/>
    <s v="0.0000 km²"/>
  </r>
  <r>
    <s v="02199"/>
    <s v="MADINA FOULBE"/>
    <x v="65"/>
    <x v="0"/>
    <s v="Sénégal"/>
    <m/>
    <s v="PR"/>
    <s v="Au"/>
    <s v="Active"/>
    <s v="Tambacounda"/>
    <d v="2017-07-05T00:00:00"/>
    <d v="2018-01-15T00:00:00"/>
    <d v="2025-01-14T00:00:00"/>
    <m/>
    <s v="146.2646 km²"/>
  </r>
  <r>
    <s v="02200"/>
    <s v="BRANSAN"/>
    <x v="66"/>
    <x v="0"/>
    <s v="Sénégal"/>
    <m/>
    <s v="PR"/>
    <s v="Au, substances connexes"/>
    <s v="Active"/>
    <s v="Kedougou"/>
    <d v="2017-07-20T00:00:00"/>
    <d v="2018-04-20T00:00:00"/>
    <d v="2028-04-20T00:00:00"/>
    <m/>
    <s v="193.3617 km²"/>
  </r>
  <r>
    <s v="02203"/>
    <s v="DJINDJI BASSARI"/>
    <x v="67"/>
    <x v="0"/>
    <s v="Sénégal"/>
    <m/>
    <s v="PR"/>
    <s v="Au, substances connexes"/>
    <s v="Active"/>
    <s v="Kedougou"/>
    <d v="2017-07-26T00:00:00"/>
    <d v="2018-03-20T00:00:00"/>
    <d v="2025-03-20T00:00:00"/>
    <m/>
    <s v="18.2902 km²"/>
  </r>
  <r>
    <s v="02204"/>
    <s v="ICS/TAIBA"/>
    <x v="68"/>
    <x v="0"/>
    <s v="Sénégal"/>
    <m/>
    <s v="AEHTR"/>
    <s v="sable de dune"/>
    <s v="Renouvellement en Cours"/>
    <s v="Thiès"/>
    <d v="2017-08-06T00:00:00"/>
    <d v="2018-04-20T00:00:00"/>
    <d v="2023-04-19T00:00:00"/>
    <m/>
    <s v="0.0001 km²"/>
  </r>
  <r>
    <s v="02207"/>
    <s v="BEGAL-BAITI"/>
    <x v="69"/>
    <x v="0"/>
    <s v="Sénégal"/>
    <m/>
    <s v="PE"/>
    <s v="phosphate de chaux"/>
    <s v="Active"/>
    <s v="Thiès"/>
    <d v="2017-09-22T00:00:00"/>
    <d v="2019-01-16T00:00:00"/>
    <d v="2044-01-16T00:00:00"/>
    <m/>
    <s v="68.3042 km²"/>
  </r>
  <r>
    <s v="02208"/>
    <s v="SARAYA"/>
    <x v="70"/>
    <x v="0"/>
    <s v="Sénégal"/>
    <m/>
    <s v="PR"/>
    <s v="substances connexes, uranium"/>
    <s v="Renouvellement en Cours"/>
    <s v="Kedougou"/>
    <d v="2017-09-28T00:00:00"/>
    <d v="2018-06-05T00:00:00"/>
    <d v="2025-06-05T00:00:00"/>
    <m/>
    <s v="1,648.1931 km²"/>
  </r>
  <r>
    <s v="02211"/>
    <s v="LAMINIA"/>
    <x v="71"/>
    <x v="0"/>
    <s v="Sénégal"/>
    <m/>
    <s v="AEMSM"/>
    <s v="Au"/>
    <s v="Active"/>
    <s v="Kedougou"/>
    <d v="2017-10-18T00:00:00"/>
    <d v="2018-04-20T00:00:00"/>
    <d v="2024-04-19T00:00:00"/>
    <d v="2021-04-20T00:00:00"/>
    <s v="40.0000 Ha"/>
  </r>
  <r>
    <s v="02214"/>
    <s v="TAWA PEUL"/>
    <x v="72"/>
    <x v="0"/>
    <s v="Sénégal"/>
    <m/>
    <s v="PR"/>
    <s v="Sasi"/>
    <s v="Renouvellement en Cours"/>
    <s v="Thiès"/>
    <d v="2017-10-26T00:00:00"/>
    <d v="2018-04-20T00:00:00"/>
    <d v="2022-04-20T00:00:00"/>
    <m/>
    <s v="9.8176 km²"/>
  </r>
  <r>
    <s v="02215"/>
    <s v="NOUMOUFOUKHA"/>
    <x v="73"/>
    <x v="0"/>
    <s v="Sénégal"/>
    <m/>
    <s v="PR"/>
    <s v="Au, substances connexes"/>
    <s v="Active"/>
    <s v="Kedougou"/>
    <d v="2017-10-30T00:00:00"/>
    <d v="2018-06-05T00:00:00"/>
    <d v="2025-06-05T00:00:00"/>
    <m/>
    <s v="60.0113 km²"/>
  </r>
  <r>
    <s v="02220"/>
    <s v="Marougoukoto"/>
    <x v="74"/>
    <x v="0"/>
    <s v="Sénégal"/>
    <m/>
    <s v="AECPP"/>
    <s v="basalte"/>
    <s v="Active"/>
    <s v="Kedougou"/>
    <d v="2017-12-22T00:00:00"/>
    <d v="2021-01-29T00:00:00"/>
    <d v="2026-01-28T00:00:00"/>
    <m/>
    <s v="93.5415 Ha"/>
  </r>
  <r>
    <s v="02222"/>
    <s v="Bambadji"/>
    <x v="75"/>
    <x v="0"/>
    <s v="Sénégal"/>
    <m/>
    <s v="PR"/>
    <s v="Au, Cu"/>
    <s v="Active"/>
    <s v="Kedougou"/>
    <d v="2018-01-02T00:00:00"/>
    <d v="2018-06-05T00:00:00"/>
    <d v="2028-06-04T00:00:00"/>
    <m/>
    <s v="129.5913 km²"/>
  </r>
  <r>
    <s v="02224"/>
    <s v="Taiba"/>
    <x v="76"/>
    <x v="0"/>
    <s v="Sénégal"/>
    <m/>
    <s v="AEHTR"/>
    <s v="Sl"/>
    <s v="Active"/>
    <s v="Thiès"/>
    <d v="2018-01-16T00:00:00"/>
    <d v="2018-04-17T00:00:00"/>
    <d v="2028-02-09T00:00:00"/>
    <d v="2023-02-11T00:00:00"/>
    <s v="1.6957 Ha"/>
  </r>
  <r>
    <s v="02226"/>
    <s v="TAIBA"/>
    <x v="77"/>
    <x v="0"/>
    <s v="Sénégal"/>
    <m/>
    <s v="AEHTR"/>
    <s v="Sl"/>
    <s v="Renouvellement en Cours"/>
    <s v="Thiès"/>
    <d v="2018-01-30T00:00:00"/>
    <d v="2018-06-20T00:00:00"/>
    <d v="2023-06-19T00:00:00"/>
    <m/>
    <s v="0.0004 km²"/>
  </r>
  <r>
    <s v="02229"/>
    <s v="Taiba"/>
    <x v="78"/>
    <x v="0"/>
    <s v="Sénégal"/>
    <m/>
    <s v="AEHTR"/>
    <s v="Sl"/>
    <s v="Renouvellement en Cours"/>
    <s v="Thiès"/>
    <d v="2018-02-20T00:00:00"/>
    <d v="2018-04-20T00:00:00"/>
    <d v="2023-04-19T00:00:00"/>
    <m/>
    <s v="32.2284 Ha"/>
  </r>
  <r>
    <s v="02230"/>
    <s v="ICS/TAIBA"/>
    <x v="78"/>
    <x v="0"/>
    <s v="Sénégal"/>
    <m/>
    <s v="AEHTR"/>
    <s v="sable de dune"/>
    <s v="Renouvellement en Cours"/>
    <s v="Thiès"/>
    <d v="2018-02-20T00:00:00"/>
    <d v="2018-04-20T00:00:00"/>
    <d v="2023-04-19T00:00:00"/>
    <m/>
    <s v="0.0020 km²"/>
  </r>
  <r>
    <s v="02231"/>
    <s v="Taiba"/>
    <x v="79"/>
    <x v="0"/>
    <s v="Sénégal"/>
    <m/>
    <s v="AEHTR"/>
    <s v="Sl"/>
    <s v="Active"/>
    <s v="Thiès"/>
    <d v="2018-03-06T00:00:00"/>
    <d v="2018-05-09T00:00:00"/>
    <d v="2028-05-08T00:00:00"/>
    <d v="2023-05-09T00:00:00"/>
    <s v="0.0795 Ha"/>
  </r>
  <r>
    <s v="02233"/>
    <m/>
    <x v="4"/>
    <x v="0"/>
    <s v="Sénégal"/>
    <m/>
    <s v="AECPP"/>
    <s v="basalte"/>
    <s v="Active"/>
    <s v="Thiès"/>
    <d v="2018-03-19T00:00:00"/>
    <d v="2019-01-28T00:00:00"/>
    <d v="2028-01-27T00:00:00"/>
    <m/>
    <s v="15.9334 Ha"/>
  </r>
  <r>
    <s v="02235"/>
    <s v="ICS/TAIBA"/>
    <x v="80"/>
    <x v="0"/>
    <s v="Sénégal"/>
    <m/>
    <s v="AEHTR"/>
    <s v="sable de dune"/>
    <s v="Renouvellement en Cours"/>
    <s v="Thiès"/>
    <d v="2018-03-22T00:00:00"/>
    <d v="2018-05-14T00:00:00"/>
    <d v="2023-05-13T00:00:00"/>
    <m/>
    <s v="0.0013 km²"/>
  </r>
  <r>
    <s v="02238"/>
    <m/>
    <x v="81"/>
    <x v="0"/>
    <s v="Sénégal"/>
    <m/>
    <s v="AEHTR"/>
    <s v="Sl"/>
    <s v="Active"/>
    <s v="Thiès"/>
    <d v="2018-04-18T00:00:00"/>
    <d v="2018-06-05T00:00:00"/>
    <d v="2028-06-03T00:00:00"/>
    <d v="2023-06-05T00:00:00"/>
    <s v="0.0910 Ha"/>
  </r>
  <r>
    <s v="02242"/>
    <s v="Taiba"/>
    <x v="82"/>
    <x v="0"/>
    <s v="Sénégal"/>
    <m/>
    <s v="AEHTR"/>
    <s v="Sl"/>
    <s v="Active"/>
    <s v="Thiès"/>
    <d v="2018-05-05T00:00:00"/>
    <d v="2018-06-22T00:00:00"/>
    <d v="2028-05-07T00:00:00"/>
    <d v="2023-05-09T00:00:00"/>
    <s v="0.1860 Ha"/>
  </r>
  <r>
    <s v="02247"/>
    <m/>
    <x v="83"/>
    <x v="0"/>
    <s v="Sénégal"/>
    <m/>
    <s v="AEHTR"/>
    <s v="Sl"/>
    <s v="Renouvellement en Cours"/>
    <s v="Thiès"/>
    <d v="2018-05-17T00:00:00"/>
    <d v="2018-07-23T00:00:00"/>
    <d v="2023-07-22T00:00:00"/>
    <m/>
    <s v="0.1020 Ha"/>
  </r>
  <r>
    <s v="02252"/>
    <s v="Taiba"/>
    <x v="84"/>
    <x v="0"/>
    <s v="Sénégal"/>
    <m/>
    <s v="AEHTR"/>
    <s v="Sl"/>
    <s v="Renouvellement en Cours"/>
    <s v="Thiès"/>
    <d v="2018-05-31T00:00:00"/>
    <d v="2018-07-26T00:00:00"/>
    <d v="2023-07-25T00:00:00"/>
    <m/>
    <s v="0.1600 Ha"/>
  </r>
  <r>
    <s v="02253"/>
    <s v=" KAYAR SUD"/>
    <x v="85"/>
    <x v="0"/>
    <s v="Sénégal"/>
    <m/>
    <s v="PR"/>
    <s v="ML"/>
    <s v="Active"/>
    <s v="Thiès"/>
    <d v="2018-06-05T00:00:00"/>
    <d v="2018-10-17T00:00:00"/>
    <d v="2025-10-16T00:00:00"/>
    <m/>
    <s v="17.0071 km²"/>
  </r>
  <r>
    <s v="02259"/>
    <s v="Mako"/>
    <x v="4"/>
    <x v="0"/>
    <s v="Sénégal"/>
    <m/>
    <s v="AECPP"/>
    <s v="basalte"/>
    <s v="Active"/>
    <s v="Kedougou"/>
    <d v="2018-07-10T00:00:00"/>
    <d v="2019-02-14T00:00:00"/>
    <d v="2029-02-13T00:00:00"/>
    <m/>
    <s v="115.0372 Ha"/>
  </r>
  <r>
    <s v="02261"/>
    <s v="KENIEKOTO"/>
    <x v="86"/>
    <x v="0"/>
    <s v="Sénégal"/>
    <m/>
    <s v="PR"/>
    <s v="Au"/>
    <s v="Active"/>
    <s v="Kedougou"/>
    <d v="2018-07-16T00:00:00"/>
    <d v="2019-02-05T00:00:00"/>
    <d v="2026-02-05T00:00:00"/>
    <m/>
    <s v="82.5046 km²"/>
  </r>
  <r>
    <s v="02263"/>
    <s v="SOUROUMDOU"/>
    <x v="67"/>
    <x v="0"/>
    <s v="Sénégal"/>
    <m/>
    <s v="PR"/>
    <s v="Au"/>
    <s v="Active"/>
    <s v="Tambacounda"/>
    <d v="2018-07-23T00:00:00"/>
    <d v="2019-02-05T00:00:00"/>
    <d v="2026-02-04T00:00:00"/>
    <m/>
    <s v="61.4628 km²"/>
  </r>
  <r>
    <s v="02264"/>
    <s v="BADERY"/>
    <x v="87"/>
    <x v="0"/>
    <s v="Sénégal"/>
    <m/>
    <s v="PR"/>
    <s v="Au"/>
    <s v="Active"/>
    <s v="Kedougou"/>
    <d v="2018-07-27T00:00:00"/>
    <d v="2019-03-19T00:00:00"/>
    <d v="2026-03-19T00:00:00"/>
    <m/>
    <s v="84.1912 km²"/>
  </r>
  <r>
    <s v="02268"/>
    <s v="ICS/TAIBA"/>
    <x v="88"/>
    <x v="0"/>
    <s v="Sénégal"/>
    <m/>
    <s v="AEHTR"/>
    <s v="Sl"/>
    <s v="Active"/>
    <s v="Thiès"/>
    <d v="2018-08-14T00:00:00"/>
    <d v="2018-09-27T00:00:00"/>
    <d v="2028-09-26T00:00:00"/>
    <d v="2023-09-27T00:00:00"/>
    <s v="0.1695 Ha"/>
  </r>
  <r>
    <s v="02269"/>
    <m/>
    <x v="89"/>
    <x v="0"/>
    <s v="Sénégal"/>
    <m/>
    <s v="AECPP"/>
    <s v="grès"/>
    <s v="Active"/>
    <s v="Thiès"/>
    <d v="2018-08-16T00:00:00"/>
    <d v="2019-12-26T00:00:00"/>
    <d v="2024-12-25T00:00:00"/>
    <m/>
    <s v="15.9109 Ha"/>
  </r>
  <r>
    <s v="02273"/>
    <s v="LAMBAYE"/>
    <x v="53"/>
    <x v="0"/>
    <s v="Sénégal"/>
    <m/>
    <s v="PR"/>
    <s v="phosphate de chaux"/>
    <s v="Renouvellement en Cours"/>
    <s v="Diourbel"/>
    <d v="2018-09-14T00:00:00"/>
    <d v="2019-01-31T00:00:00"/>
    <d v="2026-01-31T00:00:00"/>
    <m/>
    <s v="421.8438 km²"/>
  </r>
  <r>
    <s v="02274"/>
    <m/>
    <x v="90"/>
    <x v="0"/>
    <s v="Sénégal"/>
    <m/>
    <s v="AECPP"/>
    <s v="basalte"/>
    <s v="Renouvellement en Cours"/>
    <s v="Thiès"/>
    <d v="2018-09-17T00:00:00"/>
    <d v="2019-03-19T00:00:00"/>
    <d v="2024-03-18T00:00:00"/>
    <m/>
    <s v="0.1506 km²"/>
  </r>
  <r>
    <s v="02279"/>
    <s v="Taiba"/>
    <x v="80"/>
    <x v="0"/>
    <s v="Sénégal"/>
    <m/>
    <s v="AEHTR"/>
    <s v="Sl"/>
    <s v="Renouvellement en Cours"/>
    <s v="Thiès"/>
    <d v="2018-10-15T00:00:00"/>
    <d v="2019-01-09T00:00:00"/>
    <d v="2024-01-08T00:00:00"/>
    <m/>
    <s v="0.0002 km²"/>
  </r>
  <r>
    <s v="02280"/>
    <s v="BOTO"/>
    <x v="91"/>
    <x v="0"/>
    <s v="Sénégal"/>
    <m/>
    <s v="PE"/>
    <s v="Au"/>
    <s v="Active"/>
    <s v="Kedougou"/>
    <d v="2018-10-22T00:00:00"/>
    <d v="2019-12-16T00:00:00"/>
    <d v="2039-12-15T00:00:00"/>
    <m/>
    <s v="146.8491 km²"/>
  </r>
  <r>
    <s v="02283"/>
    <s v="ICS/TAIBA"/>
    <x v="92"/>
    <x v="0"/>
    <s v="Sénégal"/>
    <m/>
    <s v="AEHTR"/>
    <s v="Sl"/>
    <s v="Active"/>
    <s v="Thiès"/>
    <d v="2018-10-25T00:00:00"/>
    <d v="2018-12-14T00:00:00"/>
    <d v="2028-05-08T00:00:00"/>
    <d v="2023-05-09T00:00:00"/>
    <s v="0.0018 km²"/>
  </r>
  <r>
    <s v="02289"/>
    <s v="SANGOLA"/>
    <x v="93"/>
    <x v="0"/>
    <s v="Sénégal"/>
    <m/>
    <s v="PR"/>
    <s v="Au"/>
    <s v="Active"/>
    <s v="Kedougou"/>
    <d v="2018-12-21T00:00:00"/>
    <d v="2019-06-07T00:00:00"/>
    <d v="2026-06-07T00:00:00"/>
    <m/>
    <s v="287.7772 km²"/>
  </r>
  <r>
    <s v="02304"/>
    <m/>
    <x v="94"/>
    <x v="0"/>
    <s v="Sénégal"/>
    <m/>
    <s v="AECPP"/>
    <s v="basalte"/>
    <s v="Active"/>
    <s v="Kedougou"/>
    <d v="2019-07-12T00:00:00"/>
    <d v="2019-11-25T00:00:00"/>
    <d v="2024-11-24T00:00:00"/>
    <m/>
    <s v="43.0910 Ha"/>
  </r>
  <r>
    <s v="02306"/>
    <s v="SENALA"/>
    <x v="95"/>
    <x v="0"/>
    <s v="Sénégal"/>
    <m/>
    <s v="PR"/>
    <s v="Au"/>
    <s v="Active"/>
    <s v="Kedougou"/>
    <d v="2019-08-20T00:00:00"/>
    <d v="2020-02-18T00:00:00"/>
    <d v="2027-02-17T00:00:00"/>
    <m/>
    <s v="354.4861 km²"/>
  </r>
  <r>
    <s v="02313"/>
    <s v="DJIGUI"/>
    <x v="96"/>
    <x v="0"/>
    <s v="Sénégal"/>
    <m/>
    <s v="AEMSM"/>
    <s v="Au"/>
    <s v="Active"/>
    <s v="Kedougou"/>
    <d v="2019-10-11T00:00:00"/>
    <d v="2020-02-17T00:00:00"/>
    <d v="2026-02-16T00:00:00"/>
    <d v="2023-02-17T00:00:00"/>
    <s v="49.8546 Ha"/>
  </r>
  <r>
    <s v="02315"/>
    <s v="SADATOU"/>
    <x v="97"/>
    <x v="0"/>
    <s v="Sénégal"/>
    <m/>
    <s v="PR"/>
    <s v="Mn"/>
    <s v="Renouvellement en Cours"/>
    <s v="Tambacounda"/>
    <d v="2019-11-21T00:00:00"/>
    <d v="2020-05-27T00:00:00"/>
    <d v="2024-05-26T00:00:00"/>
    <m/>
    <s v="497.3462 km²"/>
  </r>
  <r>
    <s v="02320"/>
    <s v="Gandon"/>
    <x v="98"/>
    <x v="0"/>
    <s v="Sénégal"/>
    <m/>
    <s v="AECPubP"/>
    <s v="sable de dune"/>
    <s v="Active"/>
    <s v="Saint Louis"/>
    <d v="2020-01-02T00:00:00"/>
    <d v="2020-02-18T00:00:00"/>
    <d v="2025-02-18T00:00:00"/>
    <m/>
    <s v="1.3102 Ha"/>
  </r>
  <r>
    <s v="02321"/>
    <s v="SOUROUKOTO"/>
    <x v="99"/>
    <x v="0"/>
    <s v="Sénégal"/>
    <m/>
    <s v="PR"/>
    <s v="Au"/>
    <s v="Renouvellement en Cours"/>
    <s v="Kedougou"/>
    <d v="2020-01-02T00:00:00"/>
    <d v="2020-07-16T00:00:00"/>
    <d v="2024-07-15T00:00:00"/>
    <m/>
    <s v="923.7671 Ha"/>
  </r>
  <r>
    <s v="02322"/>
    <s v="Tombo"/>
    <x v="100"/>
    <x v="0"/>
    <s v="Sénégal"/>
    <m/>
    <s v="PR"/>
    <s v="Au"/>
    <s v="Active"/>
    <s v="Kedougou"/>
    <d v="2020-01-03T00:00:00"/>
    <d v="2019-02-14T00:00:00"/>
    <d v="2029-02-13T00:00:00"/>
    <m/>
    <s v="18.9029 km²"/>
  </r>
  <r>
    <s v="02327"/>
    <s v="Ouest Laminia"/>
    <x v="101"/>
    <x v="0"/>
    <s v="Sénégal"/>
    <m/>
    <s v="PR"/>
    <s v="Au, substances connexes"/>
    <s v="Renouvellement en Cours"/>
    <s v="Kedougou"/>
    <d v="2020-02-06T00:00:00"/>
    <d v="2020-08-25T00:00:00"/>
    <d v="2027-08-24T00:00:00"/>
    <m/>
    <s v="239.0016 km²"/>
  </r>
  <r>
    <s v="02332"/>
    <s v="Kanoumba"/>
    <x v="102"/>
    <x v="0"/>
    <s v="Sénégal"/>
    <m/>
    <s v="PR"/>
    <s v="Au"/>
    <s v="Renouvellement en Cours"/>
    <s v="Kedougou"/>
    <d v="2020-02-21T00:00:00"/>
    <d v="2020-02-25T00:00:00"/>
    <d v="2024-02-24T00:00:00"/>
    <m/>
    <s v="28,548.2438 Ha"/>
  </r>
  <r>
    <s v="02335"/>
    <s v="WASSADOU SUD"/>
    <x v="103"/>
    <x v="0"/>
    <s v="Sénégal"/>
    <m/>
    <s v="AEPM"/>
    <s v="Au"/>
    <s v="Active"/>
    <s v="Kedougou"/>
    <d v="2020-03-12T00:00:00"/>
    <d v="2020-02-26T00:00:00"/>
    <d v="2025-02-25T00:00:00"/>
    <m/>
    <s v="320.5987 Ha"/>
  </r>
  <r>
    <s v="02339"/>
    <s v="Kaourou"/>
    <x v="104"/>
    <x v="0"/>
    <s v="Sénégal"/>
    <m/>
    <s v="PR"/>
    <s v="Au"/>
    <s v="Active"/>
    <s v="Tambacounda"/>
    <d v="2020-05-18T00:00:00"/>
    <d v="2021-04-06T00:00:00"/>
    <d v="2025-04-05T00:00:00"/>
    <m/>
    <s v="144.2171 km²"/>
  </r>
  <r>
    <s v="02356"/>
    <s v="Kayamakho"/>
    <x v="105"/>
    <x v="0"/>
    <s v="Sénégal"/>
    <m/>
    <s v="AEMSM"/>
    <s v="Au"/>
    <s v="Renouvellement en Cours"/>
    <s v="Kedougou"/>
    <d v="2020-07-20T00:00:00"/>
    <d v="2016-06-16T00:00:00"/>
    <d v="2019-06-17T00:00:00"/>
    <m/>
    <s v="0.4938 km²"/>
  </r>
  <r>
    <s v="02364"/>
    <s v="Taiba"/>
    <x v="106"/>
    <x v="0"/>
    <s v="Sénégal"/>
    <m/>
    <s v="AEHTR"/>
    <s v="Sl"/>
    <s v="Active"/>
    <s v="Thiès"/>
    <d v="2020-08-26T00:00:00"/>
    <d v="2020-10-12T00:00:00"/>
    <d v="2025-10-11T00:00:00"/>
    <m/>
    <s v="0.0005 km²"/>
  </r>
  <r>
    <s v="02367"/>
    <s v="KHOSSANTO"/>
    <x v="107"/>
    <x v="0"/>
    <s v="Sénégal"/>
    <m/>
    <s v="PR"/>
    <s v="Au"/>
    <s v="Renouvellement en Cours"/>
    <s v="Kedougou"/>
    <d v="2020-09-30T00:00:00"/>
    <d v="2020-10-15T00:00:00"/>
    <d v="2024-10-14T00:00:00"/>
    <m/>
    <s v="13.9581 km²"/>
  </r>
  <r>
    <s v="02368"/>
    <s v="Aînoumane"/>
    <x v="106"/>
    <x v="0"/>
    <s v="Sénégal"/>
    <m/>
    <s v="PR"/>
    <s v="phosphate de chaux"/>
    <s v="Renouvellement en Cours"/>
    <s v="Diourbel"/>
    <d v="2020-10-01T00:00:00"/>
    <d v="2020-10-28T00:00:00"/>
    <d v="2024-10-27T00:00:00"/>
    <m/>
    <s v="586.6647 km²"/>
  </r>
  <r>
    <s v="02369"/>
    <s v="POUT"/>
    <x v="108"/>
    <x v="0"/>
    <s v="Sénégal"/>
    <m/>
    <s v="AECPP"/>
    <s v="calcaire"/>
    <s v="Active"/>
    <s v="Thiès"/>
    <d v="2020-10-02T00:00:00"/>
    <d v="2021-03-24T00:00:00"/>
    <d v="2026-03-23T00:00:00"/>
    <m/>
    <s v="277.3672 Ha"/>
  </r>
  <r>
    <s v="02374"/>
    <m/>
    <x v="109"/>
    <x v="0"/>
    <s v="Sénégal"/>
    <m/>
    <s v="AECPP"/>
    <s v="basalte"/>
    <s v="Active"/>
    <s v="Thiès"/>
    <d v="2020-11-25T00:00:00"/>
    <d v="2021-01-29T00:00:00"/>
    <d v="2026-01-28T00:00:00"/>
    <m/>
    <s v="10.5667 Ha"/>
  </r>
  <r>
    <s v="02382"/>
    <s v="ICS"/>
    <x v="110"/>
    <x v="0"/>
    <s v="Sénégal"/>
    <m/>
    <s v="AEHTR"/>
    <s v="Sl"/>
    <s v="Active"/>
    <s v="Thiès"/>
    <d v="2019-12-16T00:00:00"/>
    <d v="2020-02-18T00:00:00"/>
    <d v="2025-02-17T00:00:00"/>
    <m/>
    <s v="0.0005 km²"/>
  </r>
  <r>
    <s v="02383"/>
    <s v="ICS"/>
    <x v="111"/>
    <x v="0"/>
    <s v="Sénégal"/>
    <m/>
    <s v="AEHTR"/>
    <s v="Sl"/>
    <s v="Active"/>
    <s v="Thiès"/>
    <d v="2020-01-15T00:00:00"/>
    <d v="2020-02-18T00:00:00"/>
    <d v="2025-02-17T00:00:00"/>
    <m/>
    <s v="0.0005 km²"/>
  </r>
  <r>
    <s v="02388"/>
    <s v="Bambilor"/>
    <x v="112"/>
    <x v="0"/>
    <s v="Sénégal"/>
    <m/>
    <s v="AECPT"/>
    <s v="sable de dune"/>
    <s v="Retrait en Cours"/>
    <s v="Dakar"/>
    <d v="2021-01-29T00:00:00"/>
    <d v="2021-03-01T00:00:00"/>
    <d v="2021-09-02T00:00:00"/>
    <m/>
    <s v="0.1631 km²"/>
  </r>
  <r>
    <s v="03006"/>
    <s v="DALEMA"/>
    <x v="113"/>
    <x v="0"/>
    <s v="Sénégal"/>
    <m/>
    <s v="PR"/>
    <s v="Au"/>
    <s v="Renouvellement en Cours"/>
    <s v="Kedougou"/>
    <d v="2018-09-13T00:00:00"/>
    <d v="2021-03-26T00:00:00"/>
    <d v="2025-03-25T00:00:00"/>
    <m/>
    <s v="222.3545 km²"/>
  </r>
  <r>
    <s v="03047"/>
    <m/>
    <x v="114"/>
    <x v="0"/>
    <s v="Sénégal"/>
    <m/>
    <s v="AECPP"/>
    <s v="kao"/>
    <s v="Active"/>
    <s v="Tambacounda"/>
    <d v="2021-02-11T00:00:00"/>
    <d v="2021-04-19T00:00:00"/>
    <d v="2026-04-18T00:00:00"/>
    <m/>
    <s v="7.0493 Ha"/>
  </r>
  <r>
    <s v="03048"/>
    <m/>
    <x v="114"/>
    <x v="0"/>
    <s v="Sénégal"/>
    <m/>
    <s v="AECPP"/>
    <s v="granite"/>
    <s v="Active"/>
    <s v="Kedougou"/>
    <d v="2021-02-11T00:00:00"/>
    <d v="2021-04-29T00:00:00"/>
    <d v="2026-04-28T00:00:00"/>
    <m/>
    <s v="20.0475 Ha"/>
  </r>
  <r>
    <s v="03054"/>
    <m/>
    <x v="115"/>
    <x v="0"/>
    <s v="Sénégal"/>
    <m/>
    <s v="AECPP"/>
    <s v="basalte"/>
    <s v="Active"/>
    <s v="Kedougou"/>
    <d v="2019-12-17T00:00:00"/>
    <d v="2021-04-29T00:00:00"/>
    <d v="2026-04-28T00:00:00"/>
    <m/>
    <s v="50.0002 Ha"/>
  </r>
  <r>
    <s v="03101"/>
    <m/>
    <x v="116"/>
    <x v="0"/>
    <s v="Sénégal"/>
    <m/>
    <s v="AECPP"/>
    <s v="basalte"/>
    <s v="Active"/>
    <s v="Kedougou"/>
    <d v="2021-04-26T00:00:00"/>
    <d v="2021-08-31T00:00:00"/>
    <d v="2026-08-30T00:00:00"/>
    <m/>
    <s v="27.5130 Ha"/>
  </r>
  <r>
    <s v="03103"/>
    <s v="Soukouta"/>
    <x v="117"/>
    <x v="0"/>
    <s v="Sénégal"/>
    <m/>
    <s v="AEMSM"/>
    <s v="Au"/>
    <s v="Active"/>
    <s v="Kedougou"/>
    <d v="2021-04-12T00:00:00"/>
    <d v="2021-07-06T00:00:00"/>
    <d v="2024-07-05T00:00:00"/>
    <m/>
    <s v="35.9560 Ha"/>
  </r>
  <r>
    <s v="03182"/>
    <m/>
    <x v="118"/>
    <x v="0"/>
    <s v="Sénégal"/>
    <m/>
    <s v="AECPP"/>
    <s v="basalte"/>
    <s v="Active"/>
    <s v="Kedougou"/>
    <d v="2018-06-18T00:00:00"/>
    <d v="2021-07-02T00:00:00"/>
    <d v="2026-07-01T00:00:00"/>
    <m/>
    <s v="10.2223 Ha"/>
  </r>
  <r>
    <s v="03199"/>
    <m/>
    <x v="119"/>
    <x v="0"/>
    <s v="Sénégal"/>
    <m/>
    <s v="AEHTR"/>
    <s v="Sl"/>
    <s v="Active"/>
    <s v="Thiès"/>
    <d v="2021-04-08T00:00:00"/>
    <d v="2021-04-29T00:00:00"/>
    <d v="2026-04-28T00:00:00"/>
    <m/>
    <m/>
  </r>
  <r>
    <s v="03200"/>
    <m/>
    <x v="120"/>
    <x v="0"/>
    <s v="Sénégal"/>
    <m/>
    <s v="AECPubP"/>
    <s v="sable de dune"/>
    <s v="Active"/>
    <s v="Tambacounda"/>
    <d v="2021-03-25T00:00:00"/>
    <d v="2021-04-29T00:00:00"/>
    <d v="2026-04-28T00:00:00"/>
    <m/>
    <s v="10.0094 Ha"/>
  </r>
  <r>
    <s v="03214"/>
    <s v="Tafia-Nefis"/>
    <x v="121"/>
    <x v="0"/>
    <s v="Sénégal"/>
    <m/>
    <s v="AEMSM"/>
    <s v="Au"/>
    <s v="Renouvellement en Cours"/>
    <s v="Kedougou"/>
    <d v="2021-02-24T00:00:00"/>
    <d v="2021-08-05T00:00:00"/>
    <d v="2024-08-04T00:00:00"/>
    <m/>
    <s v="48.7817 Ha"/>
  </r>
  <r>
    <s v="03217"/>
    <s v="Franding"/>
    <x v="122"/>
    <x v="0"/>
    <s v="Sénégal"/>
    <m/>
    <s v="AEPM"/>
    <s v="Au"/>
    <s v="Active"/>
    <s v="Kedougou"/>
    <d v="2021-01-02T00:00:00"/>
    <d v="2021-07-07T00:00:00"/>
    <d v="2026-07-06T00:00:00"/>
    <m/>
    <s v="424.7041 Ha"/>
  </r>
  <r>
    <s v="03219"/>
    <m/>
    <x v="123"/>
    <x v="0"/>
    <s v="Sénégal"/>
    <m/>
    <s v="AECPP"/>
    <s v="grès"/>
    <s v="Active"/>
    <s v="Kedougou"/>
    <d v="2020-08-27T00:00:00"/>
    <d v="2021-06-10T00:00:00"/>
    <d v="2026-06-09T00:00:00"/>
    <m/>
    <s v="27.9553 Ha"/>
  </r>
  <r>
    <s v="03228"/>
    <m/>
    <x v="124"/>
    <x v="0"/>
    <s v="Sénégal"/>
    <m/>
    <s v="PR"/>
    <s v="basalte, tf"/>
    <s v="Active"/>
    <s v="Diourbel"/>
    <d v="2020-01-03T00:00:00"/>
    <d v="2021-10-07T00:00:00"/>
    <d v="2025-10-06T00:00:00"/>
    <m/>
    <s v="31.9992 km²"/>
  </r>
  <r>
    <s v="03241"/>
    <m/>
    <x v="125"/>
    <x v="0"/>
    <s v="Sénégal"/>
    <m/>
    <s v="AECPP"/>
    <s v="basalte"/>
    <s v="Active"/>
    <s v="Kedougou"/>
    <d v="2021-06-04T00:00:00"/>
    <d v="2021-07-28T00:00:00"/>
    <d v="2026-07-27T00:00:00"/>
    <m/>
    <s v="25.0100 Ha"/>
  </r>
  <r>
    <s v="03264"/>
    <s v="Packi"/>
    <x v="126"/>
    <x v="0"/>
    <s v="Sénégal"/>
    <m/>
    <s v="AECPP"/>
    <s v="grès, latérite"/>
    <s v="Active"/>
    <s v="Thiès"/>
    <d v="2021-07-02T00:00:00"/>
    <d v="2021-08-31T00:00:00"/>
    <d v="2026-08-30T00:00:00"/>
    <m/>
    <s v="1.9792 Ha"/>
  </r>
  <r>
    <s v="03265"/>
    <s v="ICS/Darou khoudosse"/>
    <x v="127"/>
    <x v="0"/>
    <s v="Sénégal"/>
    <m/>
    <s v="AEHTR"/>
    <s v="Sl"/>
    <s v="Active"/>
    <s v="Thiès"/>
    <d v="2021-08-09T00:00:00"/>
    <d v="2021-10-12T00:00:00"/>
    <d v="2026-10-11T00:00:00"/>
    <m/>
    <m/>
  </r>
  <r>
    <s v="03268"/>
    <m/>
    <x v="128"/>
    <x v="0"/>
    <s v="Sénégal"/>
    <m/>
    <s v="AEMSM"/>
    <s v="Au"/>
    <s v="Active"/>
    <s v="Kedougou"/>
    <d v="2020-07-21T00:00:00"/>
    <d v="2022-03-03T00:00:00"/>
    <d v="2025-03-02T00:00:00"/>
    <m/>
    <s v="49.9720 Ha"/>
  </r>
  <r>
    <s v="03271"/>
    <s v="ICS"/>
    <x v="129"/>
    <x v="0"/>
    <s v="Sénégal"/>
    <m/>
    <s v="AEHTR"/>
    <s v="Sl"/>
    <s v="Active"/>
    <s v="Thiès"/>
    <d v="2021-06-01T00:00:00"/>
    <d v="2021-10-07T00:00:00"/>
    <d v="2026-10-06T00:00:00"/>
    <m/>
    <m/>
  </r>
  <r>
    <s v="03272"/>
    <m/>
    <x v="20"/>
    <x v="0"/>
    <s v="Sénégal"/>
    <m/>
    <s v="AEHTR"/>
    <s v="Sl"/>
    <s v="Active"/>
    <s v="Thiès"/>
    <d v="2021-06-07T00:00:00"/>
    <d v="2021-10-07T00:00:00"/>
    <d v="2026-10-06T00:00:00"/>
    <m/>
    <m/>
  </r>
  <r>
    <s v="03283"/>
    <s v="ICS"/>
    <x v="130"/>
    <x v="0"/>
    <s v="Sénégal"/>
    <m/>
    <s v="AEHTR"/>
    <s v="Sl"/>
    <s v="Active"/>
    <s v="Thiès"/>
    <d v="2021-08-06T00:00:00"/>
    <d v="2021-12-07T00:00:00"/>
    <d v="2026-12-06T00:00:00"/>
    <m/>
    <m/>
  </r>
  <r>
    <s v="03292"/>
    <m/>
    <x v="131"/>
    <x v="0"/>
    <s v="Sénégal"/>
    <m/>
    <s v="AECPP"/>
    <s v="Argile, latérite"/>
    <s v="Active"/>
    <s v="Thiès"/>
    <d v="2021-05-04T00:00:00"/>
    <d v="2021-07-15T00:00:00"/>
    <d v="2026-07-14T00:00:00"/>
    <m/>
    <s v="59.9400 Ha"/>
  </r>
  <r>
    <s v="03299"/>
    <s v="ICS TAIBA"/>
    <x v="132"/>
    <x v="0"/>
    <s v="Sénégal"/>
    <m/>
    <s v="AEHTR"/>
    <s v="Sl"/>
    <s v="Active"/>
    <s v="Thiès"/>
    <d v="2021-04-15T00:00:00"/>
    <d v="2021-06-10T00:00:00"/>
    <d v="2026-06-09T00:00:00"/>
    <m/>
    <m/>
  </r>
  <r>
    <s v="03303"/>
    <s v="Pout"/>
    <x v="133"/>
    <x v="0"/>
    <s v="Sénégal"/>
    <m/>
    <s v="AECPP"/>
    <s v="basalte"/>
    <s v="Active"/>
    <s v="Thiès"/>
    <d v="2021-12-10T00:00:00"/>
    <d v="2022-01-11T00:00:00"/>
    <d v="2027-01-10T00:00:00"/>
    <m/>
    <s v="93.0049 Ha"/>
  </r>
  <r>
    <s v="03314"/>
    <s v="Sosesa/ICS darou khoudosse"/>
    <x v="134"/>
    <x v="0"/>
    <s v="Sénégal"/>
    <m/>
    <s v="AEHTR"/>
    <s v="Sl"/>
    <s v="Active"/>
    <s v="Thiès"/>
    <d v="2021-08-17T00:00:00"/>
    <d v="2021-09-23T00:00:00"/>
    <d v="2026-09-22T00:00:00"/>
    <m/>
    <m/>
  </r>
  <r>
    <s v="03317"/>
    <s v="Lam Lam"/>
    <x v="135"/>
    <x v="0"/>
    <s v="Sénégal"/>
    <m/>
    <s v="AEHTR"/>
    <s v="Sl"/>
    <s v="Active"/>
    <s v="Thiès"/>
    <d v="2021-07-08T00:00:00"/>
    <d v="2022-11-25T00:00:00"/>
    <d v="2027-11-24T00:00:00"/>
    <m/>
    <m/>
  </r>
  <r>
    <s v="03319"/>
    <s v="DALOTO NORD-OUEST"/>
    <x v="136"/>
    <x v="0"/>
    <s v="Sénégal"/>
    <m/>
    <s v="PR"/>
    <s v="Au"/>
    <s v="Active"/>
    <s v="Kedougou"/>
    <d v="2021-11-29T00:00:00"/>
    <d v="2024-03-06T00:00:00"/>
    <d v="2028-03-05T00:00:00"/>
    <m/>
    <s v="49.9917 km²"/>
  </r>
  <r>
    <s v="03340"/>
    <m/>
    <x v="137"/>
    <x v="0"/>
    <s v="Sénégal"/>
    <m/>
    <s v="AEHTR"/>
    <s v="Sl"/>
    <s v="Renouvellement en Cours"/>
    <s v="Thiès"/>
    <d v="2021-04-19T00:00:00"/>
    <d v="2021-05-10T00:00:00"/>
    <d v="2026-05-09T00:00:00"/>
    <m/>
    <m/>
  </r>
  <r>
    <s v="03344"/>
    <s v="Mansadala"/>
    <x v="6"/>
    <x v="0"/>
    <s v="Sénégal"/>
    <m/>
    <s v="AECPP"/>
    <s v="dl"/>
    <s v="Active"/>
    <s v="Tambacounda"/>
    <d v="2019-10-16T00:00:00"/>
    <d v="2020-10-10T00:00:00"/>
    <d v="2025-10-09T00:00:00"/>
    <m/>
    <s v="49.9888 Ha"/>
  </r>
  <r>
    <s v="03346"/>
    <s v="ICS MBORO"/>
    <x v="138"/>
    <x v="0"/>
    <s v="Sénégal"/>
    <m/>
    <s v="AEHTR"/>
    <s v="Sl"/>
    <s v="Active"/>
    <s v="Thiès"/>
    <d v="2021-09-16T00:00:00"/>
    <d v="2021-10-07T00:00:00"/>
    <d v="2026-10-06T00:00:00"/>
    <m/>
    <m/>
  </r>
  <r>
    <s v="03347"/>
    <s v="ICS MBORO"/>
    <x v="126"/>
    <x v="0"/>
    <s v="Sénégal"/>
    <m/>
    <s v="AEHTR"/>
    <s v="Sl"/>
    <s v="Active"/>
    <s v="Thiès"/>
    <d v="2021-07-27T00:00:00"/>
    <d v="2020-12-07T00:00:00"/>
    <d v="2025-12-06T00:00:00"/>
    <m/>
    <m/>
  </r>
  <r>
    <s v="03358"/>
    <s v="BONDALA"/>
    <x v="139"/>
    <x v="0"/>
    <s v="Sénégal"/>
    <m/>
    <s v="PR"/>
    <s v="Au"/>
    <s v="Active"/>
    <s v="Kedougou"/>
    <d v="2018-06-18T00:00:00"/>
    <d v="2022-03-03T00:00:00"/>
    <d v="2026-03-02T00:00:00"/>
    <m/>
    <s v="207.1757 km²"/>
  </r>
  <r>
    <s v="03360"/>
    <s v="MORICHOU"/>
    <x v="139"/>
    <x v="0"/>
    <s v="Sénégal"/>
    <m/>
    <s v="PR"/>
    <s v="Au"/>
    <s v="Active"/>
    <s v="Tambacounda"/>
    <d v="2021-08-23T00:00:00"/>
    <d v="2022-03-03T00:00:00"/>
    <d v="2026-03-02T00:00:00"/>
    <m/>
    <s v="431.2050 km²"/>
  </r>
  <r>
    <s v="03364"/>
    <m/>
    <x v="140"/>
    <x v="0"/>
    <s v="Sénégal"/>
    <m/>
    <s v="AEMSM"/>
    <s v="Au"/>
    <s v="Active"/>
    <s v="Kedougou"/>
    <d v="2022-02-17T00:00:00"/>
    <d v="2022-02-22T00:00:00"/>
    <d v="2025-02-21T00:00:00"/>
    <m/>
    <s v="41.9329 Ha"/>
  </r>
  <r>
    <s v="03365"/>
    <m/>
    <x v="141"/>
    <x v="0"/>
    <s v="Sénégal"/>
    <m/>
    <s v="PR"/>
    <s v="phosphate de chaux"/>
    <s v="Active"/>
    <s v="Louga"/>
    <d v="2021-09-20T00:00:00"/>
    <d v="2022-02-23T00:00:00"/>
    <d v="2026-02-22T00:00:00"/>
    <m/>
    <s v="2,855.2328 km²"/>
  </r>
  <r>
    <s v="03375"/>
    <s v="ICS"/>
    <x v="142"/>
    <x v="0"/>
    <s v="Sénégal"/>
    <m/>
    <s v="AEHTR"/>
    <s v="Sl"/>
    <s v="Active"/>
    <s v="Thiès"/>
    <d v="2021-07-27T00:00:00"/>
    <d v="2022-03-22T00:00:00"/>
    <d v="2027-03-21T00:00:00"/>
    <m/>
    <m/>
  </r>
  <r>
    <s v="03379"/>
    <s v="Baytilaye"/>
    <x v="143"/>
    <x v="0"/>
    <s v="Sénégal"/>
    <m/>
    <s v="AEMSM"/>
    <s v="Au"/>
    <s v="Active"/>
    <s v="Kedougou"/>
    <d v="2021-12-16T00:00:00"/>
    <d v="2022-07-20T00:00:00"/>
    <d v="2025-07-19T00:00:00"/>
    <m/>
    <s v="49.6799 Ha"/>
  </r>
  <r>
    <s v="03380"/>
    <s v="Kassassoko"/>
    <x v="144"/>
    <x v="0"/>
    <s v="Sénégal"/>
    <m/>
    <s v="AEPM"/>
    <s v="Au"/>
    <s v="Active"/>
    <s v="Kedougou"/>
    <d v="2021-10-25T00:00:00"/>
    <d v="2022-01-11T00:00:00"/>
    <d v="2027-01-10T00:00:00"/>
    <m/>
    <s v="39.3783 Ha"/>
  </r>
  <r>
    <s v="03381"/>
    <s v="Wakilaré"/>
    <x v="145"/>
    <x v="0"/>
    <s v="Sénégal"/>
    <m/>
    <s v="AEMSM"/>
    <s v="Au"/>
    <s v="Active"/>
    <s v="Kedougou"/>
    <d v="2021-07-07T00:00:00"/>
    <d v="2022-03-22T00:00:00"/>
    <d v="2025-03-21T00:00:00"/>
    <m/>
    <s v="50.4400 Ha"/>
  </r>
  <r>
    <s v="03382"/>
    <s v="NGari Sud"/>
    <x v="146"/>
    <x v="0"/>
    <s v="Sénégal"/>
    <m/>
    <s v="AEMSM"/>
    <s v="Au"/>
    <s v="Renouvellement en Cours"/>
    <s v="Kedougou"/>
    <d v="2009-08-20T00:00:00"/>
    <d v="2009-11-02T00:00:00"/>
    <d v="2020-11-01T00:00:00"/>
    <d v="2017-11-02T00:00:00"/>
    <s v="0.4992 km²"/>
  </r>
  <r>
    <s v="03387"/>
    <s v="Périmètre 2"/>
    <x v="147"/>
    <x v="0"/>
    <s v="Sénégal"/>
    <m/>
    <s v="AEMSM"/>
    <s v="Au"/>
    <s v="Active"/>
    <s v="Kedougou"/>
    <d v="2022-04-11T00:00:00"/>
    <d v="2022-06-24T00:00:00"/>
    <d v="2025-06-23T00:00:00"/>
    <m/>
    <s v="14.8837 Ha"/>
  </r>
  <r>
    <s v="03389"/>
    <s v="Périmètre 1"/>
    <x v="147"/>
    <x v="0"/>
    <s v="Sénégal"/>
    <m/>
    <s v="AEMSM"/>
    <s v="Au"/>
    <s v="Active"/>
    <s v="Kedougou"/>
    <d v="2022-04-11T00:00:00"/>
    <d v="2022-06-24T00:00:00"/>
    <d v="2025-06-23T00:00:00"/>
    <m/>
    <s v="15.1226 Ha"/>
  </r>
  <r>
    <s v="03400"/>
    <s v="BAMBADJI SUD"/>
    <x v="148"/>
    <x v="0"/>
    <s v="Sénégal"/>
    <m/>
    <s v="PR"/>
    <s v="Au"/>
    <s v="Active"/>
    <s v="Kedougou"/>
    <d v="2022-05-11T00:00:00"/>
    <d v="2022-08-16T00:00:00"/>
    <d v="2026-08-15T00:00:00"/>
    <m/>
    <s v="58.2506 km²"/>
  </r>
  <r>
    <s v="03404"/>
    <s v="ILYMALO"/>
    <x v="86"/>
    <x v="0"/>
    <s v="Sénégal"/>
    <m/>
    <s v="PR"/>
    <s v="Li"/>
    <s v="Active"/>
    <s v="Kedougou"/>
    <d v="2017-11-27T00:00:00"/>
    <d v="2018-05-09T00:00:00"/>
    <d v="2025-05-08T00:00:00"/>
    <m/>
    <s v="258.6613 km²"/>
  </r>
  <r>
    <s v="03406"/>
    <s v="Nord Diabougou"/>
    <x v="149"/>
    <x v="0"/>
    <s v="Sénégal"/>
    <m/>
    <s v="AEMSM"/>
    <s v="Au"/>
    <s v="Active"/>
    <s v="Kedougou"/>
    <d v="2022-05-16T00:00:00"/>
    <d v="2022-06-02T00:00:00"/>
    <d v="2025-06-01T00:00:00"/>
    <m/>
    <s v="44.7300 Ha"/>
  </r>
  <r>
    <s v="03410"/>
    <s v="Kawsara"/>
    <x v="150"/>
    <x v="0"/>
    <s v="Sénégal"/>
    <m/>
    <s v="AEMSM"/>
    <s v="Au"/>
    <s v="Active"/>
    <s v="Kedougou"/>
    <d v="2022-04-11T00:00:00"/>
    <d v="2022-07-20T00:00:00"/>
    <d v="2025-07-19T00:00:00"/>
    <m/>
    <s v="49.9590 Ha"/>
  </r>
  <r>
    <s v="03411"/>
    <m/>
    <x v="151"/>
    <x v="0"/>
    <s v="Sénégal"/>
    <m/>
    <s v="AEMSM"/>
    <s v="Au"/>
    <s v="Active"/>
    <s v="Kedougou"/>
    <d v="2021-11-09T00:00:00"/>
    <d v="2022-08-23T00:00:00"/>
    <d v="2025-08-22T00:00:00"/>
    <m/>
    <s v="47.5780 Ha"/>
  </r>
  <r>
    <s v="03419"/>
    <s v="Madina"/>
    <x v="152"/>
    <x v="0"/>
    <s v="Sénégal"/>
    <m/>
    <s v="PR"/>
    <s v="Au"/>
    <s v="Active"/>
    <s v="Kedougou"/>
    <d v="2022-03-22T00:00:00"/>
    <d v="2022-06-07T00:00:00"/>
    <d v="2026-06-06T00:00:00"/>
    <m/>
    <s v="174.8785 km²"/>
  </r>
  <r>
    <s v="03420"/>
    <s v="Ngadiawane"/>
    <x v="153"/>
    <x v="0"/>
    <s v="Sénégal"/>
    <m/>
    <s v="PR"/>
    <s v="phosphate de chaux"/>
    <s v="Active"/>
    <s v="Thiès"/>
    <d v="2022-03-16T00:00:00"/>
    <d v="2022-06-07T00:00:00"/>
    <d v="2026-06-06T00:00:00"/>
    <m/>
    <s v="270.9270 km²"/>
  </r>
  <r>
    <s v="03421"/>
    <s v="Périmètre 3"/>
    <x v="147"/>
    <x v="0"/>
    <s v="Sénégal"/>
    <m/>
    <s v="AEMSM"/>
    <s v="Au"/>
    <s v="Active"/>
    <s v="Kedougou"/>
    <d v="2022-04-11T00:00:00"/>
    <d v="2022-06-24T00:00:00"/>
    <d v="2025-06-23T00:00:00"/>
    <m/>
    <s v="22.4300 Ha"/>
  </r>
  <r>
    <s v="03423"/>
    <s v="ICS"/>
    <x v="154"/>
    <x v="0"/>
    <s v="Sénégal"/>
    <m/>
    <s v="AEHTR"/>
    <s v="Sl"/>
    <s v="Active"/>
    <s v="Thiès"/>
    <d v="2021-12-08T00:00:00"/>
    <d v="2022-03-22T00:00:00"/>
    <d v="2027-03-21T00:00:00"/>
    <m/>
    <m/>
  </r>
  <r>
    <s v="03424"/>
    <s v="ICS"/>
    <x v="155"/>
    <x v="0"/>
    <s v="Sénégal"/>
    <m/>
    <s v="AEHTR"/>
    <s v="Sl"/>
    <s v="Active"/>
    <s v="Thiès"/>
    <d v="2021-12-02T00:00:00"/>
    <d v="2022-02-02T00:00:00"/>
    <d v="2027-02-01T00:00:00"/>
    <m/>
    <m/>
  </r>
  <r>
    <s v="03427"/>
    <m/>
    <x v="156"/>
    <x v="0"/>
    <s v="Sénégal"/>
    <m/>
    <s v="AEMSM"/>
    <s v="Au"/>
    <s v="Active"/>
    <s v="Kedougou"/>
    <d v="2022-05-11T00:00:00"/>
    <d v="2023-06-03T00:00:00"/>
    <d v="2026-06-02T00:00:00"/>
    <m/>
    <s v="48.0125 Ha"/>
  </r>
  <r>
    <s v="03429"/>
    <s v="Kolomdinnkourou"/>
    <x v="149"/>
    <x v="0"/>
    <s v="Sénégal"/>
    <m/>
    <s v="AEMSM"/>
    <s v="Au"/>
    <s v="Active"/>
    <s v="Kedougou"/>
    <d v="2022-05-16T00:00:00"/>
    <d v="2022-06-02T00:00:00"/>
    <d v="2025-06-01T00:00:00"/>
    <m/>
    <s v="46.4440 Ha"/>
  </r>
  <r>
    <s v="03430"/>
    <s v="Tambanoumiya"/>
    <x v="157"/>
    <x v="0"/>
    <s v="Sénégal"/>
    <m/>
    <s v="AEMSM"/>
    <s v="Au"/>
    <s v="Active"/>
    <s v="Kedougou"/>
    <d v="2021-11-09T00:00:00"/>
    <d v="2022-05-23T00:00:00"/>
    <d v="2025-05-22T00:00:00"/>
    <m/>
    <s v="44.4012 Ha"/>
  </r>
  <r>
    <s v="03431"/>
    <m/>
    <x v="158"/>
    <x v="0"/>
    <s v="Sénégal"/>
    <m/>
    <s v="ZP"/>
    <s v="Au"/>
    <s v="Active"/>
    <s v="Kedougou"/>
    <d v="2022-06-23T00:00:00"/>
    <d v="2022-06-23T00:00:00"/>
    <d v="2032-06-22T00:00:00"/>
    <m/>
    <s v="291.7405 km²"/>
  </r>
  <r>
    <s v="03432"/>
    <s v="ICS MBORO"/>
    <x v="159"/>
    <x v="0"/>
    <s v="Sénégal"/>
    <m/>
    <s v="AEHTR"/>
    <s v="Sl"/>
    <s v="Active"/>
    <s v="Thiès"/>
    <d v="2021-12-07T00:00:00"/>
    <d v="2022-02-02T00:00:00"/>
    <d v="2027-02-01T00:00:00"/>
    <m/>
    <m/>
  </r>
  <r>
    <s v="03437"/>
    <m/>
    <x v="158"/>
    <x v="0"/>
    <s v="Sénégal"/>
    <m/>
    <s v="ZP"/>
    <s v="ph a, phosphate de chaux"/>
    <s v="Active"/>
    <s v="Thiès"/>
    <d v="2021-12-27T00:00:00"/>
    <d v="2022-06-30T00:00:00"/>
    <d v="2032-06-29T00:00:00"/>
    <m/>
    <s v="130.7275 km²"/>
  </r>
  <r>
    <s v="03448"/>
    <s v="ICS"/>
    <x v="160"/>
    <x v="0"/>
    <s v="Sénégal"/>
    <m/>
    <s v="AEHTR"/>
    <s v="Sl"/>
    <s v="Active"/>
    <s v="Thiès"/>
    <d v="2022-07-15T00:00:00"/>
    <d v="2022-07-21T00:00:00"/>
    <d v="2027-07-20T00:00:00"/>
    <m/>
    <m/>
  </r>
  <r>
    <s v="03452"/>
    <s v="ICS"/>
    <x v="161"/>
    <x v="0"/>
    <s v="Sénégal"/>
    <m/>
    <s v="AEHTR"/>
    <s v="Sl"/>
    <s v="Active"/>
    <m/>
    <d v="2021-06-10T00:00:00"/>
    <d v="2022-02-22T00:00:00"/>
    <d v="2027-02-21T00:00:00"/>
    <m/>
    <m/>
  </r>
  <r>
    <s v="03463"/>
    <m/>
    <x v="162"/>
    <x v="0"/>
    <s v="Sénégal"/>
    <m/>
    <s v="AEHTR"/>
    <s v="Sl"/>
    <s v="Active"/>
    <s v="Thiès"/>
    <d v="2022-07-29T00:00:00"/>
    <d v="2022-04-19T00:00:00"/>
    <d v="2027-04-18T00:00:00"/>
    <m/>
    <m/>
  </r>
  <r>
    <s v="03464"/>
    <m/>
    <x v="163"/>
    <x v="0"/>
    <s v="Sénégal"/>
    <m/>
    <s v="AEHTR"/>
    <s v="Sl"/>
    <s v="Active"/>
    <s v="Thiès"/>
    <d v="2022-07-29T00:00:00"/>
    <d v="2022-04-25T00:00:00"/>
    <d v="2027-04-24T00:00:00"/>
    <m/>
    <m/>
  </r>
  <r>
    <s v="03469"/>
    <m/>
    <x v="164"/>
    <x v="0"/>
    <s v="Sénégal"/>
    <m/>
    <s v="AEPM"/>
    <s v="Au"/>
    <s v="Active"/>
    <s v="Kedougou"/>
    <d v="2022-07-28T00:00:00"/>
    <d v="2022-08-10T00:00:00"/>
    <d v="2027-08-09T00:00:00"/>
    <m/>
    <s v="500.0000 Ha"/>
  </r>
  <r>
    <s v="03472"/>
    <m/>
    <x v="165"/>
    <x v="0"/>
    <s v="Sénégal"/>
    <m/>
    <s v="AEHTR"/>
    <s v="Sl"/>
    <s v="Active"/>
    <s v="Thiès"/>
    <d v="2022-08-05T00:00:00"/>
    <d v="2022-04-08T00:00:00"/>
    <d v="2027-04-07T00:00:00"/>
    <m/>
    <m/>
  </r>
  <r>
    <s v="03473"/>
    <s v="IBEL SUD"/>
    <x v="166"/>
    <x v="0"/>
    <s v="Sénégal"/>
    <m/>
    <s v="PR"/>
    <s v="Au"/>
    <s v="Active"/>
    <s v="Kedougou"/>
    <d v="2022-03-22T00:00:00"/>
    <d v="2022-08-19T00:00:00"/>
    <d v="2026-08-18T00:00:00"/>
    <m/>
    <s v="182.2500 km²"/>
  </r>
  <r>
    <s v="03474"/>
    <s v="missirah 1"/>
    <x v="167"/>
    <x v="0"/>
    <s v="Sénégal"/>
    <m/>
    <s v="AEMSM"/>
    <s v="Au"/>
    <s v="Active"/>
    <s v="Kedougou"/>
    <d v="2022-08-05T00:00:00"/>
    <d v="2022-08-30T00:00:00"/>
    <d v="2025-08-29T00:00:00"/>
    <m/>
    <s v="49.8693 Ha"/>
  </r>
  <r>
    <s v="03475"/>
    <s v="Missirah 2"/>
    <x v="167"/>
    <x v="0"/>
    <s v="Sénégal"/>
    <m/>
    <s v="AEMSM"/>
    <s v="Au"/>
    <s v="Active"/>
    <s v="Kedougou"/>
    <d v="2022-08-05T00:00:00"/>
    <d v="2022-08-30T00:00:00"/>
    <d v="2025-08-29T00:00:00"/>
    <m/>
    <s v="48.5373 Ha"/>
  </r>
  <r>
    <s v="03476"/>
    <s v="bandia"/>
    <x v="168"/>
    <x v="0"/>
    <s v="Sénégal"/>
    <m/>
    <s v="AECPP"/>
    <s v="Argile, calcaire, latérite"/>
    <s v="Active"/>
    <s v="Thiès"/>
    <d v="2015-04-06T00:00:00"/>
    <d v="2017-07-04T00:00:00"/>
    <d v="2026-06-05T00:00:00"/>
    <m/>
    <s v="20.5880 Ha"/>
  </r>
  <r>
    <s v="03477"/>
    <m/>
    <x v="39"/>
    <x v="0"/>
    <s v="Sénégal"/>
    <m/>
    <s v="AEHTR"/>
    <s v="Sl"/>
    <s v="Active"/>
    <s v="Thiès"/>
    <d v="2022-08-16T00:00:00"/>
    <d v="2022-03-30T00:00:00"/>
    <d v="2027-03-29T00:00:00"/>
    <m/>
    <m/>
  </r>
  <r>
    <s v="03478"/>
    <m/>
    <x v="169"/>
    <x v="0"/>
    <s v="Sénégal"/>
    <m/>
    <s v="AECPP"/>
    <s v="basalte"/>
    <s v="Active"/>
    <s v="Tambacounda"/>
    <d v="2019-02-21T00:00:00"/>
    <d v="2022-02-02T00:00:00"/>
    <d v="2027-02-01T00:00:00"/>
    <m/>
    <s v="10.0000 Ha"/>
  </r>
  <r>
    <s v="03479"/>
    <m/>
    <x v="170"/>
    <x v="0"/>
    <s v="Sénégal"/>
    <m/>
    <s v="AEHTR"/>
    <s v="Sl"/>
    <s v="Active"/>
    <s v="Thiès"/>
    <d v="2022-08-16T00:00:00"/>
    <d v="2020-08-11T00:00:00"/>
    <d v="2025-08-10T00:00:00"/>
    <m/>
    <m/>
  </r>
  <r>
    <s v="03484"/>
    <m/>
    <x v="171"/>
    <x v="0"/>
    <s v="Sénégal"/>
    <m/>
    <s v="AEHTR"/>
    <s v="Sl"/>
    <s v="Active"/>
    <s v="Thiès"/>
    <d v="2021-11-29T00:00:00"/>
    <d v="2022-02-02T00:00:00"/>
    <d v="2027-02-01T00:00:00"/>
    <m/>
    <m/>
  </r>
  <r>
    <s v="03488"/>
    <s v="Bandia"/>
    <x v="119"/>
    <x v="0"/>
    <s v="Sénégal"/>
    <m/>
    <s v="AECPP"/>
    <s v="calcaire"/>
    <s v="Active"/>
    <s v="Thiès"/>
    <d v="2021-05-08T00:00:00"/>
    <d v="2022-08-10T00:00:00"/>
    <d v="2027-08-09T00:00:00"/>
    <m/>
    <s v="50.0225 Ha"/>
  </r>
  <r>
    <s v="03489"/>
    <s v="Bandia"/>
    <x v="172"/>
    <x v="0"/>
    <s v="Sénégal"/>
    <m/>
    <s v="AECPP"/>
    <s v="calcaire"/>
    <s v="Active"/>
    <s v="Thiès"/>
    <d v="2011-08-10T00:00:00"/>
    <d v="2012-08-22T00:00:00"/>
    <d v="2027-08-20T00:00:00"/>
    <d v="2022-08-21T00:00:00"/>
    <s v="20.0270 Ha"/>
  </r>
  <r>
    <s v="03491"/>
    <s v="ICS"/>
    <x v="173"/>
    <x v="0"/>
    <s v="Sénégal"/>
    <m/>
    <s v="AEHTR"/>
    <s v="Sl"/>
    <s v="Active"/>
    <s v="Thiès"/>
    <d v="2022-08-26T00:00:00"/>
    <d v="2022-09-13T00:00:00"/>
    <d v="2027-09-12T00:00:00"/>
    <m/>
    <m/>
  </r>
  <r>
    <s v="03492"/>
    <s v="ICS"/>
    <x v="174"/>
    <x v="0"/>
    <s v="Sénégal"/>
    <m/>
    <s v="AEHTR"/>
    <s v="Sl"/>
    <s v="Active"/>
    <s v="Thiès"/>
    <d v="2022-08-08T00:00:00"/>
    <d v="2022-09-07T00:00:00"/>
    <d v="2027-09-06T00:00:00"/>
    <m/>
    <m/>
  </r>
  <r>
    <s v="03493"/>
    <s v="SARAYA"/>
    <x v="175"/>
    <x v="0"/>
    <s v="Sénégal"/>
    <m/>
    <s v="PR"/>
    <s v="Li"/>
    <s v="Active"/>
    <s v="Kedougou"/>
    <d v="2022-07-21T00:00:00"/>
    <d v="2023-01-30T00:00:00"/>
    <d v="2027-01-29T00:00:00"/>
    <m/>
    <s v="1,045.8607 km²"/>
  </r>
  <r>
    <s v="03494"/>
    <s v="DALOTO_x000a__x000a_"/>
    <x v="150"/>
    <x v="0"/>
    <s v="Sénégal"/>
    <m/>
    <s v="PR"/>
    <s v="Au"/>
    <s v="Active"/>
    <s v="Kedougou"/>
    <d v="2022-08-16T00:00:00"/>
    <d v="2023-03-21T00:00:00"/>
    <d v="2027-03-20T00:00:00"/>
    <m/>
    <s v="146.5961 km²"/>
  </r>
  <r>
    <s v="03500"/>
    <s v="Djindji-Taifa"/>
    <x v="176"/>
    <x v="0"/>
    <s v="Sénégal"/>
    <m/>
    <s v="AEMSM"/>
    <s v="Au"/>
    <s v="Active"/>
    <s v="Kedougou"/>
    <d v="2022-08-23T00:00:00"/>
    <d v="2023-03-15T00:00:00"/>
    <d v="2026-03-14T00:00:00"/>
    <m/>
    <s v="49.7000 Ha"/>
  </r>
  <r>
    <s v="03507"/>
    <m/>
    <x v="177"/>
    <x v="0"/>
    <s v="Sénégal"/>
    <m/>
    <s v="AEHTR"/>
    <s v="Sl"/>
    <s v="Active"/>
    <s v="Thiès"/>
    <d v="2021-09-08T00:00:00"/>
    <d v="2022-02-16T00:00:00"/>
    <d v="2027-02-15T00:00:00"/>
    <m/>
    <m/>
  </r>
  <r>
    <s v="03508"/>
    <m/>
    <x v="178"/>
    <x v="0"/>
    <s v="Sénégal"/>
    <m/>
    <s v="AEHTR"/>
    <s v="Sl"/>
    <s v="Active"/>
    <s v="Thiès"/>
    <d v="2022-04-15T00:00:00"/>
    <d v="2022-07-21T00:00:00"/>
    <d v="2027-07-20T00:00:00"/>
    <m/>
    <m/>
  </r>
  <r>
    <s v="03510"/>
    <m/>
    <x v="179"/>
    <x v="0"/>
    <s v="Sénégal"/>
    <m/>
    <s v="AEHTR"/>
    <s v="Sl"/>
    <s v="Active"/>
    <s v="Thiès"/>
    <d v="2021-08-15T00:00:00"/>
    <d v="2022-05-23T00:00:00"/>
    <d v="2027-05-22T00:00:00"/>
    <m/>
    <m/>
  </r>
  <r>
    <s v="03511"/>
    <m/>
    <x v="180"/>
    <x v="0"/>
    <s v="Sénégal"/>
    <m/>
    <s v="AEHTR"/>
    <s v="Sl"/>
    <s v="Active"/>
    <s v="Thiès"/>
    <d v="2022-07-10T00:00:00"/>
    <d v="2022-08-05T00:00:00"/>
    <d v="2027-08-04T00:00:00"/>
    <m/>
    <m/>
  </r>
  <r>
    <s v="03512"/>
    <s v="Tomboronkoto"/>
    <x v="181"/>
    <x v="0"/>
    <s v="Sénégal"/>
    <m/>
    <s v="AECPP"/>
    <s v="basalte"/>
    <s v="Active"/>
    <s v="Kedougou"/>
    <d v="2022-07-28T00:00:00"/>
    <d v="2022-08-16T00:00:00"/>
    <d v="2027-08-15T00:00:00"/>
    <m/>
    <s v="28.1601 Ha"/>
  </r>
  <r>
    <s v="03514"/>
    <m/>
    <x v="182"/>
    <x v="0"/>
    <s v="Sénégal"/>
    <m/>
    <s v="AEHTR"/>
    <s v="Sl"/>
    <s v="Active"/>
    <s v="Thiès"/>
    <d v="2022-07-08T00:00:00"/>
    <d v="2022-07-05T00:00:00"/>
    <d v="2027-07-04T00:00:00"/>
    <m/>
    <m/>
  </r>
  <r>
    <s v="03515"/>
    <m/>
    <x v="183"/>
    <x v="0"/>
    <s v="Sénégal"/>
    <m/>
    <s v="AEHTR"/>
    <s v="Sl"/>
    <s v="Active"/>
    <s v="Thiès"/>
    <d v="2022-01-10T00:00:00"/>
    <d v="2022-08-23T00:00:00"/>
    <d v="2027-08-22T00:00:00"/>
    <m/>
    <m/>
  </r>
  <r>
    <s v="03518"/>
    <s v="Wassadou"/>
    <x v="63"/>
    <x v="0"/>
    <s v="Sénégal"/>
    <m/>
    <s v="AECPP"/>
    <s v="basalte"/>
    <s v="Active"/>
    <s v="Kedougou"/>
    <d v="2016-10-24T00:00:00"/>
    <d v="2022-07-05T00:00:00"/>
    <d v="2027-07-04T00:00:00"/>
    <m/>
    <s v="29.7500 Ha"/>
  </r>
  <r>
    <s v="03520"/>
    <s v="Tassette"/>
    <x v="184"/>
    <x v="0"/>
    <s v="Sénégal"/>
    <m/>
    <s v="AECPT"/>
    <s v="sable de dune"/>
    <s v="Renouvellement en Cours"/>
    <s v="Thiès"/>
    <d v="2022-02-22T00:00:00"/>
    <d v="2023-02-14T00:00:00"/>
    <d v="2024-02-13T00:00:00"/>
    <m/>
    <s v="1.7612 Ha"/>
  </r>
  <r>
    <s v="03525"/>
    <s v="KASSAGUIRI"/>
    <x v="185"/>
    <x v="0"/>
    <s v="Sénégal"/>
    <m/>
    <s v="PR"/>
    <s v="Au"/>
    <s v="Active"/>
    <s v="Kedougou"/>
    <d v="2022-08-18T00:00:00"/>
    <d v="2022-11-14T00:00:00"/>
    <d v="2026-11-13T00:00:00"/>
    <m/>
    <s v="72.1236 km²"/>
  </r>
  <r>
    <s v="03527"/>
    <m/>
    <x v="186"/>
    <x v="0"/>
    <s v="Sénégal"/>
    <m/>
    <s v="AEMSM"/>
    <s v="Au"/>
    <s v="Active"/>
    <s v="Kedougou"/>
    <d v="2022-09-08T00:00:00"/>
    <d v="2022-12-09T00:00:00"/>
    <d v="2025-12-08T00:00:00"/>
    <m/>
    <s v="49.7158 Ha"/>
  </r>
  <r>
    <s v="03529"/>
    <m/>
    <x v="187"/>
    <x v="0"/>
    <s v="Sénégal"/>
    <m/>
    <s v="AECPP"/>
    <s v="grès"/>
    <s v="Active"/>
    <s v="Thiès"/>
    <d v="2021-08-12T00:00:00"/>
    <d v="2022-09-07T00:00:00"/>
    <d v="2027-09-06T00:00:00"/>
    <m/>
    <s v="11.1452 Ha"/>
  </r>
  <r>
    <s v="03534"/>
    <m/>
    <x v="188"/>
    <x v="0"/>
    <s v="Sénégal"/>
    <m/>
    <s v="AEMSM"/>
    <s v="Au"/>
    <s v="Active"/>
    <s v="Kedougou"/>
    <d v="2022-10-06T00:00:00"/>
    <d v="2024-01-24T00:00:00"/>
    <d v="2027-01-23T00:00:00"/>
    <m/>
    <s v="49.1180 Ha"/>
  </r>
  <r>
    <s v="03556"/>
    <s v="Keur Martin"/>
    <x v="189"/>
    <x v="0"/>
    <s v="Sénégal"/>
    <m/>
    <s v="AECPT"/>
    <s v="sable de dune"/>
    <s v="Active"/>
    <s v="Fatick"/>
    <d v="2022-11-17T00:00:00"/>
    <d v="2022-12-13T00:00:00"/>
    <d v="2024-12-12T00:00:00"/>
    <d v="2023-12-13T00:00:00"/>
    <s v="6.5898 Ha"/>
  </r>
  <r>
    <s v="03559"/>
    <m/>
    <x v="190"/>
    <x v="0"/>
    <s v="Sénégal"/>
    <m/>
    <s v="AEHTR"/>
    <s v="Sl"/>
    <s v="Active"/>
    <s v="Thiès"/>
    <d v="2022-09-10T00:00:00"/>
    <d v="2022-11-07T00:00:00"/>
    <d v="2027-11-06T00:00:00"/>
    <m/>
    <m/>
  </r>
  <r>
    <s v="03560"/>
    <m/>
    <x v="191"/>
    <x v="0"/>
    <s v="Sénégal"/>
    <m/>
    <s v="AEHTR"/>
    <s v="Sl"/>
    <s v="Active"/>
    <s v="Thiès"/>
    <d v="2022-09-10T00:00:00"/>
    <d v="2022-11-08T00:00:00"/>
    <d v="2027-11-07T00:00:00"/>
    <m/>
    <m/>
  </r>
  <r>
    <s v="03563"/>
    <s v="KIDIRA"/>
    <x v="79"/>
    <x v="0"/>
    <s v="Sénégal"/>
    <m/>
    <s v="AECPP"/>
    <s v="basalte"/>
    <s v="Active"/>
    <s v="Tambacounda"/>
    <d v="2021-01-19T00:00:00"/>
    <d v="2022-10-28T00:00:00"/>
    <d v="2027-10-27T00:00:00"/>
    <m/>
    <s v="34.7200 Ha"/>
  </r>
  <r>
    <s v="03566"/>
    <m/>
    <x v="192"/>
    <x v="0"/>
    <s v="Sénégal"/>
    <m/>
    <s v="AEHTR"/>
    <s v="Sl"/>
    <s v="Active"/>
    <s v="Thiès"/>
    <d v="2022-11-03T00:00:00"/>
    <d v="2022-11-03T00:00:00"/>
    <d v="2027-11-02T00:00:00"/>
    <m/>
    <m/>
  </r>
  <r>
    <s v="03568"/>
    <s v="Kassagueri Est 2"/>
    <x v="185"/>
    <x v="0"/>
    <s v="Sénégal"/>
    <m/>
    <s v="AEMSM"/>
    <s v="Au"/>
    <s v="Active"/>
    <s v="Kedougou"/>
    <d v="2022-11-09T00:00:00"/>
    <d v="2022-11-25T00:00:00"/>
    <d v="2025-11-24T00:00:00"/>
    <m/>
    <s v="20.6629 Ha"/>
  </r>
  <r>
    <s v="03569"/>
    <s v="Kassagueri Est 1"/>
    <x v="185"/>
    <x v="0"/>
    <s v="Sénégal"/>
    <m/>
    <s v="AEMSM"/>
    <s v="Au"/>
    <s v="Active"/>
    <s v="Kedougou"/>
    <d v="2022-11-09T00:00:00"/>
    <d v="2022-11-25T00:00:00"/>
    <d v="2025-11-24T00:00:00"/>
    <m/>
    <s v="49.7025 Ha"/>
  </r>
  <r>
    <s v="03570"/>
    <m/>
    <x v="193"/>
    <x v="0"/>
    <s v="Sénégal"/>
    <m/>
    <s v="AEHTR"/>
    <s v="Sl"/>
    <s v="Active"/>
    <s v="Thiès"/>
    <d v="2022-11-15T00:00:00"/>
    <d v="2022-11-14T00:00:00"/>
    <d v="2027-11-13T00:00:00"/>
    <m/>
    <m/>
  </r>
  <r>
    <s v="03580"/>
    <m/>
    <x v="140"/>
    <x v="0"/>
    <s v="Sénégal"/>
    <m/>
    <s v="AEMSM"/>
    <s v="Au"/>
    <s v="Active"/>
    <s v="Kedougou"/>
    <d v="2022-12-07T00:00:00"/>
    <d v="2022-12-27T00:00:00"/>
    <d v="2025-12-26T00:00:00"/>
    <m/>
    <s v="49.6984 Ha"/>
  </r>
  <r>
    <s v="03581"/>
    <m/>
    <x v="140"/>
    <x v="0"/>
    <s v="Sénégal"/>
    <m/>
    <s v="AEMSM"/>
    <s v="Au"/>
    <s v="Active"/>
    <s v="Kedougou"/>
    <d v="2022-12-07T00:00:00"/>
    <d v="2022-12-13T00:00:00"/>
    <d v="2025-12-12T00:00:00"/>
    <m/>
    <s v="49.9018 Ha"/>
  </r>
  <r>
    <s v="03588"/>
    <s v="Bélé"/>
    <x v="194"/>
    <x v="0"/>
    <s v="Sénégal"/>
    <m/>
    <s v="AECPP"/>
    <s v="basalte"/>
    <s v="Active"/>
    <s v="Tambacounda"/>
    <d v="2021-03-29T00:00:00"/>
    <d v="2021-09-23T00:00:00"/>
    <d v="2026-09-22T00:00:00"/>
    <m/>
    <s v="17.7650 Ha"/>
  </r>
  <r>
    <s v="03604"/>
    <m/>
    <x v="14"/>
    <x v="0"/>
    <s v="Sénégal"/>
    <m/>
    <s v="AECPP"/>
    <s v="calcaire"/>
    <s v="Active"/>
    <s v="Thiès"/>
    <d v="2021-06-14T00:00:00"/>
    <d v="2021-07-06T00:00:00"/>
    <d v="2026-07-05T00:00:00"/>
    <m/>
    <s v="10.8836 Ha"/>
  </r>
  <r>
    <s v="03606"/>
    <m/>
    <x v="195"/>
    <x v="0"/>
    <s v="Sénégal"/>
    <m/>
    <s v="AEHTR"/>
    <s v="Sl"/>
    <s v="Active"/>
    <s v="Thiès"/>
    <d v="2021-07-05T00:00:00"/>
    <d v="2022-08-05T00:00:00"/>
    <d v="2027-08-04T00:00:00"/>
    <m/>
    <m/>
  </r>
  <r>
    <s v="03607"/>
    <m/>
    <x v="196"/>
    <x v="0"/>
    <s v="Sénégal"/>
    <m/>
    <s v="AECPP"/>
    <s v="basalte"/>
    <s v="Active"/>
    <s v="Kedougou"/>
    <d v="2018-01-31T00:00:00"/>
    <d v="2022-08-17T00:00:00"/>
    <d v="2027-08-16T00:00:00"/>
    <m/>
    <s v="20.3860 Ha"/>
  </r>
  <r>
    <s v="03608"/>
    <s v="GUETIE"/>
    <x v="197"/>
    <x v="0"/>
    <s v="Sénégal"/>
    <m/>
    <s v="PR"/>
    <s v="Cu"/>
    <s v="Active"/>
    <s v="Tambacounda"/>
    <d v="2020-10-23T00:00:00"/>
    <d v="2022-07-05T00:00:00"/>
    <d v="2026-07-05T00:00:00"/>
    <m/>
    <s v="95.0099 km²"/>
  </r>
  <r>
    <s v="03612"/>
    <s v="BEROLA BONDALA"/>
    <x v="198"/>
    <x v="0"/>
    <s v="Sénégal"/>
    <m/>
    <s v="PR"/>
    <s v="Au"/>
    <s v="Active"/>
    <s v="Kedougou"/>
    <d v="2018-10-04T00:00:00"/>
    <d v="2019-02-04T00:00:00"/>
    <d v="2026-02-03T00:00:00"/>
    <m/>
    <s v="42.5191 km²"/>
  </r>
  <r>
    <s v="03613"/>
    <m/>
    <x v="199"/>
    <x v="0"/>
    <s v="Sénégal"/>
    <m/>
    <s v="AEHTR"/>
    <s v="Sl"/>
    <s v="Active"/>
    <s v="Thiès"/>
    <d v="2022-08-27T00:00:00"/>
    <d v="2023-05-09T00:00:00"/>
    <d v="2028-05-08T00:00:00"/>
    <m/>
    <m/>
  </r>
  <r>
    <s v="03615"/>
    <m/>
    <x v="200"/>
    <x v="0"/>
    <s v="Sénégal"/>
    <m/>
    <s v="AECPP"/>
    <s v="basalte"/>
    <s v="Active"/>
    <s v="Kedougou"/>
    <d v="2019-03-28T00:00:00"/>
    <d v="2022-08-16T00:00:00"/>
    <d v="2027-08-15T00:00:00"/>
    <m/>
    <s v="30.0092 Ha"/>
  </r>
  <r>
    <s v="03616"/>
    <s v="ICS"/>
    <x v="201"/>
    <x v="0"/>
    <s v="Sénégal"/>
    <m/>
    <s v="AEHTR"/>
    <s v="Sl"/>
    <s v="Active"/>
    <s v="Thiès"/>
    <d v="2022-06-03T00:00:00"/>
    <d v="2022-11-14T00:00:00"/>
    <d v="2027-11-13T00:00:00"/>
    <m/>
    <m/>
  </r>
  <r>
    <s v="03618"/>
    <m/>
    <x v="140"/>
    <x v="0"/>
    <s v="Sénégal"/>
    <m/>
    <s v="AEMSM"/>
    <s v="Au"/>
    <s v="Active"/>
    <s v="Kedougou"/>
    <d v="2022-12-07T00:00:00"/>
    <d v="2022-12-13T00:00:00"/>
    <d v="2025-12-12T00:00:00"/>
    <m/>
    <s v="50.0000 Ha"/>
  </r>
  <r>
    <s v="03621"/>
    <m/>
    <x v="202"/>
    <x v="0"/>
    <s v="Sénégal"/>
    <m/>
    <s v="AEHTR"/>
    <s v="Sl"/>
    <s v="Active"/>
    <s v="Thiès"/>
    <d v="2022-12-10T00:00:00"/>
    <d v="2022-12-23T00:00:00"/>
    <d v="2027-12-22T00:00:00"/>
    <m/>
    <m/>
  </r>
  <r>
    <s v="03622"/>
    <m/>
    <x v="167"/>
    <x v="0"/>
    <s v="Sénégal"/>
    <m/>
    <s v="AEHTR"/>
    <s v="Sl"/>
    <s v="Active"/>
    <s v="Thiès"/>
    <d v="2022-11-05T00:00:00"/>
    <d v="2022-12-06T00:00:00"/>
    <d v="2027-12-05T00:00:00"/>
    <m/>
    <m/>
  </r>
  <r>
    <s v="03623"/>
    <m/>
    <x v="203"/>
    <x v="0"/>
    <s v="Sénégal"/>
    <m/>
    <s v="AEHTR"/>
    <s v="Sl"/>
    <s v="Active"/>
    <s v="Thiès"/>
    <d v="2022-12-03T00:00:00"/>
    <d v="2023-01-04T00:00:00"/>
    <d v="2028-01-03T00:00:00"/>
    <m/>
    <m/>
  </r>
  <r>
    <s v="03626"/>
    <m/>
    <x v="204"/>
    <x v="0"/>
    <s v="Sénégal"/>
    <m/>
    <s v="AEHTR"/>
    <s v="Sl"/>
    <s v="Active"/>
    <s v="Thiès"/>
    <d v="2022-12-16T00:00:00"/>
    <d v="2022-12-23T00:00:00"/>
    <d v="2027-12-22T00:00:00"/>
    <m/>
    <m/>
  </r>
  <r>
    <s v="03630"/>
    <s v="Moussala_Bloc 1"/>
    <x v="205"/>
    <x v="0"/>
    <s v="Sénégal"/>
    <m/>
    <s v="AEMSM"/>
    <s v="Au"/>
    <s v="Active"/>
    <s v="Kedougou"/>
    <d v="2023-01-16T00:00:00"/>
    <d v="2023-04-25T00:00:00"/>
    <d v="2026-04-24T00:00:00"/>
    <m/>
    <s v="48.4081 Ha"/>
  </r>
  <r>
    <s v="03632"/>
    <s v="Moussala_Bloc 2"/>
    <x v="205"/>
    <x v="0"/>
    <s v="Sénégal"/>
    <m/>
    <s v="AEMSM"/>
    <s v="Au"/>
    <s v="Active"/>
    <s v="Kedougou"/>
    <d v="2023-01-16T00:00:00"/>
    <d v="2023-02-02T00:00:00"/>
    <d v="2026-02-01T00:00:00"/>
    <m/>
    <s v="48.0048 Ha"/>
  </r>
  <r>
    <s v="03634"/>
    <s v="SARAYA"/>
    <x v="125"/>
    <x v="0"/>
    <s v="Sénégal"/>
    <m/>
    <s v="PR"/>
    <s v="Au"/>
    <s v="Active"/>
    <s v="Kedougou"/>
    <d v="2022-09-29T00:00:00"/>
    <d v="2023-02-01T00:00:00"/>
    <d v="2027-01-31T00:00:00"/>
    <m/>
    <s v="56.5004 km²"/>
  </r>
  <r>
    <s v="03636"/>
    <m/>
    <x v="206"/>
    <x v="0"/>
    <s v="Sénégal"/>
    <m/>
    <s v="AEPM"/>
    <s v="Au"/>
    <s v="Active"/>
    <s v="Kedougou"/>
    <d v="2022-09-13T00:00:00"/>
    <d v="2022-09-16T00:00:00"/>
    <d v="2027-09-15T00:00:00"/>
    <m/>
    <s v="491.9114 Ha"/>
  </r>
  <r>
    <s v="03641"/>
    <m/>
    <x v="207"/>
    <x v="0"/>
    <s v="Sénégal"/>
    <m/>
    <s v="AEMSM"/>
    <s v="Au"/>
    <s v="Active"/>
    <s v="Kedougou"/>
    <d v="2022-10-27T00:00:00"/>
    <d v="2023-03-21T00:00:00"/>
    <d v="2026-03-20T00:00:00"/>
    <m/>
    <s v="33.5839 Ha"/>
  </r>
  <r>
    <s v="03643"/>
    <s v="kédougou"/>
    <x v="156"/>
    <x v="0"/>
    <s v="Sénégal"/>
    <m/>
    <s v="AECPP"/>
    <s v="basalte"/>
    <s v="Active"/>
    <s v="Kedougou"/>
    <d v="2022-06-03T00:00:00"/>
    <d v="2022-12-09T00:00:00"/>
    <d v="2027-12-08T00:00:00"/>
    <m/>
    <s v="21.6426 Ha"/>
  </r>
  <r>
    <s v="03646"/>
    <m/>
    <x v="208"/>
    <x v="0"/>
    <s v="Sénégal"/>
    <m/>
    <s v="AEHTR"/>
    <s v="sable de dune"/>
    <s v="Active"/>
    <s v="Thiès"/>
    <d v="2019-09-30T00:00:00"/>
    <d v="2019-12-13T00:00:00"/>
    <d v="2024-12-12T00:00:00"/>
    <m/>
    <m/>
  </r>
  <r>
    <s v="03648"/>
    <m/>
    <x v="133"/>
    <x v="0"/>
    <s v="Sénégal"/>
    <m/>
    <s v="AECPP"/>
    <s v="basalte"/>
    <s v="Active"/>
    <s v="Thiès"/>
    <d v="2022-11-17T00:00:00"/>
    <d v="2022-11-25T00:00:00"/>
    <d v="2027-11-24T00:00:00"/>
    <m/>
    <s v="35.9712 Ha"/>
  </r>
  <r>
    <s v="03649"/>
    <s v="Ylimalo"/>
    <x v="86"/>
    <x v="0"/>
    <s v="Sénégal"/>
    <m/>
    <s v="AEPM"/>
    <s v="Li"/>
    <s v="Active"/>
    <s v="Kedougou"/>
    <d v="2022-08-23T00:00:00"/>
    <d v="2022-08-24T00:00:00"/>
    <d v="2027-08-23T00:00:00"/>
    <m/>
    <s v="498.1406 Ha"/>
  </r>
  <r>
    <s v="03651"/>
    <s v="ABENE"/>
    <x v="209"/>
    <x v="0"/>
    <s v="Sénégal"/>
    <m/>
    <s v="AEPM"/>
    <s v="ML"/>
    <s v="Active"/>
    <s v="Ziguinchor"/>
    <d v="2023-02-13T00:00:00"/>
    <d v="2023-02-20T00:00:00"/>
    <d v="2028-02-19T00:00:00"/>
    <m/>
    <s v="121.2642 Ha"/>
  </r>
  <r>
    <s v="03653"/>
    <s v="FODE BINEYA"/>
    <x v="210"/>
    <x v="0"/>
    <s v="Sénégal"/>
    <m/>
    <s v="PR"/>
    <s v="Li"/>
    <s v="Active"/>
    <s v="Kedougou"/>
    <d v="2022-12-20T00:00:00"/>
    <d v="2023-01-24T00:00:00"/>
    <d v="2027-01-23T00:00:00"/>
    <m/>
    <s v="308.7705 km²"/>
  </r>
  <r>
    <s v="03654"/>
    <s v="MAYO"/>
    <x v="210"/>
    <x v="0"/>
    <s v="Sénégal"/>
    <m/>
    <s v="PR"/>
    <s v="Li"/>
    <s v="Active"/>
    <s v="Tambacounda"/>
    <d v="2022-12-21T00:00:00"/>
    <d v="2023-01-24T00:00:00"/>
    <d v="2027-01-23T00:00:00"/>
    <m/>
    <s v="1,904.7880 km²"/>
  </r>
  <r>
    <s v="03658"/>
    <s v="périmètre 2"/>
    <x v="140"/>
    <x v="0"/>
    <s v="Sénégal"/>
    <m/>
    <s v="AEMSM"/>
    <s v="Au"/>
    <s v="Active"/>
    <s v="Kedougou"/>
    <d v="2023-02-15T00:00:00"/>
    <d v="2023-04-12T00:00:00"/>
    <d v="2026-04-11T00:00:00"/>
    <m/>
    <s v="35.4414 Ha"/>
  </r>
  <r>
    <s v="03659"/>
    <s v="périmètre 3"/>
    <x v="140"/>
    <x v="0"/>
    <s v="Sénégal"/>
    <m/>
    <s v="AEMSM"/>
    <s v="Au"/>
    <s v="Active"/>
    <s v="Kedougou"/>
    <d v="2023-02-15T00:00:00"/>
    <d v="2023-04-12T00:00:00"/>
    <d v="2026-04-11T00:00:00"/>
    <m/>
    <s v="44.3000 Ha"/>
  </r>
  <r>
    <s v="03660"/>
    <s v="Thiokoye"/>
    <x v="211"/>
    <x v="0"/>
    <s v="Sénégal"/>
    <m/>
    <s v="AEMSM"/>
    <s v="Au"/>
    <s v="Active"/>
    <s v="Kedougou"/>
    <d v="2021-11-29T00:00:00"/>
    <d v="2023-04-25T00:00:00"/>
    <d v="2026-04-24T00:00:00"/>
    <m/>
    <s v="49.8525 Ha"/>
  </r>
  <r>
    <s v="03666"/>
    <m/>
    <x v="212"/>
    <x v="0"/>
    <s v="Sénégal"/>
    <m/>
    <s v="AEHTR"/>
    <s v="Sl"/>
    <s v="Active"/>
    <s v="Thiès"/>
    <d v="2019-08-25T00:00:00"/>
    <d v="2020-01-24T00:00:00"/>
    <d v="2025-01-23T00:00:00"/>
    <m/>
    <m/>
  </r>
  <r>
    <s v="03669"/>
    <s v="Périmètre 1"/>
    <x v="140"/>
    <x v="0"/>
    <s v="Sénégal"/>
    <m/>
    <s v="AEMSM"/>
    <s v="Au"/>
    <s v="Active"/>
    <s v="Kedougou"/>
    <d v="2023-02-15T00:00:00"/>
    <d v="2023-04-12T00:00:00"/>
    <d v="2026-04-11T00:00:00"/>
    <m/>
    <s v="49.8270 Ha"/>
  </r>
  <r>
    <s v="03670"/>
    <s v="Bantako koto2"/>
    <x v="213"/>
    <x v="0"/>
    <s v="Sénégal"/>
    <m/>
    <s v="AEMSM"/>
    <s v="Au"/>
    <s v="Active"/>
    <s v="Kedougou"/>
    <d v="2020-06-23T00:00:00"/>
    <d v="2022-06-07T00:00:00"/>
    <d v="2025-06-06T00:00:00"/>
    <m/>
    <s v="37.0954 Ha"/>
  </r>
  <r>
    <s v="03672"/>
    <m/>
    <x v="214"/>
    <x v="0"/>
    <s v="Sénégal"/>
    <m/>
    <s v="AEHTR"/>
    <s v="Sl"/>
    <s v="Active"/>
    <s v="Thiès"/>
    <d v="2022-09-30T00:00:00"/>
    <d v="2023-01-31T00:00:00"/>
    <d v="2028-01-30T00:00:00"/>
    <m/>
    <m/>
  </r>
  <r>
    <s v="03674"/>
    <s v="Souroukoto Sud 2"/>
    <x v="99"/>
    <x v="0"/>
    <s v="Sénégal"/>
    <m/>
    <s v="AEMSM"/>
    <s v="Au"/>
    <s v="Active"/>
    <s v="Kedougou"/>
    <d v="2023-01-12T00:00:00"/>
    <d v="2023-03-06T00:00:00"/>
    <d v="2026-03-05T00:00:00"/>
    <m/>
    <s v="33.8980 Ha"/>
  </r>
  <r>
    <s v="03675"/>
    <s v="Souroukoto Nord"/>
    <x v="99"/>
    <x v="0"/>
    <s v="Sénégal"/>
    <m/>
    <s v="AEMSM"/>
    <s v="Au"/>
    <s v="Active"/>
    <s v="Kedougou"/>
    <d v="2022-12-16T00:00:00"/>
    <d v="2023-03-06T00:00:00"/>
    <d v="2026-03-05T00:00:00"/>
    <m/>
    <s v="39.3631 Ha"/>
  </r>
  <r>
    <s v="03676"/>
    <m/>
    <x v="215"/>
    <x v="0"/>
    <s v="Sénégal"/>
    <m/>
    <s v="AEHTR"/>
    <s v="Sl"/>
    <s v="Active"/>
    <s v="Thiès"/>
    <d v="2022-03-20T00:00:00"/>
    <d v="2023-01-04T00:00:00"/>
    <d v="2028-01-03T00:00:00"/>
    <m/>
    <m/>
  </r>
  <r>
    <s v="03677"/>
    <m/>
    <x v="216"/>
    <x v="0"/>
    <s v="Sénégal"/>
    <m/>
    <s v="AEMSM"/>
    <s v="Au"/>
    <s v="Active"/>
    <s v="Kedougou"/>
    <d v="2023-02-08T00:00:00"/>
    <d v="2023-03-15T00:00:00"/>
    <d v="2026-03-14T00:00:00"/>
    <m/>
    <s v="17.5559 Ha"/>
  </r>
  <r>
    <s v="03683"/>
    <s v="Wassangara-moussala"/>
    <x v="217"/>
    <x v="0"/>
    <s v="Sénégal"/>
    <m/>
    <s v="AEMSM"/>
    <s v="Au"/>
    <s v="Active"/>
    <s v="Kedougou"/>
    <d v="2020-07-07T00:00:00"/>
    <d v="2023-06-26T00:00:00"/>
    <d v="2026-06-25T00:00:00"/>
    <m/>
    <s v="49.2256 Ha"/>
  </r>
  <r>
    <s v="03691"/>
    <s v="Bandia"/>
    <x v="218"/>
    <x v="0"/>
    <s v="Sénégal"/>
    <m/>
    <s v="PR"/>
    <s v="calcaire"/>
    <s v="Active"/>
    <s v="Thiès"/>
    <d v="2022-12-09T00:00:00"/>
    <d v="2023-02-17T00:00:00"/>
    <d v="2027-02-16T00:00:00"/>
    <m/>
    <s v="1.7760 km²"/>
  </r>
  <r>
    <s v="03693"/>
    <s v="diakhaba 1"/>
    <x v="219"/>
    <x v="0"/>
    <s v="Sénégal"/>
    <m/>
    <s v="AEMSM"/>
    <s v="Au"/>
    <s v="Active"/>
    <s v="Kedougou"/>
    <d v="2023-03-21T00:00:00"/>
    <d v="2023-04-25T00:00:00"/>
    <d v="2026-04-24T00:00:00"/>
    <m/>
    <s v="49.7306 Ha"/>
  </r>
  <r>
    <s v="03694"/>
    <s v="Diakhaba 2"/>
    <x v="220"/>
    <x v="0"/>
    <s v="Sénégal"/>
    <m/>
    <s v="AEMSM"/>
    <s v="Au"/>
    <s v="Active"/>
    <s v="Kedougou"/>
    <d v="2023-03-21T00:00:00"/>
    <d v="2023-04-25T00:00:00"/>
    <d v="2026-04-24T00:00:00"/>
    <m/>
    <s v="49.9641 Ha"/>
  </r>
  <r>
    <s v="03697"/>
    <m/>
    <x v="156"/>
    <x v="0"/>
    <s v="Sénégal"/>
    <m/>
    <s v="AEPM"/>
    <s v="Au"/>
    <s v="Active"/>
    <s v="Kedougou"/>
    <d v="2022-07-25T00:00:00"/>
    <d v="2022-08-16T00:00:00"/>
    <d v="2027-08-15T00:00:00"/>
    <m/>
    <s v="4.9540 km²"/>
  </r>
  <r>
    <s v="03702"/>
    <s v="Matam-Nord"/>
    <x v="221"/>
    <x v="0"/>
    <s v="Sénégal"/>
    <m/>
    <s v="PR"/>
    <s v="phosphate de chaux"/>
    <s v="Active"/>
    <s v="Matam"/>
    <d v="2022-05-11T00:00:00"/>
    <d v="2023-02-01T00:00:00"/>
    <d v="2027-01-31T00:00:00"/>
    <m/>
    <s v="280.0357 km²"/>
  </r>
  <r>
    <s v="03703"/>
    <s v="FANDING"/>
    <x v="222"/>
    <x v="0"/>
    <s v="Sénégal"/>
    <m/>
    <s v="AEMSM"/>
    <s v="Au"/>
    <s v="Renouvellement en Cours"/>
    <s v="Kedougou"/>
    <d v="2017-06-21T00:00:00"/>
    <d v="2018-03-20T00:00:00"/>
    <d v="2021-03-19T00:00:00"/>
    <m/>
    <s v="48.6500 Ha"/>
  </r>
  <r>
    <s v="03708"/>
    <s v="Madina kénioto"/>
    <x v="223"/>
    <x v="0"/>
    <s v="Sénégal"/>
    <m/>
    <s v="AEMSM"/>
    <s v="Au"/>
    <s v="Active"/>
    <s v="Kedougou"/>
    <d v="2023-03-14T00:00:00"/>
    <d v="2023-05-24T00:00:00"/>
    <d v="2026-05-23T00:00:00"/>
    <m/>
    <s v="49.4500 Ha"/>
  </r>
  <r>
    <s v="03709"/>
    <s v="Ouest Douta"/>
    <x v="224"/>
    <x v="0"/>
    <s v="Sénégal"/>
    <m/>
    <s v="PR"/>
    <s v="Au"/>
    <s v="Active"/>
    <s v="Kedougou"/>
    <d v="2022-03-28T00:00:00"/>
    <d v="2023-02-20T00:00:00"/>
    <d v="2027-02-19T00:00:00"/>
    <m/>
    <s v="106.0213 km²"/>
  </r>
  <r>
    <s v="03713"/>
    <s v="Périmètre 2"/>
    <x v="225"/>
    <x v="0"/>
    <s v="Sénégal"/>
    <m/>
    <s v="AEMSM"/>
    <s v="Au"/>
    <s v="Active"/>
    <s v="Kedougou"/>
    <d v="2023-03-28T00:00:00"/>
    <d v="2023-04-14T00:00:00"/>
    <d v="2026-04-13T00:00:00"/>
    <m/>
    <s v="49.9646 Ha"/>
  </r>
  <r>
    <s v="03714"/>
    <s v="Diakhaba"/>
    <x v="226"/>
    <x v="0"/>
    <s v="Sénégal"/>
    <m/>
    <s v="AEMSM"/>
    <s v="Au"/>
    <s v="Active"/>
    <s v="Kedougou"/>
    <d v="2022-11-02T00:00:00"/>
    <d v="2024-03-06T00:00:00"/>
    <d v="2027-03-05T00:00:00"/>
    <m/>
    <s v="50.0000 Ha"/>
  </r>
  <r>
    <s v="03720"/>
    <s v="BOUSANKHOBA"/>
    <x v="227"/>
    <x v="0"/>
    <s v="Sénégal"/>
    <m/>
    <s v="PR"/>
    <s v="Au"/>
    <s v="Active"/>
    <s v="Kedougou"/>
    <d v="2022-09-27T00:00:00"/>
    <d v="2023-02-02T00:00:00"/>
    <d v="2027-02-01T00:00:00"/>
    <m/>
    <s v="374.0005 km²"/>
  </r>
  <r>
    <s v="03721"/>
    <s v="BAYTILAYE 2"/>
    <x v="228"/>
    <x v="0"/>
    <s v="Sénégal"/>
    <m/>
    <s v="PR"/>
    <s v="Au"/>
    <s v="Active"/>
    <s v="Kedougou"/>
    <d v="2022-11-22T00:00:00"/>
    <d v="2023-09-26T00:00:00"/>
    <d v="2027-09-25T00:00:00"/>
    <m/>
    <s v="24.4200 km²"/>
  </r>
  <r>
    <s v="03725"/>
    <m/>
    <x v="229"/>
    <x v="0"/>
    <s v="Sénégal"/>
    <m/>
    <s v="AEMSM"/>
    <s v="Au"/>
    <s v="Active"/>
    <s v="Kedougou"/>
    <d v="2023-04-13T00:00:00"/>
    <d v="2023-05-09T00:00:00"/>
    <d v="2026-05-08T00:00:00"/>
    <m/>
    <s v="49.9233 Ha"/>
  </r>
  <r>
    <s v="03738"/>
    <s v="Sud Sayara"/>
    <x v="230"/>
    <x v="0"/>
    <s v="Sénégal"/>
    <m/>
    <s v="PR"/>
    <s v="Li"/>
    <s v="Active"/>
    <s v="Kedougou"/>
    <d v="2023-03-20T00:00:00"/>
    <d v="2023-05-24T00:00:00"/>
    <d v="2027-05-23T00:00:00"/>
    <m/>
    <s v="1,121.2027 km²"/>
  </r>
  <r>
    <s v="03743"/>
    <s v="LAMINIA"/>
    <x v="104"/>
    <x v="0"/>
    <s v="Sénégal"/>
    <m/>
    <s v="AEPM"/>
    <s v="Au"/>
    <s v="Active"/>
    <s v="Tambacounda"/>
    <d v="2022-08-22T00:00:00"/>
    <d v="2023-04-12T00:00:00"/>
    <d v="2028-04-11T00:00:00"/>
    <m/>
    <s v="5.0000 km²"/>
  </r>
  <r>
    <s v="03746"/>
    <m/>
    <x v="231"/>
    <x v="0"/>
    <s v="Sénégal"/>
    <m/>
    <s v="AEMSM"/>
    <s v="Au"/>
    <s v="Active"/>
    <s v="Kedougou"/>
    <d v="2023-03-01T00:00:00"/>
    <d v="2023-06-26T00:00:00"/>
    <d v="2026-06-25T00:00:00"/>
    <m/>
    <s v="49.9065 Ha"/>
  </r>
  <r>
    <s v="03751"/>
    <s v="Périmètre 3"/>
    <x v="232"/>
    <x v="0"/>
    <s v="Sénégal"/>
    <m/>
    <s v="AEMSM"/>
    <s v="Au"/>
    <s v="Active"/>
    <s v="Kedougou"/>
    <d v="2023-04-13T00:00:00"/>
    <d v="2023-06-13T00:00:00"/>
    <d v="2026-06-12T00:00:00"/>
    <m/>
    <s v="38.7250 Ha"/>
  </r>
  <r>
    <s v="03755"/>
    <m/>
    <x v="233"/>
    <x v="0"/>
    <s v="Sénégal"/>
    <m/>
    <s v="AEMSM"/>
    <s v="Au"/>
    <s v="Active"/>
    <s v="Kedougou"/>
    <d v="2023-02-03T00:00:00"/>
    <d v="2023-04-25T00:00:00"/>
    <d v="2026-04-24T00:00:00"/>
    <m/>
    <s v="49.3680 Ha"/>
  </r>
  <r>
    <s v="03756"/>
    <s v="Madina kénioto"/>
    <x v="183"/>
    <x v="0"/>
    <s v="Sénégal"/>
    <m/>
    <s v="AEMSM"/>
    <s v="Au"/>
    <s v="Active"/>
    <s v="Kedougou"/>
    <d v="2023-05-03T00:00:00"/>
    <d v="2023-06-20T00:00:00"/>
    <d v="2026-06-19T00:00:00"/>
    <m/>
    <s v="49.2075 Ha"/>
  </r>
  <r>
    <s v="03766"/>
    <m/>
    <x v="234"/>
    <x v="0"/>
    <s v="Sénégal"/>
    <m/>
    <s v="AEPM"/>
    <s v="Au"/>
    <s v="Active"/>
    <s v="Kedougou"/>
    <d v="2023-04-27T00:00:00"/>
    <d v="2024-05-19T00:00:00"/>
    <d v="2029-05-18T00:00:00"/>
    <m/>
    <s v="4.9879 km²"/>
  </r>
  <r>
    <s v="03769"/>
    <s v="ouest-Baitilaye"/>
    <x v="235"/>
    <x v="0"/>
    <s v="Sénégal"/>
    <m/>
    <s v="AEMSM"/>
    <s v="Au"/>
    <s v="Active"/>
    <s v="Kedougou"/>
    <d v="2023-05-16T00:00:00"/>
    <d v="2024-05-24T00:00:00"/>
    <d v="2027-05-23T00:00:00"/>
    <m/>
    <s v="50.0000 Ha"/>
  </r>
  <r>
    <s v="03772"/>
    <s v="THOR"/>
    <x v="236"/>
    <x v="0"/>
    <s v="Sénégal"/>
    <m/>
    <s v="PR"/>
    <s v="gypse"/>
    <s v="Active"/>
    <s v="Thiès"/>
    <d v="2021-08-13T00:00:00"/>
    <d v="2021-08-25T00:00:00"/>
    <d v="2025-08-24T00:00:00"/>
    <m/>
    <s v="4.9790 km²"/>
  </r>
  <r>
    <s v="03777"/>
    <s v="Dioubeba"/>
    <x v="237"/>
    <x v="0"/>
    <s v="Sénégal"/>
    <m/>
    <s v="AEMSM"/>
    <s v="Au"/>
    <s v="Active"/>
    <s v="Tambacounda"/>
    <d v="2023-05-25T00:00:00"/>
    <d v="2023-07-10T00:00:00"/>
    <d v="2026-07-09T00:00:00"/>
    <m/>
    <s v="48.1012 Ha"/>
  </r>
  <r>
    <s v="03785"/>
    <m/>
    <x v="238"/>
    <x v="0"/>
    <s v="Sénégal"/>
    <m/>
    <s v="AEMSM"/>
    <s v="Au"/>
    <s v="Active"/>
    <s v="Kedougou"/>
    <d v="2023-06-06T00:00:00"/>
    <d v="2023-06-13T00:00:00"/>
    <d v="2026-06-12T00:00:00"/>
    <m/>
    <s v="49.6480 Ha"/>
  </r>
  <r>
    <s v="03786"/>
    <s v="LEOBA"/>
    <x v="239"/>
    <x v="0"/>
    <s v="Sénégal"/>
    <m/>
    <s v="PR"/>
    <s v="Au"/>
    <s v="Active"/>
    <s v="Tambacounda"/>
    <d v="2023-03-13T00:00:00"/>
    <d v="2023-09-26T00:00:00"/>
    <d v="2027-09-25T00:00:00"/>
    <m/>
    <s v="92.2886 km²"/>
  </r>
  <r>
    <s v="03789"/>
    <m/>
    <x v="240"/>
    <x v="0"/>
    <s v="Sénégal"/>
    <m/>
    <s v="AEMSM"/>
    <s v="Au"/>
    <s v="Active"/>
    <s v="Kedougou"/>
    <d v="2023-05-16T00:00:00"/>
    <d v="2023-05-24T00:00:00"/>
    <d v="2026-05-23T00:00:00"/>
    <m/>
    <s v="19.2214 Ha"/>
  </r>
  <r>
    <s v="03790"/>
    <s v="SUD SARAYA"/>
    <x v="241"/>
    <x v="0"/>
    <s v="Sénégal"/>
    <m/>
    <s v="PR"/>
    <s v="Li"/>
    <s v="Active"/>
    <s v="Kedougou"/>
    <d v="2023-04-17T00:00:00"/>
    <d v="2023-05-24T00:00:00"/>
    <d v="2027-05-23T00:00:00"/>
    <m/>
    <s v="617.4641 km²"/>
  </r>
  <r>
    <s v="03791"/>
    <s v="NDENDORY"/>
    <x v="242"/>
    <x v="0"/>
    <s v="Sénégal"/>
    <m/>
    <s v="AEPM"/>
    <s v="phosphate de chaux"/>
    <s v="Active"/>
    <s v="Matam"/>
    <d v="2021-07-15T00:00:00"/>
    <d v="2022-02-02T00:00:00"/>
    <d v="2027-02-01T00:00:00"/>
    <m/>
    <s v="83.3000 Ha"/>
  </r>
  <r>
    <s v="03802"/>
    <m/>
    <x v="243"/>
    <x v="0"/>
    <s v="Sénégal"/>
    <m/>
    <s v="AECPP"/>
    <s v="basalte"/>
    <s v="Active"/>
    <s v="Thiès"/>
    <d v="2023-05-09T00:00:00"/>
    <d v="2023-05-19T00:00:00"/>
    <d v="2028-05-18T00:00:00"/>
    <m/>
    <s v="40.1464 Ha"/>
  </r>
  <r>
    <s v="03806"/>
    <s v="DIADIAKO"/>
    <x v="244"/>
    <x v="0"/>
    <s v="Sénégal"/>
    <m/>
    <s v="PR"/>
    <s v="Au"/>
    <s v="Active"/>
    <s v="Kedougou"/>
    <d v="2023-06-06T00:00:00"/>
    <d v="2023-07-05T00:00:00"/>
    <d v="2027-07-04T00:00:00"/>
    <m/>
    <s v="63.6656 km²"/>
  </r>
  <r>
    <s v="03822"/>
    <s v="Koussola"/>
    <x v="245"/>
    <x v="0"/>
    <s v="Sénégal"/>
    <m/>
    <s v="PR"/>
    <s v="Au"/>
    <s v="Active"/>
    <s v="Kedougou"/>
    <d v="2022-05-10T00:00:00"/>
    <d v="2023-07-06T00:00:00"/>
    <d v="2027-07-05T00:00:00"/>
    <m/>
    <s v="74.3119 km²"/>
  </r>
  <r>
    <s v="03824"/>
    <m/>
    <x v="27"/>
    <x v="0"/>
    <s v="Sénégal"/>
    <m/>
    <s v="PR"/>
    <s v="ML"/>
    <s v="Active"/>
    <s v="Saint Louis"/>
    <d v="2022-09-27T00:00:00"/>
    <d v="2023-07-05T00:00:00"/>
    <d v="2027-07-04T00:00:00"/>
    <m/>
    <s v="79.5969 km²"/>
  </r>
  <r>
    <s v="03831"/>
    <m/>
    <x v="79"/>
    <x v="0"/>
    <s v="Sénégal"/>
    <m/>
    <s v="AECPP"/>
    <s v="basalte"/>
    <s v="Active"/>
    <s v="Thiès"/>
    <d v="2023-06-08T00:00:00"/>
    <d v="2023-09-15T00:00:00"/>
    <d v="2028-09-14T00:00:00"/>
    <m/>
    <s v="30.0634 Ha"/>
  </r>
  <r>
    <s v="03836"/>
    <s v="POUT"/>
    <x v="246"/>
    <x v="0"/>
    <s v="Sénégal"/>
    <m/>
    <s v="PE"/>
    <s v="calcaire, substance connexes"/>
    <s v="Active"/>
    <s v="Thiès"/>
    <d v="2022-03-20T00:00:00"/>
    <d v="2022-05-31T00:00:00"/>
    <d v="2042-05-30T00:00:00"/>
    <m/>
    <s v="8.5900 km²"/>
  </r>
  <r>
    <s v="03840"/>
    <m/>
    <x v="247"/>
    <x v="0"/>
    <s v="Sénégal"/>
    <m/>
    <s v="AEHTR"/>
    <s v="Sl"/>
    <s v="Active"/>
    <s v="Thiès"/>
    <d v="2023-05-15T00:00:00"/>
    <d v="2023-06-13T00:00:00"/>
    <d v="2028-06-12T00:00:00"/>
    <m/>
    <m/>
  </r>
  <r>
    <s v="03841"/>
    <m/>
    <x v="248"/>
    <x v="0"/>
    <s v="Sénégal"/>
    <m/>
    <s v="AEHTR"/>
    <s v="Sl"/>
    <s v="Active"/>
    <s v="Thiès"/>
    <d v="2023-05-17T00:00:00"/>
    <d v="2023-06-13T00:00:00"/>
    <d v="2028-06-12T00:00:00"/>
    <m/>
    <m/>
  </r>
  <r>
    <s v="03843"/>
    <m/>
    <x v="249"/>
    <x v="0"/>
    <s v="Sénégal"/>
    <m/>
    <s v="AEHTR"/>
    <s v="Sl"/>
    <s v="Active"/>
    <s v="Thiès"/>
    <d v="2023-06-25T00:00:00"/>
    <d v="2023-07-10T00:00:00"/>
    <d v="2028-07-09T00:00:00"/>
    <m/>
    <m/>
  </r>
  <r>
    <s v="03847"/>
    <s v="Karakeana"/>
    <x v="250"/>
    <x v="0"/>
    <s v="Sénégal"/>
    <m/>
    <s v="PR"/>
    <s v="diamant"/>
    <s v="Active"/>
    <s v="Kedougou"/>
    <d v="2022-08-17T00:00:00"/>
    <d v="2023-07-10T00:00:00"/>
    <d v="2027-07-09T00:00:00"/>
    <m/>
    <s v="481.0746 km²"/>
  </r>
  <r>
    <s v="03848"/>
    <m/>
    <x v="251"/>
    <x v="0"/>
    <s v="Sénégal"/>
    <m/>
    <s v="AECPP"/>
    <s v="calcaire"/>
    <s v="Active"/>
    <s v="Thiès"/>
    <d v="2023-06-15T00:00:00"/>
    <d v="2023-06-26T00:00:00"/>
    <d v="2028-06-25T00:00:00"/>
    <m/>
    <s v="50.0507 Ha"/>
  </r>
  <r>
    <s v="03849"/>
    <m/>
    <x v="252"/>
    <x v="0"/>
    <s v="Sénégal"/>
    <m/>
    <s v="AECPP"/>
    <s v="calcaire"/>
    <s v="Active"/>
    <s v="Thiès"/>
    <d v="2023-04-25T00:00:00"/>
    <d v="2023-06-27T00:00:00"/>
    <d v="2028-06-26T00:00:00"/>
    <m/>
    <s v="25.0535 Ha"/>
  </r>
  <r>
    <s v="03855"/>
    <s v="Kéniéba"/>
    <x v="253"/>
    <x v="0"/>
    <s v="Sénégal"/>
    <m/>
    <s v="AEPM"/>
    <s v="Au"/>
    <s v="Active"/>
    <s v="Tambacounda"/>
    <d v="2023-06-21T00:00:00"/>
    <d v="2023-08-07T00:00:00"/>
    <d v="2028-08-06T00:00:00"/>
    <m/>
    <s v="4.9545 km²"/>
  </r>
  <r>
    <s v="03857"/>
    <m/>
    <x v="254"/>
    <x v="0"/>
    <s v="Sénégal"/>
    <m/>
    <s v="AEMSM"/>
    <s v="Au"/>
    <s v="Active"/>
    <s v="Kedougou"/>
    <d v="2023-07-19T00:00:00"/>
    <d v="2024-02-07T00:00:00"/>
    <d v="2027-02-06T00:00:00"/>
    <m/>
    <s v="47.4948 Ha"/>
  </r>
  <r>
    <s v="03864"/>
    <s v="Périmètre 2"/>
    <x v="255"/>
    <x v="0"/>
    <s v="Sénégal"/>
    <m/>
    <s v="AEMSM"/>
    <s v="Au"/>
    <s v="Active"/>
    <s v="Kedougou"/>
    <d v="2023-08-14T00:00:00"/>
    <d v="2023-09-25T00:00:00"/>
    <d v="2026-09-24T00:00:00"/>
    <m/>
    <s v="43.9332 Ha"/>
  </r>
  <r>
    <s v="03868"/>
    <s v="Tambanoumya"/>
    <x v="256"/>
    <x v="0"/>
    <s v="Sénégal"/>
    <m/>
    <s v="AEMSM"/>
    <s v="Au"/>
    <s v="Active"/>
    <s v="Kedougou"/>
    <d v="2023-06-15T00:00:00"/>
    <d v="2023-07-27T00:00:00"/>
    <d v="2026-07-26T00:00:00"/>
    <m/>
    <s v="49.4441 Ha"/>
  </r>
  <r>
    <s v="03873"/>
    <m/>
    <x v="257"/>
    <x v="0"/>
    <s v="Sénégal"/>
    <m/>
    <s v="AEMSM"/>
    <s v="Au"/>
    <s v="Active"/>
    <s v="Tambacounda"/>
    <d v="2023-07-13T00:00:00"/>
    <d v="2023-08-31T00:00:00"/>
    <d v="2026-08-30T00:00:00"/>
    <m/>
    <s v="49.9468 Ha"/>
  </r>
  <r>
    <s v="03876"/>
    <m/>
    <x v="258"/>
    <x v="0"/>
    <s v="Sénégal"/>
    <m/>
    <s v="AEMSM"/>
    <s v="Au"/>
    <s v="Active"/>
    <s v="Kedougou"/>
    <d v="2023-09-14T00:00:00"/>
    <d v="2024-01-08T00:00:00"/>
    <d v="2027-01-07T00:00:00"/>
    <m/>
    <s v="49.9781 Ha"/>
  </r>
  <r>
    <s v="03879"/>
    <m/>
    <x v="259"/>
    <x v="0"/>
    <s v="Sénégal"/>
    <m/>
    <s v="AECPP"/>
    <s v="basalte"/>
    <s v="Active"/>
    <s v="Thiès"/>
    <d v="2023-05-15T00:00:00"/>
    <d v="2023-08-31T00:00:00"/>
    <d v="2028-08-30T00:00:00"/>
    <m/>
    <s v="23.6095 Ha"/>
  </r>
  <r>
    <s v="03880"/>
    <m/>
    <x v="133"/>
    <x v="0"/>
    <s v="Sénégal"/>
    <m/>
    <s v="AECPP"/>
    <s v="basalte"/>
    <s v="Active"/>
    <s v="Thiès"/>
    <d v="2023-08-16T00:00:00"/>
    <d v="2023-09-15T00:00:00"/>
    <d v="2028-09-14T00:00:00"/>
    <m/>
    <s v="43.7750 Ha"/>
  </r>
  <r>
    <s v="03881"/>
    <m/>
    <x v="260"/>
    <x v="0"/>
    <s v="Sénégal"/>
    <m/>
    <s v="AECPP"/>
    <s v="basalte"/>
    <s v="Active"/>
    <s v="Thiès"/>
    <d v="2023-06-26T00:00:00"/>
    <d v="2023-09-15T00:00:00"/>
    <d v="2028-09-14T00:00:00"/>
    <m/>
    <s v="54.4320 Ha"/>
  </r>
  <r>
    <s v="03894"/>
    <s v="missirah sirimana"/>
    <x v="261"/>
    <x v="0"/>
    <s v="Sénégal"/>
    <m/>
    <s v="AEMSM"/>
    <s v="Au"/>
    <s v="Active"/>
    <s v="Kedougou"/>
    <d v="2023-05-12T00:00:00"/>
    <d v="2023-06-06T00:00:00"/>
    <d v="2026-06-05T00:00:00"/>
    <m/>
    <s v="45.8203 Ha"/>
  </r>
  <r>
    <s v="03898"/>
    <m/>
    <x v="262"/>
    <x v="0"/>
    <s v="Sénégal"/>
    <m/>
    <s v="AEHTR"/>
    <s v="Sl"/>
    <s v="Active"/>
    <s v="Thiès"/>
    <d v="2023-07-17T00:00:00"/>
    <d v="2023-08-31T00:00:00"/>
    <d v="2028-08-30T00:00:00"/>
    <m/>
    <m/>
  </r>
  <r>
    <s v="03900"/>
    <m/>
    <x v="263"/>
    <x v="0"/>
    <s v="Sénégal"/>
    <m/>
    <s v="AEHTR"/>
    <s v="Sl"/>
    <s v="Active"/>
    <s v="Thiès"/>
    <d v="2023-06-20T00:00:00"/>
    <d v="2023-08-07T00:00:00"/>
    <d v="2028-08-06T00:00:00"/>
    <m/>
    <m/>
  </r>
  <r>
    <s v="03909"/>
    <m/>
    <x v="200"/>
    <x v="0"/>
    <s v="Sénégal"/>
    <m/>
    <s v="AEHTR"/>
    <s v="Sl"/>
    <s v="Active"/>
    <s v="Thiès"/>
    <d v="2023-12-01T00:00:00"/>
    <d v="2023-08-07T00:00:00"/>
    <d v="2028-08-06T00:00:00"/>
    <m/>
    <m/>
  </r>
  <r>
    <s v="03910"/>
    <s v="Daorala"/>
    <x v="264"/>
    <x v="0"/>
    <s v="Sénégal"/>
    <m/>
    <s v="AEMSM"/>
    <s v="Au"/>
    <s v="Active"/>
    <s v="Kedougou"/>
    <d v="2023-09-19T00:00:00"/>
    <d v="2023-10-03T00:00:00"/>
    <d v="2026-10-02T00:00:00"/>
    <m/>
    <s v="49.9942 Ha"/>
  </r>
  <r>
    <s v="03918"/>
    <m/>
    <x v="265"/>
    <x v="0"/>
    <s v="Sénégal"/>
    <m/>
    <s v="AECPT"/>
    <s v="grès"/>
    <s v="Active"/>
    <s v="Kedougou"/>
    <d v="2023-05-05T00:00:00"/>
    <d v="2023-09-18T00:00:00"/>
    <d v="2025-09-17T00:00:00"/>
    <d v="2024-09-18T00:00:00"/>
    <s v="7.7385 Ha"/>
  </r>
  <r>
    <s v="03921"/>
    <s v="Périmètre 4"/>
    <x v="266"/>
    <x v="0"/>
    <s v="Sénégal"/>
    <m/>
    <s v="AEMSM"/>
    <s v="Au"/>
    <s v="Active"/>
    <s v="Kedougou"/>
    <d v="2023-09-21T00:00:00"/>
    <d v="2023-09-27T00:00:00"/>
    <d v="2026-09-26T00:00:00"/>
    <m/>
    <s v="38.7200 Ha"/>
  </r>
  <r>
    <s v="03922"/>
    <s v="Périmètre 3"/>
    <x v="266"/>
    <x v="0"/>
    <s v="Sénégal"/>
    <m/>
    <s v="AEMSM"/>
    <s v="Au"/>
    <s v="Active"/>
    <s v="Kedougou"/>
    <d v="2023-09-21T00:00:00"/>
    <d v="2023-09-27T00:00:00"/>
    <d v="2026-09-26T00:00:00"/>
    <m/>
    <s v="35.0200 Ha"/>
  </r>
  <r>
    <s v="03923"/>
    <s v="Bloc1-Bloc2-Bloc3-Bloc4"/>
    <x v="264"/>
    <x v="0"/>
    <s v="Sénégal"/>
    <m/>
    <s v="AEMSM"/>
    <s v="Au"/>
    <s v="Active"/>
    <s v="Kedougou"/>
    <d v="2023-09-21T00:00:00"/>
    <d v="2023-10-03T00:00:00"/>
    <d v="2026-10-02T00:00:00"/>
    <m/>
    <s v="49.9020 Ha"/>
  </r>
  <r>
    <s v="03925"/>
    <m/>
    <x v="267"/>
    <x v="0"/>
    <s v="Sénégal"/>
    <m/>
    <s v="AEMSM"/>
    <s v="Au"/>
    <s v="Active"/>
    <s v="Tambacounda"/>
    <d v="2023-07-10T00:00:00"/>
    <d v="2023-07-14T00:00:00"/>
    <d v="2026-07-13T00:00:00"/>
    <m/>
    <s v="49.3363 Ha"/>
  </r>
  <r>
    <s v="03930"/>
    <s v="Kourou Diakhoma"/>
    <x v="268"/>
    <x v="0"/>
    <s v="Sénégal"/>
    <m/>
    <s v="AEMSM"/>
    <s v="Au"/>
    <s v="Active"/>
    <s v="Kedougou"/>
    <d v="2023-06-21T00:00:00"/>
    <d v="2023-09-20T00:00:00"/>
    <d v="2026-09-19T00:00:00"/>
    <m/>
    <s v="43.9905 Ha"/>
  </r>
  <r>
    <s v="03932"/>
    <m/>
    <x v="252"/>
    <x v="0"/>
    <s v="Sénégal"/>
    <m/>
    <s v="AECPP"/>
    <s v="calcaire"/>
    <s v="Active"/>
    <s v="Thiès"/>
    <d v="2023-05-01T00:00:00"/>
    <d v="2023-09-27T00:00:00"/>
    <d v="2028-09-26T00:00:00"/>
    <m/>
    <s v="28.8160 Ha"/>
  </r>
  <r>
    <s v="03941"/>
    <s v="Périmètre 2"/>
    <x v="269"/>
    <x v="0"/>
    <s v="Sénégal"/>
    <m/>
    <s v="AEMSM"/>
    <s v="Au"/>
    <s v="Active"/>
    <s v="Kedougou"/>
    <d v="2023-10-19T00:00:00"/>
    <d v="2024-01-03T00:00:00"/>
    <d v="2027-01-02T00:00:00"/>
    <m/>
    <s v="49.0850 Ha"/>
  </r>
  <r>
    <s v="03942"/>
    <s v="Périmètre 4"/>
    <x v="269"/>
    <x v="0"/>
    <s v="Sénégal"/>
    <m/>
    <s v="AEMSM"/>
    <s v="Au"/>
    <s v="Active"/>
    <s v="Kedougou"/>
    <d v="2023-10-19T00:00:00"/>
    <d v="2023-12-15T00:00:00"/>
    <d v="2026-12-14T00:00:00"/>
    <m/>
    <s v="49.7920 Ha"/>
  </r>
  <r>
    <s v="03958"/>
    <s v="Sabodala-2"/>
    <x v="244"/>
    <x v="0"/>
    <s v="Sénégal"/>
    <m/>
    <s v="AEPM"/>
    <s v="Au"/>
    <s v="Active"/>
    <s v="Kedougou"/>
    <d v="2023-10-11T00:00:00"/>
    <d v="2023-10-25T00:00:00"/>
    <d v="2028-10-24T00:00:00"/>
    <m/>
    <s v="4.3155 km²"/>
  </r>
  <r>
    <s v="03959"/>
    <s v="Sabodala-1"/>
    <x v="244"/>
    <x v="0"/>
    <s v="Sénégal"/>
    <m/>
    <s v="AEPM"/>
    <s v="Au"/>
    <s v="Active"/>
    <s v="Kedougou"/>
    <d v="2023-10-19T00:00:00"/>
    <d v="2023-10-27T00:00:00"/>
    <d v="2028-10-26T00:00:00"/>
    <m/>
    <s v="4.1656 km²"/>
  </r>
  <r>
    <s v="03960"/>
    <s v="Lam-Lam"/>
    <x v="270"/>
    <x v="0"/>
    <s v="Sénégal"/>
    <m/>
    <s v="AEPM"/>
    <s v="phosphate de chaux"/>
    <s v="Active"/>
    <s v="Thiès"/>
    <d v="2023-03-28T00:00:00"/>
    <d v="2023-10-25T00:00:00"/>
    <d v="2028-10-24T00:00:00"/>
    <m/>
    <s v="4.1882 km²"/>
  </r>
  <r>
    <s v="03969"/>
    <m/>
    <x v="271"/>
    <x v="0"/>
    <s v="Sénégal"/>
    <m/>
    <s v="AEMSM"/>
    <s v="Au"/>
    <s v="Active"/>
    <s v="Tambacounda"/>
    <d v="2023-11-03T00:00:00"/>
    <d v="2024-03-15T00:00:00"/>
    <d v="2027-03-14T00:00:00"/>
    <m/>
    <s v="49.7000 Ha"/>
  </r>
  <r>
    <s v="03970"/>
    <s v="Périmètre 1"/>
    <x v="272"/>
    <x v="0"/>
    <s v="Sénégal"/>
    <m/>
    <s v="AEMSM"/>
    <s v="Au"/>
    <s v="Active"/>
    <s v="Kedougou"/>
    <d v="2023-10-18T00:00:00"/>
    <d v="2023-11-06T00:00:00"/>
    <d v="2026-11-05T00:00:00"/>
    <m/>
    <s v="49.9200 Ha"/>
  </r>
  <r>
    <s v="03971"/>
    <s v="Périmètre 2"/>
    <x v="267"/>
    <x v="0"/>
    <s v="Sénégal"/>
    <m/>
    <s v="AEMSM"/>
    <s v="Au"/>
    <s v="Active"/>
    <s v="Tambacounda"/>
    <d v="2023-07-10T00:00:00"/>
    <d v="2023-07-14T00:00:00"/>
    <d v="2026-07-13T00:00:00"/>
    <m/>
    <s v="48.7346 Ha"/>
  </r>
  <r>
    <s v="03973"/>
    <s v="Périmètre 4"/>
    <x v="267"/>
    <x v="0"/>
    <s v="Sénégal"/>
    <m/>
    <s v="AEMSM"/>
    <s v="Au"/>
    <s v="Active"/>
    <s v="Tambacounda"/>
    <d v="2023-07-10T00:00:00"/>
    <d v="2023-07-14T00:00:00"/>
    <d v="2026-07-13T00:00:00"/>
    <m/>
    <s v="49.9278 Ha"/>
  </r>
  <r>
    <s v="03989"/>
    <s v="SUD TOGLOU"/>
    <x v="149"/>
    <x v="0"/>
    <s v="Sénégal"/>
    <m/>
    <s v="AECPP"/>
    <s v="grès"/>
    <s v="Active"/>
    <s v="Thiès"/>
    <d v="2023-11-23T00:00:00"/>
    <d v="2023-12-29T00:00:00"/>
    <d v="2028-12-28T00:00:00"/>
    <m/>
    <s v="16.6074 Ha"/>
  </r>
  <r>
    <s v="03993"/>
    <s v="ICS MBORO"/>
    <x v="273"/>
    <x v="0"/>
    <s v="Sénégal"/>
    <m/>
    <s v="AEHTR"/>
    <s v="Sl"/>
    <s v="Active"/>
    <s v="Thiès"/>
    <d v="2023-11-03T00:00:00"/>
    <d v="2023-11-29T00:00:00"/>
    <d v="2028-11-28T00:00:00"/>
    <m/>
    <m/>
  </r>
  <r>
    <s v="03994"/>
    <s v="beer thialane"/>
    <x v="274"/>
    <x v="0"/>
    <s v="Sénégal"/>
    <m/>
    <s v="AECPT"/>
    <s v="sable de dune"/>
    <s v="Active"/>
    <s v="Thiès"/>
    <d v="2023-05-09T00:00:00"/>
    <d v="2023-12-26T00:00:00"/>
    <d v="2024-12-25T00:00:00"/>
    <m/>
    <s v="2.0730 Ha"/>
  </r>
  <r>
    <s v="03995"/>
    <s v="ics"/>
    <x v="275"/>
    <x v="0"/>
    <s v="Sénégal"/>
    <m/>
    <s v="AEHTR"/>
    <s v="Sl"/>
    <s v="Active"/>
    <s v="Thiès"/>
    <d v="2023-09-12T00:00:00"/>
    <d v="2023-09-25T00:00:00"/>
    <d v="2028-09-24T00:00:00"/>
    <m/>
    <m/>
  </r>
  <r>
    <s v="03999"/>
    <s v="ICS"/>
    <x v="276"/>
    <x v="0"/>
    <s v="Sénégal"/>
    <m/>
    <s v="AEHTR"/>
    <s v="Sl"/>
    <s v="Active"/>
    <s v="Thiès"/>
    <d v="2023-09-25T00:00:00"/>
    <d v="2023-10-03T00:00:00"/>
    <d v="2028-10-02T00:00:00"/>
    <m/>
    <m/>
  </r>
  <r>
    <s v="04000"/>
    <s v="Cherif LO"/>
    <x v="277"/>
    <x v="0"/>
    <s v="Sénégal"/>
    <m/>
    <s v="AECPT"/>
    <s v="latérite"/>
    <s v="Active"/>
    <s v="Thiès"/>
    <d v="2023-07-25T00:00:00"/>
    <d v="2023-12-11T00:00:00"/>
    <d v="2024-12-10T00:00:00"/>
    <m/>
    <s v="1.1133 Ha"/>
  </r>
  <r>
    <s v="04001"/>
    <s v="ics"/>
    <x v="278"/>
    <x v="0"/>
    <s v="Sénégal"/>
    <m/>
    <s v="AEHTR"/>
    <s v="Sl"/>
    <s v="Active"/>
    <s v="Thiès"/>
    <d v="2023-08-16T00:00:00"/>
    <d v="2023-09-26T00:00:00"/>
    <d v="2028-09-25T00:00:00"/>
    <m/>
    <m/>
  </r>
  <r>
    <s v="04004"/>
    <s v="NIAMAYA"/>
    <x v="66"/>
    <x v="0"/>
    <s v="Sénégal"/>
    <m/>
    <s v="PR"/>
    <s v="Au"/>
    <s v="Active"/>
    <s v="Kedougou"/>
    <d v="2023-11-21T00:00:00"/>
    <d v="2023-11-30T00:00:00"/>
    <d v="2027-11-29T00:00:00"/>
    <m/>
    <s v="74.2347 km²"/>
  </r>
  <r>
    <s v="04006"/>
    <m/>
    <x v="279"/>
    <x v="0"/>
    <s v="Sénégal"/>
    <m/>
    <s v="AEMSM"/>
    <s v="Au"/>
    <s v="Active"/>
    <s v="Kedougou"/>
    <d v="2023-09-25T00:00:00"/>
    <d v="2023-12-27T00:00:00"/>
    <d v="2026-12-26T00:00:00"/>
    <m/>
    <s v="50.0000 Ha"/>
  </r>
  <r>
    <s v="04009"/>
    <s v="Périmètre 1"/>
    <x v="280"/>
    <x v="0"/>
    <s v="Sénégal"/>
    <m/>
    <s v="AEMSM"/>
    <s v="Au"/>
    <s v="Active"/>
    <s v="Tambacounda"/>
    <d v="2023-10-18T00:00:00"/>
    <d v="2023-10-31T00:00:00"/>
    <d v="2026-10-30T00:00:00"/>
    <m/>
    <s v="41.6505 Ha"/>
  </r>
  <r>
    <s v="04011"/>
    <s v="ICS"/>
    <x v="281"/>
    <x v="0"/>
    <s v="Sénégal"/>
    <m/>
    <s v="AEHTR"/>
    <s v="Sl"/>
    <s v="Active"/>
    <s v="Thiès"/>
    <d v="2023-10-31T00:00:00"/>
    <d v="2023-11-22T00:00:00"/>
    <d v="2028-11-21T00:00:00"/>
    <m/>
    <m/>
  </r>
  <r>
    <s v="04021"/>
    <m/>
    <x v="272"/>
    <x v="0"/>
    <s v="Sénégal"/>
    <m/>
    <s v="AEMSM"/>
    <s v="Au"/>
    <s v="Active"/>
    <s v="Kedougou"/>
    <d v="2023-11-10T00:00:00"/>
    <d v="2023-12-07T00:00:00"/>
    <d v="2026-12-06T00:00:00"/>
    <m/>
    <s v="48.4600 Ha"/>
  </r>
  <r>
    <s v="04024"/>
    <s v="DIENDER"/>
    <x v="282"/>
    <x v="0"/>
    <s v="Sénégal"/>
    <m/>
    <s v="AECPT"/>
    <s v="sable de dune"/>
    <s v="Active"/>
    <s v="Thiès"/>
    <d v="2023-07-23T00:00:00"/>
    <d v="2023-12-07T00:00:00"/>
    <d v="2024-12-06T00:00:00"/>
    <m/>
    <s v="1.0059 Ha"/>
  </r>
  <r>
    <s v="04029"/>
    <s v="PISCHON"/>
    <x v="283"/>
    <x v="0"/>
    <s v="Sénégal"/>
    <m/>
    <s v="PR"/>
    <s v="Au"/>
    <s v="Active"/>
    <s v="Kedougou"/>
    <d v="2023-07-19T00:00:00"/>
    <d v="2023-11-29T00:00:00"/>
    <d v="2027-11-28T00:00:00"/>
    <m/>
    <s v="59.0542 km²"/>
  </r>
  <r>
    <s v="04030"/>
    <s v="SINTHIOU 1"/>
    <x v="284"/>
    <x v="0"/>
    <s v="Sénégal"/>
    <m/>
    <s v="AEPM"/>
    <s v="phosphate de chaux"/>
    <s v="Active"/>
    <s v="Matam"/>
    <d v="2023-12-27T00:00:00"/>
    <d v="2024-01-03T00:00:00"/>
    <d v="2029-01-02T00:00:00"/>
    <m/>
    <s v="4.9995 km²"/>
  </r>
  <r>
    <s v="04031"/>
    <s v="SINTHIOU 2"/>
    <x v="284"/>
    <x v="0"/>
    <s v="Sénégal"/>
    <m/>
    <s v="AEPM"/>
    <s v="phosphate de chaux"/>
    <s v="Active"/>
    <s v="Matam"/>
    <d v="2023-12-27T00:00:00"/>
    <d v="2024-01-03T00:00:00"/>
    <d v="2029-01-02T00:00:00"/>
    <m/>
    <s v="171.4388 Ha"/>
  </r>
  <r>
    <s v="04032"/>
    <s v="DENI BIRAME NDOA"/>
    <x v="285"/>
    <x v="0"/>
    <s v="Sénégal"/>
    <m/>
    <s v="AECPT"/>
    <s v="sable de dune"/>
    <s v="Active"/>
    <s v="Dakar"/>
    <d v="2023-10-14T00:00:00"/>
    <d v="2023-12-08T00:00:00"/>
    <d v="2024-12-07T00:00:00"/>
    <m/>
    <s v="1.9588 Ha"/>
  </r>
  <r>
    <s v="04033"/>
    <s v="ngendouf"/>
    <x v="285"/>
    <x v="0"/>
    <s v="Sénégal"/>
    <m/>
    <s v="AECPT"/>
    <s v="sable de dune"/>
    <s v="Active"/>
    <s v="Dakar"/>
    <d v="2023-08-29T00:00:00"/>
    <d v="2023-12-08T00:00:00"/>
    <d v="2024-12-07T00:00:00"/>
    <m/>
    <s v="2.5704 Ha"/>
  </r>
  <r>
    <s v="04045"/>
    <m/>
    <x v="14"/>
    <x v="0"/>
    <s v="Sénégal"/>
    <m/>
    <s v="AECPP"/>
    <s v="Argile"/>
    <s v="Active"/>
    <s v="Tambacounda"/>
    <d v="2022-06-03T00:00:00"/>
    <d v="2022-05-27T00:00:00"/>
    <d v="2027-05-26T00:00:00"/>
    <m/>
    <s v="150.2589 Ha"/>
  </r>
  <r>
    <s v="04047"/>
    <m/>
    <x v="286"/>
    <x v="0"/>
    <s v="Sénégal"/>
    <m/>
    <s v="AECPP"/>
    <s v="calcaire"/>
    <s v="Active"/>
    <s v="Thiès"/>
    <d v="2021-11-18T00:00:00"/>
    <d v="2021-10-01T00:00:00"/>
    <d v="2026-09-30T00:00:00"/>
    <m/>
    <s v="30.0121 Ha"/>
  </r>
  <r>
    <s v="04054"/>
    <s v="Bandia"/>
    <x v="287"/>
    <x v="0"/>
    <s v="Sénégal"/>
    <m/>
    <s v="AECPP"/>
    <s v="calcaire"/>
    <s v="Active"/>
    <s v="Thiès"/>
    <d v="2021-12-20T00:00:00"/>
    <d v="2022-02-10T00:00:00"/>
    <d v="2027-02-09T00:00:00"/>
    <m/>
    <s v="10.9873 Ha"/>
  </r>
  <r>
    <s v="04055"/>
    <m/>
    <x v="4"/>
    <x v="0"/>
    <s v="Sénégal"/>
    <m/>
    <s v="AECPP"/>
    <s v="basalte"/>
    <s v="Active"/>
    <s v="Thiès"/>
    <d v="2008-06-30T00:00:00"/>
    <d v="2018-06-29T00:00:00"/>
    <d v="2028-06-27T00:00:00"/>
    <m/>
    <s v="3.1454 Ha"/>
  </r>
  <r>
    <s v="04057"/>
    <s v="DIACK"/>
    <x v="5"/>
    <x v="0"/>
    <s v="Sénégal"/>
    <m/>
    <s v="AECPP"/>
    <s v="basalte"/>
    <s v="Active"/>
    <s v="Thiès"/>
    <d v="2009-03-04T00:00:00"/>
    <d v="2022-11-14T00:00:00"/>
    <d v="2027-11-13T00:00:00"/>
    <m/>
    <s v="83.5849 Ha"/>
  </r>
  <r>
    <s v="04058"/>
    <m/>
    <x v="14"/>
    <x v="0"/>
    <s v="Sénégal"/>
    <m/>
    <s v="AECPP"/>
    <s v="Argile"/>
    <s v="Active"/>
    <s v="Tambacounda"/>
    <d v="2022-05-23T00:00:00"/>
    <d v="2022-05-27T00:00:00"/>
    <d v="2027-05-26T00:00:00"/>
    <m/>
    <s v="74.5858 Ha"/>
  </r>
  <r>
    <s v="04062"/>
    <s v="Diender"/>
    <x v="288"/>
    <x v="0"/>
    <s v="Sénégal"/>
    <m/>
    <s v="AECPT"/>
    <s v="sable de dune"/>
    <s v="Active"/>
    <s v="Thiès"/>
    <d v="2023-12-27T00:00:00"/>
    <d v="2024-01-26T00:00:00"/>
    <d v="2025-01-25T00:00:00"/>
    <m/>
    <s v="1.0404 Ha"/>
  </r>
  <r>
    <s v="04063"/>
    <m/>
    <x v="289"/>
    <x v="0"/>
    <s v="Sénégal"/>
    <m/>
    <s v="AEMSM"/>
    <s v="Au"/>
    <s v="Active"/>
    <s v="Kedougou"/>
    <d v="2023-06-21T00:00:00"/>
    <d v="2023-12-29T00:00:00"/>
    <d v="2026-12-28T00:00:00"/>
    <m/>
    <s v="49.3027 Ha"/>
  </r>
  <r>
    <s v="04065"/>
    <m/>
    <x v="290"/>
    <x v="0"/>
    <s v="Sénégal"/>
    <m/>
    <s v="AEPM"/>
    <s v="Au"/>
    <s v="Active"/>
    <s v="Kedougou"/>
    <d v="2024-01-03T00:00:00"/>
    <d v="2024-01-17T00:00:00"/>
    <d v="2029-01-16T00:00:00"/>
    <m/>
    <s v="408.4754 Ha"/>
  </r>
  <r>
    <s v="04066"/>
    <m/>
    <x v="253"/>
    <x v="0"/>
    <s v="Sénégal"/>
    <m/>
    <s v="AEPM"/>
    <s v="Mn"/>
    <s v="Active"/>
    <s v="Tambacounda"/>
    <d v="2023-06-22T00:00:00"/>
    <d v="2024-01-17T00:00:00"/>
    <d v="2029-01-16T00:00:00"/>
    <m/>
    <s v="4.9978 km²"/>
  </r>
  <r>
    <s v="04067"/>
    <m/>
    <x v="291"/>
    <x v="0"/>
    <s v="Sénégal"/>
    <m/>
    <s v="AEHTR"/>
    <s v="Sl"/>
    <s v="Active"/>
    <s v="Thiès"/>
    <d v="2022-09-05T00:00:00"/>
    <d v="2022-11-07T00:00:00"/>
    <d v="2027-11-06T00:00:00"/>
    <m/>
    <m/>
  </r>
  <r>
    <s v="04070"/>
    <s v="Ndiébéne Gandiol"/>
    <x v="292"/>
    <x v="0"/>
    <s v="Sénégal"/>
    <m/>
    <s v="AECPT"/>
    <s v="sable de dune"/>
    <s v="Active"/>
    <s v="Saint Louis"/>
    <d v="2023-03-08T00:00:00"/>
    <d v="2024-02-01T00:00:00"/>
    <d v="2025-01-31T00:00:00"/>
    <m/>
    <s v="2.7957 Ha"/>
  </r>
  <r>
    <s v="04071"/>
    <m/>
    <x v="293"/>
    <x v="0"/>
    <s v="Sénégal"/>
    <m/>
    <s v="AECPP"/>
    <s v="basalte"/>
    <s v="Active"/>
    <s v="Thiès"/>
    <d v="2022-11-22T00:00:00"/>
    <d v="2023-03-15T00:00:00"/>
    <d v="2028-03-14T00:00:00"/>
    <m/>
    <s v="12.0344 Ha"/>
  </r>
  <r>
    <s v="04072"/>
    <s v="Toglou"/>
    <x v="294"/>
    <x v="0"/>
    <s v="Sénégal"/>
    <m/>
    <s v="AECPT"/>
    <s v="latérite"/>
    <s v="Active"/>
    <s v="Thiès"/>
    <d v="2023-11-30T00:00:00"/>
    <d v="2024-02-14T00:00:00"/>
    <d v="2025-02-13T00:00:00"/>
    <m/>
    <s v="0.2641 Ha"/>
  </r>
  <r>
    <s v="04074"/>
    <s v="NDINDY"/>
    <x v="295"/>
    <x v="0"/>
    <s v="Sénégal"/>
    <m/>
    <s v="AEPM"/>
    <s v="phosphate de chaux"/>
    <s v="Active"/>
    <s v="Thiès"/>
    <d v="2023-12-12T00:00:00"/>
    <d v="2024-01-17T00:00:00"/>
    <d v="2029-01-16T00:00:00"/>
    <m/>
    <s v="4.9999 km²"/>
  </r>
  <r>
    <s v="04076"/>
    <s v="Est_Diala"/>
    <x v="296"/>
    <x v="0"/>
    <s v="Sénégal"/>
    <m/>
    <s v="AEMSM"/>
    <s v="Au"/>
    <s v="Active"/>
    <s v="Tambacounda"/>
    <d v="2024-01-25T00:00:00"/>
    <d v="2024-03-15T00:00:00"/>
    <d v="2027-03-14T00:00:00"/>
    <m/>
    <s v="47.2328 Ha"/>
  </r>
  <r>
    <s v="04078"/>
    <s v="Périmètre 3"/>
    <x v="297"/>
    <x v="0"/>
    <s v="Sénégal"/>
    <m/>
    <s v="AEMSM"/>
    <s v="Au"/>
    <s v="Active"/>
    <s v="Kedougou"/>
    <d v="2024-01-08T00:00:00"/>
    <d v="2024-01-24T00:00:00"/>
    <d v="2027-01-23T00:00:00"/>
    <m/>
    <s v="49.7871 Ha"/>
  </r>
  <r>
    <s v="04079"/>
    <s v="Périmètre 2"/>
    <x v="297"/>
    <x v="0"/>
    <s v="Sénégal"/>
    <m/>
    <s v="AEMSM"/>
    <s v="Au"/>
    <s v="Active"/>
    <s v="Kedougou"/>
    <d v="2024-01-08T00:00:00"/>
    <d v="2024-01-24T00:00:00"/>
    <d v="2027-01-23T00:00:00"/>
    <m/>
    <s v="49.9713 Ha"/>
  </r>
  <r>
    <s v="04080"/>
    <s v="Périmètre 1"/>
    <x v="297"/>
    <x v="0"/>
    <s v="Sénégal"/>
    <m/>
    <s v="AEMSM"/>
    <s v="Au"/>
    <s v="Active"/>
    <s v="Kedougou"/>
    <d v="2024-01-08T00:00:00"/>
    <d v="2024-01-24T00:00:00"/>
    <d v="2027-01-23T00:00:00"/>
    <m/>
    <s v="48.4067 Ha"/>
  </r>
  <r>
    <s v="04082"/>
    <m/>
    <x v="298"/>
    <x v="0"/>
    <s v="Sénégal"/>
    <m/>
    <s v="AEMSM"/>
    <s v="Au"/>
    <s v="Active"/>
    <s v="Kedougou"/>
    <d v="2024-01-11T00:00:00"/>
    <d v="2024-01-24T00:00:00"/>
    <d v="2027-01-23T00:00:00"/>
    <m/>
    <s v="43.3089 Ha"/>
  </r>
  <r>
    <s v="04083"/>
    <m/>
    <x v="297"/>
    <x v="0"/>
    <s v="Sénégal"/>
    <m/>
    <s v="AEMSM"/>
    <s v="Au"/>
    <s v="Active"/>
    <s v="Kedougou"/>
    <d v="2024-01-08T00:00:00"/>
    <d v="2024-01-24T00:00:00"/>
    <d v="2027-01-23T00:00:00"/>
    <m/>
    <s v="39.5229 Ha"/>
  </r>
  <r>
    <s v="04089"/>
    <m/>
    <x v="14"/>
    <x v="0"/>
    <s v="Sénégal"/>
    <m/>
    <s v="AECPP"/>
    <s v="latérite"/>
    <s v="Active"/>
    <s v="Thiès"/>
    <d v="2023-03-31T00:00:00"/>
    <d v="2023-04-18T00:00:00"/>
    <d v="2028-04-17T00:00:00"/>
    <m/>
    <s v="47.1726 Ha"/>
  </r>
  <r>
    <s v="04090"/>
    <s v="Périmètre 3"/>
    <x v="255"/>
    <x v="0"/>
    <s v="Sénégal"/>
    <m/>
    <s v="AEMSM"/>
    <s v="Au"/>
    <s v="Active"/>
    <s v="Kedougou"/>
    <d v="2024-01-15T00:00:00"/>
    <d v="2024-02-27T00:00:00"/>
    <d v="2027-02-26T00:00:00"/>
    <m/>
    <s v="49.5800 Ha"/>
  </r>
  <r>
    <s v="04091"/>
    <m/>
    <x v="14"/>
    <x v="0"/>
    <s v="Sénégal"/>
    <m/>
    <s v="AECPP"/>
    <s v="calcaire"/>
    <s v="Active"/>
    <s v="Thiès"/>
    <d v="2023-03-15T00:00:00"/>
    <d v="2023-04-18T00:00:00"/>
    <d v="2028-04-17T00:00:00"/>
    <m/>
    <s v="326.6250 Ha"/>
  </r>
  <r>
    <s v="04093"/>
    <s v="Tinkoto Nding"/>
    <x v="299"/>
    <x v="0"/>
    <s v="Sénégal"/>
    <m/>
    <s v="AEMSM"/>
    <s v="Au"/>
    <s v="Active"/>
    <s v="Kedougou"/>
    <d v="2023-03-27T00:00:00"/>
    <d v="2024-01-03T00:00:00"/>
    <d v="2027-01-02T00:00:00"/>
    <m/>
    <s v="50.0000 Ha"/>
  </r>
  <r>
    <s v="04094"/>
    <s v="Périmètre 4"/>
    <x v="300"/>
    <x v="0"/>
    <s v="Sénégal"/>
    <m/>
    <s v="AEMSM"/>
    <s v="Au"/>
    <s v="Active"/>
    <s v="Kedougou"/>
    <d v="2023-10-18T00:00:00"/>
    <d v="2023-12-27T00:00:00"/>
    <d v="2026-12-26T00:00:00"/>
    <m/>
    <s v="49.7060 Ha"/>
  </r>
  <r>
    <s v="04097"/>
    <s v="ROSS BETHIO"/>
    <x v="301"/>
    <x v="0"/>
    <s v="Sénégal"/>
    <m/>
    <s v="AECPubT"/>
    <s v="sable de dune"/>
    <s v="Active"/>
    <s v="Saint Louis"/>
    <d v="2023-09-14T00:00:00"/>
    <d v="2024-02-14T00:00:00"/>
    <d v="2025-02-13T00:00:00"/>
    <m/>
    <s v="2.8110 Ha"/>
  </r>
  <r>
    <s v="04099"/>
    <s v="Barga"/>
    <x v="302"/>
    <x v="0"/>
    <s v="Sénégal"/>
    <m/>
    <s v="AECPT"/>
    <s v="calcaire"/>
    <s v="Active"/>
    <s v="Matam"/>
    <d v="2023-11-10T00:00:00"/>
    <d v="2024-02-05T00:00:00"/>
    <d v="2025-02-04T00:00:00"/>
    <m/>
    <s v="39.5736 Ha"/>
  </r>
  <r>
    <s v="04103"/>
    <m/>
    <x v="14"/>
    <x v="0"/>
    <s v="Sénégal"/>
    <m/>
    <s v="AECPP"/>
    <s v="calcaire"/>
    <s v="Active"/>
    <s v="Thiès"/>
    <d v="2023-03-31T00:00:00"/>
    <d v="2023-04-24T00:00:00"/>
    <d v="2028-04-23T00:00:00"/>
    <m/>
    <s v="133.1415 Ha"/>
  </r>
  <r>
    <s v="04106"/>
    <m/>
    <x v="303"/>
    <x v="0"/>
    <s v="Sénégal"/>
    <m/>
    <s v="AEMSM"/>
    <s v="Au"/>
    <s v="Active"/>
    <s v="Kedougou"/>
    <d v="2024-01-05T00:00:00"/>
    <d v="2024-02-20T00:00:00"/>
    <d v="2027-02-19T00:00:00"/>
    <m/>
    <s v="49.5173 Ha"/>
  </r>
  <r>
    <s v="04113"/>
    <s v="Toglou"/>
    <x v="304"/>
    <x v="0"/>
    <s v="Sénégal"/>
    <m/>
    <s v="AECPP"/>
    <s v="grès"/>
    <s v="Active"/>
    <s v="Thiès"/>
    <d v="2023-11-03T00:00:00"/>
    <d v="2024-01-03T00:00:00"/>
    <d v="2029-01-02T00:00:00"/>
    <m/>
    <s v="2.2237 Ha"/>
  </r>
  <r>
    <s v="04114"/>
    <s v="Ndiaganiao"/>
    <x v="127"/>
    <x v="0"/>
    <s v="Sénégal"/>
    <m/>
    <s v="AECPP"/>
    <s v="basalte"/>
    <s v="Active"/>
    <s v="Thiès"/>
    <d v="2023-10-23T00:00:00"/>
    <d v="2023-12-27T00:00:00"/>
    <d v="2028-12-26T00:00:00"/>
    <m/>
    <s v="20.0151 Ha"/>
  </r>
  <r>
    <s v="04115"/>
    <s v="ICS"/>
    <x v="305"/>
    <x v="0"/>
    <s v="Sénégal"/>
    <m/>
    <s v="AEHTR"/>
    <s v="Sl"/>
    <s v="Active"/>
    <s v="Thiès"/>
    <d v="2023-11-11T00:00:00"/>
    <d v="2023-12-27T00:00:00"/>
    <d v="2028-12-26T00:00:00"/>
    <m/>
    <m/>
  </r>
  <r>
    <s v="04121"/>
    <m/>
    <x v="125"/>
    <x v="0"/>
    <s v="Sénégal"/>
    <m/>
    <s v="AECPP"/>
    <s v="basalte"/>
    <s v="Active"/>
    <s v="Thiès"/>
    <d v="2023-08-30T00:00:00"/>
    <d v="2023-12-07T00:00:00"/>
    <d v="2028-12-06T00:00:00"/>
    <m/>
    <s v="54.1294 Ha"/>
  </r>
  <r>
    <s v="04124"/>
    <m/>
    <x v="306"/>
    <x v="0"/>
    <s v="Sénégal"/>
    <m/>
    <s v="AEMSM"/>
    <s v="Au"/>
    <s v="Active"/>
    <s v="Kedougou"/>
    <d v="2024-01-25T00:00:00"/>
    <d v="2024-02-07T00:00:00"/>
    <d v="2027-02-06T00:00:00"/>
    <m/>
    <s v="49.9886 Ha"/>
  </r>
  <r>
    <s v="04125"/>
    <s v="Sud-Est_Koliya"/>
    <x v="296"/>
    <x v="0"/>
    <s v="Sénégal"/>
    <m/>
    <s v="AEMSM"/>
    <s v="Au"/>
    <s v="Active"/>
    <s v="Kedougou"/>
    <d v="2023-11-23T00:00:00"/>
    <d v="2024-01-31T00:00:00"/>
    <d v="2027-01-30T00:00:00"/>
    <m/>
    <s v="45.8601 Ha"/>
  </r>
  <r>
    <s v="04127"/>
    <s v="FARABA"/>
    <x v="307"/>
    <x v="0"/>
    <s v="Sénégal"/>
    <m/>
    <s v="PR"/>
    <s v="Au"/>
    <s v="Active"/>
    <s v="Kedougou"/>
    <d v="2023-05-02T00:00:00"/>
    <d v="2024-02-02T00:00:00"/>
    <d v="2028-02-01T00:00:00"/>
    <m/>
    <s v="677.9946 km²"/>
  </r>
  <r>
    <s v="04130"/>
    <m/>
    <x v="308"/>
    <x v="0"/>
    <s v="Sénégal"/>
    <m/>
    <s v="AEMSM"/>
    <s v="Au"/>
    <s v="Active"/>
    <s v="Kedougou"/>
    <d v="2022-10-31T00:00:00"/>
    <d v="2024-02-02T00:00:00"/>
    <d v="2027-02-01T00:00:00"/>
    <m/>
    <s v="48.7725 Ha"/>
  </r>
  <r>
    <s v="04133"/>
    <m/>
    <x v="309"/>
    <x v="0"/>
    <s v="Sénégal"/>
    <m/>
    <s v="AEMSM"/>
    <s v="Au"/>
    <s v="Active"/>
    <s v="Kedougou"/>
    <d v="2024-01-25T00:00:00"/>
    <d v="2024-02-02T00:00:00"/>
    <d v="2027-02-01T00:00:00"/>
    <m/>
    <s v="49.7640 Ha"/>
  </r>
  <r>
    <s v="04135"/>
    <m/>
    <x v="310"/>
    <x v="0"/>
    <s v="Sénégal"/>
    <m/>
    <s v="AEMSM"/>
    <s v="Au"/>
    <s v="Active"/>
    <s v="Kedougou"/>
    <d v="2024-01-22T00:00:00"/>
    <d v="2024-02-02T00:00:00"/>
    <d v="2027-02-01T00:00:00"/>
    <m/>
    <s v="47.5175 Ha"/>
  </r>
  <r>
    <s v="04141"/>
    <s v="SOUKOUTA"/>
    <x v="157"/>
    <x v="0"/>
    <s v="Sénégal"/>
    <m/>
    <s v="AEPM"/>
    <s v="Au"/>
    <s v="Active"/>
    <s v="Kedougou"/>
    <d v="2023-09-21T00:00:00"/>
    <d v="2024-02-12T00:00:00"/>
    <d v="2029-02-11T00:00:00"/>
    <m/>
    <s v="4.9896 km²"/>
  </r>
  <r>
    <s v="04142"/>
    <s v="Raffo"/>
    <x v="311"/>
    <x v="0"/>
    <s v="Sénégal"/>
    <m/>
    <s v="AECPT"/>
    <s v="Argile"/>
    <s v="Active"/>
    <s v="Thiès"/>
    <d v="2023-11-29T00:00:00"/>
    <d v="2024-01-18T00:00:00"/>
    <d v="2025-01-17T00:00:00"/>
    <m/>
    <s v="9.1459 Ha"/>
  </r>
  <r>
    <s v="04143"/>
    <s v="Cayar-Khay Wérou"/>
    <x v="274"/>
    <x v="0"/>
    <s v="Sénégal"/>
    <m/>
    <s v="AECPT"/>
    <s v="sable de dune"/>
    <s v="Active"/>
    <s v="Thiès"/>
    <d v="2021-11-17T00:00:00"/>
    <d v="2024-02-21T00:00:00"/>
    <d v="2025-02-20T00:00:00"/>
    <m/>
    <s v="1.7493 Ha"/>
  </r>
  <r>
    <s v="04144"/>
    <s v="Xaay Weru"/>
    <x v="312"/>
    <x v="0"/>
    <s v="Sénégal"/>
    <m/>
    <s v="AECPT"/>
    <s v="sable de dune"/>
    <s v="Active"/>
    <s v="Thiès"/>
    <d v="2023-11-23T00:00:00"/>
    <d v="2024-02-20T00:00:00"/>
    <d v="2025-02-19T00:00:00"/>
    <m/>
    <s v="2.2326 Ha"/>
  </r>
  <r>
    <s v="04145"/>
    <s v="ICS"/>
    <x v="313"/>
    <x v="0"/>
    <s v="Sénégal"/>
    <m/>
    <s v="AEHTR"/>
    <s v="Sl"/>
    <s v="Active"/>
    <s v="Thiès"/>
    <d v="2024-01-29T00:00:00"/>
    <d v="2024-02-02T00:00:00"/>
    <d v="2029-02-01T00:00:00"/>
    <m/>
    <m/>
  </r>
  <r>
    <s v="04146"/>
    <s v="ICS"/>
    <x v="314"/>
    <x v="0"/>
    <s v="Sénégal"/>
    <m/>
    <s v="AEHTR"/>
    <s v="Sl"/>
    <s v="Active"/>
    <s v="Thiès"/>
    <d v="2024-01-29T00:00:00"/>
    <d v="2024-02-02T00:00:00"/>
    <d v="2029-02-01T00:00:00"/>
    <m/>
    <m/>
  </r>
  <r>
    <s v="04151"/>
    <s v="Thicky"/>
    <x v="315"/>
    <x v="0"/>
    <s v="Sénégal"/>
    <m/>
    <s v="AECPT"/>
    <s v="latérite"/>
    <s v="Active"/>
    <s v="Thiès"/>
    <d v="2024-02-12T00:00:00"/>
    <d v="2024-02-22T00:00:00"/>
    <d v="2025-02-21T00:00:00"/>
    <m/>
    <s v="7.8897 Ha"/>
  </r>
  <r>
    <s v="04155"/>
    <s v="Pambal"/>
    <x v="316"/>
    <x v="0"/>
    <s v="Sénégal"/>
    <m/>
    <s v="AECPT"/>
    <s v="latérite"/>
    <s v="Active"/>
    <s v="Thiès"/>
    <d v="2024-02-02T00:00:00"/>
    <d v="2024-02-26T00:00:00"/>
    <d v="2025-02-25T00:00:00"/>
    <m/>
    <s v="2.2777 Ha"/>
  </r>
  <r>
    <s v="04156"/>
    <s v="KHOTANE SERERE"/>
    <x v="317"/>
    <x v="0"/>
    <s v="Sénégal"/>
    <m/>
    <s v="AECPT"/>
    <s v="latérite"/>
    <s v="Active"/>
    <s v="Dakar"/>
    <d v="2024-02-15T00:00:00"/>
    <d v="2024-02-26T00:00:00"/>
    <d v="2025-02-25T00:00:00"/>
    <m/>
    <s v="2.1914 Ha"/>
  </r>
  <r>
    <s v="04157"/>
    <s v="Baniomba"/>
    <x v="179"/>
    <x v="0"/>
    <s v="Sénégal"/>
    <m/>
    <s v="AECPP"/>
    <s v="basalte"/>
    <s v="Active"/>
    <s v="Kedougou"/>
    <d v="2023-11-27T00:00:00"/>
    <d v="2022-02-20T00:00:00"/>
    <d v="2027-02-19T00:00:00"/>
    <m/>
    <s v="23.3780 Ha"/>
  </r>
  <r>
    <s v="04174"/>
    <s v="GOLLAM"/>
    <x v="318"/>
    <x v="0"/>
    <s v="Sénégal"/>
    <m/>
    <s v="AECPT"/>
    <s v="sable de dune"/>
    <s v="Active"/>
    <s v="Thiès"/>
    <d v="2024-02-14T00:00:00"/>
    <d v="2024-03-05T00:00:00"/>
    <d v="2025-03-04T00:00:00"/>
    <m/>
    <s v="3.4810 Ha"/>
  </r>
  <r>
    <s v="04178"/>
    <s v="Toglou"/>
    <x v="319"/>
    <x v="0"/>
    <s v="Sénégal"/>
    <m/>
    <s v="AECPT"/>
    <s v="latérite"/>
    <s v="Active"/>
    <s v="Thiès"/>
    <d v="2024-03-07T00:00:00"/>
    <d v="2024-04-03T00:00:00"/>
    <d v="2025-04-02T00:00:00"/>
    <m/>
    <s v="3.0094 Ha"/>
  </r>
  <r>
    <s v="04179"/>
    <s v="Chérif Lo"/>
    <x v="320"/>
    <x v="0"/>
    <s v="Sénégal"/>
    <m/>
    <s v="AECPT"/>
    <s v="latérite"/>
    <s v="Active"/>
    <s v="Thiès"/>
    <d v="2024-03-06T00:00:00"/>
    <d v="2024-03-07T00:00:00"/>
    <d v="2025-03-06T00:00:00"/>
    <m/>
    <s v="14.8166 Ha"/>
  </r>
  <r>
    <s v="04180"/>
    <s v="KHAR YALLAH"/>
    <x v="321"/>
    <x v="0"/>
    <s v="Sénégal"/>
    <m/>
    <s v="AECPT"/>
    <s v="sable de dune"/>
    <s v="Active"/>
    <s v="Thiès"/>
    <d v="2024-03-06T00:00:00"/>
    <d v="2024-03-08T00:00:00"/>
    <d v="2025-03-07T00:00:00"/>
    <m/>
    <s v="1.9744 Ha"/>
  </r>
  <r>
    <s v="04181"/>
    <s v="DENI BIRAME NDAO NORD"/>
    <x v="321"/>
    <x v="0"/>
    <s v="Sénégal"/>
    <m/>
    <s v="AECPT"/>
    <s v="sable de dune"/>
    <s v="Active"/>
    <s v="Thiès"/>
    <d v="2024-03-04T00:00:00"/>
    <d v="2024-03-08T00:00:00"/>
    <d v="2025-03-07T00:00:00"/>
    <m/>
    <s v="6.2951 Ha"/>
  </r>
  <r>
    <s v="04183"/>
    <s v="Tchicky"/>
    <x v="322"/>
    <x v="0"/>
    <s v="Sénégal"/>
    <m/>
    <s v="AECPT"/>
    <s v="latérite"/>
    <s v="Active"/>
    <s v="Thiès"/>
    <d v="2024-03-05T00:00:00"/>
    <d v="2024-03-08T00:00:00"/>
    <d v="2025-03-07T00:00:00"/>
    <m/>
    <s v="1.9648 Ha"/>
  </r>
  <r>
    <s v="04184"/>
    <s v="Ngaye Mékhé"/>
    <x v="323"/>
    <x v="0"/>
    <s v="Sénégal"/>
    <m/>
    <s v="AECPT"/>
    <s v="sable de dune"/>
    <s v="Active"/>
    <s v="Thiès"/>
    <d v="2024-03-07T00:00:00"/>
    <d v="2024-03-12T00:00:00"/>
    <d v="2025-03-11T00:00:00"/>
    <m/>
    <s v="2.2499 Ha"/>
  </r>
  <r>
    <s v="04187"/>
    <s v="ICS "/>
    <x v="324"/>
    <x v="0"/>
    <s v="Sénégal"/>
    <m/>
    <s v="AEHTR"/>
    <s v="Sl"/>
    <s v="Active"/>
    <s v="Thiès"/>
    <d v="2024-03-04T00:00:00"/>
    <d v="2024-03-11T00:00:00"/>
    <d v="2025-03-10T00:00:00"/>
    <m/>
    <m/>
  </r>
  <r>
    <s v="04189"/>
    <s v="KOLIA 1"/>
    <x v="325"/>
    <x v="0"/>
    <s v="Sénégal"/>
    <m/>
    <s v="AEMSM"/>
    <s v="Au"/>
    <s v="Active"/>
    <s v="Kedougou"/>
    <d v="2023-07-12T00:00:00"/>
    <d v="2024-03-06T00:00:00"/>
    <d v="2027-03-05T00:00:00"/>
    <m/>
    <s v="49.4100 Ha"/>
  </r>
  <r>
    <s v="04196"/>
    <s v="ICS/TAIBA"/>
    <x v="326"/>
    <x v="0"/>
    <s v="Sénégal"/>
    <m/>
    <s v="AEHTR"/>
    <s v="sable de dune"/>
    <s v="Active"/>
    <s v="Thiès"/>
    <d v="2018-01-29T00:00:00"/>
    <d v="2023-12-27T00:00:00"/>
    <d v="2028-12-26T00:00:00"/>
    <m/>
    <s v="0.0008 km²"/>
  </r>
  <r>
    <s v="04203"/>
    <s v="THICKY"/>
    <x v="327"/>
    <x v="0"/>
    <s v="Sénégal"/>
    <m/>
    <s v="AECPT"/>
    <s v="latérite"/>
    <s v="Active"/>
    <s v="Thiès"/>
    <d v="2024-01-24T00:00:00"/>
    <d v="2024-03-18T00:00:00"/>
    <d v="2025-03-17T00:00:00"/>
    <m/>
    <s v="5.0981 Ha"/>
  </r>
  <r>
    <s v="04204"/>
    <s v="Diender"/>
    <x v="328"/>
    <x v="0"/>
    <s v="Sénégal"/>
    <m/>
    <s v="AECPT"/>
    <s v="latérite"/>
    <s v="Active"/>
    <s v="Thiès"/>
    <d v="2023-11-24T00:00:00"/>
    <d v="2024-03-21T00:00:00"/>
    <d v="2025-03-20T00:00:00"/>
    <m/>
    <s v="16.3494 Ha"/>
  </r>
  <r>
    <s v="04205"/>
    <m/>
    <x v="329"/>
    <x v="0"/>
    <s v="Sénégal"/>
    <m/>
    <s v="AECPT"/>
    <s v="sable de dune"/>
    <s v="Active"/>
    <s v="Thiès"/>
    <d v="2024-03-07T00:00:00"/>
    <d v="2024-03-21T00:00:00"/>
    <d v="2025-03-20T00:00:00"/>
    <m/>
    <s v="7.9999 Ha"/>
  </r>
  <r>
    <s v="04208"/>
    <s v="NAMEL"/>
    <x v="221"/>
    <x v="0"/>
    <s v="Sénégal"/>
    <m/>
    <s v="PR"/>
    <s v="phosphate de chaux"/>
    <s v="Active"/>
    <s v="Kedougou"/>
    <d v="2023-08-02T00:00:00"/>
    <d v="2024-03-06T00:00:00"/>
    <d v="2028-03-05T00:00:00"/>
    <m/>
    <s v="333.2234 km²"/>
  </r>
  <r>
    <s v="04209"/>
    <s v="KENIEBA Mn"/>
    <x v="330"/>
    <x v="0"/>
    <s v="Sénégal"/>
    <m/>
    <s v="PR"/>
    <s v="Mn"/>
    <s v="Active"/>
    <s v="Kedougou"/>
    <d v="2023-09-07T00:00:00"/>
    <d v="2024-03-06T00:00:00"/>
    <d v="2028-03-05T00:00:00"/>
    <m/>
    <s v="53.4137 km²"/>
  </r>
  <r>
    <s v="04211"/>
    <s v="Mangary"/>
    <x v="331"/>
    <x v="0"/>
    <s v="Sénégal"/>
    <m/>
    <s v="AECPT"/>
    <s v="sable de dune"/>
    <s v="Active"/>
    <s v="Fatick"/>
    <d v="2024-03-28T00:00:00"/>
    <d v="2024-04-03T00:00:00"/>
    <d v="2025-04-02T00:00:00"/>
    <m/>
    <s v="9.0401 Ha"/>
  </r>
  <r>
    <s v="04213"/>
    <s v="ICS"/>
    <x v="332"/>
    <x v="0"/>
    <s v="Sénégal"/>
    <m/>
    <s v="AEHTR"/>
    <s v="Sl"/>
    <s v="Active"/>
    <s v="Thiès"/>
    <d v="2024-01-15T00:00:00"/>
    <d v="2024-03-15T00:00:00"/>
    <d v="2026-03-14T00:00:00"/>
    <m/>
    <m/>
  </r>
  <r>
    <s v="04214"/>
    <s v="ICS"/>
    <x v="333"/>
    <x v="0"/>
    <s v="Sénégal"/>
    <m/>
    <s v="AEHTR"/>
    <s v="Sl"/>
    <s v="Active"/>
    <s v="Thiès"/>
    <d v="2024-03-11T00:00:00"/>
    <d v="2024-03-15T00:00:00"/>
    <d v="2029-03-14T00:00:00"/>
    <m/>
    <m/>
  </r>
  <r>
    <s v="04218"/>
    <s v="ICS"/>
    <x v="334"/>
    <x v="0"/>
    <s v="Sénégal"/>
    <m/>
    <s v="AEHTR"/>
    <s v="Sl"/>
    <s v="Active"/>
    <s v="Thiès"/>
    <d v="2024-03-11T00:00:00"/>
    <d v="2024-03-15T00:00:00"/>
    <d v="2026-03-14T00:00:00"/>
    <m/>
    <m/>
  </r>
  <r>
    <s v="04219"/>
    <s v="ICS"/>
    <x v="335"/>
    <x v="0"/>
    <s v="Sénégal"/>
    <m/>
    <s v="AEHTR"/>
    <s v="Sl"/>
    <s v="Active"/>
    <s v="Thiès"/>
    <d v="2024-04-05T00:00:00"/>
    <d v="2024-03-15T00:00:00"/>
    <d v="2029-03-14T00:00:00"/>
    <m/>
    <m/>
  </r>
  <r>
    <s v="04227"/>
    <s v="Diass"/>
    <x v="332"/>
    <x v="0"/>
    <s v="Sénégal"/>
    <m/>
    <s v="AECPP"/>
    <s v="grès"/>
    <s v="Active"/>
    <s v="Thiès"/>
    <d v="2024-01-24T00:00:00"/>
    <d v="2024-03-22T00:00:00"/>
    <d v="2029-03-21T00:00:00"/>
    <m/>
    <s v="3.5290 Ha"/>
  </r>
  <r>
    <s v="04228"/>
    <s v="Bloc1"/>
    <x v="264"/>
    <x v="0"/>
    <s v="Sénégal"/>
    <m/>
    <s v="AEMSM"/>
    <s v="Au"/>
    <s v="Active"/>
    <s v="Kedougou"/>
    <d v="2023-12-19T00:00:00"/>
    <d v="2024-03-15T00:00:00"/>
    <d v="2027-03-14T00:00:00"/>
    <m/>
    <s v="49.9885 Ha"/>
  </r>
  <r>
    <s v="04229"/>
    <s v="THIKI"/>
    <x v="336"/>
    <x v="0"/>
    <s v="Sénégal"/>
    <m/>
    <s v="AECPT"/>
    <s v="latérite"/>
    <s v="Active"/>
    <s v="Thiès"/>
    <d v="2024-03-11T00:00:00"/>
    <d v="2024-03-29T00:00:00"/>
    <d v="2025-03-28T00:00:00"/>
    <m/>
    <s v="4.6999 Ha"/>
  </r>
  <r>
    <s v="04230"/>
    <s v="BANTACOUNTOU"/>
    <x v="337"/>
    <x v="0"/>
    <s v="Sénégal"/>
    <m/>
    <s v="AECPP"/>
    <s v="basalte"/>
    <s v="Active"/>
    <s v="Tambacounda"/>
    <d v="2022-07-20T00:00:00"/>
    <d v="2024-03-29T00:00:00"/>
    <d v="2029-03-28T00:00:00"/>
    <m/>
    <s v="49.9985 Ha"/>
  </r>
  <r>
    <s v="04231"/>
    <s v="kidira"/>
    <x v="337"/>
    <x v="0"/>
    <s v="Sénégal"/>
    <m/>
    <s v="AECPP"/>
    <s v="basalte"/>
    <s v="Active"/>
    <s v="Tambacounda"/>
    <d v="2022-07-20T00:00:00"/>
    <d v="2024-03-29T00:00:00"/>
    <d v="2029-03-28T00:00:00"/>
    <m/>
    <s v="48.7882 Ha"/>
  </r>
  <r>
    <s v="04232"/>
    <s v="ICS"/>
    <x v="338"/>
    <x v="0"/>
    <s v="Sénégal"/>
    <m/>
    <s v="AEHTR"/>
    <s v="Sl"/>
    <s v="Active"/>
    <s v="Thiès"/>
    <d v="2024-03-19T00:00:00"/>
    <d v="2024-03-29T00:00:00"/>
    <d v="2029-03-28T00:00:00"/>
    <m/>
    <m/>
  </r>
  <r>
    <s v="04235"/>
    <s v="ICS"/>
    <x v="339"/>
    <x v="0"/>
    <s v="Sénégal"/>
    <m/>
    <s v="AEHTR"/>
    <s v="Sl"/>
    <s v="Active"/>
    <s v="Thiès"/>
    <d v="2024-04-23T00:00:00"/>
    <d v="2024-03-29T00:00:00"/>
    <d v="2029-03-28T00:00:00"/>
    <m/>
    <m/>
  </r>
  <r>
    <s v="04243"/>
    <s v="TCHIKY"/>
    <x v="340"/>
    <x v="0"/>
    <s v="Sénégal"/>
    <m/>
    <s v="AECPT"/>
    <s v="latérite"/>
    <s v="Active"/>
    <s v="Thiès"/>
    <d v="2024-02-21T00:00:00"/>
    <d v="2024-02-28T00:00:00"/>
    <d v="2025-02-27T00:00:00"/>
    <m/>
    <s v="4.9863 Ha"/>
  </r>
  <r>
    <s v="04245"/>
    <s v="BOYENADJI"/>
    <x v="221"/>
    <x v="0"/>
    <s v="Sénégal"/>
    <m/>
    <s v="AEPM"/>
    <s v="phosphate de chaux"/>
    <s v="Active"/>
    <s v="Matam"/>
    <d v="2024-02-23T00:00:00"/>
    <d v="2024-03-27T00:00:00"/>
    <d v="2029-03-26T00:00:00"/>
    <m/>
    <s v="228.7510 Ha"/>
  </r>
  <r>
    <s v="04246"/>
    <m/>
    <x v="341"/>
    <x v="0"/>
    <s v="Sénégal"/>
    <m/>
    <s v="AEPM"/>
    <s v="Au"/>
    <s v="Active"/>
    <s v="Kedougou"/>
    <d v="2022-07-05T00:00:00"/>
    <d v="2022-09-07T00:00:00"/>
    <d v="2027-09-06T00:00:00"/>
    <m/>
    <s v="491.9820 Ha"/>
  </r>
  <r>
    <s v="04247"/>
    <m/>
    <x v="153"/>
    <x v="0"/>
    <s v="Sénégal"/>
    <m/>
    <s v="AEPM"/>
    <s v="phosphate de chaux"/>
    <s v="Active"/>
    <s v="Thiès"/>
    <d v="2024-03-26T00:00:00"/>
    <d v="2024-03-27T00:00:00"/>
    <d v="2029-03-26T00:00:00"/>
    <m/>
    <s v="4.9586 km²"/>
  </r>
  <r>
    <s v="04248"/>
    <s v="Kolia"/>
    <x v="342"/>
    <x v="0"/>
    <s v="Sénégal"/>
    <m/>
    <s v="AEMSM"/>
    <s v="Au"/>
    <s v="Active"/>
    <s v="Kedougou"/>
    <d v="2023-03-13T00:00:00"/>
    <d v="2023-06-22T00:00:00"/>
    <d v="2026-06-21T00:00:00"/>
    <m/>
    <s v="45.6814 Ha"/>
  </r>
  <r>
    <s v="04251"/>
    <s v="DIOUBELA"/>
    <x v="343"/>
    <x v="0"/>
    <s v="Sénégal"/>
    <m/>
    <s v="PR"/>
    <s v="Mn"/>
    <s v="Active"/>
    <s v="Tambacounda"/>
    <d v="2024-01-16T00:00:00"/>
    <d v="2024-03-14T00:00:00"/>
    <d v="2028-03-13T00:00:00"/>
    <m/>
    <s v="320.2818 km²"/>
  </r>
  <r>
    <s v="04252"/>
    <s v="BARIBARIE 1"/>
    <x v="344"/>
    <x v="0"/>
    <s v="Sénégal"/>
    <m/>
    <s v="PR"/>
    <s v="Li"/>
    <s v="Active"/>
    <s v="Kedougou"/>
    <d v="2022-10-07T00:00:00"/>
    <d v="2023-02-02T00:00:00"/>
    <d v="2027-02-01T00:00:00"/>
    <m/>
    <s v="98.9681 km²"/>
  </r>
  <r>
    <s v="04253"/>
    <m/>
    <x v="345"/>
    <x v="0"/>
    <s v="Sénégal"/>
    <m/>
    <s v="AEMSM"/>
    <s v="Au"/>
    <s v="Active"/>
    <s v="Tambacounda"/>
    <d v="2024-02-16T00:00:00"/>
    <d v="2024-03-22T00:00:00"/>
    <d v="2027-03-21T00:00:00"/>
    <m/>
    <s v="27.4968 Ha"/>
  </r>
  <r>
    <s v="04260"/>
    <s v="MAKANA"/>
    <x v="346"/>
    <x v="0"/>
    <s v="Sénégal"/>
    <m/>
    <s v="PR"/>
    <s v="Au"/>
    <s v="Active"/>
    <s v="Kedougou"/>
    <d v="2024-01-15T00:00:00"/>
    <d v="2024-03-29T00:00:00"/>
    <d v="2028-03-28T00:00:00"/>
    <m/>
    <s v="116.4829 km²"/>
  </r>
  <r>
    <s v="04262"/>
    <m/>
    <x v="347"/>
    <x v="0"/>
    <s v="Sénégal"/>
    <m/>
    <s v="AECPP"/>
    <s v="grès"/>
    <s v="Active"/>
    <s v="Thiès"/>
    <d v="2023-03-22T00:00:00"/>
    <d v="2023-05-08T00:00:00"/>
    <d v="2028-05-07T00:00:00"/>
    <m/>
    <s v="1.4342 Ha"/>
  </r>
  <r>
    <s v="04266"/>
    <s v="Mboro"/>
    <x v="348"/>
    <x v="0"/>
    <s v="Sénégal"/>
    <m/>
    <s v="AEHTR"/>
    <s v="Sl"/>
    <s v="Active"/>
    <s v="Thiès"/>
    <d v="2024-05-27T00:00:00"/>
    <d v="2023-05-11T00:00:00"/>
    <d v="2028-05-10T00:00:00"/>
    <m/>
    <m/>
  </r>
  <r>
    <s v="04267"/>
    <m/>
    <x v="349"/>
    <x v="0"/>
    <s v="Sénégal"/>
    <m/>
    <s v="AECPP"/>
    <s v="Argile, latérite"/>
    <s v="Active"/>
    <s v="Thiès"/>
    <d v="2023-05-01T00:00:00"/>
    <d v="2023-06-13T00:00:00"/>
    <d v="2028-06-12T00:00:00"/>
    <m/>
    <s v="48.6722 Ha"/>
  </r>
  <r>
    <s v="04268"/>
    <s v="MAMANKANTI"/>
    <x v="350"/>
    <x v="0"/>
    <s v="Sénégal"/>
    <m/>
    <s v="PR"/>
    <s v="Au"/>
    <s v="Active"/>
    <s v="Kedougou"/>
    <d v="2024-03-18T00:00:00"/>
    <d v="2024-03-29T00:00:00"/>
    <d v="2028-03-28T00:00:00"/>
    <m/>
    <s v="18.6813 km²"/>
  </r>
  <r>
    <s v="04274"/>
    <s v="Barabérie"/>
    <x v="245"/>
    <x v="0"/>
    <s v="Sénégal"/>
    <m/>
    <s v="PR"/>
    <s v="Li"/>
    <s v="Active"/>
    <s v="Kedougou"/>
    <d v="2022-10-03T00:00:00"/>
    <d v="2023-01-30T00:00:00"/>
    <d v="2027-01-29T00:00:00"/>
    <m/>
    <s v="381.5028 km²"/>
  </r>
  <r>
    <s v="04276"/>
    <s v="GNITH"/>
    <x v="351"/>
    <x v="0"/>
    <s v="Sénégal"/>
    <m/>
    <s v="AECPT"/>
    <s v="latérite"/>
    <s v="Active"/>
    <s v="Saint Louis"/>
    <d v="2024-05-21T00:00:00"/>
    <d v="2024-05-19T00:00:00"/>
    <d v="2026-09-28T00:00:00"/>
    <d v="2025-05-19T00:00:00"/>
    <s v="53.5362 Ha"/>
  </r>
  <r>
    <s v="04278"/>
    <s v="GNITH"/>
    <x v="351"/>
    <x v="0"/>
    <s v="Sénégal"/>
    <m/>
    <s v="AECPT"/>
    <s v="latérite"/>
    <s v="Active"/>
    <s v="Saint Louis"/>
    <d v="2024-06-13T00:00:00"/>
    <d v="2024-05-19T00:00:00"/>
    <d v="2026-09-28T00:00:00"/>
    <d v="2025-05-19T00:00:00"/>
    <s v="52.6750 Ha"/>
  </r>
  <r>
    <s v="04279"/>
    <s v="Koussoko"/>
    <x v="352"/>
    <x v="0"/>
    <s v="Sénégal"/>
    <m/>
    <s v="PR"/>
    <s v="Au"/>
    <s v="Active"/>
    <s v="Kedougou"/>
    <d v="2021-01-21T00:00:00"/>
    <d v="2021-08-05T00:00:00"/>
    <d v="2025-08-04T00:00:00"/>
    <m/>
    <s v="26.1967 km²"/>
  </r>
  <r>
    <s v="04285"/>
    <s v="TASSETTE"/>
    <x v="353"/>
    <x v="0"/>
    <s v="Sénégal"/>
    <m/>
    <s v="AECPP"/>
    <s v="basalte"/>
    <s v="Active"/>
    <s v="Thiès"/>
    <d v="2022-03-16T00:00:00"/>
    <d v="2024-02-12T00:00:00"/>
    <d v="2029-02-11T00:00:00"/>
    <m/>
    <s v="20.2251 Ha"/>
  </r>
  <r>
    <s v="04308"/>
    <m/>
    <x v="354"/>
    <x v="0"/>
    <s v="Sénégal"/>
    <m/>
    <s v="AEPM"/>
    <s v="phosphate de chaux"/>
    <s v="Active"/>
    <s v="Matam"/>
    <d v="2024-03-26T00:00:00"/>
    <d v="2024-03-27T00:00:00"/>
    <d v="2029-03-26T00:00:00"/>
    <m/>
    <s v="113.3540 Ha"/>
  </r>
  <r>
    <s v="04342"/>
    <m/>
    <x v="355"/>
    <x v="0"/>
    <s v="Sénégal"/>
    <m/>
    <s v="AECPT"/>
    <s v="sable de dune"/>
    <s v="Active"/>
    <s v="Dakar"/>
    <d v="2025-05-28T00:00:00"/>
    <d v="2025-05-30T00:00:00"/>
    <d v="2026-05-29T00:00:00"/>
    <m/>
    <s v="2.4073 Ha"/>
  </r>
  <r>
    <s v="04352"/>
    <m/>
    <x v="356"/>
    <x v="0"/>
    <s v="Sénégal"/>
    <m/>
    <s v="AECPT"/>
    <s v="sable de dune"/>
    <s v="Active"/>
    <s v="Thiès"/>
    <d v="2025-06-27T13:49:17"/>
    <d v="2025-06-27T00:00:00"/>
    <d v="2026-06-26T00:00:00"/>
    <m/>
    <s v="2.2219 Ha"/>
  </r>
  <r>
    <s v="04356"/>
    <m/>
    <x v="285"/>
    <x v="0"/>
    <s v="Sénégal"/>
    <m/>
    <s v="AECPT"/>
    <s v="sable de dune"/>
    <s v="Active"/>
    <s v="Dakar"/>
    <d v="2025-07-03T16:33:16"/>
    <d v="2025-07-07T00:00:00"/>
    <d v="2026-07-06T00:00:00"/>
    <m/>
    <s v="4.4178 Ha"/>
  </r>
  <r>
    <s v="04358"/>
    <m/>
    <x v="357"/>
    <x v="0"/>
    <s v="Sénégal"/>
    <m/>
    <s v="AECPubT"/>
    <m/>
    <s v="Active"/>
    <s v="Saint Louis"/>
    <d v="2025-05-23T00:00:00"/>
    <d v="2025-05-26T00:00:00"/>
    <d v="2026-05-25T00:00:00"/>
    <m/>
    <s v="25.6800 Ha"/>
  </r>
  <r>
    <s v="04359"/>
    <m/>
    <x v="358"/>
    <x v="0"/>
    <s v="Sénégal"/>
    <m/>
    <s v="AECPT"/>
    <s v="sable de dune"/>
    <s v="Active"/>
    <s v="Thiès"/>
    <d v="2025-07-25T10:08:48"/>
    <d v="2025-08-01T00:00:00"/>
    <d v="2026-07-31T00:00:00"/>
    <m/>
    <s v="1.8459 Ha"/>
  </r>
  <r>
    <s v="04360"/>
    <m/>
    <x v="359"/>
    <x v="0"/>
    <s v="Sénégal"/>
    <m/>
    <s v="AECPubT"/>
    <m/>
    <s v="Active"/>
    <s v="Saint Louis"/>
    <d v="2025-01-31T00:00:00"/>
    <d v="2025-03-21T00:00:00"/>
    <d v="2026-03-20T00:00:00"/>
    <m/>
    <s v="7.3698 Ha"/>
  </r>
  <r>
    <s v="04367"/>
    <m/>
    <x v="360"/>
    <x v="0"/>
    <s v="Sénégal"/>
    <m/>
    <s v="AECPubT"/>
    <s v="sable de dune"/>
    <s v="Active"/>
    <s v="Thiès"/>
    <d v="2025-07-21T17:04:13"/>
    <d v="2025-10-27T00:00:00"/>
    <d v="2026-10-26T00:00:00"/>
    <m/>
    <s v="5.4997 Ha"/>
  </r>
  <r>
    <s v="04372"/>
    <s v="KOUNGHEUL "/>
    <x v="361"/>
    <x v="0"/>
    <s v="Sénégal"/>
    <m/>
    <s v="AECPT"/>
    <s v="Argile"/>
    <s v="Active"/>
    <s v="Kaffrine"/>
    <d v="2025-08-06T10:00:00"/>
    <d v="2025-12-04T00:00:00"/>
    <d v="2026-12-03T00:00:00"/>
    <m/>
    <s v="15.1312 Ha"/>
  </r>
  <r>
    <s v="04375"/>
    <m/>
    <x v="362"/>
    <x v="0"/>
    <s v="Sénégal"/>
    <m/>
    <s v="AECPT"/>
    <s v="sable de dune"/>
    <s v="Active"/>
    <s v="Kaffrine"/>
    <d v="2025-09-09T15:16:04"/>
    <d v="2025-11-27T00:00:00"/>
    <d v="2026-11-26T00:00:00"/>
    <m/>
    <s v="3.0077 Ha"/>
  </r>
  <r>
    <s v="04376"/>
    <m/>
    <x v="363"/>
    <x v="0"/>
    <s v="Sénégal"/>
    <m/>
    <s v="AECPT"/>
    <s v="latérite"/>
    <s v="Active"/>
    <s v="Kedougou"/>
    <d v="2025-09-10T19:58:51"/>
    <d v="2025-09-29T00:00:00"/>
    <d v="2026-09-28T00:00:00"/>
    <m/>
    <s v="1.0786 Ha"/>
  </r>
  <r>
    <s v="04378"/>
    <s v="Sangalkam"/>
    <x v="364"/>
    <x v="0"/>
    <s v="Sénégal"/>
    <m/>
    <s v="AECPT"/>
    <s v="sable de dune"/>
    <s v="Active"/>
    <s v="Dakar"/>
    <d v="2025-10-17T10:57:55"/>
    <d v="2025-10-29T00:00:00"/>
    <d v="2026-10-28T00:00:00"/>
    <m/>
    <s v="4.1508 Ha"/>
  </r>
  <r>
    <s v="04385"/>
    <m/>
    <x v="365"/>
    <x v="0"/>
    <s v="Sénégal"/>
    <m/>
    <s v="AECPT"/>
    <s v="sable de dune"/>
    <s v="Active"/>
    <s v="Thiès"/>
    <d v="2025-10-10T11:59:58"/>
    <d v="2025-12-22T00:00:00"/>
    <d v="2026-12-21T00:00:00"/>
    <m/>
    <s v="1.1560 Ha"/>
  </r>
  <r>
    <s v="04386"/>
    <m/>
    <x v="366"/>
    <x v="0"/>
    <s v="Sénégal"/>
    <m/>
    <s v="AECPT"/>
    <s v="sable de dune"/>
    <s v="Active"/>
    <s v="Thiès"/>
    <d v="2025-10-10T13:22:21"/>
    <d v="2025-12-22T00:00:00"/>
    <d v="2026-12-21T00:00:00"/>
    <m/>
    <s v="3.4610 Ha"/>
  </r>
  <r>
    <s v="04387"/>
    <m/>
    <x v="366"/>
    <x v="0"/>
    <s v="Sénégal"/>
    <m/>
    <s v="AECPT"/>
    <s v="sable de dune"/>
    <s v="Active"/>
    <s v="Thiès"/>
    <d v="2025-10-10T13:56:02"/>
    <d v="2025-12-22T00:00:00"/>
    <d v="2026-12-21T00:00:00"/>
    <m/>
    <s v="1.8611 Ha"/>
  </r>
  <r>
    <s v="04389"/>
    <m/>
    <x v="366"/>
    <x v="0"/>
    <s v="Sénégal"/>
    <m/>
    <s v="AECPT"/>
    <s v="sable de dune"/>
    <s v="Active"/>
    <s v="Thiès"/>
    <d v="2025-10-10T15:15:41"/>
    <d v="2025-11-17T00:00:00"/>
    <d v="2026-11-16T00:00:00"/>
    <m/>
    <s v="11.5518 Ha"/>
  </r>
  <r>
    <s v="04390"/>
    <m/>
    <x v="366"/>
    <x v="0"/>
    <s v="Sénégal"/>
    <m/>
    <s v="AECPT"/>
    <s v="latérite"/>
    <s v="Active"/>
    <s v="Dakar"/>
    <d v="2025-10-10T15:38:42"/>
    <d v="2025-11-17T00:00:00"/>
    <d v="2026-11-16T00:00:00"/>
    <m/>
    <s v="9.7213 Ha"/>
  </r>
  <r>
    <s v="04391"/>
    <s v="Patar LIA"/>
    <x v="367"/>
    <x v="0"/>
    <s v="Sénégal"/>
    <m/>
    <s v="AECPT"/>
    <s v="sable de dune"/>
    <s v="Active"/>
    <s v="Fatick"/>
    <d v="2025-10-30T10:04:48"/>
    <d v="2025-11-24T00:00:00"/>
    <d v="2026-11-23T00:00:00"/>
    <m/>
    <s v="3.4315 Ha"/>
  </r>
  <r>
    <s v="04393"/>
    <m/>
    <x v="355"/>
    <x v="0"/>
    <s v="Sénégal"/>
    <m/>
    <s v="AECPT"/>
    <s v="sable de dune"/>
    <s v="Active"/>
    <s v="Dakar"/>
    <d v="2025-11-11T15:25:17"/>
    <d v="2025-11-28T00:00:00"/>
    <d v="2026-11-27T00:00:00"/>
    <m/>
    <s v="1.8200 Ha"/>
  </r>
  <r>
    <s v="04395"/>
    <m/>
    <x v="368"/>
    <x v="0"/>
    <s v="Sénégal"/>
    <m/>
    <s v="AP"/>
    <s v="phosphate de chaux"/>
    <s v="Active"/>
    <s v="Matam"/>
    <d v="2025-11-12T12:46:05"/>
    <d v="2026-04-01T00:00:00"/>
    <d v="2026-09-30T00:00:00"/>
    <m/>
    <s v="4.9794 km²"/>
  </r>
  <r>
    <s v="04396"/>
    <m/>
    <x v="369"/>
    <x v="0"/>
    <s v="Sénégal"/>
    <m/>
    <s v="AECPT"/>
    <s v="latérite"/>
    <s v="Active"/>
    <s v="Sédhiou"/>
    <d v="2025-11-13T10:49:02"/>
    <d v="2025-12-22T00:00:00"/>
    <d v="2026-12-21T00:00:00"/>
    <m/>
    <s v="4.7181 Ha"/>
  </r>
  <r>
    <s v="04397"/>
    <m/>
    <x v="370"/>
    <x v="0"/>
    <s v="Sénégal"/>
    <m/>
    <s v="AECPT"/>
    <s v="sable de dune"/>
    <s v="Active"/>
    <s v="Thiès"/>
    <d v="2025-11-12T13:47:58"/>
    <d v="2025-12-22T00:00:00"/>
    <d v="2026-12-21T00:00:00"/>
    <m/>
    <s v="3.1218 Ha"/>
  </r>
  <r>
    <s v="04400"/>
    <s v="Mbadiane "/>
    <x v="371"/>
    <x v="0"/>
    <s v="Sénégal"/>
    <m/>
    <s v="AECPubT"/>
    <s v="sable de dune"/>
    <s v="Active"/>
    <s v="Louga"/>
    <d v="2025-11-17T13:20:56"/>
    <d v="2025-12-23T00:00:00"/>
    <d v="2026-12-22T00:00:00"/>
    <m/>
    <s v="3.0012 Ha"/>
  </r>
  <r>
    <s v="04401"/>
    <s v="Ngogom"/>
    <x v="338"/>
    <x v="0"/>
    <s v="Sénégal"/>
    <m/>
    <s v="AECPT"/>
    <s v="sable de dune"/>
    <s v="Active"/>
    <s v="Diourbel"/>
    <d v="2025-12-08T15:47:50"/>
    <d v="2025-12-23T00:00:00"/>
    <d v="2026-12-22T00:00:00"/>
    <m/>
    <s v="1.5574 Ha"/>
  </r>
  <r>
    <s v="04403"/>
    <m/>
    <x v="372"/>
    <x v="0"/>
    <s v="Sénégal"/>
    <m/>
    <s v="AECPT"/>
    <s v="Argile"/>
    <s v="Active"/>
    <s v="Kaolack"/>
    <d v="2025-12-19T10:16:42"/>
    <d v="2025-12-23T00:00:00"/>
    <d v="2026-12-22T00:00:00"/>
    <m/>
    <s v="5.8253 Ha"/>
  </r>
  <r>
    <s v="04404"/>
    <m/>
    <x v="373"/>
    <x v="0"/>
    <s v="Sénégal"/>
    <m/>
    <s v="ZP"/>
    <s v="Au"/>
    <s v="Active"/>
    <s v="Kedougou"/>
    <d v="2026-01-12T11:21:57"/>
    <d v="2026-01-12T00:00:00"/>
    <d v="2029-01-11T00:00:00"/>
    <m/>
    <s v="28.6083 km²"/>
  </r>
  <r>
    <s v="04406"/>
    <s v="MADINA FOULBE"/>
    <x v="31"/>
    <x v="0"/>
    <s v="Sénégal"/>
    <m/>
    <s v="ZP"/>
    <s v="Au"/>
    <s v="Active"/>
    <s v="Kedougou"/>
    <d v="2026-01-16T12:14:49"/>
    <d v="2026-01-16T00:00:00"/>
    <d v="2029-01-15T00:00:00"/>
    <m/>
    <s v="181.7465 km²"/>
  </r>
  <r>
    <s v="04408"/>
    <m/>
    <x v="31"/>
    <x v="0"/>
    <s v="Sénégal"/>
    <m/>
    <s v="ZP"/>
    <s v="Au"/>
    <s v="Active"/>
    <s v="Kedougou"/>
    <d v="2026-01-22T12:02:55"/>
    <d v="2026-01-22T00:00:00"/>
    <d v="2029-01-21T00:00:00"/>
    <m/>
    <s v="12.7231 km²"/>
  </r>
  <r>
    <s v="04409"/>
    <m/>
    <x v="31"/>
    <x v="0"/>
    <s v="Sénégal"/>
    <m/>
    <s v="ZP"/>
    <s v="Au"/>
    <s v="Active"/>
    <s v="Kedougou"/>
    <d v="2026-01-23T15:28:21"/>
    <d v="2026-01-23T00:00:00"/>
    <d v="2029-01-22T00:00:00"/>
    <m/>
    <s v="17.4576 km²"/>
  </r>
  <r>
    <s v="04410"/>
    <m/>
    <x v="174"/>
    <x v="0"/>
    <s v="Sénégal"/>
    <m/>
    <s v="AECPT"/>
    <s v="sable de dune"/>
    <s v="Active"/>
    <s v="Thiès"/>
    <d v="2025-07-12T09:32:32"/>
    <d v="2025-10-27T00:00:00"/>
    <d v="2026-10-26T00:00:00"/>
    <m/>
    <s v="1.8545 Ha"/>
  </r>
  <r>
    <s v="04412"/>
    <m/>
    <x v="374"/>
    <x v="0"/>
    <s v="Sénégal"/>
    <m/>
    <s v="AECPT"/>
    <s v="sable de dune"/>
    <s v="Active"/>
    <s v="Thiès"/>
    <d v="2025-06-13T11:18:05"/>
    <d v="2025-10-27T00:00:00"/>
    <d v="2026-10-26T00:00:00"/>
    <m/>
    <s v="2.9600 Ha"/>
  </r>
  <r>
    <s v="04413"/>
    <m/>
    <x v="375"/>
    <x v="0"/>
    <s v="Sénégal"/>
    <m/>
    <s v="AP"/>
    <s v="Au"/>
    <s v="Active"/>
    <s v="Kedougou"/>
    <d v="2025-06-26T18:40:47"/>
    <d v="2025-12-08T00:00:00"/>
    <d v="2026-06-07T00:00:00"/>
    <m/>
    <s v="31.5164 Ha"/>
  </r>
  <r>
    <s v="04414"/>
    <s v="Salamata/Bahadadji"/>
    <x v="376"/>
    <x v="0"/>
    <s v="Sénégal"/>
    <m/>
    <s v="AECPubT"/>
    <s v="sable de dune"/>
    <s v="Active"/>
    <s v="Kolda"/>
    <d v="2025-09-12T11:48:08"/>
    <d v="2025-10-16T00:00:00"/>
    <d v="2026-10-15T00:00:00"/>
    <m/>
    <s v="3.0358 Ha"/>
  </r>
  <r>
    <s v="04415"/>
    <s v="MEDINA DALHATOU/ Bagadadji"/>
    <x v="376"/>
    <x v="0"/>
    <s v="Sénégal"/>
    <m/>
    <s v="AECPubT"/>
    <s v="sable de dune"/>
    <s v="Active"/>
    <s v="Kolda"/>
    <d v="2025-09-12T14:06:26"/>
    <d v="2025-10-16T00:00:00"/>
    <d v="2026-10-15T00:00:00"/>
    <m/>
    <s v="5.2179 Ha"/>
  </r>
  <r>
    <s v="04416"/>
    <s v="Mbadiane"/>
    <x v="371"/>
    <x v="0"/>
    <s v="Sénégal"/>
    <m/>
    <s v="AECPubT"/>
    <s v="sable de dune"/>
    <s v="Active"/>
    <s v="Louga"/>
    <d v="2025-11-17T13:43:15"/>
    <d v="2025-12-23T00:00:00"/>
    <d v="2026-12-22T00:00:00"/>
    <m/>
    <s v="2.0048 Ha"/>
  </r>
  <r>
    <s v="04417"/>
    <m/>
    <x v="373"/>
    <x v="0"/>
    <s v="Sénégal"/>
    <m/>
    <s v="ZP"/>
    <s v="Au"/>
    <s v="Active"/>
    <m/>
    <d v="2026-02-02T20:06:50"/>
    <d v="2026-02-02T00:00:00"/>
    <d v="2029-02-01T00:00:00"/>
    <m/>
    <s v="66.9457 km²"/>
  </r>
  <r>
    <s v="04419"/>
    <m/>
    <x v="377"/>
    <x v="0"/>
    <s v="Sénégal"/>
    <m/>
    <s v="AECPubT"/>
    <s v="sable de dune"/>
    <s v="Active"/>
    <s v="Louga"/>
    <d v="2026-02-16T09:08:43"/>
    <d v="2025-09-29T00:00:00"/>
    <d v="2026-09-28T00:00:00"/>
    <m/>
    <s v="8.7627 Ha"/>
  </r>
  <r>
    <s v="04421"/>
    <m/>
    <x v="31"/>
    <x v="0"/>
    <s v="Sénégal"/>
    <m/>
    <s v="ZP"/>
    <s v="Au"/>
    <s v="Active"/>
    <s v="Kedougou"/>
    <d v="2026-03-17T15:44:06"/>
    <d v="2026-03-17T00:00:00"/>
    <d v="2029-03-16T00:00:00"/>
    <m/>
    <s v="3,095.4867 Ha"/>
  </r>
  <r>
    <s v="04425"/>
    <m/>
    <x v="378"/>
    <x v="0"/>
    <s v="Sénégal"/>
    <m/>
    <s v="AECPT"/>
    <s v="latérite"/>
    <s v="Active"/>
    <s v="Thiès"/>
    <d v="2024-12-24T00:00:00"/>
    <d v="2025-06-27T00:00:00"/>
    <d v="2026-06-26T00:00:00"/>
    <m/>
    <s v="2.2367 Ha"/>
  </r>
  <r>
    <s v="04426"/>
    <m/>
    <x v="379"/>
    <x v="0"/>
    <s v="Sénégal"/>
    <m/>
    <s v="AECPT"/>
    <s v="sable de dune"/>
    <s v="Active"/>
    <s v="Diourbel"/>
    <d v="2025-06-17T00:00:00"/>
    <d v="2025-06-18T00:00:00"/>
    <d v="2026-06-17T00:00:00"/>
    <m/>
    <s v="14.6329 Ha"/>
  </r>
  <r>
    <s v="04427"/>
    <m/>
    <x v="380"/>
    <x v="0"/>
    <s v="Sénégal"/>
    <m/>
    <s v="AECPubT"/>
    <s v="sable de dune"/>
    <s v="Active"/>
    <s v="Kaolack"/>
    <d v="2025-06-17T00:00:00"/>
    <d v="2025-06-18T00:00:00"/>
    <d v="2026-06-17T00:00:00"/>
    <m/>
    <s v="1.7374 Ha"/>
  </r>
  <r>
    <s v="04428"/>
    <m/>
    <x v="381"/>
    <x v="0"/>
    <s v="Sénégal"/>
    <m/>
    <s v="AECPT"/>
    <s v="sable de dune"/>
    <s v="Active"/>
    <s v="Thiès"/>
    <d v="2025-11-10T14:55:36"/>
    <d v="2025-11-26T00:00:00"/>
    <d v="2026-11-25T00:00:00"/>
    <m/>
    <s v="3.9994 Ha"/>
  </r>
  <r>
    <s v="04429"/>
    <m/>
    <x v="382"/>
    <x v="0"/>
    <s v="Sénégal"/>
    <m/>
    <s v="AECPT"/>
    <s v="sable de dune"/>
    <s v="Active"/>
    <s v="Diourbel"/>
    <d v="2025-12-08T16:14:26"/>
    <d v="2025-12-23T00:00:00"/>
    <d v="2026-12-22T00:00:00"/>
    <m/>
    <s v="5.3603 Ha"/>
  </r>
  <r>
    <s v="04430"/>
    <m/>
    <x v="383"/>
    <x v="0"/>
    <s v="Sénégal"/>
    <m/>
    <s v="AECPT"/>
    <s v="latérite"/>
    <s v="Active"/>
    <s v="Thiès"/>
    <d v="2025-10-30T13:17:03"/>
    <d v="2025-12-11T00:00:00"/>
    <d v="2026-12-10T00:00:00"/>
    <m/>
    <s v="1.2215 Ha"/>
  </r>
  <r>
    <s v="04431"/>
    <m/>
    <x v="383"/>
    <x v="0"/>
    <s v="Sénégal"/>
    <m/>
    <s v="AECPT"/>
    <s v="latérite"/>
    <s v="Active"/>
    <s v="Thiès"/>
    <d v="2025-10-30T11:50:40"/>
    <d v="2025-12-11T00:00:00"/>
    <d v="2026-12-10T00:00:00"/>
    <m/>
    <s v="14.7832 Ha"/>
  </r>
  <r>
    <s v="04432"/>
    <m/>
    <x v="384"/>
    <x v="0"/>
    <s v="Sénégal"/>
    <m/>
    <s v="AP"/>
    <s v="basalte"/>
    <s v="Active"/>
    <s v="Thiès"/>
    <d v="2025-06-26T15:32:31"/>
    <d v="2025-06-27T00:00:00"/>
    <d v="2025-12-26T00:00:00"/>
    <m/>
    <s v="26.2330 Ha"/>
  </r>
  <r>
    <s v="04433"/>
    <s v="Bembou"/>
    <x v="363"/>
    <x v="0"/>
    <s v="Sénégal"/>
    <m/>
    <s v="AECPT"/>
    <s v="latérite"/>
    <s v="Active"/>
    <s v="Kedougou"/>
    <d v="2025-09-01T16:11:49"/>
    <d v="2025-09-29T00:00:00"/>
    <d v="2026-09-28T00:00:00"/>
    <m/>
    <s v="0.6789 Ha"/>
  </r>
  <r>
    <s v="04434"/>
    <s v="BEMBOU"/>
    <x v="12"/>
    <x v="0"/>
    <s v="Sénégal"/>
    <m/>
    <s v="AECPT"/>
    <s v="latérite"/>
    <s v="Active"/>
    <s v="Kedougou"/>
    <d v="2025-09-01T16:20:51"/>
    <d v="2025-09-29T00:00:00"/>
    <d v="2026-09-28T00:00:00"/>
    <m/>
    <s v="1.1420 Ha"/>
  </r>
  <r>
    <s v="04435"/>
    <m/>
    <x v="385"/>
    <x v="0"/>
    <s v="Sénégal"/>
    <m/>
    <s v="AP"/>
    <m/>
    <s v="Active"/>
    <s v="Tambacounda"/>
    <d v="2025-10-09T08:54:47"/>
    <d v="2025-12-01T00:00:00"/>
    <d v="2026-05-31T00:00:00"/>
    <m/>
    <s v="57.0654 km²"/>
  </r>
  <r>
    <s v="04436"/>
    <m/>
    <x v="362"/>
    <x v="0"/>
    <s v="Sénégal"/>
    <m/>
    <s v="AECPT"/>
    <s v="sable de dune"/>
    <s v="Active"/>
    <s v="Kaffrine"/>
    <d v="2025-10-23T12:38:24"/>
    <d v="2025-11-27T00:00:00"/>
    <d v="2026-11-26T00:00:00"/>
    <m/>
    <s v="2.8094 Ha"/>
  </r>
  <r>
    <s v="04437"/>
    <m/>
    <x v="386"/>
    <x v="0"/>
    <s v="Sénégal"/>
    <m/>
    <s v="AECPT"/>
    <s v="sable de dune"/>
    <s v="Active"/>
    <s v="Kaolack"/>
    <d v="2025-12-17T14:30:17"/>
    <d v="2025-11-27T00:00:00"/>
    <d v="2026-11-26T00:00:00"/>
    <m/>
    <s v="3.4965 Ha"/>
  </r>
  <r>
    <s v="04438"/>
    <m/>
    <x v="387"/>
    <x v="0"/>
    <s v="Sénégal"/>
    <m/>
    <s v="AECPT"/>
    <s v="Argile"/>
    <s v="Active"/>
    <s v="Dakar"/>
    <d v="2025-11-28T15:09:44"/>
    <d v="2025-12-23T00:00:00"/>
    <d v="2026-12-22T00:00:00"/>
    <m/>
    <s v="5.7000 Ha"/>
  </r>
  <r>
    <s v="04439"/>
    <m/>
    <x v="387"/>
    <x v="0"/>
    <s v="Sénégal"/>
    <m/>
    <s v="AECPT"/>
    <s v="latérite"/>
    <s v="Active"/>
    <s v="Dakar"/>
    <d v="2025-11-28T15:01:23"/>
    <d v="2025-12-23T00:00:00"/>
    <d v="2026-12-22T00:00:00"/>
    <m/>
    <s v="5.7000 Ha"/>
  </r>
  <r>
    <s v="04440"/>
    <s v="Tchiky"/>
    <x v="388"/>
    <x v="0"/>
    <s v="Sénégal"/>
    <m/>
    <s v="AECPT"/>
    <s v="latérite"/>
    <s v="Active"/>
    <s v="Thiès"/>
    <d v="2025-08-22T14:38:06"/>
    <d v="2025-09-29T00:00:00"/>
    <d v="2026-09-28T00:00:00"/>
    <m/>
    <s v="4.0890 Ha"/>
  </r>
  <r>
    <s v="04441"/>
    <m/>
    <x v="389"/>
    <x v="0"/>
    <s v="Sénégal"/>
    <m/>
    <s v="AECPubT"/>
    <s v="sable de dune"/>
    <s v="Active"/>
    <s v="Kaolack"/>
    <d v="2026-04-10T17:35:45"/>
    <d v="2025-09-08T00:00:00"/>
    <d v="2026-09-07T00:00:00"/>
    <m/>
    <s v="2.0169 Ha"/>
  </r>
  <r>
    <s v="04443"/>
    <m/>
    <x v="390"/>
    <x v="0"/>
    <s v="Sénégal"/>
    <m/>
    <s v="AECPT"/>
    <s v="latérite"/>
    <s v="Active"/>
    <s v="Thiès"/>
    <d v="2025-06-20T00:00:00"/>
    <d v="2025-07-07T00:00:00"/>
    <d v="2026-07-06T00:00:00"/>
    <m/>
    <s v="0.9068 Ha"/>
  </r>
  <r>
    <s v="04445"/>
    <m/>
    <x v="391"/>
    <x v="0"/>
    <s v="Sénégal"/>
    <m/>
    <s v="PE"/>
    <s v="calcaire"/>
    <s v="Active"/>
    <s v="Thiès"/>
    <d v="2023-12-19T00:00:00"/>
    <d v="2024-02-14T00:00:00"/>
    <d v="2044-02-13T00:00:00"/>
    <m/>
    <s v="388.2075 Ha"/>
  </r>
  <r>
    <s v="04448"/>
    <m/>
    <x v="392"/>
    <x v="0"/>
    <s v="Sénégal"/>
    <m/>
    <s v="AP"/>
    <s v="Argile, calcaire, latérite"/>
    <s v="Active"/>
    <s v="Thiès"/>
    <d v="2025-11-25T10:33:30"/>
    <d v="2025-12-09T00:00:00"/>
    <d v="2026-06-08T00:00:00"/>
    <m/>
    <s v="32.0622 km²"/>
  </r>
  <r>
    <s v="04462"/>
    <s v="Kayar"/>
    <x v="393"/>
    <x v="0"/>
    <s v="Sénégal"/>
    <m/>
    <s v="AECPT"/>
    <s v="sable de dune"/>
    <s v="Active"/>
    <s v="Thiès"/>
    <d v="2025-08-06T10:00:00"/>
    <d v="2025-12-22T00:00:00"/>
    <d v="2026-12-21T00:00:00"/>
    <m/>
    <s v="5.0001 Ha"/>
  </r>
  <r>
    <s v="04471"/>
    <m/>
    <x v="394"/>
    <x v="0"/>
    <s v="Sénégal"/>
    <m/>
    <s v="AP"/>
    <s v="basalte"/>
    <s v="Active"/>
    <s v="Thiès"/>
    <d v="2025-12-10T23:07:53"/>
    <d v="2026-01-26T00:00:00"/>
    <d v="2026-07-25T00:00:00"/>
    <m/>
    <s v="0.4542 km²"/>
  </r>
  <r>
    <s v="04472"/>
    <m/>
    <x v="395"/>
    <x v="0"/>
    <s v="Sénégal"/>
    <m/>
    <s v="AP"/>
    <s v="Argile"/>
    <s v="Active"/>
    <s v="Tambacounda"/>
    <d v="2024-05-06T00:00:00"/>
    <d v="2026-02-23T00:00:00"/>
    <d v="2026-08-22T00:00:00"/>
    <m/>
    <s v="1,773.8522 Ha"/>
  </r>
  <r>
    <s v="04487"/>
    <m/>
    <x v="389"/>
    <x v="0"/>
    <s v="Sénégal"/>
    <m/>
    <s v="AECPubT"/>
    <s v="sable de dune"/>
    <s v="Active"/>
    <s v="Kaolack"/>
    <d v="2026-04-16T14:48:09"/>
    <d v="2026-04-20T00:00:00"/>
    <d v="2027-04-19T00:00:00"/>
    <m/>
    <s v="2.5208 Ha"/>
  </r>
  <r>
    <s v="A02352"/>
    <s v="Bandia"/>
    <x v="396"/>
    <x v="0"/>
    <s v="Sénégal"/>
    <m/>
    <s v="AECPP"/>
    <s v="calcaire"/>
    <s v="Renouvellement en Cours"/>
    <s v="Thiès"/>
    <d v="2014-12-31T00:00:00"/>
    <d v="2015-02-19T00:00:00"/>
    <d v="2025-02-18T00:00:00"/>
    <d v="2020-02-19T00:00:00"/>
    <s v="15.3955 Ha"/>
  </r>
  <r>
    <s v="A02353"/>
    <s v="Bandia"/>
    <x v="397"/>
    <x v="0"/>
    <s v="Sénégal"/>
    <m/>
    <s v="AECPP"/>
    <s v="calcaire"/>
    <s v="Active"/>
    <s v="Thiès"/>
    <d v="2015-01-07T00:00:00"/>
    <d v="2015-02-19T00:00:00"/>
    <d v="2025-02-18T00:00:00"/>
    <d v="2020-02-19T00:00:00"/>
    <s v="22.2626 Ha"/>
  </r>
  <r>
    <s v="A02472-18"/>
    <s v="Couloir 18_Wassadou SUD"/>
    <x v="31"/>
    <x v="0"/>
    <s v="Sénégal"/>
    <m/>
    <s v="CO"/>
    <s v="Au"/>
    <s v="Active"/>
    <s v="Kedougou"/>
    <d v="2013-06-14T00:00:00"/>
    <m/>
    <m/>
    <m/>
    <s v="19.8375 km²"/>
  </r>
  <r>
    <s v="A02472-19"/>
    <s v="Couloir 19_Garaboureya SUD"/>
    <x v="31"/>
    <x v="0"/>
    <s v="Sénégal"/>
    <m/>
    <s v="CO"/>
    <s v="Au"/>
    <s v="Active"/>
    <s v="Kedougou"/>
    <d v="2013-06-14T00:00:00"/>
    <m/>
    <m/>
    <m/>
    <s v="11.5262 km²"/>
  </r>
  <r>
    <s v="A008024"/>
    <s v="Paki"/>
    <x v="398"/>
    <x v="0"/>
    <s v="Sénégal"/>
    <m/>
    <s v="AECPP"/>
    <s v="grès"/>
    <s v="Active"/>
    <s v="Thiès"/>
    <d v="2005-06-28T00:00:00"/>
    <d v="2007-08-09T00:00:00"/>
    <d v="2026-06-29T00:00:00"/>
    <m/>
    <s v="5.0082 Ha"/>
  </r>
  <r>
    <s v="A00010660"/>
    <s v="BANDIA"/>
    <x v="399"/>
    <x v="0"/>
    <s v="Sénégal"/>
    <m/>
    <s v="AECPP"/>
    <s v="calcaire"/>
    <s v="Renouvellement en Cours"/>
    <s v="Thiès"/>
    <d v="2013-11-25T00:00:00"/>
    <d v="2014-06-26T00:00:00"/>
    <d v="2024-06-25T00:00:00"/>
    <m/>
    <s v="20.8983 Ha"/>
  </r>
  <r>
    <s v="A012439"/>
    <s v="TOGLOU"/>
    <x v="400"/>
    <x v="0"/>
    <s v="Sénégal"/>
    <m/>
    <s v="AECPP"/>
    <s v="grès"/>
    <s v="Active"/>
    <s v="Thiès"/>
    <d v="2012-06-12T00:00:00"/>
    <d v="2013-07-26T00:00:00"/>
    <d v="2029-03-29T00:00:00"/>
    <m/>
    <s v="6.4106 Ha"/>
  </r>
  <r>
    <s v="A13985"/>
    <s v="NORD BANTAKO KOTO"/>
    <x v="401"/>
    <x v="0"/>
    <s v="Sénégal"/>
    <m/>
    <s v="AEMSM"/>
    <s v="Au"/>
    <s v="Renouvellement en Cours"/>
    <s v="Kedougou"/>
    <d v="2017-03-15T00:00:00"/>
    <d v="2017-08-08T00:00:00"/>
    <d v="2020-08-08T00:00:00"/>
    <m/>
    <s v="50.0000 Ha"/>
  </r>
  <r>
    <s v="A014208"/>
    <s v="Bandola"/>
    <x v="402"/>
    <x v="0"/>
    <s v="Sénégal"/>
    <m/>
    <s v="AEMSM"/>
    <s v="Au"/>
    <s v="Active"/>
    <s v="Kedougou"/>
    <d v="2012-12-27T00:00:00"/>
    <d v="2013-08-30T00:00:00"/>
    <d v="2024-07-06T00:00:00"/>
    <d v="2017-08-30T00:00:00"/>
    <s v="50.0000 Ha"/>
  </r>
  <r>
    <s v="A15099"/>
    <s v="BANTACO"/>
    <x v="403"/>
    <x v="0"/>
    <s v="Sénégal"/>
    <m/>
    <s v="PR"/>
    <s v="Au"/>
    <s v="Renouvellement en Cours"/>
    <s v="Kedougou"/>
    <d v="2016-10-01T00:00:00"/>
    <d v="2017-08-22T00:00:00"/>
    <d v="2024-08-20T00:00:00"/>
    <m/>
    <s v="63.5128 km²"/>
  </r>
  <r>
    <s v="A17620"/>
    <s v="GANGARA"/>
    <x v="404"/>
    <x v="0"/>
    <s v="Sénégal"/>
    <m/>
    <s v="AEMSM"/>
    <s v="Au"/>
    <s v="Renouvellement en Cours"/>
    <s v="Kedougou"/>
    <d v="2016-08-03T00:00:00"/>
    <d v="2016-12-01T00:00:00"/>
    <d v="2027-01-03T00:00:00"/>
    <d v="2024-01-04T00:00:00"/>
    <s v="50.0000 Ha"/>
  </r>
  <r>
    <s v="A018463"/>
    <s v="TAIBA"/>
    <x v="405"/>
    <x v="0"/>
    <s v="Sénégal"/>
    <m/>
    <s v="AEHTR"/>
    <s v="Sl"/>
    <s v="Active"/>
    <s v="Thiès"/>
    <d v="2015-12-30T00:00:00"/>
    <d v="2022-07-20T00:00:00"/>
    <d v="2027-07-19T00:00:00"/>
    <m/>
    <s v="0.0003 km²"/>
  </r>
  <r>
    <s v="A027976"/>
    <s v="ics taiba"/>
    <x v="406"/>
    <x v="0"/>
    <s v="Sénégal"/>
    <m/>
    <s v="AEHTR"/>
    <s v="Sl"/>
    <s v="Active"/>
    <s v="Thiès"/>
    <d v="2020-10-21T00:00:00"/>
    <d v="2020-12-14T00:00:00"/>
    <d v="2025-12-13T00:00:00"/>
    <m/>
    <s v="0.0097 km²"/>
  </r>
  <r>
    <s v="DACPT 2019"/>
    <m/>
    <x v="407"/>
    <x v="0"/>
    <s v="Sénégal"/>
    <m/>
    <s v="AECPT"/>
    <s v="granite"/>
    <s v="Renouvellement en Cours"/>
    <s v="Kedougou"/>
    <d v="2019-12-23T00:00:00"/>
    <d v="2022-10-27T00:00:00"/>
    <d v="2024-11-08T00:00:00"/>
    <m/>
    <s v="0.3252 km²"/>
  </r>
  <r>
    <s v="DAESM28122020"/>
    <m/>
    <x v="408"/>
    <x v="0"/>
    <s v="Sénégal"/>
    <m/>
    <s v="AEMSM"/>
    <s v="Au"/>
    <s v="Renouvellement en Cours"/>
    <s v="Kedougou"/>
    <d v="2020-12-28T00:00:00"/>
    <d v="2021-07-27T00:00:00"/>
    <d v="2024-07-26T00:00:00"/>
    <m/>
    <s v="50.8173 Ha"/>
  </r>
  <r>
    <s v="Demande N° 11483"/>
    <s v="Mairie de Ronkh"/>
    <x v="409"/>
    <x v="0"/>
    <s v="Sénégal"/>
    <m/>
    <s v="AECPubT"/>
    <s v="latérite"/>
    <s v="Active"/>
    <s v="Saint Louis"/>
    <d v="2024-03-14T00:00:00"/>
    <d v="2024-03-18T00:00:00"/>
    <d v="2025-03-17T00:00:00"/>
    <m/>
    <s v="30.0672 Ha"/>
  </r>
  <r>
    <s v="Demande N° 11493"/>
    <s v="Gaé, "/>
    <x v="410"/>
    <x v="0"/>
    <s v="Sénégal"/>
    <m/>
    <s v="AECPubT"/>
    <s v="latérite"/>
    <s v="Active"/>
    <s v="Saint Louis"/>
    <d v="2024-03-20T00:00:00"/>
    <d v="2024-03-21T00:00:00"/>
    <d v="2025-03-20T00:00:00"/>
    <m/>
    <s v="10.5559 Ha"/>
  </r>
  <r>
    <s v="DPR22102018"/>
    <s v="DAORALA"/>
    <x v="411"/>
    <x v="0"/>
    <s v="Sénégal"/>
    <m/>
    <s v="PR"/>
    <s v="Au"/>
    <s v="Active"/>
    <s v="Kedougou"/>
    <d v="2021-02-25T00:00:00"/>
    <d v="2021-07-28T00:00:00"/>
    <d v="2025-07-27T00:00:00"/>
    <m/>
    <s v="83.4261 km²"/>
  </r>
  <r>
    <s v="RRC/00002/2025"/>
    <m/>
    <x v="412"/>
    <x v="0"/>
    <s v="Sénégal"/>
    <m/>
    <s v="RR-S"/>
    <m/>
    <s v="Active"/>
    <m/>
    <d v="2025-05-20T00:00:00"/>
    <d v="2025-05-20T00:00:00"/>
    <d v="2025-05-20T00:00:00"/>
    <m/>
    <m/>
  </r>
  <r>
    <m/>
    <m/>
    <x v="413"/>
    <x v="1"/>
    <s v="Sénégal"/>
    <s v="cheikhomar2003@yahoo.fr"/>
    <m/>
    <m/>
    <m/>
    <m/>
    <m/>
    <m/>
    <m/>
    <m/>
    <m/>
  </r>
  <r>
    <m/>
    <m/>
    <x v="414"/>
    <x v="1"/>
    <s v="Sénégal"/>
    <s v="ghazmohamad@yahoo.fr"/>
    <m/>
    <m/>
    <m/>
    <m/>
    <m/>
    <m/>
    <m/>
    <m/>
    <m/>
  </r>
  <r>
    <m/>
    <m/>
    <x v="415"/>
    <x v="1"/>
    <s v="Sénégal"/>
    <s v="amssenegal@outlook.com"/>
    <m/>
    <m/>
    <m/>
    <m/>
    <m/>
    <m/>
    <m/>
    <m/>
    <m/>
  </r>
  <r>
    <m/>
    <m/>
    <x v="416"/>
    <x v="1"/>
    <s v="Sénégal"/>
    <s v="mark.mclaskey@amsgh.com"/>
    <m/>
    <m/>
    <m/>
    <m/>
    <m/>
    <m/>
    <m/>
    <m/>
    <m/>
  </r>
  <r>
    <m/>
    <m/>
    <x v="417"/>
    <x v="1"/>
    <s v="Sénégal"/>
    <s v="kagny.lamine@kekendoafricapoly.com"/>
    <m/>
    <m/>
    <m/>
    <m/>
    <m/>
    <m/>
    <m/>
    <m/>
    <m/>
  </r>
  <r>
    <m/>
    <m/>
    <x v="418"/>
    <x v="1"/>
    <s v="Sénégal"/>
    <s v="abdoulaye.diallo@corica.com"/>
    <m/>
    <m/>
    <m/>
    <m/>
    <m/>
    <m/>
    <m/>
    <m/>
    <m/>
  </r>
  <r>
    <m/>
    <m/>
    <x v="419"/>
    <x v="1"/>
    <s v="Sénégal"/>
    <s v="lamine.diagne@challenge2000.sn"/>
    <m/>
    <m/>
    <m/>
    <m/>
    <m/>
    <m/>
    <m/>
    <m/>
    <m/>
  </r>
  <r>
    <m/>
    <m/>
    <x v="420"/>
    <x v="1"/>
    <s v="Sénégal"/>
    <s v="dame.sene@eiffage.com"/>
    <m/>
    <m/>
    <m/>
    <m/>
    <m/>
    <m/>
    <m/>
    <m/>
    <m/>
  </r>
  <r>
    <m/>
    <m/>
    <x v="421"/>
    <x v="1"/>
    <s v="Sénégal"/>
    <s v="lamine.globalai@gmail.com"/>
    <m/>
    <m/>
    <m/>
    <m/>
    <m/>
    <m/>
    <m/>
    <m/>
    <m/>
  </r>
  <r>
    <m/>
    <m/>
    <x v="422"/>
    <x v="1"/>
    <s v="Sénégal"/>
    <s v="gaelle.ndiaye@mci-int.com"/>
    <m/>
    <m/>
    <m/>
    <m/>
    <m/>
    <m/>
    <m/>
    <m/>
    <m/>
  </r>
  <r>
    <m/>
    <m/>
    <x v="423"/>
    <x v="1"/>
    <s v="Sénégal"/>
    <s v="juridique@delmasip.com"/>
    <m/>
    <m/>
    <m/>
    <m/>
    <m/>
    <m/>
    <m/>
    <m/>
    <m/>
  </r>
  <r>
    <m/>
    <m/>
    <x v="424"/>
    <x v="1"/>
    <s v="Canada"/>
    <s v="khuram.mushtaq@lycopodium.com"/>
    <m/>
    <m/>
    <m/>
    <m/>
    <m/>
    <m/>
    <m/>
    <m/>
    <m/>
  </r>
  <r>
    <m/>
    <m/>
    <x v="425"/>
    <x v="1"/>
    <s v="Sénégal"/>
    <s v="bineta.fall@vinci-construction.com"/>
    <m/>
    <m/>
    <m/>
    <m/>
    <m/>
    <m/>
    <m/>
    <m/>
    <m/>
  </r>
  <r>
    <m/>
    <m/>
    <x v="426"/>
    <x v="1"/>
    <s v="Sénégal"/>
    <s v="hcisse@inter-mining.com"/>
    <m/>
    <m/>
    <m/>
    <m/>
    <m/>
    <m/>
    <m/>
    <m/>
    <m/>
  </r>
  <r>
    <m/>
    <m/>
    <x v="427"/>
    <x v="1"/>
    <s v="Sénégal"/>
    <s v="dahmadou@gtsdrilling.com"/>
    <m/>
    <m/>
    <m/>
    <m/>
    <m/>
    <m/>
    <m/>
    <m/>
    <m/>
  </r>
  <r>
    <m/>
    <m/>
    <x v="428"/>
    <x v="1"/>
    <s v="Sénégal"/>
    <s v="administration@bosforsarl.com"/>
    <m/>
    <m/>
    <m/>
    <m/>
    <m/>
    <m/>
    <m/>
    <m/>
    <m/>
  </r>
  <r>
    <m/>
    <m/>
    <x v="429"/>
    <x v="1"/>
    <s v="Sénégal"/>
    <s v="daniel.baeta@mota-engil.sn"/>
    <m/>
    <m/>
    <m/>
    <m/>
    <m/>
    <m/>
    <m/>
    <m/>
    <m/>
  </r>
  <r>
    <m/>
    <m/>
    <x v="430"/>
    <x v="1"/>
    <s v="Sénégal"/>
    <s v="angelique.teixeira@lycopodium.com"/>
    <m/>
    <m/>
    <m/>
    <m/>
    <m/>
    <m/>
    <m/>
    <m/>
    <m/>
  </r>
  <r>
    <m/>
    <m/>
    <x v="431"/>
    <x v="1"/>
    <s v="Sénégal"/>
    <s v="malika.kabo@aeciworld.com"/>
    <m/>
    <m/>
    <m/>
    <m/>
    <m/>
    <m/>
    <m/>
    <m/>
    <m/>
  </r>
  <r>
    <m/>
    <m/>
    <x v="432"/>
    <x v="1"/>
    <s v="Sénégal"/>
    <s v="ibaderi@idc-drilling.com"/>
    <m/>
    <m/>
    <m/>
    <m/>
    <m/>
    <m/>
    <m/>
    <m/>
    <m/>
  </r>
  <r>
    <m/>
    <m/>
    <x v="433"/>
    <x v="1"/>
    <s v="Sénégal"/>
    <s v="yaochin.choo@lycopodium.com"/>
    <m/>
    <m/>
    <m/>
    <m/>
    <m/>
    <m/>
    <m/>
    <m/>
    <m/>
  </r>
  <r>
    <m/>
    <m/>
    <x v="434"/>
    <x v="1"/>
    <s v="Sénégal"/>
    <s v="gaelle.nndiaye@mci-int.com"/>
    <m/>
    <m/>
    <m/>
    <m/>
    <m/>
    <m/>
    <m/>
    <m/>
    <m/>
  </r>
  <r>
    <m/>
    <m/>
    <x v="435"/>
    <x v="1"/>
    <s v="Sénégal"/>
    <s v="traelecbati@gmail.com"/>
    <m/>
    <m/>
    <m/>
    <m/>
    <m/>
    <m/>
    <m/>
    <m/>
    <m/>
  </r>
  <r>
    <m/>
    <m/>
    <x v="436"/>
    <x v="1"/>
    <s v="Sénégal"/>
    <s v="moussathiam1971@gmail.com"/>
    <m/>
    <m/>
    <m/>
    <m/>
    <m/>
    <m/>
    <m/>
    <m/>
    <m/>
  </r>
  <r>
    <m/>
    <m/>
    <x v="437"/>
    <x v="1"/>
    <s v="Sénégal"/>
    <s v="mameaicha.ndoye@sea-invest.com"/>
    <m/>
    <m/>
    <m/>
    <m/>
    <m/>
    <m/>
    <m/>
    <m/>
    <m/>
  </r>
  <r>
    <m/>
    <m/>
    <x v="438"/>
    <x v="1"/>
    <s v="Sénégal"/>
    <s v="egcisarl@hotmail.com"/>
    <m/>
    <m/>
    <m/>
    <m/>
    <m/>
    <m/>
    <m/>
    <m/>
    <m/>
  </r>
  <r>
    <m/>
    <m/>
    <x v="439"/>
    <x v="1"/>
    <s v="Sénégal"/>
    <s v="harryvprmnc@gmail.com"/>
    <m/>
    <m/>
    <m/>
    <m/>
    <m/>
    <m/>
    <m/>
    <m/>
    <m/>
  </r>
  <r>
    <m/>
    <m/>
    <x v="440"/>
    <x v="1"/>
    <s v="Sénégal"/>
    <s v="innocencia.mbaye@epc-mineex.sn"/>
    <m/>
    <m/>
    <m/>
    <m/>
    <m/>
    <m/>
    <m/>
    <m/>
    <m/>
  </r>
  <r>
    <m/>
    <m/>
    <x v="441"/>
    <x v="1"/>
    <s v="Sénégal"/>
    <s v="pascalambou@gmail.com"/>
    <m/>
    <m/>
    <m/>
    <m/>
    <m/>
    <m/>
    <m/>
    <m/>
    <m/>
  </r>
  <r>
    <m/>
    <m/>
    <x v="442"/>
    <x v="1"/>
    <s v="Sénégal"/>
    <s v="drilleex@gmail.com"/>
    <m/>
    <m/>
    <m/>
    <m/>
    <m/>
    <m/>
    <m/>
    <m/>
    <m/>
  </r>
  <r>
    <m/>
    <m/>
    <x v="443"/>
    <x v="1"/>
    <s v="Sénégal"/>
    <s v="dianko88@hotmail.com"/>
    <m/>
    <m/>
    <m/>
    <m/>
    <m/>
    <m/>
    <m/>
    <m/>
    <m/>
  </r>
  <r>
    <m/>
    <m/>
    <x v="444"/>
    <x v="1"/>
    <s v="Sénégal"/>
    <s v="windebat695@gmail.com"/>
    <m/>
    <m/>
    <m/>
    <m/>
    <m/>
    <m/>
    <m/>
    <m/>
    <m/>
  </r>
  <r>
    <m/>
    <m/>
    <x v="445"/>
    <x v="1"/>
    <s v="Sénégal"/>
    <s v="souleymane.ndiaye@transportsdieye.sn"/>
    <m/>
    <m/>
    <m/>
    <m/>
    <m/>
    <m/>
    <m/>
    <m/>
    <m/>
  </r>
  <r>
    <m/>
    <m/>
    <x v="446"/>
    <x v="1"/>
    <s v="Sénégal"/>
    <s v="idbouichou@gismaf.com"/>
    <m/>
    <m/>
    <m/>
    <m/>
    <m/>
    <m/>
    <m/>
    <m/>
    <m/>
  </r>
  <r>
    <m/>
    <m/>
    <x v="447"/>
    <x v="1"/>
    <s v="Sénégal"/>
    <s v="asambe@idc-drilling.com"/>
    <m/>
    <m/>
    <m/>
    <m/>
    <m/>
    <m/>
    <m/>
    <m/>
    <m/>
  </r>
  <r>
    <m/>
    <m/>
    <x v="448"/>
    <x v="1"/>
    <s v="Mauritanie"/>
    <s v="lindokuhle.mdluli@redpathmining.com"/>
    <m/>
    <m/>
    <m/>
    <m/>
    <m/>
    <m/>
    <m/>
    <m/>
    <m/>
  </r>
  <r>
    <m/>
    <m/>
    <x v="449"/>
    <x v="1"/>
    <s v="France"/>
    <s v="jacques-olivier.bou@fivesgroup.com"/>
    <m/>
    <m/>
    <m/>
    <m/>
    <m/>
    <m/>
    <m/>
    <m/>
    <m/>
  </r>
  <r>
    <m/>
    <m/>
    <x v="450"/>
    <x v="1"/>
    <s v="Sénégal"/>
    <s v="frank.weimert@bauer-senegal.com"/>
    <m/>
    <m/>
    <m/>
    <m/>
    <m/>
    <m/>
    <m/>
    <m/>
    <m/>
  </r>
  <r>
    <m/>
    <m/>
    <x v="451"/>
    <x v="1"/>
    <s v="Sénégal"/>
    <s v="bamba.diagne@gtservicesn.com"/>
    <m/>
    <m/>
    <m/>
    <m/>
    <m/>
    <m/>
    <m/>
    <m/>
    <m/>
  </r>
  <r>
    <m/>
    <m/>
    <x v="452"/>
    <x v="1"/>
    <s v="Afrique du Sud"/>
    <s v="kiara.kruger@nrgex.co.za"/>
    <m/>
    <m/>
    <m/>
    <m/>
    <m/>
    <m/>
    <m/>
    <m/>
    <m/>
  </r>
  <r>
    <m/>
    <m/>
    <x v="453"/>
    <x v="1"/>
    <s v="Belgique"/>
    <s v="ilidia.rocha@cj-icm.com"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5">
  <r>
    <s v="02001"/>
    <x v="0"/>
    <s v="CM"/>
    <s v="phosphate de chaux"/>
    <s v="Active"/>
    <s v="Thiès"/>
    <s v="01/01/1959"/>
    <s v="01/01/2034"/>
    <n v="1959"/>
    <m/>
    <m/>
    <m/>
    <s v="0 — NON"/>
  </r>
  <r>
    <s v="02002"/>
    <x v="1"/>
    <s v="CM"/>
    <s v="phosphate de chaux"/>
    <s v="Active"/>
    <s v="Thiès"/>
    <s v="21/03/2015"/>
    <s v="01/01/2052"/>
    <n v="2015"/>
    <m/>
    <m/>
    <m/>
    <s v="0 — NON"/>
  </r>
  <r>
    <s v="02003"/>
    <x v="2"/>
    <s v="AECPP"/>
    <s v="basalte"/>
    <s v="Active"/>
    <s v="Thiès"/>
    <s v="04/10/2019"/>
    <s v="02/10/2029"/>
    <n v="2019"/>
    <m/>
    <m/>
    <m/>
    <s v="0 — NON"/>
  </r>
  <r>
    <s v="02004"/>
    <x v="3"/>
    <s v="CM"/>
    <s v="argile industrielle, attapulgite, sépiolite"/>
    <s v="Active"/>
    <s v="Thiès"/>
    <s v="19/04/1985"/>
    <m/>
    <n v="1985"/>
    <s v="SOCIETE SENEGALAISE DE PHOSPHATES DE THIES (SSPT)"/>
    <n v="93.3"/>
    <n v="2023"/>
    <s v="1 — OUI"/>
  </r>
  <r>
    <s v="02005"/>
    <x v="3"/>
    <s v="CM"/>
    <s v="Argile, attapulgite, sépiolite"/>
    <s v="Active"/>
    <s v="Thiès"/>
    <s v="19/04/1985"/>
    <m/>
    <n v="1985"/>
    <s v="SOCIETE SENEGALAISE DE PHOSPHATES DE THIES (SSPT)"/>
    <n v="93.3"/>
    <n v="2023"/>
    <s v="1 — OUI"/>
  </r>
  <r>
    <s v="02006"/>
    <x v="3"/>
    <s v="CM"/>
    <s v="argile industrielle, attapulgite, sépiolite"/>
    <s v="Renouvellement en Cours"/>
    <s v="Thiès"/>
    <s v="12/01/1998"/>
    <s v="11/01/2023"/>
    <n v="1998"/>
    <s v="SOCIETE SENEGALAISE DE PHOSPHATES DE THIES (SSPT)"/>
    <n v="93.3"/>
    <n v="2023"/>
    <s v="1 — OUI"/>
  </r>
  <r>
    <s v="02007"/>
    <x v="3"/>
    <s v="CM"/>
    <s v="Argile, attapulgite, sépiolite"/>
    <s v="Active"/>
    <s v="Thiès"/>
    <s v="19/04/1985"/>
    <m/>
    <n v="1985"/>
    <s v="SOCIETE SENEGALAISE DE PHOSPHATES DE THIES (SSPT)"/>
    <n v="93.3"/>
    <n v="2023"/>
    <s v="1 — OUI"/>
  </r>
  <r>
    <s v="02008"/>
    <x v="4"/>
    <s v="AECPP"/>
    <s v="basalte"/>
    <s v="Active"/>
    <s v="Thiès"/>
    <s v="30/05/1983"/>
    <s v="20/09/2026"/>
    <n v="1983"/>
    <m/>
    <m/>
    <m/>
    <s v="0 — NON"/>
  </r>
  <r>
    <s v="02009"/>
    <x v="5"/>
    <s v="AECPP"/>
    <s v="basalte"/>
    <s v="Active"/>
    <s v="Thiès"/>
    <s v="22/06/2009"/>
    <s v="21/06/2025"/>
    <n v="2009"/>
    <m/>
    <m/>
    <m/>
    <s v="0 — NON"/>
  </r>
  <r>
    <s v="02010"/>
    <x v="6"/>
    <s v="AECPP"/>
    <s v="basalte"/>
    <s v="Avertissement Renouvellement"/>
    <s v="Thiès"/>
    <s v="18/10/1995"/>
    <s v="13/01/2025"/>
    <n v="1995"/>
    <m/>
    <m/>
    <m/>
    <s v="0 — NON"/>
  </r>
  <r>
    <s v="02011"/>
    <x v="7"/>
    <s v="AECPP"/>
    <s v="calcaire"/>
    <s v="Active"/>
    <s v="Thiès"/>
    <s v="07/10/2021"/>
    <s v="06/10/2026"/>
    <n v="2021"/>
    <m/>
    <m/>
    <m/>
    <s v="0 — NON"/>
  </r>
  <r>
    <s v="02013"/>
    <x v="4"/>
    <s v="AECPP"/>
    <s v="calcaire"/>
    <s v="Active"/>
    <s v="Thiès"/>
    <s v="15/11/1996"/>
    <s v="09/04/2026"/>
    <n v="1996"/>
    <m/>
    <m/>
    <m/>
    <s v="0 — NON"/>
  </r>
  <r>
    <s v="02014"/>
    <x v="8"/>
    <s v="CM"/>
    <s v="Argile, attapulgite"/>
    <s v="Avertissement Renouvellement"/>
    <s v="Thiès"/>
    <s v="26/05/1988"/>
    <s v="26/05/2013"/>
    <n v="1988"/>
    <m/>
    <m/>
    <m/>
    <s v="0 — NON"/>
  </r>
  <r>
    <s v="02015"/>
    <x v="9"/>
    <s v="CM"/>
    <s v="phosphate de chaux"/>
    <s v="Active"/>
    <s v="Thiès"/>
    <s v="16/10/2009"/>
    <s v="19/10/2024"/>
    <n v="2009"/>
    <m/>
    <m/>
    <m/>
    <s v="0 — NON"/>
  </r>
  <r>
    <s v="02016"/>
    <x v="9"/>
    <s v="CM"/>
    <s v="phosphate de chaux"/>
    <s v="Renouvellement en Cours"/>
    <s v="Thiès"/>
    <s v="19/10/1999"/>
    <s v="18/10/2024"/>
    <n v="1999"/>
    <m/>
    <m/>
    <m/>
    <s v="0 — NON"/>
  </r>
  <r>
    <s v="02017"/>
    <x v="10"/>
    <s v="CM"/>
    <s v="calcaire"/>
    <s v="Active"/>
    <s v="Thiès"/>
    <s v="22/02/2000"/>
    <s v="21/02/2025"/>
    <n v="2000"/>
    <s v="LES CIMENTS DU SAHEL"/>
    <n v="88.9"/>
    <n v="2021"/>
    <s v="1 — OUI"/>
  </r>
  <r>
    <s v="02018"/>
    <x v="10"/>
    <s v="CM"/>
    <s v="Argile"/>
    <s v="Active"/>
    <s v="Thiès"/>
    <s v="16/10/2009"/>
    <s v="22/02/2025"/>
    <n v="2009"/>
    <s v="LES CIMENTS DU SAHEL"/>
    <n v="88.9"/>
    <n v="2021"/>
    <s v="1 — OUI"/>
  </r>
  <r>
    <s v="02019"/>
    <x v="11"/>
    <s v="CM"/>
    <s v="Au, substance connexes"/>
    <s v="Renouvellement en Cours"/>
    <s v="Kedougou"/>
    <s v="02/11/2007"/>
    <s v="02/11/2017"/>
    <n v="2007"/>
    <m/>
    <m/>
    <m/>
    <s v="0 — NON"/>
  </r>
  <r>
    <s v="02022"/>
    <x v="12"/>
    <s v="CM"/>
    <s v="Au"/>
    <s v="Active"/>
    <s v="Kedougou"/>
    <s v="09/06/2005"/>
    <s v="21/04/2040"/>
    <n v="2005"/>
    <s v="SABODALA GOLD OPERATIONS"/>
    <n v="92.3"/>
    <n v="2022"/>
    <s v="1 — OUI"/>
  </r>
  <r>
    <s v="02024"/>
    <x v="5"/>
    <s v="AECPP"/>
    <s v="calcaire"/>
    <s v="Active"/>
    <s v="Thiès"/>
    <s v="09/09/2010"/>
    <s v="12/05/2026"/>
    <n v="2010"/>
    <m/>
    <m/>
    <m/>
    <s v="0 — NON"/>
  </r>
  <r>
    <s v="02025"/>
    <x v="13"/>
    <s v="CM"/>
    <s v="calcaire"/>
    <s v="Active"/>
    <s v="Dakar"/>
    <s v="16/10/2009"/>
    <s v="19/04/2031"/>
    <n v="2009"/>
    <m/>
    <m/>
    <m/>
    <s v="0 — NON"/>
  </r>
  <r>
    <s v="02026"/>
    <x v="14"/>
    <s v="CM"/>
    <s v="calcaire"/>
    <s v="Active"/>
    <s v="Thiès"/>
    <s v="19/04/2006"/>
    <s v="19/04/2033"/>
    <n v="2006"/>
    <m/>
    <m/>
    <m/>
    <s v="0 — NON"/>
  </r>
  <r>
    <s v="02027"/>
    <x v="13"/>
    <s v="CM"/>
    <s v="calcaire"/>
    <s v="Active"/>
    <s v="Thiès"/>
    <s v="19/04/2006"/>
    <s v="18/04/2031"/>
    <n v="2006"/>
    <m/>
    <m/>
    <m/>
    <s v="0 — NON"/>
  </r>
  <r>
    <s v="02028"/>
    <x v="15"/>
    <s v="CM"/>
    <s v="ML"/>
    <s v="Active"/>
    <s v="Thiès"/>
    <s v="16/10/2009"/>
    <s v="02/11/2032"/>
    <n v="2009"/>
    <s v="GRANDE COTE OPERATIONS"/>
    <n v="100"/>
    <n v="2021"/>
    <s v="1 — OUI"/>
  </r>
  <r>
    <s v="02029"/>
    <x v="16"/>
    <s v="AECPP"/>
    <s v="grès"/>
    <s v="Renouvellement en Cours"/>
    <s v="Thiès"/>
    <s v="03/11/2006"/>
    <s v="10/04/2021"/>
    <n v="2006"/>
    <m/>
    <m/>
    <m/>
    <s v="0 — NON"/>
  </r>
  <r>
    <s v="02034"/>
    <x v="17"/>
    <s v="CM"/>
    <s v="argile industrielle, calcaire, latérite"/>
    <s v="Active"/>
    <s v="Thiès"/>
    <s v="12/12/2008"/>
    <s v="11/12/2033"/>
    <n v="2008"/>
    <m/>
    <m/>
    <m/>
    <s v="0 — NON"/>
  </r>
  <r>
    <s v="02035"/>
    <x v="4"/>
    <s v="AECPP"/>
    <s v="basalte"/>
    <s v="Active"/>
    <s v="Thiès"/>
    <s v="30/06/2008"/>
    <s v="16/04/2026"/>
    <n v="2008"/>
    <m/>
    <m/>
    <m/>
    <s v="0 — NON"/>
  </r>
  <r>
    <s v="02036"/>
    <x v="18"/>
    <s v="AECPP"/>
    <s v="calcaire"/>
    <s v="Active"/>
    <s v="Thiès"/>
    <s v="23/11/2006"/>
    <s v="28/09/2025"/>
    <n v="2006"/>
    <m/>
    <m/>
    <m/>
    <s v="0 — NON"/>
  </r>
  <r>
    <s v="02037"/>
    <x v="4"/>
    <s v="AECPP"/>
    <s v="basalte"/>
    <s v="Active"/>
    <s v="Thiès"/>
    <s v="07/08/2009"/>
    <s v="13/11/2026"/>
    <n v="2009"/>
    <m/>
    <m/>
    <m/>
    <s v="0 — NON"/>
  </r>
  <r>
    <s v="02041"/>
    <x v="4"/>
    <s v="AECPP"/>
    <s v="calcaire"/>
    <s v="Active"/>
    <s v="Thiès"/>
    <s v="07/08/2009"/>
    <s v="07/04/2026"/>
    <n v="2009"/>
    <m/>
    <m/>
    <m/>
    <s v="0 — NON"/>
  </r>
  <r>
    <s v="02059"/>
    <x v="19"/>
    <s v="PR"/>
    <s v="Au"/>
    <s v="Renouvellement en Cours"/>
    <s v="Kedougou"/>
    <s v="04/02/2019"/>
    <s v="03/02/2023"/>
    <n v="2019"/>
    <m/>
    <m/>
    <m/>
    <s v="0 — NON"/>
  </r>
  <r>
    <s v="02060"/>
    <x v="20"/>
    <s v="AECPP"/>
    <s v="grès"/>
    <s v="Active"/>
    <s v="Dakar"/>
    <s v="20/06/2002"/>
    <s v="22/06/2025"/>
    <n v="2002"/>
    <s v="SYPROM"/>
    <n v="100"/>
    <n v="2022"/>
    <s v="1 — OUI"/>
  </r>
  <r>
    <s v="02062"/>
    <x v="21"/>
    <s v="AEPM"/>
    <s v="Sl"/>
    <s v="Renouvellement en Cours"/>
    <s v="Thiès"/>
    <s v="02/07/2018"/>
    <s v="01/07/2023"/>
    <n v="2018"/>
    <m/>
    <m/>
    <m/>
    <s v="0 — NON"/>
  </r>
  <r>
    <s v="02063"/>
    <x v="22"/>
    <s v="AEMSM"/>
    <s v="Au"/>
    <s v="Avertissement Renouvellement"/>
    <s v="Kedougou"/>
    <s v="29/07/2010"/>
    <s v="02/03/2024"/>
    <n v="2010"/>
    <m/>
    <m/>
    <m/>
    <s v="0 — NON"/>
  </r>
  <r>
    <s v="02068"/>
    <x v="23"/>
    <s v="PR"/>
    <s v="Au"/>
    <s v="Renouvellement en Cours"/>
    <s v="Kedougou"/>
    <s v="01/02/2012"/>
    <s v="02/11/2021"/>
    <n v="2012"/>
    <s v="SOCIETE DES MINES DU SENEGAL (SODEMINES)"/>
    <n v="100"/>
    <n v="2022"/>
    <s v="1 — OUI"/>
  </r>
  <r>
    <s v="02072"/>
    <x v="24"/>
    <s v="CM"/>
    <s v="phosphate de chaux"/>
    <s v="Active"/>
    <s v="Matam"/>
    <s v="08/06/2011"/>
    <s v="08/06/2036"/>
    <n v="2011"/>
    <m/>
    <m/>
    <m/>
    <s v="0 — NON"/>
  </r>
  <r>
    <s v="02075"/>
    <x v="25"/>
    <s v="AEPM"/>
    <s v="Au"/>
    <s v="Active"/>
    <s v="Kedougou"/>
    <s v="27/01/2012"/>
    <s v="13/01/2028"/>
    <n v="2012"/>
    <m/>
    <m/>
    <m/>
    <s v="0 — NON"/>
  </r>
  <r>
    <s v="02078"/>
    <x v="23"/>
    <s v="PR"/>
    <s v="Au"/>
    <s v="Renouvellement en Cours"/>
    <s v="Kedougou"/>
    <s v="22/05/2012"/>
    <s v="02/11/2021"/>
    <n v="2012"/>
    <s v="SOCIETE DES MINES DU SENEGAL (SODEMINES)"/>
    <n v="100"/>
    <n v="2022"/>
    <s v="1 — OUI"/>
  </r>
  <r>
    <s v="02079"/>
    <x v="26"/>
    <s v="PR"/>
    <s v="Mn"/>
    <s v="Transformation en Cours"/>
    <s v="Tambacounda"/>
    <s v="10/01/2012"/>
    <s v="27/01/2021"/>
    <n v="2012"/>
    <m/>
    <m/>
    <m/>
    <s v="0 — NON"/>
  </r>
  <r>
    <s v="02084"/>
    <x v="26"/>
    <s v="AEPM"/>
    <s v="Mn"/>
    <s v="Renouvellement en Cours"/>
    <s v="Tambacounda"/>
    <s v="01/02/2012"/>
    <s v="31/01/2023"/>
    <n v="2012"/>
    <m/>
    <m/>
    <m/>
    <s v="0 — NON"/>
  </r>
  <r>
    <s v="02085"/>
    <x v="27"/>
    <s v="AEPM"/>
    <s v="ML"/>
    <s v="Active"/>
    <s v="Saint Louis"/>
    <s v="09/01/2019"/>
    <s v="09/01/2029"/>
    <n v="2019"/>
    <m/>
    <m/>
    <m/>
    <s v="0 — NON"/>
  </r>
  <r>
    <s v="02091"/>
    <x v="28"/>
    <s v="AECPP"/>
    <s v="calcaire"/>
    <s v="Renouvellement en Cours"/>
    <s v="Louga"/>
    <s v="08/02/2018"/>
    <s v="07/02/2023"/>
    <n v="2018"/>
    <m/>
    <m/>
    <m/>
    <s v="0 — NON"/>
  </r>
  <r>
    <s v="02100"/>
    <x v="29"/>
    <s v="PR"/>
    <s v="phosphate de chaux"/>
    <s v="Active"/>
    <s v="Louga"/>
    <s v="10/07/2013"/>
    <s v="29/06/2025"/>
    <n v="2013"/>
    <m/>
    <m/>
    <m/>
    <s v="0 — NON"/>
  </r>
  <r>
    <s v="02104"/>
    <x v="30"/>
    <s v="PR"/>
    <s v="Au"/>
    <s v="Active"/>
    <s v="Kedougou"/>
    <s v="21/11/2013"/>
    <s v="21/11/2025"/>
    <n v="2013"/>
    <m/>
    <m/>
    <m/>
    <s v="0 — NON"/>
  </r>
  <r>
    <s v="02105"/>
    <x v="31"/>
    <s v="CO"/>
    <s v="Au"/>
    <s v="Active"/>
    <s v="Tambacounda"/>
    <s v="10/02/2014"/>
    <m/>
    <n v="2014"/>
    <m/>
    <m/>
    <m/>
    <s v="0 — NON"/>
  </r>
  <r>
    <s v="02106"/>
    <x v="31"/>
    <s v="CO"/>
    <s v="Au"/>
    <s v="Active"/>
    <s v="Tambacounda"/>
    <s v="10/02/2014"/>
    <m/>
    <n v="2014"/>
    <m/>
    <m/>
    <m/>
    <s v="0 — NON"/>
  </r>
  <r>
    <s v="02107"/>
    <x v="31"/>
    <s v="CO"/>
    <s v="Au"/>
    <s v="Active"/>
    <s v="Tambacounda"/>
    <s v="10/02/2014"/>
    <m/>
    <n v="2014"/>
    <m/>
    <m/>
    <m/>
    <s v="0 — NON"/>
  </r>
  <r>
    <s v="02108"/>
    <x v="31"/>
    <s v="CO"/>
    <s v="Au"/>
    <s v="Active"/>
    <s v="Kedougou"/>
    <s v="10/02/2014"/>
    <m/>
    <n v="2014"/>
    <m/>
    <m/>
    <m/>
    <s v="0 — NON"/>
  </r>
  <r>
    <s v="02109"/>
    <x v="31"/>
    <s v="CO"/>
    <s v="Au"/>
    <s v="Active"/>
    <s v="Kedougou"/>
    <s v="10/02/2014"/>
    <m/>
    <n v="2014"/>
    <m/>
    <m/>
    <m/>
    <s v="0 — NON"/>
  </r>
  <r>
    <s v="02110"/>
    <x v="31"/>
    <s v="CO"/>
    <s v="Au"/>
    <s v="Active"/>
    <s v="Kedougou"/>
    <s v="10/02/2014"/>
    <m/>
    <n v="2014"/>
    <m/>
    <m/>
    <m/>
    <s v="0 — NON"/>
  </r>
  <r>
    <s v="02111"/>
    <x v="31"/>
    <s v="CO"/>
    <s v="Au"/>
    <s v="Active"/>
    <s v="Kedougou"/>
    <s v="10/02/2014"/>
    <m/>
    <n v="2014"/>
    <m/>
    <m/>
    <m/>
    <s v="0 — NON"/>
  </r>
  <r>
    <s v="02112"/>
    <x v="31"/>
    <s v="CO"/>
    <s v="Au"/>
    <s v="Active"/>
    <s v="Kedougou"/>
    <s v="10/02/2014"/>
    <m/>
    <n v="2014"/>
    <m/>
    <m/>
    <m/>
    <s v="0 — NON"/>
  </r>
  <r>
    <s v="02113"/>
    <x v="31"/>
    <s v="CO"/>
    <s v="Au"/>
    <s v="Active"/>
    <s v="Kedougou"/>
    <s v="10/02/2014"/>
    <m/>
    <n v="2014"/>
    <m/>
    <m/>
    <m/>
    <s v="0 — NON"/>
  </r>
  <r>
    <s v="02114"/>
    <x v="31"/>
    <s v="CO"/>
    <s v="Au"/>
    <s v="Active"/>
    <s v="Kedougou"/>
    <s v="10/02/2014"/>
    <m/>
    <n v="2014"/>
    <m/>
    <m/>
    <m/>
    <s v="0 — NON"/>
  </r>
  <r>
    <s v="02115"/>
    <x v="31"/>
    <s v="CO"/>
    <s v="Au"/>
    <s v="Active"/>
    <s v="Kedougou"/>
    <s v="10/02/2014"/>
    <m/>
    <n v="2014"/>
    <m/>
    <m/>
    <m/>
    <s v="0 — NON"/>
  </r>
  <r>
    <s v="02116"/>
    <x v="31"/>
    <s v="CO"/>
    <s v="Au"/>
    <s v="Active"/>
    <s v="Kedougou"/>
    <s v="10/02/2014"/>
    <m/>
    <n v="2014"/>
    <m/>
    <m/>
    <m/>
    <s v="0 — NON"/>
  </r>
  <r>
    <s v="02117"/>
    <x v="31"/>
    <s v="CO"/>
    <s v="Au"/>
    <s v="Active"/>
    <s v="Kedougou"/>
    <s v="10/02/2014"/>
    <m/>
    <n v="2014"/>
    <m/>
    <m/>
    <m/>
    <s v="0 — NON"/>
  </r>
  <r>
    <s v="02118"/>
    <x v="31"/>
    <s v="CO"/>
    <s v="Au"/>
    <s v="Active"/>
    <s v="Kedougou"/>
    <s v="10/02/2014"/>
    <m/>
    <n v="2014"/>
    <m/>
    <m/>
    <m/>
    <s v="0 — NON"/>
  </r>
  <r>
    <s v="02119"/>
    <x v="31"/>
    <s v="CO"/>
    <s v="Au"/>
    <s v="Active"/>
    <s v="Kedougou"/>
    <s v="10/02/2014"/>
    <m/>
    <n v="2014"/>
    <m/>
    <m/>
    <m/>
    <s v="0 — NON"/>
  </r>
  <r>
    <s v="02120"/>
    <x v="31"/>
    <s v="CO"/>
    <s v="Au"/>
    <s v="Active"/>
    <s v="Kedougou"/>
    <s v="10/02/2014"/>
    <m/>
    <n v="2014"/>
    <m/>
    <m/>
    <m/>
    <s v="0 — NON"/>
  </r>
  <r>
    <s v="02121"/>
    <x v="31"/>
    <s v="CO"/>
    <s v="Au"/>
    <s v="Active"/>
    <s v="Kedougou"/>
    <s v="10/02/2014"/>
    <m/>
    <n v="2014"/>
    <m/>
    <m/>
    <m/>
    <s v="0 — NON"/>
  </r>
  <r>
    <s v="02126"/>
    <x v="4"/>
    <s v="AECPP"/>
    <s v="basalte"/>
    <s v="Active"/>
    <s v="Thiès"/>
    <s v="14/11/2016"/>
    <s v="13/11/2026"/>
    <n v="2016"/>
    <m/>
    <m/>
    <m/>
    <s v="0 — NON"/>
  </r>
  <r>
    <s v="02128"/>
    <x v="32"/>
    <s v="AECPP"/>
    <s v="calcaire"/>
    <s v="Active"/>
    <s v="Thiès"/>
    <s v="30/05/2017"/>
    <s v="28/05/2027"/>
    <n v="2017"/>
    <m/>
    <m/>
    <m/>
    <s v="0 — NON"/>
  </r>
  <r>
    <s v="02129"/>
    <x v="33"/>
    <s v="AECPP"/>
    <s v="calcaire"/>
    <s v="Active"/>
    <s v="Thiès"/>
    <s v="07/10/2014"/>
    <s v="11/05/2025"/>
    <n v="2014"/>
    <m/>
    <m/>
    <m/>
    <s v="0 — NON"/>
  </r>
  <r>
    <s v="02130"/>
    <x v="34"/>
    <s v="PR"/>
    <s v="Au"/>
    <s v="Active"/>
    <s v="Kedougou"/>
    <s v="10/06/2015"/>
    <s v="21/06/2026"/>
    <n v="2015"/>
    <s v="BOYA"/>
    <n v="100"/>
    <n v="2021"/>
    <s v="1 — OUI"/>
  </r>
  <r>
    <s v="02133"/>
    <x v="35"/>
    <s v="AECPP"/>
    <s v="calcaire"/>
    <s v="Active"/>
    <s v="Thiès"/>
    <s v="18/04/2016"/>
    <s v="24/04/2025"/>
    <n v="2016"/>
    <m/>
    <m/>
    <m/>
    <s v="0 — NON"/>
  </r>
  <r>
    <s v="02135"/>
    <x v="36"/>
    <s v="AECPP"/>
    <s v="calcaire"/>
    <s v="Renouvellement en Cours"/>
    <s v="Thiès"/>
    <s v="19/02/2015"/>
    <s v="18/02/2020"/>
    <n v="2015"/>
    <m/>
    <m/>
    <m/>
    <s v="0 — NON"/>
  </r>
  <r>
    <s v="02136"/>
    <x v="37"/>
    <s v="AECPP"/>
    <s v="calcaire"/>
    <s v="Active"/>
    <s v="Thiès"/>
    <s v="19/02/2015"/>
    <s v="18/02/2025"/>
    <n v="2015"/>
    <m/>
    <m/>
    <m/>
    <s v="0 — NON"/>
  </r>
  <r>
    <s v="02140"/>
    <x v="38"/>
    <s v="AECPP"/>
    <s v="calcaire"/>
    <s v="Renouvellement en Cours"/>
    <s v="Thiès"/>
    <s v="19/02/2015"/>
    <s v="18/02/2020"/>
    <n v="2015"/>
    <m/>
    <m/>
    <m/>
    <s v="0 — NON"/>
  </r>
  <r>
    <s v="02142"/>
    <x v="39"/>
    <s v="AECPP"/>
    <s v="calcaire"/>
    <s v="Renouvellement en Cours"/>
    <s v="Thiès"/>
    <s v="31/05/2017"/>
    <s v="30/05/2022"/>
    <n v="2017"/>
    <m/>
    <m/>
    <m/>
    <s v="0 — NON"/>
  </r>
  <r>
    <s v="02143"/>
    <x v="40"/>
    <s v="AECPP"/>
    <s v="basalte"/>
    <s v="Active"/>
    <s v="Kedougou"/>
    <s v="19/04/2016"/>
    <s v="18/04/2026"/>
    <n v="2016"/>
    <m/>
    <m/>
    <m/>
    <s v="0 — NON"/>
  </r>
  <r>
    <s v="02144"/>
    <x v="41"/>
    <s v="CM"/>
    <s v="fer"/>
    <s v="Active"/>
    <s v="Kedougou"/>
    <s v="16/09/2015"/>
    <s v="16/09/2040"/>
    <n v="2015"/>
    <m/>
    <m/>
    <m/>
    <s v="0 — NON"/>
  </r>
  <r>
    <s v="02146"/>
    <x v="42"/>
    <s v="PE"/>
    <s v="Au"/>
    <s v="Active"/>
    <s v="Kedougou"/>
    <s v="01/02/2021"/>
    <s v="31/01/2026"/>
    <n v="2021"/>
    <m/>
    <m/>
    <m/>
    <s v="0 — NON"/>
  </r>
  <r>
    <s v="02149"/>
    <x v="43"/>
    <s v="PE"/>
    <s v="phosphate de chaux"/>
    <s v="Active"/>
    <s v="Diourbel"/>
    <s v="27/09/2018"/>
    <s v="26/09/2038"/>
    <n v="2018"/>
    <m/>
    <m/>
    <m/>
    <s v="0 — NON"/>
  </r>
  <r>
    <s v="02152"/>
    <x v="44"/>
    <s v="PE"/>
    <s v="Au"/>
    <s v="Active"/>
    <s v="Kedougou"/>
    <s v="13/07/2017"/>
    <s v="12/07/2027"/>
    <n v="2017"/>
    <s v="MAKABINGUI GOLD OPERATION"/>
    <n v="98"/>
    <n v="2023"/>
    <s v="1 — OUI"/>
  </r>
  <r>
    <s v="02153"/>
    <x v="45"/>
    <s v="AECPP"/>
    <s v="calcaire"/>
    <s v="Active"/>
    <s v="Thiès"/>
    <s v="31/03/2016"/>
    <s v="29/03/2026"/>
    <n v="2016"/>
    <m/>
    <m/>
    <m/>
    <s v="0 — NON"/>
  </r>
  <r>
    <s v="02154"/>
    <x v="46"/>
    <s v="AEHTR"/>
    <s v="Sl"/>
    <s v="Renouvellement en Cours"/>
    <s v="Thiès"/>
    <s v="06/04/2016"/>
    <s v="05/04/2021"/>
    <n v="2016"/>
    <m/>
    <m/>
    <m/>
    <s v="0 — NON"/>
  </r>
  <r>
    <s v="02155"/>
    <x v="47"/>
    <s v="CM"/>
    <s v="Au"/>
    <s v="Active"/>
    <s v="Kedougou"/>
    <s v="14/07/2016"/>
    <s v="14/07/2031"/>
    <n v="2016"/>
    <m/>
    <m/>
    <m/>
    <s v="0 — NON"/>
  </r>
  <r>
    <s v="02158"/>
    <x v="48"/>
    <s v="AEMSM"/>
    <s v="Au"/>
    <s v="Active"/>
    <s v="Kedougou"/>
    <s v="12/01/2010"/>
    <s v="09/05/2024"/>
    <n v="2010"/>
    <m/>
    <m/>
    <m/>
    <s v="0 — NON"/>
  </r>
  <r>
    <s v="02159"/>
    <x v="49"/>
    <s v="AECPP"/>
    <s v="basalte"/>
    <s v="Active"/>
    <s v="Thiès"/>
    <s v="26/07/2018"/>
    <s v="15/08/2027"/>
    <n v="2018"/>
    <m/>
    <m/>
    <m/>
    <s v="0 — NON"/>
  </r>
  <r>
    <s v="02160"/>
    <x v="50"/>
    <s v="AECPP"/>
    <s v="calcaire"/>
    <s v="Active"/>
    <s v="Thiès"/>
    <s v="20/06/2016"/>
    <s v="19/06/2026"/>
    <n v="2016"/>
    <m/>
    <m/>
    <m/>
    <s v="0 — NON"/>
  </r>
  <r>
    <s v="02161"/>
    <x v="51"/>
    <s v="AEHTR"/>
    <s v="Sl"/>
    <s v="Renouvellement en Cours"/>
    <s v="Thiès"/>
    <s v="15/02/2016"/>
    <s v="14/02/2021"/>
    <n v="2016"/>
    <m/>
    <m/>
    <m/>
    <s v="0 — NON"/>
  </r>
  <r>
    <s v="02163"/>
    <x v="52"/>
    <s v="AEHTR"/>
    <s v="Sl"/>
    <s v="Active"/>
    <s v="Thiès"/>
    <s v="22/09/2016"/>
    <s v="21/09/2026"/>
    <n v="2016"/>
    <s v="SWANI MINES-SA"/>
    <n v="90.9"/>
    <n v="2025"/>
    <s v="1 — OUI"/>
  </r>
  <r>
    <s v="02165"/>
    <x v="53"/>
    <s v="AECPP"/>
    <s v="basalte"/>
    <s v="Active"/>
    <s v="Thiès"/>
    <s v="19/09/2018"/>
    <s v="13/09/2027"/>
    <n v="2018"/>
    <m/>
    <m/>
    <m/>
    <s v="0 — NON"/>
  </r>
  <r>
    <s v="02166"/>
    <x v="14"/>
    <s v="AECPP"/>
    <s v="calcaire"/>
    <s v="Active"/>
    <s v="Thiès"/>
    <s v="09/03/2016"/>
    <s v="08/03/2026"/>
    <n v="2016"/>
    <m/>
    <m/>
    <m/>
    <s v="0 — NON"/>
  </r>
  <r>
    <s v="02167"/>
    <x v="54"/>
    <s v="AEHTR"/>
    <s v="Sl"/>
    <s v="Renouvellement en Cours"/>
    <s v="Thiès"/>
    <s v="15/01/2018"/>
    <s v="14/01/2023"/>
    <n v="2018"/>
    <m/>
    <m/>
    <m/>
    <s v="0 — NON"/>
  </r>
  <r>
    <s v="02175"/>
    <x v="21"/>
    <s v="PR"/>
    <s v="grès"/>
    <s v="Renouvellement en Cours"/>
    <s v="Tambacounda"/>
    <s v="22/09/2016"/>
    <s v="21/09/2022"/>
    <n v="2016"/>
    <m/>
    <m/>
    <m/>
    <s v="0 — NON"/>
  </r>
  <r>
    <s v="02178"/>
    <x v="55"/>
    <s v="AEHTR"/>
    <s v="Sl"/>
    <s v="Active"/>
    <s v="Thiès"/>
    <s v="20/03/2018"/>
    <s v="18/03/2028"/>
    <n v="2018"/>
    <m/>
    <m/>
    <m/>
    <s v="0 — NON"/>
  </r>
  <r>
    <s v="02180"/>
    <x v="56"/>
    <s v="PR"/>
    <s v="Au"/>
    <s v="Active"/>
    <s v="Kedougou"/>
    <s v="20/03/2018"/>
    <s v="20/03/2025"/>
    <n v="2018"/>
    <m/>
    <m/>
    <m/>
    <s v="0 — NON"/>
  </r>
  <r>
    <s v="02183"/>
    <x v="57"/>
    <s v="AEMSM"/>
    <s v="Au"/>
    <s v="Active"/>
    <s v="Kedougou"/>
    <s v="06/04/2021"/>
    <s v="05/04/2024"/>
    <n v="2021"/>
    <m/>
    <m/>
    <m/>
    <s v="0 — NON"/>
  </r>
  <r>
    <s v="02184"/>
    <x v="58"/>
    <s v="AEHTR"/>
    <s v="Sl"/>
    <s v="Active"/>
    <s v="Thiès"/>
    <s v="14/12/2017"/>
    <s v="12/12/2027"/>
    <n v="2017"/>
    <m/>
    <m/>
    <m/>
    <s v="0 — NON"/>
  </r>
  <r>
    <s v="02185"/>
    <x v="59"/>
    <s v="AECPP"/>
    <s v="marbre"/>
    <s v="Active"/>
    <s v="Kedougou"/>
    <s v="08/02/2018"/>
    <s v="06/02/2028"/>
    <n v="2018"/>
    <m/>
    <m/>
    <m/>
    <s v="0 — NON"/>
  </r>
  <r>
    <s v="02188"/>
    <x v="60"/>
    <s v="AECPP"/>
    <s v="calcaire"/>
    <s v="Active"/>
    <s v="Thiès"/>
    <s v="23/07/2018"/>
    <s v="23/07/2028"/>
    <n v="2018"/>
    <m/>
    <m/>
    <m/>
    <s v="0 — NON"/>
  </r>
  <r>
    <s v="02189"/>
    <x v="61"/>
    <s v="AEMSM"/>
    <s v="Au"/>
    <s v="Renouvellement en Cours"/>
    <s v="Kedougou"/>
    <s v="03/03/2021"/>
    <s v="02/03/2024"/>
    <n v="2021"/>
    <m/>
    <m/>
    <m/>
    <s v="0 — NON"/>
  </r>
  <r>
    <s v="02190"/>
    <x v="62"/>
    <s v="AEMSM"/>
    <s v="Au"/>
    <s v="Renouvellement en Cours"/>
    <s v="Kedougou"/>
    <s v="22/02/2021"/>
    <s v="15/01/2024"/>
    <n v="2021"/>
    <m/>
    <m/>
    <m/>
    <s v="0 — NON"/>
  </r>
  <r>
    <s v="02191"/>
    <x v="63"/>
    <s v="AEHTR"/>
    <s v="Sl"/>
    <s v="Active"/>
    <s v="Thiès"/>
    <s v="08/08/2017"/>
    <s v="06/08/2027"/>
    <n v="2017"/>
    <m/>
    <m/>
    <m/>
    <s v="0 — NON"/>
  </r>
  <r>
    <s v="02195"/>
    <x v="64"/>
    <s v="AEHTR"/>
    <s v="Sl"/>
    <s v="Active"/>
    <s v="Thiès"/>
    <s v="22/06/2017"/>
    <s v="20/06/2027"/>
    <n v="2017"/>
    <s v="SOCIETE DE CONCASSAGE ET DE BETON"/>
    <n v="100"/>
    <n v="2022"/>
    <s v="1 — OUI"/>
  </r>
  <r>
    <s v="02199"/>
    <x v="65"/>
    <s v="PR"/>
    <s v="Au"/>
    <s v="Active"/>
    <s v="Tambacounda"/>
    <s v="15/01/2018"/>
    <s v="14/01/2025"/>
    <n v="2018"/>
    <s v="BB FIRST COMMODITY HOLDING LTD"/>
    <n v="100"/>
    <n v="2022"/>
    <s v="1 — OUI"/>
  </r>
  <r>
    <s v="02200"/>
    <x v="66"/>
    <s v="PR"/>
    <s v="Au, substances connexes"/>
    <s v="Active"/>
    <s v="Kedougou"/>
    <s v="20/04/2018"/>
    <s v="20/04/2028"/>
    <n v="2018"/>
    <s v="SABODALA MINING COMPANY SARL"/>
    <n v="100"/>
    <n v="2023"/>
    <s v="1 — OUI"/>
  </r>
  <r>
    <s v="02203"/>
    <x v="67"/>
    <s v="PR"/>
    <s v="Au, substances connexes"/>
    <s v="Active"/>
    <s v="Kedougou"/>
    <s v="20/03/2018"/>
    <s v="20/03/2025"/>
    <n v="2018"/>
    <s v="TRIYANGS INTERNATIONAL MINING GROUP"/>
    <n v="100"/>
    <n v="2021"/>
    <s v="1 — OUI"/>
  </r>
  <r>
    <s v="02204"/>
    <x v="68"/>
    <s v="AEHTR"/>
    <s v="sable de dune"/>
    <s v="Renouvellement en Cours"/>
    <s v="Thiès"/>
    <s v="20/04/2018"/>
    <s v="19/04/2023"/>
    <n v="2018"/>
    <m/>
    <m/>
    <m/>
    <s v="0 — NON"/>
  </r>
  <r>
    <s v="02207"/>
    <x v="69"/>
    <s v="PE"/>
    <s v="phosphate de chaux"/>
    <s v="Active"/>
    <s v="Thiès"/>
    <s v="16/01/2019"/>
    <s v="16/01/2044"/>
    <n v="2019"/>
    <m/>
    <m/>
    <m/>
    <s v="0 — NON"/>
  </r>
  <r>
    <s v="02208"/>
    <x v="70"/>
    <s v="PR"/>
    <s v="substances connexes, uranium"/>
    <s v="Renouvellement en Cours"/>
    <s v="Kedougou"/>
    <s v="05/06/2018"/>
    <s v="05/06/2025"/>
    <n v="2018"/>
    <s v="MANDINGA RESOURCES"/>
    <n v="100"/>
    <n v="2022"/>
    <s v="1 — OUI"/>
  </r>
  <r>
    <s v="02211"/>
    <x v="71"/>
    <s v="AEMSM"/>
    <s v="Au"/>
    <s v="Active"/>
    <s v="Kedougou"/>
    <s v="20/04/2018"/>
    <s v="19/04/2024"/>
    <n v="2018"/>
    <m/>
    <m/>
    <m/>
    <s v="0 — NON"/>
  </r>
  <r>
    <s v="02214"/>
    <x v="72"/>
    <s v="PR"/>
    <s v="Sasi"/>
    <s v="Renouvellement en Cours"/>
    <s v="Thiès"/>
    <s v="20/04/2018"/>
    <s v="20/04/2022"/>
    <n v="2018"/>
    <m/>
    <m/>
    <m/>
    <s v="0 — NON"/>
  </r>
  <r>
    <s v="02215"/>
    <x v="73"/>
    <s v="PR"/>
    <s v="Au, substances connexes"/>
    <s v="Active"/>
    <s v="Kedougou"/>
    <s v="05/06/2018"/>
    <s v="05/06/2025"/>
    <n v="2018"/>
    <m/>
    <m/>
    <m/>
    <s v="0 — NON"/>
  </r>
  <r>
    <s v="02220"/>
    <x v="74"/>
    <s v="AECPP"/>
    <s v="basalte"/>
    <s v="Active"/>
    <s v="Kedougou"/>
    <s v="29/01/2021"/>
    <s v="28/01/2026"/>
    <n v="2021"/>
    <m/>
    <m/>
    <m/>
    <s v="0 — NON"/>
  </r>
  <r>
    <s v="02222"/>
    <x v="75"/>
    <s v="PR"/>
    <s v="Au, Cu"/>
    <s v="Active"/>
    <s v="Kedougou"/>
    <s v="05/06/2018"/>
    <s v="04/06/2028"/>
    <n v="2018"/>
    <s v="BAMBADJI SA"/>
    <n v="100"/>
    <n v="2023"/>
    <s v="1 — OUI"/>
  </r>
  <r>
    <s v="02224"/>
    <x v="76"/>
    <s v="AEHTR"/>
    <s v="Sl"/>
    <s v="Active"/>
    <s v="Thiès"/>
    <s v="17/04/2018"/>
    <s v="09/02/2028"/>
    <n v="2018"/>
    <m/>
    <m/>
    <m/>
    <s v="0 — NON"/>
  </r>
  <r>
    <s v="02226"/>
    <x v="77"/>
    <s v="AEHTR"/>
    <s v="Sl"/>
    <s v="Renouvellement en Cours"/>
    <s v="Thiès"/>
    <s v="20/06/2018"/>
    <s v="19/06/2023"/>
    <n v="2018"/>
    <m/>
    <m/>
    <m/>
    <s v="0 — NON"/>
  </r>
  <r>
    <s v="02229"/>
    <x v="78"/>
    <s v="AEHTR"/>
    <s v="Sl"/>
    <s v="Renouvellement en Cours"/>
    <s v="Thiès"/>
    <s v="20/04/2018"/>
    <s v="19/04/2023"/>
    <n v="2018"/>
    <m/>
    <m/>
    <m/>
    <s v="0 — NON"/>
  </r>
  <r>
    <s v="02230"/>
    <x v="78"/>
    <s v="AEHTR"/>
    <s v="sable de dune"/>
    <s v="Renouvellement en Cours"/>
    <s v="Thiès"/>
    <s v="20/04/2018"/>
    <s v="19/04/2023"/>
    <n v="2018"/>
    <m/>
    <m/>
    <m/>
    <s v="0 — NON"/>
  </r>
  <r>
    <s v="02231"/>
    <x v="79"/>
    <s v="AEHTR"/>
    <s v="Sl"/>
    <s v="Active"/>
    <s v="Thiès"/>
    <s v="09/05/2018"/>
    <s v="08/05/2028"/>
    <n v="2018"/>
    <s v="AFRICA TRADE AND INVESTMENT CONSULTING (ATIC-SARL)"/>
    <n v="93.8"/>
    <n v="2023"/>
    <s v="1 — OUI"/>
  </r>
  <r>
    <s v="02233"/>
    <x v="4"/>
    <s v="AECPP"/>
    <s v="basalte"/>
    <s v="Active"/>
    <s v="Thiès"/>
    <s v="28/01/2019"/>
    <s v="27/01/2028"/>
    <n v="2019"/>
    <m/>
    <m/>
    <m/>
    <s v="0 — NON"/>
  </r>
  <r>
    <s v="02235"/>
    <x v="80"/>
    <s v="AEHTR"/>
    <s v="sable de dune"/>
    <s v="Renouvellement en Cours"/>
    <s v="Thiès"/>
    <s v="14/05/2018"/>
    <s v="13/05/2023"/>
    <n v="2018"/>
    <m/>
    <m/>
    <m/>
    <s v="0 — NON"/>
  </r>
  <r>
    <s v="02238"/>
    <x v="81"/>
    <s v="AEHTR"/>
    <s v="Sl"/>
    <s v="Active"/>
    <s v="Thiès"/>
    <s v="05/06/2018"/>
    <s v="03/06/2028"/>
    <n v="2018"/>
    <m/>
    <m/>
    <m/>
    <s v="0 — NON"/>
  </r>
  <r>
    <s v="02242"/>
    <x v="82"/>
    <s v="AEHTR"/>
    <s v="Sl"/>
    <s v="Active"/>
    <s v="Thiès"/>
    <s v="22/06/2018"/>
    <s v="07/05/2028"/>
    <n v="2018"/>
    <s v="GLOBAL IMMO SENEGAL"/>
    <n v="100"/>
    <n v="2021"/>
    <s v="1 — OUI"/>
  </r>
  <r>
    <s v="02247"/>
    <x v="83"/>
    <s v="AEHTR"/>
    <s v="Sl"/>
    <s v="Renouvellement en Cours"/>
    <s v="Thiès"/>
    <s v="23/07/2018"/>
    <s v="22/07/2023"/>
    <n v="2018"/>
    <m/>
    <m/>
    <m/>
    <s v="0 — NON"/>
  </r>
  <r>
    <s v="02252"/>
    <x v="84"/>
    <s v="AEHTR"/>
    <s v="Sl"/>
    <s v="Renouvellement en Cours"/>
    <s v="Thiès"/>
    <s v="26/07/2018"/>
    <s v="25/07/2023"/>
    <n v="2018"/>
    <m/>
    <m/>
    <m/>
    <s v="0 — NON"/>
  </r>
  <r>
    <s v="02253"/>
    <x v="85"/>
    <s v="PR"/>
    <s v="ML"/>
    <s v="Active"/>
    <s v="Thiès"/>
    <s v="17/10/2018"/>
    <s v="16/10/2025"/>
    <n v="2018"/>
    <m/>
    <m/>
    <m/>
    <s v="0 — NON"/>
  </r>
  <r>
    <s v="02259"/>
    <x v="4"/>
    <s v="AECPP"/>
    <s v="basalte"/>
    <s v="Active"/>
    <s v="Kedougou"/>
    <s v="14/02/2019"/>
    <s v="13/02/2029"/>
    <n v="2019"/>
    <m/>
    <m/>
    <m/>
    <s v="0 — NON"/>
  </r>
  <r>
    <s v="02261"/>
    <x v="86"/>
    <s v="PR"/>
    <s v="Au"/>
    <s v="Active"/>
    <s v="Kedougou"/>
    <s v="05/02/2019"/>
    <s v="05/02/2026"/>
    <n v="2019"/>
    <s v="NEW ENERGY INVESTMENT"/>
    <n v="95.5"/>
    <n v="2021"/>
    <s v="1 — OUI"/>
  </r>
  <r>
    <s v="02263"/>
    <x v="67"/>
    <s v="PR"/>
    <s v="Au"/>
    <s v="Active"/>
    <s v="Tambacounda"/>
    <s v="05/02/2019"/>
    <s v="04/02/2026"/>
    <n v="2019"/>
    <s v="TRIYANGS INTERNATIONAL MINING GROUP"/>
    <n v="100"/>
    <n v="2021"/>
    <s v="1 — OUI"/>
  </r>
  <r>
    <s v="02264"/>
    <x v="87"/>
    <s v="PR"/>
    <s v="Au"/>
    <s v="Active"/>
    <s v="Kedougou"/>
    <s v="19/03/2019"/>
    <s v="19/03/2026"/>
    <n v="2019"/>
    <m/>
    <m/>
    <m/>
    <s v="0 — NON"/>
  </r>
  <r>
    <s v="02268"/>
    <x v="88"/>
    <s v="AEHTR"/>
    <s v="Sl"/>
    <s v="Active"/>
    <s v="Thiès"/>
    <s v="27/09/2018"/>
    <s v="26/09/2028"/>
    <n v="2018"/>
    <m/>
    <m/>
    <m/>
    <s v="0 — NON"/>
  </r>
  <r>
    <s v="02269"/>
    <x v="89"/>
    <s v="AECPP"/>
    <s v="grès"/>
    <s v="Active"/>
    <s v="Thiès"/>
    <s v="26/12/2019"/>
    <s v="25/12/2024"/>
    <n v="2019"/>
    <m/>
    <m/>
    <m/>
    <s v="0 — NON"/>
  </r>
  <r>
    <s v="02273"/>
    <x v="53"/>
    <s v="PR"/>
    <s v="phosphate de chaux"/>
    <s v="Renouvellement en Cours"/>
    <s v="Diourbel"/>
    <s v="31/01/2019"/>
    <s v="31/01/2026"/>
    <n v="2019"/>
    <m/>
    <m/>
    <m/>
    <s v="0 — NON"/>
  </r>
  <r>
    <s v="02274"/>
    <x v="90"/>
    <s v="AECPP"/>
    <s v="basalte"/>
    <s v="Renouvellement en Cours"/>
    <s v="Thiès"/>
    <s v="19/03/2019"/>
    <s v="18/03/2024"/>
    <n v="2019"/>
    <m/>
    <m/>
    <m/>
    <s v="0 — NON"/>
  </r>
  <r>
    <s v="02279"/>
    <x v="80"/>
    <s v="AEHTR"/>
    <s v="Sl"/>
    <s v="Renouvellement en Cours"/>
    <s v="Thiès"/>
    <s v="09/01/2019"/>
    <s v="08/01/2024"/>
    <n v="2019"/>
    <m/>
    <m/>
    <m/>
    <s v="0 — NON"/>
  </r>
  <r>
    <s v="02280"/>
    <x v="91"/>
    <s v="PE"/>
    <s v="Au"/>
    <s v="Active"/>
    <s v="Kedougou"/>
    <s v="16/12/2019"/>
    <s v="15/12/2039"/>
    <n v="2019"/>
    <m/>
    <m/>
    <m/>
    <s v="0 — NON"/>
  </r>
  <r>
    <s v="02283"/>
    <x v="92"/>
    <s v="AEHTR"/>
    <s v="Sl"/>
    <s v="Active"/>
    <s v="Thiès"/>
    <s v="14/12/2018"/>
    <s v="08/05/2028"/>
    <n v="2018"/>
    <m/>
    <m/>
    <m/>
    <s v="0 — NON"/>
  </r>
  <r>
    <s v="02289"/>
    <x v="93"/>
    <s v="PR"/>
    <s v="Au"/>
    <s v="Active"/>
    <s v="Kedougou"/>
    <s v="07/06/2019"/>
    <s v="07/06/2026"/>
    <n v="2019"/>
    <m/>
    <m/>
    <m/>
    <s v="0 — NON"/>
  </r>
  <r>
    <s v="02304"/>
    <x v="94"/>
    <s v="AECPP"/>
    <s v="basalte"/>
    <s v="Active"/>
    <s v="Kedougou"/>
    <s v="25/11/2019"/>
    <s v="24/11/2024"/>
    <n v="2019"/>
    <m/>
    <m/>
    <m/>
    <s v="0 — NON"/>
  </r>
  <r>
    <s v="02306"/>
    <x v="95"/>
    <s v="PR"/>
    <s v="Au"/>
    <s v="Active"/>
    <s v="Kedougou"/>
    <s v="18/02/2020"/>
    <s v="17/02/2027"/>
    <n v="2020"/>
    <m/>
    <m/>
    <m/>
    <s v="0 — NON"/>
  </r>
  <r>
    <s v="02313"/>
    <x v="96"/>
    <s v="AEMSM"/>
    <s v="Au"/>
    <s v="Active"/>
    <s v="Kedougou"/>
    <s v="17/02/2020"/>
    <s v="16/02/2026"/>
    <n v="2020"/>
    <m/>
    <m/>
    <m/>
    <s v="0 — NON"/>
  </r>
  <r>
    <s v="02315"/>
    <x v="97"/>
    <s v="PR"/>
    <s v="Mn"/>
    <s v="Renouvellement en Cours"/>
    <s v="Tambacounda"/>
    <s v="27/05/2020"/>
    <s v="26/05/2024"/>
    <n v="2020"/>
    <m/>
    <m/>
    <m/>
    <s v="0 — NON"/>
  </r>
  <r>
    <s v="02320"/>
    <x v="98"/>
    <s v="AECPubP"/>
    <s v="sable de dune"/>
    <s v="Active"/>
    <s v="Saint Louis"/>
    <s v="18/02/2020"/>
    <s v="18/02/2025"/>
    <n v="2020"/>
    <m/>
    <m/>
    <m/>
    <s v="0 — NON"/>
  </r>
  <r>
    <s v="02321"/>
    <x v="99"/>
    <s v="PR"/>
    <s v="Au"/>
    <s v="Renouvellement en Cours"/>
    <s v="Kedougou"/>
    <s v="16/07/2020"/>
    <s v="15/07/2024"/>
    <n v="2020"/>
    <s v="SAMSAM GOLD"/>
    <n v="90"/>
    <n v="2022"/>
    <s v="1 — OUI"/>
  </r>
  <r>
    <s v="02322"/>
    <x v="100"/>
    <s v="PR"/>
    <s v="Au"/>
    <s v="Active"/>
    <s v="Kedougou"/>
    <s v="14/02/2019"/>
    <s v="13/02/2029"/>
    <n v="2019"/>
    <s v="ARDIMINES SARL"/>
    <n v="100"/>
    <n v="2023"/>
    <s v="1 — OUI"/>
  </r>
  <r>
    <s v="02327"/>
    <x v="101"/>
    <s v="PR"/>
    <s v="Au, substances connexes"/>
    <s v="Renouvellement en Cours"/>
    <s v="Kedougou"/>
    <s v="25/08/2020"/>
    <s v="24/08/2027"/>
    <n v="2020"/>
    <s v="PROSPECTIUNI"/>
    <n v="100"/>
    <n v="2024"/>
    <s v="1 — OUI"/>
  </r>
  <r>
    <s v="02332"/>
    <x v="102"/>
    <s v="PR"/>
    <s v="Au"/>
    <s v="Renouvellement en Cours"/>
    <s v="Kedougou"/>
    <s v="25/02/2020"/>
    <s v="24/02/2024"/>
    <n v="2020"/>
    <m/>
    <m/>
    <m/>
    <s v="0 — NON"/>
  </r>
  <r>
    <s v="02335"/>
    <x v="103"/>
    <s v="AEPM"/>
    <s v="Au"/>
    <s v="Active"/>
    <s v="Kedougou"/>
    <s v="26/02/2020"/>
    <s v="25/02/2025"/>
    <n v="2020"/>
    <s v="SOCIETE DES MINES DU SENEGAL (SODEMINES)"/>
    <n v="100"/>
    <n v="2022"/>
    <s v="1 — OUI"/>
  </r>
  <r>
    <s v="02339"/>
    <x v="104"/>
    <s v="PR"/>
    <s v="Au"/>
    <s v="Active"/>
    <s v="Tambacounda"/>
    <s v="06/04/2021"/>
    <s v="05/04/2025"/>
    <n v="2021"/>
    <s v="BHAIRAVA AGRICOLE"/>
    <n v="97"/>
    <n v="2022"/>
    <s v="1 — OUI"/>
  </r>
  <r>
    <s v="02356"/>
    <x v="105"/>
    <s v="AEMSM"/>
    <s v="Au"/>
    <s v="Renouvellement en Cours"/>
    <s v="Kedougou"/>
    <s v="16/06/2016"/>
    <s v="17/06/2019"/>
    <n v="2016"/>
    <m/>
    <m/>
    <m/>
    <s v="0 — NON"/>
  </r>
  <r>
    <s v="02364"/>
    <x v="106"/>
    <s v="AEHTR"/>
    <s v="Sl"/>
    <s v="Active"/>
    <s v="Thiès"/>
    <s v="12/10/2020"/>
    <s v="11/10/2025"/>
    <n v="2020"/>
    <m/>
    <m/>
    <m/>
    <s v="0 — NON"/>
  </r>
  <r>
    <s v="02367"/>
    <x v="107"/>
    <s v="PR"/>
    <s v="Au"/>
    <s v="Renouvellement en Cours"/>
    <s v="Kedougou"/>
    <s v="15/10/2020"/>
    <s v="14/10/2024"/>
    <n v="2020"/>
    <m/>
    <m/>
    <m/>
    <s v="0 — NON"/>
  </r>
  <r>
    <s v="02368"/>
    <x v="106"/>
    <s v="PR"/>
    <s v="phosphate de chaux"/>
    <s v="Renouvellement en Cours"/>
    <s v="Diourbel"/>
    <s v="28/10/2020"/>
    <s v="27/10/2024"/>
    <n v="2020"/>
    <m/>
    <m/>
    <m/>
    <s v="0 — NON"/>
  </r>
  <r>
    <s v="02369"/>
    <x v="108"/>
    <s v="AECPP"/>
    <s v="calcaire"/>
    <s v="Active"/>
    <s v="Thiès"/>
    <s v="24/03/2021"/>
    <s v="23/03/2026"/>
    <n v="2021"/>
    <m/>
    <m/>
    <m/>
    <s v="0 — NON"/>
  </r>
  <r>
    <s v="02374"/>
    <x v="109"/>
    <s v="AECPP"/>
    <s v="basalte"/>
    <s v="Active"/>
    <s v="Thiès"/>
    <s v="29/01/2021"/>
    <s v="28/01/2026"/>
    <n v="2021"/>
    <m/>
    <m/>
    <m/>
    <s v="0 — NON"/>
  </r>
  <r>
    <s v="02382"/>
    <x v="110"/>
    <s v="AEHTR"/>
    <s v="Sl"/>
    <s v="Active"/>
    <s v="Thiès"/>
    <s v="18/02/2020"/>
    <s v="17/02/2025"/>
    <n v="2020"/>
    <m/>
    <m/>
    <m/>
    <s v="0 — NON"/>
  </r>
  <r>
    <s v="02383"/>
    <x v="111"/>
    <s v="AEHTR"/>
    <s v="Sl"/>
    <s v="Active"/>
    <s v="Thiès"/>
    <s v="18/02/2020"/>
    <s v="17/02/2025"/>
    <n v="2020"/>
    <m/>
    <m/>
    <m/>
    <s v="0 — NON"/>
  </r>
  <r>
    <s v="02388"/>
    <x v="112"/>
    <s v="AECPT"/>
    <s v="sable de dune"/>
    <s v="Retrait en Cours"/>
    <s v="Dakar"/>
    <s v="01/03/2021"/>
    <s v="02/09/2021"/>
    <n v="2021"/>
    <m/>
    <m/>
    <m/>
    <s v="0 — NON"/>
  </r>
  <r>
    <s v="03006"/>
    <x v="113"/>
    <s v="PR"/>
    <s v="Au"/>
    <s v="Renouvellement en Cours"/>
    <s v="Kedougou"/>
    <s v="26/03/2021"/>
    <s v="25/03/2025"/>
    <n v="2021"/>
    <m/>
    <m/>
    <m/>
    <s v="0 — NON"/>
  </r>
  <r>
    <s v="03047"/>
    <x v="114"/>
    <s v="AECPP"/>
    <s v="kao"/>
    <s v="Active"/>
    <s v="Tambacounda"/>
    <s v="19/04/2021"/>
    <s v="18/04/2026"/>
    <n v="2021"/>
    <m/>
    <m/>
    <m/>
    <s v="0 — NON"/>
  </r>
  <r>
    <s v="03048"/>
    <x v="114"/>
    <s v="AECPP"/>
    <s v="granite"/>
    <s v="Active"/>
    <s v="Kedougou"/>
    <s v="29/04/2021"/>
    <s v="28/04/2026"/>
    <n v="2021"/>
    <m/>
    <m/>
    <m/>
    <s v="0 — NON"/>
  </r>
  <r>
    <s v="03054"/>
    <x v="115"/>
    <s v="AECPP"/>
    <s v="basalte"/>
    <s v="Active"/>
    <s v="Kedougou"/>
    <s v="29/04/2021"/>
    <s v="28/04/2026"/>
    <n v="2021"/>
    <s v="ABA SERVICES"/>
    <n v="87"/>
    <n v="2022"/>
    <s v="1 — OUI"/>
  </r>
  <r>
    <s v="03101"/>
    <x v="116"/>
    <s v="AECPP"/>
    <s v="basalte"/>
    <s v="Active"/>
    <s v="Kedougou"/>
    <s v="31/08/2021"/>
    <s v="30/08/2026"/>
    <n v="2021"/>
    <m/>
    <m/>
    <m/>
    <s v="0 — NON"/>
  </r>
  <r>
    <s v="03103"/>
    <x v="117"/>
    <s v="AEMSM"/>
    <s v="Au"/>
    <s v="Active"/>
    <s v="Kedougou"/>
    <s v="06/07/2021"/>
    <s v="05/07/2024"/>
    <n v="2021"/>
    <s v="THIAM SENEGAL GOLD FAMILY"/>
    <n v="100"/>
    <n v="2022"/>
    <s v="1 — OUI"/>
  </r>
  <r>
    <s v="03182"/>
    <x v="118"/>
    <s v="AECPP"/>
    <s v="basalte"/>
    <s v="Active"/>
    <s v="Kedougou"/>
    <s v="02/07/2021"/>
    <s v="01/07/2026"/>
    <n v="2021"/>
    <m/>
    <m/>
    <m/>
    <s v="0 — NON"/>
  </r>
  <r>
    <s v="03199"/>
    <x v="119"/>
    <s v="AEHTR"/>
    <s v="Sl"/>
    <s v="Active"/>
    <s v="Thiès"/>
    <s v="29/04/2021"/>
    <s v="28/04/2026"/>
    <n v="2021"/>
    <m/>
    <m/>
    <m/>
    <s v="0 — NON"/>
  </r>
  <r>
    <s v="03200"/>
    <x v="120"/>
    <s v="AECPubP"/>
    <s v="sable de dune"/>
    <s v="Active"/>
    <s v="Tambacounda"/>
    <s v="29/04/2021"/>
    <s v="28/04/2026"/>
    <n v="2021"/>
    <m/>
    <m/>
    <m/>
    <s v="0 — NON"/>
  </r>
  <r>
    <s v="03214"/>
    <x v="121"/>
    <s v="AEMSM"/>
    <s v="Au"/>
    <s v="Renouvellement en Cours"/>
    <s v="Kedougou"/>
    <s v="05/08/2021"/>
    <s v="04/08/2024"/>
    <n v="2021"/>
    <m/>
    <m/>
    <m/>
    <s v="0 — NON"/>
  </r>
  <r>
    <s v="03217"/>
    <x v="122"/>
    <s v="AEPM"/>
    <s v="Au"/>
    <s v="Active"/>
    <s v="Kedougou"/>
    <s v="07/07/2021"/>
    <s v="06/07/2026"/>
    <n v="2021"/>
    <m/>
    <m/>
    <m/>
    <s v="0 — NON"/>
  </r>
  <r>
    <s v="03219"/>
    <x v="123"/>
    <s v="AECPP"/>
    <s v="grès"/>
    <s v="Active"/>
    <s v="Kedougou"/>
    <s v="10/06/2021"/>
    <s v="09/06/2026"/>
    <n v="2021"/>
    <m/>
    <m/>
    <m/>
    <s v="0 — NON"/>
  </r>
  <r>
    <s v="03228"/>
    <x v="124"/>
    <s v="PR"/>
    <s v="basalte, tf"/>
    <s v="Active"/>
    <s v="Diourbel"/>
    <s v="07/10/2021"/>
    <s v="06/10/2025"/>
    <n v="2021"/>
    <m/>
    <m/>
    <m/>
    <s v="0 — NON"/>
  </r>
  <r>
    <s v="03241"/>
    <x v="125"/>
    <s v="AECPP"/>
    <s v="basalte"/>
    <s v="Active"/>
    <s v="Kedougou"/>
    <s v="28/07/2021"/>
    <s v="27/07/2026"/>
    <n v="2021"/>
    <m/>
    <m/>
    <m/>
    <s v="0 — NON"/>
  </r>
  <r>
    <s v="03264"/>
    <x v="126"/>
    <s v="AECPP"/>
    <s v="grès, latérite"/>
    <s v="Active"/>
    <s v="Thiès"/>
    <s v="31/08/2021"/>
    <s v="30/08/2026"/>
    <n v="2021"/>
    <m/>
    <m/>
    <m/>
    <s v="0 — NON"/>
  </r>
  <r>
    <s v="03265"/>
    <x v="127"/>
    <s v="AEHTR"/>
    <s v="Sl"/>
    <s v="Active"/>
    <s v="Thiès"/>
    <s v="12/10/2021"/>
    <s v="11/10/2026"/>
    <n v="2021"/>
    <m/>
    <m/>
    <m/>
    <s v="0 — NON"/>
  </r>
  <r>
    <s v="03268"/>
    <x v="128"/>
    <s v="AEMSM"/>
    <s v="Au"/>
    <s v="Active"/>
    <s v="Kedougou"/>
    <s v="03/03/2022"/>
    <s v="02/03/2025"/>
    <n v="2022"/>
    <m/>
    <m/>
    <m/>
    <s v="0 — NON"/>
  </r>
  <r>
    <s v="03271"/>
    <x v="129"/>
    <s v="AEHTR"/>
    <s v="Sl"/>
    <s v="Active"/>
    <s v="Thiès"/>
    <s v="07/10/2021"/>
    <s v="06/10/2026"/>
    <n v="2021"/>
    <m/>
    <m/>
    <m/>
    <s v="0 — NON"/>
  </r>
  <r>
    <s v="03272"/>
    <x v="20"/>
    <s v="AEHTR"/>
    <s v="Sl"/>
    <s v="Active"/>
    <s v="Thiès"/>
    <s v="07/10/2021"/>
    <s v="06/10/2026"/>
    <n v="2021"/>
    <s v="SYPROM"/>
    <n v="100"/>
    <n v="2022"/>
    <s v="1 — OUI"/>
  </r>
  <r>
    <s v="03283"/>
    <x v="130"/>
    <s v="AEHTR"/>
    <s v="Sl"/>
    <s v="Active"/>
    <s v="Thiès"/>
    <s v="07/12/2021"/>
    <s v="06/12/2026"/>
    <n v="2021"/>
    <s v="TESORO SERVICES"/>
    <n v="100"/>
    <n v="2021"/>
    <s v="1 — OUI"/>
  </r>
  <r>
    <s v="03292"/>
    <x v="131"/>
    <s v="AECPP"/>
    <s v="Argile, latérite"/>
    <s v="Active"/>
    <s v="Thiès"/>
    <s v="15/07/2021"/>
    <s v="14/07/2026"/>
    <n v="2021"/>
    <m/>
    <m/>
    <m/>
    <s v="0 — NON"/>
  </r>
  <r>
    <s v="03299"/>
    <x v="132"/>
    <s v="AEHTR"/>
    <s v="Sl"/>
    <s v="Active"/>
    <s v="Thiès"/>
    <s v="10/06/2021"/>
    <s v="09/06/2026"/>
    <n v="2021"/>
    <m/>
    <m/>
    <m/>
    <s v="0 — NON"/>
  </r>
  <r>
    <s v="03303"/>
    <x v="133"/>
    <s v="AECPP"/>
    <s v="basalte"/>
    <s v="Active"/>
    <s v="Thiès"/>
    <s v="11/01/2022"/>
    <s v="10/01/2027"/>
    <n v="2022"/>
    <m/>
    <m/>
    <m/>
    <s v="0 — NON"/>
  </r>
  <r>
    <s v="03314"/>
    <x v="134"/>
    <s v="AEHTR"/>
    <s v="Sl"/>
    <s v="Active"/>
    <s v="Thiès"/>
    <s v="23/09/2021"/>
    <s v="22/09/2026"/>
    <n v="2021"/>
    <s v="GROUPE SOCIETE SENEGALO SUISSE DES AFFAIRES"/>
    <n v="100"/>
    <n v="2022"/>
    <s v="1 — OUI"/>
  </r>
  <r>
    <s v="03317"/>
    <x v="135"/>
    <s v="AEHTR"/>
    <s v="Sl"/>
    <s v="Active"/>
    <s v="Thiès"/>
    <s v="25/11/2022"/>
    <s v="24/11/2027"/>
    <n v="2022"/>
    <m/>
    <m/>
    <m/>
    <s v="0 — NON"/>
  </r>
  <r>
    <s v="03319"/>
    <x v="136"/>
    <s v="PR"/>
    <s v="Au"/>
    <s v="Active"/>
    <s v="Kedougou"/>
    <s v="06/03/2024"/>
    <s v="05/03/2028"/>
    <n v="2024"/>
    <s v="GLOBAL MINING OPERATIONS"/>
    <n v="100"/>
    <n v="2023"/>
    <s v="1 — OUI"/>
  </r>
  <r>
    <s v="03340"/>
    <x v="137"/>
    <s v="AEHTR"/>
    <s v="Sl"/>
    <s v="Renouvellement en Cours"/>
    <s v="Thiès"/>
    <s v="10/05/2021"/>
    <s v="09/05/2026"/>
    <n v="2021"/>
    <m/>
    <m/>
    <m/>
    <s v="0 — NON"/>
  </r>
  <r>
    <s v="03344"/>
    <x v="6"/>
    <s v="AECPP"/>
    <s v="dl"/>
    <s v="Active"/>
    <s v="Tambacounda"/>
    <s v="10/10/2020"/>
    <s v="09/10/2025"/>
    <n v="2020"/>
    <m/>
    <m/>
    <m/>
    <s v="0 — NON"/>
  </r>
  <r>
    <s v="03346"/>
    <x v="138"/>
    <s v="AEHTR"/>
    <s v="Sl"/>
    <s v="Active"/>
    <s v="Thiès"/>
    <s v="07/10/2021"/>
    <s v="06/10/2026"/>
    <n v="2021"/>
    <s v="&quot; ADAMA UNIVERSAL IMMOBILIER ET AFFAIRES &quot; ADA-SUARL"/>
    <n v="95"/>
    <n v="2025"/>
    <s v="1 — OUI"/>
  </r>
  <r>
    <s v="03347"/>
    <x v="126"/>
    <s v="AEHTR"/>
    <s v="Sl"/>
    <s v="Active"/>
    <s v="Thiès"/>
    <s v="07/12/2020"/>
    <s v="06/12/2025"/>
    <n v="2020"/>
    <m/>
    <m/>
    <m/>
    <s v="0 — NON"/>
  </r>
  <r>
    <s v="03358"/>
    <x v="139"/>
    <s v="PR"/>
    <s v="Au"/>
    <s v="Active"/>
    <s v="Kedougou"/>
    <s v="03/03/2022"/>
    <s v="02/03/2026"/>
    <n v="2022"/>
    <m/>
    <m/>
    <m/>
    <s v="0 — NON"/>
  </r>
  <r>
    <s v="03360"/>
    <x v="139"/>
    <s v="PR"/>
    <s v="Au"/>
    <s v="Active"/>
    <s v="Tambacounda"/>
    <s v="03/03/2022"/>
    <s v="02/03/2026"/>
    <n v="2022"/>
    <m/>
    <m/>
    <m/>
    <s v="0 — NON"/>
  </r>
  <r>
    <s v="03364"/>
    <x v="140"/>
    <s v="AEMSM"/>
    <s v="Au"/>
    <s v="Active"/>
    <s v="Kedougou"/>
    <s v="22/02/2022"/>
    <s v="21/02/2025"/>
    <n v="2022"/>
    <m/>
    <m/>
    <m/>
    <s v="0 — NON"/>
  </r>
  <r>
    <s v="03365"/>
    <x v="141"/>
    <s v="PR"/>
    <s v="phosphate de chaux"/>
    <s v="Active"/>
    <s v="Louga"/>
    <s v="23/02/2022"/>
    <s v="22/02/2026"/>
    <n v="2022"/>
    <m/>
    <m/>
    <m/>
    <s v="0 — NON"/>
  </r>
  <r>
    <s v="03375"/>
    <x v="142"/>
    <s v="AEHTR"/>
    <s v="Sl"/>
    <s v="Active"/>
    <s v="Thiès"/>
    <s v="22/03/2022"/>
    <s v="21/03/2027"/>
    <n v="2022"/>
    <s v="DIAMBAR IMMOBILIER"/>
    <n v="100"/>
    <n v="2022"/>
    <s v="1 — OUI"/>
  </r>
  <r>
    <s v="03379"/>
    <x v="143"/>
    <s v="AEMSM"/>
    <s v="Au"/>
    <s v="Active"/>
    <s v="Kedougou"/>
    <s v="20/07/2022"/>
    <s v="19/07/2025"/>
    <n v="2022"/>
    <s v="KEDOUGOU BUSINESS ET MINING SERVICES"/>
    <n v="95.7"/>
    <n v="2022"/>
    <s v="1 — OUI"/>
  </r>
  <r>
    <s v="03380"/>
    <x v="144"/>
    <s v="AEPM"/>
    <s v="Au"/>
    <s v="Active"/>
    <s v="Kedougou"/>
    <s v="11/01/2022"/>
    <s v="10/01/2027"/>
    <n v="2022"/>
    <s v="SOYA GOLD"/>
    <n v="100"/>
    <n v="2022"/>
    <s v="1 — OUI"/>
  </r>
  <r>
    <s v="03381"/>
    <x v="145"/>
    <s v="AEMSM"/>
    <s v="Au"/>
    <s v="Active"/>
    <s v="Kedougou"/>
    <s v="22/03/2022"/>
    <s v="21/03/2025"/>
    <n v="2022"/>
    <m/>
    <m/>
    <m/>
    <s v="0 — NON"/>
  </r>
  <r>
    <s v="03382"/>
    <x v="146"/>
    <s v="AEMSM"/>
    <s v="Au"/>
    <s v="Renouvellement en Cours"/>
    <s v="Kedougou"/>
    <s v="02/11/2009"/>
    <s v="01/11/2020"/>
    <n v="2009"/>
    <m/>
    <m/>
    <m/>
    <s v="0 — NON"/>
  </r>
  <r>
    <s v="03387"/>
    <x v="147"/>
    <s v="AEMSM"/>
    <s v="Au"/>
    <s v="Active"/>
    <s v="Kedougou"/>
    <s v="24/06/2022"/>
    <s v="23/06/2025"/>
    <n v="2022"/>
    <m/>
    <m/>
    <m/>
    <s v="0 — NON"/>
  </r>
  <r>
    <s v="03389"/>
    <x v="147"/>
    <s v="AEMSM"/>
    <s v="Au"/>
    <s v="Active"/>
    <s v="Kedougou"/>
    <s v="24/06/2022"/>
    <s v="23/06/2025"/>
    <n v="2022"/>
    <m/>
    <m/>
    <m/>
    <s v="0 — NON"/>
  </r>
  <r>
    <s v="03400"/>
    <x v="148"/>
    <s v="PR"/>
    <s v="Au"/>
    <s v="Active"/>
    <s v="Kedougou"/>
    <s v="16/08/2022"/>
    <s v="15/08/2026"/>
    <n v="2022"/>
    <m/>
    <m/>
    <m/>
    <s v="0 — NON"/>
  </r>
  <r>
    <s v="03404"/>
    <x v="86"/>
    <s v="PR"/>
    <s v="Li"/>
    <s v="Active"/>
    <s v="Kedougou"/>
    <s v="09/05/2018"/>
    <s v="08/05/2025"/>
    <n v="2018"/>
    <s v="NEW ENERGY INVESTMENT"/>
    <n v="95.5"/>
    <n v="2021"/>
    <s v="1 — OUI"/>
  </r>
  <r>
    <s v="03406"/>
    <x v="149"/>
    <s v="AEMSM"/>
    <s v="Au"/>
    <s v="Active"/>
    <s v="Kedougou"/>
    <s v="02/06/2022"/>
    <s v="01/06/2025"/>
    <n v="2022"/>
    <m/>
    <m/>
    <m/>
    <s v="0 — NON"/>
  </r>
  <r>
    <s v="03410"/>
    <x v="150"/>
    <s v="AEMSM"/>
    <s v="Au"/>
    <s v="Active"/>
    <s v="Kedougou"/>
    <s v="20/07/2022"/>
    <s v="19/07/2025"/>
    <n v="2022"/>
    <s v="MANSA GOLD CORPORATION"/>
    <n v="100"/>
    <n v="2022"/>
    <s v="1 — OUI"/>
  </r>
  <r>
    <s v="03411"/>
    <x v="151"/>
    <s v="AEMSM"/>
    <s v="Au"/>
    <s v="Active"/>
    <s v="Kedougou"/>
    <s v="23/08/2022"/>
    <s v="22/08/2025"/>
    <n v="2022"/>
    <m/>
    <m/>
    <m/>
    <s v="0 — NON"/>
  </r>
  <r>
    <s v="03419"/>
    <x v="152"/>
    <s v="PR"/>
    <s v="Au"/>
    <s v="Active"/>
    <s v="Kedougou"/>
    <s v="07/06/2022"/>
    <s v="06/06/2026"/>
    <n v="2022"/>
    <m/>
    <m/>
    <m/>
    <s v="0 — NON"/>
  </r>
  <r>
    <s v="03420"/>
    <x v="153"/>
    <s v="PR"/>
    <s v="phosphate de chaux"/>
    <s v="Active"/>
    <s v="Thiès"/>
    <s v="07/06/2022"/>
    <s v="06/06/2026"/>
    <n v="2022"/>
    <m/>
    <m/>
    <m/>
    <s v="0 — NON"/>
  </r>
  <r>
    <s v="03421"/>
    <x v="147"/>
    <s v="AEMSM"/>
    <s v="Au"/>
    <s v="Active"/>
    <s v="Kedougou"/>
    <s v="24/06/2022"/>
    <s v="23/06/2025"/>
    <n v="2022"/>
    <m/>
    <m/>
    <m/>
    <s v="0 — NON"/>
  </r>
  <r>
    <s v="03423"/>
    <x v="154"/>
    <s v="AEHTR"/>
    <s v="Sl"/>
    <s v="Active"/>
    <s v="Thiès"/>
    <s v="22/03/2022"/>
    <s v="21/03/2027"/>
    <n v="2022"/>
    <m/>
    <m/>
    <m/>
    <s v="0 — NON"/>
  </r>
  <r>
    <s v="03424"/>
    <x v="155"/>
    <s v="AEHTR"/>
    <s v="Sl"/>
    <s v="Active"/>
    <s v="Thiès"/>
    <s v="02/02/2022"/>
    <s v="01/02/2027"/>
    <n v="2022"/>
    <s v="AMATH NDIAYE INTERNATIONAL PRESTIGE (ANIP)"/>
    <n v="92.1"/>
    <n v="2022"/>
    <s v="1 — OUI"/>
  </r>
  <r>
    <s v="03427"/>
    <x v="156"/>
    <s v="AEMSM"/>
    <s v="Au"/>
    <s v="Active"/>
    <s v="Kedougou"/>
    <s v="03/06/2023"/>
    <s v="02/06/2026"/>
    <n v="2023"/>
    <s v="NDATTE YALLAH COMPAGNIE"/>
    <n v="100"/>
    <n v="2022"/>
    <s v="1 — OUI"/>
  </r>
  <r>
    <s v="03429"/>
    <x v="149"/>
    <s v="AEMSM"/>
    <s v="Au"/>
    <s v="Active"/>
    <s v="Kedougou"/>
    <s v="02/06/2022"/>
    <s v="01/06/2025"/>
    <n v="2022"/>
    <m/>
    <m/>
    <m/>
    <s v="0 — NON"/>
  </r>
  <r>
    <s v="03430"/>
    <x v="157"/>
    <s v="AEMSM"/>
    <s v="Au"/>
    <s v="Active"/>
    <s v="Kedougou"/>
    <s v="23/05/2022"/>
    <s v="22/05/2025"/>
    <n v="2022"/>
    <s v="NOGA MINE SARL"/>
    <n v="100"/>
    <n v="2023"/>
    <s v="1 — OUI"/>
  </r>
  <r>
    <s v="03431"/>
    <x v="158"/>
    <s v="ZP"/>
    <s v="Au"/>
    <s v="Active"/>
    <s v="Kedougou"/>
    <s v="23/06/2022"/>
    <s v="22/06/2032"/>
    <n v="2022"/>
    <m/>
    <m/>
    <m/>
    <s v="0 — NON"/>
  </r>
  <r>
    <s v="03432"/>
    <x v="159"/>
    <s v="AEHTR"/>
    <s v="Sl"/>
    <s v="Active"/>
    <s v="Thiès"/>
    <s v="02/02/2022"/>
    <s v="01/02/2027"/>
    <n v="2022"/>
    <m/>
    <m/>
    <m/>
    <s v="0 — NON"/>
  </r>
  <r>
    <s v="03437"/>
    <x v="158"/>
    <s v="ZP"/>
    <s v="ph a, phosphate de chaux"/>
    <s v="Active"/>
    <s v="Thiès"/>
    <s v="30/06/2022"/>
    <s v="29/06/2032"/>
    <n v="2022"/>
    <m/>
    <m/>
    <m/>
    <s v="0 — NON"/>
  </r>
  <r>
    <s v="03448"/>
    <x v="160"/>
    <s v="AEHTR"/>
    <s v="Sl"/>
    <s v="Active"/>
    <s v="Thiès"/>
    <s v="21/07/2022"/>
    <s v="20/07/2027"/>
    <n v="2022"/>
    <m/>
    <m/>
    <m/>
    <s v="0 — NON"/>
  </r>
  <r>
    <s v="03452"/>
    <x v="161"/>
    <s v="AEHTR"/>
    <s v="Sl"/>
    <s v="Active"/>
    <m/>
    <s v="22/02/2022"/>
    <s v="21/02/2027"/>
    <n v="2022"/>
    <m/>
    <m/>
    <m/>
    <s v="0 — NON"/>
  </r>
  <r>
    <s v="03463"/>
    <x v="162"/>
    <s v="AEHTR"/>
    <s v="Sl"/>
    <s v="Active"/>
    <s v="Thiès"/>
    <s v="19/04/2022"/>
    <s v="18/04/2027"/>
    <n v="2022"/>
    <m/>
    <m/>
    <m/>
    <s v="0 — NON"/>
  </r>
  <r>
    <s v="03464"/>
    <x v="163"/>
    <s v="AEHTR"/>
    <s v="Sl"/>
    <s v="Active"/>
    <s v="Thiès"/>
    <s v="25/04/2022"/>
    <s v="24/04/2027"/>
    <n v="2022"/>
    <s v="SENEGAL SILEX"/>
    <n v="100"/>
    <n v="2022"/>
    <s v="1 — OUI"/>
  </r>
  <r>
    <s v="03469"/>
    <x v="164"/>
    <s v="AEPM"/>
    <s v="Au"/>
    <s v="Active"/>
    <s v="Kedougou"/>
    <s v="10/08/2022"/>
    <s v="09/08/2027"/>
    <n v="2022"/>
    <s v="KONKOUTOU GOLD OPERATION"/>
    <n v="100"/>
    <n v="2022"/>
    <s v="1 — OUI"/>
  </r>
  <r>
    <s v="03472"/>
    <x v="165"/>
    <s v="AEHTR"/>
    <s v="Sl"/>
    <s v="Active"/>
    <s v="Thiès"/>
    <s v="08/04/2022"/>
    <s v="07/04/2027"/>
    <n v="2022"/>
    <m/>
    <m/>
    <m/>
    <s v="0 — NON"/>
  </r>
  <r>
    <s v="03473"/>
    <x v="166"/>
    <s v="PR"/>
    <s v="Au"/>
    <s v="Active"/>
    <s v="Kedougou"/>
    <s v="19/08/2022"/>
    <s v="18/08/2026"/>
    <n v="2022"/>
    <m/>
    <m/>
    <m/>
    <s v="0 — NON"/>
  </r>
  <r>
    <s v="03474"/>
    <x v="167"/>
    <s v="AEMSM"/>
    <s v="Au"/>
    <s v="Active"/>
    <s v="Kedougou"/>
    <s v="30/08/2022"/>
    <s v="29/08/2025"/>
    <n v="2022"/>
    <m/>
    <m/>
    <m/>
    <s v="0 — NON"/>
  </r>
  <r>
    <s v="03475"/>
    <x v="167"/>
    <s v="AEMSM"/>
    <s v="Au"/>
    <s v="Active"/>
    <s v="Kedougou"/>
    <s v="30/08/2022"/>
    <s v="29/08/2025"/>
    <n v="2022"/>
    <m/>
    <m/>
    <m/>
    <s v="0 — NON"/>
  </r>
  <r>
    <s v="03476"/>
    <x v="168"/>
    <s v="AECPP"/>
    <s v="Argile, calcaire, latérite"/>
    <s v="Active"/>
    <s v="Thiès"/>
    <s v="04/07/2017"/>
    <s v="05/06/2026"/>
    <n v="2017"/>
    <m/>
    <m/>
    <m/>
    <s v="0 — NON"/>
  </r>
  <r>
    <s v="03477"/>
    <x v="39"/>
    <s v="AEHTR"/>
    <s v="Sl"/>
    <s v="Active"/>
    <s v="Thiès"/>
    <s v="30/03/2022"/>
    <s v="29/03/2027"/>
    <n v="2022"/>
    <m/>
    <m/>
    <m/>
    <s v="0 — NON"/>
  </r>
  <r>
    <s v="03478"/>
    <x v="169"/>
    <s v="AECPP"/>
    <s v="basalte"/>
    <s v="Active"/>
    <s v="Tambacounda"/>
    <s v="02/02/2022"/>
    <s v="01/02/2027"/>
    <n v="2022"/>
    <m/>
    <m/>
    <m/>
    <s v="0 — NON"/>
  </r>
  <r>
    <s v="03479"/>
    <x v="170"/>
    <s v="AEHTR"/>
    <s v="Sl"/>
    <s v="Active"/>
    <s v="Thiès"/>
    <s v="11/08/2020"/>
    <s v="10/08/2025"/>
    <n v="2020"/>
    <m/>
    <m/>
    <m/>
    <s v="0 — NON"/>
  </r>
  <r>
    <s v="03484"/>
    <x v="171"/>
    <s v="AEHTR"/>
    <s v="Sl"/>
    <s v="Active"/>
    <s v="Thiès"/>
    <s v="02/02/2022"/>
    <s v="01/02/2027"/>
    <n v="2022"/>
    <m/>
    <m/>
    <m/>
    <s v="0 — NON"/>
  </r>
  <r>
    <s v="03488"/>
    <x v="119"/>
    <s v="AECPP"/>
    <s v="calcaire"/>
    <s v="Active"/>
    <s v="Thiès"/>
    <s v="10/08/2022"/>
    <s v="09/08/2027"/>
    <n v="2022"/>
    <m/>
    <m/>
    <m/>
    <s v="0 — NON"/>
  </r>
  <r>
    <s v="03489"/>
    <x v="172"/>
    <s v="AECPP"/>
    <s v="calcaire"/>
    <s v="Active"/>
    <s v="Thiès"/>
    <s v="22/08/2012"/>
    <s v="20/08/2027"/>
    <n v="2012"/>
    <m/>
    <m/>
    <m/>
    <s v="0 — NON"/>
  </r>
  <r>
    <s v="03491"/>
    <x v="173"/>
    <s v="AEHTR"/>
    <s v="Sl"/>
    <s v="Active"/>
    <s v="Thiès"/>
    <s v="13/09/2022"/>
    <s v="12/09/2027"/>
    <n v="2022"/>
    <s v="GIE &quot; CAYOR SILEX CORPORATION &quot;"/>
    <n v="92"/>
    <n v="2022"/>
    <s v="1 — OUI"/>
  </r>
  <r>
    <s v="03492"/>
    <x v="174"/>
    <s v="AEHTR"/>
    <s v="Sl"/>
    <s v="Active"/>
    <s v="Thiès"/>
    <s v="07/09/2022"/>
    <s v="06/09/2027"/>
    <n v="2022"/>
    <s v="DADICO"/>
    <n v="90.9"/>
    <n v="2024"/>
    <s v="1 — OUI"/>
  </r>
  <r>
    <s v="03493"/>
    <x v="175"/>
    <s v="PR"/>
    <s v="Li"/>
    <s v="Active"/>
    <s v="Kedougou"/>
    <s v="30/01/2023"/>
    <s v="29/01/2027"/>
    <n v="2023"/>
    <s v="SARAYA ENERGY"/>
    <n v="100"/>
    <n v="2022"/>
    <s v="1 — OUI"/>
  </r>
  <r>
    <s v="03494"/>
    <x v="150"/>
    <s v="PR"/>
    <s v="Au"/>
    <s v="Active"/>
    <s v="Kedougou"/>
    <s v="21/03/2023"/>
    <s v="20/03/2027"/>
    <n v="2023"/>
    <s v="MANSA GOLD CORPORATION"/>
    <n v="100"/>
    <n v="2022"/>
    <s v="1 — OUI"/>
  </r>
  <r>
    <s v="03500"/>
    <x v="176"/>
    <s v="AEMSM"/>
    <s v="Au"/>
    <s v="Active"/>
    <s v="Kedougou"/>
    <s v="15/03/2023"/>
    <s v="14/03/2026"/>
    <n v="2023"/>
    <s v="SYLLA COUNDA"/>
    <n v="91.7"/>
    <n v="2023"/>
    <s v="1 — OUI"/>
  </r>
  <r>
    <s v="03507"/>
    <x v="177"/>
    <s v="AEHTR"/>
    <s v="Sl"/>
    <s v="Active"/>
    <s v="Thiès"/>
    <s v="16/02/2022"/>
    <s v="15/02/2027"/>
    <n v="2022"/>
    <m/>
    <m/>
    <m/>
    <s v="0 — NON"/>
  </r>
  <r>
    <s v="03508"/>
    <x v="178"/>
    <s v="AEHTR"/>
    <s v="Sl"/>
    <s v="Active"/>
    <s v="Thiès"/>
    <s v="21/07/2022"/>
    <s v="20/07/2027"/>
    <n v="2022"/>
    <m/>
    <m/>
    <m/>
    <s v="0 — NON"/>
  </r>
  <r>
    <s v="03510"/>
    <x v="179"/>
    <s v="AEHTR"/>
    <s v="Sl"/>
    <s v="Active"/>
    <s v="Thiès"/>
    <s v="23/05/2022"/>
    <s v="22/05/2027"/>
    <n v="2022"/>
    <m/>
    <m/>
    <m/>
    <s v="0 — NON"/>
  </r>
  <r>
    <s v="03511"/>
    <x v="180"/>
    <s v="AEHTR"/>
    <s v="Sl"/>
    <s v="Active"/>
    <s v="Thiès"/>
    <s v="05/08/2022"/>
    <s v="04/08/2027"/>
    <n v="2022"/>
    <m/>
    <m/>
    <m/>
    <s v="0 — NON"/>
  </r>
  <r>
    <s v="03512"/>
    <x v="181"/>
    <s v="AECPP"/>
    <s v="basalte"/>
    <s v="Active"/>
    <s v="Kedougou"/>
    <s v="16/08/2022"/>
    <s v="15/08/2027"/>
    <n v="2022"/>
    <s v="RACKY PRESTATIONS TECHNIQUES (RPT)"/>
    <n v="93.3"/>
    <n v="2022"/>
    <s v="1 — OUI"/>
  </r>
  <r>
    <s v="03514"/>
    <x v="182"/>
    <s v="AEHTR"/>
    <s v="Sl"/>
    <s v="Active"/>
    <s v="Thiès"/>
    <s v="05/07/2022"/>
    <s v="04/07/2027"/>
    <n v="2022"/>
    <m/>
    <m/>
    <m/>
    <s v="0 — NON"/>
  </r>
  <r>
    <s v="03515"/>
    <x v="183"/>
    <s v="AEHTR"/>
    <s v="Sl"/>
    <s v="Active"/>
    <s v="Thiès"/>
    <s v="23/08/2022"/>
    <s v="22/08/2027"/>
    <n v="2022"/>
    <s v="&quot; SALAME ENTREPRISE &quot; SARL"/>
    <n v="100"/>
    <n v="2022"/>
    <s v="1 — OUI"/>
  </r>
  <r>
    <s v="03518"/>
    <x v="63"/>
    <s v="AECPP"/>
    <s v="basalte"/>
    <s v="Active"/>
    <s v="Kedougou"/>
    <s v="05/07/2022"/>
    <s v="04/07/2027"/>
    <n v="2022"/>
    <m/>
    <m/>
    <m/>
    <s v="0 — NON"/>
  </r>
  <r>
    <s v="03520"/>
    <x v="184"/>
    <s v="AECPT"/>
    <s v="sable de dune"/>
    <s v="Renouvellement en Cours"/>
    <s v="Thiès"/>
    <s v="14/02/2023"/>
    <s v="13/02/2024"/>
    <n v="2023"/>
    <m/>
    <m/>
    <m/>
    <s v="0 — NON"/>
  </r>
  <r>
    <s v="03525"/>
    <x v="185"/>
    <s v="PR"/>
    <s v="Au"/>
    <s v="Active"/>
    <s v="Kedougou"/>
    <s v="14/11/2022"/>
    <s v="13/11/2026"/>
    <n v="2022"/>
    <s v="SINTRADE"/>
    <n v="100"/>
    <n v="2022"/>
    <s v="1 — OUI"/>
  </r>
  <r>
    <s v="03527"/>
    <x v="186"/>
    <s v="AEMSM"/>
    <s v="Au"/>
    <s v="Active"/>
    <s v="Kedougou"/>
    <s v="09/12/2022"/>
    <s v="08/12/2025"/>
    <n v="2022"/>
    <m/>
    <m/>
    <m/>
    <s v="0 — NON"/>
  </r>
  <r>
    <s v="03529"/>
    <x v="187"/>
    <s v="AECPP"/>
    <s v="grès"/>
    <s v="Active"/>
    <s v="Thiès"/>
    <s v="07/09/2022"/>
    <s v="06/09/2027"/>
    <n v="2022"/>
    <m/>
    <m/>
    <m/>
    <s v="0 — NON"/>
  </r>
  <r>
    <s v="03534"/>
    <x v="188"/>
    <s v="AEMSM"/>
    <s v="Au"/>
    <s v="Active"/>
    <s v="Kedougou"/>
    <s v="24/01/2024"/>
    <s v="23/01/2027"/>
    <n v="2024"/>
    <s v="KHELKOM'S LION"/>
    <n v="100"/>
    <n v="2022"/>
    <s v="1 — OUI"/>
  </r>
  <r>
    <s v="03556"/>
    <x v="189"/>
    <s v="AECPT"/>
    <s v="sable de dune"/>
    <s v="Active"/>
    <s v="Fatick"/>
    <s v="13/12/2022"/>
    <s v="12/12/2024"/>
    <n v="2022"/>
    <m/>
    <m/>
    <m/>
    <s v="0 — NON"/>
  </r>
  <r>
    <s v="03559"/>
    <x v="190"/>
    <s v="AEHTR"/>
    <s v="Sl"/>
    <s v="Active"/>
    <s v="Thiès"/>
    <s v="07/11/2022"/>
    <s v="06/11/2027"/>
    <n v="2022"/>
    <m/>
    <m/>
    <m/>
    <s v="0 — NON"/>
  </r>
  <r>
    <s v="03560"/>
    <x v="191"/>
    <s v="AEHTR"/>
    <s v="Sl"/>
    <s v="Active"/>
    <s v="Thiès"/>
    <s v="08/11/2022"/>
    <s v="07/11/2027"/>
    <n v="2022"/>
    <s v="COMPTOIR COMMERCIAL BALLA AICHA SUARL"/>
    <n v="92.5"/>
    <n v="2022"/>
    <s v="1 — OUI"/>
  </r>
  <r>
    <s v="03563"/>
    <x v="79"/>
    <s v="AECPP"/>
    <s v="basalte"/>
    <s v="Active"/>
    <s v="Tambacounda"/>
    <s v="28/10/2022"/>
    <s v="27/10/2027"/>
    <n v="2022"/>
    <s v="AFRICA TRADE AND INVESTMENT CONSULTING (ATIC-SARL)"/>
    <n v="93.8"/>
    <n v="2023"/>
    <s v="1 — OUI"/>
  </r>
  <r>
    <s v="03566"/>
    <x v="192"/>
    <s v="AEHTR"/>
    <s v="Sl"/>
    <s v="Active"/>
    <s v="Thiès"/>
    <s v="03/11/2022"/>
    <s v="02/11/2027"/>
    <n v="2022"/>
    <m/>
    <m/>
    <m/>
    <s v="0 — NON"/>
  </r>
  <r>
    <s v="03568"/>
    <x v="185"/>
    <s v="AEMSM"/>
    <s v="Au"/>
    <s v="Active"/>
    <s v="Kedougou"/>
    <s v="25/11/2022"/>
    <s v="24/11/2025"/>
    <n v="2022"/>
    <s v="SINTRADE"/>
    <n v="100"/>
    <n v="2022"/>
    <s v="1 — OUI"/>
  </r>
  <r>
    <s v="03569"/>
    <x v="185"/>
    <s v="AEMSM"/>
    <s v="Au"/>
    <s v="Active"/>
    <s v="Kedougou"/>
    <s v="25/11/2022"/>
    <s v="24/11/2025"/>
    <n v="2022"/>
    <s v="SINTRADE"/>
    <n v="100"/>
    <n v="2022"/>
    <s v="1 — OUI"/>
  </r>
  <r>
    <s v="03570"/>
    <x v="193"/>
    <s v="AEHTR"/>
    <s v="Sl"/>
    <s v="Active"/>
    <s v="Thiès"/>
    <s v="14/11/2022"/>
    <s v="13/11/2027"/>
    <n v="2022"/>
    <s v="SOCIETE IMMOBILIERE DE CONSTRUCTION ET DE GERANCE 'SICOGER)"/>
    <n v="100"/>
    <n v="2022"/>
    <s v="1 — OUI"/>
  </r>
  <r>
    <s v="03580"/>
    <x v="140"/>
    <s v="AEMSM"/>
    <s v="Au"/>
    <s v="Active"/>
    <s v="Kedougou"/>
    <s v="27/12/2022"/>
    <s v="26/12/2025"/>
    <n v="2022"/>
    <m/>
    <m/>
    <m/>
    <s v="0 — NON"/>
  </r>
  <r>
    <s v="03581"/>
    <x v="140"/>
    <s v="AEMSM"/>
    <s v="Au"/>
    <s v="Active"/>
    <s v="Kedougou"/>
    <s v="13/12/2022"/>
    <s v="12/12/2025"/>
    <n v="2022"/>
    <m/>
    <m/>
    <m/>
    <s v="0 — NON"/>
  </r>
  <r>
    <s v="03588"/>
    <x v="194"/>
    <s v="AECPP"/>
    <s v="basalte"/>
    <s v="Active"/>
    <s v="Tambacounda"/>
    <s v="23/09/2021"/>
    <s v="22/09/2026"/>
    <n v="2021"/>
    <m/>
    <m/>
    <m/>
    <s v="0 — NON"/>
  </r>
  <r>
    <s v="03604"/>
    <x v="14"/>
    <s v="AECPP"/>
    <s v="calcaire"/>
    <s v="Active"/>
    <s v="Thiès"/>
    <s v="06/07/2021"/>
    <s v="05/07/2026"/>
    <n v="2021"/>
    <m/>
    <m/>
    <m/>
    <s v="0 — NON"/>
  </r>
  <r>
    <s v="03606"/>
    <x v="195"/>
    <s v="AEHTR"/>
    <s v="Sl"/>
    <s v="Active"/>
    <s v="Thiès"/>
    <s v="05/08/2022"/>
    <s v="04/08/2027"/>
    <n v="2022"/>
    <m/>
    <m/>
    <m/>
    <s v="0 — NON"/>
  </r>
  <r>
    <s v="03607"/>
    <x v="196"/>
    <s v="AECPP"/>
    <s v="basalte"/>
    <s v="Active"/>
    <s v="Kedougou"/>
    <s v="17/08/2022"/>
    <s v="16/08/2027"/>
    <n v="2022"/>
    <m/>
    <m/>
    <m/>
    <s v="0 — NON"/>
  </r>
  <r>
    <s v="03608"/>
    <x v="197"/>
    <s v="PR"/>
    <s v="Cu"/>
    <s v="Active"/>
    <s v="Tambacounda"/>
    <s v="05/07/2022"/>
    <s v="05/07/2026"/>
    <n v="2022"/>
    <s v="ABANDOUR GEOLINK"/>
    <n v="100"/>
    <n v="2022"/>
    <s v="1 — OUI"/>
  </r>
  <r>
    <s v="03612"/>
    <x v="198"/>
    <s v="PR"/>
    <s v="Au"/>
    <s v="Active"/>
    <s v="Kedougou"/>
    <s v="04/02/2019"/>
    <s v="03/02/2026"/>
    <n v="2019"/>
    <m/>
    <m/>
    <m/>
    <s v="0 — NON"/>
  </r>
  <r>
    <s v="03613"/>
    <x v="199"/>
    <s v="AEHTR"/>
    <s v="Sl"/>
    <s v="Active"/>
    <s v="Thiès"/>
    <s v="09/05/2023"/>
    <s v="08/05/2028"/>
    <n v="2023"/>
    <m/>
    <m/>
    <m/>
    <s v="0 — NON"/>
  </r>
  <r>
    <s v="03615"/>
    <x v="200"/>
    <s v="AECPP"/>
    <s v="basalte"/>
    <s v="Active"/>
    <s v="Kedougou"/>
    <s v="16/08/2022"/>
    <s v="15/08/2027"/>
    <n v="2022"/>
    <m/>
    <m/>
    <m/>
    <s v="0 — NON"/>
  </r>
  <r>
    <s v="03616"/>
    <x v="201"/>
    <s v="AEHTR"/>
    <s v="Sl"/>
    <s v="Active"/>
    <s v="Thiès"/>
    <s v="14/11/2022"/>
    <s v="13/11/2027"/>
    <n v="2022"/>
    <s v="NDATTE YALLAH COMPAGNIE"/>
    <n v="100"/>
    <n v="2022"/>
    <s v="1 — OUI"/>
  </r>
  <r>
    <s v="03618"/>
    <x v="140"/>
    <s v="AEMSM"/>
    <s v="Au"/>
    <s v="Active"/>
    <s v="Kedougou"/>
    <s v="13/12/2022"/>
    <s v="12/12/2025"/>
    <n v="2022"/>
    <m/>
    <m/>
    <m/>
    <s v="0 — NON"/>
  </r>
  <r>
    <s v="03621"/>
    <x v="202"/>
    <s v="AEHTR"/>
    <s v="Sl"/>
    <s v="Active"/>
    <s v="Thiès"/>
    <s v="23/12/2022"/>
    <s v="22/12/2027"/>
    <n v="2022"/>
    <m/>
    <m/>
    <m/>
    <s v="0 — NON"/>
  </r>
  <r>
    <s v="03622"/>
    <x v="167"/>
    <s v="AEHTR"/>
    <s v="Sl"/>
    <s v="Active"/>
    <s v="Thiès"/>
    <s v="06/12/2022"/>
    <s v="05/12/2027"/>
    <n v="2022"/>
    <m/>
    <m/>
    <m/>
    <s v="0 — NON"/>
  </r>
  <r>
    <s v="03623"/>
    <x v="203"/>
    <s v="AEHTR"/>
    <s v="Sl"/>
    <s v="Active"/>
    <s v="Thiès"/>
    <s v="04/01/2023"/>
    <s v="03/01/2028"/>
    <n v="2023"/>
    <m/>
    <m/>
    <m/>
    <s v="0 — NON"/>
  </r>
  <r>
    <s v="03626"/>
    <x v="204"/>
    <s v="AEHTR"/>
    <s v="Sl"/>
    <s v="Active"/>
    <s v="Thiès"/>
    <s v="23/12/2022"/>
    <s v="22/12/2027"/>
    <n v="2022"/>
    <m/>
    <m/>
    <m/>
    <s v="0 — NON"/>
  </r>
  <r>
    <s v="03630"/>
    <x v="205"/>
    <s v="AEMSM"/>
    <s v="Au"/>
    <s v="Active"/>
    <s v="Kedougou"/>
    <s v="25/04/2023"/>
    <s v="24/04/2026"/>
    <n v="2023"/>
    <s v="XINJIN ZIRCONIUM INDUSTRY"/>
    <n v="100"/>
    <n v="2022"/>
    <s v="1 — OUI"/>
  </r>
  <r>
    <s v="03632"/>
    <x v="205"/>
    <s v="AEMSM"/>
    <s v="Au"/>
    <s v="Active"/>
    <s v="Kedougou"/>
    <s v="02/02/2023"/>
    <s v="01/02/2026"/>
    <n v="2023"/>
    <s v="XINJIN ZIRCONIUM INDUSTRY"/>
    <n v="100"/>
    <n v="2022"/>
    <s v="1 — OUI"/>
  </r>
  <r>
    <s v="03634"/>
    <x v="125"/>
    <s v="PR"/>
    <s v="Au"/>
    <s v="Active"/>
    <s v="Kedougou"/>
    <s v="01/02/2023"/>
    <s v="31/01/2027"/>
    <n v="2023"/>
    <m/>
    <m/>
    <m/>
    <s v="0 — NON"/>
  </r>
  <r>
    <s v="03636"/>
    <x v="206"/>
    <s v="AEPM"/>
    <s v="Au"/>
    <s v="Active"/>
    <s v="Kedougou"/>
    <s v="16/09/2022"/>
    <s v="15/09/2027"/>
    <n v="2022"/>
    <m/>
    <m/>
    <m/>
    <s v="0 — NON"/>
  </r>
  <r>
    <s v="03641"/>
    <x v="207"/>
    <s v="AEMSM"/>
    <s v="Au"/>
    <s v="Active"/>
    <s v="Kedougou"/>
    <s v="21/03/2023"/>
    <s v="20/03/2026"/>
    <n v="2023"/>
    <s v="GOLD MINE BUSINESS"/>
    <n v="91.4"/>
    <n v="2022"/>
    <s v="1 — OUI"/>
  </r>
  <r>
    <s v="03643"/>
    <x v="156"/>
    <s v="AECPP"/>
    <s v="basalte"/>
    <s v="Active"/>
    <s v="Kedougou"/>
    <s v="09/12/2022"/>
    <s v="08/12/2027"/>
    <n v="2022"/>
    <s v="NDATTE YALLAH COMPAGNIE"/>
    <n v="100"/>
    <n v="2022"/>
    <s v="1 — OUI"/>
  </r>
  <r>
    <s v="03646"/>
    <x v="208"/>
    <s v="AEHTR"/>
    <s v="sable de dune"/>
    <s v="Active"/>
    <s v="Thiès"/>
    <s v="13/12/2019"/>
    <s v="12/12/2024"/>
    <n v="2019"/>
    <m/>
    <m/>
    <m/>
    <s v="0 — NON"/>
  </r>
  <r>
    <s v="03648"/>
    <x v="133"/>
    <s v="AECPP"/>
    <s v="basalte"/>
    <s v="Active"/>
    <s v="Thiès"/>
    <s v="25/11/2022"/>
    <s v="24/11/2027"/>
    <n v="2022"/>
    <m/>
    <m/>
    <m/>
    <s v="0 — NON"/>
  </r>
  <r>
    <s v="03649"/>
    <x v="86"/>
    <s v="AEPM"/>
    <s v="Li"/>
    <s v="Active"/>
    <s v="Kedougou"/>
    <s v="24/08/2022"/>
    <s v="23/08/2027"/>
    <n v="2022"/>
    <s v="NEW ENERGY INVESTMENT"/>
    <n v="95.5"/>
    <n v="2021"/>
    <s v="1 — OUI"/>
  </r>
  <r>
    <s v="03651"/>
    <x v="209"/>
    <s v="AEPM"/>
    <s v="ML"/>
    <s v="Active"/>
    <s v="Ziguinchor"/>
    <s v="20/02/2023"/>
    <s v="19/02/2028"/>
    <n v="2023"/>
    <m/>
    <m/>
    <m/>
    <s v="0 — NON"/>
  </r>
  <r>
    <s v="03653"/>
    <x v="210"/>
    <s v="PR"/>
    <s v="Li"/>
    <s v="Active"/>
    <s v="Kedougou"/>
    <s v="24/01/2023"/>
    <s v="23/01/2027"/>
    <n v="2023"/>
    <s v="SKDT NEW NERGY TECHNOLOGY"/>
    <n v="98"/>
    <n v="2022"/>
    <s v="1 — OUI"/>
  </r>
  <r>
    <s v="03654"/>
    <x v="210"/>
    <s v="PR"/>
    <s v="Li"/>
    <s v="Active"/>
    <s v="Tambacounda"/>
    <s v="24/01/2023"/>
    <s v="23/01/2027"/>
    <n v="2023"/>
    <s v="SKDT NEW NERGY TECHNOLOGY"/>
    <n v="98"/>
    <n v="2022"/>
    <s v="1 — OUI"/>
  </r>
  <r>
    <s v="03658"/>
    <x v="140"/>
    <s v="AEMSM"/>
    <s v="Au"/>
    <s v="Active"/>
    <s v="Kedougou"/>
    <s v="12/04/2023"/>
    <s v="11/04/2026"/>
    <n v="2023"/>
    <m/>
    <m/>
    <m/>
    <s v="0 — NON"/>
  </r>
  <r>
    <s v="03659"/>
    <x v="140"/>
    <s v="AEMSM"/>
    <s v="Au"/>
    <s v="Active"/>
    <s v="Kedougou"/>
    <s v="12/04/2023"/>
    <s v="11/04/2026"/>
    <n v="2023"/>
    <m/>
    <m/>
    <m/>
    <s v="0 — NON"/>
  </r>
  <r>
    <s v="03660"/>
    <x v="211"/>
    <s v="AEMSM"/>
    <s v="Au"/>
    <s v="Active"/>
    <s v="Kedougou"/>
    <s v="25/04/2023"/>
    <s v="24/04/2026"/>
    <n v="2023"/>
    <s v="TCHILMA BUILDING"/>
    <n v="100"/>
    <n v="2022"/>
    <s v="1 — OUI"/>
  </r>
  <r>
    <s v="03666"/>
    <x v="212"/>
    <s v="AEHTR"/>
    <s v="Sl"/>
    <s v="Active"/>
    <s v="Thiès"/>
    <s v="24/01/2020"/>
    <s v="23/01/2025"/>
    <n v="2020"/>
    <m/>
    <m/>
    <m/>
    <s v="0 — NON"/>
  </r>
  <r>
    <s v="03669"/>
    <x v="140"/>
    <s v="AEMSM"/>
    <s v="Au"/>
    <s v="Active"/>
    <s v="Kedougou"/>
    <s v="12/04/2023"/>
    <s v="11/04/2026"/>
    <n v="2023"/>
    <m/>
    <m/>
    <m/>
    <s v="0 — NON"/>
  </r>
  <r>
    <s v="03670"/>
    <x v="213"/>
    <s v="AEMSM"/>
    <s v="Au"/>
    <s v="Active"/>
    <s v="Kedougou"/>
    <s v="07/06/2022"/>
    <s v="06/06/2025"/>
    <n v="2022"/>
    <s v="YELLOW GROUND SENEGAL SAS"/>
    <n v="100"/>
    <n v="2023"/>
    <s v="1 — OUI"/>
  </r>
  <r>
    <s v="03672"/>
    <x v="214"/>
    <s v="AEHTR"/>
    <s v="Sl"/>
    <s v="Active"/>
    <s v="Thiès"/>
    <s v="31/01/2023"/>
    <s v="30/01/2028"/>
    <n v="2023"/>
    <m/>
    <m/>
    <m/>
    <s v="0 — NON"/>
  </r>
  <r>
    <s v="03674"/>
    <x v="99"/>
    <s v="AEMSM"/>
    <s v="Au"/>
    <s v="Active"/>
    <s v="Kedougou"/>
    <s v="06/03/2023"/>
    <s v="05/03/2026"/>
    <n v="2023"/>
    <s v="SAMSAM GOLD"/>
    <n v="90"/>
    <n v="2022"/>
    <s v="1 — OUI"/>
  </r>
  <r>
    <s v="03675"/>
    <x v="99"/>
    <s v="AEMSM"/>
    <s v="Au"/>
    <s v="Active"/>
    <s v="Kedougou"/>
    <s v="06/03/2023"/>
    <s v="05/03/2026"/>
    <n v="2023"/>
    <s v="SAMSAM GOLD"/>
    <n v="90"/>
    <n v="2022"/>
    <s v="1 — OUI"/>
  </r>
  <r>
    <s v="03676"/>
    <x v="215"/>
    <s v="AEHTR"/>
    <s v="Sl"/>
    <s v="Active"/>
    <s v="Thiès"/>
    <s v="04/01/2023"/>
    <s v="03/01/2028"/>
    <n v="2023"/>
    <m/>
    <m/>
    <m/>
    <s v="0 — NON"/>
  </r>
  <r>
    <s v="03677"/>
    <x v="216"/>
    <s v="AEMSM"/>
    <s v="Au"/>
    <s v="Active"/>
    <s v="Kedougou"/>
    <s v="15/03/2023"/>
    <s v="14/03/2026"/>
    <n v="2023"/>
    <s v="AGRO SENEGAL EXPORTS"/>
    <n v="90.9"/>
    <n v="2023"/>
    <s v="1 — OUI"/>
  </r>
  <r>
    <s v="03683"/>
    <x v="217"/>
    <s v="AEMSM"/>
    <s v="Au"/>
    <s v="Active"/>
    <s v="Kedougou"/>
    <s v="26/06/2023"/>
    <s v="25/06/2026"/>
    <n v="2023"/>
    <s v="BIGSAM OR"/>
    <n v="100"/>
    <n v="2023"/>
    <s v="1 — OUI"/>
  </r>
  <r>
    <s v="03691"/>
    <x v="218"/>
    <s v="PR"/>
    <s v="calcaire"/>
    <s v="Active"/>
    <s v="Thiès"/>
    <s v="17/02/2023"/>
    <s v="16/02/2027"/>
    <n v="2023"/>
    <m/>
    <m/>
    <m/>
    <s v="0 — NON"/>
  </r>
  <r>
    <s v="03693"/>
    <x v="219"/>
    <s v="AEMSM"/>
    <s v="Au"/>
    <s v="Active"/>
    <s v="Kedougou"/>
    <s v="25/04/2023"/>
    <s v="24/04/2026"/>
    <n v="2023"/>
    <m/>
    <m/>
    <m/>
    <s v="0 — NON"/>
  </r>
  <r>
    <s v="03694"/>
    <x v="220"/>
    <s v="AEMSM"/>
    <s v="Au"/>
    <s v="Active"/>
    <s v="Kedougou"/>
    <s v="25/04/2023"/>
    <s v="24/04/2026"/>
    <n v="2023"/>
    <m/>
    <m/>
    <m/>
    <s v="0 — NON"/>
  </r>
  <r>
    <s v="03697"/>
    <x v="156"/>
    <s v="AEPM"/>
    <s v="Au"/>
    <s v="Active"/>
    <s v="Kedougou"/>
    <s v="16/08/2022"/>
    <s v="15/08/2027"/>
    <n v="2022"/>
    <s v="NDATTE YALLAH COMPAGNIE"/>
    <n v="100"/>
    <n v="2022"/>
    <s v="1 — OUI"/>
  </r>
  <r>
    <s v="03702"/>
    <x v="221"/>
    <s v="PR"/>
    <s v="phosphate de chaux"/>
    <s v="Active"/>
    <s v="Matam"/>
    <s v="01/02/2023"/>
    <s v="31/01/2027"/>
    <n v="2023"/>
    <s v="WEST WIND-SA"/>
    <n v="100"/>
    <n v="2024"/>
    <s v="1 — OUI"/>
  </r>
  <r>
    <s v="03703"/>
    <x v="222"/>
    <s v="AEMSM"/>
    <s v="Au"/>
    <s v="Renouvellement en Cours"/>
    <s v="Kedougou"/>
    <s v="20/03/2018"/>
    <s v="19/03/2021"/>
    <n v="2018"/>
    <m/>
    <m/>
    <m/>
    <s v="0 — NON"/>
  </r>
  <r>
    <s v="03708"/>
    <x v="223"/>
    <s v="AEMSM"/>
    <s v="Au"/>
    <s v="Active"/>
    <s v="Kedougou"/>
    <s v="24/05/2023"/>
    <s v="23/05/2026"/>
    <n v="2023"/>
    <s v="COMPTOIR D'OR DE LA REGION ( C.OR.R)"/>
    <n v="88.1"/>
    <n v="2023"/>
    <s v="1 — OUI"/>
  </r>
  <r>
    <s v="03709"/>
    <x v="224"/>
    <s v="PR"/>
    <s v="Au"/>
    <s v="Active"/>
    <s v="Kedougou"/>
    <s v="20/02/2023"/>
    <s v="19/02/2027"/>
    <n v="2023"/>
    <s v="BIRIMA GOLD RESSOURCES"/>
    <n v="97.7"/>
    <n v="2022"/>
    <s v="1 — OUI"/>
  </r>
  <r>
    <s v="03713"/>
    <x v="225"/>
    <s v="AEMSM"/>
    <s v="Au"/>
    <s v="Active"/>
    <s v="Kedougou"/>
    <s v="14/04/2023"/>
    <s v="13/04/2026"/>
    <n v="2023"/>
    <s v="HALWAR MULTISERVICES"/>
    <n v="100"/>
    <n v="2023"/>
    <s v="1 — OUI"/>
  </r>
  <r>
    <s v="03714"/>
    <x v="226"/>
    <s v="AEMSM"/>
    <s v="Au"/>
    <s v="Active"/>
    <s v="Kedougou"/>
    <s v="06/03/2024"/>
    <s v="05/03/2027"/>
    <n v="2024"/>
    <m/>
    <m/>
    <m/>
    <s v="0 — NON"/>
  </r>
  <r>
    <s v="03720"/>
    <x v="227"/>
    <s v="PR"/>
    <s v="Au"/>
    <s v="Active"/>
    <s v="Kedougou"/>
    <s v="02/02/2023"/>
    <s v="01/02/2027"/>
    <n v="2023"/>
    <m/>
    <m/>
    <m/>
    <s v="0 — NON"/>
  </r>
  <r>
    <s v="03721"/>
    <x v="228"/>
    <s v="PR"/>
    <s v="Au"/>
    <s v="Active"/>
    <s v="Kedougou"/>
    <s v="26/09/2023"/>
    <s v="25/09/2027"/>
    <n v="2023"/>
    <s v="KEDOUGOU BUSINESS ET MINING SERVICES"/>
    <n v="95.7"/>
    <n v="2022"/>
    <s v="1 — OUI"/>
  </r>
  <r>
    <s v="03725"/>
    <x v="229"/>
    <s v="AEMSM"/>
    <s v="Au"/>
    <s v="Active"/>
    <s v="Kedougou"/>
    <s v="09/05/2023"/>
    <s v="08/05/2026"/>
    <n v="2023"/>
    <s v="SOCIETE D'EXPLOITATION DE LOGISTIQUE ET DE TRAVAUX"/>
    <n v="99"/>
    <n v="2023"/>
    <s v="1 — OUI"/>
  </r>
  <r>
    <s v="03738"/>
    <x v="230"/>
    <s v="PR"/>
    <s v="Li"/>
    <s v="Active"/>
    <s v="Kedougou"/>
    <s v="24/05/2023"/>
    <s v="23/05/2027"/>
    <n v="2023"/>
    <s v="SKDT NEW NERGY TECHNOLOGY"/>
    <n v="96"/>
    <n v="2022"/>
    <s v="1 — OUI"/>
  </r>
  <r>
    <s v="03743"/>
    <x v="104"/>
    <s v="AEPM"/>
    <s v="Au"/>
    <s v="Active"/>
    <s v="Tambacounda"/>
    <s v="12/04/2023"/>
    <s v="11/04/2028"/>
    <n v="2023"/>
    <s v="BHAIRAVA AGRICOLE"/>
    <n v="97"/>
    <n v="2022"/>
    <s v="1 — OUI"/>
  </r>
  <r>
    <s v="03746"/>
    <x v="231"/>
    <s v="AEMSM"/>
    <s v="Au"/>
    <s v="Active"/>
    <s v="Kedougou"/>
    <s v="26/06/2023"/>
    <s v="25/06/2026"/>
    <n v="2023"/>
    <s v="DIAGNE ET FRERES ( SARAYA)"/>
    <n v="93.9"/>
    <n v="2023"/>
    <s v="1 — OUI"/>
  </r>
  <r>
    <s v="03751"/>
    <x v="232"/>
    <s v="AEMSM"/>
    <s v="Au"/>
    <s v="Active"/>
    <s v="Kedougou"/>
    <s v="13/06/2023"/>
    <s v="12/06/2026"/>
    <n v="2023"/>
    <m/>
    <m/>
    <m/>
    <s v="0 — NON"/>
  </r>
  <r>
    <s v="03755"/>
    <x v="233"/>
    <s v="AEMSM"/>
    <s v="Au"/>
    <s v="Active"/>
    <s v="Kedougou"/>
    <s v="25/04/2023"/>
    <s v="24/04/2026"/>
    <n v="2023"/>
    <s v="NIANY TRANSIT"/>
    <n v="100"/>
    <n v="2023"/>
    <s v="1 — OUI"/>
  </r>
  <r>
    <s v="03756"/>
    <x v="183"/>
    <s v="AEMSM"/>
    <s v="Au"/>
    <s v="Active"/>
    <s v="Kedougou"/>
    <s v="20/06/2023"/>
    <s v="19/06/2026"/>
    <n v="2023"/>
    <s v="&quot; SALAME ENTREPRISE &quot; SARL"/>
    <n v="100"/>
    <n v="2022"/>
    <s v="1 — OUI"/>
  </r>
  <r>
    <s v="03766"/>
    <x v="234"/>
    <s v="AEPM"/>
    <s v="Au"/>
    <s v="Active"/>
    <s v="Kedougou"/>
    <s v="19/05/2024"/>
    <s v="18/05/2029"/>
    <n v="2024"/>
    <m/>
    <m/>
    <m/>
    <s v="0 — NON"/>
  </r>
  <r>
    <s v="03769"/>
    <x v="235"/>
    <s v="AEMSM"/>
    <s v="Au"/>
    <s v="Active"/>
    <s v="Kedougou"/>
    <s v="24/05/2024"/>
    <s v="23/05/2027"/>
    <n v="2024"/>
    <s v="FAKMOZ"/>
    <n v="100"/>
    <n v="2023"/>
    <s v="1 — OUI"/>
  </r>
  <r>
    <s v="03772"/>
    <x v="236"/>
    <s v="PR"/>
    <s v="gypse"/>
    <s v="Active"/>
    <s v="Thiès"/>
    <s v="25/08/2021"/>
    <s v="24/08/2025"/>
    <n v="2021"/>
    <m/>
    <m/>
    <m/>
    <s v="0 — NON"/>
  </r>
  <r>
    <s v="03777"/>
    <x v="237"/>
    <s v="AEMSM"/>
    <s v="Au"/>
    <s v="Active"/>
    <s v="Tambacounda"/>
    <s v="10/07/2023"/>
    <s v="09/07/2026"/>
    <n v="2023"/>
    <m/>
    <m/>
    <m/>
    <s v="0 — NON"/>
  </r>
  <r>
    <s v="03785"/>
    <x v="238"/>
    <s v="AEMSM"/>
    <s v="Au"/>
    <s v="Active"/>
    <s v="Kedougou"/>
    <s v="13/06/2023"/>
    <s v="12/06/2026"/>
    <n v="2023"/>
    <m/>
    <m/>
    <m/>
    <s v="0 — NON"/>
  </r>
  <r>
    <s v="03786"/>
    <x v="239"/>
    <s v="PR"/>
    <s v="Au"/>
    <s v="Active"/>
    <s v="Tambacounda"/>
    <s v="26/09/2023"/>
    <s v="25/09/2027"/>
    <n v="2023"/>
    <s v="IMPERATOR RESOURCE"/>
    <n v="100"/>
    <n v="2023"/>
    <s v="1 — OUI"/>
  </r>
  <r>
    <s v="03789"/>
    <x v="240"/>
    <s v="AEMSM"/>
    <s v="Au"/>
    <s v="Active"/>
    <s v="Kedougou"/>
    <s v="24/05/2023"/>
    <s v="23/05/2026"/>
    <n v="2023"/>
    <m/>
    <m/>
    <m/>
    <s v="0 — NON"/>
  </r>
  <r>
    <s v="03790"/>
    <x v="241"/>
    <s v="PR"/>
    <s v="Li"/>
    <s v="Active"/>
    <s v="Kedougou"/>
    <s v="24/05/2023"/>
    <s v="23/05/2027"/>
    <n v="2023"/>
    <s v="HLNT SENEGAL"/>
    <n v="100"/>
    <n v="2023"/>
    <s v="1 — OUI"/>
  </r>
  <r>
    <s v="03791"/>
    <x v="242"/>
    <s v="AEPM"/>
    <s v="phosphate de chaux"/>
    <s v="Active"/>
    <s v="Matam"/>
    <s v="02/02/2022"/>
    <s v="01/02/2027"/>
    <n v="2022"/>
    <m/>
    <m/>
    <m/>
    <s v="0 — NON"/>
  </r>
  <r>
    <s v="03802"/>
    <x v="243"/>
    <s v="AECPP"/>
    <s v="basalte"/>
    <s v="Active"/>
    <s v="Thiès"/>
    <s v="19/05/2023"/>
    <s v="18/05/2028"/>
    <n v="2023"/>
    <m/>
    <m/>
    <m/>
    <s v="0 — NON"/>
  </r>
  <r>
    <s v="03806"/>
    <x v="244"/>
    <s v="PR"/>
    <s v="Au"/>
    <s v="Active"/>
    <s v="Kedougou"/>
    <s v="05/07/2023"/>
    <s v="04/07/2027"/>
    <n v="2023"/>
    <m/>
    <m/>
    <m/>
    <s v="0 — NON"/>
  </r>
  <r>
    <s v="03822"/>
    <x v="245"/>
    <s v="PR"/>
    <s v="Au"/>
    <s v="Active"/>
    <s v="Kedougou"/>
    <s v="06/07/2023"/>
    <s v="05/07/2027"/>
    <n v="2023"/>
    <m/>
    <m/>
    <m/>
    <s v="0 — NON"/>
  </r>
  <r>
    <s v="03824"/>
    <x v="27"/>
    <s v="PR"/>
    <s v="ML"/>
    <s v="Active"/>
    <s v="Saint Louis"/>
    <s v="05/07/2023"/>
    <s v="04/07/2027"/>
    <n v="2023"/>
    <m/>
    <m/>
    <m/>
    <s v="0 — NON"/>
  </r>
  <r>
    <s v="03831"/>
    <x v="79"/>
    <s v="AECPP"/>
    <s v="basalte"/>
    <s v="Active"/>
    <s v="Thiès"/>
    <s v="15/09/2023"/>
    <s v="14/09/2028"/>
    <n v="2023"/>
    <s v="AFRICA TRADE AND INVESTMENT CONSULTING (ATIC-SARL)"/>
    <n v="93.8"/>
    <n v="2023"/>
    <s v="1 — OUI"/>
  </r>
  <r>
    <s v="03836"/>
    <x v="246"/>
    <s v="PE"/>
    <s v="calcaire, substance connexes"/>
    <s v="Active"/>
    <s v="Thiès"/>
    <s v="31/05/2022"/>
    <s v="30/05/2042"/>
    <n v="2022"/>
    <m/>
    <m/>
    <m/>
    <s v="0 — NON"/>
  </r>
  <r>
    <s v="03840"/>
    <x v="247"/>
    <s v="AEHTR"/>
    <s v="Sl"/>
    <s v="Active"/>
    <s v="Thiès"/>
    <s v="13/06/2023"/>
    <s v="12/06/2028"/>
    <n v="2023"/>
    <m/>
    <m/>
    <m/>
    <s v="0 — NON"/>
  </r>
  <r>
    <s v="03841"/>
    <x v="248"/>
    <s v="AEHTR"/>
    <s v="Sl"/>
    <s v="Active"/>
    <s v="Thiès"/>
    <s v="13/06/2023"/>
    <s v="12/06/2028"/>
    <n v="2023"/>
    <m/>
    <m/>
    <m/>
    <s v="0 — NON"/>
  </r>
  <r>
    <s v="03843"/>
    <x v="249"/>
    <s v="AEHTR"/>
    <s v="Sl"/>
    <s v="Active"/>
    <s v="Thiès"/>
    <s v="10/07/2023"/>
    <s v="09/07/2028"/>
    <n v="2023"/>
    <m/>
    <m/>
    <m/>
    <s v="0 — NON"/>
  </r>
  <r>
    <s v="03847"/>
    <x v="250"/>
    <s v="PR"/>
    <s v="diamant"/>
    <s v="Active"/>
    <s v="Kedougou"/>
    <s v="10/07/2023"/>
    <s v="09/07/2027"/>
    <n v="2023"/>
    <s v="SYFARO MINING COMPANY"/>
    <n v="85"/>
    <n v="2022"/>
    <s v="1 — OUI"/>
  </r>
  <r>
    <s v="03848"/>
    <x v="251"/>
    <s v="AECPP"/>
    <s v="calcaire"/>
    <s v="Active"/>
    <s v="Thiès"/>
    <s v="26/06/2023"/>
    <s v="25/06/2028"/>
    <n v="2023"/>
    <m/>
    <m/>
    <m/>
    <s v="0 — NON"/>
  </r>
  <r>
    <s v="03849"/>
    <x v="252"/>
    <s v="AECPP"/>
    <s v="calcaire"/>
    <s v="Active"/>
    <s v="Thiès"/>
    <s v="27/06/2023"/>
    <s v="26/06/2028"/>
    <n v="2023"/>
    <m/>
    <m/>
    <m/>
    <s v="0 — NON"/>
  </r>
  <r>
    <s v="03855"/>
    <x v="253"/>
    <s v="AEPM"/>
    <s v="Au"/>
    <s v="Active"/>
    <s v="Tambacounda"/>
    <s v="07/08/2023"/>
    <s v="06/08/2028"/>
    <n v="2023"/>
    <m/>
    <m/>
    <m/>
    <s v="0 — NON"/>
  </r>
  <r>
    <s v="03857"/>
    <x v="254"/>
    <s v="AEMSM"/>
    <s v="Au"/>
    <s v="Active"/>
    <s v="Kedougou"/>
    <s v="07/02/2024"/>
    <s v="06/02/2027"/>
    <n v="2024"/>
    <s v="BINKHANTO BAITOULAYE"/>
    <n v="100"/>
    <n v="2023"/>
    <s v="1 — OUI"/>
  </r>
  <r>
    <s v="03864"/>
    <x v="255"/>
    <s v="AEMSM"/>
    <s v="Au"/>
    <s v="Active"/>
    <s v="Kedougou"/>
    <s v="25/09/2023"/>
    <s v="24/09/2026"/>
    <n v="2023"/>
    <m/>
    <m/>
    <m/>
    <s v="0 — NON"/>
  </r>
  <r>
    <s v="03868"/>
    <x v="256"/>
    <s v="AEMSM"/>
    <s v="Au"/>
    <s v="Active"/>
    <s v="Kedougou"/>
    <s v="27/07/2023"/>
    <s v="26/07/2026"/>
    <n v="2023"/>
    <m/>
    <m/>
    <m/>
    <s v="0 — NON"/>
  </r>
  <r>
    <s v="03873"/>
    <x v="257"/>
    <s v="AEMSM"/>
    <s v="Au"/>
    <s v="Active"/>
    <s v="Tambacounda"/>
    <s v="31/08/2023"/>
    <s v="30/08/2026"/>
    <n v="2023"/>
    <s v="ETE MINING"/>
    <n v="100"/>
    <n v="2023"/>
    <s v="1 — OUI"/>
  </r>
  <r>
    <s v="03876"/>
    <x v="258"/>
    <s v="AEMSM"/>
    <s v="Au"/>
    <s v="Active"/>
    <s v="Kedougou"/>
    <s v="08/01/2024"/>
    <s v="07/01/2027"/>
    <n v="2024"/>
    <m/>
    <m/>
    <m/>
    <s v="0 — NON"/>
  </r>
  <r>
    <s v="03879"/>
    <x v="259"/>
    <s v="AECPP"/>
    <s v="basalte"/>
    <s v="Active"/>
    <s v="Thiès"/>
    <s v="31/08/2023"/>
    <s v="30/08/2028"/>
    <n v="2023"/>
    <m/>
    <m/>
    <m/>
    <s v="0 — NON"/>
  </r>
  <r>
    <s v="03880"/>
    <x v="133"/>
    <s v="AECPP"/>
    <s v="basalte"/>
    <s v="Active"/>
    <s v="Thiès"/>
    <s v="15/09/2023"/>
    <s v="14/09/2028"/>
    <n v="2023"/>
    <m/>
    <m/>
    <m/>
    <s v="0 — NON"/>
  </r>
  <r>
    <s v="03881"/>
    <x v="260"/>
    <s v="AECPP"/>
    <s v="basalte"/>
    <s v="Active"/>
    <s v="Thiès"/>
    <s v="15/09/2023"/>
    <s v="14/09/2028"/>
    <n v="2023"/>
    <m/>
    <m/>
    <m/>
    <s v="0 — NON"/>
  </r>
  <r>
    <s v="03894"/>
    <x v="261"/>
    <s v="AEMSM"/>
    <s v="Au"/>
    <s v="Active"/>
    <s v="Kedougou"/>
    <s v="06/06/2023"/>
    <s v="05/06/2026"/>
    <n v="2023"/>
    <s v="X.W.O"/>
    <n v="100"/>
    <n v="2023"/>
    <s v="1 — OUI"/>
  </r>
  <r>
    <s v="03898"/>
    <x v="262"/>
    <s v="AEHTR"/>
    <s v="Sl"/>
    <s v="Active"/>
    <s v="Thiès"/>
    <s v="31/08/2023"/>
    <s v="30/08/2028"/>
    <n v="2023"/>
    <m/>
    <m/>
    <m/>
    <s v="0 — NON"/>
  </r>
  <r>
    <s v="03900"/>
    <x v="263"/>
    <s v="AEHTR"/>
    <s v="Sl"/>
    <s v="Active"/>
    <s v="Thiès"/>
    <s v="07/08/2023"/>
    <s v="06/08/2028"/>
    <n v="2023"/>
    <m/>
    <m/>
    <m/>
    <s v="0 — NON"/>
  </r>
  <r>
    <s v="03909"/>
    <x v="200"/>
    <s v="AEHTR"/>
    <s v="Sl"/>
    <s v="Active"/>
    <s v="Thiès"/>
    <s v="07/08/2023"/>
    <s v="06/08/2028"/>
    <n v="2023"/>
    <m/>
    <m/>
    <m/>
    <s v="0 — NON"/>
  </r>
  <r>
    <s v="03910"/>
    <x v="264"/>
    <s v="AEMSM"/>
    <s v="Au"/>
    <s v="Active"/>
    <s v="Kedougou"/>
    <s v="03/10/2023"/>
    <s v="02/10/2026"/>
    <n v="2023"/>
    <m/>
    <m/>
    <m/>
    <s v="0 — NON"/>
  </r>
  <r>
    <s v="03918"/>
    <x v="265"/>
    <s v="AECPT"/>
    <s v="grès"/>
    <s v="Active"/>
    <s v="Kedougou"/>
    <s v="18/09/2023"/>
    <s v="17/09/2025"/>
    <n v="2023"/>
    <m/>
    <m/>
    <m/>
    <s v="0 — NON"/>
  </r>
  <r>
    <s v="03921"/>
    <x v="266"/>
    <s v="AEMSM"/>
    <s v="Au"/>
    <s v="Active"/>
    <s v="Kedougou"/>
    <s v="27/09/2023"/>
    <s v="26/09/2026"/>
    <n v="2023"/>
    <m/>
    <m/>
    <m/>
    <s v="0 — NON"/>
  </r>
  <r>
    <s v="03922"/>
    <x v="266"/>
    <s v="AEMSM"/>
    <s v="Au"/>
    <s v="Active"/>
    <s v="Kedougou"/>
    <s v="27/09/2023"/>
    <s v="26/09/2026"/>
    <n v="2023"/>
    <m/>
    <m/>
    <m/>
    <s v="0 — NON"/>
  </r>
  <r>
    <s v="03923"/>
    <x v="264"/>
    <s v="AEMSM"/>
    <s v="Au"/>
    <s v="Active"/>
    <s v="Kedougou"/>
    <s v="03/10/2023"/>
    <s v="02/10/2026"/>
    <n v="2023"/>
    <m/>
    <m/>
    <m/>
    <s v="0 — NON"/>
  </r>
  <r>
    <s v="03925"/>
    <x v="267"/>
    <s v="AEMSM"/>
    <s v="Au"/>
    <s v="Active"/>
    <s v="Tambacounda"/>
    <s v="14/07/2023"/>
    <s v="13/07/2026"/>
    <n v="2023"/>
    <m/>
    <m/>
    <m/>
    <s v="0 — NON"/>
  </r>
  <r>
    <s v="03930"/>
    <x v="268"/>
    <s v="AEMSM"/>
    <s v="Au"/>
    <s v="Active"/>
    <s v="Kedougou"/>
    <s v="20/09/2023"/>
    <s v="19/09/2026"/>
    <n v="2023"/>
    <s v="TRIYANGS INTERNATIONAL MINING GROUP"/>
    <n v="100"/>
    <n v="2021"/>
    <s v="1 — OUI"/>
  </r>
  <r>
    <s v="03932"/>
    <x v="252"/>
    <s v="AECPP"/>
    <s v="calcaire"/>
    <s v="Active"/>
    <s v="Thiès"/>
    <s v="27/09/2023"/>
    <s v="26/09/2028"/>
    <n v="2023"/>
    <m/>
    <m/>
    <m/>
    <s v="0 — NON"/>
  </r>
  <r>
    <s v="03941"/>
    <x v="269"/>
    <s v="AEMSM"/>
    <s v="Au"/>
    <s v="Active"/>
    <s v="Kedougou"/>
    <s v="03/01/2024"/>
    <s v="02/01/2027"/>
    <n v="2024"/>
    <m/>
    <m/>
    <m/>
    <s v="0 — NON"/>
  </r>
  <r>
    <s v="03942"/>
    <x v="269"/>
    <s v="AEMSM"/>
    <s v="Au"/>
    <s v="Active"/>
    <s v="Kedougou"/>
    <s v="15/12/2023"/>
    <s v="14/12/2026"/>
    <n v="2023"/>
    <m/>
    <m/>
    <m/>
    <s v="0 — NON"/>
  </r>
  <r>
    <s v="03958"/>
    <x v="244"/>
    <s v="AEPM"/>
    <s v="Au"/>
    <s v="Active"/>
    <s v="Kedougou"/>
    <s v="25/10/2023"/>
    <s v="24/10/2028"/>
    <n v="2023"/>
    <m/>
    <m/>
    <m/>
    <s v="0 — NON"/>
  </r>
  <r>
    <s v="03959"/>
    <x v="244"/>
    <s v="AEPM"/>
    <s v="Au"/>
    <s v="Active"/>
    <s v="Kedougou"/>
    <s v="27/10/2023"/>
    <s v="26/10/2028"/>
    <n v="2023"/>
    <m/>
    <m/>
    <m/>
    <s v="0 — NON"/>
  </r>
  <r>
    <s v="03960"/>
    <x v="270"/>
    <s v="AEPM"/>
    <s v="phosphate de chaux"/>
    <s v="Active"/>
    <s v="Thiès"/>
    <s v="25/10/2023"/>
    <s v="24/10/2028"/>
    <n v="2023"/>
    <s v="SOCIETE SENEGALAISE DE PHOSPHATES DE THIES (SSPT)"/>
    <n v="93.3"/>
    <n v="2023"/>
    <s v="1 — OUI"/>
  </r>
  <r>
    <s v="03969"/>
    <x v="271"/>
    <s v="AEMSM"/>
    <s v="Au"/>
    <s v="Active"/>
    <s v="Tambacounda"/>
    <s v="15/03/2024"/>
    <s v="14/03/2027"/>
    <n v="2024"/>
    <m/>
    <m/>
    <m/>
    <s v="0 — NON"/>
  </r>
  <r>
    <s v="03970"/>
    <x v="272"/>
    <s v="AEMSM"/>
    <s v="Au"/>
    <s v="Active"/>
    <s v="Kedougou"/>
    <s v="06/11/2023"/>
    <s v="05/11/2026"/>
    <n v="2023"/>
    <s v="AMSA GROUP AFRICA SA"/>
    <n v="97.1"/>
    <n v="2025"/>
    <s v="1 — OUI"/>
  </r>
  <r>
    <s v="03971"/>
    <x v="267"/>
    <s v="AEMSM"/>
    <s v="Au"/>
    <s v="Active"/>
    <s v="Tambacounda"/>
    <s v="14/07/2023"/>
    <s v="13/07/2026"/>
    <n v="2023"/>
    <m/>
    <m/>
    <m/>
    <s v="0 — NON"/>
  </r>
  <r>
    <s v="03973"/>
    <x v="267"/>
    <s v="AEMSM"/>
    <s v="Au"/>
    <s v="Active"/>
    <s v="Tambacounda"/>
    <s v="14/07/2023"/>
    <s v="13/07/2026"/>
    <n v="2023"/>
    <m/>
    <m/>
    <m/>
    <s v="0 — NON"/>
  </r>
  <r>
    <s v="03989"/>
    <x v="149"/>
    <s v="AECPP"/>
    <s v="grès"/>
    <s v="Active"/>
    <s v="Thiès"/>
    <s v="29/12/2023"/>
    <s v="28/12/2028"/>
    <n v="2023"/>
    <m/>
    <m/>
    <m/>
    <s v="0 — NON"/>
  </r>
  <r>
    <s v="03993"/>
    <x v="273"/>
    <s v="AEHTR"/>
    <s v="Sl"/>
    <s v="Active"/>
    <s v="Thiès"/>
    <s v="29/11/2023"/>
    <s v="28/11/2028"/>
    <n v="2023"/>
    <m/>
    <m/>
    <m/>
    <s v="0 — NON"/>
  </r>
  <r>
    <s v="03994"/>
    <x v="274"/>
    <s v="AECPT"/>
    <s v="sable de dune"/>
    <s v="Active"/>
    <s v="Thiès"/>
    <s v="26/12/2023"/>
    <s v="25/12/2024"/>
    <n v="2023"/>
    <s v="GUEYE &amp; FRERES THIORO TRANSPORT&quot; G.F.2T"/>
    <n v="90.4"/>
    <n v="2022"/>
    <s v="1 — OUI"/>
  </r>
  <r>
    <s v="03995"/>
    <x v="275"/>
    <s v="AEHTR"/>
    <s v="Sl"/>
    <s v="Active"/>
    <s v="Thiès"/>
    <s v="25/09/2023"/>
    <s v="24/09/2028"/>
    <n v="2023"/>
    <m/>
    <m/>
    <m/>
    <s v="0 — NON"/>
  </r>
  <r>
    <s v="03999"/>
    <x v="276"/>
    <s v="AEHTR"/>
    <s v="Sl"/>
    <s v="Active"/>
    <s v="Thiès"/>
    <s v="03/10/2023"/>
    <s v="02/10/2028"/>
    <n v="2023"/>
    <m/>
    <m/>
    <m/>
    <s v="0 — NON"/>
  </r>
  <r>
    <s v="04000"/>
    <x v="277"/>
    <s v="AECPT"/>
    <s v="latérite"/>
    <s v="Active"/>
    <s v="Thiès"/>
    <s v="11/12/2023"/>
    <s v="10/12/2024"/>
    <n v="2023"/>
    <m/>
    <m/>
    <m/>
    <s v="0 — NON"/>
  </r>
  <r>
    <s v="04001"/>
    <x v="278"/>
    <s v="AEHTR"/>
    <s v="Sl"/>
    <s v="Active"/>
    <s v="Thiès"/>
    <s v="26/09/2023"/>
    <s v="25/09/2028"/>
    <n v="2023"/>
    <m/>
    <m/>
    <m/>
    <s v="0 — NON"/>
  </r>
  <r>
    <s v="04004"/>
    <x v="66"/>
    <s v="PR"/>
    <s v="Au"/>
    <s v="Active"/>
    <s v="Kedougou"/>
    <s v="30/11/2023"/>
    <s v="29/11/2027"/>
    <n v="2023"/>
    <s v="SABODALA MINING COMPANY SARL"/>
    <n v="100"/>
    <n v="2023"/>
    <s v="1 — OUI"/>
  </r>
  <r>
    <s v="04006"/>
    <x v="279"/>
    <s v="AEMSM"/>
    <s v="Au"/>
    <s v="Active"/>
    <s v="Kedougou"/>
    <s v="27/12/2023"/>
    <s v="26/12/2026"/>
    <n v="2023"/>
    <m/>
    <m/>
    <m/>
    <s v="0 — NON"/>
  </r>
  <r>
    <s v="04009"/>
    <x v="280"/>
    <s v="AEMSM"/>
    <s v="Au"/>
    <s v="Active"/>
    <s v="Tambacounda"/>
    <s v="31/10/2023"/>
    <s v="30/10/2026"/>
    <n v="2023"/>
    <m/>
    <m/>
    <m/>
    <s v="0 — NON"/>
  </r>
  <r>
    <s v="04011"/>
    <x v="281"/>
    <s v="AEHTR"/>
    <s v="Sl"/>
    <s v="Active"/>
    <s v="Thiès"/>
    <s v="22/11/2023"/>
    <s v="21/11/2028"/>
    <n v="2023"/>
    <m/>
    <m/>
    <m/>
    <s v="0 — NON"/>
  </r>
  <r>
    <s v="04021"/>
    <x v="272"/>
    <s v="AEMSM"/>
    <s v="Au"/>
    <s v="Active"/>
    <s v="Kedougou"/>
    <s v="07/12/2023"/>
    <s v="06/12/2026"/>
    <n v="2023"/>
    <s v="AMSA GROUP AFRICA SA"/>
    <n v="97.1"/>
    <n v="2025"/>
    <s v="1 — OUI"/>
  </r>
  <r>
    <s v="04024"/>
    <x v="282"/>
    <s v="AECPT"/>
    <s v="sable de dune"/>
    <s v="Active"/>
    <s v="Thiès"/>
    <s v="07/12/2023"/>
    <s v="06/12/2024"/>
    <n v="2023"/>
    <m/>
    <m/>
    <m/>
    <s v="0 — NON"/>
  </r>
  <r>
    <s v="04029"/>
    <x v="283"/>
    <s v="PR"/>
    <s v="Au"/>
    <s v="Active"/>
    <s v="Kedougou"/>
    <s v="29/11/2023"/>
    <s v="28/11/2027"/>
    <n v="2023"/>
    <s v="&quot;GRACE GOLD COMPANY SENEGAL&quot;"/>
    <n v="100"/>
    <n v="2023"/>
    <s v="1 — OUI"/>
  </r>
  <r>
    <s v="04030"/>
    <x v="284"/>
    <s v="AEPM"/>
    <s v="phosphate de chaux"/>
    <s v="Active"/>
    <s v="Matam"/>
    <s v="03/01/2024"/>
    <s v="02/01/2029"/>
    <n v="2024"/>
    <s v="KANEL RESOURCES SARL"/>
    <n v="100"/>
    <n v="2023"/>
    <s v="1 — OUI"/>
  </r>
  <r>
    <s v="04031"/>
    <x v="284"/>
    <s v="AEPM"/>
    <s v="phosphate de chaux"/>
    <s v="Active"/>
    <s v="Matam"/>
    <s v="03/01/2024"/>
    <s v="02/01/2029"/>
    <n v="2024"/>
    <s v="KANEL RESOURCES SARL"/>
    <n v="100"/>
    <n v="2023"/>
    <s v="1 — OUI"/>
  </r>
  <r>
    <s v="04032"/>
    <x v="285"/>
    <s v="AECPT"/>
    <s v="sable de dune"/>
    <s v="Active"/>
    <s v="Dakar"/>
    <s v="08/12/2023"/>
    <s v="07/12/2024"/>
    <n v="2023"/>
    <m/>
    <m/>
    <m/>
    <s v="0 — NON"/>
  </r>
  <r>
    <s v="04033"/>
    <x v="285"/>
    <s v="AECPT"/>
    <s v="sable de dune"/>
    <s v="Active"/>
    <s v="Dakar"/>
    <s v="08/12/2023"/>
    <s v="07/12/2024"/>
    <n v="2023"/>
    <m/>
    <m/>
    <m/>
    <s v="0 — NON"/>
  </r>
  <r>
    <s v="04045"/>
    <x v="14"/>
    <s v="AECPP"/>
    <s v="Argile"/>
    <s v="Active"/>
    <s v="Tambacounda"/>
    <s v="27/05/2022"/>
    <s v="26/05/2027"/>
    <n v="2022"/>
    <m/>
    <m/>
    <m/>
    <s v="0 — NON"/>
  </r>
  <r>
    <s v="04047"/>
    <x v="286"/>
    <s v="AECPP"/>
    <s v="calcaire"/>
    <s v="Active"/>
    <s v="Thiès"/>
    <s v="01/10/2021"/>
    <s v="30/09/2026"/>
    <n v="2021"/>
    <m/>
    <m/>
    <m/>
    <s v="0 — NON"/>
  </r>
  <r>
    <s v="04054"/>
    <x v="287"/>
    <s v="AECPP"/>
    <s v="calcaire"/>
    <s v="Active"/>
    <s v="Thiès"/>
    <s v="10/02/2022"/>
    <s v="09/02/2027"/>
    <n v="2022"/>
    <s v="SEN-STONES"/>
    <n v="100"/>
    <n v="2022"/>
    <s v="1 — OUI"/>
  </r>
  <r>
    <s v="04055"/>
    <x v="4"/>
    <s v="AECPP"/>
    <s v="basalte"/>
    <s v="Active"/>
    <s v="Thiès"/>
    <s v="29/06/2018"/>
    <s v="27/06/2028"/>
    <n v="2018"/>
    <m/>
    <m/>
    <m/>
    <s v="0 — NON"/>
  </r>
  <r>
    <s v="04057"/>
    <x v="5"/>
    <s v="AECPP"/>
    <s v="basalte"/>
    <s v="Active"/>
    <s v="Thiès"/>
    <s v="14/11/2022"/>
    <s v="13/11/2027"/>
    <n v="2022"/>
    <m/>
    <m/>
    <m/>
    <s v="0 — NON"/>
  </r>
  <r>
    <s v="04058"/>
    <x v="14"/>
    <s v="AECPP"/>
    <s v="Argile"/>
    <s v="Active"/>
    <s v="Tambacounda"/>
    <s v="27/05/2022"/>
    <s v="26/05/2027"/>
    <n v="2022"/>
    <m/>
    <m/>
    <m/>
    <s v="0 — NON"/>
  </r>
  <r>
    <s v="04062"/>
    <x v="288"/>
    <s v="AECPT"/>
    <s v="sable de dune"/>
    <s v="Active"/>
    <s v="Thiès"/>
    <s v="26/01/2024"/>
    <s v="25/01/2025"/>
    <n v="2024"/>
    <m/>
    <m/>
    <m/>
    <s v="0 — NON"/>
  </r>
  <r>
    <s v="04063"/>
    <x v="289"/>
    <s v="AEMSM"/>
    <s v="Au"/>
    <s v="Active"/>
    <s v="Kedougou"/>
    <s v="29/12/2023"/>
    <s v="28/12/2026"/>
    <n v="2023"/>
    <s v="AFRICA GLOBAL GEOINGENIERIE (A2G)"/>
    <n v="93.1"/>
    <n v="2023"/>
    <s v="1 — OUI"/>
  </r>
  <r>
    <s v="04065"/>
    <x v="290"/>
    <s v="AEPM"/>
    <s v="Au"/>
    <s v="Active"/>
    <s v="Kedougou"/>
    <s v="17/01/2024"/>
    <s v="16/01/2029"/>
    <n v="2024"/>
    <s v="JAMOMINING"/>
    <n v="100"/>
    <n v="2022"/>
    <s v="1 — OUI"/>
  </r>
  <r>
    <s v="04066"/>
    <x v="253"/>
    <s v="AEPM"/>
    <s v="Mn"/>
    <s v="Active"/>
    <s v="Tambacounda"/>
    <s v="17/01/2024"/>
    <s v="16/01/2029"/>
    <n v="2024"/>
    <m/>
    <m/>
    <m/>
    <s v="0 — NON"/>
  </r>
  <r>
    <s v="04067"/>
    <x v="291"/>
    <s v="AEHTR"/>
    <s v="Sl"/>
    <s v="Active"/>
    <s v="Thiès"/>
    <s v="07/11/2022"/>
    <s v="06/11/2027"/>
    <n v="2022"/>
    <s v="MEDY INDUSTRIES MODERNES SARL"/>
    <n v="100"/>
    <n v="2022"/>
    <s v="1 — OUI"/>
  </r>
  <r>
    <s v="04070"/>
    <x v="292"/>
    <s v="AECPT"/>
    <s v="sable de dune"/>
    <s v="Active"/>
    <s v="Saint Louis"/>
    <s v="01/02/2024"/>
    <s v="31/01/2025"/>
    <n v="2024"/>
    <m/>
    <m/>
    <m/>
    <s v="0 — NON"/>
  </r>
  <r>
    <s v="04071"/>
    <x v="293"/>
    <s v="AECPP"/>
    <s v="basalte"/>
    <s v="Active"/>
    <s v="Thiès"/>
    <s v="15/03/2023"/>
    <s v="14/03/2028"/>
    <n v="2023"/>
    <m/>
    <m/>
    <m/>
    <s v="0 — NON"/>
  </r>
  <r>
    <s v="04072"/>
    <x v="294"/>
    <s v="AECPT"/>
    <s v="latérite"/>
    <s v="Active"/>
    <s v="Thiès"/>
    <s v="14/02/2024"/>
    <s v="13/02/2025"/>
    <n v="2024"/>
    <m/>
    <m/>
    <m/>
    <s v="0 — NON"/>
  </r>
  <r>
    <s v="04074"/>
    <x v="295"/>
    <s v="AEPM"/>
    <s v="phosphate de chaux"/>
    <s v="Active"/>
    <s v="Thiès"/>
    <s v="17/01/2024"/>
    <s v="16/01/2029"/>
    <n v="2024"/>
    <m/>
    <m/>
    <m/>
    <s v="0 — NON"/>
  </r>
  <r>
    <s v="04076"/>
    <x v="296"/>
    <s v="AEMSM"/>
    <s v="Au"/>
    <s v="Active"/>
    <s v="Tambacounda"/>
    <s v="15/03/2024"/>
    <s v="14/03/2027"/>
    <n v="2024"/>
    <s v="SENEGALAISE DE SERVICES MINIERS ET DE GENIE CIVIL"/>
    <n v="89.3"/>
    <n v="2022"/>
    <s v="1 — OUI"/>
  </r>
  <r>
    <s v="04078"/>
    <x v="297"/>
    <s v="AEMSM"/>
    <s v="Au"/>
    <s v="Active"/>
    <s v="Kedougou"/>
    <s v="24/01/2024"/>
    <s v="23/01/2027"/>
    <n v="2024"/>
    <m/>
    <m/>
    <m/>
    <s v="0 — NON"/>
  </r>
  <r>
    <s v="04079"/>
    <x v="297"/>
    <s v="AEMSM"/>
    <s v="Au"/>
    <s v="Active"/>
    <s v="Kedougou"/>
    <s v="24/01/2024"/>
    <s v="23/01/2027"/>
    <n v="2024"/>
    <m/>
    <m/>
    <m/>
    <s v="0 — NON"/>
  </r>
  <r>
    <s v="04080"/>
    <x v="297"/>
    <s v="AEMSM"/>
    <s v="Au"/>
    <s v="Active"/>
    <s v="Kedougou"/>
    <s v="24/01/2024"/>
    <s v="23/01/2027"/>
    <n v="2024"/>
    <m/>
    <m/>
    <m/>
    <s v="0 — NON"/>
  </r>
  <r>
    <s v="04082"/>
    <x v="298"/>
    <s v="AEMSM"/>
    <s v="Au"/>
    <s v="Active"/>
    <s v="Kedougou"/>
    <s v="24/01/2024"/>
    <s v="23/01/2027"/>
    <n v="2024"/>
    <m/>
    <m/>
    <m/>
    <s v="0 — NON"/>
  </r>
  <r>
    <s v="04083"/>
    <x v="297"/>
    <s v="AEMSM"/>
    <s v="Au"/>
    <s v="Active"/>
    <s v="Kedougou"/>
    <s v="24/01/2024"/>
    <s v="23/01/2027"/>
    <n v="2024"/>
    <m/>
    <m/>
    <m/>
    <s v="0 — NON"/>
  </r>
  <r>
    <s v="04089"/>
    <x v="14"/>
    <s v="AECPP"/>
    <s v="latérite"/>
    <s v="Active"/>
    <s v="Thiès"/>
    <s v="18/04/2023"/>
    <s v="17/04/2028"/>
    <n v="2023"/>
    <m/>
    <m/>
    <m/>
    <s v="0 — NON"/>
  </r>
  <r>
    <s v="04090"/>
    <x v="255"/>
    <s v="AEMSM"/>
    <s v="Au"/>
    <s v="Active"/>
    <s v="Kedougou"/>
    <s v="27/02/2024"/>
    <s v="26/02/2027"/>
    <n v="2024"/>
    <m/>
    <m/>
    <m/>
    <s v="0 — NON"/>
  </r>
  <r>
    <s v="04091"/>
    <x v="14"/>
    <s v="AECPP"/>
    <s v="calcaire"/>
    <s v="Active"/>
    <s v="Thiès"/>
    <s v="18/04/2023"/>
    <s v="17/04/2028"/>
    <n v="2023"/>
    <m/>
    <m/>
    <m/>
    <s v="0 — NON"/>
  </r>
  <r>
    <s v="04093"/>
    <x v="299"/>
    <s v="AEMSM"/>
    <s v="Au"/>
    <s v="Active"/>
    <s v="Kedougou"/>
    <s v="03/01/2024"/>
    <s v="02/01/2027"/>
    <n v="2024"/>
    <m/>
    <m/>
    <m/>
    <s v="0 — NON"/>
  </r>
  <r>
    <s v="04094"/>
    <x v="300"/>
    <s v="AEMSM"/>
    <s v="Au"/>
    <s v="Active"/>
    <s v="Kedougou"/>
    <s v="27/12/2023"/>
    <s v="26/12/2026"/>
    <n v="2023"/>
    <s v="AMSA GROUP AFRICA SA"/>
    <n v="97.1"/>
    <n v="2025"/>
    <s v="1 — OUI"/>
  </r>
  <r>
    <s v="04097"/>
    <x v="301"/>
    <s v="AECPubT"/>
    <s v="sable de dune"/>
    <s v="Active"/>
    <s v="Saint Louis"/>
    <s v="14/02/2024"/>
    <s v="13/02/2025"/>
    <n v="2024"/>
    <m/>
    <m/>
    <m/>
    <s v="0 — NON"/>
  </r>
  <r>
    <s v="04099"/>
    <x v="302"/>
    <s v="AECPT"/>
    <s v="calcaire"/>
    <s v="Active"/>
    <s v="Matam"/>
    <s v="05/02/2024"/>
    <s v="04/02/2025"/>
    <n v="2024"/>
    <m/>
    <m/>
    <m/>
    <s v="0 — NON"/>
  </r>
  <r>
    <s v="04103"/>
    <x v="14"/>
    <s v="AECPP"/>
    <s v="calcaire"/>
    <s v="Active"/>
    <s v="Thiès"/>
    <s v="24/04/2023"/>
    <s v="23/04/2028"/>
    <n v="2023"/>
    <m/>
    <m/>
    <m/>
    <s v="0 — NON"/>
  </r>
  <r>
    <s v="04106"/>
    <x v="303"/>
    <s v="AEMSM"/>
    <s v="Au"/>
    <s v="Active"/>
    <s v="Kedougou"/>
    <s v="20/02/2024"/>
    <s v="19/02/2027"/>
    <n v="2024"/>
    <m/>
    <m/>
    <m/>
    <s v="0 — NON"/>
  </r>
  <r>
    <s v="04113"/>
    <x v="304"/>
    <s v="AECPP"/>
    <s v="grès"/>
    <s v="Active"/>
    <s v="Thiès"/>
    <s v="03/01/2024"/>
    <s v="02/01/2029"/>
    <n v="2024"/>
    <m/>
    <m/>
    <m/>
    <s v="0 — NON"/>
  </r>
  <r>
    <s v="04114"/>
    <x v="127"/>
    <s v="AECPP"/>
    <s v="basalte"/>
    <s v="Active"/>
    <s v="Thiès"/>
    <s v="27/12/2023"/>
    <s v="26/12/2028"/>
    <n v="2023"/>
    <m/>
    <m/>
    <m/>
    <s v="0 — NON"/>
  </r>
  <r>
    <s v="04115"/>
    <x v="305"/>
    <s v="AEHTR"/>
    <s v="Sl"/>
    <s v="Active"/>
    <s v="Thiès"/>
    <s v="27/12/2023"/>
    <s v="26/12/2028"/>
    <n v="2023"/>
    <m/>
    <m/>
    <m/>
    <s v="0 — NON"/>
  </r>
  <r>
    <s v="04121"/>
    <x v="125"/>
    <s v="AECPP"/>
    <s v="basalte"/>
    <s v="Active"/>
    <s v="Thiès"/>
    <s v="07/12/2023"/>
    <s v="06/12/2028"/>
    <n v="2023"/>
    <m/>
    <m/>
    <m/>
    <s v="0 — NON"/>
  </r>
  <r>
    <s v="04124"/>
    <x v="306"/>
    <s v="AEMSM"/>
    <s v="Au"/>
    <s v="Active"/>
    <s v="Kedougou"/>
    <s v="07/02/2024"/>
    <s v="06/02/2027"/>
    <n v="2024"/>
    <m/>
    <m/>
    <m/>
    <s v="0 — NON"/>
  </r>
  <r>
    <s v="04125"/>
    <x v="296"/>
    <s v="AEMSM"/>
    <s v="Au"/>
    <s v="Active"/>
    <s v="Kedougou"/>
    <s v="31/01/2024"/>
    <s v="30/01/2027"/>
    <n v="2024"/>
    <s v="SENEGALAISE DE SERVICES MINIERS ET DE GENIE CIVIL"/>
    <n v="89.3"/>
    <n v="2022"/>
    <s v="1 — OUI"/>
  </r>
  <r>
    <s v="04127"/>
    <x v="307"/>
    <s v="PR"/>
    <s v="Au"/>
    <s v="Active"/>
    <s v="Kedougou"/>
    <s v="02/02/2024"/>
    <s v="01/02/2028"/>
    <n v="2024"/>
    <s v="BAMBOUK EXPLORATION SUARL"/>
    <n v="100"/>
    <n v="2023"/>
    <s v="1 — OUI"/>
  </r>
  <r>
    <s v="04130"/>
    <x v="308"/>
    <s v="AEMSM"/>
    <s v="Au"/>
    <s v="Active"/>
    <s v="Kedougou"/>
    <s v="02/02/2024"/>
    <s v="01/02/2027"/>
    <n v="2024"/>
    <m/>
    <m/>
    <m/>
    <s v="0 — NON"/>
  </r>
  <r>
    <s v="04133"/>
    <x v="309"/>
    <s v="AEMSM"/>
    <s v="Au"/>
    <s v="Active"/>
    <s v="Kedougou"/>
    <s v="02/02/2024"/>
    <s v="01/02/2027"/>
    <n v="2024"/>
    <m/>
    <m/>
    <m/>
    <s v="0 — NON"/>
  </r>
  <r>
    <s v="04135"/>
    <x v="310"/>
    <s v="AEMSM"/>
    <s v="Au"/>
    <s v="Active"/>
    <s v="Kedougou"/>
    <s v="02/02/2024"/>
    <s v="01/02/2027"/>
    <n v="2024"/>
    <m/>
    <m/>
    <m/>
    <s v="0 — NON"/>
  </r>
  <r>
    <s v="04141"/>
    <x v="157"/>
    <s v="AEPM"/>
    <s v="Au"/>
    <s v="Active"/>
    <s v="Kedougou"/>
    <s v="12/02/2024"/>
    <s v="11/02/2029"/>
    <n v="2024"/>
    <s v="NOGA MINE SARL"/>
    <n v="100"/>
    <n v="2023"/>
    <s v="1 — OUI"/>
  </r>
  <r>
    <s v="04142"/>
    <x v="311"/>
    <s v="AECPT"/>
    <s v="Argile"/>
    <s v="Active"/>
    <s v="Thiès"/>
    <s v="18/01/2024"/>
    <s v="17/01/2025"/>
    <n v="2024"/>
    <s v="SANTARGILE"/>
    <n v="100"/>
    <n v="2024"/>
    <s v="1 — OUI"/>
  </r>
  <r>
    <s v="04143"/>
    <x v="274"/>
    <s v="AECPT"/>
    <s v="sable de dune"/>
    <s v="Active"/>
    <s v="Thiès"/>
    <s v="21/02/2024"/>
    <s v="20/02/2025"/>
    <n v="2024"/>
    <s v="GUEYE &amp; FRERES THIORO TRANSPORT&quot; G.F.2T"/>
    <n v="90.4"/>
    <n v="2022"/>
    <s v="1 — OUI"/>
  </r>
  <r>
    <s v="04144"/>
    <x v="312"/>
    <s v="AECPT"/>
    <s v="sable de dune"/>
    <s v="Active"/>
    <s v="Thiès"/>
    <s v="20/02/2024"/>
    <s v="19/02/2025"/>
    <n v="2024"/>
    <s v="&quot;SALIOU MINES INDUSTRIES ET TECHNIQUES&quot; (S.M.I.T)"/>
    <n v="90.2"/>
    <n v="2022"/>
    <s v="1 — OUI"/>
  </r>
  <r>
    <s v="04145"/>
    <x v="313"/>
    <s v="AEHTR"/>
    <s v="Sl"/>
    <s v="Active"/>
    <s v="Thiès"/>
    <s v="02/02/2024"/>
    <s v="01/02/2029"/>
    <n v="2024"/>
    <m/>
    <m/>
    <m/>
    <s v="0 — NON"/>
  </r>
  <r>
    <s v="04146"/>
    <x v="314"/>
    <s v="AEHTR"/>
    <s v="Sl"/>
    <s v="Active"/>
    <s v="Thiès"/>
    <s v="02/02/2024"/>
    <s v="01/02/2029"/>
    <n v="2024"/>
    <m/>
    <m/>
    <m/>
    <s v="0 — NON"/>
  </r>
  <r>
    <s v="04151"/>
    <x v="315"/>
    <s v="AECPT"/>
    <s v="latérite"/>
    <s v="Active"/>
    <s v="Thiès"/>
    <s v="22/02/2024"/>
    <s v="21/02/2025"/>
    <n v="2024"/>
    <m/>
    <m/>
    <m/>
    <s v="0 — NON"/>
  </r>
  <r>
    <s v="04155"/>
    <x v="316"/>
    <s v="AECPT"/>
    <s v="latérite"/>
    <s v="Active"/>
    <s v="Thiès"/>
    <s v="26/02/2024"/>
    <s v="25/02/2025"/>
    <n v="2024"/>
    <m/>
    <m/>
    <m/>
    <s v="0 — NON"/>
  </r>
  <r>
    <s v="04156"/>
    <x v="317"/>
    <s v="AECPT"/>
    <s v="latérite"/>
    <s v="Active"/>
    <s v="Dakar"/>
    <s v="26/02/2024"/>
    <s v="25/02/2025"/>
    <n v="2024"/>
    <m/>
    <m/>
    <m/>
    <s v="0 — NON"/>
  </r>
  <r>
    <s v="04157"/>
    <x v="179"/>
    <s v="AECPP"/>
    <s v="basalte"/>
    <s v="Active"/>
    <s v="Kedougou"/>
    <s v="20/02/2022"/>
    <s v="19/02/2027"/>
    <n v="2022"/>
    <m/>
    <m/>
    <m/>
    <s v="0 — NON"/>
  </r>
  <r>
    <s v="04174"/>
    <x v="318"/>
    <s v="AECPT"/>
    <s v="sable de dune"/>
    <s v="Active"/>
    <s v="Thiès"/>
    <s v="05/03/2024"/>
    <s v="04/03/2025"/>
    <n v="2024"/>
    <m/>
    <m/>
    <m/>
    <s v="0 — NON"/>
  </r>
  <r>
    <s v="04178"/>
    <x v="319"/>
    <s v="AECPT"/>
    <s v="latérite"/>
    <s v="Active"/>
    <s v="Thiès"/>
    <s v="03/04/2024"/>
    <s v="02/04/2025"/>
    <n v="2024"/>
    <m/>
    <m/>
    <m/>
    <s v="0 — NON"/>
  </r>
  <r>
    <s v="04179"/>
    <x v="320"/>
    <s v="AECPT"/>
    <s v="latérite"/>
    <s v="Active"/>
    <s v="Thiès"/>
    <s v="07/03/2024"/>
    <s v="06/03/2025"/>
    <n v="2024"/>
    <m/>
    <m/>
    <m/>
    <s v="0 — NON"/>
  </r>
  <r>
    <s v="04180"/>
    <x v="321"/>
    <s v="AECPT"/>
    <s v="sable de dune"/>
    <s v="Active"/>
    <s v="Thiès"/>
    <s v="08/03/2024"/>
    <s v="07/03/2025"/>
    <n v="2024"/>
    <s v="GIE KA BUSINESS  COMPANY / KBC"/>
    <n v="90.5"/>
    <n v="2022"/>
    <s v="1 — OUI"/>
  </r>
  <r>
    <s v="04181"/>
    <x v="321"/>
    <s v="AECPT"/>
    <s v="sable de dune"/>
    <s v="Active"/>
    <s v="Thiès"/>
    <s v="08/03/2024"/>
    <s v="07/03/2025"/>
    <n v="2024"/>
    <s v="GIE KA BUSINESS  COMPANY / KBC"/>
    <n v="90.5"/>
    <n v="2022"/>
    <s v="1 — OUI"/>
  </r>
  <r>
    <s v="04183"/>
    <x v="322"/>
    <s v="AECPT"/>
    <s v="latérite"/>
    <s v="Active"/>
    <s v="Thiès"/>
    <s v="08/03/2024"/>
    <s v="07/03/2025"/>
    <n v="2024"/>
    <s v="WALY DIOUF PARTNERS SOLUTION"/>
    <n v="100"/>
    <n v="2024"/>
    <s v="1 — OUI"/>
  </r>
  <r>
    <s v="04184"/>
    <x v="323"/>
    <s v="AECPT"/>
    <s v="sable de dune"/>
    <s v="Active"/>
    <s v="Thiès"/>
    <s v="12/03/2024"/>
    <s v="11/03/2025"/>
    <n v="2024"/>
    <m/>
    <m/>
    <m/>
    <s v="0 — NON"/>
  </r>
  <r>
    <s v="04187"/>
    <x v="324"/>
    <s v="AEHTR"/>
    <s v="Sl"/>
    <s v="Active"/>
    <s v="Thiès"/>
    <s v="11/03/2024"/>
    <s v="10/03/2025"/>
    <n v="2024"/>
    <m/>
    <m/>
    <m/>
    <s v="0 — NON"/>
  </r>
  <r>
    <s v="04189"/>
    <x v="325"/>
    <s v="AEMSM"/>
    <s v="Au"/>
    <s v="Active"/>
    <s v="Kedougou"/>
    <s v="06/03/2024"/>
    <s v="05/03/2027"/>
    <n v="2024"/>
    <s v="KOLIA"/>
    <n v="100"/>
    <n v="2023"/>
    <s v="1 — OUI"/>
  </r>
  <r>
    <s v="04196"/>
    <x v="326"/>
    <s v="AEHTR"/>
    <s v="sable de dune"/>
    <s v="Active"/>
    <s v="Thiès"/>
    <s v="27/12/2023"/>
    <s v="26/12/2028"/>
    <n v="2023"/>
    <m/>
    <m/>
    <m/>
    <s v="0 — NON"/>
  </r>
  <r>
    <s v="04203"/>
    <x v="327"/>
    <s v="AECPT"/>
    <s v="latérite"/>
    <s v="Active"/>
    <s v="Thiès"/>
    <s v="18/03/2024"/>
    <s v="17/03/2025"/>
    <n v="2024"/>
    <m/>
    <m/>
    <m/>
    <s v="0 — NON"/>
  </r>
  <r>
    <s v="04204"/>
    <x v="328"/>
    <s v="AECPT"/>
    <s v="latérite"/>
    <s v="Active"/>
    <s v="Thiès"/>
    <s v="21/03/2024"/>
    <s v="20/03/2025"/>
    <n v="2024"/>
    <m/>
    <m/>
    <m/>
    <s v="0 — NON"/>
  </r>
  <r>
    <s v="04205"/>
    <x v="329"/>
    <s v="AECPT"/>
    <s v="sable de dune"/>
    <s v="Active"/>
    <s v="Thiès"/>
    <s v="21/03/2024"/>
    <s v="20/03/2025"/>
    <n v="2024"/>
    <s v="ENTREPRISE AICHA"/>
    <n v="100"/>
    <n v="2021"/>
    <s v="1 — OUI"/>
  </r>
  <r>
    <s v="04208"/>
    <x v="221"/>
    <s v="PR"/>
    <s v="phosphate de chaux"/>
    <s v="Active"/>
    <s v="Kedougou"/>
    <s v="06/03/2024"/>
    <s v="05/03/2028"/>
    <n v="2024"/>
    <s v="WEST WIND-SA"/>
    <n v="100"/>
    <n v="2024"/>
    <s v="1 — OUI"/>
  </r>
  <r>
    <s v="04209"/>
    <x v="330"/>
    <s v="PR"/>
    <s v="Mn"/>
    <s v="Active"/>
    <s v="Kedougou"/>
    <s v="06/03/2024"/>
    <s v="05/03/2028"/>
    <n v="2024"/>
    <s v="LAMTORO NATURAL RESOURCES"/>
    <n v="98"/>
    <n v="2024"/>
    <s v="1 — OUI"/>
  </r>
  <r>
    <s v="04211"/>
    <x v="331"/>
    <s v="AECPT"/>
    <s v="sable de dune"/>
    <s v="Active"/>
    <s v="Fatick"/>
    <s v="03/04/2024"/>
    <s v="02/04/2025"/>
    <n v="2024"/>
    <m/>
    <m/>
    <m/>
    <s v="0 — NON"/>
  </r>
  <r>
    <s v="04213"/>
    <x v="332"/>
    <s v="AEHTR"/>
    <s v="Sl"/>
    <s v="Active"/>
    <s v="Thiès"/>
    <s v="15/03/2024"/>
    <s v="14/03/2026"/>
    <n v="2024"/>
    <m/>
    <m/>
    <m/>
    <s v="0 — NON"/>
  </r>
  <r>
    <s v="04214"/>
    <x v="333"/>
    <s v="AEHTR"/>
    <s v="Sl"/>
    <s v="Active"/>
    <s v="Thiès"/>
    <s v="15/03/2024"/>
    <s v="14/03/2029"/>
    <n v="2024"/>
    <m/>
    <m/>
    <m/>
    <s v="0 — NON"/>
  </r>
  <r>
    <s v="04218"/>
    <x v="334"/>
    <s v="AEHTR"/>
    <s v="Sl"/>
    <s v="Active"/>
    <s v="Thiès"/>
    <s v="15/03/2024"/>
    <s v="14/03/2026"/>
    <n v="2024"/>
    <m/>
    <m/>
    <m/>
    <s v="0 — NON"/>
  </r>
  <r>
    <s v="04219"/>
    <x v="335"/>
    <s v="AEHTR"/>
    <s v="Sl"/>
    <s v="Active"/>
    <s v="Thiès"/>
    <s v="15/03/2024"/>
    <s v="14/03/2029"/>
    <n v="2024"/>
    <s v="TALIX MINES"/>
    <n v="100"/>
    <n v="2023"/>
    <s v="1 — OUI"/>
  </r>
  <r>
    <s v="04227"/>
    <x v="332"/>
    <s v="AECPP"/>
    <s v="grès"/>
    <s v="Active"/>
    <s v="Thiès"/>
    <s v="22/03/2024"/>
    <s v="21/03/2029"/>
    <n v="2024"/>
    <m/>
    <m/>
    <m/>
    <s v="0 — NON"/>
  </r>
  <r>
    <s v="04228"/>
    <x v="264"/>
    <s v="AEMSM"/>
    <s v="Au"/>
    <s v="Active"/>
    <s v="Kedougou"/>
    <s v="15/03/2024"/>
    <s v="14/03/2027"/>
    <n v="2024"/>
    <m/>
    <m/>
    <m/>
    <s v="0 — NON"/>
  </r>
  <r>
    <s v="04229"/>
    <x v="336"/>
    <s v="AECPT"/>
    <s v="latérite"/>
    <s v="Active"/>
    <s v="Thiès"/>
    <s v="29/03/2024"/>
    <s v="28/03/2025"/>
    <n v="2024"/>
    <m/>
    <m/>
    <m/>
    <s v="0 — NON"/>
  </r>
  <r>
    <s v="04230"/>
    <x v="337"/>
    <s v="AECPP"/>
    <s v="basalte"/>
    <s v="Active"/>
    <s v="Tambacounda"/>
    <s v="29/03/2024"/>
    <s v="28/03/2029"/>
    <n v="2024"/>
    <m/>
    <m/>
    <m/>
    <s v="0 — NON"/>
  </r>
  <r>
    <s v="04231"/>
    <x v="337"/>
    <s v="AECPP"/>
    <s v="basalte"/>
    <s v="Active"/>
    <s v="Tambacounda"/>
    <s v="29/03/2024"/>
    <s v="28/03/2029"/>
    <n v="2024"/>
    <m/>
    <m/>
    <m/>
    <s v="0 — NON"/>
  </r>
  <r>
    <s v="04232"/>
    <x v="338"/>
    <s v="AEHTR"/>
    <s v="Sl"/>
    <s v="Active"/>
    <s v="Thiès"/>
    <s v="29/03/2024"/>
    <s v="28/03/2029"/>
    <n v="2024"/>
    <s v="Entreprise Générale Darou Salam (EGDS)"/>
    <n v="86.6"/>
    <n v="2023"/>
    <s v="1 — OUI"/>
  </r>
  <r>
    <s v="04235"/>
    <x v="339"/>
    <s v="AEHTR"/>
    <s v="Sl"/>
    <s v="Active"/>
    <s v="Thiès"/>
    <s v="29/03/2024"/>
    <s v="28/03/2029"/>
    <n v="2024"/>
    <m/>
    <m/>
    <m/>
    <s v="0 — NON"/>
  </r>
  <r>
    <s v="04243"/>
    <x v="340"/>
    <s v="AECPT"/>
    <s v="latérite"/>
    <s v="Active"/>
    <s v="Thiès"/>
    <s v="28/02/2024"/>
    <s v="27/02/2025"/>
    <n v="2024"/>
    <m/>
    <m/>
    <m/>
    <s v="0 — NON"/>
  </r>
  <r>
    <s v="04245"/>
    <x v="221"/>
    <s v="AEPM"/>
    <s v="phosphate de chaux"/>
    <s v="Active"/>
    <s v="Matam"/>
    <s v="27/03/2024"/>
    <s v="26/03/2029"/>
    <n v="2024"/>
    <s v="WEST WIND-SA"/>
    <n v="100"/>
    <n v="2024"/>
    <s v="1 — OUI"/>
  </r>
  <r>
    <s v="04246"/>
    <x v="341"/>
    <s v="AEPM"/>
    <s v="Au"/>
    <s v="Active"/>
    <s v="Kedougou"/>
    <s v="07/09/2022"/>
    <s v="06/09/2027"/>
    <n v="2022"/>
    <m/>
    <m/>
    <m/>
    <s v="0 — NON"/>
  </r>
  <r>
    <s v="04247"/>
    <x v="153"/>
    <s v="AEPM"/>
    <s v="phosphate de chaux"/>
    <s v="Active"/>
    <s v="Thiès"/>
    <s v="27/03/2024"/>
    <s v="26/03/2029"/>
    <n v="2024"/>
    <m/>
    <m/>
    <m/>
    <s v="0 — NON"/>
  </r>
  <r>
    <s v="04248"/>
    <x v="342"/>
    <s v="AEMSM"/>
    <s v="Au"/>
    <s v="Active"/>
    <s v="Kedougou"/>
    <s v="22/06/2023"/>
    <s v="21/06/2026"/>
    <n v="2023"/>
    <m/>
    <m/>
    <m/>
    <s v="0 — NON"/>
  </r>
  <r>
    <s v="04251"/>
    <x v="343"/>
    <s v="PR"/>
    <s v="Mn"/>
    <s v="Active"/>
    <s v="Tambacounda"/>
    <s v="14/03/2024"/>
    <s v="13/03/2028"/>
    <n v="2024"/>
    <s v="DARA SALAM"/>
    <n v="100"/>
    <n v="2024"/>
    <s v="1 — OUI"/>
  </r>
  <r>
    <s v="04252"/>
    <x v="344"/>
    <s v="PR"/>
    <s v="Li"/>
    <s v="Active"/>
    <s v="Kedougou"/>
    <s v="02/02/2023"/>
    <s v="01/02/2027"/>
    <n v="2023"/>
    <m/>
    <m/>
    <m/>
    <s v="0 — NON"/>
  </r>
  <r>
    <s v="04253"/>
    <x v="345"/>
    <s v="AEMSM"/>
    <s v="Au"/>
    <s v="Active"/>
    <s v="Tambacounda"/>
    <s v="22/03/2024"/>
    <s v="21/03/2027"/>
    <n v="2024"/>
    <s v="MAMADOU DIAKHITE DIARRA"/>
    <n v="95.7"/>
    <n v="2021"/>
    <s v="1 — OUI"/>
  </r>
  <r>
    <s v="04260"/>
    <x v="346"/>
    <s v="PR"/>
    <s v="Au"/>
    <s v="Active"/>
    <s v="Kedougou"/>
    <s v="29/03/2024"/>
    <s v="28/03/2028"/>
    <n v="2024"/>
    <m/>
    <m/>
    <m/>
    <s v="0 — NON"/>
  </r>
  <r>
    <s v="04262"/>
    <x v="347"/>
    <s v="AECPP"/>
    <s v="grès"/>
    <s v="Active"/>
    <s v="Thiès"/>
    <s v="08/05/2023"/>
    <s v="07/05/2028"/>
    <n v="2023"/>
    <m/>
    <m/>
    <m/>
    <s v="0 — NON"/>
  </r>
  <r>
    <s v="04266"/>
    <x v="348"/>
    <s v="AEHTR"/>
    <s v="Sl"/>
    <s v="Active"/>
    <s v="Thiès"/>
    <s v="11/05/2023"/>
    <s v="10/05/2028"/>
    <n v="2023"/>
    <m/>
    <m/>
    <m/>
    <s v="0 — NON"/>
  </r>
  <r>
    <s v="04267"/>
    <x v="349"/>
    <s v="AECPP"/>
    <s v="Argile, latérite"/>
    <s v="Active"/>
    <s v="Thiès"/>
    <s v="13/06/2023"/>
    <s v="12/06/2028"/>
    <n v="2023"/>
    <s v="AFRICAN BUILDERS SARL"/>
    <n v="100"/>
    <n v="2021"/>
    <s v="1 — OUI"/>
  </r>
  <r>
    <s v="04268"/>
    <x v="350"/>
    <s v="PR"/>
    <s v="Au"/>
    <s v="Active"/>
    <s v="Kedougou"/>
    <s v="29/03/2024"/>
    <s v="28/03/2028"/>
    <n v="2024"/>
    <m/>
    <m/>
    <m/>
    <s v="0 — NON"/>
  </r>
  <r>
    <s v="04274"/>
    <x v="245"/>
    <s v="PR"/>
    <s v="Li"/>
    <s v="Active"/>
    <s v="Kedougou"/>
    <s v="30/01/2023"/>
    <s v="29/01/2027"/>
    <n v="2023"/>
    <m/>
    <m/>
    <m/>
    <s v="0 — NON"/>
  </r>
  <r>
    <s v="04276"/>
    <x v="351"/>
    <s v="AECPT"/>
    <s v="latérite"/>
    <s v="Active"/>
    <s v="Saint Louis"/>
    <s v="19/05/2024"/>
    <s v="28/09/2026"/>
    <n v="2024"/>
    <m/>
    <m/>
    <m/>
    <s v="0 — NON"/>
  </r>
  <r>
    <s v="04278"/>
    <x v="351"/>
    <s v="AECPT"/>
    <s v="latérite"/>
    <s v="Active"/>
    <s v="Saint Louis"/>
    <s v="19/05/2024"/>
    <s v="28/09/2026"/>
    <n v="2024"/>
    <m/>
    <m/>
    <m/>
    <s v="0 — NON"/>
  </r>
  <r>
    <s v="04279"/>
    <x v="352"/>
    <s v="PR"/>
    <s v="Au"/>
    <s v="Active"/>
    <s v="Kedougou"/>
    <s v="05/08/2021"/>
    <s v="04/08/2025"/>
    <n v="2021"/>
    <s v="MANSA GOLD CORPORATION"/>
    <n v="84.4"/>
    <n v="2022"/>
    <s v="1 — OUI"/>
  </r>
  <r>
    <s v="04285"/>
    <x v="353"/>
    <s v="AECPP"/>
    <s v="basalte"/>
    <s v="Active"/>
    <s v="Thiès"/>
    <s v="12/02/2024"/>
    <s v="11/02/2029"/>
    <n v="2024"/>
    <m/>
    <m/>
    <m/>
    <s v="0 — NON"/>
  </r>
  <r>
    <s v="04308"/>
    <x v="354"/>
    <s v="AEPM"/>
    <s v="phosphate de chaux"/>
    <s v="Active"/>
    <s v="Matam"/>
    <s v="27/03/2024"/>
    <s v="26/03/2029"/>
    <n v="2024"/>
    <m/>
    <m/>
    <m/>
    <s v="0 — NON"/>
  </r>
  <r>
    <s v="04342"/>
    <x v="355"/>
    <s v="AECPT"/>
    <s v="sable de dune"/>
    <s v="Active"/>
    <s v="Dakar"/>
    <s v="30/05/2025"/>
    <s v="29/05/2026"/>
    <n v="2025"/>
    <m/>
    <m/>
    <m/>
    <s v="0 — NON"/>
  </r>
  <r>
    <s v="04352"/>
    <x v="356"/>
    <s v="AECPT"/>
    <s v="sable de dune"/>
    <s v="Active"/>
    <s v="Thiès"/>
    <s v="27/06/2025"/>
    <s v="26/06/2026"/>
    <n v="2025"/>
    <s v="&quot;EBD ENTREPRISE&quot; SUARL"/>
    <n v="96.6"/>
    <n v="2025"/>
    <s v="1 — OUI"/>
  </r>
  <r>
    <s v="04356"/>
    <x v="285"/>
    <s v="AECPT"/>
    <s v="sable de dune"/>
    <s v="Active"/>
    <s v="Dakar"/>
    <s v="07/07/2025"/>
    <s v="06/07/2026"/>
    <n v="2025"/>
    <m/>
    <m/>
    <m/>
    <s v="0 — NON"/>
  </r>
  <r>
    <s v="04358"/>
    <x v="357"/>
    <s v="AECPubT"/>
    <m/>
    <s v="Active"/>
    <s v="Saint Louis"/>
    <s v="26/05/2025"/>
    <s v="25/05/2026"/>
    <n v="2025"/>
    <m/>
    <m/>
    <m/>
    <s v="0 — NON"/>
  </r>
  <r>
    <s v="04359"/>
    <x v="358"/>
    <s v="AECPT"/>
    <s v="sable de dune"/>
    <s v="Active"/>
    <s v="Thiès"/>
    <s v="01/08/2025"/>
    <s v="31/07/2026"/>
    <n v="2025"/>
    <s v="&quot;GIE GARAGE SOUF&quot;"/>
    <n v="100"/>
    <n v="2025"/>
    <s v="1 — OUI"/>
  </r>
  <r>
    <s v="04360"/>
    <x v="359"/>
    <s v="AECPubT"/>
    <m/>
    <s v="Active"/>
    <s v="Saint Louis"/>
    <s v="21/03/2025"/>
    <s v="20/03/2026"/>
    <n v="2025"/>
    <m/>
    <m/>
    <m/>
    <s v="0 — NON"/>
  </r>
  <r>
    <s v="04367"/>
    <x v="360"/>
    <s v="AECPubT"/>
    <s v="sable de dune"/>
    <s v="Active"/>
    <s v="Thiès"/>
    <s v="27/10/2025"/>
    <s v="26/10/2026"/>
    <n v="2025"/>
    <m/>
    <m/>
    <m/>
    <s v="0 — NON"/>
  </r>
  <r>
    <s v="04372"/>
    <x v="361"/>
    <s v="AECPT"/>
    <s v="Argile"/>
    <s v="Active"/>
    <s v="Kaffrine"/>
    <s v="04/12/2025"/>
    <s v="03/12/2026"/>
    <n v="2025"/>
    <s v="L &amp; D ECOMINING"/>
    <n v="88"/>
    <n v="2023"/>
    <s v="1 — OUI"/>
  </r>
  <r>
    <s v="04375"/>
    <x v="362"/>
    <s v="AECPT"/>
    <s v="sable de dune"/>
    <s v="Active"/>
    <s v="Kaffrine"/>
    <s v="27/11/2025"/>
    <s v="26/11/2026"/>
    <n v="2025"/>
    <m/>
    <m/>
    <m/>
    <s v="0 — NON"/>
  </r>
  <r>
    <s v="04376"/>
    <x v="363"/>
    <s v="AECPT"/>
    <s v="latérite"/>
    <s v="Active"/>
    <s v="Kedougou"/>
    <s v="29/09/2025"/>
    <s v="28/09/2026"/>
    <n v="2025"/>
    <s v="SABODALA GOLD OPERATIONS"/>
    <n v="92.3"/>
    <n v="2022"/>
    <s v="1 — OUI"/>
  </r>
  <r>
    <s v="04378"/>
    <x v="364"/>
    <s v="AECPT"/>
    <s v="sable de dune"/>
    <s v="Active"/>
    <s v="Dakar"/>
    <s v="29/10/2025"/>
    <s v="28/10/2026"/>
    <n v="2025"/>
    <m/>
    <m/>
    <m/>
    <s v="0 — NON"/>
  </r>
  <r>
    <s v="04385"/>
    <x v="365"/>
    <s v="AECPT"/>
    <s v="sable de dune"/>
    <s v="Active"/>
    <s v="Thiès"/>
    <s v="22/12/2025"/>
    <s v="21/12/2026"/>
    <n v="2025"/>
    <m/>
    <m/>
    <m/>
    <s v="0 — NON"/>
  </r>
  <r>
    <s v="04386"/>
    <x v="366"/>
    <s v="AECPT"/>
    <s v="sable de dune"/>
    <s v="Active"/>
    <s v="Thiès"/>
    <s v="22/12/2025"/>
    <s v="21/12/2026"/>
    <n v="2025"/>
    <m/>
    <m/>
    <m/>
    <s v="0 — NON"/>
  </r>
  <r>
    <s v="04387"/>
    <x v="366"/>
    <s v="AECPT"/>
    <s v="sable de dune"/>
    <s v="Active"/>
    <s v="Thiès"/>
    <s v="22/12/2025"/>
    <s v="21/12/2026"/>
    <n v="2025"/>
    <m/>
    <m/>
    <m/>
    <s v="0 — NON"/>
  </r>
  <r>
    <s v="04389"/>
    <x v="366"/>
    <s v="AECPT"/>
    <s v="sable de dune"/>
    <s v="Active"/>
    <s v="Thiès"/>
    <s v="17/11/2025"/>
    <s v="16/11/2026"/>
    <n v="2025"/>
    <m/>
    <m/>
    <m/>
    <s v="0 — NON"/>
  </r>
  <r>
    <s v="04390"/>
    <x v="366"/>
    <s v="AECPT"/>
    <s v="latérite"/>
    <s v="Active"/>
    <s v="Dakar"/>
    <s v="17/11/2025"/>
    <s v="16/11/2026"/>
    <n v="2025"/>
    <m/>
    <m/>
    <m/>
    <s v="0 — NON"/>
  </r>
  <r>
    <s v="04391"/>
    <x v="367"/>
    <s v="AECPT"/>
    <s v="sable de dune"/>
    <s v="Active"/>
    <s v="Fatick"/>
    <s v="24/11/2025"/>
    <s v="23/11/2026"/>
    <n v="2025"/>
    <m/>
    <m/>
    <m/>
    <s v="0 — NON"/>
  </r>
  <r>
    <s v="04393"/>
    <x v="355"/>
    <s v="AECPT"/>
    <s v="sable de dune"/>
    <s v="Active"/>
    <s v="Dakar"/>
    <s v="28/11/2025"/>
    <s v="27/11/2026"/>
    <n v="2025"/>
    <m/>
    <m/>
    <m/>
    <s v="0 — NON"/>
  </r>
  <r>
    <s v="04395"/>
    <x v="368"/>
    <s v="AP"/>
    <s v="phosphate de chaux"/>
    <s v="Active"/>
    <s v="Matam"/>
    <s v="01/04/2026"/>
    <s v="30/09/2026"/>
    <n v="2026"/>
    <m/>
    <m/>
    <m/>
    <s v="0 — NON"/>
  </r>
  <r>
    <s v="04396"/>
    <x v="369"/>
    <s v="AECPT"/>
    <s v="latérite"/>
    <s v="Active"/>
    <s v="Sédhiou"/>
    <s v="22/12/2025"/>
    <s v="21/12/2026"/>
    <n v="2025"/>
    <m/>
    <m/>
    <m/>
    <s v="0 — NON"/>
  </r>
  <r>
    <s v="04397"/>
    <x v="370"/>
    <s v="AECPT"/>
    <s v="sable de dune"/>
    <s v="Active"/>
    <s v="Thiès"/>
    <s v="22/12/2025"/>
    <s v="21/12/2026"/>
    <n v="2025"/>
    <m/>
    <m/>
    <m/>
    <s v="0 — NON"/>
  </r>
  <r>
    <s v="04400"/>
    <x v="371"/>
    <s v="AECPubT"/>
    <s v="sable de dune"/>
    <s v="Active"/>
    <s v="Louga"/>
    <s v="23/12/2025"/>
    <s v="22/12/2026"/>
    <n v="2025"/>
    <m/>
    <m/>
    <m/>
    <s v="0 — NON"/>
  </r>
  <r>
    <s v="04401"/>
    <x v="338"/>
    <s v="AECPT"/>
    <s v="sable de dune"/>
    <s v="Active"/>
    <s v="Diourbel"/>
    <s v="23/12/2025"/>
    <s v="22/12/2026"/>
    <n v="2025"/>
    <s v="Entreprise Générale Darou Salam (EGDS)"/>
    <n v="86.6"/>
    <n v="2023"/>
    <s v="1 — OUI"/>
  </r>
  <r>
    <s v="04403"/>
    <x v="372"/>
    <s v="AECPT"/>
    <s v="Argile"/>
    <s v="Active"/>
    <s v="Kaolack"/>
    <s v="23/12/2025"/>
    <s v="22/12/2026"/>
    <n v="2025"/>
    <s v="MINES PROFESSIONAL HOLDING"/>
    <n v="100"/>
    <n v="2022"/>
    <s v="1 — OUI"/>
  </r>
  <r>
    <s v="04404"/>
    <x v="373"/>
    <s v="ZP"/>
    <s v="Au"/>
    <s v="Active"/>
    <s v="Kedougou"/>
    <s v="12/01/2026"/>
    <s v="11/01/2029"/>
    <n v="2026"/>
    <m/>
    <m/>
    <m/>
    <s v="0 — NON"/>
  </r>
  <r>
    <s v="04406"/>
    <x v="31"/>
    <s v="ZP"/>
    <s v="Au"/>
    <s v="Active"/>
    <s v="Kedougou"/>
    <s v="16/01/2026"/>
    <s v="15/01/2029"/>
    <n v="2026"/>
    <m/>
    <m/>
    <m/>
    <s v="0 — NON"/>
  </r>
  <r>
    <s v="04408"/>
    <x v="31"/>
    <s v="ZP"/>
    <s v="Au"/>
    <s v="Active"/>
    <s v="Kedougou"/>
    <s v="22/01/2026"/>
    <s v="21/01/2029"/>
    <n v="2026"/>
    <m/>
    <m/>
    <m/>
    <s v="0 — NON"/>
  </r>
  <r>
    <s v="04409"/>
    <x v="31"/>
    <s v="ZP"/>
    <s v="Au"/>
    <s v="Active"/>
    <s v="Kedougou"/>
    <s v="23/01/2026"/>
    <s v="22/01/2029"/>
    <n v="2026"/>
    <m/>
    <m/>
    <m/>
    <s v="0 — NON"/>
  </r>
  <r>
    <s v="04410"/>
    <x v="174"/>
    <s v="AECPT"/>
    <s v="sable de dune"/>
    <s v="Active"/>
    <s v="Thiès"/>
    <s v="27/10/2025"/>
    <s v="26/10/2026"/>
    <n v="2025"/>
    <s v="DADICO"/>
    <n v="90.9"/>
    <n v="2024"/>
    <s v="1 — OUI"/>
  </r>
  <r>
    <s v="04412"/>
    <x v="374"/>
    <s v="AECPT"/>
    <s v="sable de dune"/>
    <s v="Active"/>
    <s v="Thiès"/>
    <s v="27/10/2025"/>
    <s v="26/10/2026"/>
    <n v="2025"/>
    <s v="COMPAGNIE SAKHO C.S"/>
    <n v="91.9"/>
    <n v="2025"/>
    <s v="1 — OUI"/>
  </r>
  <r>
    <s v="04413"/>
    <x v="375"/>
    <s v="AP"/>
    <s v="Au"/>
    <s v="Active"/>
    <s v="Kedougou"/>
    <s v="08/12/2025"/>
    <s v="07/06/2026"/>
    <n v="2025"/>
    <m/>
    <m/>
    <m/>
    <s v="0 — NON"/>
  </r>
  <r>
    <s v="04414"/>
    <x v="376"/>
    <s v="AECPubT"/>
    <s v="sable de dune"/>
    <s v="Active"/>
    <s v="Kolda"/>
    <s v="16/10/2025"/>
    <s v="15/10/2026"/>
    <n v="2025"/>
    <m/>
    <m/>
    <m/>
    <s v="0 — NON"/>
  </r>
  <r>
    <s v="04415"/>
    <x v="376"/>
    <s v="AECPubT"/>
    <s v="sable de dune"/>
    <s v="Active"/>
    <s v="Kolda"/>
    <s v="16/10/2025"/>
    <s v="15/10/2026"/>
    <n v="2025"/>
    <m/>
    <m/>
    <m/>
    <s v="0 — NON"/>
  </r>
  <r>
    <s v="04416"/>
    <x v="371"/>
    <s v="AECPubT"/>
    <s v="sable de dune"/>
    <s v="Active"/>
    <s v="Louga"/>
    <s v="23/12/2025"/>
    <s v="22/12/2026"/>
    <n v="2025"/>
    <m/>
    <m/>
    <m/>
    <s v="0 — NON"/>
  </r>
  <r>
    <s v="04417"/>
    <x v="373"/>
    <s v="ZP"/>
    <s v="Au"/>
    <s v="Active"/>
    <m/>
    <s v="02/02/2026"/>
    <s v="01/02/2029"/>
    <n v="2026"/>
    <m/>
    <m/>
    <m/>
    <s v="0 — NON"/>
  </r>
  <r>
    <s v="04419"/>
    <x v="377"/>
    <s v="AECPubT"/>
    <s v="sable de dune"/>
    <s v="Active"/>
    <s v="Louga"/>
    <s v="29/09/2025"/>
    <s v="28/09/2026"/>
    <n v="2025"/>
    <m/>
    <m/>
    <m/>
    <s v="0 — NON"/>
  </r>
  <r>
    <s v="04421"/>
    <x v="31"/>
    <s v="ZP"/>
    <s v="Au"/>
    <s v="Active"/>
    <s v="Kedougou"/>
    <s v="17/03/2026"/>
    <s v="16/03/2029"/>
    <n v="2026"/>
    <m/>
    <m/>
    <m/>
    <s v="0 — NON"/>
  </r>
  <r>
    <s v="04425"/>
    <x v="378"/>
    <s v="AECPT"/>
    <s v="latérite"/>
    <s v="Active"/>
    <s v="Thiès"/>
    <s v="27/06/2025"/>
    <s v="26/06/2026"/>
    <n v="2025"/>
    <m/>
    <m/>
    <m/>
    <s v="0 — NON"/>
  </r>
  <r>
    <s v="04426"/>
    <x v="379"/>
    <s v="AECPT"/>
    <s v="sable de dune"/>
    <s v="Active"/>
    <s v="Diourbel"/>
    <s v="18/06/2025"/>
    <s v="17/06/2026"/>
    <n v="2025"/>
    <s v="ENTREPRISE DAROU SALAM TAWFEX"/>
    <n v="94.9"/>
    <n v="2023"/>
    <s v="1 — OUI"/>
  </r>
  <r>
    <s v="04427"/>
    <x v="380"/>
    <s v="AECPubT"/>
    <s v="sable de dune"/>
    <s v="Active"/>
    <s v="Kaolack"/>
    <s v="18/06/2025"/>
    <s v="17/06/2026"/>
    <n v="2025"/>
    <m/>
    <m/>
    <m/>
    <s v="0 — NON"/>
  </r>
  <r>
    <s v="04428"/>
    <x v="381"/>
    <s v="AECPT"/>
    <s v="sable de dune"/>
    <s v="Active"/>
    <s v="Thiès"/>
    <s v="26/11/2025"/>
    <s v="25/11/2026"/>
    <n v="2025"/>
    <s v="CSE GRANULATS"/>
    <n v="100"/>
    <n v="2022"/>
    <s v="1 — OUI"/>
  </r>
  <r>
    <s v="04429"/>
    <x v="382"/>
    <s v="AECPT"/>
    <s v="sable de dune"/>
    <s v="Active"/>
    <s v="Diourbel"/>
    <s v="23/12/2025"/>
    <s v="22/12/2026"/>
    <n v="2025"/>
    <m/>
    <m/>
    <m/>
    <s v="0 — NON"/>
  </r>
  <r>
    <s v="04430"/>
    <x v="383"/>
    <s v="AECPT"/>
    <s v="latérite"/>
    <s v="Active"/>
    <s v="Thiès"/>
    <s v="11/12/2025"/>
    <s v="10/12/2026"/>
    <n v="2025"/>
    <s v="GLADIAMA SUARL"/>
    <n v="100"/>
    <n v="2022"/>
    <s v="1 — OUI"/>
  </r>
  <r>
    <s v="04431"/>
    <x v="383"/>
    <s v="AECPT"/>
    <s v="latérite"/>
    <s v="Active"/>
    <s v="Thiès"/>
    <s v="11/12/2025"/>
    <s v="10/12/2026"/>
    <n v="2025"/>
    <s v="GLADIAMA SUARL"/>
    <n v="100"/>
    <n v="2022"/>
    <s v="1 — OUI"/>
  </r>
  <r>
    <s v="04432"/>
    <x v="384"/>
    <s v="AP"/>
    <s v="basalte"/>
    <s v="Active"/>
    <s v="Thiès"/>
    <s v="27/06/2025"/>
    <s v="26/12/2025"/>
    <n v="2025"/>
    <m/>
    <m/>
    <m/>
    <s v="0 — NON"/>
  </r>
  <r>
    <s v="04433"/>
    <x v="363"/>
    <s v="AECPT"/>
    <s v="latérite"/>
    <s v="Active"/>
    <s v="Kedougou"/>
    <s v="29/09/2025"/>
    <s v="28/09/2026"/>
    <n v="2025"/>
    <s v="SABODALA GOLD OPERATIONS"/>
    <n v="92.3"/>
    <n v="2022"/>
    <s v="1 — OUI"/>
  </r>
  <r>
    <s v="04434"/>
    <x v="12"/>
    <s v="AECPT"/>
    <s v="latérite"/>
    <s v="Active"/>
    <s v="Kedougou"/>
    <s v="29/09/2025"/>
    <s v="28/09/2026"/>
    <n v="2025"/>
    <s v="SABODALA GOLD OPERATIONS"/>
    <n v="92.3"/>
    <n v="2022"/>
    <s v="1 — OUI"/>
  </r>
  <r>
    <s v="04435"/>
    <x v="385"/>
    <s v="AP"/>
    <m/>
    <s v="Active"/>
    <s v="Tambacounda"/>
    <s v="01/12/2025"/>
    <s v="31/05/2026"/>
    <n v="2025"/>
    <s v="SOCIETE DES MINES DU SENEGAL (SOMISEN)"/>
    <n v="87.5"/>
    <n v="2025"/>
    <s v="1 — OUI"/>
  </r>
  <r>
    <s v="04436"/>
    <x v="362"/>
    <s v="AECPT"/>
    <s v="sable de dune"/>
    <s v="Active"/>
    <s v="Kaffrine"/>
    <s v="27/11/2025"/>
    <s v="26/11/2026"/>
    <n v="2025"/>
    <m/>
    <m/>
    <m/>
    <s v="0 — NON"/>
  </r>
  <r>
    <s v="04437"/>
    <x v="386"/>
    <s v="AECPT"/>
    <s v="sable de dune"/>
    <s v="Active"/>
    <s v="Kaolack"/>
    <s v="27/11/2025"/>
    <s v="26/11/2026"/>
    <n v="2025"/>
    <m/>
    <m/>
    <m/>
    <s v="0 — NON"/>
  </r>
  <r>
    <s v="04438"/>
    <x v="387"/>
    <s v="AECPT"/>
    <s v="Argile"/>
    <s v="Active"/>
    <s v="Dakar"/>
    <s v="23/12/2025"/>
    <s v="22/12/2026"/>
    <n v="2025"/>
    <s v="MC TRANSPORT AND TRADING (MC2T)"/>
    <n v="90.6"/>
    <n v="2024"/>
    <s v="1 — OUI"/>
  </r>
  <r>
    <s v="04439"/>
    <x v="387"/>
    <s v="AECPT"/>
    <s v="latérite"/>
    <s v="Active"/>
    <s v="Dakar"/>
    <s v="23/12/2025"/>
    <s v="22/12/2026"/>
    <n v="2025"/>
    <s v="MC TRANSPORT AND TRADING (MC2T)"/>
    <n v="90.6"/>
    <n v="2024"/>
    <s v="1 — OUI"/>
  </r>
  <r>
    <s v="04440"/>
    <x v="388"/>
    <s v="AECPT"/>
    <s v="latérite"/>
    <s v="Active"/>
    <s v="Thiès"/>
    <s v="29/09/2025"/>
    <s v="28/09/2026"/>
    <n v="2025"/>
    <s v="LES GRANDES CARRIERES DU SENEGAL"/>
    <n v="100"/>
    <n v="2021"/>
    <s v="1 — OUI"/>
  </r>
  <r>
    <s v="04441"/>
    <x v="389"/>
    <s v="AECPubT"/>
    <s v="sable de dune"/>
    <s v="Active"/>
    <s v="Kaolack"/>
    <s v="08/09/2025"/>
    <s v="07/09/2026"/>
    <n v="2025"/>
    <m/>
    <m/>
    <m/>
    <s v="0 — NON"/>
  </r>
  <r>
    <s v="04443"/>
    <x v="390"/>
    <s v="AECPT"/>
    <s v="latérite"/>
    <s v="Active"/>
    <s v="Thiès"/>
    <s v="07/07/2025"/>
    <s v="06/07/2026"/>
    <n v="2025"/>
    <m/>
    <m/>
    <m/>
    <s v="0 — NON"/>
  </r>
  <r>
    <s v="04445"/>
    <x v="391"/>
    <s v="PE"/>
    <s v="calcaire"/>
    <s v="Active"/>
    <s v="Thiès"/>
    <s v="14/02/2024"/>
    <s v="13/02/2044"/>
    <n v="2024"/>
    <m/>
    <m/>
    <m/>
    <s v="0 — NON"/>
  </r>
  <r>
    <s v="04448"/>
    <x v="392"/>
    <s v="AP"/>
    <s v="Argile, calcaire, latérite"/>
    <s v="Active"/>
    <s v="Thiès"/>
    <s v="09/12/2025"/>
    <s v="08/06/2026"/>
    <n v="2025"/>
    <m/>
    <m/>
    <m/>
    <s v="0 — NON"/>
  </r>
  <r>
    <s v="04462"/>
    <x v="393"/>
    <s v="AECPT"/>
    <s v="sable de dune"/>
    <s v="Active"/>
    <s v="Thiès"/>
    <s v="22/12/2025"/>
    <s v="21/12/2026"/>
    <n v="2025"/>
    <m/>
    <m/>
    <m/>
    <s v="0 — NON"/>
  </r>
  <r>
    <s v="04471"/>
    <x v="394"/>
    <s v="AP"/>
    <s v="basalte"/>
    <s v="Active"/>
    <s v="Thiès"/>
    <s v="26/01/2026"/>
    <s v="25/07/2026"/>
    <n v="2026"/>
    <m/>
    <m/>
    <m/>
    <s v="0 — NON"/>
  </r>
  <r>
    <s v="04472"/>
    <x v="395"/>
    <s v="AP"/>
    <s v="Argile"/>
    <s v="Active"/>
    <s v="Tambacounda"/>
    <s v="23/02/2026"/>
    <s v="22/08/2026"/>
    <n v="2026"/>
    <s v="DANGOTE CEMENT SENEGAL"/>
    <n v="100"/>
    <n v="2021"/>
    <s v="1 — OUI"/>
  </r>
  <r>
    <s v="04487"/>
    <x v="389"/>
    <s v="AECPubT"/>
    <s v="sable de dune"/>
    <s v="Active"/>
    <s v="Kaolack"/>
    <s v="20/04/2026"/>
    <s v="19/04/2027"/>
    <n v="2026"/>
    <m/>
    <m/>
    <m/>
    <s v="0 — NON"/>
  </r>
  <r>
    <s v="A02352"/>
    <x v="396"/>
    <s v="AECPP"/>
    <s v="calcaire"/>
    <s v="Renouvellement en Cours"/>
    <s v="Thiès"/>
    <s v="19/02/2015"/>
    <s v="18/02/2025"/>
    <n v="2015"/>
    <m/>
    <m/>
    <m/>
    <s v="0 — NON"/>
  </r>
  <r>
    <s v="A02353"/>
    <x v="397"/>
    <s v="AECPP"/>
    <s v="calcaire"/>
    <s v="Active"/>
    <s v="Thiès"/>
    <s v="19/02/2015"/>
    <s v="18/02/2025"/>
    <n v="2015"/>
    <m/>
    <m/>
    <m/>
    <s v="0 — NON"/>
  </r>
  <r>
    <s v="A02472-18"/>
    <x v="31"/>
    <s v="CO"/>
    <s v="Au"/>
    <s v="Active"/>
    <s v="Kedougou"/>
    <m/>
    <m/>
    <m/>
    <m/>
    <m/>
    <m/>
    <s v="0 — NON"/>
  </r>
  <r>
    <s v="A02472-19"/>
    <x v="31"/>
    <s v="CO"/>
    <s v="Au"/>
    <s v="Active"/>
    <s v="Kedougou"/>
    <m/>
    <m/>
    <m/>
    <m/>
    <m/>
    <m/>
    <s v="0 — NON"/>
  </r>
  <r>
    <s v="A008024"/>
    <x v="398"/>
    <s v="AECPP"/>
    <s v="grès"/>
    <s v="Active"/>
    <s v="Thiès"/>
    <s v="09/08/2007"/>
    <s v="29/06/2026"/>
    <n v="2007"/>
    <m/>
    <m/>
    <m/>
    <s v="0 — NON"/>
  </r>
  <r>
    <s v="A00010660"/>
    <x v="399"/>
    <s v="AECPP"/>
    <s v="calcaire"/>
    <s v="Renouvellement en Cours"/>
    <s v="Thiès"/>
    <s v="26/06/2014"/>
    <s v="25/06/2024"/>
    <n v="2014"/>
    <s v="&quot; INCA &quot; SARL"/>
    <n v="100"/>
    <n v="2022"/>
    <s v="1 — OUI"/>
  </r>
  <r>
    <s v="A012439"/>
    <x v="400"/>
    <s v="AECPP"/>
    <s v="grès"/>
    <s v="Active"/>
    <s v="Thiès"/>
    <s v="26/07/2013"/>
    <s v="29/03/2029"/>
    <n v="2013"/>
    <m/>
    <m/>
    <m/>
    <s v="0 — NON"/>
  </r>
  <r>
    <s v="A13985"/>
    <x v="401"/>
    <s v="AEMSM"/>
    <s v="Au"/>
    <s v="Renouvellement en Cours"/>
    <s v="Kedougou"/>
    <s v="08/08/2017"/>
    <s v="08/08/2020"/>
    <n v="2017"/>
    <m/>
    <m/>
    <m/>
    <s v="0 — NON"/>
  </r>
  <r>
    <s v="A014208"/>
    <x v="402"/>
    <s v="AEMSM"/>
    <s v="Au"/>
    <s v="Active"/>
    <s v="Kedougou"/>
    <s v="30/08/2013"/>
    <s v="06/07/2024"/>
    <n v="2013"/>
    <m/>
    <m/>
    <m/>
    <s v="0 — NON"/>
  </r>
  <r>
    <s v="A15099"/>
    <x v="403"/>
    <s v="PR"/>
    <s v="Au"/>
    <s v="Renouvellement en Cours"/>
    <s v="Kedougou"/>
    <s v="22/08/2017"/>
    <s v="20/08/2024"/>
    <n v="2017"/>
    <m/>
    <m/>
    <m/>
    <s v="0 — NON"/>
  </r>
  <r>
    <s v="A17620"/>
    <x v="404"/>
    <s v="AEMSM"/>
    <s v="Au"/>
    <s v="Renouvellement en Cours"/>
    <s v="Kedougou"/>
    <s v="01/12/2016"/>
    <s v="03/01/2027"/>
    <n v="2016"/>
    <m/>
    <m/>
    <m/>
    <s v="0 — NON"/>
  </r>
  <r>
    <s v="A018463"/>
    <x v="405"/>
    <s v="AEHTR"/>
    <s v="Sl"/>
    <s v="Active"/>
    <s v="Thiès"/>
    <s v="20/07/2022"/>
    <s v="19/07/2027"/>
    <n v="2022"/>
    <m/>
    <m/>
    <m/>
    <s v="0 — NON"/>
  </r>
  <r>
    <s v="A027976"/>
    <x v="406"/>
    <s v="AEHTR"/>
    <s v="Sl"/>
    <s v="Active"/>
    <s v="Thiès"/>
    <s v="14/12/2020"/>
    <s v="13/12/2025"/>
    <n v="2020"/>
    <m/>
    <m/>
    <m/>
    <s v="0 — NON"/>
  </r>
  <r>
    <s v="DACPT 2019"/>
    <x v="407"/>
    <s v="AECPT"/>
    <s v="granite"/>
    <s v="Renouvellement en Cours"/>
    <s v="Kedougou"/>
    <s v="27/10/2022"/>
    <s v="08/11/2024"/>
    <n v="2022"/>
    <m/>
    <m/>
    <m/>
    <s v="0 — NON"/>
  </r>
  <r>
    <s v="DAESM28122020"/>
    <x v="408"/>
    <s v="AEMSM"/>
    <s v="Au"/>
    <s v="Renouvellement en Cours"/>
    <s v="Kedougou"/>
    <s v="27/07/2021"/>
    <s v="26/07/2024"/>
    <n v="2021"/>
    <m/>
    <m/>
    <m/>
    <s v="0 — NON"/>
  </r>
  <r>
    <s v="Demande N° 11483"/>
    <x v="409"/>
    <s v="AECPubT"/>
    <s v="latérite"/>
    <s v="Active"/>
    <s v="Saint Louis"/>
    <s v="18/03/2024"/>
    <s v="17/03/2025"/>
    <n v="2024"/>
    <m/>
    <m/>
    <m/>
    <s v="0 — NON"/>
  </r>
  <r>
    <s v="Demande N° 11493"/>
    <x v="410"/>
    <s v="AECPubT"/>
    <s v="latérite"/>
    <s v="Active"/>
    <s v="Saint Louis"/>
    <s v="21/03/2024"/>
    <s v="20/03/2025"/>
    <n v="2024"/>
    <m/>
    <m/>
    <m/>
    <s v="0 — NON"/>
  </r>
  <r>
    <s v="DPR22102018"/>
    <x v="411"/>
    <s v="PR"/>
    <s v="Au"/>
    <s v="Active"/>
    <s v="Kedougou"/>
    <s v="28/07/2021"/>
    <s v="27/07/2025"/>
    <n v="2021"/>
    <s v="AGEM SENEGAL EXPLORATION"/>
    <n v="100"/>
    <n v="2022"/>
    <s v="1 — OUI"/>
  </r>
  <r>
    <s v="RRC/00002/2025"/>
    <x v="412"/>
    <s v="RR-S"/>
    <m/>
    <s v="Active"/>
    <m/>
    <s v="20/05/2025"/>
    <s v="20/05/2025"/>
    <n v="2025"/>
    <m/>
    <m/>
    <m/>
    <s v="0 — NON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x v="0"/>
    <x v="0"/>
    <x v="0"/>
    <x v="0"/>
    <x v="0"/>
    <x v="0"/>
    <x v="0"/>
    <x v="0"/>
    <s v="SÉNÉGAL"/>
    <s v="SÉNÉGAL"/>
    <s v="NULL"/>
    <n v="0"/>
    <s v="NULL"/>
    <s v="Greffe"/>
    <s v="Dakar"/>
  </r>
  <r>
    <x v="0"/>
    <x v="1"/>
    <x v="1"/>
    <x v="1"/>
    <x v="1"/>
    <x v="0"/>
    <x v="1"/>
    <x v="0"/>
    <s v="ALBANIE"/>
    <s v="ALBANIE"/>
    <s v="NULL"/>
    <n v="0"/>
    <s v="NULL"/>
    <s v="Greffe"/>
    <s v="Dakar"/>
  </r>
  <r>
    <x v="0"/>
    <x v="2"/>
    <x v="2"/>
    <x v="2"/>
    <x v="2"/>
    <x v="0"/>
    <x v="2"/>
    <x v="0"/>
    <s v="SÉNÉGAL"/>
    <s v="SÉNÉGAL"/>
    <s v="NULL"/>
    <n v="0"/>
    <s v="NULL"/>
    <s v="Greffe"/>
    <s v="Dakar"/>
  </r>
  <r>
    <x v="0"/>
    <x v="3"/>
    <x v="3"/>
    <x v="3"/>
    <x v="2"/>
    <x v="0"/>
    <x v="2"/>
    <x v="0"/>
    <s v="SÉNÉGAL"/>
    <s v="SÉNÉGAL"/>
    <s v="NULL"/>
    <n v="0"/>
    <s v="NULL"/>
    <s v="Greffe"/>
    <s v="Dakar"/>
  </r>
  <r>
    <x v="0"/>
    <x v="3"/>
    <x v="3"/>
    <x v="4"/>
    <x v="3"/>
    <x v="0"/>
    <x v="3"/>
    <x v="0"/>
    <s v="SÉNÉGAL"/>
    <s v="SÉNÉGAL"/>
    <s v="NULL"/>
    <n v="0"/>
    <s v="NULL"/>
    <s v="Greffe"/>
    <s v="Dakar"/>
  </r>
  <r>
    <x v="0"/>
    <x v="4"/>
    <x v="4"/>
    <x v="5"/>
    <x v="3"/>
    <x v="0"/>
    <x v="4"/>
    <x v="0"/>
    <s v="SÉNÉGAL"/>
    <s v="SÉNÉGAL"/>
    <s v="NULL"/>
    <n v="0"/>
    <s v="NULL"/>
    <s v="Greffe"/>
    <s v="Dakar"/>
  </r>
  <r>
    <x v="0"/>
    <x v="4"/>
    <x v="4"/>
    <x v="6"/>
    <x v="4"/>
    <x v="0"/>
    <x v="5"/>
    <x v="1"/>
    <s v="SÉNÉGAL"/>
    <s v="SÉNÉGAL"/>
    <s v="SENEGAL"/>
    <n v="0"/>
    <s v="CHEIKHOUNA THIOUNE"/>
    <s v="Greffe"/>
    <s v="Dakar"/>
  </r>
  <r>
    <x v="0"/>
    <x v="4"/>
    <x v="4"/>
    <x v="7"/>
    <x v="4"/>
    <x v="0"/>
    <x v="5"/>
    <x v="1"/>
    <s v="SÉNÉGAL"/>
    <s v="SÉNÉGAL"/>
    <s v="SÉNÉGAL"/>
    <n v="0"/>
    <s v="CHEIKHOUNA THIOUNE"/>
    <s v="Greffe"/>
    <s v="Dakar"/>
  </r>
  <r>
    <x v="0"/>
    <x v="5"/>
    <x v="5"/>
    <x v="8"/>
    <x v="5"/>
    <x v="0"/>
    <x v="6"/>
    <x v="2"/>
    <s v="NIGÉRIA"/>
    <s v="NIGÉRIA"/>
    <s v="NULL"/>
    <n v="0"/>
    <s v="NULL"/>
    <s v="Greffe"/>
    <s v="Dakar"/>
  </r>
  <r>
    <x v="0"/>
    <x v="6"/>
    <x v="6"/>
    <x v="9"/>
    <x v="2"/>
    <x v="0"/>
    <x v="2"/>
    <x v="0"/>
    <s v="SÉNÉGAL"/>
    <s v="SÉNÉGAL"/>
    <s v="NULL"/>
    <n v="0"/>
    <s v="NULL"/>
    <s v="Greffe"/>
    <s v="Dakar"/>
  </r>
  <r>
    <x v="0"/>
    <x v="7"/>
    <x v="7"/>
    <x v="10"/>
    <x v="0"/>
    <x v="0"/>
    <x v="0"/>
    <x v="0"/>
    <s v="SÉNÉGAL"/>
    <s v="SÉNÉGAL"/>
    <s v="NULL"/>
    <n v="0"/>
    <s v="NULL"/>
    <s v="Greffe"/>
    <s v="Dakar"/>
  </r>
  <r>
    <x v="0"/>
    <x v="8"/>
    <x v="8"/>
    <x v="9"/>
    <x v="2"/>
    <x v="0"/>
    <x v="2"/>
    <x v="0"/>
    <s v="SÉNÉGAL"/>
    <s v="SÉNÉGAL"/>
    <s v="NULL"/>
    <n v="0"/>
    <s v="NULL"/>
    <s v="Greffe"/>
    <s v="Dakar"/>
  </r>
  <r>
    <x v="0"/>
    <x v="8"/>
    <x v="8"/>
    <x v="9"/>
    <x v="6"/>
    <x v="0"/>
    <x v="7"/>
    <x v="0"/>
    <s v="CANADA"/>
    <s v="CANADA"/>
    <s v="NULL"/>
    <n v="0"/>
    <s v="NULL"/>
    <s v="Greffe"/>
    <s v="Dakar"/>
  </r>
  <r>
    <x v="0"/>
    <x v="9"/>
    <x v="9"/>
    <x v="11"/>
    <x v="7"/>
    <x v="0"/>
    <x v="1"/>
    <x v="3"/>
    <s v="SÉNÉGAL"/>
    <s v="SÉNÉGAL"/>
    <s v="NULL"/>
    <n v="0"/>
    <s v="NULL"/>
    <s v="Greffe"/>
    <s v="Dakar"/>
  </r>
  <r>
    <x v="0"/>
    <x v="10"/>
    <x v="10"/>
    <x v="12"/>
    <x v="8"/>
    <x v="1"/>
    <x v="1"/>
    <x v="0"/>
    <s v="SÉNÉGAL"/>
    <s v="SÉNÉGAL"/>
    <s v="NULL"/>
    <n v="0"/>
    <s v="NULL"/>
    <s v="Greffe"/>
    <s v="Dakar"/>
  </r>
  <r>
    <x v="0"/>
    <x v="10"/>
    <x v="10"/>
    <x v="13"/>
    <x v="9"/>
    <x v="1"/>
    <x v="7"/>
    <x v="4"/>
    <s v="SÉNÉGAL"/>
    <s v="SÉNÉGAL"/>
    <s v="NULL"/>
    <n v="0"/>
    <s v="NULL"/>
    <s v="Greffe"/>
    <s v="Dakar"/>
  </r>
  <r>
    <x v="0"/>
    <x v="11"/>
    <x v="11"/>
    <x v="14"/>
    <x v="10"/>
    <x v="1"/>
    <x v="1"/>
    <x v="3"/>
    <s v="SÉNÉGAL"/>
    <s v="SÉNÉGAL"/>
    <s v="NULL"/>
    <n v="0"/>
    <s v="NULL"/>
    <s v="Greffe"/>
    <s v="Dakar"/>
  </r>
  <r>
    <x v="0"/>
    <x v="12"/>
    <x v="12"/>
    <x v="15"/>
    <x v="11"/>
    <x v="1"/>
    <x v="8"/>
    <x v="5"/>
    <s v="SÉNÉGAL"/>
    <s v="SÉNÉGAL"/>
    <s v="NULL"/>
    <n v="0"/>
    <s v="NULL"/>
    <s v="Greffe"/>
    <s v="Dakar"/>
  </r>
  <r>
    <x v="0"/>
    <x v="13"/>
    <x v="13"/>
    <x v="16"/>
    <x v="9"/>
    <x v="1"/>
    <x v="7"/>
    <x v="4"/>
    <s v="SÉNÉGAL"/>
    <s v="SÉNÉGAL"/>
    <s v="NULL"/>
    <n v="0"/>
    <s v="NULL"/>
    <s v="Greffe"/>
    <s v="Dakar"/>
  </r>
  <r>
    <x v="0"/>
    <x v="13"/>
    <x v="13"/>
    <x v="17"/>
    <x v="12"/>
    <x v="1"/>
    <x v="1"/>
    <x v="0"/>
    <s v="SÉNÉGAL"/>
    <s v="SÉNÉGAL"/>
    <s v="NULL"/>
    <n v="0"/>
    <s v="NULL"/>
    <s v="Greffe"/>
    <s v="Dakar"/>
  </r>
  <r>
    <x v="0"/>
    <x v="14"/>
    <x v="14"/>
    <x v="18"/>
    <x v="11"/>
    <x v="1"/>
    <x v="8"/>
    <x v="5"/>
    <s v="SÉNÉGAL"/>
    <s v="SÉNÉGAL"/>
    <s v="NULL"/>
    <n v="0"/>
    <s v="NULL"/>
    <s v="Greffe"/>
    <s v="Dakar"/>
  </r>
  <r>
    <x v="0"/>
    <x v="14"/>
    <x v="14"/>
    <x v="19"/>
    <x v="11"/>
    <x v="1"/>
    <x v="3"/>
    <x v="6"/>
    <s v="SÉNÉGAL"/>
    <s v="SÉNÉGAL"/>
    <s v="NULL"/>
    <n v="0"/>
    <s v="NULL"/>
    <s v="Greffe"/>
    <s v="Dakar"/>
  </r>
  <r>
    <x v="0"/>
    <x v="14"/>
    <x v="14"/>
    <x v="20"/>
    <x v="13"/>
    <x v="1"/>
    <x v="9"/>
    <x v="0"/>
    <s v="SÉNÉGAL"/>
    <s v="SÉNÉGAL"/>
    <s v="NULL"/>
    <n v="0"/>
    <s v="NULL"/>
    <s v="Greffe"/>
    <s v="Dakar"/>
  </r>
  <r>
    <x v="0"/>
    <x v="14"/>
    <x v="14"/>
    <x v="21"/>
    <x v="13"/>
    <x v="1"/>
    <x v="10"/>
    <x v="0"/>
    <s v="SÉNÉGAL"/>
    <s v="SÉNÉGAL"/>
    <s v="NULL"/>
    <n v="0"/>
    <s v="NULL"/>
    <s v="Greffe"/>
    <s v="Dakar"/>
  </r>
  <r>
    <x v="0"/>
    <x v="15"/>
    <x v="15"/>
    <x v="22"/>
    <x v="13"/>
    <x v="1"/>
    <x v="11"/>
    <x v="0"/>
    <s v="SÉNÉGAL"/>
    <s v="SÉNÉGAL"/>
    <s v="NULL"/>
    <n v="0"/>
    <s v="NULL"/>
    <s v="Greffe"/>
    <s v="Dakar"/>
  </r>
  <r>
    <x v="0"/>
    <x v="16"/>
    <x v="16"/>
    <x v="23"/>
    <x v="13"/>
    <x v="1"/>
    <x v="12"/>
    <x v="0"/>
    <s v="SÉNÉGAL"/>
    <s v="SÉNÉGAL"/>
    <s v="NULL"/>
    <n v="0"/>
    <s v="NULL"/>
    <s v="Greffe"/>
    <s v="Dakar"/>
  </r>
  <r>
    <x v="0"/>
    <x v="16"/>
    <x v="16"/>
    <x v="23"/>
    <x v="13"/>
    <x v="1"/>
    <x v="11"/>
    <x v="0"/>
    <s v="SÉNÉGAL"/>
    <s v="SÉNÉGAL"/>
    <s v="NULL"/>
    <n v="0"/>
    <s v="NULL"/>
    <s v="Greffe"/>
    <s v="Dakar"/>
  </r>
  <r>
    <x v="0"/>
    <x v="17"/>
    <x v="17"/>
    <x v="23"/>
    <x v="13"/>
    <x v="1"/>
    <x v="11"/>
    <x v="0"/>
    <s v="SÉNÉGAL"/>
    <s v="SÉNÉGAL"/>
    <s v="NULL"/>
    <n v="0"/>
    <s v="NULL"/>
    <s v="Greffe"/>
    <s v="Dakar"/>
  </r>
  <r>
    <x v="0"/>
    <x v="18"/>
    <x v="18"/>
    <x v="23"/>
    <x v="14"/>
    <x v="1"/>
    <x v="7"/>
    <x v="0"/>
    <s v="CANADA"/>
    <s v="CANADA"/>
    <s v="NULL"/>
    <n v="0"/>
    <s v="NULL"/>
    <s v="Greffe"/>
    <s v="Dakar"/>
  </r>
  <r>
    <x v="0"/>
    <x v="18"/>
    <x v="18"/>
    <x v="23"/>
    <x v="15"/>
    <x v="1"/>
    <x v="1"/>
    <x v="3"/>
    <s v="SÉNÉGAL"/>
    <s v="SÉNÉGAL"/>
    <s v="NULL"/>
    <n v="0"/>
    <s v="NULL"/>
    <s v="Greffe"/>
    <s v="Dakar"/>
  </r>
  <r>
    <x v="0"/>
    <x v="19"/>
    <x v="19"/>
    <x v="24"/>
    <x v="16"/>
    <x v="1"/>
    <x v="3"/>
    <x v="6"/>
    <s v="SÉNÉGAL"/>
    <s v="SÉNÉGAL"/>
    <s v="NULL"/>
    <n v="0"/>
    <s v="NULL"/>
    <s v="Greffe"/>
    <s v="Dakar"/>
  </r>
  <r>
    <x v="0"/>
    <x v="20"/>
    <x v="20"/>
    <x v="25"/>
    <x v="16"/>
    <x v="1"/>
    <x v="3"/>
    <x v="6"/>
    <s v="SÉNÉGAL"/>
    <s v="SÉNÉGAL"/>
    <s v="NULL"/>
    <n v="0"/>
    <s v="NULL"/>
    <s v="Greffe"/>
    <s v="Dakar"/>
  </r>
  <r>
    <x v="0"/>
    <x v="21"/>
    <x v="21"/>
    <x v="26"/>
    <x v="17"/>
    <x v="1"/>
    <x v="1"/>
    <x v="3"/>
    <s v="SÉNÉGAL"/>
    <s v="SÉNÉGAL"/>
    <s v="NULL"/>
    <n v="0"/>
    <s v="NULL"/>
    <s v="Greffe"/>
    <s v="Dakar"/>
  </r>
  <r>
    <x v="0"/>
    <x v="22"/>
    <x v="22"/>
    <x v="27"/>
    <x v="18"/>
    <x v="1"/>
    <x v="7"/>
    <x v="0"/>
    <s v="ALLEMAGNE"/>
    <s v="ALLEMAGNE"/>
    <s v="NULL"/>
    <n v="0"/>
    <s v="NULL"/>
    <s v="Greffe"/>
    <s v="Dakar"/>
  </r>
  <r>
    <x v="0"/>
    <x v="23"/>
    <x v="23"/>
    <x v="27"/>
    <x v="19"/>
    <x v="1"/>
    <x v="1"/>
    <x v="3"/>
    <s v="SÉNÉGAL"/>
    <s v="SÉNÉGAL"/>
    <s v="NULL"/>
    <n v="0"/>
    <s v="NULL"/>
    <s v="Greffe"/>
    <s v="Dakar"/>
  </r>
  <r>
    <x v="0"/>
    <x v="24"/>
    <x v="24"/>
    <x v="28"/>
    <x v="20"/>
    <x v="1"/>
    <x v="1"/>
    <x v="3"/>
    <s v="SÉNÉGAL"/>
    <s v="SÉNÉGAL"/>
    <s v="NULL"/>
    <n v="0"/>
    <s v="NULL"/>
    <s v="Greffe"/>
    <s v="Dakar"/>
  </r>
  <r>
    <x v="0"/>
    <x v="24"/>
    <x v="24"/>
    <x v="29"/>
    <x v="21"/>
    <x v="1"/>
    <x v="7"/>
    <x v="0"/>
    <s v="CANADA"/>
    <s v="CANADA"/>
    <s v="NULL"/>
    <n v="0"/>
    <s v="NULL"/>
    <s v="Greffe"/>
    <s v="Dakar"/>
  </r>
  <r>
    <x v="0"/>
    <x v="25"/>
    <x v="25"/>
    <x v="30"/>
    <x v="22"/>
    <x v="1"/>
    <x v="1"/>
    <x v="3"/>
    <s v="SÉNÉGAL"/>
    <s v="SÉNÉGAL"/>
    <s v="NULL"/>
    <n v="0"/>
    <s v="NULL"/>
    <s v="Greffe"/>
    <s v="Dakar"/>
  </r>
  <r>
    <x v="0"/>
    <x v="25"/>
    <x v="25"/>
    <x v="31"/>
    <x v="23"/>
    <x v="1"/>
    <x v="1"/>
    <x v="3"/>
    <s v="SÉNÉGAL"/>
    <s v="SÉNÉGAL"/>
    <s v="NULL"/>
    <n v="0"/>
    <s v="NULL"/>
    <s v="Greffe"/>
    <s v="Dakar"/>
  </r>
  <r>
    <x v="0"/>
    <x v="25"/>
    <x v="25"/>
    <x v="32"/>
    <x v="24"/>
    <x v="1"/>
    <x v="13"/>
    <x v="7"/>
    <s v="SÉNÉGAL"/>
    <s v="SÉNÉGAL"/>
    <s v="NULL"/>
    <n v="0"/>
    <s v="NULL"/>
    <s v="Greffe"/>
    <s v="Dakar"/>
  </r>
  <r>
    <x v="0"/>
    <x v="25"/>
    <x v="25"/>
    <x v="33"/>
    <x v="24"/>
    <x v="1"/>
    <x v="0"/>
    <x v="8"/>
    <s v="SÉNÉGAL"/>
    <s v="SÉNÉGAL"/>
    <s v="NULL"/>
    <n v="0"/>
    <s v="NULL"/>
    <s v="Greffe"/>
    <s v="Dakar"/>
  </r>
  <r>
    <x v="0"/>
    <x v="26"/>
    <x v="26"/>
    <x v="34"/>
    <x v="25"/>
    <x v="1"/>
    <x v="10"/>
    <x v="9"/>
    <s v="SÉNÉGAL"/>
    <s v="SÉNÉGAL"/>
    <s v="NULL"/>
    <n v="0"/>
    <s v="NULL"/>
    <s v="Greffe"/>
    <s v="Dakar"/>
  </r>
  <r>
    <x v="0"/>
    <x v="27"/>
    <x v="27"/>
    <x v="35"/>
    <x v="25"/>
    <x v="1"/>
    <x v="14"/>
    <x v="10"/>
    <s v="SÉNÉGAL"/>
    <s v="SÉNÉGAL"/>
    <s v="NULL"/>
    <n v="0"/>
    <s v="NULL"/>
    <s v="Greffe"/>
    <s v="Dakar"/>
  </r>
  <r>
    <x v="0"/>
    <x v="28"/>
    <x v="28"/>
    <x v="36"/>
    <x v="26"/>
    <x v="0"/>
    <x v="15"/>
    <x v="0"/>
    <s v="CAMEROUN"/>
    <s v="CAMEROUN"/>
    <s v="NULL"/>
    <n v="0"/>
    <s v="NULL"/>
    <s v="Greffe"/>
    <s v="Dakar"/>
  </r>
  <r>
    <x v="0"/>
    <x v="28"/>
    <x v="28"/>
    <x v="36"/>
    <x v="27"/>
    <x v="1"/>
    <x v="16"/>
    <x v="11"/>
    <s v="SÉNÉGAL"/>
    <s v="SÉNÉGAL"/>
    <s v="NULL"/>
    <n v="0"/>
    <s v="NULL"/>
    <s v="Greffe"/>
    <s v="Dakar"/>
  </r>
  <r>
    <x v="0"/>
    <x v="29"/>
    <x v="29"/>
    <x v="37"/>
    <x v="25"/>
    <x v="1"/>
    <x v="3"/>
    <x v="6"/>
    <s v="SÉNÉGAL"/>
    <s v="SÉNÉGAL"/>
    <s v="NULL"/>
    <n v="0"/>
    <s v="NULL"/>
    <s v="Greffe"/>
    <s v="Dakar"/>
  </r>
  <r>
    <x v="0"/>
    <x v="30"/>
    <x v="30"/>
    <x v="38"/>
    <x v="28"/>
    <x v="1"/>
    <x v="0"/>
    <x v="8"/>
    <s v="SÉNÉGAL"/>
    <s v="SÉNÉGAL"/>
    <s v="NULL"/>
    <n v="0"/>
    <s v="NULL"/>
    <s v="Greffe"/>
    <s v="Dakar"/>
  </r>
  <r>
    <x v="0"/>
    <x v="31"/>
    <x v="31"/>
    <x v="39"/>
    <x v="28"/>
    <x v="1"/>
    <x v="8"/>
    <x v="5"/>
    <s v="MAURITANIE"/>
    <s v="MAURITANIE"/>
    <s v="NULL"/>
    <n v="0"/>
    <s v="NULL"/>
    <s v="Greffe"/>
    <s v="Dakar"/>
  </r>
  <r>
    <x v="0"/>
    <x v="32"/>
    <x v="32"/>
    <x v="40"/>
    <x v="28"/>
    <x v="1"/>
    <x v="8"/>
    <x v="5"/>
    <s v="SÉNÉGAL"/>
    <s v="SÉNÉGAL"/>
    <s v="NULL"/>
    <n v="0"/>
    <s v="NULL"/>
    <s v="Greffe"/>
    <s v="Dakar"/>
  </r>
  <r>
    <x v="0"/>
    <x v="33"/>
    <x v="33"/>
    <x v="41"/>
    <x v="29"/>
    <x v="1"/>
    <x v="2"/>
    <x v="12"/>
    <s v="SÉNÉGAL"/>
    <s v="SÉNÉGAL"/>
    <s v="NULL"/>
    <n v="0"/>
    <s v="NULL"/>
    <s v="Greffe"/>
    <s v="Dakar"/>
  </r>
  <r>
    <x v="0"/>
    <x v="34"/>
    <x v="34"/>
    <x v="42"/>
    <x v="29"/>
    <x v="1"/>
    <x v="3"/>
    <x v="6"/>
    <s v="SÉNÉGAL"/>
    <s v="SÉNÉGAL"/>
    <s v="NULL"/>
    <n v="0"/>
    <s v="NULL"/>
    <s v="Greffe"/>
    <s v="Dakar"/>
  </r>
  <r>
    <x v="0"/>
    <x v="34"/>
    <x v="34"/>
    <x v="43"/>
    <x v="29"/>
    <x v="1"/>
    <x v="15"/>
    <x v="13"/>
    <s v="SÉNÉGAL"/>
    <s v="SÉNÉGAL"/>
    <s v="NULL"/>
    <n v="0"/>
    <s v="NULL"/>
    <s v="Greffe"/>
    <s v="Dakar"/>
  </r>
  <r>
    <x v="0"/>
    <x v="34"/>
    <x v="34"/>
    <x v="44"/>
    <x v="29"/>
    <x v="1"/>
    <x v="3"/>
    <x v="6"/>
    <s v="SÉNÉGAL"/>
    <s v="SÉNÉGAL"/>
    <s v="NULL"/>
    <n v="0"/>
    <s v="NULL"/>
    <s v="Greffe"/>
    <s v="Dakar"/>
  </r>
  <r>
    <x v="0"/>
    <x v="35"/>
    <x v="35"/>
    <x v="45"/>
    <x v="30"/>
    <x v="1"/>
    <x v="1"/>
    <x v="0"/>
    <s v="SÉNÉGAL"/>
    <s v="SÉNÉGAL"/>
    <s v="NULL"/>
    <n v="0"/>
    <s v="NULL"/>
    <s v="Greffe"/>
    <s v="Dakar"/>
  </r>
  <r>
    <x v="0"/>
    <x v="35"/>
    <x v="35"/>
    <x v="46"/>
    <x v="31"/>
    <x v="1"/>
    <x v="1"/>
    <x v="3"/>
    <s v="SÉNÉGAL"/>
    <s v="SÉNÉGAL"/>
    <s v="NULL"/>
    <n v="0"/>
    <s v="NULL"/>
    <s v="Greffe"/>
    <s v="Dakar"/>
  </r>
  <r>
    <x v="0"/>
    <x v="36"/>
    <x v="36"/>
    <x v="47"/>
    <x v="32"/>
    <x v="1"/>
    <x v="10"/>
    <x v="9"/>
    <s v="SÉNÉGAL"/>
    <s v="SÉNÉGAL"/>
    <s v="NULL"/>
    <n v="0"/>
    <s v="NULL"/>
    <s v="Greffe"/>
    <s v="Dakar"/>
  </r>
  <r>
    <x v="0"/>
    <x v="36"/>
    <x v="36"/>
    <x v="48"/>
    <x v="32"/>
    <x v="1"/>
    <x v="17"/>
    <x v="14"/>
    <s v="SÉNÉGAL"/>
    <s v="SÉNÉGAL"/>
    <s v="NULL"/>
    <n v="0"/>
    <s v="NULL"/>
    <s v="Greffe"/>
    <s v="Dakar"/>
  </r>
  <r>
    <x v="0"/>
    <x v="37"/>
    <x v="37"/>
    <x v="48"/>
    <x v="32"/>
    <x v="1"/>
    <x v="18"/>
    <x v="15"/>
    <s v="SÉNÉGAL"/>
    <s v="SÉNÉGAL"/>
    <s v="NULL"/>
    <n v="0"/>
    <s v="NULL"/>
    <s v="Greffe"/>
    <s v="Dakar"/>
  </r>
  <r>
    <x v="0"/>
    <x v="38"/>
    <x v="38"/>
    <x v="48"/>
    <x v="32"/>
    <x v="1"/>
    <x v="19"/>
    <x v="16"/>
    <s v="SÉNÉGAL"/>
    <s v="SÉNÉGAL"/>
    <s v="NULL"/>
    <n v="0"/>
    <s v="NULL"/>
    <s v="Greffe"/>
    <s v="Dakar"/>
  </r>
  <r>
    <x v="0"/>
    <x v="39"/>
    <x v="39"/>
    <x v="48"/>
    <x v="33"/>
    <x v="1"/>
    <x v="1"/>
    <x v="3"/>
    <s v="SÉNÉGAL"/>
    <s v="SÉNÉGAL"/>
    <s v="NULL"/>
    <n v="0"/>
    <s v="NULL"/>
    <s v="Greffe"/>
    <s v="Dakar"/>
  </r>
  <r>
    <x v="0"/>
    <x v="40"/>
    <x v="40"/>
    <x v="49"/>
    <x v="34"/>
    <x v="1"/>
    <x v="5"/>
    <x v="1"/>
    <s v="SÉNÉGAL"/>
    <s v="SÉNÉGAL"/>
    <s v="NULL"/>
    <n v="0"/>
    <s v="NULL"/>
    <s v="Greffe"/>
    <s v="Dakar"/>
  </r>
  <r>
    <x v="0"/>
    <x v="40"/>
    <x v="40"/>
    <x v="50"/>
    <x v="34"/>
    <x v="1"/>
    <x v="5"/>
    <x v="1"/>
    <s v="SÉNÉGAL"/>
    <s v="SÉNÉGAL"/>
    <s v="NULL"/>
    <n v="0"/>
    <s v="NULL"/>
    <s v="Greffe"/>
    <s v="Dakar"/>
  </r>
  <r>
    <x v="0"/>
    <x v="40"/>
    <x v="40"/>
    <x v="51"/>
    <x v="35"/>
    <x v="1"/>
    <x v="20"/>
    <x v="17"/>
    <s v="GAMBIE"/>
    <s v="GAMBIE"/>
    <s v="NULL"/>
    <n v="0"/>
    <s v="NULL"/>
    <s v="Greffe"/>
    <s v="Dakar"/>
  </r>
  <r>
    <x v="0"/>
    <x v="41"/>
    <x v="41"/>
    <x v="52"/>
    <x v="36"/>
    <x v="1"/>
    <x v="1"/>
    <x v="3"/>
    <s v="SÉNÉGAL"/>
    <s v="SÉNÉGAL"/>
    <s v="NULL"/>
    <n v="0"/>
    <s v="NULL"/>
    <s v="Greffe"/>
    <s v="Dakar"/>
  </r>
  <r>
    <x v="0"/>
    <x v="41"/>
    <x v="41"/>
    <x v="52"/>
    <x v="35"/>
    <x v="1"/>
    <x v="10"/>
    <x v="9"/>
    <s v="SÉNÉGAL"/>
    <s v="SÉNÉGAL"/>
    <s v="NULL"/>
    <n v="0"/>
    <s v="NULL"/>
    <s v="Greffe"/>
    <s v="Dakar"/>
  </r>
  <r>
    <x v="0"/>
    <x v="41"/>
    <x v="41"/>
    <x v="52"/>
    <x v="35"/>
    <x v="1"/>
    <x v="12"/>
    <x v="18"/>
    <s v="MAURITANIE"/>
    <s v="MAURITANIE"/>
    <s v="NULL"/>
    <n v="0"/>
    <s v="NULL"/>
    <s v="Greffe"/>
    <s v="Dakar"/>
  </r>
  <r>
    <x v="0"/>
    <x v="41"/>
    <x v="41"/>
    <x v="53"/>
    <x v="35"/>
    <x v="1"/>
    <x v="9"/>
    <x v="19"/>
    <s v="SÉNÉGAL"/>
    <s v="SÉNÉGAL"/>
    <s v="NULL"/>
    <n v="0"/>
    <s v="NULL"/>
    <s v="Greffe"/>
    <s v="Dakar"/>
  </r>
  <r>
    <x v="0"/>
    <x v="41"/>
    <x v="41"/>
    <x v="54"/>
    <x v="37"/>
    <x v="1"/>
    <x v="1"/>
    <x v="3"/>
    <s v="ALLEMAGNE"/>
    <s v="ALLEMAGNE"/>
    <s v="NULL"/>
    <n v="0"/>
    <s v="NULL"/>
    <s v="Greffe"/>
    <s v="Dakar"/>
  </r>
  <r>
    <x v="0"/>
    <x v="41"/>
    <x v="41"/>
    <x v="55"/>
    <x v="38"/>
    <x v="1"/>
    <x v="17"/>
    <x v="14"/>
    <s v="SÉNÉGAL"/>
    <s v="SÉNÉGAL"/>
    <s v="NULL"/>
    <n v="0"/>
    <s v="NULL"/>
    <s v="Greffe"/>
    <s v="Dakar"/>
  </r>
  <r>
    <x v="0"/>
    <x v="41"/>
    <x v="41"/>
    <x v="56"/>
    <x v="38"/>
    <x v="1"/>
    <x v="14"/>
    <x v="10"/>
    <s v="SÉNÉGAL"/>
    <s v="SÉNÉGAL"/>
    <s v="NULL"/>
    <n v="0"/>
    <s v="NULL"/>
    <s v="Greffe"/>
    <s v="Dakar"/>
  </r>
  <r>
    <x v="0"/>
    <x v="41"/>
    <x v="41"/>
    <x v="57"/>
    <x v="38"/>
    <x v="1"/>
    <x v="2"/>
    <x v="12"/>
    <s v="SÉNÉGAL"/>
    <s v="SÉNÉGAL"/>
    <s v="NULL"/>
    <n v="0"/>
    <s v="NULL"/>
    <s v="Greffe"/>
    <s v="Dakar"/>
  </r>
  <r>
    <x v="0"/>
    <x v="41"/>
    <x v="41"/>
    <x v="58"/>
    <x v="39"/>
    <x v="1"/>
    <x v="1"/>
    <x v="3"/>
    <s v="SÉNÉGAL"/>
    <s v="SÉNÉGAL"/>
    <s v="NULL"/>
    <n v="0"/>
    <s v="NULL"/>
    <s v="Greffe"/>
    <s v="Dakar"/>
  </r>
  <r>
    <x v="0"/>
    <x v="41"/>
    <x v="41"/>
    <x v="59"/>
    <x v="40"/>
    <x v="1"/>
    <x v="5"/>
    <x v="1"/>
    <s v="SÉNÉGAL"/>
    <s v="SÉNÉGAL"/>
    <s v="NULL"/>
    <n v="0"/>
    <s v="NULL"/>
    <s v="Greffe"/>
    <s v="Dakar"/>
  </r>
  <r>
    <x v="0"/>
    <x v="41"/>
    <x v="41"/>
    <x v="60"/>
    <x v="40"/>
    <x v="1"/>
    <x v="5"/>
    <x v="1"/>
    <s v="SÉNÉGAL"/>
    <s v="SÉNÉGAL"/>
    <s v="NULL"/>
    <n v="0"/>
    <s v="NULL"/>
    <s v="Greffe"/>
    <s v="Dakar"/>
  </r>
  <r>
    <x v="0"/>
    <x v="41"/>
    <x v="41"/>
    <x v="61"/>
    <x v="41"/>
    <x v="1"/>
    <x v="1"/>
    <x v="3"/>
    <s v="SÉNÉGAL"/>
    <s v="SÉNÉGAL"/>
    <s v="NULL"/>
    <n v="0"/>
    <s v="NULL"/>
    <s v="Greffe"/>
    <s v="Dakar"/>
  </r>
  <r>
    <x v="0"/>
    <x v="41"/>
    <x v="41"/>
    <x v="62"/>
    <x v="42"/>
    <x v="1"/>
    <x v="3"/>
    <x v="6"/>
    <s v="SÉNÉGAL"/>
    <s v="SÉNÉGAL"/>
    <s v="NULL"/>
    <n v="0"/>
    <s v="NULL"/>
    <s v="Greffe"/>
    <s v="Dakar"/>
  </r>
  <r>
    <x v="0"/>
    <x v="41"/>
    <x v="41"/>
    <x v="63"/>
    <x v="42"/>
    <x v="1"/>
    <x v="17"/>
    <x v="14"/>
    <s v="SÉNÉGAL"/>
    <s v="SÉNÉGAL"/>
    <s v="NULL"/>
    <n v="0"/>
    <s v="NULL"/>
    <s v="Greffe"/>
    <s v="Dakar"/>
  </r>
  <r>
    <x v="0"/>
    <x v="41"/>
    <x v="41"/>
    <x v="64"/>
    <x v="42"/>
    <x v="1"/>
    <x v="21"/>
    <x v="20"/>
    <s v="JAPON"/>
    <s v="JAPON"/>
    <s v="NULL"/>
    <n v="0"/>
    <s v="NULL"/>
    <s v="Greffe"/>
    <s v="Dakar"/>
  </r>
  <r>
    <x v="0"/>
    <x v="41"/>
    <x v="41"/>
    <x v="65"/>
    <x v="27"/>
    <x v="1"/>
    <x v="22"/>
    <x v="21"/>
    <s v="SÉNÉGAL"/>
    <s v="SÉNÉGAL"/>
    <s v="NULL"/>
    <n v="0"/>
    <s v="NULL"/>
    <s v="Greffe"/>
    <s v="Dakar"/>
  </r>
  <r>
    <x v="0"/>
    <x v="41"/>
    <x v="41"/>
    <x v="66"/>
    <x v="43"/>
    <x v="1"/>
    <x v="1"/>
    <x v="3"/>
    <s v="SÉNÉGAL"/>
    <s v="SÉNÉGAL"/>
    <s v="NULL"/>
    <n v="0"/>
    <s v="NULL"/>
    <s v="Greffe"/>
    <s v="Dakar"/>
  </r>
  <r>
    <x v="0"/>
    <x v="41"/>
    <x v="41"/>
    <x v="67"/>
    <x v="44"/>
    <x v="1"/>
    <x v="1"/>
    <x v="0"/>
    <s v="SÉNÉGAL"/>
    <s v="SÉNÉGAL"/>
    <s v="NULL"/>
    <n v="0"/>
    <s v="NULL"/>
    <s v="Greffe"/>
    <s v="Dakar"/>
  </r>
  <r>
    <x v="0"/>
    <x v="41"/>
    <x v="41"/>
    <x v="68"/>
    <x v="45"/>
    <x v="1"/>
    <x v="23"/>
    <x v="22"/>
    <s v="SÉNÉGAL"/>
    <s v="SÉNÉGAL"/>
    <s v="NULL"/>
    <n v="0"/>
    <s v="NULL"/>
    <s v="Greffe"/>
    <s v="Dakar"/>
  </r>
  <r>
    <x v="0"/>
    <x v="41"/>
    <x v="41"/>
    <x v="69"/>
    <x v="45"/>
    <x v="1"/>
    <x v="24"/>
    <x v="23"/>
    <s v="SÉNÉGAL"/>
    <s v="SÉNÉGAL"/>
    <s v="NULL"/>
    <n v="0"/>
    <s v="NULL"/>
    <s v="Greffe"/>
    <s v="Dakar"/>
  </r>
  <r>
    <x v="0"/>
    <x v="41"/>
    <x v="41"/>
    <x v="70"/>
    <x v="46"/>
    <x v="1"/>
    <x v="7"/>
    <x v="0"/>
    <s v="SÉNÉGAL"/>
    <s v="SÉNÉGAL"/>
    <s v="NULL"/>
    <n v="1"/>
    <s v="NULL"/>
    <s v="Greffe"/>
    <s v="Dakar"/>
  </r>
  <r>
    <x v="0"/>
    <x v="41"/>
    <x v="41"/>
    <x v="71"/>
    <x v="47"/>
    <x v="1"/>
    <x v="16"/>
    <x v="11"/>
    <s v="SÉNÉGAL"/>
    <s v="SÉNÉGAL"/>
    <s v="NULL"/>
    <n v="0"/>
    <s v="NULL"/>
    <s v="Greffe"/>
    <s v="Dakar"/>
  </r>
  <r>
    <x v="0"/>
    <x v="41"/>
    <x v="41"/>
    <x v="72"/>
    <x v="47"/>
    <x v="1"/>
    <x v="16"/>
    <x v="0"/>
    <s v="TURQUIE"/>
    <s v="TURQUIE"/>
    <s v="NULL"/>
    <n v="0"/>
    <s v="NULL"/>
    <s v="Greffe"/>
    <s v="Dakar"/>
  </r>
  <r>
    <x v="0"/>
    <x v="41"/>
    <x v="41"/>
    <x v="73"/>
    <x v="47"/>
    <x v="1"/>
    <x v="25"/>
    <x v="0"/>
    <s v="SÉNÉGAL"/>
    <s v="SÉNÉGAL"/>
    <s v="NULL"/>
    <n v="0"/>
    <s v="NULL"/>
    <s v="Greffe"/>
    <s v="Dakar"/>
  </r>
  <r>
    <x v="0"/>
    <x v="41"/>
    <x v="41"/>
    <x v="74"/>
    <x v="48"/>
    <x v="1"/>
    <x v="1"/>
    <x v="3"/>
    <s v="SÉNÉGAL"/>
    <s v="SÉNÉGAL"/>
    <s v="NULL"/>
    <n v="0"/>
    <s v="NULL"/>
    <s v="Greffe"/>
    <s v="Dakar"/>
  </r>
  <r>
    <x v="0"/>
    <x v="41"/>
    <x v="41"/>
    <x v="75"/>
    <x v="49"/>
    <x v="1"/>
    <x v="1"/>
    <x v="3"/>
    <s v="SÉNÉGAL"/>
    <s v="SÉNÉGAL"/>
    <s v="NULL"/>
    <n v="0"/>
    <s v="NULL"/>
    <s v="Greffe"/>
    <s v="Dakar"/>
  </r>
  <r>
    <x v="0"/>
    <x v="41"/>
    <x v="41"/>
    <x v="76"/>
    <x v="50"/>
    <x v="1"/>
    <x v="5"/>
    <x v="1"/>
    <s v="SÉNÉGAL"/>
    <s v="SÉNÉGAL"/>
    <s v="NULL"/>
    <n v="0"/>
    <s v="NULL"/>
    <s v="Greffe"/>
    <s v="Dakar"/>
  </r>
  <r>
    <x v="0"/>
    <x v="42"/>
    <x v="42"/>
    <x v="77"/>
    <x v="50"/>
    <x v="1"/>
    <x v="5"/>
    <x v="1"/>
    <s v="SÉNÉGAL"/>
    <s v="SÉNÉGAL"/>
    <s v="NULL"/>
    <n v="0"/>
    <s v="NULL"/>
    <s v="Greffe"/>
    <s v="Dakar"/>
  </r>
  <r>
    <x v="0"/>
    <x v="43"/>
    <x v="43"/>
    <x v="77"/>
    <x v="51"/>
    <x v="1"/>
    <x v="1"/>
    <x v="0"/>
    <s v="SÉNÉGAL"/>
    <s v="SÉNÉGAL"/>
    <s v="NULL"/>
    <n v="0"/>
    <s v="NULL"/>
    <s v="Greffe"/>
    <s v="Dakar"/>
  </r>
  <r>
    <x v="0"/>
    <x v="44"/>
    <x v="44"/>
    <x v="78"/>
    <x v="52"/>
    <x v="1"/>
    <x v="21"/>
    <x v="0"/>
    <s v="SÉNÉGAL"/>
    <s v="SÉNÉGAL"/>
    <s v="NULL"/>
    <n v="0"/>
    <s v="NULL"/>
    <s v="Greffe"/>
    <s v="Dakar"/>
  </r>
  <r>
    <x v="0"/>
    <x v="44"/>
    <x v="44"/>
    <x v="78"/>
    <x v="52"/>
    <x v="1"/>
    <x v="8"/>
    <x v="5"/>
    <s v="SÉNÉGAL"/>
    <s v="SÉNÉGAL"/>
    <s v="NULL"/>
    <n v="0"/>
    <s v="NULL"/>
    <s v="Greffe"/>
    <s v="Dakar"/>
  </r>
  <r>
    <x v="0"/>
    <x v="45"/>
    <x v="45"/>
    <x v="79"/>
    <x v="53"/>
    <x v="1"/>
    <x v="1"/>
    <x v="3"/>
    <s v="SÉNÉGAL"/>
    <s v="SÉNÉGAL"/>
    <s v="NULL"/>
    <n v="0"/>
    <s v="NULL"/>
    <s v="Greffe"/>
    <s v="Dakar"/>
  </r>
  <r>
    <x v="0"/>
    <x v="45"/>
    <x v="45"/>
    <x v="80"/>
    <x v="54"/>
    <x v="1"/>
    <x v="7"/>
    <x v="12"/>
    <s v="SÉNÉGAL"/>
    <s v="SÉNÉGAL"/>
    <s v="NULL"/>
    <n v="0"/>
    <s v="NULL"/>
    <s v="Greffe"/>
    <s v="Dakar"/>
  </r>
  <r>
    <x v="0"/>
    <x v="45"/>
    <x v="45"/>
    <x v="81"/>
    <x v="55"/>
    <x v="1"/>
    <x v="10"/>
    <x v="9"/>
    <s v="SERBIE"/>
    <s v="SERBIE"/>
    <s v="NULL"/>
    <n v="0"/>
    <s v="NULL"/>
    <s v="Greffe"/>
    <s v="Dakar"/>
  </r>
  <r>
    <x v="0"/>
    <x v="46"/>
    <x v="46"/>
    <x v="82"/>
    <x v="55"/>
    <x v="1"/>
    <x v="10"/>
    <x v="9"/>
    <s v="AUSTRALIE"/>
    <s v="AUSTRALIE"/>
    <s v="NULL"/>
    <n v="0"/>
    <s v="NULL"/>
    <s v="Greffe"/>
    <s v="Dakar"/>
  </r>
  <r>
    <x v="0"/>
    <x v="46"/>
    <x v="46"/>
    <x v="83"/>
    <x v="55"/>
    <x v="1"/>
    <x v="10"/>
    <x v="9"/>
    <s v="AFRIQUE DU SUD"/>
    <s v="AFRIQUE DU SUD"/>
    <s v="NULL"/>
    <n v="0"/>
    <s v="NULL"/>
    <s v="Greffe"/>
    <s v="Dakar"/>
  </r>
  <r>
    <x v="0"/>
    <x v="47"/>
    <x v="47"/>
    <x v="84"/>
    <x v="56"/>
    <x v="1"/>
    <x v="8"/>
    <x v="5"/>
    <s v="PAKISTAN"/>
    <s v="PAKISTAN"/>
    <s v="NULL"/>
    <n v="0"/>
    <s v="NULL"/>
    <s v="Greffe"/>
    <s v="Dakar"/>
  </r>
  <r>
    <x v="0"/>
    <x v="48"/>
    <x v="48"/>
    <x v="85"/>
    <x v="56"/>
    <x v="1"/>
    <x v="21"/>
    <x v="20"/>
    <s v="SÉNÉGAL"/>
    <s v="SÉNÉGAL"/>
    <s v="NULL"/>
    <n v="0"/>
    <s v="NULL"/>
    <s v="Greffe"/>
    <s v="Dakar"/>
  </r>
  <r>
    <x v="0"/>
    <x v="49"/>
    <x v="49"/>
    <x v="86"/>
    <x v="57"/>
    <x v="1"/>
    <x v="1"/>
    <x v="3"/>
    <s v="SÉNÉGAL"/>
    <s v="SÉNÉGAL"/>
    <s v="NULL"/>
    <n v="0"/>
    <s v="NULL"/>
    <s v="Greffe"/>
    <s v="Dakar"/>
  </r>
  <r>
    <x v="0"/>
    <x v="49"/>
    <x v="49"/>
    <x v="87"/>
    <x v="58"/>
    <x v="1"/>
    <x v="1"/>
    <x v="3"/>
    <s v="SÉNÉGAL"/>
    <s v="SÉNÉGAL"/>
    <s v="NULL"/>
    <n v="0"/>
    <s v="NULL"/>
    <s v="Greffe"/>
    <s v="Dakar"/>
  </r>
  <r>
    <x v="0"/>
    <x v="49"/>
    <x v="49"/>
    <x v="88"/>
    <x v="59"/>
    <x v="1"/>
    <x v="25"/>
    <x v="0"/>
    <s v="SÉNÉGAL"/>
    <s v="SÉNÉGAL"/>
    <s v="NULL"/>
    <n v="0"/>
    <s v="NULL"/>
    <s v="Greffe"/>
    <s v="Dakar"/>
  </r>
  <r>
    <x v="0"/>
    <x v="50"/>
    <x v="50"/>
    <x v="89"/>
    <x v="59"/>
    <x v="1"/>
    <x v="25"/>
    <x v="0"/>
    <s v="SÉNÉGAL"/>
    <s v="SÉNÉGAL"/>
    <s v="NULL"/>
    <n v="0"/>
    <s v="NULL"/>
    <s v="Greffe"/>
    <s v="Dakar"/>
  </r>
  <r>
    <x v="0"/>
    <x v="51"/>
    <x v="51"/>
    <x v="90"/>
    <x v="60"/>
    <x v="0"/>
    <x v="3"/>
    <x v="6"/>
    <s v="SÉNÉGAL"/>
    <s v="SÉNÉGAL"/>
    <s v="NULL"/>
    <n v="0"/>
    <s v="NULL"/>
    <s v="Greffe"/>
    <s v="Dakar"/>
  </r>
  <r>
    <x v="0"/>
    <x v="51"/>
    <x v="51"/>
    <x v="91"/>
    <x v="60"/>
    <x v="0"/>
    <x v="8"/>
    <x v="5"/>
    <s v="SÉNÉGAL"/>
    <s v="SÉNÉGAL"/>
    <s v="NULL"/>
    <n v="0"/>
    <s v="NULL"/>
    <s v="Greffe"/>
    <s v="Dakar"/>
  </r>
  <r>
    <x v="0"/>
    <x v="52"/>
    <x v="52"/>
    <x v="92"/>
    <x v="59"/>
    <x v="1"/>
    <x v="25"/>
    <x v="0"/>
    <s v="SÉNÉGAL"/>
    <s v="SÉNÉGAL"/>
    <s v="NULL"/>
    <n v="0"/>
    <s v="NULL"/>
    <s v="Greffe"/>
    <s v="Dakar"/>
  </r>
  <r>
    <x v="0"/>
    <x v="53"/>
    <x v="53"/>
    <x v="93"/>
    <x v="59"/>
    <x v="1"/>
    <x v="25"/>
    <x v="0"/>
    <s v="SÉNÉGAL"/>
    <s v="SÉNÉGAL"/>
    <s v="NULL"/>
    <n v="0"/>
    <s v="NULL"/>
    <s v="Greffe"/>
    <s v="Dakar"/>
  </r>
  <r>
    <x v="0"/>
    <x v="54"/>
    <x v="54"/>
    <x v="94"/>
    <x v="59"/>
    <x v="1"/>
    <x v="13"/>
    <x v="0"/>
    <s v="SÉNÉGAL"/>
    <s v="SÉNÉGAL"/>
    <s v="NULL"/>
    <n v="0"/>
    <s v="NULL"/>
    <s v="Greffe"/>
    <s v="Dakar"/>
  </r>
  <r>
    <x v="0"/>
    <x v="54"/>
    <x v="54"/>
    <x v="95"/>
    <x v="61"/>
    <x v="1"/>
    <x v="7"/>
    <x v="0"/>
    <s v="SÉNÉGAL"/>
    <s v="SÉNÉGAL"/>
    <s v="NULL"/>
    <n v="0"/>
    <s v="NULL"/>
    <s v="Greffe"/>
    <s v="Dakar"/>
  </r>
  <r>
    <x v="0"/>
    <x v="54"/>
    <x v="54"/>
    <x v="96"/>
    <x v="62"/>
    <x v="1"/>
    <x v="3"/>
    <x v="6"/>
    <s v="SÉNÉGAL"/>
    <s v="SÉNÉGAL"/>
    <s v="NULL"/>
    <n v="0"/>
    <s v="NULL"/>
    <s v="Greffe"/>
    <s v="Dakar"/>
  </r>
  <r>
    <x v="0"/>
    <x v="55"/>
    <x v="55"/>
    <x v="97"/>
    <x v="63"/>
    <x v="0"/>
    <x v="1"/>
    <x v="0"/>
    <s v="ZAMBIE"/>
    <s v="ZAMBIE"/>
    <s v="NULL"/>
    <n v="0"/>
    <s v="NULL"/>
    <s v="Greffe"/>
    <s v="Dakar"/>
  </r>
  <r>
    <x v="0"/>
    <x v="55"/>
    <x v="55"/>
    <x v="98"/>
    <x v="64"/>
    <x v="0"/>
    <x v="1"/>
    <x v="0"/>
    <s v="SÉNÉGAL"/>
    <s v="SÉNÉGAL"/>
    <s v="NULL"/>
    <n v="0"/>
    <s v="NULL"/>
    <s v="Greffe"/>
    <s v="Dakar"/>
  </r>
  <r>
    <x v="0"/>
    <x v="55"/>
    <x v="55"/>
    <x v="99"/>
    <x v="65"/>
    <x v="0"/>
    <x v="13"/>
    <x v="7"/>
    <s v="SÉNÉGAL"/>
    <s v="SÉNÉGAL"/>
    <s v="NULL"/>
    <n v="0"/>
    <s v="NULL"/>
    <s v="Greffe"/>
    <s v="Dakar"/>
  </r>
  <r>
    <x v="0"/>
    <x v="55"/>
    <x v="55"/>
    <x v="100"/>
    <x v="66"/>
    <x v="0"/>
    <x v="2"/>
    <x v="0"/>
    <s v="SÉNÉGAL"/>
    <s v="SÉNÉGAL"/>
    <s v="NULL"/>
    <n v="0"/>
    <s v="NULL"/>
    <s v="Greffe"/>
    <s v="Dakar"/>
  </r>
  <r>
    <x v="0"/>
    <x v="55"/>
    <x v="55"/>
    <x v="101"/>
    <x v="67"/>
    <x v="0"/>
    <x v="7"/>
    <x v="0"/>
    <s v="SÉNÉGAL"/>
    <s v="SÉNÉGAL"/>
    <s v="NULL"/>
    <n v="0"/>
    <s v="NULL"/>
    <s v="Greffe"/>
    <s v="Dakar"/>
  </r>
  <r>
    <x v="0"/>
    <x v="55"/>
    <x v="55"/>
    <x v="102"/>
    <x v="66"/>
    <x v="0"/>
    <x v="26"/>
    <x v="0"/>
    <s v="SÉNÉGAL"/>
    <s v="SÉNÉGAL"/>
    <s v="NULL"/>
    <n v="0"/>
    <s v="NULL"/>
    <s v="Greffe"/>
    <s v="Dakar"/>
  </r>
  <r>
    <x v="0"/>
    <x v="56"/>
    <x v="56"/>
    <x v="103"/>
    <x v="55"/>
    <x v="1"/>
    <x v="10"/>
    <x v="9"/>
    <s v="SÉNÉGAL"/>
    <s v="SÉNÉGAL"/>
    <s v="NULL"/>
    <n v="0"/>
    <s v="NULL"/>
    <s v="Greffe"/>
    <s v="Dakar"/>
  </r>
  <r>
    <x v="0"/>
    <x v="56"/>
    <x v="56"/>
    <x v="104"/>
    <x v="55"/>
    <x v="1"/>
    <x v="10"/>
    <x v="9"/>
    <s v="SÉNÉGAL"/>
    <s v="SÉNÉGAL"/>
    <s v="NULL"/>
    <n v="0"/>
    <s v="NULL"/>
    <s v="Greffe"/>
    <s v="Dakar"/>
  </r>
  <r>
    <x v="0"/>
    <x v="57"/>
    <x v="57"/>
    <x v="104"/>
    <x v="55"/>
    <x v="1"/>
    <x v="4"/>
    <x v="24"/>
    <s v="AUSTRALIE"/>
    <s v="AUSTRALIE"/>
    <s v="NULL"/>
    <n v="0"/>
    <s v="NULL"/>
    <s v="Greffe"/>
    <s v="Dakar"/>
  </r>
  <r>
    <x v="0"/>
    <x v="57"/>
    <x v="57"/>
    <x v="105"/>
    <x v="55"/>
    <x v="1"/>
    <x v="10"/>
    <x v="9"/>
    <s v="MALI"/>
    <s v="MALI"/>
    <s v="NULL"/>
    <n v="0"/>
    <s v="NULL"/>
    <s v="Greffe"/>
    <s v="Dakar"/>
  </r>
  <r>
    <x v="0"/>
    <x v="58"/>
    <x v="58"/>
    <x v="106"/>
    <x v="68"/>
    <x v="1"/>
    <x v="1"/>
    <x v="3"/>
    <s v="SÉNÉGAL"/>
    <s v="SÉNÉGAL"/>
    <s v="NULL"/>
    <n v="0"/>
    <s v="NULL"/>
    <s v="Greffe"/>
    <s v="Dakar"/>
  </r>
  <r>
    <x v="0"/>
    <x v="58"/>
    <x v="58"/>
    <x v="107"/>
    <x v="54"/>
    <x v="1"/>
    <x v="7"/>
    <x v="12"/>
    <s v="PAYS-BAS"/>
    <s v="PAYS-BAS"/>
    <s v="NULL"/>
    <n v="0"/>
    <s v="NULL"/>
    <s v="Greffe"/>
    <s v="Dakar"/>
  </r>
  <r>
    <x v="0"/>
    <x v="58"/>
    <x v="58"/>
    <x v="108"/>
    <x v="54"/>
    <x v="1"/>
    <x v="7"/>
    <x v="12"/>
    <s v="ROYAUME-UNI"/>
    <s v="ROYAUME-UNI"/>
    <s v="NULL"/>
    <n v="0"/>
    <s v="NULL"/>
    <s v="Greffe"/>
    <s v="Dakar"/>
  </r>
  <r>
    <x v="0"/>
    <x v="58"/>
    <x v="58"/>
    <x v="109"/>
    <x v="54"/>
    <x v="1"/>
    <x v="7"/>
    <x v="12"/>
    <s v="AUSTRALIE"/>
    <s v="AUSTRALIE"/>
    <s v="NULL"/>
    <n v="0"/>
    <s v="NULL"/>
    <s v="Greffe"/>
    <s v="Dakar"/>
  </r>
  <r>
    <x v="0"/>
    <x v="59"/>
    <x v="59"/>
    <x v="110"/>
    <x v="69"/>
    <x v="1"/>
    <x v="0"/>
    <x v="8"/>
    <s v="SÉNÉGAL"/>
    <s v="SÉNÉGAL"/>
    <s v="NULL"/>
    <n v="0"/>
    <s v="NULL"/>
    <s v="Greffe"/>
    <s v="Dakar"/>
  </r>
  <r>
    <x v="0"/>
    <x v="60"/>
    <x v="60"/>
    <x v="111"/>
    <x v="69"/>
    <x v="1"/>
    <x v="0"/>
    <x v="8"/>
    <s v="CHINE"/>
    <s v="CHINE"/>
    <s v="NULL"/>
    <n v="0"/>
    <s v="NULL"/>
    <s v="Greffe"/>
    <s v="Dakar"/>
  </r>
  <r>
    <x v="0"/>
    <x v="60"/>
    <x v="60"/>
    <x v="112"/>
    <x v="69"/>
    <x v="1"/>
    <x v="21"/>
    <x v="20"/>
    <s v="SÉNÉGAL"/>
    <s v="SÉNÉGAL"/>
    <s v="NULL"/>
    <n v="0"/>
    <s v="NULL"/>
    <s v="Greffe"/>
    <s v="Dakar"/>
  </r>
  <r>
    <x v="0"/>
    <x v="60"/>
    <x v="60"/>
    <x v="113"/>
    <x v="70"/>
    <x v="1"/>
    <x v="1"/>
    <x v="3"/>
    <s v="SÉNÉGAL"/>
    <s v="SÉNÉGAL"/>
    <s v="NULL"/>
    <n v="0"/>
    <s v="NULL"/>
    <s v="Greffe"/>
    <s v="Dakar"/>
  </r>
  <r>
    <x v="0"/>
    <x v="60"/>
    <x v="60"/>
    <x v="113"/>
    <x v="47"/>
    <x v="1"/>
    <x v="16"/>
    <x v="11"/>
    <s v="TURQUIE"/>
    <s v="TURQUIE"/>
    <s v="NULL"/>
    <n v="0"/>
    <s v="NULL"/>
    <s v="Greffe"/>
    <s v="Dakar"/>
  </r>
  <r>
    <x v="0"/>
    <x v="61"/>
    <x v="61"/>
    <x v="114"/>
    <x v="71"/>
    <x v="1"/>
    <x v="7"/>
    <x v="3"/>
    <s v="SÉNÉGAL"/>
    <s v="SÉNÉGAL"/>
    <s v="NULL"/>
    <n v="0"/>
    <s v="NULL"/>
    <s v="Greffe"/>
    <s v="Dakar"/>
  </r>
  <r>
    <x v="0"/>
    <x v="62"/>
    <x v="62"/>
    <x v="114"/>
    <x v="72"/>
    <x v="1"/>
    <x v="7"/>
    <x v="0"/>
    <s v="SÉNÉGAL"/>
    <s v="SÉNÉGAL"/>
    <s v="NULL"/>
    <n v="0"/>
    <s v="NULL"/>
    <s v="Greffe"/>
    <s v="Dakar"/>
  </r>
  <r>
    <x v="0"/>
    <x v="62"/>
    <x v="62"/>
    <x v="114"/>
    <x v="73"/>
    <x v="1"/>
    <x v="5"/>
    <x v="1"/>
    <s v="SÉNÉGAL"/>
    <s v="SÉNÉGAL"/>
    <s v="NULL"/>
    <n v="0"/>
    <s v="NULL"/>
    <s v="Greffe"/>
    <s v="Dakar"/>
  </r>
  <r>
    <x v="0"/>
    <x v="62"/>
    <x v="62"/>
    <x v="115"/>
    <x v="74"/>
    <x v="1"/>
    <x v="1"/>
    <x v="0"/>
    <s v="SÉNÉGAL"/>
    <s v="SÉNÉGAL"/>
    <s v="NULL"/>
    <n v="0"/>
    <s v="NULL"/>
    <s v="Greffe"/>
    <s v="Dakar"/>
  </r>
  <r>
    <x v="0"/>
    <x v="62"/>
    <x v="62"/>
    <x v="116"/>
    <x v="75"/>
    <x v="1"/>
    <x v="10"/>
    <x v="9"/>
    <s v="SÉNÉGAL"/>
    <s v="SÉNÉGAL"/>
    <s v="NULL"/>
    <n v="0"/>
    <s v="NULL"/>
    <s v="Greffe"/>
    <s v="Dakar"/>
  </r>
  <r>
    <x v="0"/>
    <x v="63"/>
    <x v="63"/>
    <x v="117"/>
    <x v="75"/>
    <x v="1"/>
    <x v="10"/>
    <x v="9"/>
    <s v="SÉNÉGAL"/>
    <s v="SÉNÉGAL"/>
    <s v="NULL"/>
    <n v="0"/>
    <s v="NULL"/>
    <s v="Greffe"/>
    <s v="Dakar"/>
  </r>
  <r>
    <x v="0"/>
    <x v="64"/>
    <x v="64"/>
    <x v="118"/>
    <x v="75"/>
    <x v="1"/>
    <x v="17"/>
    <x v="14"/>
    <s v="SÉNÉGAL"/>
    <s v="SÉNÉGAL"/>
    <s v="NULL"/>
    <n v="0"/>
    <s v="NULL"/>
    <s v="Greffe"/>
    <s v="Dakar"/>
  </r>
  <r>
    <x v="0"/>
    <x v="64"/>
    <x v="64"/>
    <x v="119"/>
    <x v="75"/>
    <x v="1"/>
    <x v="17"/>
    <x v="14"/>
    <s v="SÉNÉGAL"/>
    <s v="SÉNÉGAL"/>
    <s v="NULL"/>
    <n v="0"/>
    <s v="NULL"/>
    <s v="Greffe"/>
    <s v="Dakar"/>
  </r>
  <r>
    <x v="0"/>
    <x v="64"/>
    <x v="64"/>
    <x v="120"/>
    <x v="75"/>
    <x v="1"/>
    <x v="10"/>
    <x v="9"/>
    <s v="SÉNÉGAL"/>
    <s v="SÉNÉGAL"/>
    <s v="NULL"/>
    <n v="0"/>
    <s v="NULL"/>
    <s v="Greffe"/>
    <s v="Dakar"/>
  </r>
  <r>
    <x v="0"/>
    <x v="64"/>
    <x v="64"/>
    <x v="121"/>
    <x v="75"/>
    <x v="1"/>
    <x v="17"/>
    <x v="14"/>
    <s v="SÉNÉGAL"/>
    <s v="SÉNÉGAL"/>
    <s v="NULL"/>
    <n v="0"/>
    <s v="NULL"/>
    <s v="Greffe"/>
    <s v="Dakar"/>
  </r>
  <r>
    <x v="0"/>
    <x v="65"/>
    <x v="65"/>
    <x v="122"/>
    <x v="75"/>
    <x v="1"/>
    <x v="23"/>
    <x v="22"/>
    <s v="SÉNÉGAL"/>
    <s v="SÉNÉGAL"/>
    <s v="NULL"/>
    <n v="0"/>
    <s v="NULL"/>
    <s v="Greffe"/>
    <s v="Dakar"/>
  </r>
  <r>
    <x v="0"/>
    <x v="65"/>
    <x v="65"/>
    <x v="123"/>
    <x v="76"/>
    <x v="1"/>
    <x v="7"/>
    <x v="0"/>
    <s v="SUISSE"/>
    <s v="SUISSE"/>
    <s v="NULL"/>
    <n v="0"/>
    <s v="NULL"/>
    <s v="Greffe"/>
    <s v="Dakar"/>
  </r>
  <r>
    <x v="0"/>
    <x v="66"/>
    <x v="66"/>
    <x v="124"/>
    <x v="76"/>
    <x v="1"/>
    <x v="7"/>
    <x v="0"/>
    <s v="ÉGYPTE"/>
    <s v="ÉGYPTE"/>
    <s v="EGYPT"/>
    <n v="1"/>
    <s v="NAGUIB ONSI SAWIRIS"/>
    <s v="Greffe"/>
    <s v="Dakar"/>
  </r>
  <r>
    <x v="0"/>
    <x v="66"/>
    <x v="66"/>
    <x v="124"/>
    <x v="76"/>
    <x v="1"/>
    <x v="7"/>
    <x v="0"/>
    <s v="ÉGYPTE"/>
    <s v="ÉGYPTE"/>
    <s v="ÉGYPTE"/>
    <n v="1"/>
    <s v="NAGUIB ONSI SAWIRIS"/>
    <s v="Greffe"/>
    <s v="Dakar"/>
  </r>
  <r>
    <x v="0"/>
    <x v="66"/>
    <x v="66"/>
    <x v="125"/>
    <x v="77"/>
    <x v="1"/>
    <x v="2"/>
    <x v="12"/>
    <s v="SÉNÉGAL"/>
    <s v="SÉNÉGAL"/>
    <s v="NULL"/>
    <n v="0"/>
    <s v="NULL"/>
    <s v="Greffe"/>
    <s v="Dakar"/>
  </r>
  <r>
    <x v="0"/>
    <x v="66"/>
    <x v="66"/>
    <x v="126"/>
    <x v="77"/>
    <x v="1"/>
    <x v="3"/>
    <x v="6"/>
    <s v="SÉNÉGAL"/>
    <s v="SÉNÉGAL"/>
    <s v="NULL"/>
    <n v="0"/>
    <s v="NULL"/>
    <s v="Greffe"/>
    <s v="Dakar"/>
  </r>
  <r>
    <x v="0"/>
    <x v="66"/>
    <x v="66"/>
    <x v="127"/>
    <x v="77"/>
    <x v="1"/>
    <x v="15"/>
    <x v="13"/>
    <s v="SÉNÉGAL"/>
    <s v="SÉNÉGAL"/>
    <s v="NULL"/>
    <n v="0"/>
    <s v="NULL"/>
    <s v="Greffe"/>
    <s v="Dakar"/>
  </r>
  <r>
    <x v="0"/>
    <x v="66"/>
    <x v="66"/>
    <x v="128"/>
    <x v="77"/>
    <x v="1"/>
    <x v="3"/>
    <x v="6"/>
    <s v="SÉNÉGAL"/>
    <s v="SÉNÉGAL"/>
    <s v="NULL"/>
    <n v="0"/>
    <s v="NULL"/>
    <s v="Greffe"/>
    <s v="Dakar"/>
  </r>
  <r>
    <x v="0"/>
    <x v="67"/>
    <x v="67"/>
    <x v="129"/>
    <x v="78"/>
    <x v="1"/>
    <x v="1"/>
    <x v="3"/>
    <s v="SÉNÉGAL"/>
    <s v="SÉNÉGAL"/>
    <s v="NULL"/>
    <n v="0"/>
    <s v="NULL"/>
    <s v="Greffe"/>
    <s v="Dakar"/>
  </r>
  <r>
    <x v="0"/>
    <x v="68"/>
    <x v="68"/>
    <x v="130"/>
    <x v="62"/>
    <x v="1"/>
    <x v="15"/>
    <x v="13"/>
    <s v="SÉNÉGAL"/>
    <s v="SÉNÉGAL"/>
    <s v="NULL"/>
    <n v="0"/>
    <s v="NULL"/>
    <s v="Greffe"/>
    <s v="Dakar"/>
  </r>
  <r>
    <x v="0"/>
    <x v="69"/>
    <x v="69"/>
    <x v="131"/>
    <x v="62"/>
    <x v="1"/>
    <x v="23"/>
    <x v="22"/>
    <s v="SÉNÉGAL"/>
    <s v="SÉNÉGAL"/>
    <s v="NULL"/>
    <n v="0"/>
    <s v="NULL"/>
    <s v="Greffe"/>
    <s v="Dakar"/>
  </r>
  <r>
    <x v="0"/>
    <x v="69"/>
    <x v="69"/>
    <x v="132"/>
    <x v="79"/>
    <x v="1"/>
    <x v="1"/>
    <x v="3"/>
    <s v="SÉNÉGAL"/>
    <s v="SÉNÉGAL"/>
    <s v="NULL"/>
    <n v="0"/>
    <s v="NULL"/>
    <s v="Greffe"/>
    <s v="Dakar"/>
  </r>
  <r>
    <x v="0"/>
    <x v="69"/>
    <x v="69"/>
    <x v="133"/>
    <x v="80"/>
    <x v="1"/>
    <x v="1"/>
    <x v="3"/>
    <s v="SÉNÉGAL"/>
    <s v="SÉNÉGAL"/>
    <s v="NULL"/>
    <n v="0"/>
    <s v="NULL"/>
    <s v="Greffe"/>
    <s v="Dakar"/>
  </r>
  <r>
    <x v="0"/>
    <x v="70"/>
    <x v="70"/>
    <x v="134"/>
    <x v="81"/>
    <x v="1"/>
    <x v="1"/>
    <x v="3"/>
    <s v="SÉNÉGAL"/>
    <s v="SÉNÉGAL"/>
    <s v="NULL"/>
    <n v="0"/>
    <s v="NULL"/>
    <s v="Greffe"/>
    <s v="Dakar"/>
  </r>
  <r>
    <x v="0"/>
    <x v="71"/>
    <x v="71"/>
    <x v="135"/>
    <x v="82"/>
    <x v="1"/>
    <x v="1"/>
    <x v="3"/>
    <s v="SÉNÉGAL"/>
    <s v="SÉNÉGAL"/>
    <s v="NULL"/>
    <n v="0"/>
    <s v="NULL"/>
    <s v="Greffe"/>
    <s v="Dakar"/>
  </r>
  <r>
    <x v="0"/>
    <x v="72"/>
    <x v="72"/>
    <x v="136"/>
    <x v="83"/>
    <x v="1"/>
    <x v="2"/>
    <x v="0"/>
    <s v="SÉNÉGAL"/>
    <s v="SÉNÉGAL"/>
    <s v="NULL"/>
    <n v="0"/>
    <s v="NULL"/>
    <s v="Greffe"/>
    <s v="Dakar"/>
  </r>
  <r>
    <x v="0"/>
    <x v="73"/>
    <x v="73"/>
    <x v="136"/>
    <x v="83"/>
    <x v="1"/>
    <x v="15"/>
    <x v="0"/>
    <s v="SÉNÉGAL"/>
    <s v="SÉNÉGAL"/>
    <s v="NULL"/>
    <n v="0"/>
    <s v="NULL"/>
    <s v="Greffe"/>
    <s v="Dakar"/>
  </r>
  <r>
    <x v="0"/>
    <x v="73"/>
    <x v="73"/>
    <x v="137"/>
    <x v="83"/>
    <x v="1"/>
    <x v="21"/>
    <x v="0"/>
    <s v="SÉNÉGAL"/>
    <s v="SÉNÉGAL"/>
    <s v="NULL"/>
    <n v="0"/>
    <s v="NULL"/>
    <s v="Greffe"/>
    <s v="Dakar"/>
  </r>
  <r>
    <x v="0"/>
    <x v="73"/>
    <x v="73"/>
    <x v="138"/>
    <x v="84"/>
    <x v="1"/>
    <x v="1"/>
    <x v="3"/>
    <s v="SÉNÉGAL"/>
    <s v="SÉNÉGAL"/>
    <s v="NULL"/>
    <n v="0"/>
    <s v="NULL"/>
    <s v="Greffe"/>
    <s v="Dakar"/>
  </r>
  <r>
    <x v="0"/>
    <x v="73"/>
    <x v="73"/>
    <x v="139"/>
    <x v="85"/>
    <x v="2"/>
    <x v="22"/>
    <x v="0"/>
    <s v="SÉNÉGAL"/>
    <s v="SÉNÉGAL"/>
    <s v="NULL"/>
    <n v="0"/>
    <s v="NULL"/>
    <s v="Greffe"/>
    <s v="Dakar"/>
  </r>
  <r>
    <x v="0"/>
    <x v="73"/>
    <x v="73"/>
    <x v="140"/>
    <x v="85"/>
    <x v="2"/>
    <x v="16"/>
    <x v="0"/>
    <s v="SÉNÉGAL"/>
    <s v="SÉNÉGAL"/>
    <s v="NULL"/>
    <n v="0"/>
    <s v="NULL"/>
    <s v="Greffe"/>
    <s v="Dakar"/>
  </r>
  <r>
    <x v="0"/>
    <x v="73"/>
    <x v="73"/>
    <x v="140"/>
    <x v="86"/>
    <x v="2"/>
    <x v="1"/>
    <x v="3"/>
    <s v="SÉNÉGAL"/>
    <s v="SÉNÉGAL"/>
    <s v="NULL"/>
    <n v="0"/>
    <s v="NULL"/>
    <s v="Greffe"/>
    <s v="Dakar"/>
  </r>
  <r>
    <x v="0"/>
    <x v="74"/>
    <x v="74"/>
    <x v="141"/>
    <x v="87"/>
    <x v="2"/>
    <x v="1"/>
    <x v="0"/>
    <s v="SÉNÉGAL"/>
    <s v="SÉNÉGAL"/>
    <s v="NULL"/>
    <n v="0"/>
    <s v="NULL"/>
    <s v="Greffe"/>
    <s v="Dakar"/>
  </r>
  <r>
    <x v="0"/>
    <x v="75"/>
    <x v="75"/>
    <x v="142"/>
    <x v="88"/>
    <x v="2"/>
    <x v="5"/>
    <x v="1"/>
    <s v="SÉNÉGAL"/>
    <s v="SÉNÉGAL"/>
    <s v="NULL"/>
    <n v="0"/>
    <s v="NULL"/>
    <s v="Greffe"/>
    <s v="Dakar"/>
  </r>
  <r>
    <x v="0"/>
    <x v="76"/>
    <x v="76"/>
    <x v="143"/>
    <x v="88"/>
    <x v="2"/>
    <x v="5"/>
    <x v="1"/>
    <s v="SÉNÉGAL"/>
    <s v="SÉNÉGAL"/>
    <s v="NULL"/>
    <n v="0"/>
    <s v="NULL"/>
    <s v="Greffe"/>
    <s v="Dakar"/>
  </r>
  <r>
    <x v="0"/>
    <x v="76"/>
    <x v="76"/>
    <x v="144"/>
    <x v="89"/>
    <x v="2"/>
    <x v="1"/>
    <x v="3"/>
    <s v="SÉNÉGAL"/>
    <s v="SÉNÉGAL"/>
    <s v="NULL"/>
    <n v="0"/>
    <s v="NULL"/>
    <s v="Greffe"/>
    <s v="Dakar"/>
  </r>
  <r>
    <x v="0"/>
    <x v="77"/>
    <x v="77"/>
    <x v="145"/>
    <x v="90"/>
    <x v="2"/>
    <x v="21"/>
    <x v="20"/>
    <s v="SÉNÉGAL"/>
    <s v="SÉNÉGAL"/>
    <s v="NULL"/>
    <n v="0"/>
    <s v="NULL"/>
    <s v="Greffe"/>
    <s v="Dakar"/>
  </r>
  <r>
    <x v="0"/>
    <x v="78"/>
    <x v="78"/>
    <x v="146"/>
    <x v="90"/>
    <x v="2"/>
    <x v="8"/>
    <x v="5"/>
    <s v="SÉNÉGAL"/>
    <s v="SÉNÉGAL"/>
    <s v="NULL"/>
    <n v="0"/>
    <s v="NULL"/>
    <s v="Greffe"/>
    <s v="Dakar"/>
  </r>
  <r>
    <x v="0"/>
    <x v="79"/>
    <x v="79"/>
    <x v="147"/>
    <x v="91"/>
    <x v="0"/>
    <x v="15"/>
    <x v="13"/>
    <s v="SÉNÉGAL"/>
    <s v="SÉNÉGAL"/>
    <s v="NULL"/>
    <n v="0"/>
    <s v="NULL"/>
    <s v="Greffe"/>
    <s v="Dakar"/>
  </r>
  <r>
    <x v="0"/>
    <x v="80"/>
    <x v="80"/>
    <x v="146"/>
    <x v="92"/>
    <x v="2"/>
    <x v="1"/>
    <x v="3"/>
    <s v="SÉNÉGAL"/>
    <s v="SÉNÉGAL"/>
    <s v="NULL"/>
    <n v="0"/>
    <s v="NULL"/>
    <s v="Greffe"/>
    <s v="Dakar"/>
  </r>
  <r>
    <x v="0"/>
    <x v="80"/>
    <x v="80"/>
    <x v="148"/>
    <x v="93"/>
    <x v="2"/>
    <x v="1"/>
    <x v="0"/>
    <s v="SÉNÉGAL"/>
    <s v="SÉNÉGAL"/>
    <s v="NULL"/>
    <n v="0"/>
    <s v="NULL"/>
    <s v="Greffe"/>
    <s v="Dakar"/>
  </r>
  <r>
    <x v="0"/>
    <x v="80"/>
    <x v="80"/>
    <x v="149"/>
    <x v="94"/>
    <x v="2"/>
    <x v="5"/>
    <x v="1"/>
    <s v="SÉNÉGAL"/>
    <s v="SÉNÉGAL"/>
    <s v="NULL"/>
    <n v="0"/>
    <s v="NULL"/>
    <s v="Greffe"/>
    <s v="Dakar"/>
  </r>
  <r>
    <x v="0"/>
    <x v="81"/>
    <x v="81"/>
    <x v="150"/>
    <x v="94"/>
    <x v="2"/>
    <x v="5"/>
    <x v="1"/>
    <s v="MALI"/>
    <s v="MALI"/>
    <s v="NULL"/>
    <n v="0"/>
    <s v="NULL"/>
    <s v="Greffe"/>
    <s v="Dakar"/>
  </r>
  <r>
    <x v="0"/>
    <x v="82"/>
    <x v="82"/>
    <x v="151"/>
    <x v="95"/>
    <x v="0"/>
    <x v="1"/>
    <x v="3"/>
    <s v="SÉNÉGAL"/>
    <s v="SÉNÉGAL"/>
    <s v="NULL"/>
    <n v="0"/>
    <s v="NULL"/>
    <s v="Greffe"/>
    <s v="Dakar"/>
  </r>
  <r>
    <x v="0"/>
    <x v="83"/>
    <x v="83"/>
    <x v="152"/>
    <x v="96"/>
    <x v="2"/>
    <x v="1"/>
    <x v="0"/>
    <s v="SÉNÉGAL"/>
    <s v="SÉNÉGAL"/>
    <s v="NULL"/>
    <n v="0"/>
    <s v="NULL"/>
    <s v="Greffe"/>
    <s v="Dakar"/>
  </r>
  <r>
    <x v="0"/>
    <x v="83"/>
    <x v="83"/>
    <x v="153"/>
    <x v="97"/>
    <x v="2"/>
    <x v="1"/>
    <x v="3"/>
    <s v="SÉNÉGAL"/>
    <s v="SÉNÉGAL"/>
    <s v="NULL"/>
    <n v="0"/>
    <s v="NULL"/>
    <s v="Greffe"/>
    <s v="Dakar"/>
  </r>
  <r>
    <x v="0"/>
    <x v="83"/>
    <x v="83"/>
    <x v="153"/>
    <x v="98"/>
    <x v="2"/>
    <x v="5"/>
    <x v="1"/>
    <s v="SÉNÉGAL"/>
    <s v="SÉNÉGAL"/>
    <s v="NULL"/>
    <n v="0"/>
    <s v="NULL"/>
    <s v="Greffe"/>
    <s v="Dakar"/>
  </r>
  <r>
    <x v="0"/>
    <x v="84"/>
    <x v="84"/>
    <x v="153"/>
    <x v="98"/>
    <x v="2"/>
    <x v="5"/>
    <x v="1"/>
    <s v="SÉNÉGAL"/>
    <s v="SÉNÉGAL"/>
    <s v="NULL"/>
    <n v="0"/>
    <s v="NULL"/>
    <s v="Greffe"/>
    <s v="Dakar"/>
  </r>
  <r>
    <x v="0"/>
    <x v="84"/>
    <x v="84"/>
    <x v="153"/>
    <x v="99"/>
    <x v="2"/>
    <x v="7"/>
    <x v="0"/>
    <s v="SÉNÉGAL"/>
    <s v="SÉNÉGAL"/>
    <s v="NULL"/>
    <n v="0"/>
    <s v="NULL"/>
    <s v="Greffe"/>
    <s v="Dakar"/>
  </r>
  <r>
    <x v="0"/>
    <x v="84"/>
    <x v="84"/>
    <x v="154"/>
    <x v="100"/>
    <x v="2"/>
    <x v="7"/>
    <x v="0"/>
    <s v="MAROC"/>
    <s v="MAROC"/>
    <s v="NULL"/>
    <n v="0"/>
    <s v="NULL"/>
    <s v="Greffe"/>
    <s v="Dakar"/>
  </r>
  <r>
    <x v="0"/>
    <x v="85"/>
    <x v="85"/>
    <x v="155"/>
    <x v="101"/>
    <x v="2"/>
    <x v="7"/>
    <x v="0"/>
    <s v="HONGRIE"/>
    <s v="HONGRIE"/>
    <s v="NULL"/>
    <n v="0"/>
    <s v="NULL"/>
    <s v="Greffe"/>
    <s v="Dakar"/>
  </r>
  <r>
    <x v="0"/>
    <x v="86"/>
    <x v="86"/>
    <x v="156"/>
    <x v="102"/>
    <x v="2"/>
    <x v="5"/>
    <x v="1"/>
    <s v="SÉNÉGAL"/>
    <s v="SÉNÉGAL"/>
    <s v="NULL"/>
    <n v="0"/>
    <s v="NULL"/>
    <s v="Greffe"/>
    <s v="Dakar"/>
  </r>
  <r>
    <x v="0"/>
    <x v="87"/>
    <x v="87"/>
    <x v="157"/>
    <x v="102"/>
    <x v="2"/>
    <x v="5"/>
    <x v="1"/>
    <s v="SÉNÉGAL"/>
    <s v="SÉNÉGAL"/>
    <s v="NULL"/>
    <n v="0"/>
    <s v="NULL"/>
    <s v="Greffe"/>
    <s v="Dakar"/>
  </r>
  <r>
    <x v="0"/>
    <x v="87"/>
    <x v="87"/>
    <x v="158"/>
    <x v="103"/>
    <x v="2"/>
    <x v="16"/>
    <x v="11"/>
    <s v="SÉNÉGAL"/>
    <s v="SÉNÉGAL"/>
    <s v="NULL"/>
    <n v="0"/>
    <s v="NULL"/>
    <s v="Greffe"/>
    <s v="Dakar"/>
  </r>
  <r>
    <x v="0"/>
    <x v="87"/>
    <x v="87"/>
    <x v="159"/>
    <x v="103"/>
    <x v="2"/>
    <x v="16"/>
    <x v="11"/>
    <s v="SÉNÉGAL"/>
    <s v="SÉNÉGAL"/>
    <s v="NULL"/>
    <n v="0"/>
    <s v="NULL"/>
    <s v="Greffe"/>
    <s v="Dakar"/>
  </r>
  <r>
    <x v="0"/>
    <x v="88"/>
    <x v="88"/>
    <x v="160"/>
    <x v="103"/>
    <x v="2"/>
    <x v="27"/>
    <x v="25"/>
    <s v="ROYAUME-UNI"/>
    <s v="ROYAUME-UNI"/>
    <s v="NULL"/>
    <n v="0"/>
    <s v="NULL"/>
    <s v="Greffe"/>
    <s v="Dakar"/>
  </r>
  <r>
    <x v="0"/>
    <x v="89"/>
    <x v="89"/>
    <x v="161"/>
    <x v="104"/>
    <x v="2"/>
    <x v="17"/>
    <x v="14"/>
    <s v="SÉNÉGAL"/>
    <s v="SÉNÉGAL"/>
    <s v="NULL"/>
    <n v="0"/>
    <s v="NULL"/>
    <s v="Greffe"/>
    <s v="Dakar"/>
  </r>
  <r>
    <x v="0"/>
    <x v="90"/>
    <x v="90"/>
    <x v="162"/>
    <x v="104"/>
    <x v="2"/>
    <x v="28"/>
    <x v="26"/>
    <s v="SÉNÉGAL"/>
    <s v="SÉNÉGAL"/>
    <s v="NULL"/>
    <n v="0"/>
    <s v="NULL"/>
    <s v="Greffe"/>
    <s v="Dakar"/>
  </r>
  <r>
    <x v="0"/>
    <x v="91"/>
    <x v="91"/>
    <x v="163"/>
    <x v="104"/>
    <x v="2"/>
    <x v="10"/>
    <x v="9"/>
    <s v="SÉNÉGAL"/>
    <s v="SÉNÉGAL"/>
    <s v="NULL"/>
    <n v="0"/>
    <s v="NULL"/>
    <s v="Greffe"/>
    <s v="Dakar"/>
  </r>
  <r>
    <x v="0"/>
    <x v="92"/>
    <x v="92"/>
    <x v="164"/>
    <x v="104"/>
    <x v="2"/>
    <x v="5"/>
    <x v="1"/>
    <s v="SÉNÉGAL"/>
    <s v="SÉNÉGAL"/>
    <s v="NULL"/>
    <n v="0"/>
    <s v="NULL"/>
    <s v="Greffe"/>
    <s v="Dakar"/>
  </r>
  <r>
    <x v="0"/>
    <x v="93"/>
    <x v="93"/>
    <x v="165"/>
    <x v="105"/>
    <x v="2"/>
    <x v="1"/>
    <x v="3"/>
    <s v="SÉNÉGAL"/>
    <s v="SÉNÉGAL"/>
    <s v="NULL"/>
    <n v="0"/>
    <s v="NULL"/>
    <s v="Greffe"/>
    <s v="Dakar"/>
  </r>
  <r>
    <x v="0"/>
    <x v="94"/>
    <x v="94"/>
    <x v="166"/>
    <x v="106"/>
    <x v="2"/>
    <x v="3"/>
    <x v="0"/>
    <s v="SÉNÉGAL"/>
    <s v="SÉNÉGAL"/>
    <s v="NULL"/>
    <n v="0"/>
    <s v="NULL"/>
    <s v="Greffe"/>
    <s v="Dakar"/>
  </r>
  <r>
    <x v="0"/>
    <x v="95"/>
    <x v="95"/>
    <x v="166"/>
    <x v="106"/>
    <x v="2"/>
    <x v="8"/>
    <x v="0"/>
    <s v="SÉNÉGAL"/>
    <s v="SÉNÉGAL"/>
    <s v="NULL"/>
    <n v="0"/>
    <s v="NULL"/>
    <s v="Greffe"/>
    <s v="Dakar"/>
  </r>
  <r>
    <x v="0"/>
    <x v="96"/>
    <x v="96"/>
    <x v="167"/>
    <x v="107"/>
    <x v="0"/>
    <x v="7"/>
    <x v="0"/>
    <s v="FRANCE"/>
    <s v="FRANCE"/>
    <s v="NULL"/>
    <n v="0"/>
    <s v="NULL"/>
    <s v="Greffe"/>
    <s v="Dakar"/>
  </r>
  <r>
    <x v="0"/>
    <x v="96"/>
    <x v="96"/>
    <x v="168"/>
    <x v="108"/>
    <x v="0"/>
    <x v="29"/>
    <x v="27"/>
    <s v="FRANCE"/>
    <s v="FRANCE"/>
    <s v="NULL"/>
    <n v="0"/>
    <s v="NULL"/>
    <s v="Greffe"/>
    <s v="Dakar"/>
  </r>
  <r>
    <x v="0"/>
    <x v="97"/>
    <x v="97"/>
    <x v="169"/>
    <x v="106"/>
    <x v="2"/>
    <x v="3"/>
    <x v="0"/>
    <s v="SÉNÉGAL"/>
    <s v="SÉNÉGAL"/>
    <s v="NULL"/>
    <n v="0"/>
    <s v="NULL"/>
    <s v="Greffe"/>
    <s v="Dakar"/>
  </r>
  <r>
    <x v="0"/>
    <x v="98"/>
    <x v="98"/>
    <x v="170"/>
    <x v="109"/>
    <x v="2"/>
    <x v="1"/>
    <x v="0"/>
    <s v="SÉNÉGAL"/>
    <s v="SÉNÉGAL"/>
    <s v="NULL"/>
    <n v="0"/>
    <s v="NULL"/>
    <s v="Greffe"/>
    <s v="Dakar"/>
  </r>
  <r>
    <x v="0"/>
    <x v="98"/>
    <x v="98"/>
    <x v="171"/>
    <x v="110"/>
    <x v="2"/>
    <x v="1"/>
    <x v="0"/>
    <s v="SÉNÉGAL"/>
    <s v="SÉNÉGAL"/>
    <s v="NULL"/>
    <n v="0"/>
    <s v="NULL"/>
    <s v="Greffe"/>
    <s v="Dakar"/>
  </r>
  <r>
    <x v="0"/>
    <x v="99"/>
    <x v="99"/>
    <x v="172"/>
    <x v="111"/>
    <x v="2"/>
    <x v="30"/>
    <x v="0"/>
    <s v="SÉNÉGAL"/>
    <s v="SÉNÉGAL"/>
    <s v="NULL"/>
    <n v="0"/>
    <s v="NULL"/>
    <s v="Greffe"/>
    <s v="Dakar"/>
  </r>
  <r>
    <x v="0"/>
    <x v="100"/>
    <x v="100"/>
    <x v="173"/>
    <x v="112"/>
    <x v="2"/>
    <x v="0"/>
    <x v="8"/>
    <s v="SÉNÉGAL"/>
    <s v="SÉNÉGAL"/>
    <s v="NULL"/>
    <n v="0"/>
    <s v="NULL"/>
    <s v="Greffe"/>
    <s v="Dakar"/>
  </r>
  <r>
    <x v="0"/>
    <x v="101"/>
    <x v="101"/>
    <x v="174"/>
    <x v="111"/>
    <x v="2"/>
    <x v="17"/>
    <x v="0"/>
    <s v="SÉNÉGAL"/>
    <s v="SÉNÉGAL"/>
    <s v="NULL"/>
    <n v="0"/>
    <s v="NULL"/>
    <s v="Greffe"/>
    <s v="Dakar"/>
  </r>
  <r>
    <x v="0"/>
    <x v="102"/>
    <x v="102"/>
    <x v="175"/>
    <x v="113"/>
    <x v="2"/>
    <x v="5"/>
    <x v="1"/>
    <s v="SÉNÉGAL"/>
    <s v="SÉNÉGAL"/>
    <s v="NULL"/>
    <n v="0"/>
    <s v="NULL"/>
    <s v="Greffe"/>
    <s v="Dakar"/>
  </r>
  <r>
    <x v="0"/>
    <x v="102"/>
    <x v="102"/>
    <x v="176"/>
    <x v="113"/>
    <x v="2"/>
    <x v="5"/>
    <x v="1"/>
    <s v="SÉNÉGAL"/>
    <s v="SÉNÉGAL"/>
    <s v="NULL"/>
    <n v="0"/>
    <s v="NULL"/>
    <s v="Greffe"/>
    <s v="Dakar"/>
  </r>
  <r>
    <x v="0"/>
    <x v="103"/>
    <x v="103"/>
    <x v="173"/>
    <x v="112"/>
    <x v="2"/>
    <x v="8"/>
    <x v="5"/>
    <s v="SÉNÉGAL"/>
    <s v="SÉNÉGAL"/>
    <s v="NULL"/>
    <n v="0"/>
    <s v="NULL"/>
    <s v="Greffe"/>
    <s v="Dakar"/>
  </r>
  <r>
    <x v="0"/>
    <x v="103"/>
    <x v="103"/>
    <x v="177"/>
    <x v="112"/>
    <x v="2"/>
    <x v="8"/>
    <x v="5"/>
    <s v="SÉNÉGAL"/>
    <s v="SÉNÉGAL"/>
    <s v="NULL"/>
    <n v="0"/>
    <s v="NULL"/>
    <s v="Greffe"/>
    <s v="Dakar"/>
  </r>
  <r>
    <x v="0"/>
    <x v="104"/>
    <x v="104"/>
    <x v="178"/>
    <x v="114"/>
    <x v="2"/>
    <x v="7"/>
    <x v="0"/>
    <s v="AFRIQUE DU SUD"/>
    <s v="AFRIQUE DU SUD"/>
    <s v="NULL"/>
    <n v="0"/>
    <s v="NULL"/>
    <s v="Greffe"/>
    <s v="Dakar"/>
  </r>
  <r>
    <x v="0"/>
    <x v="105"/>
    <x v="105"/>
    <x v="179"/>
    <x v="114"/>
    <x v="2"/>
    <x v="7"/>
    <x v="0"/>
    <s v="FRANCE"/>
    <s v="FRANCE"/>
    <s v="NULL"/>
    <n v="0"/>
    <s v="NULL"/>
    <s v="Greffe"/>
    <s v="Dakar"/>
  </r>
  <r>
    <x v="0"/>
    <x v="105"/>
    <x v="105"/>
    <x v="180"/>
    <x v="115"/>
    <x v="2"/>
    <x v="5"/>
    <x v="1"/>
    <s v="SÉNÉGAL"/>
    <s v="SÉNÉGAL"/>
    <s v="NULL"/>
    <n v="0"/>
    <s v="NULL"/>
    <s v="Greffe"/>
    <s v="Dakar"/>
  </r>
  <r>
    <x v="0"/>
    <x v="105"/>
    <x v="105"/>
    <x v="181"/>
    <x v="115"/>
    <x v="2"/>
    <x v="5"/>
    <x v="1"/>
    <s v="SÉNÉGAL"/>
    <s v="SÉNÉGAL"/>
    <s v="NULL"/>
    <n v="0"/>
    <s v="NULL"/>
    <s v="Greffe"/>
    <s v="Dakar"/>
  </r>
  <r>
    <x v="0"/>
    <x v="106"/>
    <x v="106"/>
    <x v="182"/>
    <x v="116"/>
    <x v="2"/>
    <x v="0"/>
    <x v="8"/>
    <s v="SÉNÉGAL"/>
    <s v="SÉNÉGAL"/>
    <s v="NULL"/>
    <n v="0"/>
    <s v="NULL"/>
    <s v="Greffe"/>
    <s v="Dakar"/>
  </r>
  <r>
    <x v="0"/>
    <x v="106"/>
    <x v="106"/>
    <x v="183"/>
    <x v="116"/>
    <x v="2"/>
    <x v="0"/>
    <x v="8"/>
    <s v="SÉNÉGAL"/>
    <s v="SÉNÉGAL"/>
    <s v="NULL"/>
    <n v="0"/>
    <s v="NULL"/>
    <s v="Greffe"/>
    <s v="Dakar"/>
  </r>
  <r>
    <x v="0"/>
    <x v="107"/>
    <x v="107"/>
    <x v="184"/>
    <x v="116"/>
    <x v="2"/>
    <x v="0"/>
    <x v="8"/>
    <s v="SÉNÉGAL"/>
    <s v="SÉNÉGAL"/>
    <s v="NULL"/>
    <n v="0"/>
    <s v="NULL"/>
    <s v="Greffe"/>
    <s v="Dakar"/>
  </r>
  <r>
    <x v="0"/>
    <x v="107"/>
    <x v="107"/>
    <x v="185"/>
    <x v="116"/>
    <x v="2"/>
    <x v="0"/>
    <x v="8"/>
    <s v="SÉNÉGAL"/>
    <s v="SÉNÉGAL"/>
    <s v="NULL"/>
    <n v="0"/>
    <s v="NULL"/>
    <s v="Greffe"/>
    <s v="Dakar"/>
  </r>
  <r>
    <x v="0"/>
    <x v="108"/>
    <x v="108"/>
    <x v="186"/>
    <x v="116"/>
    <x v="2"/>
    <x v="0"/>
    <x v="8"/>
    <s v="SÉNÉGAL"/>
    <s v="SÉNÉGAL"/>
    <s v="NULL"/>
    <n v="0"/>
    <s v="NULL"/>
    <s v="Greffe"/>
    <s v="Dakar"/>
  </r>
  <r>
    <x v="0"/>
    <x v="108"/>
    <x v="108"/>
    <x v="187"/>
    <x v="117"/>
    <x v="2"/>
    <x v="1"/>
    <x v="0"/>
    <s v="SÉNÉGAL"/>
    <s v="SÉNÉGAL"/>
    <s v="NULL"/>
    <n v="0"/>
    <s v="NULL"/>
    <s v="Greffe"/>
    <s v="Dakar"/>
  </r>
  <r>
    <x v="0"/>
    <x v="108"/>
    <x v="108"/>
    <x v="188"/>
    <x v="118"/>
    <x v="2"/>
    <x v="7"/>
    <x v="0"/>
    <s v="SÉNÉGAL"/>
    <s v="SÉNÉGAL"/>
    <s v="NULL"/>
    <n v="0"/>
    <s v="NULL"/>
    <s v="Greffe"/>
    <s v="Dakar"/>
  </r>
  <r>
    <x v="0"/>
    <x v="109"/>
    <x v="109"/>
    <x v="189"/>
    <x v="119"/>
    <x v="2"/>
    <x v="15"/>
    <x v="13"/>
    <s v="SÉNÉGAL"/>
    <s v="SÉNÉGAL"/>
    <s v="NULL"/>
    <n v="0"/>
    <s v="NULL"/>
    <s v="Greffe"/>
    <s v="Dakar"/>
  </r>
  <r>
    <x v="0"/>
    <x v="109"/>
    <x v="109"/>
    <x v="190"/>
    <x v="119"/>
    <x v="2"/>
    <x v="15"/>
    <x v="13"/>
    <s v="SÉNÉGAL"/>
    <s v="SÉNÉGAL"/>
    <s v="NULL"/>
    <n v="0"/>
    <s v="NULL"/>
    <s v="Greffe"/>
    <s v="Dakar"/>
  </r>
  <r>
    <x v="0"/>
    <x v="109"/>
    <x v="109"/>
    <x v="191"/>
    <x v="120"/>
    <x v="2"/>
    <x v="7"/>
    <x v="0"/>
    <s v="SÉNÉGAL"/>
    <s v="SÉNÉGAL"/>
    <s v="NULL"/>
    <n v="0"/>
    <s v="NULL"/>
    <s v="Greffe"/>
    <s v="Dakar"/>
  </r>
  <r>
    <x v="0"/>
    <x v="109"/>
    <x v="109"/>
    <x v="192"/>
    <x v="119"/>
    <x v="2"/>
    <x v="15"/>
    <x v="13"/>
    <s v="SÉNÉGAL"/>
    <s v="SÉNÉGAL"/>
    <s v="NULL"/>
    <n v="0"/>
    <s v="NULL"/>
    <s v="Greffe"/>
    <s v="Dakar"/>
  </r>
  <r>
    <x v="0"/>
    <x v="110"/>
    <x v="110"/>
    <x v="193"/>
    <x v="121"/>
    <x v="2"/>
    <x v="10"/>
    <x v="0"/>
    <s v="SÉNÉGAL"/>
    <s v="SÉNÉGAL"/>
    <s v="NULL"/>
    <n v="0"/>
    <s v="NULL"/>
    <s v="Greffe"/>
    <s v="Dakar"/>
  </r>
  <r>
    <x v="0"/>
    <x v="111"/>
    <x v="111"/>
    <x v="194"/>
    <x v="121"/>
    <x v="2"/>
    <x v="10"/>
    <x v="0"/>
    <s v="SÉNÉGAL"/>
    <s v="SÉNÉGAL"/>
    <s v="NULL"/>
    <n v="0"/>
    <s v="NULL"/>
    <s v="Greffe"/>
    <s v="Dakar"/>
  </r>
  <r>
    <x v="0"/>
    <x v="112"/>
    <x v="112"/>
    <x v="195"/>
    <x v="121"/>
    <x v="2"/>
    <x v="30"/>
    <x v="0"/>
    <s v="SÉNÉGAL"/>
    <s v="SÉNÉGAL"/>
    <s v="NULL"/>
    <n v="0"/>
    <s v="NULL"/>
    <s v="Greffe"/>
    <s v="Dakar"/>
  </r>
  <r>
    <x v="0"/>
    <x v="112"/>
    <x v="112"/>
    <x v="196"/>
    <x v="122"/>
    <x v="2"/>
    <x v="5"/>
    <x v="1"/>
    <s v="SUISSE"/>
    <s v="SUISSE"/>
    <s v="NULL"/>
    <n v="0"/>
    <s v="NULL"/>
    <s v="Greffe"/>
    <s v="Dakar"/>
  </r>
  <r>
    <x v="0"/>
    <x v="113"/>
    <x v="113"/>
    <x v="197"/>
    <x v="122"/>
    <x v="2"/>
    <x v="5"/>
    <x v="1"/>
    <s v="SUISSE"/>
    <s v="SUISSE"/>
    <s v="NULL"/>
    <n v="0"/>
    <s v="NULL"/>
    <s v="Greffe"/>
    <s v="Dakar"/>
  </r>
  <r>
    <x v="0"/>
    <x v="114"/>
    <x v="114"/>
    <x v="198"/>
    <x v="123"/>
    <x v="2"/>
    <x v="3"/>
    <x v="6"/>
    <s v="SÉNÉGAL"/>
    <s v="SÉNÉGAL"/>
    <s v="NULL"/>
    <n v="0"/>
    <s v="NULL"/>
    <s v="Greffe"/>
    <s v="Dakar"/>
  </r>
  <r>
    <x v="0"/>
    <x v="115"/>
    <x v="115"/>
    <x v="199"/>
    <x v="123"/>
    <x v="2"/>
    <x v="4"/>
    <x v="24"/>
    <s v="CAMEROUN"/>
    <s v="CAMEROUN"/>
    <s v="NULL"/>
    <n v="0"/>
    <s v="NULL"/>
    <s v="Greffe"/>
    <s v="Dakar"/>
  </r>
  <r>
    <x v="0"/>
    <x v="116"/>
    <x v="116"/>
    <x v="200"/>
    <x v="124"/>
    <x v="2"/>
    <x v="7"/>
    <x v="0"/>
    <s v="SUISSE"/>
    <s v="SUISSE"/>
    <s v="NULL"/>
    <n v="0"/>
    <s v="NULL"/>
    <s v="Greffe"/>
    <s v="Dakar"/>
  </r>
  <r>
    <x v="0"/>
    <x v="117"/>
    <x v="117"/>
    <x v="201"/>
    <x v="125"/>
    <x v="0"/>
    <x v="1"/>
    <x v="3"/>
    <s v="SÉNÉGAL"/>
    <s v="SÉNÉGAL"/>
    <s v="NULL"/>
    <n v="0"/>
    <s v="NULL"/>
    <s v="Greffe"/>
    <s v="Dakar"/>
  </r>
  <r>
    <x v="0"/>
    <x v="118"/>
    <x v="118"/>
    <x v="200"/>
    <x v="124"/>
    <x v="2"/>
    <x v="7"/>
    <x v="0"/>
    <s v="ÉGYPTE"/>
    <s v="ÉGYPTE"/>
    <s v="EGYPT"/>
    <n v="1"/>
    <s v="NAGUIB ONSI SAWIRIS"/>
    <s v="Greffe"/>
    <s v="Dakar"/>
  </r>
  <r>
    <x v="0"/>
    <x v="118"/>
    <x v="118"/>
    <x v="202"/>
    <x v="124"/>
    <x v="2"/>
    <x v="7"/>
    <x v="0"/>
    <s v="ÉGYPTE"/>
    <s v="ÉGYPTE"/>
    <s v="ÉGYPTE"/>
    <n v="1"/>
    <s v="NAGUIB ONSI SAWIRIS"/>
    <s v="Greffe"/>
    <s v="Dakar"/>
  </r>
  <r>
    <x v="0"/>
    <x v="119"/>
    <x v="119"/>
    <x v="202"/>
    <x v="126"/>
    <x v="2"/>
    <x v="1"/>
    <x v="3"/>
    <s v="SÉNÉGAL"/>
    <s v="SÉNÉGAL"/>
    <s v="NULL"/>
    <n v="0"/>
    <s v="NULL"/>
    <s v="Greffe"/>
    <s v="Dakar"/>
  </r>
  <r>
    <x v="0"/>
    <x v="120"/>
    <x v="120"/>
    <x v="203"/>
    <x v="127"/>
    <x v="2"/>
    <x v="0"/>
    <x v="8"/>
    <s v="SÉNÉGAL"/>
    <s v="SÉNÉGAL"/>
    <s v="NULL"/>
    <n v="0"/>
    <s v="NULL"/>
    <s v="Greffe"/>
    <s v="Dakar"/>
  </r>
  <r>
    <x v="0"/>
    <x v="120"/>
    <x v="120"/>
    <x v="203"/>
    <x v="127"/>
    <x v="2"/>
    <x v="3"/>
    <x v="6"/>
    <s v="SÉNÉGAL"/>
    <s v="SÉNÉGAL"/>
    <s v="NULL"/>
    <n v="0"/>
    <s v="NULL"/>
    <s v="Greffe"/>
    <s v="Dakar"/>
  </r>
  <r>
    <x v="0"/>
    <x v="121"/>
    <x v="121"/>
    <x v="204"/>
    <x v="119"/>
    <x v="2"/>
    <x v="15"/>
    <x v="13"/>
    <s v="SÉNÉGAL"/>
    <s v="SÉNÉGAL"/>
    <s v="NULL"/>
    <n v="0"/>
    <s v="NULL"/>
    <s v="Greffe"/>
    <s v="Dakar"/>
  </r>
  <r>
    <x v="0"/>
    <x v="122"/>
    <x v="122"/>
    <x v="203"/>
    <x v="128"/>
    <x v="2"/>
    <x v="15"/>
    <x v="13"/>
    <s v="SÉNÉGAL"/>
    <s v="SÉNÉGAL"/>
    <s v="NULL"/>
    <n v="0"/>
    <s v="NULL"/>
    <s v="Greffe"/>
    <s v="Dakar"/>
  </r>
  <r>
    <x v="0"/>
    <x v="123"/>
    <x v="123"/>
    <x v="205"/>
    <x v="119"/>
    <x v="2"/>
    <x v="8"/>
    <x v="5"/>
    <s v="SÉNÉGAL"/>
    <s v="SÉNÉGAL"/>
    <s v="NULL"/>
    <n v="0"/>
    <s v="NULL"/>
    <s v="Greffe"/>
    <s v="Dakar"/>
  </r>
  <r>
    <x v="0"/>
    <x v="123"/>
    <x v="123"/>
    <x v="206"/>
    <x v="129"/>
    <x v="2"/>
    <x v="1"/>
    <x v="3"/>
    <s v="SÉNÉGAL"/>
    <s v="SÉNÉGAL"/>
    <s v="NULL"/>
    <n v="0"/>
    <s v="NULL"/>
    <s v="Greffe"/>
    <s v="Dakar"/>
  </r>
  <r>
    <x v="0"/>
    <x v="123"/>
    <x v="123"/>
    <x v="207"/>
    <x v="127"/>
    <x v="2"/>
    <x v="0"/>
    <x v="8"/>
    <s v="SÉNÉGAL"/>
    <s v="SÉNÉGAL"/>
    <s v="NULL"/>
    <n v="0"/>
    <s v="NULL"/>
    <s v="Greffe"/>
    <s v="Dakar"/>
  </r>
  <r>
    <x v="0"/>
    <x v="124"/>
    <x v="124"/>
    <x v="203"/>
    <x v="127"/>
    <x v="2"/>
    <x v="3"/>
    <x v="6"/>
    <s v="SÉNÉGAL"/>
    <s v="SÉNÉGAL"/>
    <s v="NULL"/>
    <n v="0"/>
    <s v="NULL"/>
    <s v="Greffe"/>
    <s v="Dakar"/>
  </r>
  <r>
    <x v="0"/>
    <x v="125"/>
    <x v="125"/>
    <x v="208"/>
    <x v="60"/>
    <x v="0"/>
    <x v="3"/>
    <x v="6"/>
    <s v="SÉNÉGAL"/>
    <s v="SÉNÉGAL"/>
    <s v="NULL"/>
    <n v="0"/>
    <s v="NULL"/>
    <s v="Greffe"/>
    <s v="Dakar"/>
  </r>
  <r>
    <x v="0"/>
    <x v="126"/>
    <x v="126"/>
    <x v="209"/>
    <x v="128"/>
    <x v="2"/>
    <x v="5"/>
    <x v="1"/>
    <s v="SÉNÉGAL"/>
    <s v="SÉNÉGAL"/>
    <s v="NULL"/>
    <n v="0"/>
    <s v="NULL"/>
    <s v="Greffe"/>
    <s v="Dakar"/>
  </r>
  <r>
    <x v="0"/>
    <x v="126"/>
    <x v="126"/>
    <x v="210"/>
    <x v="128"/>
    <x v="2"/>
    <x v="17"/>
    <x v="14"/>
    <s v="SÉNÉGAL"/>
    <s v="SÉNÉGAL"/>
    <s v="NULL"/>
    <n v="0"/>
    <s v="NULL"/>
    <s v="Greffe"/>
    <s v="Dakar"/>
  </r>
  <r>
    <x v="0"/>
    <x v="127"/>
    <x v="127"/>
    <x v="211"/>
    <x v="128"/>
    <x v="2"/>
    <x v="2"/>
    <x v="12"/>
    <s v="SÉNÉGAL"/>
    <s v="SÉNÉGAL"/>
    <s v="NULL"/>
    <n v="0"/>
    <s v="NULL"/>
    <s v="Greffe"/>
    <s v="Dakar"/>
  </r>
  <r>
    <x v="0"/>
    <x v="127"/>
    <x v="127"/>
    <x v="212"/>
    <x v="130"/>
    <x v="2"/>
    <x v="27"/>
    <x v="0"/>
    <s v="SÉNÉGAL"/>
    <s v="SÉNÉGAL"/>
    <s v="NULL"/>
    <n v="0"/>
    <s v="NULL"/>
    <s v="Greffe"/>
    <s v="Dakar"/>
  </r>
  <r>
    <x v="0"/>
    <x v="127"/>
    <x v="127"/>
    <x v="213"/>
    <x v="131"/>
    <x v="2"/>
    <x v="31"/>
    <x v="0"/>
    <s v="SÉNÉGAL"/>
    <s v="SÉNÉGAL"/>
    <s v="NULL"/>
    <n v="0"/>
    <s v="NULL"/>
    <s v="Greffe"/>
    <s v="Dakar"/>
  </r>
  <r>
    <x v="0"/>
    <x v="128"/>
    <x v="128"/>
    <x v="214"/>
    <x v="132"/>
    <x v="2"/>
    <x v="5"/>
    <x v="1"/>
    <s v="SÉNÉGAL"/>
    <s v="SÉNÉGAL"/>
    <s v="NULL"/>
    <n v="0"/>
    <s v="NULL"/>
    <s v="Greffe"/>
    <s v="Dakar"/>
  </r>
  <r>
    <x v="0"/>
    <x v="128"/>
    <x v="128"/>
    <x v="215"/>
    <x v="132"/>
    <x v="2"/>
    <x v="5"/>
    <x v="1"/>
    <s v="SÉNÉGAL"/>
    <s v="SÉNÉGAL"/>
    <s v="NULL"/>
    <n v="0"/>
    <s v="NULL"/>
    <s v="Greffe"/>
    <s v="Dakar"/>
  </r>
  <r>
    <x v="0"/>
    <x v="129"/>
    <x v="129"/>
    <x v="216"/>
    <x v="133"/>
    <x v="2"/>
    <x v="7"/>
    <x v="0"/>
    <s v="AUSTRALIE"/>
    <s v="AUSTRALIE"/>
    <s v="NULL"/>
    <n v="0"/>
    <s v="NULL"/>
    <s v="Greffe"/>
    <s v="Dakar"/>
  </r>
  <r>
    <x v="0"/>
    <x v="130"/>
    <x v="130"/>
    <x v="217"/>
    <x v="134"/>
    <x v="2"/>
    <x v="5"/>
    <x v="1"/>
    <s v="SÉNÉGAL"/>
    <s v="SÉNÉGAL"/>
    <s v="NULL"/>
    <n v="0"/>
    <s v="NULL"/>
    <s v="Greffe"/>
    <s v="Dakar"/>
  </r>
  <r>
    <x v="0"/>
    <x v="130"/>
    <x v="130"/>
    <x v="218"/>
    <x v="134"/>
    <x v="2"/>
    <x v="5"/>
    <x v="1"/>
    <s v="CANADA"/>
    <s v="CANADA"/>
    <s v="NULL"/>
    <n v="0"/>
    <s v="NULL"/>
    <s v="Greffe"/>
    <s v="Dakar"/>
  </r>
  <r>
    <x v="0"/>
    <x v="130"/>
    <x v="130"/>
    <x v="219"/>
    <x v="135"/>
    <x v="2"/>
    <x v="7"/>
    <x v="0"/>
    <s v="SÉNÉGAL"/>
    <s v="SÉNÉGAL"/>
    <s v="NULL"/>
    <n v="0"/>
    <s v="NULL"/>
    <s v="Greffe"/>
    <s v="Dakar"/>
  </r>
  <r>
    <x v="0"/>
    <x v="130"/>
    <x v="130"/>
    <x v="220"/>
    <x v="135"/>
    <x v="2"/>
    <x v="7"/>
    <x v="0"/>
    <s v="SÉNÉGAL"/>
    <s v="SÉNÉGAL"/>
    <s v="NULL"/>
    <s v="NULL"/>
    <s v="NULL"/>
    <s v="Greffe"/>
    <s v="Dakar"/>
  </r>
  <r>
    <x v="0"/>
    <x v="130"/>
    <x v="130"/>
    <x v="221"/>
    <x v="135"/>
    <x v="2"/>
    <x v="7"/>
    <x v="0"/>
    <s v="SÉNÉGAL"/>
    <s v="SÉNÉGAL"/>
    <s v="NULL"/>
    <n v="0"/>
    <s v="NULL"/>
    <s v="Greffe"/>
    <s v="Dakar"/>
  </r>
  <r>
    <x v="0"/>
    <x v="131"/>
    <x v="131"/>
    <x v="222"/>
    <x v="136"/>
    <x v="2"/>
    <x v="1"/>
    <x v="28"/>
    <s v="SÉNÉGAL"/>
    <s v="SÉNÉGAL"/>
    <s v="NULL"/>
    <n v="0"/>
    <s v="NULL"/>
    <s v="Greffe"/>
    <s v="Dakar"/>
  </r>
  <r>
    <x v="0"/>
    <x v="131"/>
    <x v="131"/>
    <x v="223"/>
    <x v="137"/>
    <x v="2"/>
    <x v="7"/>
    <x v="0"/>
    <s v="SÉNÉGAL"/>
    <s v="SÉNÉGAL"/>
    <s v="NULL"/>
    <n v="0"/>
    <s v="NULL"/>
    <s v="Greffe"/>
    <s v="Dakar"/>
  </r>
  <r>
    <x v="0"/>
    <x v="132"/>
    <x v="132"/>
    <x v="224"/>
    <x v="138"/>
    <x v="2"/>
    <x v="4"/>
    <x v="24"/>
    <s v="SÉNÉGAL"/>
    <s v="SÉNÉGAL"/>
    <s v="NULL"/>
    <n v="0"/>
    <s v="NULL"/>
    <s v="Greffe"/>
    <s v="Dakar"/>
  </r>
  <r>
    <x v="0"/>
    <x v="133"/>
    <x v="133"/>
    <x v="225"/>
    <x v="138"/>
    <x v="2"/>
    <x v="3"/>
    <x v="6"/>
    <s v="SÉNÉGAL"/>
    <s v="SÉNÉGAL"/>
    <s v="NULL"/>
    <n v="0"/>
    <s v="NULL"/>
    <s v="Greffe"/>
    <s v="Dakar"/>
  </r>
  <r>
    <x v="0"/>
    <x v="134"/>
    <x v="134"/>
    <x v="225"/>
    <x v="139"/>
    <x v="2"/>
    <x v="1"/>
    <x v="0"/>
    <s v="SÉNÉGAL"/>
    <s v="SÉNÉGAL"/>
    <s v="NULL"/>
    <n v="0"/>
    <s v="NULL"/>
    <s v="Greffe"/>
    <s v="Dakar"/>
  </r>
  <r>
    <x v="0"/>
    <x v="134"/>
    <x v="134"/>
    <x v="226"/>
    <x v="140"/>
    <x v="2"/>
    <x v="1"/>
    <x v="3"/>
    <s v="SÉNÉGAL"/>
    <s v="SÉNÉGAL"/>
    <s v="NULL"/>
    <n v="0"/>
    <s v="NULL"/>
    <s v="Greffe"/>
    <s v="Dakar"/>
  </r>
  <r>
    <x v="0"/>
    <x v="135"/>
    <x v="135"/>
    <x v="227"/>
    <x v="141"/>
    <x v="2"/>
    <x v="1"/>
    <x v="0"/>
    <s v="SÉNÉGAL"/>
    <s v="SÉNÉGAL"/>
    <s v="NULL"/>
    <n v="0"/>
    <s v="NULL"/>
    <s v="Greffe"/>
    <s v="Dakar"/>
  </r>
  <r>
    <x v="0"/>
    <x v="136"/>
    <x v="136"/>
    <x v="228"/>
    <x v="142"/>
    <x v="0"/>
    <x v="20"/>
    <x v="17"/>
    <s v="SÉNÉGAL"/>
    <s v="SÉNÉGAL"/>
    <s v="NULL"/>
    <n v="0"/>
    <s v="NULL"/>
    <s v="Greffe"/>
    <s v="Dakar"/>
  </r>
  <r>
    <x v="0"/>
    <x v="136"/>
    <x v="136"/>
    <x v="229"/>
    <x v="142"/>
    <x v="0"/>
    <x v="32"/>
    <x v="29"/>
    <s v="SÉNÉGAL"/>
    <s v="SÉNÉGAL"/>
    <s v="NULL"/>
    <n v="0"/>
    <s v="NULL"/>
    <s v="Greffe"/>
    <s v="Dakar"/>
  </r>
  <r>
    <x v="0"/>
    <x v="136"/>
    <x v="136"/>
    <x v="230"/>
    <x v="143"/>
    <x v="0"/>
    <x v="1"/>
    <x v="3"/>
    <s v="SÉNÉGAL"/>
    <s v="SÉNÉGAL"/>
    <s v="NULL"/>
    <n v="0"/>
    <s v="NULL"/>
    <s v="Greffe"/>
    <s v="Dakar"/>
  </r>
  <r>
    <x v="0"/>
    <x v="137"/>
    <x v="137"/>
    <x v="231"/>
    <x v="144"/>
    <x v="2"/>
    <x v="1"/>
    <x v="3"/>
    <s v="SÉNÉGAL"/>
    <s v="SÉNÉGAL"/>
    <s v="NULL"/>
    <n v="0"/>
    <s v="NULL"/>
    <s v="Greffe"/>
    <s v="Dakar"/>
  </r>
  <r>
    <x v="0"/>
    <x v="138"/>
    <x v="138"/>
    <x v="231"/>
    <x v="145"/>
    <x v="2"/>
    <x v="7"/>
    <x v="0"/>
    <s v="SÉNÉGAL"/>
    <s v="SÉNÉGAL"/>
    <s v="NULL"/>
    <n v="0"/>
    <s v="NULL"/>
    <s v="Greffe"/>
    <s v="Dakar"/>
  </r>
  <r>
    <x v="0"/>
    <x v="139"/>
    <x v="139"/>
    <x v="231"/>
    <x v="146"/>
    <x v="2"/>
    <x v="7"/>
    <x v="0"/>
    <s v="FRANCE"/>
    <s v="FRANCE"/>
    <s v="NULL"/>
    <n v="0"/>
    <s v="NULL"/>
    <s v="Greffe"/>
    <s v="Dakar"/>
  </r>
  <r>
    <x v="0"/>
    <x v="140"/>
    <x v="140"/>
    <x v="232"/>
    <x v="146"/>
    <x v="2"/>
    <x v="7"/>
    <x v="0"/>
    <s v="ÉGYPTE"/>
    <s v="ÉGYPTE"/>
    <s v="EGYPT"/>
    <n v="1"/>
    <s v="NAGUIB ONSI SAWIRIS"/>
    <s v="Greffe"/>
    <s v="Dakar"/>
  </r>
  <r>
    <x v="0"/>
    <x v="140"/>
    <x v="140"/>
    <x v="233"/>
    <x v="146"/>
    <x v="2"/>
    <x v="7"/>
    <x v="0"/>
    <s v="ÉGYPTE"/>
    <s v="ÉGYPTE"/>
    <s v="ÉGYPTE"/>
    <n v="1"/>
    <s v="NAGUIB ONSI SAWIRIS"/>
    <s v="Greffe"/>
    <s v="Dakar"/>
  </r>
  <r>
    <x v="0"/>
    <x v="141"/>
    <x v="141"/>
    <x v="234"/>
    <x v="147"/>
    <x v="2"/>
    <x v="23"/>
    <x v="0"/>
    <s v="SÉNÉGAL"/>
    <s v="SÉNÉGAL"/>
    <s v="NULL"/>
    <n v="0"/>
    <s v="NULL"/>
    <s v="Greffe"/>
    <s v="Dakar"/>
  </r>
  <r>
    <x v="0"/>
    <x v="141"/>
    <x v="141"/>
    <x v="235"/>
    <x v="147"/>
    <x v="2"/>
    <x v="24"/>
    <x v="23"/>
    <s v="SÉNÉGAL"/>
    <s v="SÉNÉGAL"/>
    <s v="NULL"/>
    <n v="0"/>
    <s v="NULL"/>
    <s v="Greffe"/>
    <s v="Dakar"/>
  </r>
  <r>
    <x v="0"/>
    <x v="142"/>
    <x v="142"/>
    <x v="236"/>
    <x v="148"/>
    <x v="2"/>
    <x v="10"/>
    <x v="9"/>
    <s v="SÉNÉGAL"/>
    <s v="SÉNÉGAL"/>
    <s v="NULL"/>
    <n v="0"/>
    <s v="NULL"/>
    <s v="Greffe"/>
    <s v="Dakar"/>
  </r>
  <r>
    <x v="0"/>
    <x v="142"/>
    <x v="142"/>
    <x v="236"/>
    <x v="148"/>
    <x v="2"/>
    <x v="10"/>
    <x v="9"/>
    <s v="SÉNÉGAL"/>
    <s v="SÉNÉGAL"/>
    <s v="NULL"/>
    <n v="0"/>
    <s v="NULL"/>
    <s v="Greffe"/>
    <s v="Dakar"/>
  </r>
  <r>
    <x v="0"/>
    <x v="143"/>
    <x v="143"/>
    <x v="237"/>
    <x v="148"/>
    <x v="2"/>
    <x v="10"/>
    <x v="9"/>
    <s v="SÉNÉGAL"/>
    <s v="SÉNÉGAL"/>
    <s v="NULL"/>
    <n v="0"/>
    <s v="NULL"/>
    <s v="Greffe"/>
    <s v="Dakar"/>
  </r>
  <r>
    <x v="0"/>
    <x v="143"/>
    <x v="143"/>
    <x v="238"/>
    <x v="148"/>
    <x v="2"/>
    <x v="4"/>
    <x v="24"/>
    <s v="SÉNÉGAL"/>
    <s v="SÉNÉGAL"/>
    <s v="NULL"/>
    <n v="0"/>
    <s v="NULL"/>
    <s v="Greffe"/>
    <s v="Dakar"/>
  </r>
  <r>
    <x v="0"/>
    <x v="143"/>
    <x v="143"/>
    <x v="238"/>
    <x v="148"/>
    <x v="2"/>
    <x v="10"/>
    <x v="9"/>
    <s v="SÉNÉGAL"/>
    <s v="SÉNÉGAL"/>
    <s v="NULL"/>
    <n v="0"/>
    <s v="NULL"/>
    <s v="Greffe"/>
    <s v="Dakar"/>
  </r>
  <r>
    <x v="0"/>
    <x v="143"/>
    <x v="143"/>
    <x v="239"/>
    <x v="148"/>
    <x v="2"/>
    <x v="10"/>
    <x v="9"/>
    <s v="SÉNÉGAL"/>
    <s v="SÉNÉGAL"/>
    <s v="NULL"/>
    <n v="0"/>
    <s v="NULL"/>
    <s v="Greffe"/>
    <s v="Dakar"/>
  </r>
  <r>
    <x v="0"/>
    <x v="143"/>
    <x v="143"/>
    <x v="240"/>
    <x v="148"/>
    <x v="2"/>
    <x v="10"/>
    <x v="9"/>
    <s v="SÉNÉGAL"/>
    <s v="SÉNÉGAL"/>
    <s v="NULL"/>
    <n v="0"/>
    <s v="NULL"/>
    <s v="Greffe"/>
    <s v="Dakar"/>
  </r>
  <r>
    <x v="0"/>
    <x v="144"/>
    <x v="144"/>
    <x v="241"/>
    <x v="149"/>
    <x v="2"/>
    <x v="1"/>
    <x v="3"/>
    <s v="SÉNÉGAL"/>
    <s v="SÉNÉGAL"/>
    <s v="NULL"/>
    <n v="0"/>
    <s v="NULL"/>
    <s v="Greffe"/>
    <s v="Dakar"/>
  </r>
  <r>
    <x v="0"/>
    <x v="145"/>
    <x v="145"/>
    <x v="242"/>
    <x v="150"/>
    <x v="2"/>
    <x v="1"/>
    <x v="3"/>
    <s v="SÉNÉGAL"/>
    <s v="SÉNÉGAL"/>
    <s v="NULL"/>
    <n v="0"/>
    <s v="NULL"/>
    <s v="Greffe"/>
    <s v="Dakar"/>
  </r>
  <r>
    <x v="0"/>
    <x v="145"/>
    <x v="145"/>
    <x v="243"/>
    <x v="151"/>
    <x v="2"/>
    <x v="7"/>
    <x v="0"/>
    <s v="PAKISTAN"/>
    <s v="PAKISTAN"/>
    <s v="NULL"/>
    <n v="0"/>
    <s v="NULL"/>
    <s v="Greffe"/>
    <s v="Dakar"/>
  </r>
  <r>
    <x v="0"/>
    <x v="146"/>
    <x v="146"/>
    <x v="244"/>
    <x v="152"/>
    <x v="2"/>
    <x v="7"/>
    <x v="0"/>
    <s v="SÉNÉGAL"/>
    <s v="SÉNÉGAL"/>
    <s v="NULL"/>
    <n v="0"/>
    <s v="NULL"/>
    <s v="Greffe"/>
    <s v="Dakar"/>
  </r>
  <r>
    <x v="0"/>
    <x v="147"/>
    <x v="147"/>
    <x v="245"/>
    <x v="152"/>
    <x v="2"/>
    <x v="7"/>
    <x v="0"/>
    <s v="SÉNÉGAL"/>
    <s v="SÉNÉGAL"/>
    <s v="NULL"/>
    <n v="0"/>
    <s v="NULL"/>
    <s v="Greffe"/>
    <s v="Dakar"/>
  </r>
  <r>
    <x v="0"/>
    <x v="147"/>
    <x v="147"/>
    <x v="245"/>
    <x v="152"/>
    <x v="2"/>
    <x v="7"/>
    <x v="0"/>
    <s v="SÉNÉGAL"/>
    <s v="SÉNÉGAL"/>
    <s v="NULL"/>
    <n v="0"/>
    <s v="NULL"/>
    <s v="Greffe"/>
    <s v="Dakar"/>
  </r>
  <r>
    <x v="0"/>
    <x v="147"/>
    <x v="147"/>
    <x v="245"/>
    <x v="153"/>
    <x v="2"/>
    <x v="17"/>
    <x v="14"/>
    <s v="SÉNÉGAL"/>
    <s v="SÉNÉGAL"/>
    <s v="NULL"/>
    <n v="0"/>
    <s v="NULL"/>
    <s v="Greffe"/>
    <s v="Dakar"/>
  </r>
  <r>
    <x v="0"/>
    <x v="148"/>
    <x v="148"/>
    <x v="246"/>
    <x v="153"/>
    <x v="2"/>
    <x v="17"/>
    <x v="14"/>
    <s v="SÉNÉGAL"/>
    <s v="SÉNÉGAL"/>
    <s v="NULL"/>
    <n v="0"/>
    <s v="NULL"/>
    <s v="Greffe"/>
    <s v="Dakar"/>
  </r>
  <r>
    <x v="0"/>
    <x v="149"/>
    <x v="149"/>
    <x v="247"/>
    <x v="153"/>
    <x v="2"/>
    <x v="4"/>
    <x v="24"/>
    <s v="SÉNÉGAL"/>
    <s v="SÉNÉGAL"/>
    <s v="NULL"/>
    <n v="0"/>
    <s v="NULL"/>
    <s v="Greffe"/>
    <s v="Dakar"/>
  </r>
  <r>
    <x v="0"/>
    <x v="149"/>
    <x v="149"/>
    <x v="248"/>
    <x v="153"/>
    <x v="2"/>
    <x v="17"/>
    <x v="14"/>
    <s v="SÉNÉGAL"/>
    <s v="SÉNÉGAL"/>
    <s v="NULL"/>
    <n v="0"/>
    <s v="NULL"/>
    <s v="Greffe"/>
    <s v="Dakar"/>
  </r>
  <r>
    <x v="0"/>
    <x v="150"/>
    <x v="150"/>
    <x v="249"/>
    <x v="154"/>
    <x v="2"/>
    <x v="7"/>
    <x v="0"/>
    <s v="SÉNÉGAL"/>
    <s v="SÉNÉGAL"/>
    <s v="NULL"/>
    <n v="0"/>
    <s v="NULL"/>
    <s v="Greffe"/>
    <s v="Dakar"/>
  </r>
  <r>
    <x v="0"/>
    <x v="150"/>
    <x v="150"/>
    <x v="250"/>
    <x v="155"/>
    <x v="2"/>
    <x v="7"/>
    <x v="0"/>
    <s v="SÉNÉGAL"/>
    <s v="SÉNÉGAL"/>
    <s v="NULL"/>
    <n v="0"/>
    <s v="NULL"/>
    <s v="Greffe"/>
    <s v="Dakar"/>
  </r>
  <r>
    <x v="0"/>
    <x v="151"/>
    <x v="151"/>
    <x v="251"/>
    <x v="65"/>
    <x v="0"/>
    <x v="0"/>
    <x v="8"/>
    <s v="SÉNÉGAL"/>
    <s v="SÉNÉGAL"/>
    <s v="NULL"/>
    <n v="0"/>
    <s v="NULL"/>
    <s v="Greffe"/>
    <s v="Dakar"/>
  </r>
  <r>
    <x v="0"/>
    <x v="151"/>
    <x v="151"/>
    <x v="252"/>
    <x v="156"/>
    <x v="0"/>
    <x v="7"/>
    <x v="0"/>
    <s v="SÉNÉGAL"/>
    <s v="SÉNÉGAL"/>
    <s v="NULL"/>
    <n v="0"/>
    <s v="NULL"/>
    <s v="Greffe"/>
    <s v="Dakar"/>
  </r>
  <r>
    <x v="0"/>
    <x v="151"/>
    <x v="151"/>
    <x v="253"/>
    <x v="156"/>
    <x v="0"/>
    <x v="7"/>
    <x v="0"/>
    <s v="FRANCE"/>
    <s v="FRANCE"/>
    <s v="NULL"/>
    <n v="0"/>
    <s v="NULL"/>
    <s v="Greffe"/>
    <s v="Dakar"/>
  </r>
  <r>
    <x v="0"/>
    <x v="152"/>
    <x v="152"/>
    <x v="254"/>
    <x v="155"/>
    <x v="2"/>
    <x v="7"/>
    <x v="0"/>
    <s v="SÉNÉGAL"/>
    <s v="SÉNÉGAL"/>
    <s v="NULL"/>
    <n v="0"/>
    <s v="NULL"/>
    <s v="Greffe"/>
    <s v="Dakar"/>
  </r>
  <r>
    <x v="0"/>
    <x v="153"/>
    <x v="153"/>
    <x v="255"/>
    <x v="157"/>
    <x v="2"/>
    <x v="21"/>
    <x v="20"/>
    <s v="SÉNÉGAL"/>
    <s v="SÉNÉGAL"/>
    <s v="NULL"/>
    <n v="0"/>
    <s v="NULL"/>
    <s v="Greffe"/>
    <s v="Dakar"/>
  </r>
  <r>
    <x v="0"/>
    <x v="154"/>
    <x v="154"/>
    <x v="256"/>
    <x v="157"/>
    <x v="2"/>
    <x v="0"/>
    <x v="8"/>
    <s v="SÉNÉGAL"/>
    <s v="SÉNÉGAL"/>
    <s v="NULL"/>
    <n v="0"/>
    <s v="NULL"/>
    <s v="Greffe"/>
    <s v="Dakar"/>
  </r>
  <r>
    <x v="0"/>
    <x v="155"/>
    <x v="155"/>
    <x v="257"/>
    <x v="157"/>
    <x v="2"/>
    <x v="0"/>
    <x v="8"/>
    <s v="SÉNÉGAL"/>
    <s v="SÉNÉGAL"/>
    <s v="NULL"/>
    <n v="0"/>
    <s v="NULL"/>
    <s v="Greffe"/>
    <s v="Dakar"/>
  </r>
  <r>
    <x v="0"/>
    <x v="155"/>
    <x v="155"/>
    <x v="258"/>
    <x v="158"/>
    <x v="2"/>
    <x v="7"/>
    <x v="0"/>
    <s v="FRANCE"/>
    <s v="FRANCE"/>
    <s v="NULL"/>
    <n v="0"/>
    <s v="NULL"/>
    <s v="Greffe"/>
    <s v="Dakar"/>
  </r>
  <r>
    <x v="0"/>
    <x v="156"/>
    <x v="156"/>
    <x v="259"/>
    <x v="159"/>
    <x v="2"/>
    <x v="33"/>
    <x v="0"/>
    <s v="SÉNÉGAL"/>
    <s v="SÉNÉGAL"/>
    <s v="NULL"/>
    <n v="0"/>
    <s v="NULL"/>
    <s v="Greffe"/>
    <s v="Dakar"/>
  </r>
  <r>
    <x v="0"/>
    <x v="157"/>
    <x v="157"/>
    <x v="260"/>
    <x v="159"/>
    <x v="2"/>
    <x v="3"/>
    <x v="0"/>
    <s v="FRANCE"/>
    <s v="FRANCE"/>
    <s v="NULL"/>
    <n v="0"/>
    <s v="NULL"/>
    <s v="Greffe"/>
    <s v="Dakar"/>
  </r>
  <r>
    <x v="0"/>
    <x v="157"/>
    <x v="157"/>
    <x v="260"/>
    <x v="159"/>
    <x v="2"/>
    <x v="33"/>
    <x v="0"/>
    <s v="FRANCE"/>
    <s v="FRANCE"/>
    <s v="NULL"/>
    <n v="0"/>
    <s v="NULL"/>
    <s v="Greffe"/>
    <s v="Dakar"/>
  </r>
  <r>
    <x v="0"/>
    <x v="158"/>
    <x v="158"/>
    <x v="261"/>
    <x v="159"/>
    <x v="2"/>
    <x v="33"/>
    <x v="0"/>
    <s v="SÉNÉGAL"/>
    <s v="SÉNÉGAL"/>
    <s v="NULL"/>
    <n v="0"/>
    <s v="NULL"/>
    <s v="Greffe"/>
    <s v="Dakar"/>
  </r>
  <r>
    <x v="0"/>
    <x v="158"/>
    <x v="158"/>
    <x v="262"/>
    <x v="159"/>
    <x v="2"/>
    <x v="34"/>
    <x v="0"/>
    <s v="SÉNÉGAL"/>
    <s v="SÉNÉGAL"/>
    <s v="NULL"/>
    <n v="0"/>
    <s v="NULL"/>
    <s v="Greffe"/>
    <s v="Dakar"/>
  </r>
  <r>
    <x v="0"/>
    <x v="159"/>
    <x v="159"/>
    <x v="263"/>
    <x v="159"/>
    <x v="2"/>
    <x v="15"/>
    <x v="0"/>
    <s v="FRANCE"/>
    <s v="FRANCE"/>
    <s v="NULL"/>
    <n v="0"/>
    <s v="NULL"/>
    <s v="Greffe"/>
    <s v="Dakar"/>
  </r>
  <r>
    <x v="0"/>
    <x v="160"/>
    <x v="160"/>
    <x v="263"/>
    <x v="160"/>
    <x v="2"/>
    <x v="7"/>
    <x v="0"/>
    <s v="LIBAN"/>
    <s v="LIBAN"/>
    <s v="NULL"/>
    <n v="0"/>
    <s v="NULL"/>
    <s v="Greffe"/>
    <s v="Dakar"/>
  </r>
  <r>
    <x v="0"/>
    <x v="161"/>
    <x v="161"/>
    <x v="263"/>
    <x v="160"/>
    <x v="2"/>
    <x v="7"/>
    <x v="0"/>
    <s v="SÉNÉGAL"/>
    <s v="SÉNÉGAL"/>
    <s v="NULL"/>
    <n v="0"/>
    <s v="NULL"/>
    <s v="Greffe"/>
    <s v="Dakar"/>
  </r>
  <r>
    <x v="0"/>
    <x v="161"/>
    <x v="161"/>
    <x v="263"/>
    <x v="161"/>
    <x v="2"/>
    <x v="1"/>
    <x v="0"/>
    <s v="SÉNÉGAL"/>
    <s v="SÉNÉGAL"/>
    <s v="NULL"/>
    <n v="0"/>
    <s v="NULL"/>
    <s v="Greffe"/>
    <s v="Dakar"/>
  </r>
  <r>
    <x v="0"/>
    <x v="162"/>
    <x v="162"/>
    <x v="264"/>
    <x v="162"/>
    <x v="2"/>
    <x v="1"/>
    <x v="0"/>
    <s v="SÉNÉGAL"/>
    <s v="SÉNÉGAL"/>
    <s v="NULL"/>
    <n v="0"/>
    <s v="NULL"/>
    <s v="Greffe"/>
    <s v="Dakar"/>
  </r>
  <r>
    <x v="0"/>
    <x v="162"/>
    <x v="162"/>
    <x v="265"/>
    <x v="163"/>
    <x v="2"/>
    <x v="7"/>
    <x v="0"/>
    <s v="SÉNÉGAL"/>
    <s v="SÉNÉGAL"/>
    <s v="NULL"/>
    <n v="0"/>
    <s v="NULL"/>
    <s v="Greffe"/>
    <s v="Dakar"/>
  </r>
  <r>
    <x v="0"/>
    <x v="163"/>
    <x v="163"/>
    <x v="266"/>
    <x v="164"/>
    <x v="2"/>
    <x v="1"/>
    <x v="0"/>
    <s v="SÉNÉGAL"/>
    <s v="SÉNÉGAL"/>
    <s v="NULL"/>
    <n v="0"/>
    <s v="NULL"/>
    <s v="Greffe"/>
    <s v="Dakar"/>
  </r>
  <r>
    <x v="0"/>
    <x v="163"/>
    <x v="163"/>
    <x v="267"/>
    <x v="165"/>
    <x v="2"/>
    <x v="1"/>
    <x v="3"/>
    <s v="SÉNÉGAL"/>
    <s v="SÉNÉGAL"/>
    <s v="NULL"/>
    <n v="0"/>
    <s v="NULL"/>
    <s v="Greffe"/>
    <s v="Dakar"/>
  </r>
  <r>
    <x v="0"/>
    <x v="163"/>
    <x v="163"/>
    <x v="268"/>
    <x v="166"/>
    <x v="2"/>
    <x v="16"/>
    <x v="11"/>
    <s v="SÉNÉGAL"/>
    <s v="SÉNÉGAL"/>
    <s v="NULL"/>
    <n v="0"/>
    <s v="NULL"/>
    <s v="Greffe"/>
    <s v="Dakar"/>
  </r>
  <r>
    <x v="0"/>
    <x v="164"/>
    <x v="164"/>
    <x v="269"/>
    <x v="167"/>
    <x v="2"/>
    <x v="1"/>
    <x v="3"/>
    <s v="SÉNÉGAL"/>
    <s v="SÉNÉGAL"/>
    <s v="NULL"/>
    <n v="0"/>
    <s v="NULL"/>
    <s v="Greffe"/>
    <s v="Dakar"/>
  </r>
  <r>
    <x v="0"/>
    <x v="164"/>
    <x v="164"/>
    <x v="270"/>
    <x v="168"/>
    <x v="2"/>
    <x v="1"/>
    <x v="0"/>
    <s v="SÉNÉGAL"/>
    <s v="SÉNÉGAL"/>
    <s v="NULL"/>
    <n v="0"/>
    <s v="NULL"/>
    <s v="Greffe"/>
    <s v="Dakar"/>
  </r>
  <r>
    <x v="0"/>
    <x v="164"/>
    <x v="164"/>
    <x v="271"/>
    <x v="166"/>
    <x v="2"/>
    <x v="16"/>
    <x v="11"/>
    <s v="SÉNÉGAL"/>
    <s v="SÉNÉGAL"/>
    <s v="NULL"/>
    <n v="0"/>
    <s v="NULL"/>
    <s v="Greffe"/>
    <s v="Dakar"/>
  </r>
  <r>
    <x v="0"/>
    <x v="165"/>
    <x v="165"/>
    <x v="272"/>
    <x v="166"/>
    <x v="2"/>
    <x v="27"/>
    <x v="25"/>
    <s v="SÉNÉGAL"/>
    <s v="SÉNÉGAL"/>
    <s v="NULL"/>
    <n v="0"/>
    <s v="NULL"/>
    <s v="Greffe"/>
    <s v="Dakar"/>
  </r>
  <r>
    <x v="0"/>
    <x v="165"/>
    <x v="165"/>
    <x v="272"/>
    <x v="169"/>
    <x v="3"/>
    <x v="1"/>
    <x v="3"/>
    <s v="SÉNÉGAL"/>
    <s v="SÉNÉGAL"/>
    <s v="NULL"/>
    <n v="0"/>
    <s v="NULL"/>
    <s v="Greffe"/>
    <s v="Dakar"/>
  </r>
  <r>
    <x v="0"/>
    <x v="165"/>
    <x v="165"/>
    <x v="273"/>
    <x v="170"/>
    <x v="3"/>
    <x v="1"/>
    <x v="3"/>
    <s v="SÉNÉGAL"/>
    <s v="SÉNÉGAL"/>
    <s v="NULL"/>
    <n v="0"/>
    <s v="NULL"/>
    <s v="Greffe"/>
    <s v="Dakar"/>
  </r>
  <r>
    <x v="0"/>
    <x v="166"/>
    <x v="166"/>
    <x v="274"/>
    <x v="171"/>
    <x v="3"/>
    <x v="7"/>
    <x v="0"/>
    <s v="LIBAN"/>
    <s v="LIBAN"/>
    <s v="NULL"/>
    <n v="0"/>
    <s v="NULL"/>
    <s v="Greffe"/>
    <s v="Dakar"/>
  </r>
  <r>
    <x v="0"/>
    <x v="166"/>
    <x v="166"/>
    <x v="275"/>
    <x v="172"/>
    <x v="3"/>
    <x v="16"/>
    <x v="11"/>
    <s v="SÉNÉGAL"/>
    <s v="SÉNÉGAL"/>
    <s v="NULL"/>
    <n v="0"/>
    <s v="NULL"/>
    <s v="Greffe"/>
    <s v="Dakar"/>
  </r>
  <r>
    <x v="0"/>
    <x v="166"/>
    <x v="166"/>
    <x v="276"/>
    <x v="172"/>
    <x v="3"/>
    <x v="27"/>
    <x v="25"/>
    <s v="SÉNÉGAL"/>
    <s v="SÉNÉGAL"/>
    <s v="NULL"/>
    <n v="0"/>
    <s v="NULL"/>
    <s v="Greffe"/>
    <s v="Dakar"/>
  </r>
  <r>
    <x v="0"/>
    <x v="166"/>
    <x v="166"/>
    <x v="277"/>
    <x v="172"/>
    <x v="3"/>
    <x v="16"/>
    <x v="11"/>
    <s v="SÉNÉGAL"/>
    <s v="SÉNÉGAL"/>
    <s v="NULL"/>
    <n v="0"/>
    <s v="NULL"/>
    <s v="Greffe"/>
    <s v="Dakar"/>
  </r>
  <r>
    <x v="0"/>
    <x v="167"/>
    <x v="167"/>
    <x v="278"/>
    <x v="173"/>
    <x v="3"/>
    <x v="2"/>
    <x v="12"/>
    <s v="SÉNÉGAL"/>
    <s v="SÉNÉGAL"/>
    <s v="NULL"/>
    <n v="0"/>
    <s v="NULL"/>
    <s v="Greffe"/>
    <s v="Dakar"/>
  </r>
  <r>
    <x v="0"/>
    <x v="168"/>
    <x v="168"/>
    <x v="279"/>
    <x v="173"/>
    <x v="3"/>
    <x v="26"/>
    <x v="30"/>
    <s v="SÉNÉGAL"/>
    <s v="SÉNÉGAL"/>
    <s v="NULL"/>
    <n v="0"/>
    <s v="NULL"/>
    <s v="Greffe"/>
    <s v="Dakar"/>
  </r>
  <r>
    <x v="0"/>
    <x v="168"/>
    <x v="168"/>
    <x v="280"/>
    <x v="174"/>
    <x v="3"/>
    <x v="7"/>
    <x v="0"/>
    <s v="SÉNÉGAL"/>
    <s v="SÉNÉGAL"/>
    <s v="NULL"/>
    <n v="0"/>
    <s v="NULL"/>
    <s v="Greffe"/>
    <s v="Dakar"/>
  </r>
  <r>
    <x v="0"/>
    <x v="168"/>
    <x v="168"/>
    <x v="281"/>
    <x v="175"/>
    <x v="3"/>
    <x v="7"/>
    <x v="0"/>
    <s v="FRANCE"/>
    <s v="FRANCE"/>
    <s v="NULL"/>
    <n v="0"/>
    <s v="NULL"/>
    <s v="Greffe"/>
    <s v="Dakar"/>
  </r>
  <r>
    <x v="0"/>
    <x v="169"/>
    <x v="169"/>
    <x v="282"/>
    <x v="176"/>
    <x v="3"/>
    <x v="5"/>
    <x v="1"/>
    <s v="SÉNÉGAL"/>
    <s v="SÉNÉGAL"/>
    <s v="NULL"/>
    <n v="0"/>
    <s v="NULL"/>
    <s v="Greffe"/>
    <s v="Dakar"/>
  </r>
  <r>
    <x v="0"/>
    <x v="170"/>
    <x v="170"/>
    <x v="283"/>
    <x v="176"/>
    <x v="3"/>
    <x v="5"/>
    <x v="1"/>
    <s v="SÉNÉGAL"/>
    <s v="SÉNÉGAL"/>
    <s v="NULL"/>
    <n v="0"/>
    <s v="NULL"/>
    <s v="Greffe"/>
    <s v="Dakar"/>
  </r>
  <r>
    <x v="0"/>
    <x v="171"/>
    <x v="171"/>
    <x v="284"/>
    <x v="177"/>
    <x v="3"/>
    <x v="1"/>
    <x v="3"/>
    <s v="SÉNÉGAL"/>
    <s v="SÉNÉGAL"/>
    <s v="NULL"/>
    <n v="0"/>
    <s v="NULL"/>
    <s v="Greffe"/>
    <s v="Dakar"/>
  </r>
  <r>
    <x v="0"/>
    <x v="172"/>
    <x v="172"/>
    <x v="285"/>
    <x v="178"/>
    <x v="3"/>
    <x v="1"/>
    <x v="0"/>
    <s v="SÉNÉGAL"/>
    <s v="SÉNÉGAL"/>
    <s v="NULL"/>
    <n v="0"/>
    <s v="NULL"/>
    <s v="Greffe"/>
    <s v="Dakar"/>
  </r>
  <r>
    <x v="0"/>
    <x v="172"/>
    <x v="172"/>
    <x v="286"/>
    <x v="179"/>
    <x v="3"/>
    <x v="1"/>
    <x v="3"/>
    <s v="SÉNÉGAL"/>
    <s v="SÉNÉGAL"/>
    <s v="NULL"/>
    <n v="0"/>
    <s v="NULL"/>
    <s v="Greffe"/>
    <s v="Dakar"/>
  </r>
  <r>
    <x v="0"/>
    <x v="172"/>
    <x v="172"/>
    <x v="287"/>
    <x v="180"/>
    <x v="3"/>
    <x v="2"/>
    <x v="12"/>
    <s v="SÉNÉGAL"/>
    <s v="SÉNÉGAL"/>
    <s v="NULL"/>
    <n v="0"/>
    <s v="NULL"/>
    <s v="Greffe"/>
    <s v="Dakar"/>
  </r>
  <r>
    <x v="0"/>
    <x v="173"/>
    <x v="173"/>
    <x v="288"/>
    <x v="180"/>
    <x v="3"/>
    <x v="26"/>
    <x v="30"/>
    <s v="SÉNÉGAL"/>
    <s v="SÉNÉGAL"/>
    <s v="NULL"/>
    <n v="0"/>
    <s v="NULL"/>
    <s v="Greffe"/>
    <s v="Dakar"/>
  </r>
  <r>
    <x v="0"/>
    <x v="174"/>
    <x v="174"/>
    <x v="289"/>
    <x v="181"/>
    <x v="3"/>
    <x v="7"/>
    <x v="0"/>
    <s v="SÉNÉGAL"/>
    <s v="SÉNÉGAL"/>
    <s v="NULL"/>
    <n v="0"/>
    <s v="NULL"/>
    <s v="Greffe"/>
    <s v="Dakar"/>
  </r>
  <r>
    <x v="0"/>
    <x v="175"/>
    <x v="175"/>
    <x v="290"/>
    <x v="182"/>
    <x v="3"/>
    <x v="5"/>
    <x v="1"/>
    <s v="SÉNÉGAL"/>
    <s v="SÉNÉGAL"/>
    <s v="NULL"/>
    <n v="0"/>
    <s v="NULL"/>
    <s v="Greffe"/>
    <s v="Dakar"/>
  </r>
  <r>
    <x v="0"/>
    <x v="175"/>
    <x v="175"/>
    <x v="291"/>
    <x v="182"/>
    <x v="3"/>
    <x v="5"/>
    <x v="1"/>
    <s v="SÉNÉGAL"/>
    <s v="SÉNÉGAL"/>
    <s v="NULL"/>
    <n v="0"/>
    <s v="NULL"/>
    <s v="Greffe"/>
    <s v="Dakar"/>
  </r>
  <r>
    <x v="0"/>
    <x v="175"/>
    <x v="175"/>
    <x v="292"/>
    <x v="183"/>
    <x v="3"/>
    <x v="2"/>
    <x v="12"/>
    <s v="SÉNÉGAL"/>
    <s v="SÉNÉGAL"/>
    <s v="NULL"/>
    <n v="0"/>
    <s v="NULL"/>
    <s v="Greffe"/>
    <s v="Dakar"/>
  </r>
  <r>
    <x v="0"/>
    <x v="176"/>
    <x v="176"/>
    <x v="293"/>
    <x v="184"/>
    <x v="3"/>
    <x v="10"/>
    <x v="9"/>
    <s v="SÉNÉGAL"/>
    <s v="SÉNÉGAL"/>
    <s v="NULL"/>
    <n v="0"/>
    <s v="NULL"/>
    <s v="Greffe"/>
    <s v="Dakar"/>
  </r>
  <r>
    <x v="0"/>
    <x v="176"/>
    <x v="176"/>
    <x v="293"/>
    <x v="184"/>
    <x v="3"/>
    <x v="35"/>
    <x v="31"/>
    <s v="SÉNÉGAL"/>
    <s v="SÉNÉGAL"/>
    <s v="NULL"/>
    <n v="0"/>
    <s v="NULL"/>
    <s v="Greffe"/>
    <s v="Dakar"/>
  </r>
  <r>
    <x v="0"/>
    <x v="177"/>
    <x v="177"/>
    <x v="294"/>
    <x v="185"/>
    <x v="3"/>
    <x v="0"/>
    <x v="8"/>
    <s v="SÉNÉGAL"/>
    <s v="SÉNÉGAL"/>
    <s v="NULL"/>
    <n v="0"/>
    <s v="NULL"/>
    <s v="Greffe"/>
    <s v="Dakar"/>
  </r>
  <r>
    <x v="0"/>
    <x v="178"/>
    <x v="178"/>
    <x v="295"/>
    <x v="185"/>
    <x v="3"/>
    <x v="13"/>
    <x v="7"/>
    <s v="SÉNÉGAL"/>
    <s v="SÉNÉGAL"/>
    <s v="NULL"/>
    <n v="0"/>
    <s v="NULL"/>
    <s v="Greffe"/>
    <s v="Dakar"/>
  </r>
  <r>
    <x v="0"/>
    <x v="179"/>
    <x v="179"/>
    <x v="296"/>
    <x v="186"/>
    <x v="3"/>
    <x v="10"/>
    <x v="9"/>
    <s v="SÉNÉGAL"/>
    <s v="SÉNÉGAL"/>
    <s v="NULL"/>
    <n v="0"/>
    <s v="NULL"/>
    <s v="Greffe"/>
    <s v="Dakar"/>
  </r>
  <r>
    <x v="0"/>
    <x v="180"/>
    <x v="180"/>
    <x v="297"/>
    <x v="186"/>
    <x v="3"/>
    <x v="30"/>
    <x v="32"/>
    <s v="SÉNÉGAL"/>
    <s v="SÉNÉGAL"/>
    <s v="NULL"/>
    <n v="0"/>
    <s v="NULL"/>
    <s v="Greffe"/>
    <s v="Dakar"/>
  </r>
  <r>
    <x v="0"/>
    <x v="181"/>
    <x v="181"/>
    <x v="298"/>
    <x v="186"/>
    <x v="3"/>
    <x v="10"/>
    <x v="9"/>
    <s v="SÉNÉGAL"/>
    <s v="SÉNÉGAL"/>
    <s v="NULL"/>
    <n v="0"/>
    <s v="NULL"/>
    <s v="Greffe"/>
    <s v="Dakar"/>
  </r>
  <r>
    <x v="0"/>
    <x v="182"/>
    <x v="182"/>
    <x v="299"/>
    <x v="156"/>
    <x v="0"/>
    <x v="7"/>
    <x v="0"/>
    <s v="FRANCE"/>
    <s v="FRANCE"/>
    <s v="NULL"/>
    <n v="0"/>
    <s v="NULL"/>
    <s v="Greffe"/>
    <s v="Dakar"/>
  </r>
  <r>
    <x v="0"/>
    <x v="183"/>
    <x v="183"/>
    <x v="300"/>
    <x v="187"/>
    <x v="3"/>
    <x v="7"/>
    <x v="0"/>
    <s v="SÉNÉGAL"/>
    <s v="SÉNÉGAL"/>
    <s v="NULL"/>
    <n v="0"/>
    <s v="NULL"/>
    <s v="Greffe"/>
    <s v="Dakar"/>
  </r>
  <r>
    <x v="0"/>
    <x v="184"/>
    <x v="184"/>
    <x v="301"/>
    <x v="188"/>
    <x v="3"/>
    <x v="1"/>
    <x v="3"/>
    <s v="SÉNÉGAL"/>
    <s v="SÉNÉGAL"/>
    <s v="NULL"/>
    <n v="0"/>
    <s v="NULL"/>
    <s v="Greffe"/>
    <s v="Dakar"/>
  </r>
  <r>
    <x v="0"/>
    <x v="185"/>
    <x v="185"/>
    <x v="302"/>
    <x v="26"/>
    <x v="0"/>
    <x v="3"/>
    <x v="0"/>
    <s v="SÉNÉGAL"/>
    <s v="SÉNÉGAL"/>
    <s v="NULL"/>
    <n v="0"/>
    <s v="NULL"/>
    <s v="Greffe"/>
    <s v="Dakar"/>
  </r>
  <r>
    <x v="0"/>
    <x v="186"/>
    <x v="186"/>
    <x v="303"/>
    <x v="183"/>
    <x v="3"/>
    <x v="26"/>
    <x v="30"/>
    <s v="SÉNÉGAL"/>
    <s v="SÉNÉGAL"/>
    <s v="NULL"/>
    <n v="0"/>
    <s v="NULL"/>
    <s v="Greffe"/>
    <s v="Dakar"/>
  </r>
  <r>
    <x v="0"/>
    <x v="187"/>
    <x v="187"/>
    <x v="304"/>
    <x v="189"/>
    <x v="3"/>
    <x v="3"/>
    <x v="6"/>
    <s v="SÉNÉGAL"/>
    <s v="SÉNÉGAL"/>
    <s v="NULL"/>
    <n v="0"/>
    <s v="NULL"/>
    <s v="Greffe"/>
    <s v="Dakar"/>
  </r>
  <r>
    <x v="0"/>
    <x v="188"/>
    <x v="188"/>
    <x v="305"/>
    <x v="189"/>
    <x v="3"/>
    <x v="3"/>
    <x v="6"/>
    <s v="SÉNÉGAL"/>
    <s v="SÉNÉGAL"/>
    <s v="NULL"/>
    <n v="0"/>
    <s v="NULL"/>
    <s v="Greffe"/>
    <s v="Dakar"/>
  </r>
  <r>
    <x v="0"/>
    <x v="189"/>
    <x v="189"/>
    <x v="306"/>
    <x v="189"/>
    <x v="3"/>
    <x v="8"/>
    <x v="5"/>
    <s v="SÉNÉGAL"/>
    <s v="SÉNÉGAL"/>
    <s v="NULL"/>
    <n v="0"/>
    <s v="NULL"/>
    <s v="Greffe"/>
    <s v="Dakar"/>
  </r>
  <r>
    <x v="0"/>
    <x v="189"/>
    <x v="189"/>
    <x v="307"/>
    <x v="190"/>
    <x v="3"/>
    <x v="1"/>
    <x v="3"/>
    <s v="SÉNÉGAL"/>
    <s v="SÉNÉGAL"/>
    <s v="NULL"/>
    <n v="0"/>
    <s v="NULL"/>
    <s v="Greffe"/>
    <s v="Dakar"/>
  </r>
  <r>
    <x v="0"/>
    <x v="189"/>
    <x v="189"/>
    <x v="308"/>
    <x v="191"/>
    <x v="3"/>
    <x v="1"/>
    <x v="3"/>
    <s v="SÉNÉGAL"/>
    <s v="SÉNÉGAL"/>
    <s v="NULL"/>
    <n v="0"/>
    <s v="NULL"/>
    <s v="Greffe"/>
    <s v="Dakar"/>
  </r>
  <r>
    <x v="0"/>
    <x v="190"/>
    <x v="190"/>
    <x v="309"/>
    <x v="192"/>
    <x v="3"/>
    <x v="33"/>
    <x v="0"/>
    <s v="ITALIE"/>
    <s v="ITALIE"/>
    <s v="NULL"/>
    <n v="0"/>
    <s v="NULL"/>
    <s v="Greffe"/>
    <s v="Dakar"/>
  </r>
  <r>
    <x v="0"/>
    <x v="190"/>
    <x v="190"/>
    <x v="310"/>
    <x v="192"/>
    <x v="3"/>
    <x v="12"/>
    <x v="0"/>
    <s v="SÉNÉGAL"/>
    <s v="SÉNÉGAL"/>
    <s v="NULL"/>
    <n v="0"/>
    <s v="NULL"/>
    <s v="Greffe"/>
    <s v="Dakar"/>
  </r>
  <r>
    <x v="0"/>
    <x v="190"/>
    <x v="190"/>
    <x v="311"/>
    <x v="192"/>
    <x v="3"/>
    <x v="34"/>
    <x v="0"/>
    <s v="SÉNÉGAL"/>
    <s v="SÉNÉGAL"/>
    <s v="NULL"/>
    <n v="0"/>
    <s v="NULL"/>
    <s v="Greffe"/>
    <s v="Dakar"/>
  </r>
  <r>
    <x v="0"/>
    <x v="191"/>
    <x v="191"/>
    <x v="311"/>
    <x v="193"/>
    <x v="3"/>
    <x v="5"/>
    <x v="1"/>
    <s v="SÉNÉGAL"/>
    <s v="SÉNÉGAL"/>
    <s v="NULL"/>
    <n v="0"/>
    <s v="NULL"/>
    <s v="Greffe"/>
    <s v="Dakar"/>
  </r>
  <r>
    <x v="0"/>
    <x v="192"/>
    <x v="192"/>
    <x v="312"/>
    <x v="194"/>
    <x v="3"/>
    <x v="1"/>
    <x v="3"/>
    <s v="SÉNÉGAL"/>
    <s v="SÉNÉGAL"/>
    <s v="NULL"/>
    <n v="0"/>
    <s v="NULL"/>
    <s v="Greffe"/>
    <s v="Dakar"/>
  </r>
  <r>
    <x v="0"/>
    <x v="193"/>
    <x v="193"/>
    <x v="312"/>
    <x v="195"/>
    <x v="3"/>
    <x v="36"/>
    <x v="33"/>
    <s v="SÉNÉGAL"/>
    <s v="SÉNÉGAL"/>
    <s v="NULL"/>
    <n v="0"/>
    <s v="NULL"/>
    <s v="Greffe"/>
    <s v="Dakar"/>
  </r>
  <r>
    <x v="0"/>
    <x v="194"/>
    <x v="194"/>
    <x v="313"/>
    <x v="196"/>
    <x v="3"/>
    <x v="37"/>
    <x v="34"/>
    <s v="SÉNÉGAL"/>
    <s v="SÉNÉGAL"/>
    <s v="NULL"/>
    <n v="0"/>
    <s v="NULL"/>
    <s v="Greffe"/>
    <s v="Dakar"/>
  </r>
  <r>
    <x v="0"/>
    <x v="195"/>
    <x v="195"/>
    <x v="314"/>
    <x v="192"/>
    <x v="3"/>
    <x v="5"/>
    <x v="0"/>
    <s v="ITALIE"/>
    <s v="ITALIE"/>
    <s v="NULL"/>
    <n v="0"/>
    <s v="NULL"/>
    <s v="Greffe"/>
    <s v="Dakar"/>
  </r>
  <r>
    <x v="0"/>
    <x v="195"/>
    <x v="195"/>
    <x v="315"/>
    <x v="197"/>
    <x v="3"/>
    <x v="7"/>
    <x v="24"/>
    <s v="SÉNÉGAL"/>
    <s v="SÉNÉGAL"/>
    <s v="NULL"/>
    <s v="NULL"/>
    <s v="NULL"/>
    <s v="Greffe"/>
    <s v="Dakar"/>
  </r>
  <r>
    <x v="0"/>
    <x v="195"/>
    <x v="195"/>
    <x v="316"/>
    <x v="197"/>
    <x v="3"/>
    <x v="3"/>
    <x v="6"/>
    <s v="SÉNÉGAL"/>
    <s v="SÉNÉGAL"/>
    <s v="NULL"/>
    <n v="0"/>
    <s v="NULL"/>
    <s v="Greffe"/>
    <s v="Dakar"/>
  </r>
  <r>
    <x v="0"/>
    <x v="195"/>
    <x v="195"/>
    <x v="317"/>
    <x v="198"/>
    <x v="3"/>
    <x v="1"/>
    <x v="3"/>
    <s v="SÉNÉGAL"/>
    <s v="SÉNÉGAL"/>
    <s v="NULL"/>
    <n v="0"/>
    <s v="NULL"/>
    <s v="Greffe"/>
    <s v="Dakar"/>
  </r>
  <r>
    <x v="0"/>
    <x v="195"/>
    <x v="195"/>
    <x v="318"/>
    <x v="199"/>
    <x v="3"/>
    <x v="1"/>
    <x v="0"/>
    <s v="SÉNÉGAL"/>
    <s v="SÉNÉGAL"/>
    <s v="NULL"/>
    <n v="0"/>
    <s v="NULL"/>
    <s v="Greffe"/>
    <s v="Dakar"/>
  </r>
  <r>
    <x v="0"/>
    <x v="195"/>
    <x v="195"/>
    <x v="319"/>
    <x v="200"/>
    <x v="3"/>
    <x v="7"/>
    <x v="0"/>
    <s v="SÉNÉGAL"/>
    <s v="SÉNÉGAL"/>
    <s v="NULL"/>
    <n v="0"/>
    <s v="NULL"/>
    <s v="Greffe"/>
    <s v="Dakar"/>
  </r>
  <r>
    <x v="0"/>
    <x v="195"/>
    <x v="195"/>
    <x v="320"/>
    <x v="201"/>
    <x v="3"/>
    <x v="1"/>
    <x v="3"/>
    <s v="SÉNÉGAL"/>
    <s v="SÉNÉGAL"/>
    <s v="NULL"/>
    <n v="0"/>
    <s v="NULL"/>
    <s v="Greffe"/>
    <s v="Dakar"/>
  </r>
  <r>
    <x v="0"/>
    <x v="196"/>
    <x v="196"/>
    <x v="321"/>
    <x v="202"/>
    <x v="3"/>
    <x v="5"/>
    <x v="1"/>
    <s v="SÉNÉGAL"/>
    <s v="SÉNÉGAL"/>
    <s v="NULL"/>
    <n v="0"/>
    <s v="NULL"/>
    <s v="Greffe"/>
    <s v="Dakar"/>
  </r>
  <r>
    <x v="0"/>
    <x v="197"/>
    <x v="197"/>
    <x v="322"/>
    <x v="202"/>
    <x v="3"/>
    <x v="5"/>
    <x v="1"/>
    <s v="SÉNÉGAL"/>
    <s v="SÉNÉGAL"/>
    <s v="NULL"/>
    <n v="0"/>
    <s v="NULL"/>
    <s v="Greffe"/>
    <s v="Dakar"/>
  </r>
  <r>
    <x v="0"/>
    <x v="197"/>
    <x v="197"/>
    <x v="323"/>
    <x v="203"/>
    <x v="3"/>
    <x v="30"/>
    <x v="0"/>
    <s v="SÉNÉGAL"/>
    <s v="SÉNÉGAL"/>
    <s v="NULL"/>
    <n v="0"/>
    <s v="NULL"/>
    <s v="Greffe"/>
    <s v="Dakar"/>
  </r>
  <r>
    <x v="0"/>
    <x v="197"/>
    <x v="197"/>
    <x v="324"/>
    <x v="204"/>
    <x v="3"/>
    <x v="5"/>
    <x v="0"/>
    <s v="SÉNÉGAL"/>
    <s v="SÉNÉGAL"/>
    <s v="NULL"/>
    <n v="0"/>
    <s v="NULL"/>
    <s v="Greffe"/>
    <s v="Dakar"/>
  </r>
  <r>
    <x v="0"/>
    <x v="198"/>
    <x v="198"/>
    <x v="325"/>
    <x v="204"/>
    <x v="3"/>
    <x v="5"/>
    <x v="0"/>
    <s v="SÉNÉGAL"/>
    <s v="SÉNÉGAL"/>
    <s v="NULL"/>
    <n v="0"/>
    <s v="NULL"/>
    <s v="Greffe"/>
    <s v="Dakar"/>
  </r>
  <r>
    <x v="0"/>
    <x v="198"/>
    <x v="198"/>
    <x v="326"/>
    <x v="203"/>
    <x v="3"/>
    <x v="17"/>
    <x v="0"/>
    <s v="SÉNÉGAL"/>
    <s v="SÉNÉGAL"/>
    <s v="NULL"/>
    <n v="0"/>
    <s v="NULL"/>
    <s v="Greffe"/>
    <s v="Dakar"/>
  </r>
  <r>
    <x v="0"/>
    <x v="198"/>
    <x v="198"/>
    <x v="327"/>
    <x v="205"/>
    <x v="3"/>
    <x v="38"/>
    <x v="35"/>
    <s v="SÉNÉGAL"/>
    <s v="SÉNÉGAL"/>
    <s v="NULL"/>
    <n v="0"/>
    <s v="NULL"/>
    <s v="Greffe"/>
    <s v="Dakar"/>
  </r>
  <r>
    <x v="0"/>
    <x v="199"/>
    <x v="199"/>
    <x v="328"/>
    <x v="205"/>
    <x v="3"/>
    <x v="39"/>
    <x v="36"/>
    <s v="SÉNÉGAL"/>
    <s v="SÉNÉGAL"/>
    <s v="NULL"/>
    <n v="0"/>
    <s v="NULL"/>
    <s v="Greffe"/>
    <s v="Dakar"/>
  </r>
  <r>
    <x v="0"/>
    <x v="199"/>
    <x v="199"/>
    <x v="329"/>
    <x v="205"/>
    <x v="3"/>
    <x v="10"/>
    <x v="9"/>
    <s v="SÉNÉGAL"/>
    <s v="SÉNÉGAL"/>
    <s v="NULL"/>
    <n v="0"/>
    <s v="NULL"/>
    <s v="Greffe"/>
    <s v="Dakar"/>
  </r>
  <r>
    <x v="0"/>
    <x v="200"/>
    <x v="200"/>
    <x v="330"/>
    <x v="205"/>
    <x v="3"/>
    <x v="10"/>
    <x v="9"/>
    <s v="SÉNÉGAL"/>
    <s v="SÉNÉGAL"/>
    <s v="NULL"/>
    <n v="0"/>
    <s v="NULL"/>
    <s v="Greffe"/>
    <s v="Dakar"/>
  </r>
  <r>
    <x v="0"/>
    <x v="200"/>
    <x v="200"/>
    <x v="330"/>
    <x v="205"/>
    <x v="3"/>
    <x v="12"/>
    <x v="18"/>
    <s v="SÉNÉGAL"/>
    <s v="SÉNÉGAL"/>
    <s v="NULL"/>
    <n v="0"/>
    <s v="NULL"/>
    <s v="Greffe"/>
    <s v="Dakar"/>
  </r>
  <r>
    <x v="0"/>
    <x v="200"/>
    <x v="200"/>
    <x v="331"/>
    <x v="205"/>
    <x v="3"/>
    <x v="10"/>
    <x v="9"/>
    <s v="SÉNÉGAL"/>
    <s v="SÉNÉGAL"/>
    <s v="NULL"/>
    <n v="0"/>
    <s v="NULL"/>
    <s v="Greffe"/>
    <s v="Dakar"/>
  </r>
  <r>
    <x v="0"/>
    <x v="201"/>
    <x v="201"/>
    <x v="332"/>
    <x v="205"/>
    <x v="3"/>
    <x v="10"/>
    <x v="9"/>
    <s v="SÉNÉGAL"/>
    <s v="SÉNÉGAL"/>
    <s v="NULL"/>
    <n v="0"/>
    <s v="NULL"/>
    <s v="Greffe"/>
    <s v="Dakar"/>
  </r>
  <r>
    <x v="0"/>
    <x v="202"/>
    <x v="202"/>
    <x v="332"/>
    <x v="205"/>
    <x v="3"/>
    <x v="40"/>
    <x v="37"/>
    <s v="SÉNÉGAL"/>
    <s v="SÉNÉGAL"/>
    <s v="NULL"/>
    <n v="0"/>
    <s v="NULL"/>
    <s v="Greffe"/>
    <s v="Dakar"/>
  </r>
  <r>
    <x v="0"/>
    <x v="202"/>
    <x v="202"/>
    <x v="333"/>
    <x v="205"/>
    <x v="3"/>
    <x v="10"/>
    <x v="9"/>
    <s v="SÉNÉGAL"/>
    <s v="SÉNÉGAL"/>
    <s v="NULL"/>
    <n v="0"/>
    <s v="NULL"/>
    <s v="Greffe"/>
    <s v="Dakar"/>
  </r>
  <r>
    <x v="0"/>
    <x v="203"/>
    <x v="203"/>
    <x v="334"/>
    <x v="206"/>
    <x v="3"/>
    <x v="8"/>
    <x v="5"/>
    <s v="SÉNÉGAL"/>
    <s v="SÉNÉGAL"/>
    <s v="NULL"/>
    <n v="0"/>
    <s v="NULL"/>
    <s v="Greffe"/>
    <s v="Dakar"/>
  </r>
  <r>
    <x v="0"/>
    <x v="204"/>
    <x v="204"/>
    <x v="335"/>
    <x v="206"/>
    <x v="3"/>
    <x v="3"/>
    <x v="6"/>
    <s v="SÉNÉGAL"/>
    <s v="SÉNÉGAL"/>
    <s v="NULL"/>
    <n v="0"/>
    <s v="NULL"/>
    <s v="Greffe"/>
    <s v="Dakar"/>
  </r>
  <r>
    <x v="0"/>
    <x v="205"/>
    <x v="205"/>
    <x v="336"/>
    <x v="206"/>
    <x v="3"/>
    <x v="3"/>
    <x v="6"/>
    <s v="SÉNÉGAL"/>
    <s v="SÉNÉGAL"/>
    <s v="NULL"/>
    <n v="0"/>
    <s v="NULL"/>
    <s v="Greffe"/>
    <s v="Dakar"/>
  </r>
  <r>
    <x v="0"/>
    <x v="206"/>
    <x v="206"/>
    <x v="337"/>
    <x v="207"/>
    <x v="3"/>
    <x v="5"/>
    <x v="1"/>
    <s v="SÉNÉGAL"/>
    <s v="SÉNÉGAL"/>
    <s v="NULL"/>
    <n v="0"/>
    <s v="NULL"/>
    <s v="Greffe"/>
    <s v="Dakar"/>
  </r>
  <r>
    <x v="0"/>
    <x v="207"/>
    <x v="207"/>
    <x v="338"/>
    <x v="207"/>
    <x v="3"/>
    <x v="5"/>
    <x v="1"/>
    <s v="SÉNÉGAL"/>
    <s v="SÉNÉGAL"/>
    <s v="NULL"/>
    <n v="0"/>
    <s v="NULL"/>
    <s v="Greffe"/>
    <s v="Dakar"/>
  </r>
  <r>
    <x v="0"/>
    <x v="207"/>
    <x v="207"/>
    <x v="339"/>
    <x v="208"/>
    <x v="3"/>
    <x v="7"/>
    <x v="0"/>
    <s v="SÉNÉGAL"/>
    <s v="SÉNÉGAL"/>
    <s v="NULL"/>
    <n v="0"/>
    <s v="NULL"/>
    <s v="Greffe"/>
    <s v="Dakar"/>
  </r>
  <r>
    <x v="0"/>
    <x v="207"/>
    <x v="207"/>
    <x v="340"/>
    <x v="209"/>
    <x v="3"/>
    <x v="7"/>
    <x v="0"/>
    <s v="ÉTATS-UNIS"/>
    <s v="ÉTATS-UNIS"/>
    <s v="NULL"/>
    <n v="0"/>
    <s v="NULL"/>
    <s v="Greffe"/>
    <s v="Dakar"/>
  </r>
  <r>
    <x v="0"/>
    <x v="208"/>
    <x v="208"/>
    <x v="341"/>
    <x v="210"/>
    <x v="3"/>
    <x v="3"/>
    <x v="6"/>
    <s v="SÉNÉGAL"/>
    <s v="SÉNÉGAL"/>
    <s v="NULL"/>
    <n v="0"/>
    <s v="NULL"/>
    <s v="Greffe"/>
    <s v="Dakar"/>
  </r>
  <r>
    <x v="0"/>
    <x v="208"/>
    <x v="208"/>
    <x v="342"/>
    <x v="210"/>
    <x v="3"/>
    <x v="3"/>
    <x v="6"/>
    <s v="SÉNÉGAL"/>
    <s v="SÉNÉGAL"/>
    <s v="NULL"/>
    <n v="0"/>
    <s v="NULL"/>
    <s v="Greffe"/>
    <s v="Dakar"/>
  </r>
  <r>
    <x v="0"/>
    <x v="208"/>
    <x v="208"/>
    <x v="343"/>
    <x v="210"/>
    <x v="3"/>
    <x v="8"/>
    <x v="5"/>
    <s v="SÉNÉGAL"/>
    <s v="SÉNÉGAL"/>
    <s v="NULL"/>
    <n v="0"/>
    <s v="NULL"/>
    <s v="Greffe"/>
    <s v="Dakar"/>
  </r>
  <r>
    <x v="0"/>
    <x v="208"/>
    <x v="208"/>
    <x v="344"/>
    <x v="211"/>
    <x v="3"/>
    <x v="1"/>
    <x v="3"/>
    <s v="SÉNÉGAL"/>
    <s v="SÉNÉGAL"/>
    <s v="NULL"/>
    <n v="0"/>
    <s v="NULL"/>
    <s v="Greffe"/>
    <s v="Dakar"/>
  </r>
  <r>
    <x v="0"/>
    <x v="208"/>
    <x v="208"/>
    <x v="345"/>
    <x v="212"/>
    <x v="3"/>
    <x v="7"/>
    <x v="0"/>
    <s v="SÉNÉGAL"/>
    <s v="SÉNÉGAL"/>
    <s v="NULL"/>
    <n v="0"/>
    <s v="NULL"/>
    <s v="Greffe"/>
    <s v="Dakar"/>
  </r>
  <r>
    <x v="0"/>
    <x v="209"/>
    <x v="209"/>
    <x v="346"/>
    <x v="213"/>
    <x v="3"/>
    <x v="10"/>
    <x v="9"/>
    <s v="SÉNÉGAL"/>
    <s v="SÉNÉGAL"/>
    <s v="NULL"/>
    <n v="0"/>
    <s v="NULL"/>
    <s v="Greffe"/>
    <s v="Dakar"/>
  </r>
  <r>
    <x v="0"/>
    <x v="209"/>
    <x v="209"/>
    <x v="347"/>
    <x v="213"/>
    <x v="3"/>
    <x v="10"/>
    <x v="9"/>
    <s v="SÉNÉGAL"/>
    <s v="SÉNÉGAL"/>
    <s v="NULL"/>
    <n v="0"/>
    <s v="NULL"/>
    <s v="Greffe"/>
    <s v="Dakar"/>
  </r>
  <r>
    <x v="0"/>
    <x v="209"/>
    <x v="209"/>
    <x v="347"/>
    <x v="213"/>
    <x v="3"/>
    <x v="30"/>
    <x v="32"/>
    <s v="SÉNÉGAL"/>
    <s v="SÉNÉGAL"/>
    <s v="NULL"/>
    <n v="0"/>
    <s v="NULL"/>
    <s v="Greffe"/>
    <s v="Dakar"/>
  </r>
  <r>
    <x v="0"/>
    <x v="209"/>
    <x v="209"/>
    <x v="348"/>
    <x v="214"/>
    <x v="4"/>
    <x v="7"/>
    <x v="0"/>
    <s v="SÉNÉGAL"/>
    <m/>
    <n v="0"/>
    <s v="NULL"/>
    <s v="NULL"/>
    <s v="Greffe"/>
    <s v="Dakar"/>
  </r>
  <r>
    <x v="0"/>
    <x v="210"/>
    <x v="210"/>
    <x v="349"/>
    <x v="215"/>
    <x v="4"/>
    <x v="7"/>
    <x v="0"/>
    <s v="SÉNÉGAL"/>
    <m/>
    <n v="0"/>
    <s v="NULL"/>
    <s v="NULL"/>
    <s v="Greffe"/>
    <s v="Dakar"/>
  </r>
  <r>
    <x v="0"/>
    <x v="211"/>
    <x v="211"/>
    <x v="350"/>
    <x v="216"/>
    <x v="4"/>
    <x v="1"/>
    <x v="0"/>
    <s v="SÉNÉGAL"/>
    <m/>
    <n v="0"/>
    <s v="NULL"/>
    <s v="NULL"/>
    <s v="Greffe"/>
    <s v="Dakar"/>
  </r>
  <r>
    <x v="0"/>
    <x v="211"/>
    <x v="211"/>
    <x v="351"/>
    <x v="217"/>
    <x v="4"/>
    <x v="1"/>
    <x v="3"/>
    <s v="SÉNÉGAL"/>
    <m/>
    <n v="0"/>
    <s v="NULL"/>
    <s v="NULL"/>
    <s v="Greffe"/>
    <s v="Dakar"/>
  </r>
  <r>
    <x v="0"/>
    <x v="211"/>
    <x v="211"/>
    <x v="352"/>
    <x v="218"/>
    <x v="4"/>
    <x v="1"/>
    <x v="3"/>
    <s v="SÉNÉGAL"/>
    <m/>
    <n v="0"/>
    <s v="NULL"/>
    <s v="NULL"/>
    <s v="Greffe"/>
    <s v="Dakar"/>
  </r>
  <r>
    <x v="0"/>
    <x v="211"/>
    <x v="211"/>
    <x v="353"/>
    <x v="219"/>
    <x v="4"/>
    <x v="2"/>
    <x v="12"/>
    <s v="SÉNÉGAL"/>
    <m/>
    <n v="0"/>
    <s v="NULL"/>
    <s v="NULL"/>
    <s v="Greffe"/>
    <s v="Dakar"/>
  </r>
  <r>
    <x v="0"/>
    <x v="212"/>
    <x v="212"/>
    <x v="354"/>
    <x v="219"/>
    <x v="4"/>
    <x v="5"/>
    <x v="1"/>
    <s v="SÉNÉGAL"/>
    <m/>
    <n v="0"/>
    <s v="NULL"/>
    <s v="NULL"/>
    <s v="Greffe"/>
    <s v="Dakar"/>
  </r>
  <r>
    <x v="0"/>
    <x v="213"/>
    <x v="213"/>
    <x v="355"/>
    <x v="219"/>
    <x v="4"/>
    <x v="2"/>
    <x v="12"/>
    <s v="SÉNÉGAL"/>
    <m/>
    <n v="0"/>
    <s v="NULL"/>
    <s v="NULL"/>
    <s v="Greffe"/>
    <s v="Dakar"/>
  </r>
  <r>
    <x v="0"/>
    <x v="214"/>
    <x v="214"/>
    <x v="356"/>
    <x v="220"/>
    <x v="4"/>
    <x v="1"/>
    <x v="3"/>
    <s v="SÉNÉGAL"/>
    <m/>
    <n v="0"/>
    <s v="NULL"/>
    <s v="NULL"/>
    <s v="Greffe"/>
    <s v="Dakar"/>
  </r>
  <r>
    <x v="0"/>
    <x v="215"/>
    <x v="215"/>
    <x v="357"/>
    <x v="221"/>
    <x v="4"/>
    <x v="7"/>
    <x v="0"/>
    <s v="SÉNÉGAL"/>
    <m/>
    <n v="0"/>
    <s v="NULL"/>
    <s v="NULL"/>
    <s v="Greffe"/>
    <s v="Dakar"/>
  </r>
  <r>
    <x v="0"/>
    <x v="216"/>
    <x v="216"/>
    <x v="358"/>
    <x v="156"/>
    <x v="0"/>
    <x v="21"/>
    <x v="20"/>
    <s v="SÉNÉGAL"/>
    <s v="SÉNÉGAL"/>
    <s v="NULL"/>
    <n v="0"/>
    <s v="NULL"/>
    <s v="Greffe"/>
    <s v="Dakar"/>
  </r>
  <r>
    <x v="0"/>
    <x v="216"/>
    <x v="216"/>
    <x v="359"/>
    <x v="156"/>
    <x v="0"/>
    <x v="7"/>
    <x v="0"/>
    <s v="FRANCE"/>
    <s v="FRANCE"/>
    <s v="NULL"/>
    <n v="0"/>
    <s v="NULL"/>
    <s v="Greffe"/>
    <s v="Dakar"/>
  </r>
  <r>
    <x v="0"/>
    <x v="217"/>
    <x v="217"/>
    <x v="360"/>
    <x v="222"/>
    <x v="4"/>
    <x v="27"/>
    <x v="25"/>
    <s v="SÉNÉGAL"/>
    <m/>
    <n v="0"/>
    <s v="NULL"/>
    <s v="NULL"/>
    <s v="Greffe"/>
    <s v="Dakar"/>
  </r>
  <r>
    <x v="0"/>
    <x v="217"/>
    <x v="217"/>
    <x v="361"/>
    <x v="222"/>
    <x v="4"/>
    <x v="7"/>
    <x v="0"/>
    <s v="SÉNÉGAL"/>
    <m/>
    <n v="0"/>
    <s v="NULL"/>
    <s v="NULL"/>
    <s v="Greffe"/>
    <s v="Dakar"/>
  </r>
  <r>
    <x v="0"/>
    <x v="217"/>
    <x v="217"/>
    <x v="362"/>
    <x v="222"/>
    <x v="4"/>
    <x v="7"/>
    <x v="0"/>
    <s v="SÉNÉGAL"/>
    <m/>
    <n v="0"/>
    <s v="NULL"/>
    <s v="NULL"/>
    <s v="Greffe"/>
    <s v="Dakar"/>
  </r>
  <r>
    <x v="0"/>
    <x v="218"/>
    <x v="218"/>
    <x v="363"/>
    <x v="222"/>
    <x v="4"/>
    <x v="17"/>
    <x v="14"/>
    <s v="SÉNÉGAL"/>
    <m/>
    <n v="0"/>
    <s v="NULL"/>
    <s v="NULL"/>
    <s v="Greffe"/>
    <s v="Dakar"/>
  </r>
  <r>
    <x v="0"/>
    <x v="218"/>
    <x v="218"/>
    <x v="364"/>
    <x v="223"/>
    <x v="4"/>
    <x v="1"/>
    <x v="3"/>
    <s v="SÉNÉGAL"/>
    <m/>
    <n v="0"/>
    <s v="NULL"/>
    <s v="NULL"/>
    <s v="Greffe"/>
    <s v="Dakar"/>
  </r>
  <r>
    <x v="0"/>
    <x v="218"/>
    <x v="218"/>
    <x v="365"/>
    <x v="224"/>
    <x v="4"/>
    <x v="1"/>
    <x v="3"/>
    <s v="SÉNÉGAL"/>
    <m/>
    <n v="0"/>
    <s v="NULL"/>
    <s v="NULL"/>
    <s v="Greffe"/>
    <s v="Dakar"/>
  </r>
  <r>
    <x v="0"/>
    <x v="218"/>
    <x v="218"/>
    <x v="366"/>
    <x v="225"/>
    <x v="4"/>
    <x v="2"/>
    <x v="12"/>
    <s v="SÉNÉGAL"/>
    <m/>
    <n v="0"/>
    <s v="NULL"/>
    <s v="NULL"/>
    <s v="Greffe"/>
    <s v="Dakar"/>
  </r>
  <r>
    <x v="0"/>
    <x v="219"/>
    <x v="219"/>
    <x v="367"/>
    <x v="225"/>
    <x v="4"/>
    <x v="2"/>
    <x v="12"/>
    <s v="SÉNÉGAL"/>
    <m/>
    <n v="0"/>
    <s v="NULL"/>
    <s v="NULL"/>
    <s v="Greffe"/>
    <s v="Dakar"/>
  </r>
  <r>
    <x v="0"/>
    <x v="220"/>
    <x v="220"/>
    <x v="367"/>
    <x v="225"/>
    <x v="4"/>
    <x v="5"/>
    <x v="1"/>
    <s v="SÉNÉGAL"/>
    <m/>
    <n v="0"/>
    <s v="NULL"/>
    <s v="NULL"/>
    <s v="Greffe"/>
    <s v="Dakar"/>
  </r>
  <r>
    <x v="0"/>
    <x v="220"/>
    <x v="220"/>
    <x v="368"/>
    <x v="226"/>
    <x v="4"/>
    <x v="41"/>
    <x v="38"/>
    <s v="SÉNÉGAL"/>
    <m/>
    <n v="0"/>
    <s v="NULL"/>
    <s v="NULL"/>
    <s v="Greffe"/>
    <s v="Dakar"/>
  </r>
  <r>
    <x v="0"/>
    <x v="220"/>
    <x v="220"/>
    <x v="369"/>
    <x v="226"/>
    <x v="4"/>
    <x v="42"/>
    <x v="39"/>
    <s v="SÉNÉGAL"/>
    <m/>
    <n v="0"/>
    <s v="NULL"/>
    <s v="NULL"/>
    <s v="Greffe"/>
    <s v="Dakar"/>
  </r>
  <r>
    <x v="0"/>
    <x v="221"/>
    <x v="221"/>
    <x v="369"/>
    <x v="226"/>
    <x v="4"/>
    <x v="43"/>
    <x v="40"/>
    <s v="ROYAUME-UNI"/>
    <m/>
    <n v="0"/>
    <s v="NULL"/>
    <s v="NULL"/>
    <s v="Greffe"/>
    <s v="Dakar"/>
  </r>
  <r>
    <x v="0"/>
    <x v="222"/>
    <x v="222"/>
    <x v="370"/>
    <x v="26"/>
    <x v="0"/>
    <x v="3"/>
    <x v="0"/>
    <s v="SÉNÉGAL"/>
    <s v="SÉNÉGAL"/>
    <s v="NULL"/>
    <n v="0"/>
    <s v="NULL"/>
    <s v="Greffe"/>
    <s v="Dakar"/>
  </r>
  <r>
    <x v="0"/>
    <x v="223"/>
    <x v="223"/>
    <x v="371"/>
    <x v="227"/>
    <x v="4"/>
    <x v="26"/>
    <x v="30"/>
    <s v="SÉNÉGAL"/>
    <m/>
    <n v="0"/>
    <s v="NULL"/>
    <s v="NULL"/>
    <s v="Greffe"/>
    <s v="Dakar"/>
  </r>
  <r>
    <x v="0"/>
    <x v="223"/>
    <x v="223"/>
    <x v="372"/>
    <x v="227"/>
    <x v="4"/>
    <x v="2"/>
    <x v="12"/>
    <s v="SÉNÉGAL"/>
    <m/>
    <n v="0"/>
    <s v="NULL"/>
    <s v="NULL"/>
    <s v="Greffe"/>
    <s v="Dakar"/>
  </r>
  <r>
    <x v="0"/>
    <x v="223"/>
    <x v="223"/>
    <x v="373"/>
    <x v="228"/>
    <x v="4"/>
    <x v="0"/>
    <x v="8"/>
    <s v="SÉNÉGAL"/>
    <m/>
    <n v="0"/>
    <s v="NULL"/>
    <s v="NULL"/>
    <s v="Greffe"/>
    <s v="Dakar"/>
  </r>
  <r>
    <x v="0"/>
    <x v="224"/>
    <x v="224"/>
    <x v="373"/>
    <x v="228"/>
    <x v="4"/>
    <x v="13"/>
    <x v="7"/>
    <s v="SÉNÉGAL"/>
    <m/>
    <n v="0"/>
    <s v="NULL"/>
    <s v="NULL"/>
    <s v="Greffe"/>
    <s v="Dakar"/>
  </r>
  <r>
    <x v="0"/>
    <x v="225"/>
    <x v="225"/>
    <x v="373"/>
    <x v="229"/>
    <x v="4"/>
    <x v="1"/>
    <x v="3"/>
    <s v="SÉNÉGAL"/>
    <m/>
    <n v="0"/>
    <s v="NULL"/>
    <s v="NULL"/>
    <s v="Greffe"/>
    <s v="Dakar"/>
  </r>
  <r>
    <x v="0"/>
    <x v="226"/>
    <x v="226"/>
    <x v="374"/>
    <x v="230"/>
    <x v="4"/>
    <x v="1"/>
    <x v="3"/>
    <s v="SÉNÉGAL"/>
    <m/>
    <n v="0"/>
    <s v="NULL"/>
    <s v="NULL"/>
    <s v="Greffe"/>
    <s v="Dakar"/>
  </r>
  <r>
    <x v="0"/>
    <x v="226"/>
    <x v="226"/>
    <x v="375"/>
    <x v="231"/>
    <x v="4"/>
    <x v="4"/>
    <x v="24"/>
    <s v="SÉNÉGAL"/>
    <m/>
    <n v="0"/>
    <s v="NULL"/>
    <s v="NULL"/>
    <s v="Greffe"/>
    <s v="Dakar"/>
  </r>
  <r>
    <x v="0"/>
    <x v="226"/>
    <x v="226"/>
    <x v="376"/>
    <x v="231"/>
    <x v="4"/>
    <x v="10"/>
    <x v="9"/>
    <s v="SÉNÉGAL"/>
    <m/>
    <n v="0"/>
    <s v="NULL"/>
    <s v="NULL"/>
    <s v="Greffe"/>
    <s v="Dakar"/>
  </r>
  <r>
    <x v="0"/>
    <x v="226"/>
    <x v="226"/>
    <x v="377"/>
    <x v="231"/>
    <x v="4"/>
    <x v="10"/>
    <x v="9"/>
    <s v="SÉNÉGAL"/>
    <m/>
    <n v="0"/>
    <s v="NULL"/>
    <s v="NULL"/>
    <s v="Greffe"/>
    <s v="Dakar"/>
  </r>
  <r>
    <x v="0"/>
    <x v="226"/>
    <x v="226"/>
    <x v="378"/>
    <x v="231"/>
    <x v="4"/>
    <x v="10"/>
    <x v="9"/>
    <s v="SÉNÉGAL"/>
    <m/>
    <n v="0"/>
    <s v="NULL"/>
    <s v="NULL"/>
    <s v="Greffe"/>
    <s v="Dakar"/>
  </r>
  <r>
    <x v="0"/>
    <x v="226"/>
    <x v="226"/>
    <x v="379"/>
    <x v="231"/>
    <x v="4"/>
    <x v="10"/>
    <x v="9"/>
    <s v="SÉNÉGAL"/>
    <m/>
    <n v="0"/>
    <s v="NULL"/>
    <s v="NULL"/>
    <s v="Greffe"/>
    <s v="Dakar"/>
  </r>
  <r>
    <x v="0"/>
    <x v="226"/>
    <x v="226"/>
    <x v="380"/>
    <x v="231"/>
    <x v="4"/>
    <x v="17"/>
    <x v="14"/>
    <s v="SÉNÉGAL"/>
    <m/>
    <n v="0"/>
    <s v="NULL"/>
    <s v="NULL"/>
    <s v="Greffe"/>
    <s v="Dakar"/>
  </r>
  <r>
    <x v="0"/>
    <x v="227"/>
    <x v="227"/>
    <x v="381"/>
    <x v="232"/>
    <x v="4"/>
    <x v="7"/>
    <x v="0"/>
    <s v="SÉNÉGAL"/>
    <m/>
    <n v="1"/>
    <s v="CHIEKH AHMADOU BAMBA NIANG"/>
    <s v="les Directeurs généraux des ministères"/>
    <s v="Greffe"/>
    <s v="Dakar"/>
  </r>
  <r>
    <x v="0"/>
    <x v="227"/>
    <x v="227"/>
    <x v="382"/>
    <x v="232"/>
    <x v="4"/>
    <x v="7"/>
    <x v="0"/>
    <s v="SÉNÉGAL"/>
    <m/>
    <n v="1"/>
    <s v="CHIEKH AHMADOU BAMBA NIANG"/>
    <s v="les Directeurs généraux des ministères"/>
    <s v="Greffe"/>
    <s v="Dakar"/>
  </r>
  <r>
    <x v="0"/>
    <x v="227"/>
    <x v="227"/>
    <x v="383"/>
    <x v="233"/>
    <x v="4"/>
    <x v="44"/>
    <x v="41"/>
    <s v="SÉNÉGAL"/>
    <m/>
    <n v="0"/>
    <s v="NULL"/>
    <s v="NULL"/>
    <s v="Greffe"/>
    <s v="Dakar"/>
  </r>
  <r>
    <x v="0"/>
    <x v="228"/>
    <x v="228"/>
    <x v="384"/>
    <x v="233"/>
    <x v="4"/>
    <x v="45"/>
    <x v="42"/>
    <s v="SÉNÉGAL"/>
    <m/>
    <n v="0"/>
    <s v="NULL"/>
    <s v="NULL"/>
    <s v="Greffe"/>
    <s v="Dakar"/>
  </r>
  <r>
    <x v="0"/>
    <x v="228"/>
    <x v="228"/>
    <x v="385"/>
    <x v="234"/>
    <x v="4"/>
    <x v="7"/>
    <x v="0"/>
    <s v="SÉNÉGAL"/>
    <m/>
    <s v="NULL"/>
    <s v="NULL"/>
    <s v="NULL"/>
    <s v="Greffe"/>
    <s v="Dakar"/>
  </r>
  <r>
    <x v="0"/>
    <x v="228"/>
    <x v="228"/>
    <x v="386"/>
    <x v="235"/>
    <x v="4"/>
    <x v="7"/>
    <x v="0"/>
    <s v="SÉNÉGAL"/>
    <m/>
    <n v="0"/>
    <s v="NULL"/>
    <s v="NULL"/>
    <s v="Greffe"/>
    <s v="Dakar"/>
  </r>
  <r>
    <x v="0"/>
    <x v="229"/>
    <x v="229"/>
    <x v="387"/>
    <x v="235"/>
    <x v="4"/>
    <x v="7"/>
    <x v="0"/>
    <s v="SÉNÉGAL"/>
    <m/>
    <n v="0"/>
    <s v="NULL"/>
    <s v="NULL"/>
    <s v="Greffe"/>
    <s v="Dakar"/>
  </r>
  <r>
    <x v="0"/>
    <x v="229"/>
    <x v="229"/>
    <x v="388"/>
    <x v="236"/>
    <x v="4"/>
    <x v="1"/>
    <x v="0"/>
    <s v="SÉNÉGAL"/>
    <m/>
    <n v="0"/>
    <s v="NULL"/>
    <s v="NULL"/>
    <s v="Greffe"/>
    <s v="Dakar"/>
  </r>
  <r>
    <x v="0"/>
    <x v="230"/>
    <x v="230"/>
    <x v="389"/>
    <x v="237"/>
    <x v="4"/>
    <x v="1"/>
    <x v="3"/>
    <s v="SÉNÉGAL"/>
    <m/>
    <n v="0"/>
    <s v="NULL"/>
    <s v="NULL"/>
    <s v="Greffe"/>
    <s v="Dakar"/>
  </r>
  <r>
    <x v="0"/>
    <x v="231"/>
    <x v="231"/>
    <x v="390"/>
    <x v="238"/>
    <x v="0"/>
    <x v="2"/>
    <x v="12"/>
    <s v="SÉNÉGAL"/>
    <s v="SÉNÉGAL"/>
    <s v="NULL"/>
    <n v="0"/>
    <s v="NULL"/>
    <s v="Greffe"/>
    <s v="Dakar"/>
  </r>
  <r>
    <x v="0"/>
    <x v="231"/>
    <x v="231"/>
    <x v="391"/>
    <x v="238"/>
    <x v="0"/>
    <x v="0"/>
    <x v="8"/>
    <s v="SÉNÉGAL"/>
    <s v="SÉNÉGAL"/>
    <s v="NULL"/>
    <n v="0"/>
    <s v="NULL"/>
    <s v="Greffe"/>
    <s v="Dakar"/>
  </r>
  <r>
    <x v="0"/>
    <x v="232"/>
    <x v="232"/>
    <x v="392"/>
    <x v="239"/>
    <x v="0"/>
    <x v="7"/>
    <x v="0"/>
    <s v="PÉROU"/>
    <s v="PÉROU"/>
    <s v="NULL"/>
    <n v="0"/>
    <s v="NULL"/>
    <s v="Greffe"/>
    <s v="Dakar"/>
  </r>
  <r>
    <x v="0"/>
    <x v="232"/>
    <x v="232"/>
    <x v="393"/>
    <x v="240"/>
    <x v="0"/>
    <x v="7"/>
    <x v="0"/>
    <s v="SÉNÉGAL"/>
    <s v="SÉNÉGAL"/>
    <s v="NULL"/>
    <n v="0"/>
    <s v="NULL"/>
    <s v="Greffe"/>
    <s v="Dakar"/>
  </r>
  <r>
    <x v="1"/>
    <x v="233"/>
    <x v="233"/>
    <x v="394"/>
    <x v="241"/>
    <x v="0"/>
    <x v="7"/>
    <x v="0"/>
    <s v="SÉNÉGAL"/>
    <s v="SÉNÉGAL"/>
    <s v="NULL"/>
    <n v="0"/>
    <s v="NULL"/>
    <s v="Greffe"/>
    <s v="Diourbel"/>
  </r>
  <r>
    <x v="1"/>
    <x v="233"/>
    <x v="233"/>
    <x v="395"/>
    <x v="242"/>
    <x v="1"/>
    <x v="7"/>
    <x v="0"/>
    <s v="SÉNÉGAL"/>
    <s v="SÉNÉGAL"/>
    <s v="NULL"/>
    <n v="0"/>
    <s v="NULL"/>
    <s v="Greffe"/>
    <s v="Diourbel"/>
  </r>
  <r>
    <x v="1"/>
    <x v="234"/>
    <x v="234"/>
    <x v="396"/>
    <x v="243"/>
    <x v="2"/>
    <x v="7"/>
    <x v="0"/>
    <s v="SÉNÉGAL"/>
    <s v="SÉNÉGAL"/>
    <s v="NULL"/>
    <n v="0"/>
    <s v="NULL"/>
    <s v="Greffe"/>
    <s v="Diourbel"/>
  </r>
  <r>
    <x v="1"/>
    <x v="234"/>
    <x v="234"/>
    <x v="397"/>
    <x v="244"/>
    <x v="2"/>
    <x v="7"/>
    <x v="0"/>
    <s v="SÉNÉGAL"/>
    <s v="SÉNÉGAL"/>
    <s v="NULL"/>
    <n v="0"/>
    <s v="NULL"/>
    <s v="Greffe"/>
    <s v="Diourbel"/>
  </r>
  <r>
    <x v="1"/>
    <x v="235"/>
    <x v="235"/>
    <x v="398"/>
    <x v="245"/>
    <x v="2"/>
    <x v="7"/>
    <x v="0"/>
    <s v="SÉNÉGAL"/>
    <s v="SÉNÉGAL"/>
    <s v="NULL"/>
    <n v="0"/>
    <s v="NULL"/>
    <s v="Greffe"/>
    <s v="Diourbel"/>
  </r>
  <r>
    <x v="1"/>
    <x v="235"/>
    <x v="235"/>
    <x v="399"/>
    <x v="246"/>
    <x v="2"/>
    <x v="7"/>
    <x v="0"/>
    <s v="SÉNÉGAL"/>
    <s v="SÉNÉGAL"/>
    <s v="NULL"/>
    <n v="0"/>
    <s v="NULL"/>
    <s v="Greffe"/>
    <s v="Diourbel"/>
  </r>
  <r>
    <x v="1"/>
    <x v="235"/>
    <x v="235"/>
    <x v="400"/>
    <x v="247"/>
    <x v="2"/>
    <x v="7"/>
    <x v="0"/>
    <s v="SÉNÉGAL"/>
    <s v="SÉNÉGAL"/>
    <s v="NULL"/>
    <n v="0"/>
    <s v="NULL"/>
    <s v="Greffe"/>
    <s v="Diourbel"/>
  </r>
  <r>
    <x v="2"/>
    <x v="235"/>
    <x v="235"/>
    <x v="401"/>
    <x v="248"/>
    <x v="0"/>
    <x v="7"/>
    <x v="0"/>
    <s v="SÉNÉGAL"/>
    <s v="SÉNÉGAL"/>
    <s v="NULL"/>
    <n v="0"/>
    <s v="NULL"/>
    <s v="Greffe"/>
    <s v="Fatick"/>
  </r>
  <r>
    <x v="2"/>
    <x v="235"/>
    <x v="235"/>
    <x v="401"/>
    <x v="249"/>
    <x v="1"/>
    <x v="1"/>
    <x v="3"/>
    <s v="SÉNÉGAL"/>
    <s v="SÉNÉGAL"/>
    <s v="NULL"/>
    <n v="0"/>
    <s v="NULL"/>
    <s v="Greffe"/>
    <s v="Fatick"/>
  </r>
  <r>
    <x v="3"/>
    <x v="236"/>
    <x v="236"/>
    <x v="402"/>
    <x v="250"/>
    <x v="1"/>
    <x v="7"/>
    <x v="0"/>
    <s v="SÉNÉGAL"/>
    <s v="SÉNÉGAL"/>
    <s v="NULL"/>
    <n v="0"/>
    <s v="NULL"/>
    <s v="Greffe"/>
    <s v="Kaolack"/>
  </r>
  <r>
    <x v="3"/>
    <x v="236"/>
    <x v="236"/>
    <x v="402"/>
    <x v="251"/>
    <x v="1"/>
    <x v="7"/>
    <x v="0"/>
    <s v="SÉNÉGAL"/>
    <s v="SÉNÉGAL"/>
    <s v="NULL"/>
    <n v="0"/>
    <s v="NULL"/>
    <s v="Greffe"/>
    <s v="Kaolack"/>
  </r>
  <r>
    <x v="3"/>
    <x v="237"/>
    <x v="237"/>
    <x v="403"/>
    <x v="252"/>
    <x v="2"/>
    <x v="7"/>
    <x v="0"/>
    <s v="BELGIQUE"/>
    <s v="BELGIQUE"/>
    <s v="NULL"/>
    <n v="0"/>
    <s v="NULL"/>
    <s v="Greffe"/>
    <s v="Kaolack"/>
  </r>
  <r>
    <x v="4"/>
    <x v="237"/>
    <x v="237"/>
    <x v="404"/>
    <x v="253"/>
    <x v="1"/>
    <x v="10"/>
    <x v="0"/>
    <s v="SÉNÉGAL"/>
    <s v="SÉNÉGAL"/>
    <s v="NULL"/>
    <n v="0"/>
    <s v="NULL"/>
    <s v="Greffe"/>
    <s v="Kédougou"/>
  </r>
  <r>
    <x v="4"/>
    <x v="237"/>
    <x v="237"/>
    <x v="405"/>
    <x v="253"/>
    <x v="1"/>
    <x v="23"/>
    <x v="0"/>
    <s v="SÉNÉGAL"/>
    <s v="SÉNÉGAL"/>
    <s v="NULL"/>
    <n v="0"/>
    <s v="NULL"/>
    <s v="Greffe"/>
    <s v="Kédougou"/>
  </r>
  <r>
    <x v="4"/>
    <x v="237"/>
    <x v="237"/>
    <x v="406"/>
    <x v="253"/>
    <x v="1"/>
    <x v="8"/>
    <x v="0"/>
    <s v="MAROC"/>
    <s v="MAROC"/>
    <s v="NULL"/>
    <s v="NULL"/>
    <s v="NULL"/>
    <s v="Greffe"/>
    <s v="Kédougou"/>
  </r>
  <r>
    <x v="4"/>
    <x v="237"/>
    <x v="237"/>
    <x v="407"/>
    <x v="254"/>
    <x v="2"/>
    <x v="7"/>
    <x v="0"/>
    <s v="SÉNÉGAL"/>
    <s v="SÉNÉGAL"/>
    <s v="NULL"/>
    <n v="0"/>
    <s v="NULL"/>
    <s v="Greffe"/>
    <s v="Kédougou"/>
  </r>
  <r>
    <x v="4"/>
    <x v="237"/>
    <x v="237"/>
    <x v="408"/>
    <x v="254"/>
    <x v="2"/>
    <x v="7"/>
    <x v="0"/>
    <s v="SÉNÉGAL"/>
    <s v="SÉNÉGAL"/>
    <s v="NULL"/>
    <n v="0"/>
    <s v="NULL"/>
    <s v="Greffe"/>
    <s v="Kédougou"/>
  </r>
  <r>
    <x v="4"/>
    <x v="237"/>
    <x v="237"/>
    <x v="409"/>
    <x v="254"/>
    <x v="2"/>
    <x v="7"/>
    <x v="0"/>
    <s v="SÉNÉGAL"/>
    <s v="SÉNÉGAL"/>
    <s v="NULL"/>
    <n v="0"/>
    <s v="NULL"/>
    <s v="Greffe"/>
    <s v="Kédougou"/>
  </r>
  <r>
    <x v="4"/>
    <x v="237"/>
    <x v="237"/>
    <x v="410"/>
    <x v="254"/>
    <x v="2"/>
    <x v="7"/>
    <x v="0"/>
    <s v="SÉNÉGAL"/>
    <s v="SÉNÉGAL"/>
    <s v="NULL"/>
    <n v="0"/>
    <s v="NULL"/>
    <s v="Greffe"/>
    <s v="Kédougou"/>
  </r>
  <r>
    <x v="4"/>
    <x v="237"/>
    <x v="237"/>
    <x v="411"/>
    <x v="254"/>
    <x v="2"/>
    <x v="7"/>
    <x v="0"/>
    <s v="SÉNÉGAL"/>
    <s v="SÉNÉGAL"/>
    <s v="NULL"/>
    <n v="0"/>
    <s v="NULL"/>
    <s v="Greffe"/>
    <s v="Kédougou"/>
  </r>
  <r>
    <x v="4"/>
    <x v="238"/>
    <x v="238"/>
    <x v="412"/>
    <x v="254"/>
    <x v="2"/>
    <x v="7"/>
    <x v="0"/>
    <s v="SÉNÉGAL"/>
    <s v="SÉNÉGAL"/>
    <s v="NULL"/>
    <n v="0"/>
    <s v="NULL"/>
    <s v="Greffe"/>
    <s v="Kédougou"/>
  </r>
  <r>
    <x v="4"/>
    <x v="238"/>
    <x v="238"/>
    <x v="413"/>
    <x v="254"/>
    <x v="2"/>
    <x v="7"/>
    <x v="0"/>
    <s v="SÉNÉGAL"/>
    <s v="SÉNÉGAL"/>
    <s v="NULL"/>
    <n v="0"/>
    <s v="NULL"/>
    <s v="Greffe"/>
    <s v="Kédougou"/>
  </r>
  <r>
    <x v="4"/>
    <x v="238"/>
    <x v="238"/>
    <x v="414"/>
    <x v="254"/>
    <x v="2"/>
    <x v="7"/>
    <x v="0"/>
    <s v="SÉNÉGAL"/>
    <s v="SÉNÉGAL"/>
    <s v="NULL"/>
    <n v="0"/>
    <s v="NULL"/>
    <s v="Greffe"/>
    <s v="Kédougou"/>
  </r>
  <r>
    <x v="4"/>
    <x v="239"/>
    <x v="239"/>
    <x v="415"/>
    <x v="254"/>
    <x v="2"/>
    <x v="7"/>
    <x v="0"/>
    <s v="SÉNÉGAL"/>
    <s v="SÉNÉGAL"/>
    <s v="NULL"/>
    <n v="0"/>
    <s v="NULL"/>
    <s v="Greffe"/>
    <s v="Kédougou"/>
  </r>
  <r>
    <x v="4"/>
    <x v="240"/>
    <x v="240"/>
    <x v="416"/>
    <x v="254"/>
    <x v="2"/>
    <x v="7"/>
    <x v="0"/>
    <s v="SÉNÉGAL"/>
    <s v="SÉNÉGAL"/>
    <s v="NULL"/>
    <n v="0"/>
    <s v="NULL"/>
    <s v="Greffe"/>
    <s v="Kédougou"/>
  </r>
  <r>
    <x v="4"/>
    <x v="241"/>
    <x v="241"/>
    <x v="417"/>
    <x v="254"/>
    <x v="2"/>
    <x v="7"/>
    <x v="0"/>
    <s v="SÉNÉGAL"/>
    <s v="SÉNÉGAL"/>
    <s v="NULL"/>
    <n v="0"/>
    <s v="NULL"/>
    <s v="Greffe"/>
    <s v="Kédougou"/>
  </r>
  <r>
    <x v="4"/>
    <x v="241"/>
    <x v="241"/>
    <x v="418"/>
    <x v="254"/>
    <x v="2"/>
    <x v="7"/>
    <x v="0"/>
    <s v="SÉNÉGAL"/>
    <s v="SÉNÉGAL"/>
    <s v="NULL"/>
    <n v="0"/>
    <s v="NULL"/>
    <s v="Greffe"/>
    <s v="Kédougou"/>
  </r>
  <r>
    <x v="0"/>
    <x v="242"/>
    <x v="242"/>
    <x v="419"/>
    <x v="238"/>
    <x v="0"/>
    <x v="23"/>
    <x v="22"/>
    <s v="SÉNÉGAL"/>
    <s v="SÉNÉGAL"/>
    <s v="NULL"/>
    <n v="0"/>
    <s v="NULL"/>
    <s v="Greffe"/>
    <s v="Dakar"/>
  </r>
  <r>
    <x v="4"/>
    <x v="243"/>
    <x v="243"/>
    <x v="420"/>
    <x v="254"/>
    <x v="2"/>
    <x v="7"/>
    <x v="0"/>
    <s v="SÉNÉGAL"/>
    <s v="SÉNÉGAL"/>
    <s v="NULL"/>
    <n v="0"/>
    <s v="NULL"/>
    <s v="Greffe"/>
    <s v="Kédougou"/>
  </r>
  <r>
    <x v="4"/>
    <x v="243"/>
    <x v="243"/>
    <x v="421"/>
    <x v="254"/>
    <x v="2"/>
    <x v="7"/>
    <x v="0"/>
    <s v="SÉNÉGAL"/>
    <s v="SÉNÉGAL"/>
    <s v="NULL"/>
    <n v="0"/>
    <s v="NULL"/>
    <s v="Greffe"/>
    <s v="Kédougou"/>
  </r>
  <r>
    <x v="4"/>
    <x v="243"/>
    <x v="243"/>
    <x v="422"/>
    <x v="254"/>
    <x v="2"/>
    <x v="7"/>
    <x v="0"/>
    <s v="SÉNÉGAL"/>
    <s v="SÉNÉGAL"/>
    <s v="NULL"/>
    <n v="0"/>
    <s v="NULL"/>
    <s v="Greffe"/>
    <s v="Kédougou"/>
  </r>
  <r>
    <x v="4"/>
    <x v="243"/>
    <x v="243"/>
    <x v="423"/>
    <x v="254"/>
    <x v="2"/>
    <x v="7"/>
    <x v="0"/>
    <s v="SÉNÉGAL"/>
    <s v="SÉNÉGAL"/>
    <s v="NULL"/>
    <n v="0"/>
    <s v="NULL"/>
    <s v="Greffe"/>
    <s v="Kédougou"/>
  </r>
  <r>
    <x v="4"/>
    <x v="243"/>
    <x v="243"/>
    <x v="423"/>
    <x v="254"/>
    <x v="2"/>
    <x v="7"/>
    <x v="0"/>
    <s v="SÉNÉGAL"/>
    <s v="SÉNÉGAL"/>
    <s v="NULL"/>
    <n v="0"/>
    <s v="NULL"/>
    <s v="Greffe"/>
    <s v="Kédougou"/>
  </r>
  <r>
    <x v="4"/>
    <x v="243"/>
    <x v="243"/>
    <x v="424"/>
    <x v="254"/>
    <x v="2"/>
    <x v="7"/>
    <x v="0"/>
    <s v="SÉNÉGAL"/>
    <s v="SÉNÉGAL"/>
    <s v="NULL"/>
    <n v="0"/>
    <s v="NULL"/>
    <s v="Greffe"/>
    <s v="Kédougou"/>
  </r>
  <r>
    <x v="4"/>
    <x v="243"/>
    <x v="243"/>
    <x v="425"/>
    <x v="254"/>
    <x v="2"/>
    <x v="7"/>
    <x v="0"/>
    <s v="SÉNÉGAL"/>
    <s v="SÉNÉGAL"/>
    <s v="NULL"/>
    <n v="0"/>
    <s v="NULL"/>
    <s v="Greffe"/>
    <s v="Kédougou"/>
  </r>
  <r>
    <x v="4"/>
    <x v="244"/>
    <x v="244"/>
    <x v="426"/>
    <x v="254"/>
    <x v="2"/>
    <x v="7"/>
    <x v="0"/>
    <s v="SÉNÉGAL"/>
    <s v="SÉNÉGAL"/>
    <s v="NULL"/>
    <n v="0"/>
    <s v="NULL"/>
    <s v="Greffe"/>
    <s v="Kédougou"/>
  </r>
  <r>
    <x v="4"/>
    <x v="245"/>
    <x v="245"/>
    <x v="426"/>
    <x v="254"/>
    <x v="2"/>
    <x v="7"/>
    <x v="0"/>
    <s v="SÉNÉGAL"/>
    <s v="SÉNÉGAL"/>
    <s v="NULL"/>
    <n v="0"/>
    <s v="NULL"/>
    <s v="Greffe"/>
    <s v="Kédougou"/>
  </r>
  <r>
    <x v="4"/>
    <x v="246"/>
    <x v="246"/>
    <x v="427"/>
    <x v="254"/>
    <x v="2"/>
    <x v="7"/>
    <x v="0"/>
    <s v="SÉNÉGAL"/>
    <s v="SÉNÉGAL"/>
    <s v="NULL"/>
    <n v="0"/>
    <s v="NULL"/>
    <s v="Greffe"/>
    <s v="Kédougou"/>
  </r>
  <r>
    <x v="4"/>
    <x v="247"/>
    <x v="247"/>
    <x v="428"/>
    <x v="254"/>
    <x v="2"/>
    <x v="7"/>
    <x v="0"/>
    <s v="SÉNÉGAL"/>
    <s v="SÉNÉGAL"/>
    <s v="NULL"/>
    <n v="0"/>
    <s v="NULL"/>
    <s v="Greffe"/>
    <s v="Kédougou"/>
  </r>
  <r>
    <x v="4"/>
    <x v="248"/>
    <x v="248"/>
    <x v="429"/>
    <x v="254"/>
    <x v="2"/>
    <x v="7"/>
    <x v="0"/>
    <s v="SÉNÉGAL"/>
    <s v="SÉNÉGAL"/>
    <s v="NULL"/>
    <n v="0"/>
    <s v="NULL"/>
    <s v="Greffe"/>
    <s v="Kédougou"/>
  </r>
  <r>
    <x v="4"/>
    <x v="248"/>
    <x v="248"/>
    <x v="430"/>
    <x v="254"/>
    <x v="2"/>
    <x v="7"/>
    <x v="0"/>
    <s v="SÉNÉGAL"/>
    <s v="SÉNÉGAL"/>
    <s v="NULL"/>
    <n v="0"/>
    <s v="NULL"/>
    <s v="Greffe"/>
    <s v="Kédougou"/>
  </r>
  <r>
    <x v="4"/>
    <x v="248"/>
    <x v="248"/>
    <x v="431"/>
    <x v="254"/>
    <x v="2"/>
    <x v="7"/>
    <x v="0"/>
    <s v="SÉNÉGAL"/>
    <s v="SÉNÉGAL"/>
    <s v="NULL"/>
    <n v="0"/>
    <s v="NULL"/>
    <s v="Greffe"/>
    <s v="Kédougou"/>
  </r>
  <r>
    <x v="4"/>
    <x v="249"/>
    <x v="249"/>
    <x v="432"/>
    <x v="254"/>
    <x v="2"/>
    <x v="7"/>
    <x v="0"/>
    <s v="SÉNÉGAL"/>
    <s v="SÉNÉGAL"/>
    <s v="NULL"/>
    <n v="0"/>
    <s v="NULL"/>
    <s v="Greffe"/>
    <s v="Kédougou"/>
  </r>
  <r>
    <x v="4"/>
    <x v="250"/>
    <x v="250"/>
    <x v="433"/>
    <x v="255"/>
    <x v="2"/>
    <x v="0"/>
    <x v="0"/>
    <s v="SÉNÉGAL"/>
    <s v="SÉNÉGAL"/>
    <s v="NULL"/>
    <n v="0"/>
    <s v="NULL"/>
    <s v="Greffe"/>
    <s v="Kédougou"/>
  </r>
  <r>
    <x v="4"/>
    <x v="250"/>
    <x v="250"/>
    <x v="434"/>
    <x v="255"/>
    <x v="2"/>
    <x v="13"/>
    <x v="0"/>
    <s v="SÉNÉGAL"/>
    <s v="SÉNÉGAL"/>
    <s v="NULL"/>
    <n v="0"/>
    <s v="NULL"/>
    <s v="Greffe"/>
    <s v="Kédougou"/>
  </r>
  <r>
    <x v="4"/>
    <x v="250"/>
    <x v="250"/>
    <x v="435"/>
    <x v="256"/>
    <x v="2"/>
    <x v="7"/>
    <x v="0"/>
    <s v="SÉNÉGAL"/>
    <s v="SÉNÉGAL"/>
    <s v="NULL"/>
    <n v="0"/>
    <s v="NULL"/>
    <s v="Greffe"/>
    <s v="Kédougou"/>
  </r>
  <r>
    <x v="0"/>
    <x v="251"/>
    <x v="251"/>
    <x v="436"/>
    <x v="0"/>
    <x v="0"/>
    <x v="0"/>
    <x v="0"/>
    <s v="SÉNÉGAL"/>
    <s v="SÉNÉGAL"/>
    <s v="NULL"/>
    <n v="0"/>
    <s v="NULL"/>
    <s v="Greffe"/>
    <s v="Dakar"/>
  </r>
  <r>
    <x v="4"/>
    <x v="252"/>
    <x v="252"/>
    <x v="437"/>
    <x v="256"/>
    <x v="2"/>
    <x v="7"/>
    <x v="0"/>
    <s v="SÉNÉGAL"/>
    <s v="SÉNÉGAL"/>
    <s v="NULL"/>
    <n v="0"/>
    <s v="NULL"/>
    <s v="Greffe"/>
    <s v="Kédougou"/>
  </r>
  <r>
    <x v="4"/>
    <x v="252"/>
    <x v="252"/>
    <x v="438"/>
    <x v="256"/>
    <x v="2"/>
    <x v="7"/>
    <x v="0"/>
    <s v="SÉNÉGAL"/>
    <s v="SÉNÉGAL"/>
    <s v="NULL"/>
    <n v="0"/>
    <s v="NULL"/>
    <s v="Greffe"/>
    <s v="Kédougou"/>
  </r>
  <r>
    <x v="4"/>
    <x v="253"/>
    <x v="253"/>
    <x v="439"/>
    <x v="257"/>
    <x v="2"/>
    <x v="15"/>
    <x v="0"/>
    <s v="SÉNÉGAL"/>
    <s v="SÉNÉGAL"/>
    <s v="NULL"/>
    <n v="0"/>
    <s v="NULL"/>
    <s v="Greffe"/>
    <s v="Kédougou"/>
  </r>
  <r>
    <x v="4"/>
    <x v="253"/>
    <x v="253"/>
    <x v="440"/>
    <x v="257"/>
    <x v="2"/>
    <x v="28"/>
    <x v="0"/>
    <s v="SÉNÉGAL"/>
    <s v="SÉNÉGAL"/>
    <s v="NULL"/>
    <n v="0"/>
    <s v="NULL"/>
    <s v="Greffe"/>
    <s v="Kédougou"/>
  </r>
  <r>
    <x v="4"/>
    <x v="254"/>
    <x v="254"/>
    <x v="441"/>
    <x v="257"/>
    <x v="2"/>
    <x v="46"/>
    <x v="0"/>
    <s v="SÉNÉGAL"/>
    <s v="SÉNÉGAL"/>
    <s v="NULL"/>
    <n v="0"/>
    <s v="NULL"/>
    <s v="Greffe"/>
    <s v="Kédougou"/>
  </r>
  <r>
    <x v="4"/>
    <x v="254"/>
    <x v="254"/>
    <x v="442"/>
    <x v="257"/>
    <x v="2"/>
    <x v="47"/>
    <x v="0"/>
    <s v="SÉNÉGAL"/>
    <s v="SÉNÉGAL"/>
    <s v="NULL"/>
    <n v="0"/>
    <s v="NULL"/>
    <s v="Greffe"/>
    <s v="Kédougou"/>
  </r>
  <r>
    <x v="4"/>
    <x v="254"/>
    <x v="254"/>
    <x v="442"/>
    <x v="258"/>
    <x v="2"/>
    <x v="7"/>
    <x v="0"/>
    <s v="SÉNÉGAL"/>
    <s v="SÉNÉGAL"/>
    <s v="NULL"/>
    <n v="0"/>
    <s v="NULL"/>
    <s v="Greffe"/>
    <s v="Kédougou"/>
  </r>
  <r>
    <x v="4"/>
    <x v="255"/>
    <x v="255"/>
    <x v="443"/>
    <x v="258"/>
    <x v="2"/>
    <x v="7"/>
    <x v="0"/>
    <s v="SÉNÉGAL"/>
    <s v="SÉNÉGAL"/>
    <s v="NULL"/>
    <n v="0"/>
    <s v="NULL"/>
    <s v="Greffe"/>
    <s v="Kédougou"/>
  </r>
  <r>
    <x v="4"/>
    <x v="256"/>
    <x v="256"/>
    <x v="444"/>
    <x v="258"/>
    <x v="2"/>
    <x v="7"/>
    <x v="0"/>
    <s v="SÉNÉGAL"/>
    <s v="SÉNÉGAL"/>
    <s v="NULL"/>
    <n v="0"/>
    <s v="NULL"/>
    <s v="Greffe"/>
    <s v="Kédougou"/>
  </r>
  <r>
    <x v="4"/>
    <x v="257"/>
    <x v="257"/>
    <x v="445"/>
    <x v="258"/>
    <x v="2"/>
    <x v="7"/>
    <x v="0"/>
    <s v="SÉNÉGAL"/>
    <s v="SÉNÉGAL"/>
    <s v="NULL"/>
    <n v="0"/>
    <s v="NULL"/>
    <s v="Greffe"/>
    <s v="Kédougou"/>
  </r>
  <r>
    <x v="4"/>
    <x v="258"/>
    <x v="258"/>
    <x v="446"/>
    <x v="258"/>
    <x v="2"/>
    <x v="7"/>
    <x v="0"/>
    <s v="SÉNÉGAL"/>
    <s v="SÉNÉGAL"/>
    <s v="NULL"/>
    <n v="0"/>
    <s v="NULL"/>
    <s v="Greffe"/>
    <s v="Kédougou"/>
  </r>
  <r>
    <x v="4"/>
    <x v="259"/>
    <x v="259"/>
    <x v="447"/>
    <x v="258"/>
    <x v="2"/>
    <x v="7"/>
    <x v="0"/>
    <s v="SÉNÉGAL"/>
    <s v="SÉNÉGAL"/>
    <s v="NULL"/>
    <n v="0"/>
    <s v="NULL"/>
    <s v="Greffe"/>
    <s v="Kédougou"/>
  </r>
  <r>
    <x v="4"/>
    <x v="260"/>
    <x v="260"/>
    <x v="448"/>
    <x v="259"/>
    <x v="2"/>
    <x v="1"/>
    <x v="0"/>
    <s v="SÉNÉGAL"/>
    <s v="SÉNÉGAL"/>
    <s v="NULL"/>
    <n v="0"/>
    <s v="NULL"/>
    <s v="Greffe"/>
    <s v="Kédougou"/>
  </r>
  <r>
    <x v="4"/>
    <x v="260"/>
    <x v="260"/>
    <x v="449"/>
    <x v="260"/>
    <x v="2"/>
    <x v="1"/>
    <x v="0"/>
    <s v="SÉNÉGAL"/>
    <s v="SÉNÉGAL"/>
    <s v="NULL"/>
    <n v="0"/>
    <s v="NULL"/>
    <s v="Greffe"/>
    <s v="Kédougou"/>
  </r>
  <r>
    <x v="4"/>
    <x v="261"/>
    <x v="261"/>
    <x v="450"/>
    <x v="261"/>
    <x v="2"/>
    <x v="7"/>
    <x v="0"/>
    <s v="SÉNÉGAL"/>
    <s v="SÉNÉGAL"/>
    <s v="NULL"/>
    <n v="0"/>
    <s v="NULL"/>
    <s v="Greffe"/>
    <s v="Kédougou"/>
  </r>
  <r>
    <x v="4"/>
    <x v="261"/>
    <x v="261"/>
    <x v="451"/>
    <x v="261"/>
    <x v="2"/>
    <x v="7"/>
    <x v="0"/>
    <s v="SÉNÉGAL"/>
    <s v="SÉNÉGAL"/>
    <s v="NULL"/>
    <n v="0"/>
    <s v="NULL"/>
    <s v="Greffe"/>
    <s v="Kédougou"/>
  </r>
  <r>
    <x v="4"/>
    <x v="262"/>
    <x v="262"/>
    <x v="452"/>
    <x v="261"/>
    <x v="2"/>
    <x v="7"/>
    <x v="0"/>
    <s v="SÉNÉGAL"/>
    <s v="SÉNÉGAL"/>
    <s v="NULL"/>
    <n v="0"/>
    <s v="NULL"/>
    <s v="Greffe"/>
    <s v="Kédougou"/>
  </r>
  <r>
    <x v="4"/>
    <x v="263"/>
    <x v="263"/>
    <x v="453"/>
    <x v="262"/>
    <x v="2"/>
    <x v="7"/>
    <x v="0"/>
    <s v="SÉNÉGAL"/>
    <s v="SÉNÉGAL"/>
    <s v="NULL"/>
    <n v="0"/>
    <s v="NULL"/>
    <s v="Greffe"/>
    <s v="Kédougou"/>
  </r>
  <r>
    <x v="4"/>
    <x v="263"/>
    <x v="263"/>
    <x v="454"/>
    <x v="262"/>
    <x v="2"/>
    <x v="7"/>
    <x v="0"/>
    <s v="SÉNÉGAL"/>
    <s v="SÉNÉGAL"/>
    <s v="NULL"/>
    <n v="0"/>
    <s v="NULL"/>
    <s v="Greffe"/>
    <s v="Kédougou"/>
  </r>
  <r>
    <x v="4"/>
    <x v="263"/>
    <x v="263"/>
    <x v="455"/>
    <x v="262"/>
    <x v="2"/>
    <x v="7"/>
    <x v="0"/>
    <s v="SÉNÉGAL"/>
    <s v="SÉNÉGAL"/>
    <s v="NULL"/>
    <n v="0"/>
    <s v="NULL"/>
    <s v="Greffe"/>
    <s v="Kédougou"/>
  </r>
  <r>
    <x v="4"/>
    <x v="263"/>
    <x v="263"/>
    <x v="456"/>
    <x v="263"/>
    <x v="2"/>
    <x v="7"/>
    <x v="0"/>
    <s v="SÉNÉGAL"/>
    <s v="SÉNÉGAL"/>
    <s v="NULL"/>
    <n v="0"/>
    <s v="NULL"/>
    <s v="Greffe"/>
    <s v="Kédougou"/>
  </r>
  <r>
    <x v="0"/>
    <x v="264"/>
    <x v="264"/>
    <x v="457"/>
    <x v="264"/>
    <x v="0"/>
    <x v="1"/>
    <x v="3"/>
    <s v="SÉNÉGAL"/>
    <s v="SÉNÉGAL"/>
    <s v="NULL"/>
    <n v="0"/>
    <s v="NULL"/>
    <s v="Greffe"/>
    <s v="Dakar"/>
  </r>
  <r>
    <x v="0"/>
    <x v="264"/>
    <x v="264"/>
    <x v="458"/>
    <x v="26"/>
    <x v="0"/>
    <x v="17"/>
    <x v="0"/>
    <s v="SÉNÉGAL"/>
    <s v="SÉNÉGAL"/>
    <s v="NULL"/>
    <n v="0"/>
    <s v="NULL"/>
    <s v="Greffe"/>
    <s v="Dakar"/>
  </r>
  <r>
    <x v="0"/>
    <x v="264"/>
    <x v="264"/>
    <x v="459"/>
    <x v="265"/>
    <x v="0"/>
    <x v="1"/>
    <x v="0"/>
    <s v="SÉNÉGAL"/>
    <s v="SÉNÉGAL"/>
    <s v="NULL"/>
    <n v="0"/>
    <s v="NULL"/>
    <s v="Greffe"/>
    <s v="Dakar"/>
  </r>
  <r>
    <x v="0"/>
    <x v="264"/>
    <x v="264"/>
    <x v="460"/>
    <x v="26"/>
    <x v="0"/>
    <x v="15"/>
    <x v="0"/>
    <s v="SÉNÉGAL"/>
    <s v="SÉNÉGAL"/>
    <s v="NULL"/>
    <n v="0"/>
    <s v="NULL"/>
    <s v="Greffe"/>
    <s v="Dakar"/>
  </r>
  <r>
    <x v="4"/>
    <x v="265"/>
    <x v="265"/>
    <x v="461"/>
    <x v="263"/>
    <x v="2"/>
    <x v="7"/>
    <x v="0"/>
    <s v="SÉNÉGAL"/>
    <s v="SÉNÉGAL"/>
    <s v="NULL"/>
    <n v="0"/>
    <s v="NULL"/>
    <s v="Greffe"/>
    <s v="Kédougou"/>
  </r>
  <r>
    <x v="4"/>
    <x v="266"/>
    <x v="266"/>
    <x v="462"/>
    <x v="263"/>
    <x v="2"/>
    <x v="7"/>
    <x v="0"/>
    <s v="SÉNÉGAL"/>
    <s v="SÉNÉGAL"/>
    <s v="NULL"/>
    <n v="0"/>
    <s v="NULL"/>
    <s v="Greffe"/>
    <s v="Kédougou"/>
  </r>
  <r>
    <x v="4"/>
    <x v="266"/>
    <x v="266"/>
    <x v="462"/>
    <x v="266"/>
    <x v="2"/>
    <x v="7"/>
    <x v="0"/>
    <s v="SÉNÉGAL"/>
    <s v="SÉNÉGAL"/>
    <s v="NULL"/>
    <n v="0"/>
    <s v="NULL"/>
    <s v="Greffe"/>
    <s v="Kédougou"/>
  </r>
  <r>
    <x v="4"/>
    <x v="267"/>
    <x v="267"/>
    <x v="463"/>
    <x v="266"/>
    <x v="2"/>
    <x v="7"/>
    <x v="0"/>
    <s v="SÉNÉGAL"/>
    <s v="SÉNÉGAL"/>
    <s v="NULL"/>
    <n v="0"/>
    <s v="NULL"/>
    <s v="Greffe"/>
    <s v="Kédougou"/>
  </r>
  <r>
    <x v="4"/>
    <x v="268"/>
    <x v="268"/>
    <x v="464"/>
    <x v="266"/>
    <x v="2"/>
    <x v="7"/>
    <x v="0"/>
    <s v="SÉNÉGAL"/>
    <s v="SÉNÉGAL"/>
    <s v="NULL"/>
    <n v="0"/>
    <s v="NULL"/>
    <s v="Greffe"/>
    <s v="Kédougou"/>
  </r>
  <r>
    <x v="4"/>
    <x v="269"/>
    <x v="269"/>
    <x v="465"/>
    <x v="266"/>
    <x v="2"/>
    <x v="7"/>
    <x v="0"/>
    <s v="SÉNÉGAL"/>
    <s v="SÉNÉGAL"/>
    <s v="NULL"/>
    <n v="0"/>
    <s v="NULL"/>
    <s v="Greffe"/>
    <s v="Kédougou"/>
  </r>
  <r>
    <x v="4"/>
    <x v="270"/>
    <x v="270"/>
    <x v="466"/>
    <x v="266"/>
    <x v="2"/>
    <x v="7"/>
    <x v="0"/>
    <s v="SÉNÉGAL"/>
    <s v="SÉNÉGAL"/>
    <s v="NULL"/>
    <n v="0"/>
    <s v="NULL"/>
    <s v="Greffe"/>
    <s v="Kédougou"/>
  </r>
  <r>
    <x v="4"/>
    <x v="270"/>
    <x v="270"/>
    <x v="467"/>
    <x v="266"/>
    <x v="2"/>
    <x v="7"/>
    <x v="0"/>
    <s v="SÉNÉGAL"/>
    <s v="SÉNÉGAL"/>
    <s v="NULL"/>
    <n v="0"/>
    <s v="NULL"/>
    <s v="Greffe"/>
    <s v="Kédougou"/>
  </r>
  <r>
    <x v="4"/>
    <x v="271"/>
    <x v="271"/>
    <x v="468"/>
    <x v="266"/>
    <x v="2"/>
    <x v="7"/>
    <x v="0"/>
    <s v="SÉNÉGAL"/>
    <s v="SÉNÉGAL"/>
    <s v="NULL"/>
    <n v="0"/>
    <s v="NULL"/>
    <s v="Greffe"/>
    <s v="Kédougou"/>
  </r>
  <r>
    <x v="4"/>
    <x v="271"/>
    <x v="271"/>
    <x v="469"/>
    <x v="266"/>
    <x v="2"/>
    <x v="7"/>
    <x v="0"/>
    <s v="SÉNÉGAL"/>
    <s v="SÉNÉGAL"/>
    <s v="NULL"/>
    <n v="0"/>
    <s v="NULL"/>
    <s v="Greffe"/>
    <s v="Kédougou"/>
  </r>
  <r>
    <x v="4"/>
    <x v="271"/>
    <x v="271"/>
    <x v="470"/>
    <x v="266"/>
    <x v="2"/>
    <x v="7"/>
    <x v="0"/>
    <s v="SÉNÉGAL"/>
    <s v="SÉNÉGAL"/>
    <s v="NULL"/>
    <n v="0"/>
    <s v="NULL"/>
    <s v="Greffe"/>
    <s v="Kédougou"/>
  </r>
  <r>
    <x v="4"/>
    <x v="271"/>
    <x v="271"/>
    <x v="471"/>
    <x v="266"/>
    <x v="2"/>
    <x v="7"/>
    <x v="0"/>
    <s v="SÉNÉGAL"/>
    <s v="SÉNÉGAL"/>
    <s v="NULL"/>
    <n v="0"/>
    <s v="NULL"/>
    <s v="Greffe"/>
    <s v="Kédougou"/>
  </r>
  <r>
    <x v="4"/>
    <x v="272"/>
    <x v="272"/>
    <x v="472"/>
    <x v="266"/>
    <x v="2"/>
    <x v="7"/>
    <x v="0"/>
    <s v="SÉNÉGAL"/>
    <s v="SÉNÉGAL"/>
    <s v="NULL"/>
    <n v="0"/>
    <s v="NULL"/>
    <s v="Greffe"/>
    <s v="Kédougou"/>
  </r>
  <r>
    <x v="4"/>
    <x v="272"/>
    <x v="272"/>
    <x v="473"/>
    <x v="266"/>
    <x v="2"/>
    <x v="7"/>
    <x v="0"/>
    <s v="SÉNÉGAL"/>
    <s v="SÉNÉGAL"/>
    <s v="NULL"/>
    <n v="0"/>
    <s v="NULL"/>
    <s v="Greffe"/>
    <s v="Kédougou"/>
  </r>
  <r>
    <x v="4"/>
    <x v="272"/>
    <x v="272"/>
    <x v="474"/>
    <x v="267"/>
    <x v="3"/>
    <x v="7"/>
    <x v="0"/>
    <s v="SÉNÉGAL"/>
    <s v="SÉNÉGAL"/>
    <s v="NULL"/>
    <n v="0"/>
    <s v="NULL"/>
    <s v="Greffe"/>
    <s v="Kédougou"/>
  </r>
  <r>
    <x v="4"/>
    <x v="273"/>
    <x v="273"/>
    <x v="475"/>
    <x v="267"/>
    <x v="3"/>
    <x v="7"/>
    <x v="0"/>
    <s v="SÉNÉGAL"/>
    <s v="SÉNÉGAL"/>
    <s v="NULL"/>
    <n v="0"/>
    <s v="NULL"/>
    <s v="Greffe"/>
    <s v="Kédougou"/>
  </r>
  <r>
    <x v="4"/>
    <x v="273"/>
    <x v="273"/>
    <x v="476"/>
    <x v="267"/>
    <x v="3"/>
    <x v="7"/>
    <x v="0"/>
    <s v="SÉNÉGAL"/>
    <s v="SÉNÉGAL"/>
    <s v="NULL"/>
    <n v="0"/>
    <s v="NULL"/>
    <s v="Greffe"/>
    <s v="Kédougou"/>
  </r>
  <r>
    <x v="4"/>
    <x v="274"/>
    <x v="274"/>
    <x v="477"/>
    <x v="268"/>
    <x v="4"/>
    <x v="7"/>
    <x v="0"/>
    <s v="SÉNÉGAL"/>
    <m/>
    <n v="0"/>
    <s v="NULL"/>
    <s v="NULL"/>
    <s v="Greffe"/>
    <s v="Kédougou"/>
  </r>
  <r>
    <x v="4"/>
    <x v="274"/>
    <x v="274"/>
    <x v="478"/>
    <x v="268"/>
    <x v="4"/>
    <x v="7"/>
    <x v="0"/>
    <s v="SÉNÉGAL"/>
    <m/>
    <n v="0"/>
    <s v="NULL"/>
    <s v="NULL"/>
    <s v="Greffe"/>
    <s v="Kédougou"/>
  </r>
  <r>
    <x v="4"/>
    <x v="274"/>
    <x v="274"/>
    <x v="479"/>
    <x v="268"/>
    <x v="4"/>
    <x v="7"/>
    <x v="0"/>
    <s v="SÉNÉGAL"/>
    <m/>
    <n v="0"/>
    <s v="NULL"/>
    <s v="NULL"/>
    <s v="Greffe"/>
    <s v="Kédougou"/>
  </r>
  <r>
    <x v="4"/>
    <x v="275"/>
    <x v="275"/>
    <x v="480"/>
    <x v="269"/>
    <x v="4"/>
    <x v="7"/>
    <x v="0"/>
    <s v="SÉNÉGAL"/>
    <m/>
    <n v="0"/>
    <s v="NULL"/>
    <s v="NULL"/>
    <s v="Greffe"/>
    <s v="Kédougou"/>
  </r>
  <r>
    <x v="4"/>
    <x v="276"/>
    <x v="276"/>
    <x v="480"/>
    <x v="269"/>
    <x v="4"/>
    <x v="7"/>
    <x v="0"/>
    <s v="SÉNÉGAL"/>
    <m/>
    <n v="0"/>
    <s v="NULL"/>
    <s v="NULL"/>
    <s v="Greffe"/>
    <s v="Kédougou"/>
  </r>
  <r>
    <x v="4"/>
    <x v="277"/>
    <x v="277"/>
    <x v="481"/>
    <x v="269"/>
    <x v="4"/>
    <x v="7"/>
    <x v="0"/>
    <s v="SÉNÉGAL"/>
    <m/>
    <s v="NULL"/>
    <s v="NULL"/>
    <s v="NULL"/>
    <s v="Greffe"/>
    <s v="Kédougou"/>
  </r>
  <r>
    <x v="4"/>
    <x v="278"/>
    <x v="278"/>
    <x v="482"/>
    <x v="270"/>
    <x v="4"/>
    <x v="7"/>
    <x v="0"/>
    <s v="SÉNÉGAL"/>
    <m/>
    <n v="0"/>
    <s v="NULL"/>
    <s v="NULL"/>
    <s v="Greffe"/>
    <s v="Kédougou"/>
  </r>
  <r>
    <x v="0"/>
    <x v="279"/>
    <x v="279"/>
    <x v="483"/>
    <x v="271"/>
    <x v="0"/>
    <x v="5"/>
    <x v="1"/>
    <s v="SÉNÉGAL"/>
    <s v="SÉNÉGAL"/>
    <s v="NULL"/>
    <n v="0"/>
    <s v="NULL"/>
    <s v="Greffe"/>
    <s v="Dakar"/>
  </r>
  <r>
    <x v="4"/>
    <x v="280"/>
    <x v="280"/>
    <x v="484"/>
    <x v="272"/>
    <x v="4"/>
    <x v="7"/>
    <x v="0"/>
    <s v="SÉNÉGAL"/>
    <m/>
    <n v="0"/>
    <s v="NULL"/>
    <s v="NULL"/>
    <s v="Greffe"/>
    <s v="Kédougou"/>
  </r>
  <r>
    <x v="4"/>
    <x v="280"/>
    <x v="280"/>
    <x v="485"/>
    <x v="272"/>
    <x v="4"/>
    <x v="7"/>
    <x v="0"/>
    <s v="SÉNÉGAL"/>
    <m/>
    <n v="0"/>
    <s v="NULL"/>
    <s v="NULL"/>
    <s v="Greffe"/>
    <s v="Kédougou"/>
  </r>
  <r>
    <x v="4"/>
    <x v="280"/>
    <x v="280"/>
    <x v="486"/>
    <x v="272"/>
    <x v="4"/>
    <x v="7"/>
    <x v="0"/>
    <s v="SÉNÉGAL"/>
    <m/>
    <n v="0"/>
    <s v="NULL"/>
    <s v="NULL"/>
    <s v="Greffe"/>
    <s v="Kédougou"/>
  </r>
  <r>
    <x v="4"/>
    <x v="280"/>
    <x v="280"/>
    <x v="487"/>
    <x v="273"/>
    <x v="4"/>
    <x v="7"/>
    <x v="0"/>
    <s v="SÉNÉGAL"/>
    <m/>
    <n v="0"/>
    <s v="NULL"/>
    <s v="NULL"/>
    <s v="Greffe"/>
    <s v="Kédougou"/>
  </r>
  <r>
    <x v="4"/>
    <x v="281"/>
    <x v="281"/>
    <x v="488"/>
    <x v="273"/>
    <x v="4"/>
    <x v="7"/>
    <x v="0"/>
    <s v="SÉNÉGAL"/>
    <m/>
    <n v="0"/>
    <s v="NULL"/>
    <s v="NULL"/>
    <s v="Greffe"/>
    <s v="Kédougou"/>
  </r>
  <r>
    <x v="4"/>
    <x v="282"/>
    <x v="282"/>
    <x v="489"/>
    <x v="273"/>
    <x v="4"/>
    <x v="7"/>
    <x v="0"/>
    <s v="SÉNÉGAL"/>
    <m/>
    <n v="0"/>
    <s v="NULL"/>
    <s v="NULL"/>
    <s v="Greffe"/>
    <s v="Kédougou"/>
  </r>
  <r>
    <x v="4"/>
    <x v="283"/>
    <x v="283"/>
    <x v="490"/>
    <x v="274"/>
    <x v="4"/>
    <x v="7"/>
    <x v="0"/>
    <s v="SÉNÉGAL"/>
    <m/>
    <n v="0"/>
    <s v="NULL"/>
    <s v="NULL"/>
    <s v="Greffe"/>
    <s v="Kédougou"/>
  </r>
  <r>
    <x v="4"/>
    <x v="284"/>
    <x v="284"/>
    <x v="491"/>
    <x v="274"/>
    <x v="4"/>
    <x v="7"/>
    <x v="0"/>
    <s v="SÉNÉGAL"/>
    <m/>
    <n v="0"/>
    <s v="NULL"/>
    <s v="NULL"/>
    <s v="Greffe"/>
    <s v="Kédougou"/>
  </r>
  <r>
    <x v="4"/>
    <x v="285"/>
    <x v="285"/>
    <x v="491"/>
    <x v="275"/>
    <x v="4"/>
    <x v="7"/>
    <x v="0"/>
    <s v="SÉNÉGAL"/>
    <m/>
    <n v="0"/>
    <s v="NULL"/>
    <s v="NULL"/>
    <s v="Greffe"/>
    <s v="Kédougou"/>
  </r>
  <r>
    <x v="4"/>
    <x v="286"/>
    <x v="286"/>
    <x v="492"/>
    <x v="275"/>
    <x v="4"/>
    <x v="7"/>
    <x v="0"/>
    <s v="SÉNÉGAL"/>
    <m/>
    <n v="0"/>
    <s v="NULL"/>
    <s v="NULL"/>
    <s v="Greffe"/>
    <s v="Kédougou"/>
  </r>
  <r>
    <x v="4"/>
    <x v="287"/>
    <x v="287"/>
    <x v="493"/>
    <x v="275"/>
    <x v="4"/>
    <x v="7"/>
    <x v="0"/>
    <s v="SÉNÉGAL"/>
    <m/>
    <n v="0"/>
    <s v="NULL"/>
    <s v="NULL"/>
    <s v="Greffe"/>
    <s v="Kédougou"/>
  </r>
  <r>
    <x v="4"/>
    <x v="287"/>
    <x v="287"/>
    <x v="494"/>
    <x v="276"/>
    <x v="4"/>
    <x v="5"/>
    <x v="1"/>
    <s v="SÉNÉGAL"/>
    <m/>
    <n v="0"/>
    <s v="NULL"/>
    <s v="NULL"/>
    <s v="Greffe"/>
    <s v="Kédougou"/>
  </r>
  <r>
    <x v="4"/>
    <x v="287"/>
    <x v="287"/>
    <x v="495"/>
    <x v="277"/>
    <x v="4"/>
    <x v="8"/>
    <x v="0"/>
    <s v="SÉNÉGAL"/>
    <m/>
    <n v="0"/>
    <s v="NULL"/>
    <s v="NULL"/>
    <s v="Greffe"/>
    <s v="Kédougou"/>
  </r>
  <r>
    <x v="4"/>
    <x v="287"/>
    <x v="287"/>
    <x v="496"/>
    <x v="278"/>
    <x v="4"/>
    <x v="48"/>
    <x v="0"/>
    <s v="SÉNÉGAL"/>
    <m/>
    <n v="0"/>
    <s v="NULL"/>
    <s v="NULL"/>
    <s v="Greffe"/>
    <s v="Kédougou"/>
  </r>
  <r>
    <x v="4"/>
    <x v="287"/>
    <x v="287"/>
    <x v="497"/>
    <x v="278"/>
    <x v="4"/>
    <x v="17"/>
    <x v="0"/>
    <s v="SÉNÉGAL"/>
    <m/>
    <n v="0"/>
    <s v="NULL"/>
    <s v="NULL"/>
    <s v="Greffe"/>
    <s v="Kédougou"/>
  </r>
  <r>
    <x v="4"/>
    <x v="287"/>
    <x v="287"/>
    <x v="498"/>
    <x v="278"/>
    <x v="4"/>
    <x v="49"/>
    <x v="0"/>
    <s v="SÉNÉGAL"/>
    <m/>
    <n v="0"/>
    <s v="NULL"/>
    <s v="NULL"/>
    <s v="Greffe"/>
    <s v="Kédougou"/>
  </r>
  <r>
    <x v="4"/>
    <x v="287"/>
    <x v="287"/>
    <x v="499"/>
    <x v="278"/>
    <x v="4"/>
    <x v="21"/>
    <x v="0"/>
    <s v="SÉNÉGAL"/>
    <m/>
    <n v="0"/>
    <s v="NULL"/>
    <s v="NULL"/>
    <s v="Greffe"/>
    <s v="Kédougou"/>
  </r>
  <r>
    <x v="5"/>
    <x v="287"/>
    <x v="287"/>
    <x v="500"/>
    <x v="279"/>
    <x v="2"/>
    <x v="7"/>
    <x v="0"/>
    <s v="CANADA"/>
    <s v="CANADA"/>
    <s v="NULL"/>
    <n v="0"/>
    <s v="NULL"/>
    <s v="Greffe"/>
    <s v="Mbour"/>
  </r>
  <r>
    <x v="5"/>
    <x v="287"/>
    <x v="287"/>
    <x v="501"/>
    <x v="279"/>
    <x v="2"/>
    <x v="7"/>
    <x v="0"/>
    <s v="SÉNÉGAL"/>
    <s v="SÉNÉGAL"/>
    <s v="NULL"/>
    <n v="0"/>
    <s v="NULL"/>
    <s v="Greffe"/>
    <s v="Mbour"/>
  </r>
  <r>
    <x v="5"/>
    <x v="287"/>
    <x v="287"/>
    <x v="502"/>
    <x v="279"/>
    <x v="2"/>
    <x v="7"/>
    <x v="0"/>
    <s v="SÉNÉGAL"/>
    <s v="SÉNÉGAL"/>
    <s v="NULL"/>
    <n v="0"/>
    <s v="NULL"/>
    <s v="Greffe"/>
    <s v="Mbour"/>
  </r>
  <r>
    <x v="5"/>
    <x v="287"/>
    <x v="287"/>
    <x v="503"/>
    <x v="280"/>
    <x v="3"/>
    <x v="31"/>
    <x v="0"/>
    <s v="SÉNÉGAL"/>
    <s v="SÉNÉGAL"/>
    <s v="NULL"/>
    <n v="0"/>
    <s v="NULL"/>
    <s v="Greffe"/>
    <s v="Mbour"/>
  </r>
  <r>
    <x v="5"/>
    <x v="287"/>
    <x v="287"/>
    <x v="504"/>
    <x v="281"/>
    <x v="4"/>
    <x v="7"/>
    <x v="0"/>
    <s v="SÉNÉGAL"/>
    <m/>
    <n v="0"/>
    <s v="NULL"/>
    <s v="NULL"/>
    <s v="Greffe"/>
    <s v="Mbour"/>
  </r>
  <r>
    <x v="5"/>
    <x v="288"/>
    <x v="288"/>
    <x v="504"/>
    <x v="282"/>
    <x v="4"/>
    <x v="1"/>
    <x v="3"/>
    <s v="SÉNÉGAL"/>
    <m/>
    <n v="0"/>
    <s v="NULL"/>
    <s v="NULL"/>
    <s v="Greffe"/>
    <s v="Mbour"/>
  </r>
  <r>
    <x v="5"/>
    <x v="289"/>
    <x v="289"/>
    <x v="505"/>
    <x v="283"/>
    <x v="4"/>
    <x v="45"/>
    <x v="42"/>
    <s v="SÉNÉGAL"/>
    <m/>
    <n v="0"/>
    <s v="NULL"/>
    <s v="NULL"/>
    <s v="Greffe"/>
    <s v="Mbour"/>
  </r>
  <r>
    <x v="6"/>
    <x v="290"/>
    <x v="290"/>
    <x v="506"/>
    <x v="284"/>
    <x v="2"/>
    <x v="31"/>
    <x v="4"/>
    <s v="SÉNÉGAL"/>
    <s v="SÉNÉGAL"/>
    <s v="NULL"/>
    <n v="0"/>
    <s v="NULL"/>
    <s v="Greffe"/>
    <s v="Tambacounda"/>
  </r>
  <r>
    <x v="6"/>
    <x v="290"/>
    <x v="290"/>
    <x v="507"/>
    <x v="285"/>
    <x v="3"/>
    <x v="7"/>
    <x v="12"/>
    <s v="SÉNÉGAL"/>
    <s v="SÉNÉGAL"/>
    <s v="NULL"/>
    <n v="0"/>
    <s v="NULL"/>
    <s v="Greffe"/>
    <s v="Tambacounda"/>
  </r>
  <r>
    <x v="7"/>
    <x v="291"/>
    <x v="291"/>
    <x v="507"/>
    <x v="286"/>
    <x v="0"/>
    <x v="1"/>
    <x v="3"/>
    <s v="SÉNÉGAL"/>
    <s v="SÉNÉGAL"/>
    <s v="NULL"/>
    <n v="0"/>
    <s v="NULL"/>
    <s v="Greffe"/>
    <s v="Thiès"/>
  </r>
  <r>
    <x v="7"/>
    <x v="292"/>
    <x v="292"/>
    <x v="507"/>
    <x v="287"/>
    <x v="0"/>
    <x v="1"/>
    <x v="3"/>
    <s v="SÉNÉGAL"/>
    <s v="SÉNÉGAL"/>
    <s v="SENEGAL"/>
    <n v="0"/>
    <s v="AMY DIAKHATE"/>
    <s v="Greffe"/>
    <s v="Thiès"/>
  </r>
  <r>
    <x v="7"/>
    <x v="292"/>
    <x v="292"/>
    <x v="508"/>
    <x v="287"/>
    <x v="0"/>
    <x v="1"/>
    <x v="3"/>
    <s v="SÉNÉGAL"/>
    <s v="SÉNÉGAL"/>
    <s v="SÉNÉGAL"/>
    <n v="0"/>
    <s v="AMY DIAKHATE"/>
    <s v="Greffe"/>
    <s v="Thiès"/>
  </r>
  <r>
    <x v="7"/>
    <x v="293"/>
    <x v="293"/>
    <x v="509"/>
    <x v="288"/>
    <x v="0"/>
    <x v="7"/>
    <x v="3"/>
    <s v="SÉNÉGAL"/>
    <s v="SÉNÉGAL"/>
    <s v="NULL"/>
    <n v="0"/>
    <s v="NULL"/>
    <s v="Greffe"/>
    <s v="Thiès"/>
  </r>
  <r>
    <x v="7"/>
    <x v="294"/>
    <x v="294"/>
    <x v="510"/>
    <x v="289"/>
    <x v="0"/>
    <x v="35"/>
    <x v="31"/>
    <s v="SÉNÉGAL"/>
    <s v="SÉNÉGAL"/>
    <s v="NULL"/>
    <n v="0"/>
    <s v="NULL"/>
    <s v="Greffe"/>
    <s v="Thiès"/>
  </r>
  <r>
    <x v="7"/>
    <x v="295"/>
    <x v="295"/>
    <x v="510"/>
    <x v="289"/>
    <x v="0"/>
    <x v="10"/>
    <x v="9"/>
    <s v="SÉNÉGAL"/>
    <s v="SÉNÉGAL"/>
    <s v="NULL"/>
    <n v="0"/>
    <s v="NULL"/>
    <s v="Greffe"/>
    <s v="Thiès"/>
  </r>
  <r>
    <x v="7"/>
    <x v="296"/>
    <x v="296"/>
    <x v="511"/>
    <x v="290"/>
    <x v="0"/>
    <x v="50"/>
    <x v="43"/>
    <s v="SÉNÉGAL"/>
    <s v="SÉNÉGAL"/>
    <s v="NULL"/>
    <n v="0"/>
    <s v="NULL"/>
    <s v="Greffe"/>
    <s v="Thiès"/>
  </r>
  <r>
    <x v="7"/>
    <x v="296"/>
    <x v="296"/>
    <x v="512"/>
    <x v="291"/>
    <x v="1"/>
    <x v="1"/>
    <x v="3"/>
    <s v="SÉNÉGAL"/>
    <s v="SÉNÉGAL"/>
    <s v="SENEGAL"/>
    <n v="0"/>
    <s v="SALIOU MBAYE"/>
    <s v="Greffe"/>
    <s v="Thiès"/>
  </r>
  <r>
    <x v="7"/>
    <x v="296"/>
    <x v="296"/>
    <x v="513"/>
    <x v="292"/>
    <x v="1"/>
    <x v="1"/>
    <x v="3"/>
    <s v="SÉNÉGAL"/>
    <s v="SÉNÉGAL"/>
    <s v="NULL"/>
    <n v="0"/>
    <s v="NULL"/>
    <s v="Greffe"/>
    <s v="Thiès"/>
  </r>
  <r>
    <x v="7"/>
    <x v="297"/>
    <x v="297"/>
    <x v="514"/>
    <x v="293"/>
    <x v="1"/>
    <x v="1"/>
    <x v="3"/>
    <s v="SÉNÉGAL"/>
    <s v="SÉNÉGAL"/>
    <s v="NULL"/>
    <n v="0"/>
    <s v="NULL"/>
    <s v="Greffe"/>
    <s v="Thiès"/>
  </r>
  <r>
    <x v="7"/>
    <x v="297"/>
    <x v="297"/>
    <x v="515"/>
    <x v="294"/>
    <x v="1"/>
    <x v="5"/>
    <x v="1"/>
    <s v="SÉNÉGAL"/>
    <s v="SÉNÉGAL"/>
    <s v="NULL"/>
    <n v="0"/>
    <s v="NULL"/>
    <s v="Greffe"/>
    <s v="Thiès"/>
  </r>
  <r>
    <x v="7"/>
    <x v="298"/>
    <x v="298"/>
    <x v="516"/>
    <x v="295"/>
    <x v="1"/>
    <x v="1"/>
    <x v="3"/>
    <s v="SÉNÉGAL"/>
    <s v="SÉNÉGAL"/>
    <s v="NULL"/>
    <n v="0"/>
    <s v="NULL"/>
    <s v="Greffe"/>
    <s v="Thiès"/>
  </r>
  <r>
    <x v="7"/>
    <x v="299"/>
    <x v="299"/>
    <x v="517"/>
    <x v="291"/>
    <x v="1"/>
    <x v="1"/>
    <x v="3"/>
    <s v="SÉNÉGAL"/>
    <s v="SÉNÉGAL"/>
    <s v="SÉNÉGAL"/>
    <n v="0"/>
    <s v="SALIOU MBAYE"/>
    <s v="Greffe"/>
    <s v="Thiès"/>
  </r>
  <r>
    <x v="7"/>
    <x v="300"/>
    <x v="300"/>
    <x v="517"/>
    <x v="296"/>
    <x v="1"/>
    <x v="13"/>
    <x v="7"/>
    <s v="SÉNÉGAL"/>
    <s v="SÉNÉGAL"/>
    <s v="NULL"/>
    <n v="0"/>
    <s v="NULL"/>
    <s v="Greffe"/>
    <s v="Thiès"/>
  </r>
  <r>
    <x v="7"/>
    <x v="301"/>
    <x v="301"/>
    <x v="518"/>
    <x v="296"/>
    <x v="1"/>
    <x v="0"/>
    <x v="8"/>
    <s v="SÉNÉGAL"/>
    <s v="SÉNÉGAL"/>
    <s v="NULL"/>
    <n v="0"/>
    <s v="NULL"/>
    <s v="Greffe"/>
    <s v="Thiès"/>
  </r>
  <r>
    <x v="7"/>
    <x v="302"/>
    <x v="302"/>
    <x v="519"/>
    <x v="297"/>
    <x v="1"/>
    <x v="1"/>
    <x v="3"/>
    <s v="SÉNÉGAL"/>
    <s v="SÉNÉGAL"/>
    <s v="NULL"/>
    <n v="0"/>
    <s v="NULL"/>
    <s v="Greffe"/>
    <s v="Thiès"/>
  </r>
  <r>
    <x v="7"/>
    <x v="302"/>
    <x v="302"/>
    <x v="520"/>
    <x v="298"/>
    <x v="1"/>
    <x v="1"/>
    <x v="3"/>
    <s v="SÉNÉGAL"/>
    <s v="SÉNÉGAL"/>
    <s v="SENEGAL"/>
    <n v="0"/>
    <s v="AUGUSTIN TINE"/>
    <s v="Greffe"/>
    <s v="Thiès"/>
  </r>
  <r>
    <x v="7"/>
    <x v="303"/>
    <x v="303"/>
    <x v="521"/>
    <x v="298"/>
    <x v="1"/>
    <x v="1"/>
    <x v="3"/>
    <s v="SÉNÉGAL"/>
    <s v="SÉNÉGAL"/>
    <s v="SÉNÉGAL"/>
    <n v="0"/>
    <s v="AUGUSTIN TINE"/>
    <s v="Greffe"/>
    <s v="Thiès"/>
  </r>
  <r>
    <x v="7"/>
    <x v="303"/>
    <x v="303"/>
    <x v="522"/>
    <x v="299"/>
    <x v="1"/>
    <x v="51"/>
    <x v="44"/>
    <s v="SÉNÉGAL"/>
    <s v="SÉNÉGAL"/>
    <s v="NULL"/>
    <n v="0"/>
    <s v="NULL"/>
    <s v="Greffe"/>
    <s v="Thiès"/>
  </r>
  <r>
    <x v="7"/>
    <x v="303"/>
    <x v="303"/>
    <x v="523"/>
    <x v="299"/>
    <x v="1"/>
    <x v="10"/>
    <x v="9"/>
    <s v="SÉNÉGAL"/>
    <s v="SÉNÉGAL"/>
    <s v="NULL"/>
    <n v="0"/>
    <s v="NULL"/>
    <s v="Greffe"/>
    <s v="Thiès"/>
  </r>
  <r>
    <x v="7"/>
    <x v="303"/>
    <x v="303"/>
    <x v="524"/>
    <x v="299"/>
    <x v="1"/>
    <x v="12"/>
    <x v="18"/>
    <s v="ITALIE"/>
    <s v="ITALIE"/>
    <s v="NULL"/>
    <n v="0"/>
    <s v="NULL"/>
    <s v="Greffe"/>
    <s v="Thiès"/>
  </r>
  <r>
    <x v="7"/>
    <x v="303"/>
    <x v="303"/>
    <x v="525"/>
    <x v="300"/>
    <x v="1"/>
    <x v="15"/>
    <x v="13"/>
    <s v="SÉNÉGAL"/>
    <s v="SÉNÉGAL"/>
    <s v="NULL"/>
    <n v="0"/>
    <s v="NULL"/>
    <s v="Greffe"/>
    <s v="Thiès"/>
  </r>
  <r>
    <x v="7"/>
    <x v="304"/>
    <x v="304"/>
    <x v="526"/>
    <x v="300"/>
    <x v="1"/>
    <x v="15"/>
    <x v="13"/>
    <s v="SÉNÉGAL"/>
    <s v="SÉNÉGAL"/>
    <s v="NULL"/>
    <n v="0"/>
    <s v="NULL"/>
    <s v="Greffe"/>
    <s v="Thiès"/>
  </r>
  <r>
    <x v="7"/>
    <x v="305"/>
    <x v="305"/>
    <x v="527"/>
    <x v="301"/>
    <x v="1"/>
    <x v="3"/>
    <x v="6"/>
    <s v="SÉNÉGAL"/>
    <s v="SÉNÉGAL"/>
    <s v="NULL"/>
    <n v="0"/>
    <s v="NULL"/>
    <s v="Greffe"/>
    <s v="Thiès"/>
  </r>
  <r>
    <x v="7"/>
    <x v="305"/>
    <x v="305"/>
    <x v="528"/>
    <x v="302"/>
    <x v="1"/>
    <x v="15"/>
    <x v="13"/>
    <s v="SÉNÉGAL"/>
    <s v="SÉNÉGAL"/>
    <s v="SENEGAL"/>
    <n v="1"/>
    <s v="NULL"/>
    <s v="Greffe"/>
    <s v="Thiès"/>
  </r>
  <r>
    <x v="7"/>
    <x v="305"/>
    <x v="305"/>
    <x v="529"/>
    <x v="302"/>
    <x v="1"/>
    <x v="15"/>
    <x v="13"/>
    <s v="SÉNÉGAL"/>
    <s v="SÉNÉGAL"/>
    <s v="SÉNÉGAL"/>
    <n v="1"/>
    <s v="NULL"/>
    <s v="Greffe"/>
    <s v="Thiès"/>
  </r>
  <r>
    <x v="7"/>
    <x v="306"/>
    <x v="306"/>
    <x v="530"/>
    <x v="302"/>
    <x v="1"/>
    <x v="15"/>
    <x v="13"/>
    <s v="SÉNÉGAL"/>
    <s v="SÉNÉGAL"/>
    <s v="SENEGAL"/>
    <n v="0"/>
    <s v="OMAR BADIANE"/>
    <s v="Greffe"/>
    <s v="Thiès"/>
  </r>
  <r>
    <x v="7"/>
    <x v="307"/>
    <x v="307"/>
    <x v="531"/>
    <x v="302"/>
    <x v="1"/>
    <x v="15"/>
    <x v="13"/>
    <s v="SÉNÉGAL"/>
    <s v="SÉNÉGAL"/>
    <s v="SÉNÉGAL"/>
    <n v="0"/>
    <s v="OMAR BADIANE"/>
    <s v="Greffe"/>
    <s v="Thiès"/>
  </r>
  <r>
    <x v="7"/>
    <x v="308"/>
    <x v="308"/>
    <x v="532"/>
    <x v="303"/>
    <x v="1"/>
    <x v="1"/>
    <x v="3"/>
    <s v="SÉNÉGAL"/>
    <s v="SÉNÉGAL"/>
    <s v="NULL"/>
    <n v="0"/>
    <s v="NULL"/>
    <s v="Greffe"/>
    <s v="Thiès"/>
  </r>
  <r>
    <x v="7"/>
    <x v="309"/>
    <x v="309"/>
    <x v="533"/>
    <x v="304"/>
    <x v="1"/>
    <x v="1"/>
    <x v="3"/>
    <s v="SÉNÉGAL"/>
    <s v="SÉNÉGAL"/>
    <s v="NULL"/>
    <n v="0"/>
    <s v="NULL"/>
    <s v="Greffe"/>
    <s v="Thiès"/>
  </r>
  <r>
    <x v="7"/>
    <x v="310"/>
    <x v="310"/>
    <x v="534"/>
    <x v="305"/>
    <x v="1"/>
    <x v="1"/>
    <x v="3"/>
    <s v="SÉNÉGAL"/>
    <s v="SÉNÉGAL"/>
    <s v="NULL"/>
    <n v="0"/>
    <s v="NULL"/>
    <s v="Greffe"/>
    <s v="Thiès"/>
  </r>
  <r>
    <x v="7"/>
    <x v="311"/>
    <x v="311"/>
    <x v="535"/>
    <x v="306"/>
    <x v="1"/>
    <x v="1"/>
    <x v="3"/>
    <s v="SÉNÉGAL"/>
    <s v="SÉNÉGAL"/>
    <s v="NULL"/>
    <n v="0"/>
    <s v="NULL"/>
    <s v="Greffe"/>
    <s v="Thiès"/>
  </r>
  <r>
    <x v="7"/>
    <x v="311"/>
    <x v="311"/>
    <x v="536"/>
    <x v="307"/>
    <x v="2"/>
    <x v="1"/>
    <x v="3"/>
    <s v="SÉNÉGAL"/>
    <s v="SÉNÉGAL"/>
    <s v="NULL"/>
    <n v="0"/>
    <s v="NULL"/>
    <s v="Greffe"/>
    <s v="Thiès"/>
  </r>
  <r>
    <x v="7"/>
    <x v="311"/>
    <x v="311"/>
    <x v="537"/>
    <x v="308"/>
    <x v="2"/>
    <x v="15"/>
    <x v="13"/>
    <s v="SÉNÉGAL"/>
    <s v="SÉNÉGAL"/>
    <s v="NULL"/>
    <n v="0"/>
    <s v="NULL"/>
    <s v="Greffe"/>
    <s v="Thiès"/>
  </r>
  <r>
    <x v="7"/>
    <x v="311"/>
    <x v="311"/>
    <x v="537"/>
    <x v="308"/>
    <x v="2"/>
    <x v="4"/>
    <x v="24"/>
    <s v="SÉNÉGAL"/>
    <s v="SÉNÉGAL"/>
    <s v="NULL"/>
    <n v="0"/>
    <s v="NULL"/>
    <s v="Greffe"/>
    <s v="Thiès"/>
  </r>
  <r>
    <x v="7"/>
    <x v="311"/>
    <x v="311"/>
    <x v="538"/>
    <x v="308"/>
    <x v="2"/>
    <x v="15"/>
    <x v="13"/>
    <s v="SÉNÉGAL"/>
    <s v="SÉNÉGAL"/>
    <s v="NULL"/>
    <n v="0"/>
    <s v="NULL"/>
    <s v="Greffe"/>
    <s v="Thiès"/>
  </r>
  <r>
    <x v="7"/>
    <x v="311"/>
    <x v="311"/>
    <x v="539"/>
    <x v="309"/>
    <x v="3"/>
    <x v="1"/>
    <x v="3"/>
    <s v="SÉNÉGAL"/>
    <s v="SÉNÉGAL"/>
    <s v="NULL"/>
    <n v="0"/>
    <s v="NULL"/>
    <s v="Greffe"/>
    <s v="Thiès"/>
  </r>
  <r>
    <x v="7"/>
    <x v="312"/>
    <x v="312"/>
    <x v="540"/>
    <x v="310"/>
    <x v="3"/>
    <x v="1"/>
    <x v="3"/>
    <s v="SÉNÉGAL"/>
    <s v="SÉNÉGAL"/>
    <s v="NULL"/>
    <n v="0"/>
    <s v="NULL"/>
    <s v="Greffe"/>
    <s v="Thiès"/>
  </r>
  <r>
    <x v="7"/>
    <x v="312"/>
    <x v="312"/>
    <x v="541"/>
    <x v="311"/>
    <x v="3"/>
    <x v="52"/>
    <x v="45"/>
    <s v="SÉNÉGAL"/>
    <s v="SÉNÉGAL"/>
    <s v="NULL"/>
    <n v="0"/>
    <s v="NULL"/>
    <s v="Greffe"/>
    <s v="Thiès"/>
  </r>
  <r>
    <x v="7"/>
    <x v="312"/>
    <x v="312"/>
    <x v="542"/>
    <x v="311"/>
    <x v="3"/>
    <x v="15"/>
    <x v="13"/>
    <s v="CANADA"/>
    <s v="CANADA"/>
    <s v="NULL"/>
    <n v="0"/>
    <s v="NULL"/>
    <s v="Greffe"/>
    <s v="Thiès"/>
  </r>
  <r>
    <x v="7"/>
    <x v="312"/>
    <x v="312"/>
    <x v="542"/>
    <x v="311"/>
    <x v="3"/>
    <x v="17"/>
    <x v="14"/>
    <s v="SÉNÉGAL"/>
    <s v="SÉNÉGAL"/>
    <s v="NULL"/>
    <n v="0"/>
    <s v="NULL"/>
    <s v="Greffe"/>
    <s v="Thiès"/>
  </r>
  <r>
    <x v="7"/>
    <x v="313"/>
    <x v="313"/>
    <x v="542"/>
    <x v="311"/>
    <x v="3"/>
    <x v="15"/>
    <x v="13"/>
    <s v="CANADA"/>
    <s v="CANADA"/>
    <s v="NULL"/>
    <n v="0"/>
    <s v="NULL"/>
    <s v="Greffe"/>
    <s v="Thiès"/>
  </r>
  <r>
    <x v="7"/>
    <x v="313"/>
    <x v="313"/>
    <x v="542"/>
    <x v="311"/>
    <x v="3"/>
    <x v="15"/>
    <x v="13"/>
    <s v="CANADA"/>
    <s v="CANADA"/>
    <s v="NULL"/>
    <n v="0"/>
    <s v="NULL"/>
    <s v="Greffe"/>
    <s v="Thiès"/>
  </r>
  <r>
    <x v="7"/>
    <x v="313"/>
    <x v="313"/>
    <x v="543"/>
    <x v="311"/>
    <x v="3"/>
    <x v="52"/>
    <x v="45"/>
    <s v="SÉNÉGAL"/>
    <s v="SÉNÉGAL"/>
    <s v="NULL"/>
    <n v="0"/>
    <s v="NULL"/>
    <s v="Greffe"/>
    <s v="Thiès"/>
  </r>
  <r>
    <x v="7"/>
    <x v="314"/>
    <x v="314"/>
    <x v="543"/>
    <x v="312"/>
    <x v="3"/>
    <x v="1"/>
    <x v="3"/>
    <s v="SÉNÉGAL"/>
    <s v="SÉNÉGAL"/>
    <s v="NULL"/>
    <n v="0"/>
    <s v="NULL"/>
    <s v="Greffe"/>
    <s v="Thiès"/>
  </r>
  <r>
    <x v="7"/>
    <x v="314"/>
    <x v="314"/>
    <x v="544"/>
    <x v="313"/>
    <x v="3"/>
    <x v="1"/>
    <x v="3"/>
    <s v="SÉNÉGAL"/>
    <s v="SÉNÉGAL"/>
    <s v="NULL"/>
    <n v="0"/>
    <s v="NULL"/>
    <s v="Greffe"/>
    <s v="Thiès"/>
  </r>
  <r>
    <x v="7"/>
    <x v="314"/>
    <x v="314"/>
    <x v="545"/>
    <x v="314"/>
    <x v="4"/>
    <x v="5"/>
    <x v="1"/>
    <s v="SÉNÉGAL"/>
    <m/>
    <n v="0"/>
    <s v="NULL"/>
    <s v="NULL"/>
    <s v="Greffe"/>
    <s v="Thiès"/>
  </r>
  <r>
    <x v="7"/>
    <x v="315"/>
    <x v="315"/>
    <x v="545"/>
    <x v="314"/>
    <x v="4"/>
    <x v="5"/>
    <x v="1"/>
    <s v="SÉNÉGAL"/>
    <m/>
    <n v="0"/>
    <s v="NULL"/>
    <s v="NULL"/>
    <s v="Greffe"/>
    <s v="Thiès"/>
  </r>
  <r>
    <x v="7"/>
    <x v="315"/>
    <x v="315"/>
    <x v="545"/>
    <x v="315"/>
    <x v="4"/>
    <x v="5"/>
    <x v="1"/>
    <s v="SÉNÉGAL"/>
    <m/>
    <n v="0"/>
    <s v="NULL"/>
    <s v="NULL"/>
    <s v="Greffe"/>
    <s v="Thiès"/>
  </r>
  <r>
    <x v="7"/>
    <x v="315"/>
    <x v="315"/>
    <x v="545"/>
    <x v="315"/>
    <x v="4"/>
    <x v="5"/>
    <x v="1"/>
    <s v="SÉNÉGAL"/>
    <m/>
    <n v="0"/>
    <s v="NULL"/>
    <s v="NULL"/>
    <s v="Greffe"/>
    <s v="Thiès"/>
  </r>
  <r>
    <x v="7"/>
    <x v="315"/>
    <x v="315"/>
    <x v="545"/>
    <x v="316"/>
    <x v="4"/>
    <x v="21"/>
    <x v="20"/>
    <s v="SÉNÉGAL"/>
    <m/>
    <n v="0"/>
    <s v="NULL"/>
    <s v="NULL"/>
    <s v="Greffe"/>
    <s v="Thiès"/>
  </r>
  <r>
    <x v="7"/>
    <x v="315"/>
    <x v="315"/>
    <x v="545"/>
    <x v="316"/>
    <x v="4"/>
    <x v="8"/>
    <x v="5"/>
    <s v="SÉNÉGAL"/>
    <m/>
    <n v="0"/>
    <s v="NULL"/>
    <s v="NULL"/>
    <s v="Greffe"/>
    <s v="Thiès"/>
  </r>
  <r>
    <x v="7"/>
    <x v="315"/>
    <x v="315"/>
    <x v="546"/>
    <x v="317"/>
    <x v="4"/>
    <x v="1"/>
    <x v="3"/>
    <s v="SÉNÉGAL"/>
    <m/>
    <n v="0"/>
    <s v="NULL"/>
    <s v="NULL"/>
    <s v="Greffe"/>
    <s v="Thiès"/>
  </r>
  <r>
    <x v="8"/>
    <x v="316"/>
    <x v="316"/>
    <x v="547"/>
    <x v="318"/>
    <x v="3"/>
    <x v="28"/>
    <x v="26"/>
    <s v="SÉNÉGAL"/>
    <s v="SÉNÉGAL"/>
    <s v="NULL"/>
    <s v="NULL"/>
    <s v="NULL"/>
    <s v="Greffe"/>
    <s v="Ziguinchor"/>
  </r>
  <r>
    <x v="8"/>
    <x v="316"/>
    <x v="316"/>
    <x v="548"/>
    <x v="318"/>
    <x v="3"/>
    <x v="3"/>
    <x v="6"/>
    <s v="SÉNÉGAL"/>
    <s v="SÉNÉGAL"/>
    <s v="NULL"/>
    <s v="NULL"/>
    <s v="NULL"/>
    <s v="Greffe"/>
    <s v="Ziguinchor"/>
  </r>
  <r>
    <x v="8"/>
    <x v="316"/>
    <x v="316"/>
    <x v="549"/>
    <x v="318"/>
    <x v="3"/>
    <x v="28"/>
    <x v="26"/>
    <s v="SÉNÉGAL"/>
    <s v="SÉNÉGAL"/>
    <s v="NULL"/>
    <s v="NULL"/>
    <s v="NULL"/>
    <s v="Greffe"/>
    <s v="Ziguinch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F6423-E23D-4562-9D32-E1498C3E0473}" name="Tableau croisé dynamique2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741" firstHeaderRow="1" firstDataRow="1" firstDataCol="1"/>
  <pivotFields count="15">
    <pivotField showAll="0"/>
    <pivotField showAll="0">
      <items count="318">
        <item x="5"/>
        <item x="55"/>
        <item x="82"/>
        <item x="96"/>
        <item x="117"/>
        <item x="151"/>
        <item x="182"/>
        <item x="216"/>
        <item x="231"/>
        <item x="242"/>
        <item x="264"/>
        <item x="279"/>
        <item x="7"/>
        <item x="28"/>
        <item x="51"/>
        <item x="79"/>
        <item x="125"/>
        <item x="136"/>
        <item x="185"/>
        <item x="222"/>
        <item x="232"/>
        <item x="251"/>
        <item x="0"/>
        <item x="1"/>
        <item x="2"/>
        <item x="3"/>
        <item x="4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1"/>
        <item x="102"/>
        <item x="10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1"/>
        <item x="123"/>
        <item x="124"/>
        <item x="120"/>
        <item x="122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axis="axisRow" dataField="1" showAll="0">
      <items count="3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axis="axisRow" showAll="0" sortType="descending">
      <items count="551">
        <item x="8"/>
        <item x="97"/>
        <item x="98"/>
        <item x="99"/>
        <item x="100"/>
        <item x="101"/>
        <item x="102"/>
        <item x="151"/>
        <item x="167"/>
        <item x="168"/>
        <item x="201"/>
        <item x="251"/>
        <item x="252"/>
        <item x="253"/>
        <item x="299"/>
        <item x="358"/>
        <item x="359"/>
        <item x="390"/>
        <item x="391"/>
        <item x="419"/>
        <item x="457"/>
        <item x="458"/>
        <item x="459"/>
        <item x="460"/>
        <item x="483"/>
        <item x="10"/>
        <item x="36"/>
        <item x="90"/>
        <item x="91"/>
        <item x="147"/>
        <item x="208"/>
        <item x="228"/>
        <item x="229"/>
        <item x="230"/>
        <item x="302"/>
        <item x="370"/>
        <item x="392"/>
        <item x="393"/>
        <item x="436"/>
        <item x="0"/>
        <item x="1"/>
        <item x="2"/>
        <item x="3"/>
        <item x="4"/>
        <item x="5"/>
        <item x="6"/>
        <item x="7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2"/>
        <item x="93"/>
        <item x="94"/>
        <item x="95"/>
        <item x="96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9"/>
        <item x="170"/>
        <item x="171"/>
        <item x="172"/>
        <item x="174"/>
        <item x="175"/>
        <item x="176"/>
        <item x="173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2"/>
        <item x="204"/>
        <item x="205"/>
        <item x="206"/>
        <item x="207"/>
        <item x="20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60"/>
        <item x="361"/>
        <item x="362"/>
        <item x="363"/>
        <item x="364"/>
        <item x="365"/>
        <item x="366"/>
        <item x="367"/>
        <item x="368"/>
        <item x="369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20">
        <item x="5"/>
        <item x="65"/>
        <item x="264"/>
        <item x="26"/>
        <item x="108"/>
        <item x="6"/>
        <item x="238"/>
        <item x="290"/>
        <item x="239"/>
        <item x="107"/>
        <item x="287"/>
        <item x="240"/>
        <item x="67"/>
        <item x="286"/>
        <item x="125"/>
        <item x="142"/>
        <item x="0"/>
        <item x="1"/>
        <item x="7"/>
        <item x="64"/>
        <item x="288"/>
        <item x="248"/>
        <item x="63"/>
        <item x="241"/>
        <item x="289"/>
        <item x="60"/>
        <item x="4"/>
        <item x="271"/>
        <item x="95"/>
        <item x="3"/>
        <item x="265"/>
        <item x="2"/>
        <item x="91"/>
        <item x="156"/>
        <item x="143"/>
        <item x="66"/>
        <item x="48"/>
        <item x="249"/>
        <item x="16"/>
        <item x="31"/>
        <item x="73"/>
        <item x="20"/>
        <item x="69"/>
        <item x="76"/>
        <item x="27"/>
        <item x="43"/>
        <item x="37"/>
        <item x="57"/>
        <item x="74"/>
        <item x="8"/>
        <item x="253"/>
        <item x="23"/>
        <item x="35"/>
        <item x="28"/>
        <item x="298"/>
        <item x="50"/>
        <item x="71"/>
        <item x="62"/>
        <item x="75"/>
        <item x="24"/>
        <item x="306"/>
        <item x="55"/>
        <item x="32"/>
        <item x="81"/>
        <item x="29"/>
        <item x="9"/>
        <item x="41"/>
        <item x="68"/>
        <item x="17"/>
        <item x="297"/>
        <item x="34"/>
        <item x="36"/>
        <item x="293"/>
        <item x="54"/>
        <item x="61"/>
        <item x="305"/>
        <item x="301"/>
        <item x="300"/>
        <item x="22"/>
        <item x="49"/>
        <item x="82"/>
        <item x="84"/>
        <item x="250"/>
        <item x="83"/>
        <item x="72"/>
        <item x="251"/>
        <item x="12"/>
        <item x="304"/>
        <item x="302"/>
        <item x="19"/>
        <item x="299"/>
        <item x="292"/>
        <item x="46"/>
        <item x="25"/>
        <item x="47"/>
        <item x="21"/>
        <item x="51"/>
        <item x="33"/>
        <item x="38"/>
        <item x="52"/>
        <item x="30"/>
        <item x="294"/>
        <item x="303"/>
        <item x="296"/>
        <item x="79"/>
        <item x="13"/>
        <item x="14"/>
        <item x="59"/>
        <item x="242"/>
        <item x="18"/>
        <item x="42"/>
        <item x="44"/>
        <item x="291"/>
        <item x="70"/>
        <item x="77"/>
        <item x="295"/>
        <item x="10"/>
        <item x="78"/>
        <item x="39"/>
        <item x="15"/>
        <item x="11"/>
        <item x="80"/>
        <item x="53"/>
        <item x="40"/>
        <item x="56"/>
        <item x="58"/>
        <item x="45"/>
        <item x="246"/>
        <item x="105"/>
        <item x="155"/>
        <item x="145"/>
        <item x="124"/>
        <item x="131"/>
        <item x="146"/>
        <item x="266"/>
        <item x="307"/>
        <item x="138"/>
        <item x="101"/>
        <item x="109"/>
        <item x="90"/>
        <item x="165"/>
        <item x="152"/>
        <item x="122"/>
        <item x="93"/>
        <item x="257"/>
        <item x="85"/>
        <item x="133"/>
        <item x="87"/>
        <item x="150"/>
        <item x="119"/>
        <item x="97"/>
        <item x="245"/>
        <item x="154"/>
        <item x="128"/>
        <item x="258"/>
        <item x="135"/>
        <item x="166"/>
        <item x="136"/>
        <item x="254"/>
        <item x="244"/>
        <item x="161"/>
        <item x="148"/>
        <item x="260"/>
        <item x="162"/>
        <item x="132"/>
        <item x="243"/>
        <item x="144"/>
        <item x="308"/>
        <item x="120"/>
        <item x="147"/>
        <item x="167"/>
        <item x="89"/>
        <item x="99"/>
        <item x="255"/>
        <item x="110"/>
        <item x="123"/>
        <item x="139"/>
        <item x="111"/>
        <item x="247"/>
        <item x="126"/>
        <item x="92"/>
        <item x="151"/>
        <item x="129"/>
        <item x="163"/>
        <item x="94"/>
        <item x="102"/>
        <item x="88"/>
        <item x="137"/>
        <item x="262"/>
        <item x="256"/>
        <item x="263"/>
        <item x="259"/>
        <item x="103"/>
        <item x="116"/>
        <item x="115"/>
        <item x="113"/>
        <item x="127"/>
        <item x="100"/>
        <item x="106"/>
        <item x="279"/>
        <item x="153"/>
        <item x="168"/>
        <item x="141"/>
        <item x="118"/>
        <item x="130"/>
        <item x="164"/>
        <item x="261"/>
        <item x="149"/>
        <item x="158"/>
        <item x="96"/>
        <item x="284"/>
        <item x="121"/>
        <item x="112"/>
        <item x="98"/>
        <item x="252"/>
        <item x="114"/>
        <item x="104"/>
        <item x="159"/>
        <item x="134"/>
        <item x="117"/>
        <item x="160"/>
        <item x="157"/>
        <item x="86"/>
        <item x="140"/>
        <item x="310"/>
        <item x="267"/>
        <item x="205"/>
        <item x="170"/>
        <item x="177"/>
        <item x="179"/>
        <item x="203"/>
        <item x="201"/>
        <item x="206"/>
        <item x="197"/>
        <item x="211"/>
        <item x="207"/>
        <item x="189"/>
        <item x="176"/>
        <item x="171"/>
        <item x="208"/>
        <item x="186"/>
        <item x="192"/>
        <item x="169"/>
        <item x="209"/>
        <item x="185"/>
        <item x="200"/>
        <item x="213"/>
        <item x="187"/>
        <item x="280"/>
        <item x="198"/>
        <item x="191"/>
        <item x="174"/>
        <item x="312"/>
        <item x="188"/>
        <item x="183"/>
        <item x="313"/>
        <item x="212"/>
        <item x="190"/>
        <item x="193"/>
        <item x="195"/>
        <item x="184"/>
        <item x="173"/>
        <item x="204"/>
        <item x="194"/>
        <item x="196"/>
        <item x="178"/>
        <item x="199"/>
        <item x="311"/>
        <item x="182"/>
        <item x="180"/>
        <item x="309"/>
        <item x="318"/>
        <item x="202"/>
        <item x="175"/>
        <item x="172"/>
        <item x="285"/>
        <item x="210"/>
        <item x="181"/>
        <item x="237"/>
        <item x="236"/>
        <item x="278"/>
        <item x="235"/>
        <item x="234"/>
        <item x="233"/>
        <item x="232"/>
        <item x="231"/>
        <item x="230"/>
        <item x="283"/>
        <item x="229"/>
        <item x="228"/>
        <item x="277"/>
        <item x="227"/>
        <item x="226"/>
        <item x="276"/>
        <item x="225"/>
        <item x="275"/>
        <item x="274"/>
        <item x="273"/>
        <item x="317"/>
        <item x="316"/>
        <item x="224"/>
        <item x="223"/>
        <item x="222"/>
        <item x="221"/>
        <item x="220"/>
        <item x="272"/>
        <item x="219"/>
        <item x="282"/>
        <item x="218"/>
        <item x="217"/>
        <item x="315"/>
        <item x="281"/>
        <item x="270"/>
        <item x="269"/>
        <item x="268"/>
        <item x="216"/>
        <item x="314"/>
        <item x="215"/>
        <item x="21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54">
        <item x="48"/>
        <item x="31"/>
        <item x="40"/>
        <item x="10"/>
        <item x="18"/>
        <item x="17"/>
        <item x="11"/>
        <item x="25"/>
        <item x="34"/>
        <item x="33"/>
        <item x="15"/>
        <item x="46"/>
        <item x="0"/>
        <item x="38"/>
        <item x="12"/>
        <item x="9"/>
        <item x="2"/>
        <item x="39"/>
        <item x="49"/>
        <item x="3"/>
        <item x="47"/>
        <item x="16"/>
        <item x="27"/>
        <item x="28"/>
        <item x="8"/>
        <item x="24"/>
        <item x="20"/>
        <item x="44"/>
        <item x="5"/>
        <item x="45"/>
        <item x="32"/>
        <item x="23"/>
        <item x="21"/>
        <item x="14"/>
        <item x="22"/>
        <item x="4"/>
        <item x="51"/>
        <item x="26"/>
        <item x="19"/>
        <item x="13"/>
        <item x="30"/>
        <item x="35"/>
        <item x="1"/>
        <item x="36"/>
        <item x="37"/>
        <item x="52"/>
        <item x="42"/>
        <item x="41"/>
        <item x="43"/>
        <item x="50"/>
        <item x="29"/>
        <item x="6"/>
        <item x="7"/>
        <item t="default"/>
      </items>
    </pivotField>
    <pivotField showAll="0">
      <items count="47">
        <item x="4"/>
        <item x="37"/>
        <item x="9"/>
        <item x="15"/>
        <item x="14"/>
        <item x="13"/>
        <item x="8"/>
        <item x="35"/>
        <item x="18"/>
        <item x="19"/>
        <item x="12"/>
        <item x="36"/>
        <item x="6"/>
        <item x="11"/>
        <item x="25"/>
        <item x="26"/>
        <item x="5"/>
        <item x="23"/>
        <item x="17"/>
        <item x="41"/>
        <item x="1"/>
        <item x="42"/>
        <item x="29"/>
        <item x="22"/>
        <item x="20"/>
        <item x="10"/>
        <item x="21"/>
        <item x="24"/>
        <item x="44"/>
        <item x="30"/>
        <item x="16"/>
        <item x="7"/>
        <item x="32"/>
        <item x="31"/>
        <item x="3"/>
        <item x="33"/>
        <item x="34"/>
        <item x="45"/>
        <item x="39"/>
        <item x="38"/>
        <item x="40"/>
        <item x="43"/>
        <item x="27"/>
        <item x="28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5"/>
  </rowFields>
  <rowItems count="1738">
    <i>
      <x v="545"/>
    </i>
    <i r="1">
      <x v="314"/>
    </i>
    <i r="2">
      <x v="4"/>
    </i>
    <i r="1">
      <x v="315"/>
    </i>
    <i r="2">
      <x v="4"/>
    </i>
    <i>
      <x v="60"/>
    </i>
    <i r="1">
      <x v="16"/>
    </i>
    <i r="2">
      <x v="1"/>
    </i>
    <i r="1">
      <x v="17"/>
    </i>
    <i r="2">
      <x v="1"/>
    </i>
    <i r="1">
      <x v="18"/>
    </i>
    <i r="2">
      <x v="1"/>
    </i>
    <i>
      <x v="542"/>
    </i>
    <i r="1">
      <x v="312"/>
    </i>
    <i r="2">
      <x v="3"/>
    </i>
    <i r="1">
      <x v="313"/>
    </i>
    <i r="2">
      <x v="3"/>
    </i>
    <i>
      <x v="279"/>
    </i>
    <i r="1">
      <x v="159"/>
    </i>
    <i r="2">
      <x v="2"/>
    </i>
    <i r="1">
      <x v="160"/>
    </i>
    <i r="2">
      <x v="2"/>
    </i>
    <i r="1">
      <x v="161"/>
    </i>
    <i r="2">
      <x v="2"/>
    </i>
    <i>
      <x v="230"/>
    </i>
    <i r="1">
      <x v="120"/>
    </i>
    <i r="2">
      <x v="2"/>
    </i>
    <i r="1">
      <x v="122"/>
    </i>
    <i r="2">
      <x v="2"/>
    </i>
    <i r="1">
      <x v="124"/>
    </i>
    <i r="2">
      <x v="2"/>
    </i>
    <i>
      <x v="179"/>
    </i>
    <i r="1">
      <x v="83"/>
    </i>
    <i r="2">
      <x v="2"/>
    </i>
    <i r="1">
      <x v="84"/>
    </i>
    <i r="2">
      <x v="2"/>
    </i>
    <i>
      <x v="84"/>
    </i>
    <i r="1">
      <x v="36"/>
    </i>
    <i r="2">
      <x v="1"/>
    </i>
    <i r="1">
      <x v="37"/>
    </i>
    <i r="2">
      <x v="1"/>
    </i>
    <i r="1">
      <x v="38"/>
    </i>
    <i r="2">
      <x v="1"/>
    </i>
    <i r="1">
      <x v="39"/>
    </i>
    <i r="2">
      <x v="1"/>
    </i>
    <i>
      <x v="507"/>
    </i>
    <i r="1">
      <x v="290"/>
    </i>
    <i r="2">
      <x v="3"/>
    </i>
    <i r="1">
      <x v="291"/>
    </i>
    <i r="2">
      <x/>
    </i>
    <i r="1">
      <x v="292"/>
    </i>
    <i r="2">
      <x/>
    </i>
    <i>
      <x v="384"/>
    </i>
    <i r="1">
      <x v="223"/>
    </i>
    <i r="2">
      <x v="4"/>
    </i>
    <i r="1">
      <x v="224"/>
    </i>
    <i r="2">
      <x v="4"/>
    </i>
    <i r="1">
      <x v="225"/>
    </i>
    <i r="2">
      <x v="4"/>
    </i>
    <i>
      <x v="47"/>
    </i>
    <i r="1">
      <x v="6"/>
    </i>
    <i r="2">
      <x/>
    </i>
    <i r="1">
      <x v="8"/>
    </i>
    <i r="2">
      <x/>
    </i>
    <i>
      <x v="264"/>
    </i>
    <i r="1">
      <x v="147"/>
    </i>
    <i r="2">
      <x v="2"/>
    </i>
    <i>
      <x v="88"/>
    </i>
    <i r="1">
      <x v="41"/>
    </i>
    <i r="2">
      <x v="1"/>
    </i>
    <i>
      <x v="250"/>
    </i>
    <i r="1">
      <x v="137"/>
    </i>
    <i r="2">
      <x v="2"/>
    </i>
    <i r="1">
      <x v="138"/>
    </i>
    <i r="2">
      <x v="2"/>
    </i>
    <i r="1">
      <x v="139"/>
    </i>
    <i r="2">
      <x v="2"/>
    </i>
    <i>
      <x v="142"/>
    </i>
    <i r="1">
      <x v="61"/>
    </i>
    <i r="2">
      <x v="1"/>
    </i>
    <i r="1">
      <x v="62"/>
    </i>
    <i r="2">
      <x v="1"/>
    </i>
    <i>
      <x v="491"/>
    </i>
    <i r="1">
      <x v="284"/>
    </i>
    <i r="2">
      <x v="4"/>
    </i>
    <i r="1">
      <x v="285"/>
    </i>
    <i r="2">
      <x v="4"/>
    </i>
    <i>
      <x v="432"/>
    </i>
    <i r="1">
      <x v="244"/>
    </i>
    <i r="2">
      <x v="2"/>
    </i>
    <i r="1">
      <x v="245"/>
    </i>
    <i r="2">
      <x v="2"/>
    </i>
    <i>
      <x v="517"/>
    </i>
    <i r="1">
      <x v="299"/>
    </i>
    <i r="2">
      <x v="1"/>
    </i>
    <i r="1">
      <x v="300"/>
    </i>
    <i r="2">
      <x v="1"/>
    </i>
    <i>
      <x v="326"/>
    </i>
    <i r="1">
      <x v="192"/>
    </i>
    <i r="2">
      <x v="3"/>
    </i>
    <i r="1">
      <x v="193"/>
    </i>
    <i r="2">
      <x v="3"/>
    </i>
    <i>
      <x v="463"/>
    </i>
    <i r="1">
      <x v="266"/>
    </i>
    <i r="2">
      <x v="2"/>
    </i>
    <i>
      <x v="344"/>
    </i>
    <i r="1">
      <x v="200"/>
    </i>
    <i r="2">
      <x v="3"/>
    </i>
    <i>
      <x v="309"/>
    </i>
    <i r="1">
      <x v="176"/>
    </i>
    <i r="2">
      <x v="3"/>
    </i>
    <i>
      <x v="346"/>
    </i>
    <i r="1">
      <x v="201"/>
    </i>
    <i r="2">
      <x v="3"/>
    </i>
    <i r="1">
      <x v="202"/>
    </i>
    <i r="2">
      <x v="3"/>
    </i>
    <i>
      <x v="325"/>
    </i>
    <i r="1">
      <x v="190"/>
    </i>
    <i r="2">
      <x v="3"/>
    </i>
    <i r="1">
      <x v="191"/>
    </i>
    <i r="2">
      <x v="3"/>
    </i>
    <i>
      <x v="361"/>
    </i>
    <i r="1">
      <x v="209"/>
    </i>
    <i r="2">
      <x v="3"/>
    </i>
    <i>
      <x v="447"/>
    </i>
    <i r="1">
      <x v="254"/>
    </i>
    <i r="2">
      <x v="2"/>
    </i>
    <i>
      <x v="379"/>
    </i>
    <i r="1">
      <x v="219"/>
    </i>
    <i r="2">
      <x v="4"/>
    </i>
    <i r="1">
      <x v="220"/>
    </i>
    <i r="2">
      <x v="4"/>
    </i>
    <i>
      <x v="481"/>
    </i>
    <i r="1">
      <x v="275"/>
    </i>
    <i r="2">
      <x v="4"/>
    </i>
    <i r="1">
      <x v="276"/>
    </i>
    <i r="2">
      <x v="4"/>
    </i>
    <i>
      <x v="381"/>
    </i>
    <i r="1">
      <x v="220"/>
    </i>
    <i r="2">
      <x v="4"/>
    </i>
    <i r="1">
      <x v="221"/>
    </i>
    <i r="2">
      <x v="4"/>
    </i>
    <i>
      <x v="504"/>
    </i>
    <i r="1">
      <x v="287"/>
    </i>
    <i r="2">
      <x v="4"/>
    </i>
    <i r="1">
      <x v="288"/>
    </i>
    <i r="2">
      <x v="4"/>
    </i>
    <i>
      <x v="276"/>
    </i>
    <i r="1">
      <x v="157"/>
    </i>
    <i r="2">
      <x v="2"/>
    </i>
    <i>
      <x v="510"/>
    </i>
    <i r="1">
      <x v="294"/>
    </i>
    <i r="2">
      <x/>
    </i>
    <i r="1">
      <x v="295"/>
    </i>
    <i r="2">
      <x/>
    </i>
    <i>
      <x v="543"/>
    </i>
    <i r="1">
      <x v="313"/>
    </i>
    <i r="2">
      <x v="3"/>
    </i>
    <i r="1">
      <x v="314"/>
    </i>
    <i r="2">
      <x v="3"/>
    </i>
    <i>
      <x v="537"/>
    </i>
    <i r="1">
      <x v="311"/>
    </i>
    <i r="2">
      <x v="2"/>
    </i>
    <i>
      <x v="288"/>
    </i>
    <i r="1">
      <x v="165"/>
    </i>
    <i r="2">
      <x v="2"/>
    </i>
    <i r="2">
      <x v="3"/>
    </i>
    <i>
      <x v="429"/>
    </i>
    <i r="1">
      <x v="243"/>
    </i>
    <i r="2">
      <x v="2"/>
    </i>
    <i>
      <x v="408"/>
    </i>
    <i r="1">
      <x v="235"/>
    </i>
    <i r="2">
      <x/>
    </i>
    <i r="2">
      <x v="1"/>
    </i>
    <i>
      <x v="409"/>
    </i>
    <i r="1">
      <x v="236"/>
    </i>
    <i r="2">
      <x v="1"/>
    </i>
    <i>
      <x v="192"/>
    </i>
    <i r="1">
      <x v="94"/>
    </i>
    <i r="2">
      <x v="2"/>
    </i>
    <i r="1">
      <x v="95"/>
    </i>
    <i r="2">
      <x v="2"/>
    </i>
    <i>
      <x v="114"/>
    </i>
    <i r="1">
      <x v="44"/>
    </i>
    <i r="2">
      <x v="1"/>
    </i>
    <i>
      <x v="224"/>
    </i>
    <i r="1">
      <x v="116"/>
    </i>
    <i r="2">
      <x v="2"/>
    </i>
    <i r="1">
      <x v="118"/>
    </i>
    <i r="2">
      <x v="2"/>
    </i>
    <i>
      <x v="26"/>
    </i>
    <i r="1">
      <x v="28"/>
    </i>
    <i r="2">
      <x/>
    </i>
    <i r="2">
      <x v="1"/>
    </i>
    <i>
      <x v="141"/>
    </i>
    <i r="1">
      <x v="60"/>
    </i>
    <i r="2">
      <x v="1"/>
    </i>
    <i>
      <x v="255"/>
    </i>
    <i r="1">
      <x v="142"/>
    </i>
    <i r="2">
      <x v="2"/>
    </i>
    <i>
      <x v="200"/>
    </i>
    <i r="1">
      <x v="100"/>
    </i>
    <i r="2">
      <x v="2"/>
    </i>
    <i r="1">
      <x v="103"/>
    </i>
    <i r="2">
      <x v="2"/>
    </i>
    <i>
      <x v="64"/>
    </i>
    <i r="1">
      <x v="22"/>
    </i>
    <i r="2">
      <x v="1"/>
    </i>
    <i r="1">
      <x v="23"/>
    </i>
    <i r="2">
      <x v="1"/>
    </i>
    <i>
      <x v="225"/>
    </i>
    <i r="1">
      <x v="118"/>
    </i>
    <i r="2">
      <x v="2"/>
    </i>
    <i r="1">
      <x v="119"/>
    </i>
    <i r="2">
      <x v="2"/>
    </i>
    <i>
      <x v="168"/>
    </i>
    <i r="1">
      <x v="73"/>
    </i>
    <i r="2">
      <x v="2"/>
    </i>
    <i>
      <x v="247"/>
    </i>
    <i r="1">
      <x v="133"/>
    </i>
    <i r="2">
      <x v="2"/>
    </i>
    <i r="1">
      <x v="134"/>
    </i>
    <i r="2">
      <x v="2"/>
    </i>
    <i>
      <x v="174"/>
    </i>
    <i r="1">
      <x v="78"/>
    </i>
    <i r="2">
      <x v="2"/>
    </i>
    <i r="1">
      <x v="80"/>
    </i>
    <i r="2">
      <x v="2"/>
    </i>
    <i>
      <x v="113"/>
    </i>
    <i r="1">
      <x v="42"/>
    </i>
    <i r="2">
      <x v="1"/>
    </i>
    <i r="1">
      <x v="43"/>
    </i>
    <i r="2">
      <x v="1"/>
    </i>
    <i>
      <x v="257"/>
    </i>
    <i r="1">
      <x v="143"/>
    </i>
    <i r="2">
      <x v="2"/>
    </i>
    <i>
      <x v="152"/>
    </i>
    <i r="1">
      <x v="66"/>
    </i>
    <i r="2">
      <x v="1"/>
    </i>
    <i>
      <x v="164"/>
    </i>
    <i r="1">
      <x v="72"/>
    </i>
    <i r="2">
      <x v="1"/>
    </i>
    <i r="1">
      <x v="73"/>
    </i>
    <i r="2">
      <x v="1"/>
    </i>
    <i>
      <x v="132"/>
    </i>
    <i r="1">
      <x v="56"/>
    </i>
    <i r="2">
      <x v="1"/>
    </i>
    <i r="1">
      <x v="57"/>
    </i>
    <i r="2">
      <x v="1"/>
    </i>
    <i>
      <x v="430"/>
    </i>
    <i r="1">
      <x v="243"/>
    </i>
    <i r="2">
      <x v="2"/>
    </i>
    <i>
      <x v="494"/>
    </i>
    <i r="1">
      <x v="287"/>
    </i>
    <i r="2">
      <x v="4"/>
    </i>
    <i>
      <x v="462"/>
    </i>
    <i r="1">
      <x v="265"/>
    </i>
    <i r="2">
      <x v="2"/>
    </i>
    <i>
      <x v="304"/>
    </i>
    <i r="1">
      <x v="173"/>
    </i>
    <i r="2">
      <x v="3"/>
    </i>
    <i>
      <x v="526"/>
    </i>
    <i r="1">
      <x v="304"/>
    </i>
    <i r="2">
      <x v="1"/>
    </i>
    <i>
      <x v="305"/>
    </i>
    <i r="1">
      <x v="174"/>
    </i>
    <i r="2">
      <x v="3"/>
    </i>
    <i>
      <x v="446"/>
    </i>
    <i r="1">
      <x v="254"/>
    </i>
    <i r="2">
      <x v="2"/>
    </i>
    <i>
      <x v="306"/>
    </i>
    <i r="1">
      <x v="175"/>
    </i>
    <i r="2">
      <x v="3"/>
    </i>
    <i>
      <x v="478"/>
    </i>
    <i r="1">
      <x v="274"/>
    </i>
    <i r="2">
      <x v="4"/>
    </i>
    <i>
      <x v="307"/>
    </i>
    <i r="1">
      <x v="175"/>
    </i>
    <i r="2">
      <x v="3"/>
    </i>
    <i>
      <x v="298"/>
    </i>
    <i r="1">
      <x v="169"/>
    </i>
    <i r="2">
      <x v="3"/>
    </i>
    <i>
      <x v="308"/>
    </i>
    <i r="1">
      <x v="175"/>
    </i>
    <i r="2">
      <x v="3"/>
    </i>
    <i>
      <x v="301"/>
    </i>
    <i r="1">
      <x v="172"/>
    </i>
    <i r="2">
      <x v="3"/>
    </i>
    <i>
      <x v="277"/>
    </i>
    <i r="1">
      <x v="158"/>
    </i>
    <i r="2">
      <x v="2"/>
    </i>
    <i>
      <x v="438"/>
    </i>
    <i r="1">
      <x v="249"/>
    </i>
    <i r="2">
      <x v="2"/>
    </i>
    <i>
      <x v="310"/>
    </i>
    <i r="1">
      <x v="177"/>
    </i>
    <i r="2">
      <x v="3"/>
    </i>
    <i>
      <x v="454"/>
    </i>
    <i r="1">
      <x v="260"/>
    </i>
    <i r="2">
      <x v="2"/>
    </i>
    <i>
      <x v="311"/>
    </i>
    <i r="1">
      <x v="178"/>
    </i>
    <i r="2">
      <x v="3"/>
    </i>
    <i>
      <x v="470"/>
    </i>
    <i r="1">
      <x v="271"/>
    </i>
    <i r="2">
      <x v="2"/>
    </i>
    <i>
      <x v="312"/>
    </i>
    <i r="1">
      <x v="179"/>
    </i>
    <i r="2">
      <x v="3"/>
    </i>
    <i>
      <x v="486"/>
    </i>
    <i r="1">
      <x v="280"/>
    </i>
    <i r="2">
      <x v="4"/>
    </i>
    <i>
      <x v="313"/>
    </i>
    <i r="1">
      <x v="180"/>
    </i>
    <i r="2">
      <x v="3"/>
    </i>
    <i>
      <x v="502"/>
    </i>
    <i r="1">
      <x v="287"/>
    </i>
    <i r="2">
      <x v="2"/>
    </i>
    <i>
      <x v="314"/>
    </i>
    <i r="1">
      <x v="181"/>
    </i>
    <i r="2">
      <x v="3"/>
    </i>
    <i>
      <x v="518"/>
    </i>
    <i r="1">
      <x v="301"/>
    </i>
    <i r="2">
      <x v="1"/>
    </i>
    <i>
      <x v="315"/>
    </i>
    <i r="1">
      <x v="183"/>
    </i>
    <i r="2">
      <x v="3"/>
    </i>
    <i>
      <x v="534"/>
    </i>
    <i r="1">
      <x v="310"/>
    </i>
    <i r="2">
      <x v="1"/>
    </i>
    <i>
      <x v="316"/>
    </i>
    <i r="1">
      <x v="184"/>
    </i>
    <i r="2">
      <x v="3"/>
    </i>
    <i>
      <x v="426"/>
    </i>
    <i r="1">
      <x v="243"/>
    </i>
    <i r="2">
      <x v="2"/>
    </i>
    <i>
      <x v="317"/>
    </i>
    <i r="1">
      <x v="186"/>
    </i>
    <i r="2">
      <x v="3"/>
    </i>
    <i>
      <x v="434"/>
    </i>
    <i r="1">
      <x v="247"/>
    </i>
    <i r="2">
      <x v="2"/>
    </i>
    <i>
      <x v="318"/>
    </i>
    <i r="1">
      <x v="187"/>
    </i>
    <i r="2">
      <x v="3"/>
    </i>
    <i>
      <x v="442"/>
    </i>
    <i r="1">
      <x v="252"/>
    </i>
    <i r="2">
      <x v="2"/>
    </i>
    <i>
      <x v="319"/>
    </i>
    <i r="1">
      <x v="188"/>
    </i>
    <i r="2">
      <x v="3"/>
    </i>
    <i>
      <x v="450"/>
    </i>
    <i r="1">
      <x v="257"/>
    </i>
    <i r="2">
      <x v="2"/>
    </i>
    <i>
      <x v="320"/>
    </i>
    <i r="1">
      <x v="189"/>
    </i>
    <i r="2">
      <x v="3"/>
    </i>
    <i>
      <x v="458"/>
    </i>
    <i r="1">
      <x v="263"/>
    </i>
    <i r="2">
      <x v="2"/>
    </i>
    <i>
      <x v="321"/>
    </i>
    <i r="1">
      <x v="189"/>
    </i>
    <i r="2">
      <x v="3"/>
    </i>
    <i>
      <x v="466"/>
    </i>
    <i r="1">
      <x v="269"/>
    </i>
    <i r="2">
      <x v="2"/>
    </i>
    <i>
      <x v="322"/>
    </i>
    <i r="1">
      <x v="189"/>
    </i>
    <i r="2">
      <x v="3"/>
    </i>
    <i>
      <x v="474"/>
    </i>
    <i r="1">
      <x v="272"/>
    </i>
    <i r="2">
      <x v="2"/>
    </i>
    <i>
      <x v="323"/>
    </i>
    <i r="1">
      <x v="190"/>
    </i>
    <i r="2">
      <x v="3"/>
    </i>
    <i>
      <x v="482"/>
    </i>
    <i r="1">
      <x v="277"/>
    </i>
    <i r="2">
      <x v="4"/>
    </i>
    <i>
      <x v="324"/>
    </i>
    <i r="1">
      <x v="190"/>
    </i>
    <i r="2">
      <x v="3"/>
    </i>
    <i>
      <x v="490"/>
    </i>
    <i r="1">
      <x v="283"/>
    </i>
    <i r="2">
      <x v="4"/>
    </i>
    <i>
      <x v="280"/>
    </i>
    <i r="1">
      <x v="162"/>
    </i>
    <i r="2">
      <x v="2"/>
    </i>
    <i>
      <x v="498"/>
    </i>
    <i r="1">
      <x v="287"/>
    </i>
    <i r="2">
      <x v="4"/>
    </i>
    <i>
      <x v="281"/>
    </i>
    <i r="1">
      <x v="162"/>
    </i>
    <i r="2">
      <x v="2"/>
    </i>
    <i>
      <x v="506"/>
    </i>
    <i r="1">
      <x v="290"/>
    </i>
    <i r="2">
      <x v="2"/>
    </i>
    <i>
      <x v="327"/>
    </i>
    <i r="1">
      <x v="194"/>
    </i>
    <i r="2">
      <x v="3"/>
    </i>
    <i>
      <x v="514"/>
    </i>
    <i r="1">
      <x v="297"/>
    </i>
    <i r="2">
      <x v="1"/>
    </i>
    <i>
      <x v="328"/>
    </i>
    <i r="1">
      <x v="195"/>
    </i>
    <i r="2">
      <x v="3"/>
    </i>
    <i>
      <x v="522"/>
    </i>
    <i r="1">
      <x v="303"/>
    </i>
    <i r="2">
      <x v="1"/>
    </i>
    <i>
      <x v="329"/>
    </i>
    <i r="1">
      <x v="195"/>
    </i>
    <i r="2">
      <x v="3"/>
    </i>
    <i>
      <x v="530"/>
    </i>
    <i r="1">
      <x v="306"/>
    </i>
    <i r="2">
      <x v="1"/>
    </i>
    <i>
      <x v="330"/>
    </i>
    <i r="1">
      <x v="195"/>
    </i>
    <i r="2">
      <x v="3"/>
    </i>
    <i>
      <x v="538"/>
    </i>
    <i r="1">
      <x v="311"/>
    </i>
    <i r="2">
      <x v="2"/>
    </i>
    <i>
      <x v="331"/>
    </i>
    <i r="1">
      <x v="195"/>
    </i>
    <i r="2">
      <x v="3"/>
    </i>
    <i>
      <x v="424"/>
    </i>
    <i r="1">
      <x v="241"/>
    </i>
    <i r="2">
      <x v="2"/>
    </i>
    <i>
      <x v="332"/>
    </i>
    <i r="1">
      <x v="195"/>
    </i>
    <i r="2">
      <x v="3"/>
    </i>
    <i>
      <x v="428"/>
    </i>
    <i r="1">
      <x v="243"/>
    </i>
    <i r="2">
      <x v="2"/>
    </i>
    <i>
      <x v="333"/>
    </i>
    <i r="1">
      <x v="195"/>
    </i>
    <i r="2">
      <x v="3"/>
    </i>
    <i>
      <x v="291"/>
    </i>
    <i r="1">
      <x v="166"/>
    </i>
    <i r="2">
      <x v="3"/>
    </i>
    <i>
      <x v="334"/>
    </i>
    <i r="1">
      <x v="195"/>
    </i>
    <i r="2">
      <x v="3"/>
    </i>
    <i>
      <x v="436"/>
    </i>
    <i r="1">
      <x v="248"/>
    </i>
    <i r="2">
      <x v="2"/>
    </i>
    <i>
      <x v="335"/>
    </i>
    <i r="1">
      <x v="196"/>
    </i>
    <i r="2">
      <x v="3"/>
    </i>
    <i>
      <x v="440"/>
    </i>
    <i r="1">
      <x v="250"/>
    </i>
    <i r="2">
      <x v="2"/>
    </i>
    <i>
      <x v="336"/>
    </i>
    <i r="1">
      <x v="197"/>
    </i>
    <i r="2">
      <x v="3"/>
    </i>
    <i>
      <x v="444"/>
    </i>
    <i r="1">
      <x v="253"/>
    </i>
    <i r="2">
      <x v="2"/>
    </i>
    <i>
      <x v="337"/>
    </i>
    <i r="1">
      <x v="197"/>
    </i>
    <i r="2">
      <x v="3"/>
    </i>
    <i>
      <x v="448"/>
    </i>
    <i r="1">
      <x v="255"/>
    </i>
    <i r="2">
      <x v="2"/>
    </i>
    <i>
      <x v="338"/>
    </i>
    <i r="1">
      <x v="197"/>
    </i>
    <i r="2">
      <x v="3"/>
    </i>
    <i>
      <x v="452"/>
    </i>
    <i r="1">
      <x v="259"/>
    </i>
    <i r="2">
      <x v="2"/>
    </i>
    <i>
      <x v="339"/>
    </i>
    <i r="1">
      <x v="198"/>
    </i>
    <i r="2">
      <x v="3"/>
    </i>
    <i>
      <x v="456"/>
    </i>
    <i r="1">
      <x v="261"/>
    </i>
    <i r="2">
      <x v="2"/>
    </i>
    <i>
      <x v="340"/>
    </i>
    <i r="1">
      <x v="198"/>
    </i>
    <i r="2">
      <x v="3"/>
    </i>
    <i>
      <x v="460"/>
    </i>
    <i r="1">
      <x v="263"/>
    </i>
    <i r="2">
      <x v="2"/>
    </i>
    <i>
      <x v="341"/>
    </i>
    <i r="1">
      <x v="198"/>
    </i>
    <i r="2">
      <x v="3"/>
    </i>
    <i>
      <x v="464"/>
    </i>
    <i r="1">
      <x v="267"/>
    </i>
    <i r="2">
      <x v="2"/>
    </i>
    <i>
      <x v="342"/>
    </i>
    <i r="1">
      <x v="199"/>
    </i>
    <i r="2">
      <x v="3"/>
    </i>
    <i>
      <x v="468"/>
    </i>
    <i r="1">
      <x v="270"/>
    </i>
    <i r="2">
      <x v="2"/>
    </i>
    <i>
      <x v="343"/>
    </i>
    <i r="1">
      <x v="199"/>
    </i>
    <i r="2">
      <x v="3"/>
    </i>
    <i>
      <x v="472"/>
    </i>
    <i r="1">
      <x v="271"/>
    </i>
    <i r="2">
      <x v="2"/>
    </i>
    <i>
      <x v="282"/>
    </i>
    <i r="1">
      <x v="163"/>
    </i>
    <i r="2">
      <x v="2"/>
    </i>
    <i>
      <x v="476"/>
    </i>
    <i r="1">
      <x v="273"/>
    </i>
    <i r="2">
      <x v="3"/>
    </i>
    <i>
      <x v="345"/>
    </i>
    <i r="1">
      <x v="200"/>
    </i>
    <i r="2">
      <x v="3"/>
    </i>
    <i>
      <x v="480"/>
    </i>
    <i r="1">
      <x v="274"/>
    </i>
    <i r="2">
      <x v="4"/>
    </i>
    <i>
      <x v="283"/>
    </i>
    <i r="1">
      <x v="163"/>
    </i>
    <i r="2">
      <x v="2"/>
    </i>
    <i>
      <x v="484"/>
    </i>
    <i r="1">
      <x v="280"/>
    </i>
    <i r="2">
      <x v="4"/>
    </i>
    <i>
      <x v="347"/>
    </i>
    <i r="1">
      <x v="202"/>
    </i>
    <i r="2">
      <x v="3"/>
    </i>
    <i>
      <x v="488"/>
    </i>
    <i r="1">
      <x v="281"/>
    </i>
    <i r="2">
      <x v="4"/>
    </i>
    <i>
      <x v="348"/>
    </i>
    <i r="1">
      <x v="203"/>
    </i>
    <i r="2">
      <x v="3"/>
    </i>
    <i>
      <x v="492"/>
    </i>
    <i r="1">
      <x v="286"/>
    </i>
    <i r="2">
      <x v="4"/>
    </i>
    <i>
      <x v="349"/>
    </i>
    <i r="1">
      <x v="204"/>
    </i>
    <i r="2">
      <x v="3"/>
    </i>
    <i>
      <x v="496"/>
    </i>
    <i r="1">
      <x v="287"/>
    </i>
    <i r="2">
      <x v="4"/>
    </i>
    <i>
      <x v="350"/>
    </i>
    <i r="1">
      <x v="205"/>
    </i>
    <i r="2">
      <x v="3"/>
    </i>
    <i>
      <x v="500"/>
    </i>
    <i r="1">
      <x v="287"/>
    </i>
    <i r="2">
      <x v="2"/>
    </i>
    <i>
      <x v="351"/>
    </i>
    <i r="1">
      <x v="206"/>
    </i>
    <i r="2">
      <x v="3"/>
    </i>
    <i>
      <x v="296"/>
    </i>
    <i r="1">
      <x v="168"/>
    </i>
    <i r="2">
      <x v="3"/>
    </i>
    <i>
      <x v="352"/>
    </i>
    <i r="1">
      <x v="207"/>
    </i>
    <i r="2">
      <x v="3"/>
    </i>
    <i>
      <x v="508"/>
    </i>
    <i r="1">
      <x v="292"/>
    </i>
    <i r="2">
      <x/>
    </i>
    <i>
      <x v="353"/>
    </i>
    <i r="1">
      <x v="207"/>
    </i>
    <i r="2">
      <x v="3"/>
    </i>
    <i>
      <x v="512"/>
    </i>
    <i r="1">
      <x v="296"/>
    </i>
    <i r="2">
      <x v="1"/>
    </i>
    <i>
      <x v="354"/>
    </i>
    <i r="1">
      <x v="207"/>
    </i>
    <i r="2">
      <x v="3"/>
    </i>
    <i>
      <x v="516"/>
    </i>
    <i r="1">
      <x v="298"/>
    </i>
    <i r="2">
      <x v="1"/>
    </i>
    <i>
      <x v="355"/>
    </i>
    <i r="1">
      <x v="208"/>
    </i>
    <i r="2">
      <x v="3"/>
    </i>
    <i>
      <x v="520"/>
    </i>
    <i r="1">
      <x v="302"/>
    </i>
    <i r="2">
      <x v="1"/>
    </i>
    <i>
      <x v="356"/>
    </i>
    <i r="1">
      <x v="208"/>
    </i>
    <i r="2">
      <x v="3"/>
    </i>
    <i>
      <x v="524"/>
    </i>
    <i r="1">
      <x v="303"/>
    </i>
    <i r="2">
      <x v="1"/>
    </i>
    <i>
      <x v="357"/>
    </i>
    <i r="1">
      <x v="208"/>
    </i>
    <i r="2">
      <x v="3"/>
    </i>
    <i>
      <x v="528"/>
    </i>
    <i r="1">
      <x v="305"/>
    </i>
    <i r="2">
      <x v="1"/>
    </i>
    <i>
      <x v="358"/>
    </i>
    <i r="1">
      <x v="208"/>
    </i>
    <i r="2">
      <x v="3"/>
    </i>
    <i>
      <x v="532"/>
    </i>
    <i r="1">
      <x v="308"/>
    </i>
    <i r="2">
      <x v="1"/>
    </i>
    <i>
      <x v="359"/>
    </i>
    <i r="1">
      <x v="208"/>
    </i>
    <i r="2">
      <x v="3"/>
    </i>
    <i>
      <x v="536"/>
    </i>
    <i r="1">
      <x v="311"/>
    </i>
    <i r="2">
      <x v="2"/>
    </i>
    <i>
      <x v="360"/>
    </i>
    <i r="1">
      <x v="209"/>
    </i>
    <i r="2">
      <x v="3"/>
    </i>
    <i>
      <x v="540"/>
    </i>
    <i r="1">
      <x v="312"/>
    </i>
    <i r="2">
      <x v="3"/>
    </i>
    <i>
      <x v="284"/>
    </i>
    <i r="1">
      <x v="163"/>
    </i>
    <i r="2">
      <x v="2"/>
    </i>
    <i>
      <x v="544"/>
    </i>
    <i r="1">
      <x v="314"/>
    </i>
    <i r="2">
      <x v="3"/>
    </i>
    <i>
      <x v="362"/>
    </i>
    <i r="1">
      <x v="209"/>
    </i>
    <i r="2">
      <x v="4"/>
    </i>
    <i>
      <x v="425"/>
    </i>
    <i r="1">
      <x v="241"/>
    </i>
    <i r="2">
      <x v="2"/>
    </i>
    <i>
      <x v="363"/>
    </i>
    <i r="1">
      <x v="210"/>
    </i>
    <i r="2">
      <x v="4"/>
    </i>
    <i>
      <x v="427"/>
    </i>
    <i r="1">
      <x v="243"/>
    </i>
    <i r="2">
      <x v="2"/>
    </i>
    <i>
      <x v="364"/>
    </i>
    <i r="1">
      <x v="211"/>
    </i>
    <i r="2">
      <x v="4"/>
    </i>
    <i>
      <x v="290"/>
    </i>
    <i r="1">
      <x v="166"/>
    </i>
    <i r="2">
      <x v="3"/>
    </i>
    <i>
      <x v="365"/>
    </i>
    <i r="1">
      <x v="211"/>
    </i>
    <i r="2">
      <x v="4"/>
    </i>
    <i>
      <x v="431"/>
    </i>
    <i r="1">
      <x v="243"/>
    </i>
    <i r="2">
      <x v="2"/>
    </i>
    <i>
      <x v="366"/>
    </i>
    <i r="1">
      <x v="211"/>
    </i>
    <i r="2">
      <x v="4"/>
    </i>
    <i>
      <x v="433"/>
    </i>
    <i r="1">
      <x v="246"/>
    </i>
    <i r="2">
      <x v="2"/>
    </i>
    <i>
      <x v="367"/>
    </i>
    <i r="1">
      <x v="211"/>
    </i>
    <i r="2">
      <x v="4"/>
    </i>
    <i>
      <x v="435"/>
    </i>
    <i r="1">
      <x v="248"/>
    </i>
    <i r="2">
      <x v="2"/>
    </i>
    <i>
      <x v="368"/>
    </i>
    <i r="1">
      <x v="212"/>
    </i>
    <i r="2">
      <x v="4"/>
    </i>
    <i>
      <x v="437"/>
    </i>
    <i r="1">
      <x v="248"/>
    </i>
    <i r="2">
      <x v="2"/>
    </i>
    <i>
      <x v="369"/>
    </i>
    <i r="1">
      <x v="213"/>
    </i>
    <i r="2">
      <x v="4"/>
    </i>
    <i>
      <x v="439"/>
    </i>
    <i r="1">
      <x v="250"/>
    </i>
    <i r="2">
      <x v="2"/>
    </i>
    <i>
      <x v="370"/>
    </i>
    <i r="1">
      <x v="214"/>
    </i>
    <i r="2">
      <x v="4"/>
    </i>
    <i>
      <x v="441"/>
    </i>
    <i r="1">
      <x v="250"/>
    </i>
    <i r="2">
      <x v="2"/>
    </i>
    <i>
      <x v="371"/>
    </i>
    <i r="1">
      <x v="215"/>
    </i>
    <i r="2">
      <x v="4"/>
    </i>
    <i>
      <x v="443"/>
    </i>
    <i r="1">
      <x v="252"/>
    </i>
    <i r="2">
      <x v="2"/>
    </i>
    <i>
      <x v="372"/>
    </i>
    <i r="1">
      <x v="217"/>
    </i>
    <i r="2">
      <x v="4"/>
    </i>
    <i>
      <x v="445"/>
    </i>
    <i r="1">
      <x v="253"/>
    </i>
    <i r="2">
      <x v="2"/>
    </i>
    <i>
      <x v="373"/>
    </i>
    <i r="1">
      <x v="217"/>
    </i>
    <i r="2">
      <x v="4"/>
    </i>
    <i>
      <x v="292"/>
    </i>
    <i r="1">
      <x v="166"/>
    </i>
    <i r="2">
      <x v="3"/>
    </i>
    <i>
      <x v="374"/>
    </i>
    <i r="1">
      <x v="217"/>
    </i>
    <i r="2">
      <x v="4"/>
    </i>
    <i>
      <x v="449"/>
    </i>
    <i r="1">
      <x v="256"/>
    </i>
    <i r="2">
      <x v="2"/>
    </i>
    <i>
      <x v="375"/>
    </i>
    <i r="1">
      <x v="218"/>
    </i>
    <i r="2">
      <x v="4"/>
    </i>
    <i>
      <x v="451"/>
    </i>
    <i r="1">
      <x v="258"/>
    </i>
    <i r="2">
      <x v="2"/>
    </i>
    <i>
      <x v="376"/>
    </i>
    <i r="1">
      <x v="218"/>
    </i>
    <i r="2">
      <x v="4"/>
    </i>
    <i>
      <x v="453"/>
    </i>
    <i r="1">
      <x v="260"/>
    </i>
    <i r="2">
      <x v="2"/>
    </i>
    <i>
      <x v="377"/>
    </i>
    <i r="1">
      <x v="218"/>
    </i>
    <i r="2">
      <x v="4"/>
    </i>
    <i>
      <x v="455"/>
    </i>
    <i r="1">
      <x v="261"/>
    </i>
    <i r="2">
      <x v="2"/>
    </i>
    <i>
      <x v="378"/>
    </i>
    <i r="1">
      <x v="218"/>
    </i>
    <i r="2">
      <x v="4"/>
    </i>
    <i>
      <x v="457"/>
    </i>
    <i r="1">
      <x v="262"/>
    </i>
    <i r="2">
      <x v="2"/>
    </i>
    <i>
      <x v="285"/>
    </i>
    <i r="1">
      <x v="164"/>
    </i>
    <i r="2">
      <x v="2"/>
    </i>
    <i>
      <x v="459"/>
    </i>
    <i r="1">
      <x v="263"/>
    </i>
    <i r="2">
      <x v="2"/>
    </i>
    <i>
      <x v="380"/>
    </i>
    <i r="1">
      <x v="220"/>
    </i>
    <i r="2">
      <x v="4"/>
    </i>
    <i>
      <x v="461"/>
    </i>
    <i r="1">
      <x v="263"/>
    </i>
    <i r="2">
      <x v="2"/>
    </i>
    <i>
      <x v="286"/>
    </i>
    <i r="1">
      <x v="164"/>
    </i>
    <i r="2">
      <x v="2"/>
    </i>
    <i>
      <x v="293"/>
    </i>
    <i r="1">
      <x v="166"/>
    </i>
    <i r="2">
      <x v="3"/>
    </i>
    <i>
      <x v="382"/>
    </i>
    <i r="1">
      <x v="223"/>
    </i>
    <i r="2">
      <x v="4"/>
    </i>
    <i>
      <x v="465"/>
    </i>
    <i r="1">
      <x v="268"/>
    </i>
    <i r="2">
      <x v="2"/>
    </i>
    <i>
      <x v="383"/>
    </i>
    <i r="1">
      <x v="223"/>
    </i>
    <i r="2">
      <x v="4"/>
    </i>
    <i>
      <x v="467"/>
    </i>
    <i r="1">
      <x v="270"/>
    </i>
    <i r="2">
      <x v="2"/>
    </i>
    <i>
      <x v="287"/>
    </i>
    <i r="1">
      <x v="164"/>
    </i>
    <i r="2">
      <x v="2"/>
    </i>
    <i>
      <x v="469"/>
    </i>
    <i r="1">
      <x v="271"/>
    </i>
    <i r="2">
      <x v="2"/>
    </i>
    <i>
      <x v="385"/>
    </i>
    <i r="1">
      <x v="226"/>
    </i>
    <i r="2">
      <x v="4"/>
    </i>
    <i>
      <x v="471"/>
    </i>
    <i r="1">
      <x v="271"/>
    </i>
    <i r="2">
      <x v="2"/>
    </i>
    <i>
      <x v="386"/>
    </i>
    <i r="1">
      <x v="226"/>
    </i>
    <i r="2">
      <x v="4"/>
    </i>
    <i>
      <x v="473"/>
    </i>
    <i r="1">
      <x v="272"/>
    </i>
    <i r="2">
      <x v="2"/>
    </i>
    <i>
      <x v="387"/>
    </i>
    <i r="1">
      <x v="226"/>
    </i>
    <i r="2">
      <x v="4"/>
    </i>
    <i>
      <x v="475"/>
    </i>
    <i r="1">
      <x v="272"/>
    </i>
    <i r="2">
      <x v="3"/>
    </i>
    <i>
      <x v="388"/>
    </i>
    <i r="1">
      <x v="226"/>
    </i>
    <i r="2">
      <x v="4"/>
    </i>
    <i>
      <x v="477"/>
    </i>
    <i r="1">
      <x v="273"/>
    </i>
    <i r="2">
      <x v="3"/>
    </i>
    <i>
      <x v="389"/>
    </i>
    <i r="1">
      <x v="226"/>
    </i>
    <i r="2">
      <x v="4"/>
    </i>
    <i>
      <x v="479"/>
    </i>
    <i r="1">
      <x v="274"/>
    </i>
    <i r="2">
      <x v="4"/>
    </i>
    <i>
      <x v="390"/>
    </i>
    <i r="1">
      <x v="226"/>
    </i>
    <i r="2">
      <x v="4"/>
    </i>
    <i>
      <x v="294"/>
    </i>
    <i r="1">
      <x v="167"/>
    </i>
    <i r="2">
      <x v="3"/>
    </i>
    <i>
      <x v="391"/>
    </i>
    <i r="1">
      <x v="226"/>
    </i>
    <i r="2">
      <x v="4"/>
    </i>
    <i>
      <x v="483"/>
    </i>
    <i r="1">
      <x v="278"/>
    </i>
    <i r="2">
      <x v="4"/>
    </i>
    <i>
      <x v="392"/>
    </i>
    <i r="1">
      <x v="227"/>
    </i>
    <i r="2">
      <x v="4"/>
    </i>
    <i>
      <x v="485"/>
    </i>
    <i r="1">
      <x v="280"/>
    </i>
    <i r="2">
      <x v="4"/>
    </i>
    <i>
      <x v="393"/>
    </i>
    <i r="1">
      <x v="227"/>
    </i>
    <i r="2">
      <x v="4"/>
    </i>
    <i>
      <x v="487"/>
    </i>
    <i r="1">
      <x v="280"/>
    </i>
    <i r="2">
      <x v="4"/>
    </i>
    <i>
      <x v="394"/>
    </i>
    <i r="1">
      <x v="227"/>
    </i>
    <i r="2">
      <x v="4"/>
    </i>
    <i>
      <x v="489"/>
    </i>
    <i r="1">
      <x v="282"/>
    </i>
    <i r="2">
      <x v="4"/>
    </i>
    <i>
      <x v="395"/>
    </i>
    <i r="1">
      <x v="228"/>
    </i>
    <i r="2">
      <x v="4"/>
    </i>
    <i>
      <x v="295"/>
    </i>
    <i r="1">
      <x v="168"/>
    </i>
    <i r="2">
      <x v="3"/>
    </i>
    <i>
      <x v="396"/>
    </i>
    <i r="1">
      <x v="228"/>
    </i>
    <i r="2">
      <x v="4"/>
    </i>
    <i>
      <x v="493"/>
    </i>
    <i r="1">
      <x v="287"/>
    </i>
    <i r="2">
      <x v="4"/>
    </i>
    <i>
      <x v="397"/>
    </i>
    <i r="1">
      <x v="228"/>
    </i>
    <i r="2">
      <x v="4"/>
    </i>
    <i>
      <x v="495"/>
    </i>
    <i r="1">
      <x v="287"/>
    </i>
    <i r="2">
      <x v="4"/>
    </i>
    <i>
      <x v="398"/>
    </i>
    <i r="1">
      <x v="229"/>
    </i>
    <i r="2">
      <x v="4"/>
    </i>
    <i>
      <x v="497"/>
    </i>
    <i r="1">
      <x v="287"/>
    </i>
    <i r="2">
      <x v="4"/>
    </i>
    <i>
      <x v="399"/>
    </i>
    <i r="1">
      <x v="229"/>
    </i>
    <i r="2">
      <x v="4"/>
    </i>
    <i>
      <x v="499"/>
    </i>
    <i r="1">
      <x v="287"/>
    </i>
    <i r="2">
      <x v="4"/>
    </i>
    <i>
      <x v="400"/>
    </i>
    <i r="1">
      <x v="230"/>
    </i>
    <i r="2">
      <x v="4"/>
    </i>
    <i>
      <x v="501"/>
    </i>
    <i r="1">
      <x v="287"/>
    </i>
    <i r="2">
      <x v="2"/>
    </i>
    <i>
      <x v="401"/>
    </i>
    <i r="1">
      <x v="233"/>
    </i>
    <i r="2">
      <x/>
    </i>
    <i>
      <x v="503"/>
    </i>
    <i r="1">
      <x v="287"/>
    </i>
    <i r="2">
      <x v="3"/>
    </i>
    <i>
      <x v="402"/>
    </i>
    <i r="1">
      <x v="233"/>
    </i>
    <i r="2">
      <x v="1"/>
    </i>
    <i>
      <x v="505"/>
    </i>
    <i r="1">
      <x v="289"/>
    </i>
    <i r="2">
      <x v="4"/>
    </i>
    <i>
      <x v="403"/>
    </i>
    <i r="1">
      <x v="234"/>
    </i>
    <i r="2">
      <x v="2"/>
    </i>
    <i>
      <x v="297"/>
    </i>
    <i r="1">
      <x v="168"/>
    </i>
    <i r="2">
      <x v="3"/>
    </i>
    <i>
      <x v="404"/>
    </i>
    <i r="1">
      <x v="234"/>
    </i>
    <i r="2">
      <x v="2"/>
    </i>
    <i>
      <x v="509"/>
    </i>
    <i r="1">
      <x v="293"/>
    </i>
    <i r="2">
      <x/>
    </i>
    <i>
      <x v="405"/>
    </i>
    <i r="1">
      <x v="235"/>
    </i>
    <i r="2">
      <x v="2"/>
    </i>
    <i>
      <x v="511"/>
    </i>
    <i r="1">
      <x v="296"/>
    </i>
    <i r="2">
      <x/>
    </i>
    <i>
      <x v="406"/>
    </i>
    <i r="1">
      <x v="235"/>
    </i>
    <i r="2">
      <x v="2"/>
    </i>
    <i>
      <x v="513"/>
    </i>
    <i r="1">
      <x v="296"/>
    </i>
    <i r="2">
      <x v="1"/>
    </i>
    <i>
      <x v="407"/>
    </i>
    <i r="1">
      <x v="235"/>
    </i>
    <i r="2">
      <x v="2"/>
    </i>
    <i>
      <x v="515"/>
    </i>
    <i r="1">
      <x v="297"/>
    </i>
    <i r="2">
      <x v="1"/>
    </i>
    <i>
      <x v="278"/>
    </i>
    <i r="1">
      <x v="158"/>
    </i>
    <i r="2">
      <x v="2"/>
    </i>
    <i>
      <x v="299"/>
    </i>
    <i r="1">
      <x v="170"/>
    </i>
    <i r="2">
      <x v="3"/>
    </i>
    <i>
      <x v="289"/>
    </i>
    <i r="1">
      <x v="165"/>
    </i>
    <i r="2">
      <x v="3"/>
    </i>
    <i>
      <x v="519"/>
    </i>
    <i r="1">
      <x v="302"/>
    </i>
    <i r="2">
      <x v="1"/>
    </i>
    <i>
      <x v="546"/>
    </i>
    <i r="1">
      <x v="315"/>
    </i>
    <i r="2">
      <x v="4"/>
    </i>
    <i>
      <x v="521"/>
    </i>
    <i r="1">
      <x v="303"/>
    </i>
    <i r="2">
      <x v="1"/>
    </i>
    <i>
      <x v="548"/>
    </i>
    <i r="1">
      <x v="316"/>
    </i>
    <i r="2">
      <x v="3"/>
    </i>
    <i>
      <x v="523"/>
    </i>
    <i r="1">
      <x v="303"/>
    </i>
    <i r="2">
      <x v="1"/>
    </i>
    <i>
      <x v="275"/>
    </i>
    <i r="1">
      <x v="156"/>
    </i>
    <i r="2">
      <x v="2"/>
    </i>
    <i>
      <x v="525"/>
    </i>
    <i r="1">
      <x v="303"/>
    </i>
    <i r="2">
      <x v="1"/>
    </i>
    <i>
      <x v="413"/>
    </i>
    <i r="1">
      <x v="237"/>
    </i>
    <i r="2">
      <x v="1"/>
    </i>
    <i>
      <x v="527"/>
    </i>
    <i r="1">
      <x v="305"/>
    </i>
    <i r="2">
      <x v="1"/>
    </i>
    <i>
      <x v="414"/>
    </i>
    <i r="1">
      <x v="237"/>
    </i>
    <i r="2">
      <x v="2"/>
    </i>
    <i>
      <x v="529"/>
    </i>
    <i r="1">
      <x v="305"/>
    </i>
    <i r="2">
      <x v="1"/>
    </i>
    <i>
      <x v="415"/>
    </i>
    <i r="1">
      <x v="237"/>
    </i>
    <i r="2">
      <x v="2"/>
    </i>
    <i>
      <x v="531"/>
    </i>
    <i r="1">
      <x v="307"/>
    </i>
    <i r="2">
      <x v="1"/>
    </i>
    <i>
      <x v="416"/>
    </i>
    <i r="1">
      <x v="237"/>
    </i>
    <i r="2">
      <x v="2"/>
    </i>
    <i>
      <x v="533"/>
    </i>
    <i r="1">
      <x v="309"/>
    </i>
    <i r="2">
      <x v="1"/>
    </i>
    <i>
      <x v="417"/>
    </i>
    <i r="1">
      <x v="237"/>
    </i>
    <i r="2">
      <x v="2"/>
    </i>
    <i>
      <x v="535"/>
    </i>
    <i r="1">
      <x v="311"/>
    </i>
    <i r="2">
      <x v="1"/>
    </i>
    <i>
      <x v="418"/>
    </i>
    <i r="1">
      <x v="237"/>
    </i>
    <i r="2">
      <x v="2"/>
    </i>
    <i>
      <x v="300"/>
    </i>
    <i r="1">
      <x v="171"/>
    </i>
    <i r="2">
      <x v="3"/>
    </i>
    <i>
      <x v="419"/>
    </i>
    <i r="1">
      <x v="238"/>
    </i>
    <i r="2">
      <x v="2"/>
    </i>
    <i>
      <x v="539"/>
    </i>
    <i r="1">
      <x v="311"/>
    </i>
    <i r="2">
      <x v="3"/>
    </i>
    <i>
      <x v="420"/>
    </i>
    <i r="1">
      <x v="238"/>
    </i>
    <i r="2">
      <x v="2"/>
    </i>
    <i>
      <x v="541"/>
    </i>
    <i r="1">
      <x v="312"/>
    </i>
    <i r="2">
      <x v="3"/>
    </i>
    <i>
      <x v="421"/>
    </i>
    <i r="1">
      <x v="238"/>
    </i>
    <i r="2">
      <x v="2"/>
    </i>
    <i>
      <x v="302"/>
    </i>
    <i r="1">
      <x v="172"/>
    </i>
    <i r="2">
      <x v="3"/>
    </i>
    <i>
      <x v="422"/>
    </i>
    <i r="1">
      <x v="239"/>
    </i>
    <i r="2">
      <x v="2"/>
    </i>
    <i>
      <x v="303"/>
    </i>
    <i r="1">
      <x v="172"/>
    </i>
    <i r="2">
      <x v="3"/>
    </i>
    <i>
      <x v="423"/>
    </i>
    <i r="1">
      <x v="240"/>
    </i>
    <i r="2">
      <x v="2"/>
    </i>
    <i>
      <x v="547"/>
    </i>
    <i r="1">
      <x v="316"/>
    </i>
    <i r="2">
      <x v="3"/>
    </i>
    <i>
      <x v="410"/>
    </i>
    <i r="1">
      <x v="237"/>
    </i>
    <i r="2">
      <x v="2"/>
    </i>
    <i>
      <x v="549"/>
    </i>
    <i r="1">
      <x v="316"/>
    </i>
    <i r="2">
      <x v="3"/>
    </i>
    <i>
      <x v="411"/>
    </i>
    <i r="1">
      <x v="237"/>
    </i>
    <i r="2">
      <x v="1"/>
    </i>
    <i>
      <x v="412"/>
    </i>
    <i r="1">
      <x v="237"/>
    </i>
    <i r="2">
      <x v="1"/>
    </i>
    <i>
      <x v="153"/>
    </i>
    <i r="1">
      <x v="66"/>
    </i>
    <i r="2">
      <x v="1"/>
    </i>
    <i>
      <x v="217"/>
    </i>
    <i r="1">
      <x v="110"/>
    </i>
    <i r="2">
      <x v="2"/>
    </i>
    <i>
      <x v="185"/>
    </i>
    <i r="1">
      <x v="87"/>
    </i>
    <i r="2">
      <x v="2"/>
    </i>
    <i>
      <x v="27"/>
    </i>
    <i r="1">
      <x v="51"/>
    </i>
    <i r="2">
      <x/>
    </i>
    <i>
      <x v="249"/>
    </i>
    <i r="1">
      <x v="135"/>
    </i>
    <i r="2">
      <x v="2"/>
    </i>
    <i>
      <x v="28"/>
    </i>
    <i r="1">
      <x v="51"/>
    </i>
    <i r="2">
      <x/>
    </i>
    <i>
      <x v="169"/>
    </i>
    <i r="1">
      <x v="74"/>
    </i>
    <i r="2">
      <x v="2"/>
    </i>
    <i>
      <x v="29"/>
    </i>
    <i r="1">
      <x v="79"/>
    </i>
    <i r="2">
      <x/>
    </i>
    <i>
      <x v="201"/>
    </i>
    <i r="1">
      <x v="103"/>
    </i>
    <i r="2">
      <x v="2"/>
    </i>
    <i>
      <x v="30"/>
    </i>
    <i r="1">
      <x v="125"/>
    </i>
    <i r="2">
      <x/>
    </i>
    <i>
      <x v="233"/>
    </i>
    <i r="1">
      <x v="127"/>
    </i>
    <i r="2">
      <x v="2"/>
    </i>
    <i>
      <x v="31"/>
    </i>
    <i r="1">
      <x v="136"/>
    </i>
    <i r="2">
      <x/>
    </i>
    <i>
      <x v="265"/>
    </i>
    <i r="1">
      <x v="148"/>
    </i>
    <i r="2">
      <x v="2"/>
    </i>
    <i>
      <x v="32"/>
    </i>
    <i r="1">
      <x v="136"/>
    </i>
    <i r="2">
      <x/>
    </i>
    <i>
      <x v="161"/>
    </i>
    <i r="1">
      <x v="69"/>
    </i>
    <i r="2">
      <x v="1"/>
    </i>
    <i>
      <x v="33"/>
    </i>
    <i r="1">
      <x v="136"/>
    </i>
    <i r="2">
      <x/>
    </i>
    <i>
      <x v="177"/>
    </i>
    <i r="1">
      <x v="81"/>
    </i>
    <i r="2">
      <x v="2"/>
    </i>
    <i>
      <x v="34"/>
    </i>
    <i r="1">
      <x v="185"/>
    </i>
    <i r="2">
      <x/>
    </i>
    <i>
      <x v="193"/>
    </i>
    <i r="1">
      <x v="97"/>
    </i>
    <i r="2">
      <x v="2"/>
    </i>
    <i>
      <x v="35"/>
    </i>
    <i r="1">
      <x v="222"/>
    </i>
    <i r="2">
      <x/>
    </i>
    <i>
      <x v="209"/>
    </i>
    <i r="1">
      <x v="107"/>
    </i>
    <i r="2">
      <x v="2"/>
    </i>
    <i>
      <x v="36"/>
    </i>
    <i r="1">
      <x v="232"/>
    </i>
    <i r="2">
      <x/>
    </i>
    <i>
      <x v="19"/>
    </i>
    <i r="1">
      <x v="242"/>
    </i>
    <i r="2">
      <x/>
    </i>
    <i>
      <x v="37"/>
    </i>
    <i r="1">
      <x v="232"/>
    </i>
    <i r="2">
      <x/>
    </i>
    <i>
      <x v="241"/>
    </i>
    <i r="1">
      <x v="130"/>
    </i>
    <i r="2">
      <x v="2"/>
    </i>
    <i>
      <x v="38"/>
    </i>
    <i r="1">
      <x v="251"/>
    </i>
    <i r="2">
      <x/>
    </i>
    <i>
      <x v="24"/>
    </i>
    <i r="1">
      <x v="279"/>
    </i>
    <i r="2">
      <x/>
    </i>
    <i>
      <x v="39"/>
    </i>
    <i r="1">
      <x/>
    </i>
    <i r="2">
      <x/>
    </i>
    <i>
      <x v="149"/>
    </i>
    <i r="1">
      <x v="64"/>
    </i>
    <i r="2">
      <x v="1"/>
    </i>
    <i>
      <x v="40"/>
    </i>
    <i r="1">
      <x v="1"/>
    </i>
    <i r="2">
      <x/>
    </i>
    <i>
      <x v="157"/>
    </i>
    <i r="1">
      <x v="67"/>
    </i>
    <i r="2">
      <x v="1"/>
    </i>
    <i>
      <x v="41"/>
    </i>
    <i r="1">
      <x v="2"/>
    </i>
    <i r="2">
      <x/>
    </i>
    <i>
      <x v="165"/>
    </i>
    <i r="1">
      <x v="73"/>
    </i>
    <i r="2">
      <x v="1"/>
    </i>
    <i>
      <x v="42"/>
    </i>
    <i r="1">
      <x v="3"/>
    </i>
    <i r="2">
      <x/>
    </i>
    <i>
      <x v="173"/>
    </i>
    <i r="1">
      <x v="77"/>
    </i>
    <i r="2">
      <x v="2"/>
    </i>
    <i>
      <x v="43"/>
    </i>
    <i r="1">
      <x v="3"/>
    </i>
    <i r="2">
      <x/>
    </i>
    <i>
      <x v="181"/>
    </i>
    <i r="1">
      <x v="85"/>
    </i>
    <i r="2">
      <x v="2"/>
    </i>
    <i>
      <x v="44"/>
    </i>
    <i r="1">
      <x v="4"/>
    </i>
    <i r="2">
      <x/>
    </i>
    <i>
      <x v="189"/>
    </i>
    <i r="1">
      <x v="91"/>
    </i>
    <i r="2">
      <x v="2"/>
    </i>
    <i>
      <x v="45"/>
    </i>
    <i r="1">
      <x v="4"/>
    </i>
    <i r="2">
      <x/>
    </i>
    <i>
      <x v="197"/>
    </i>
    <i r="1">
      <x v="101"/>
    </i>
    <i r="2">
      <x v="2"/>
    </i>
    <i>
      <x v="46"/>
    </i>
    <i r="1">
      <x v="4"/>
    </i>
    <i r="2">
      <x/>
    </i>
    <i>
      <x v="205"/>
    </i>
    <i r="1">
      <x v="105"/>
    </i>
    <i r="2">
      <x v="2"/>
    </i>
    <i>
      <x v="2"/>
    </i>
    <i r="1">
      <x v="55"/>
    </i>
    <i r="2">
      <x/>
    </i>
    <i>
      <x v="213"/>
    </i>
    <i r="1">
      <x v="109"/>
    </i>
    <i r="2">
      <x v="2"/>
    </i>
    <i>
      <x v="48"/>
    </i>
    <i r="1">
      <x v="9"/>
    </i>
    <i r="2">
      <x/>
    </i>
    <i>
      <x v="221"/>
    </i>
    <i r="1">
      <x v="113"/>
    </i>
    <i r="2">
      <x v="2"/>
    </i>
    <i>
      <x v="49"/>
    </i>
    <i r="1">
      <x v="10"/>
    </i>
    <i r="2">
      <x v="1"/>
    </i>
    <i>
      <x v="229"/>
    </i>
    <i r="1">
      <x v="123"/>
    </i>
    <i r="2">
      <x v="2"/>
    </i>
    <i>
      <x v="50"/>
    </i>
    <i r="1">
      <x v="10"/>
    </i>
    <i r="2">
      <x v="1"/>
    </i>
    <i>
      <x v="237"/>
    </i>
    <i r="1">
      <x v="128"/>
    </i>
    <i r="2">
      <x v="2"/>
    </i>
    <i>
      <x v="51"/>
    </i>
    <i r="1">
      <x v="11"/>
    </i>
    <i r="2">
      <x v="1"/>
    </i>
    <i>
      <x v="245"/>
    </i>
    <i r="1">
      <x v="131"/>
    </i>
    <i r="2">
      <x v="2"/>
    </i>
    <i>
      <x v="52"/>
    </i>
    <i r="1">
      <x v="12"/>
    </i>
    <i r="2">
      <x v="1"/>
    </i>
    <i>
      <x v="253"/>
    </i>
    <i r="1">
      <x v="141"/>
    </i>
    <i r="2">
      <x v="2"/>
    </i>
    <i>
      <x v="53"/>
    </i>
    <i r="1">
      <x v="13"/>
    </i>
    <i r="2">
      <x v="1"/>
    </i>
    <i>
      <x v="261"/>
    </i>
    <i r="1">
      <x v="145"/>
    </i>
    <i r="2">
      <x v="2"/>
    </i>
    <i>
      <x v="54"/>
    </i>
    <i r="1">
      <x v="13"/>
    </i>
    <i r="2">
      <x v="1"/>
    </i>
    <i>
      <x v="147"/>
    </i>
    <i r="1">
      <x v="64"/>
    </i>
    <i r="2">
      <x v="1"/>
    </i>
    <i>
      <x v="55"/>
    </i>
    <i r="1">
      <x v="14"/>
    </i>
    <i r="2">
      <x v="1"/>
    </i>
    <i>
      <x v="151"/>
    </i>
    <i r="1">
      <x v="65"/>
    </i>
    <i r="2">
      <x v="1"/>
    </i>
    <i>
      <x v="56"/>
    </i>
    <i r="1">
      <x v="14"/>
    </i>
    <i r="2">
      <x v="1"/>
    </i>
    <i>
      <x v="155"/>
    </i>
    <i r="1">
      <x v="66"/>
    </i>
    <i r="2">
      <x v="1"/>
    </i>
    <i>
      <x v="57"/>
    </i>
    <i r="1">
      <x v="14"/>
    </i>
    <i r="2">
      <x v="1"/>
    </i>
    <i>
      <x v="159"/>
    </i>
    <i r="1">
      <x v="69"/>
    </i>
    <i r="2">
      <x v="1"/>
    </i>
    <i>
      <x v="58"/>
    </i>
    <i r="1">
      <x v="14"/>
    </i>
    <i r="2">
      <x v="1"/>
    </i>
    <i>
      <x v="163"/>
    </i>
    <i r="1">
      <x v="71"/>
    </i>
    <i r="2">
      <x v="1"/>
    </i>
    <i>
      <x v="59"/>
    </i>
    <i r="1">
      <x v="15"/>
    </i>
    <i r="2">
      <x v="1"/>
    </i>
    <i>
      <x v="167"/>
    </i>
    <i r="1">
      <x v="73"/>
    </i>
    <i r="2">
      <x v="2"/>
    </i>
    <i>
      <x v="3"/>
    </i>
    <i r="1">
      <x v="55"/>
    </i>
    <i r="2">
      <x/>
    </i>
    <i>
      <x v="171"/>
    </i>
    <i r="1">
      <x v="76"/>
    </i>
    <i r="2">
      <x v="2"/>
    </i>
    <i>
      <x v="61"/>
    </i>
    <i r="1">
      <x v="19"/>
    </i>
    <i r="2">
      <x v="1"/>
    </i>
    <i>
      <x v="175"/>
    </i>
    <i r="1">
      <x v="80"/>
    </i>
    <i r="2">
      <x v="2"/>
    </i>
    <i>
      <x v="62"/>
    </i>
    <i r="1">
      <x v="20"/>
    </i>
    <i r="2">
      <x v="1"/>
    </i>
    <i>
      <x v="15"/>
    </i>
    <i r="1">
      <x v="216"/>
    </i>
    <i r="2">
      <x/>
    </i>
    <i>
      <x v="63"/>
    </i>
    <i r="1">
      <x v="21"/>
    </i>
    <i r="2">
      <x v="1"/>
    </i>
    <i>
      <x v="183"/>
    </i>
    <i r="1">
      <x v="87"/>
    </i>
    <i r="2">
      <x v="2"/>
    </i>
    <i>
      <x v="4"/>
    </i>
    <i r="1">
      <x v="55"/>
    </i>
    <i r="2">
      <x/>
    </i>
    <i>
      <x v="187"/>
    </i>
    <i r="1">
      <x v="89"/>
    </i>
    <i r="2">
      <x v="2"/>
    </i>
    <i>
      <x v="65"/>
    </i>
    <i r="1">
      <x v="24"/>
    </i>
    <i r="2">
      <x v="1"/>
    </i>
    <i>
      <x v="191"/>
    </i>
    <i r="1">
      <x v="93"/>
    </i>
    <i r="2">
      <x v="2"/>
    </i>
    <i>
      <x v="66"/>
    </i>
    <i r="1">
      <x v="24"/>
    </i>
    <i r="2">
      <x v="1"/>
    </i>
    <i>
      <x v="195"/>
    </i>
    <i r="1">
      <x v="98"/>
    </i>
    <i r="2">
      <x v="2"/>
    </i>
    <i>
      <x v="67"/>
    </i>
    <i r="1">
      <x v="25"/>
    </i>
    <i r="2">
      <x v="1"/>
    </i>
    <i>
      <x v="199"/>
    </i>
    <i r="1">
      <x v="102"/>
    </i>
    <i r="2">
      <x v="2"/>
    </i>
    <i>
      <x v="68"/>
    </i>
    <i r="1">
      <x v="25"/>
    </i>
    <i r="2">
      <x v="1"/>
    </i>
    <i>
      <x v="203"/>
    </i>
    <i r="1">
      <x v="105"/>
    </i>
    <i r="2">
      <x v="2"/>
    </i>
    <i>
      <x v="69"/>
    </i>
    <i r="1">
      <x v="25"/>
    </i>
    <i r="2">
      <x v="1"/>
    </i>
    <i>
      <x v="207"/>
    </i>
    <i r="1">
      <x v="106"/>
    </i>
    <i r="2">
      <x v="2"/>
    </i>
    <i>
      <x v="70"/>
    </i>
    <i r="1">
      <x v="25"/>
    </i>
    <i r="2">
      <x v="1"/>
    </i>
    <i>
      <x v="211"/>
    </i>
    <i r="1">
      <x v="108"/>
    </i>
    <i r="2">
      <x v="2"/>
    </i>
    <i>
      <x v="71"/>
    </i>
    <i r="1">
      <x v="26"/>
    </i>
    <i r="2">
      <x v="1"/>
    </i>
    <i>
      <x v="215"/>
    </i>
    <i r="1">
      <x v="109"/>
    </i>
    <i r="2">
      <x v="2"/>
    </i>
    <i>
      <x v="72"/>
    </i>
    <i r="1">
      <x v="27"/>
    </i>
    <i r="2">
      <x v="1"/>
    </i>
    <i>
      <x v="219"/>
    </i>
    <i r="1">
      <x v="112"/>
    </i>
    <i r="2">
      <x v="2"/>
    </i>
    <i>
      <x v="73"/>
    </i>
    <i r="1">
      <x v="29"/>
    </i>
    <i r="2">
      <x v="1"/>
    </i>
    <i>
      <x v="223"/>
    </i>
    <i r="1">
      <x v="115"/>
    </i>
    <i r="2">
      <x v="2"/>
    </i>
    <i>
      <x v="74"/>
    </i>
    <i r="1">
      <x v="30"/>
    </i>
    <i r="2">
      <x v="1"/>
    </i>
    <i>
      <x v="227"/>
    </i>
    <i r="1">
      <x v="123"/>
    </i>
    <i r="2">
      <x v="2"/>
    </i>
    <i>
      <x v="75"/>
    </i>
    <i r="1">
      <x v="31"/>
    </i>
    <i r="2">
      <x v="1"/>
    </i>
    <i>
      <x v="231"/>
    </i>
    <i r="1">
      <x v="126"/>
    </i>
    <i r="2">
      <x v="2"/>
    </i>
    <i>
      <x v="76"/>
    </i>
    <i r="1">
      <x v="32"/>
    </i>
    <i r="2">
      <x v="1"/>
    </i>
    <i>
      <x v="235"/>
    </i>
    <i r="1">
      <x v="127"/>
    </i>
    <i r="2">
      <x v="2"/>
    </i>
    <i>
      <x v="77"/>
    </i>
    <i r="1">
      <x v="33"/>
    </i>
    <i r="2">
      <x v="1"/>
    </i>
    <i>
      <x v="239"/>
    </i>
    <i r="1">
      <x v="130"/>
    </i>
    <i r="2">
      <x v="2"/>
    </i>
    <i>
      <x v="78"/>
    </i>
    <i r="1">
      <x v="34"/>
    </i>
    <i r="2">
      <x v="1"/>
    </i>
    <i>
      <x v="243"/>
    </i>
    <i r="1">
      <x v="130"/>
    </i>
    <i r="2">
      <x v="2"/>
    </i>
    <i>
      <x v="79"/>
    </i>
    <i r="1">
      <x v="34"/>
    </i>
    <i r="2">
      <x v="1"/>
    </i>
    <i>
      <x v="21"/>
    </i>
    <i r="1">
      <x v="264"/>
    </i>
    <i r="2">
      <x/>
    </i>
    <i>
      <x v="80"/>
    </i>
    <i r="1">
      <x v="34"/>
    </i>
    <i r="2">
      <x v="1"/>
    </i>
    <i>
      <x v="251"/>
    </i>
    <i r="1">
      <x v="140"/>
    </i>
    <i r="2">
      <x v="2"/>
    </i>
    <i>
      <x v="81"/>
    </i>
    <i r="1">
      <x v="35"/>
    </i>
    <i r="2">
      <x v="1"/>
    </i>
    <i>
      <x v="23"/>
    </i>
    <i r="1">
      <x v="264"/>
    </i>
    <i r="2">
      <x/>
    </i>
    <i>
      <x v="82"/>
    </i>
    <i r="1">
      <x v="35"/>
    </i>
    <i r="2">
      <x v="1"/>
    </i>
    <i>
      <x v="259"/>
    </i>
    <i r="1">
      <x v="143"/>
    </i>
    <i r="2">
      <x v="2"/>
    </i>
    <i>
      <x v="83"/>
    </i>
    <i r="1">
      <x v="36"/>
    </i>
    <i r="2">
      <x v="1"/>
    </i>
    <i>
      <x v="263"/>
    </i>
    <i r="1">
      <x v="146"/>
    </i>
    <i r="2">
      <x v="2"/>
    </i>
    <i>
      <x v="5"/>
    </i>
    <i r="1">
      <x v="55"/>
    </i>
    <i r="2">
      <x/>
    </i>
    <i>
      <x v="146"/>
    </i>
    <i r="1">
      <x v="64"/>
    </i>
    <i r="2">
      <x v="1"/>
    </i>
    <i>
      <x v="85"/>
    </i>
    <i r="1">
      <x v="40"/>
    </i>
    <i r="2">
      <x v="1"/>
    </i>
    <i>
      <x v="148"/>
    </i>
    <i r="1">
      <x v="64"/>
    </i>
    <i r="2">
      <x v="1"/>
    </i>
    <i>
      <x v="86"/>
    </i>
    <i r="1">
      <x v="40"/>
    </i>
    <i r="2">
      <x v="1"/>
    </i>
    <i>
      <x v="150"/>
    </i>
    <i r="1">
      <x v="65"/>
    </i>
    <i r="2">
      <x v="1"/>
    </i>
    <i>
      <x v="87"/>
    </i>
    <i r="1">
      <x v="40"/>
    </i>
    <i r="2">
      <x v="1"/>
    </i>
    <i>
      <x v="11"/>
    </i>
    <i r="1">
      <x v="151"/>
    </i>
    <i r="2">
      <x/>
    </i>
    <i>
      <x v="6"/>
    </i>
    <i r="1">
      <x v="55"/>
    </i>
    <i r="2">
      <x/>
    </i>
    <i>
      <x v="154"/>
    </i>
    <i r="1">
      <x v="66"/>
    </i>
    <i r="2">
      <x v="1"/>
    </i>
    <i>
      <x v="89"/>
    </i>
    <i r="1">
      <x v="41"/>
    </i>
    <i r="2">
      <x v="1"/>
    </i>
    <i>
      <x v="156"/>
    </i>
    <i r="1">
      <x v="66"/>
    </i>
    <i r="2">
      <x v="1"/>
    </i>
    <i>
      <x v="90"/>
    </i>
    <i r="1">
      <x v="41"/>
    </i>
    <i r="2">
      <x v="1"/>
    </i>
    <i>
      <x v="158"/>
    </i>
    <i r="1">
      <x v="68"/>
    </i>
    <i r="2">
      <x v="1"/>
    </i>
    <i>
      <x v="91"/>
    </i>
    <i r="1">
      <x v="41"/>
    </i>
    <i r="2">
      <x v="1"/>
    </i>
    <i>
      <x v="160"/>
    </i>
    <i r="1">
      <x v="69"/>
    </i>
    <i r="2">
      <x v="1"/>
    </i>
    <i>
      <x v="92"/>
    </i>
    <i r="1">
      <x v="41"/>
    </i>
    <i r="2">
      <x v="1"/>
    </i>
    <i>
      <x v="162"/>
    </i>
    <i r="1">
      <x v="70"/>
    </i>
    <i r="2">
      <x v="1"/>
    </i>
    <i>
      <x v="93"/>
    </i>
    <i r="1">
      <x v="41"/>
    </i>
    <i r="2">
      <x v="1"/>
    </i>
    <i>
      <x v="12"/>
    </i>
    <i r="1">
      <x v="151"/>
    </i>
    <i r="2">
      <x/>
    </i>
    <i>
      <x v="94"/>
    </i>
    <i r="1">
      <x v="41"/>
    </i>
    <i r="2">
      <x v="1"/>
    </i>
    <i>
      <x v="166"/>
    </i>
    <i r="1">
      <x v="73"/>
    </i>
    <i r="2">
      <x v="1"/>
    </i>
    <i>
      <x v="95"/>
    </i>
    <i r="1">
      <x v="41"/>
    </i>
    <i r="2">
      <x v="1"/>
    </i>
    <i>
      <x v="13"/>
    </i>
    <i r="1">
      <x v="151"/>
    </i>
    <i r="2">
      <x/>
    </i>
    <i>
      <x v="96"/>
    </i>
    <i r="1">
      <x v="41"/>
    </i>
    <i r="2">
      <x v="1"/>
    </i>
    <i>
      <x v="170"/>
    </i>
    <i r="1">
      <x v="75"/>
    </i>
    <i r="2">
      <x v="2"/>
    </i>
    <i>
      <x v="97"/>
    </i>
    <i r="1">
      <x v="41"/>
    </i>
    <i r="2">
      <x v="1"/>
    </i>
    <i>
      <x v="172"/>
    </i>
    <i r="1">
      <x v="76"/>
    </i>
    <i r="2">
      <x v="2"/>
    </i>
    <i>
      <x v="98"/>
    </i>
    <i r="1">
      <x v="41"/>
    </i>
    <i r="2">
      <x v="1"/>
    </i>
    <i>
      <x v="14"/>
    </i>
    <i r="1">
      <x v="182"/>
    </i>
    <i r="2">
      <x/>
    </i>
    <i>
      <x v="99"/>
    </i>
    <i r="1">
      <x v="41"/>
    </i>
    <i r="2">
      <x v="1"/>
    </i>
    <i>
      <x v="176"/>
    </i>
    <i r="1">
      <x v="80"/>
    </i>
    <i r="2">
      <x v="2"/>
    </i>
    <i>
      <x v="100"/>
    </i>
    <i r="1">
      <x v="41"/>
    </i>
    <i r="2">
      <x v="1"/>
    </i>
    <i>
      <x v="178"/>
    </i>
    <i r="1">
      <x v="83"/>
    </i>
    <i r="2">
      <x v="2"/>
    </i>
    <i>
      <x v="101"/>
    </i>
    <i r="1">
      <x v="41"/>
    </i>
    <i r="2">
      <x v="1"/>
    </i>
    <i>
      <x v="180"/>
    </i>
    <i r="1">
      <x v="84"/>
    </i>
    <i r="2">
      <x v="2"/>
    </i>
    <i>
      <x v="102"/>
    </i>
    <i r="1">
      <x v="41"/>
    </i>
    <i r="2">
      <x v="1"/>
    </i>
    <i>
      <x v="182"/>
    </i>
    <i r="1">
      <x v="86"/>
    </i>
    <i r="2">
      <x v="2"/>
    </i>
    <i>
      <x v="103"/>
    </i>
    <i r="1">
      <x v="41"/>
    </i>
    <i r="2">
      <x v="1"/>
    </i>
    <i>
      <x v="184"/>
    </i>
    <i r="1">
      <x v="87"/>
    </i>
    <i r="2">
      <x v="2"/>
    </i>
    <i>
      <x v="104"/>
    </i>
    <i r="1">
      <x v="41"/>
    </i>
    <i r="2">
      <x v="1"/>
    </i>
    <i>
      <x v="186"/>
    </i>
    <i r="1">
      <x v="88"/>
    </i>
    <i r="2">
      <x v="2"/>
    </i>
    <i>
      <x v="105"/>
    </i>
    <i r="1">
      <x v="41"/>
    </i>
    <i r="2">
      <x v="1"/>
    </i>
    <i>
      <x v="188"/>
    </i>
    <i r="1">
      <x v="90"/>
    </i>
    <i r="2">
      <x v="2"/>
    </i>
    <i>
      <x v="106"/>
    </i>
    <i r="1">
      <x v="41"/>
    </i>
    <i r="2">
      <x v="1"/>
    </i>
    <i>
      <x v="190"/>
    </i>
    <i r="1">
      <x v="92"/>
    </i>
    <i r="2">
      <x v="2"/>
    </i>
    <i>
      <x v="107"/>
    </i>
    <i r="1">
      <x v="41"/>
    </i>
    <i r="2">
      <x v="1"/>
    </i>
    <i>
      <x v="16"/>
    </i>
    <i r="1">
      <x v="216"/>
    </i>
    <i r="2">
      <x/>
    </i>
    <i>
      <x v="108"/>
    </i>
    <i r="1">
      <x v="41"/>
    </i>
    <i r="2">
      <x v="1"/>
    </i>
    <i>
      <x v="194"/>
    </i>
    <i r="1">
      <x v="98"/>
    </i>
    <i r="2">
      <x v="2"/>
    </i>
    <i>
      <x v="109"/>
    </i>
    <i r="1">
      <x v="41"/>
    </i>
    <i r="2">
      <x v="1"/>
    </i>
    <i>
      <x v="196"/>
    </i>
    <i r="1">
      <x v="99"/>
    </i>
    <i r="2">
      <x v="2"/>
    </i>
    <i>
      <x v="110"/>
    </i>
    <i r="1">
      <x v="41"/>
    </i>
    <i r="2">
      <x v="1"/>
    </i>
    <i>
      <x v="198"/>
    </i>
    <i r="1">
      <x v="102"/>
    </i>
    <i r="2">
      <x v="2"/>
    </i>
    <i>
      <x v="111"/>
    </i>
    <i r="1">
      <x v="41"/>
    </i>
    <i r="2">
      <x v="1"/>
    </i>
    <i>
      <x v="17"/>
    </i>
    <i r="1">
      <x v="231"/>
    </i>
    <i r="2">
      <x/>
    </i>
    <i>
      <x v="112"/>
    </i>
    <i r="1">
      <x v="41"/>
    </i>
    <i r="2">
      <x v="1"/>
    </i>
    <i>
      <x v="202"/>
    </i>
    <i r="1">
      <x v="104"/>
    </i>
    <i r="2">
      <x v="2"/>
    </i>
    <i>
      <x v="7"/>
    </i>
    <i r="1">
      <x v="82"/>
    </i>
    <i r="2">
      <x/>
    </i>
    <i>
      <x v="204"/>
    </i>
    <i r="1">
      <x v="105"/>
    </i>
    <i r="2">
      <x v="2"/>
    </i>
    <i>
      <x v="8"/>
    </i>
    <i r="1">
      <x v="96"/>
    </i>
    <i r="2">
      <x/>
    </i>
    <i>
      <x v="206"/>
    </i>
    <i r="1">
      <x v="106"/>
    </i>
    <i r="2">
      <x v="2"/>
    </i>
    <i>
      <x v="115"/>
    </i>
    <i r="1">
      <x v="45"/>
    </i>
    <i r="2">
      <x v="1"/>
    </i>
    <i>
      <x v="208"/>
    </i>
    <i r="1">
      <x v="107"/>
    </i>
    <i r="2">
      <x v="2"/>
    </i>
    <i>
      <x v="116"/>
    </i>
    <i r="1">
      <x v="45"/>
    </i>
    <i r="2">
      <x v="1"/>
    </i>
    <i>
      <x v="210"/>
    </i>
    <i r="1">
      <x v="108"/>
    </i>
    <i r="2">
      <x v="2"/>
    </i>
    <i>
      <x v="117"/>
    </i>
    <i r="1">
      <x v="45"/>
    </i>
    <i r="2">
      <x v="1"/>
    </i>
    <i>
      <x v="212"/>
    </i>
    <i r="1">
      <x v="108"/>
    </i>
    <i r="2">
      <x v="2"/>
    </i>
    <i>
      <x v="118"/>
    </i>
    <i r="1">
      <x v="46"/>
    </i>
    <i r="2">
      <x v="1"/>
    </i>
    <i>
      <x v="214"/>
    </i>
    <i r="1">
      <x v="109"/>
    </i>
    <i r="2">
      <x v="2"/>
    </i>
    <i>
      <x v="119"/>
    </i>
    <i r="1">
      <x v="46"/>
    </i>
    <i r="2">
      <x v="1"/>
    </i>
    <i>
      <x v="216"/>
    </i>
    <i r="1">
      <x v="109"/>
    </i>
    <i r="2">
      <x v="2"/>
    </i>
    <i>
      <x v="120"/>
    </i>
    <i r="1">
      <x v="47"/>
    </i>
    <i r="2">
      <x v="1"/>
    </i>
    <i>
      <x v="218"/>
    </i>
    <i r="1">
      <x v="111"/>
    </i>
    <i r="2">
      <x v="2"/>
    </i>
    <i>
      <x v="121"/>
    </i>
    <i r="1">
      <x v="48"/>
    </i>
    <i r="2">
      <x v="1"/>
    </i>
    <i>
      <x v="220"/>
    </i>
    <i r="1">
      <x v="112"/>
    </i>
    <i r="2">
      <x v="2"/>
    </i>
    <i>
      <x v="122"/>
    </i>
    <i r="1">
      <x v="49"/>
    </i>
    <i r="2">
      <x v="1"/>
    </i>
    <i>
      <x v="222"/>
    </i>
    <i r="1">
      <x v="114"/>
    </i>
    <i r="2">
      <x v="2"/>
    </i>
    <i>
      <x v="123"/>
    </i>
    <i r="1">
      <x v="49"/>
    </i>
    <i r="2">
      <x v="1"/>
    </i>
    <i>
      <x v="18"/>
    </i>
    <i r="1">
      <x v="231"/>
    </i>
    <i r="2">
      <x/>
    </i>
    <i>
      <x v="124"/>
    </i>
    <i r="1">
      <x v="49"/>
    </i>
    <i r="2">
      <x v="1"/>
    </i>
    <i>
      <x v="226"/>
    </i>
    <i r="1">
      <x v="121"/>
    </i>
    <i r="2">
      <x v="2"/>
    </i>
    <i>
      <x v="125"/>
    </i>
    <i r="1">
      <x v="50"/>
    </i>
    <i r="2">
      <x v="1"/>
    </i>
    <i>
      <x v="228"/>
    </i>
    <i r="1">
      <x v="123"/>
    </i>
    <i r="2">
      <x v="2"/>
    </i>
    <i>
      <x v="126"/>
    </i>
    <i r="1">
      <x v="52"/>
    </i>
    <i r="2">
      <x v="1"/>
    </i>
    <i>
      <x v="20"/>
    </i>
    <i r="1">
      <x v="264"/>
    </i>
    <i r="2">
      <x/>
    </i>
    <i>
      <x v="127"/>
    </i>
    <i r="1">
      <x v="53"/>
    </i>
    <i r="2">
      <x v="1"/>
    </i>
    <i>
      <x v="232"/>
    </i>
    <i r="1">
      <x v="126"/>
    </i>
    <i r="2">
      <x v="2"/>
    </i>
    <i>
      <x v="128"/>
    </i>
    <i r="1">
      <x v="54"/>
    </i>
    <i r="2">
      <x v="1"/>
    </i>
    <i>
      <x v="234"/>
    </i>
    <i r="1">
      <x v="127"/>
    </i>
    <i r="2">
      <x v="2"/>
    </i>
    <i>
      <x v="129"/>
    </i>
    <i r="1">
      <x v="54"/>
    </i>
    <i r="2">
      <x v="1"/>
    </i>
    <i>
      <x v="236"/>
    </i>
    <i r="1">
      <x v="128"/>
    </i>
    <i r="2">
      <x v="2"/>
    </i>
    <i>
      <x v="130"/>
    </i>
    <i r="1">
      <x v="54"/>
    </i>
    <i r="2">
      <x v="1"/>
    </i>
    <i>
      <x v="238"/>
    </i>
    <i r="1">
      <x v="129"/>
    </i>
    <i r="2">
      <x v="2"/>
    </i>
    <i>
      <x v="131"/>
    </i>
    <i r="1">
      <x v="56"/>
    </i>
    <i r="2">
      <x v="1"/>
    </i>
    <i>
      <x v="240"/>
    </i>
    <i r="1">
      <x v="130"/>
    </i>
    <i r="2">
      <x v="2"/>
    </i>
    <i>
      <x v="266"/>
    </i>
    <i r="1">
      <x v="149"/>
    </i>
    <i r="2">
      <x v="2"/>
    </i>
    <i>
      <x v="242"/>
    </i>
    <i r="1">
      <x v="130"/>
    </i>
    <i r="2">
      <x v="2"/>
    </i>
    <i>
      <x v="267"/>
    </i>
    <i r="1">
      <x v="149"/>
    </i>
    <i r="2">
      <x v="2"/>
    </i>
    <i>
      <x v="244"/>
    </i>
    <i r="1">
      <x v="131"/>
    </i>
    <i r="2">
      <x v="2"/>
    </i>
    <i>
      <x v="269"/>
    </i>
    <i r="1">
      <x v="150"/>
    </i>
    <i r="2">
      <x v="2"/>
    </i>
    <i>
      <x v="246"/>
    </i>
    <i r="1">
      <x v="132"/>
    </i>
    <i r="2">
      <x v="2"/>
    </i>
    <i>
      <x v="271"/>
    </i>
    <i r="1">
      <x v="153"/>
    </i>
    <i r="2">
      <x v="2"/>
    </i>
    <i>
      <x v="248"/>
    </i>
    <i r="1">
      <x v="134"/>
    </i>
    <i r="2">
      <x v="2"/>
    </i>
    <i>
      <x v="273"/>
    </i>
    <i r="1">
      <x v="155"/>
    </i>
    <i r="2">
      <x v="2"/>
    </i>
    <i>
      <x v="22"/>
    </i>
    <i r="1">
      <x v="264"/>
    </i>
    <i r="2">
      <x/>
    </i>
    <i>
      <x/>
    </i>
    <i r="1">
      <x v="5"/>
    </i>
    <i r="2">
      <x/>
    </i>
    <i>
      <x v="252"/>
    </i>
    <i r="1">
      <x v="140"/>
    </i>
    <i r="2">
      <x v="2"/>
    </i>
    <i>
      <x v="138"/>
    </i>
    <i r="1">
      <x v="59"/>
    </i>
    <i r="2">
      <x v="1"/>
    </i>
    <i>
      <x v="254"/>
    </i>
    <i r="1">
      <x v="141"/>
    </i>
    <i r="2">
      <x v="2"/>
    </i>
    <i>
      <x v="139"/>
    </i>
    <i r="1">
      <x v="60"/>
    </i>
    <i r="2">
      <x v="1"/>
    </i>
    <i>
      <x v="256"/>
    </i>
    <i r="1">
      <x v="143"/>
    </i>
    <i r="2">
      <x v="2"/>
    </i>
    <i>
      <x v="140"/>
    </i>
    <i r="1">
      <x v="60"/>
    </i>
    <i r="2">
      <x v="1"/>
    </i>
    <i>
      <x v="258"/>
    </i>
    <i r="1">
      <x v="143"/>
    </i>
    <i r="2">
      <x v="2"/>
    </i>
    <i>
      <x v="9"/>
    </i>
    <i r="1">
      <x v="96"/>
    </i>
    <i r="2">
      <x/>
    </i>
    <i>
      <x v="260"/>
    </i>
    <i r="1">
      <x v="144"/>
    </i>
    <i r="2">
      <x v="2"/>
    </i>
    <i>
      <x v="10"/>
    </i>
    <i r="1">
      <x v="117"/>
    </i>
    <i r="2">
      <x/>
    </i>
    <i>
      <x v="262"/>
    </i>
    <i r="1">
      <x v="145"/>
    </i>
    <i r="2">
      <x v="2"/>
    </i>
    <i>
      <x v="143"/>
    </i>
    <i r="1">
      <x v="62"/>
    </i>
    <i r="2">
      <x v="1"/>
    </i>
    <i>
      <x v="25"/>
    </i>
    <i r="1">
      <x v="7"/>
    </i>
    <i r="2">
      <x/>
    </i>
    <i>
      <x v="144"/>
    </i>
    <i r="1">
      <x v="62"/>
    </i>
    <i r="2">
      <x v="1"/>
    </i>
    <i>
      <x v="1"/>
    </i>
    <i r="1">
      <x v="55"/>
    </i>
    <i r="2">
      <x/>
    </i>
    <i>
      <x v="145"/>
    </i>
    <i r="1">
      <x v="63"/>
    </i>
    <i r="2">
      <x v="1"/>
    </i>
    <i>
      <x v="268"/>
    </i>
    <i r="1">
      <x v="150"/>
    </i>
    <i r="2">
      <x v="2"/>
    </i>
    <i>
      <x v="133"/>
    </i>
    <i r="1">
      <x v="57"/>
    </i>
    <i r="2">
      <x v="1"/>
    </i>
    <i>
      <x v="270"/>
    </i>
    <i r="1">
      <x v="152"/>
    </i>
    <i r="2">
      <x v="2"/>
    </i>
    <i>
      <x v="134"/>
    </i>
    <i r="1">
      <x v="58"/>
    </i>
    <i r="2">
      <x v="1"/>
    </i>
    <i>
      <x v="272"/>
    </i>
    <i r="1">
      <x v="154"/>
    </i>
    <i r="2">
      <x v="2"/>
    </i>
    <i>
      <x v="135"/>
    </i>
    <i r="1">
      <x v="58"/>
    </i>
    <i r="2">
      <x v="1"/>
    </i>
    <i>
      <x v="274"/>
    </i>
    <i r="1">
      <x v="155"/>
    </i>
    <i r="2">
      <x v="2"/>
    </i>
    <i>
      <x v="136"/>
    </i>
    <i r="1">
      <x v="58"/>
    </i>
    <i r="2">
      <x v="1"/>
    </i>
    <i>
      <x v="137"/>
    </i>
    <i r="1">
      <x v="58"/>
    </i>
    <i r="2">
      <x v="1"/>
    </i>
    <i t="grand">
      <x/>
    </i>
  </rowItems>
  <colItems count="1">
    <i/>
  </colItems>
  <dataFields count="1">
    <dataField name="Nombre de Denomination Sociale2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24FB2-8090-40B2-A159-207B4D8DB873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Entreprises Déclarantes dans RBE">
  <location ref="A1:A319" firstHeaderRow="1" firstDataRow="1" firstDataCol="1"/>
  <pivotFields count="14"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axis="axisRow" showAll="0">
      <items count="318">
        <item x="22"/>
        <item x="23"/>
        <item x="24"/>
        <item x="25"/>
        <item x="26"/>
        <item x="0"/>
        <item x="27"/>
        <item x="12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14"/>
        <item x="70"/>
        <item x="71"/>
        <item x="72"/>
        <item x="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5"/>
        <item x="96"/>
        <item x="97"/>
        <item x="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3"/>
        <item x="111"/>
        <item x="112"/>
        <item x="113"/>
        <item x="116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4"/>
        <item x="131"/>
        <item x="132"/>
        <item x="136"/>
        <item x="133"/>
        <item x="137"/>
        <item x="134"/>
        <item x="135"/>
        <item x="16"/>
        <item x="138"/>
        <item x="139"/>
        <item x="140"/>
        <item x="141"/>
        <item x="142"/>
        <item x="143"/>
        <item x="144"/>
        <item x="145"/>
        <item x="146"/>
        <item x="147"/>
        <item x="1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5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6"/>
        <item x="192"/>
        <item x="193"/>
        <item x="18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7"/>
        <item x="224"/>
        <item x="225"/>
        <item x="226"/>
        <item x="227"/>
        <item x="228"/>
        <item x="19"/>
        <item x="229"/>
        <item x="230"/>
        <item x="231"/>
        <item x="232"/>
        <item x="233"/>
        <item x="234"/>
        <item x="235"/>
        <item x="236"/>
        <item x="8"/>
        <item x="20"/>
        <item x="237"/>
        <item x="238"/>
        <item x="239"/>
        <item x="240"/>
        <item x="241"/>
        <item x="242"/>
        <item x="243"/>
        <item x="244"/>
        <item x="245"/>
        <item x="9"/>
        <item x="246"/>
        <item x="247"/>
        <item x="248"/>
        <item x="249"/>
        <item x="250"/>
        <item x="251"/>
        <item x="252"/>
        <item x="253"/>
        <item x="2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0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11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381F5-1D3F-40B9-8375-BDBF7C6DD9A5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Entreprises ayant des titres miniers">
  <location ref="A1:A415" firstHeaderRow="1" firstDataRow="1" firstDataCol="1"/>
  <pivotFields count="13">
    <pivotField showAll="0"/>
    <pivotField showAll="0"/>
    <pivotField axis="axisRow" showAll="0">
      <items count="414">
        <item x="79"/>
        <item x="306"/>
        <item x="238"/>
        <item x="197"/>
        <item x="138"/>
        <item x="174"/>
        <item x="344"/>
        <item x="289"/>
        <item x="355"/>
        <item x="177"/>
        <item x="349"/>
        <item x="42"/>
        <item x="253"/>
        <item x="342"/>
        <item x="73"/>
        <item x="411"/>
        <item x="53"/>
        <item x="350"/>
        <item x="214"/>
        <item x="60"/>
        <item x="255"/>
        <item x="161"/>
        <item x="368"/>
        <item x="155"/>
        <item x="267"/>
        <item x="232"/>
        <item x="266"/>
        <item x="126"/>
        <item x="272"/>
        <item x="300"/>
        <item x="172"/>
        <item x="100"/>
        <item x="194"/>
        <item x="115"/>
        <item x="320"/>
        <item x="81"/>
        <item x="75"/>
        <item x="307"/>
        <item x="93"/>
        <item x="123"/>
        <item x="354"/>
        <item x="43"/>
        <item x="148"/>
        <item x="375"/>
        <item x="159"/>
        <item x="65"/>
        <item x="124"/>
        <item x="104"/>
        <item x="217"/>
        <item x="309"/>
        <item x="224"/>
        <item x="91"/>
        <item x="178"/>
        <item x="34"/>
        <item x="54"/>
        <item x="107"/>
        <item x="18"/>
        <item x="154"/>
        <item x="29"/>
        <item x="398"/>
        <item x="326"/>
        <item x="396"/>
        <item x="139"/>
        <item x="369"/>
        <item x="351"/>
        <item x="332"/>
        <item x="140"/>
        <item x="147"/>
        <item x="108"/>
        <item x="246"/>
        <item x="10"/>
        <item x="353"/>
        <item x="405"/>
        <item x="359"/>
        <item x="389"/>
        <item x="377"/>
        <item x="360"/>
        <item x="301"/>
        <item x="357"/>
        <item x="0"/>
        <item x="78"/>
        <item x="4"/>
        <item x="6"/>
        <item x="374"/>
        <item x="191"/>
        <item x="223"/>
        <item x="28"/>
        <item x="402"/>
        <item x="40"/>
        <item x="262"/>
        <item x="381"/>
        <item x="277"/>
        <item x="112"/>
        <item x="395"/>
        <item x="17"/>
        <item x="343"/>
        <item x="367"/>
        <item x="382"/>
        <item x="304"/>
        <item x="390"/>
        <item x="393"/>
        <item x="288"/>
        <item x="165"/>
        <item x="22"/>
        <item x="142"/>
        <item x="263"/>
        <item x="345"/>
        <item x="195"/>
        <item x="234"/>
        <item x="128"/>
        <item x="92"/>
        <item x="356"/>
        <item x="113"/>
        <item x="337"/>
        <item x="170"/>
        <item x="133"/>
        <item x="247"/>
        <item x="153"/>
        <item x="329"/>
        <item x="331"/>
        <item x="189"/>
        <item x="379"/>
        <item x="2"/>
        <item x="378"/>
        <item x="339"/>
        <item x="328"/>
        <item x="338"/>
        <item x="68"/>
        <item x="50"/>
        <item x="151"/>
        <item x="285"/>
        <item x="21"/>
        <item x="187"/>
        <item x="160"/>
        <item x="334"/>
        <item x="119"/>
        <item x="77"/>
        <item x="158"/>
        <item x="257"/>
        <item x="71"/>
        <item x="282"/>
        <item x="35"/>
        <item x="218"/>
        <item x="235"/>
        <item x="215"/>
        <item x="55"/>
        <item x="74"/>
        <item x="57"/>
        <item x="384"/>
        <item x="401"/>
        <item x="279"/>
        <item x="264"/>
        <item x="109"/>
        <item x="7"/>
        <item x="5"/>
        <item x="186"/>
        <item x="114"/>
        <item x="273"/>
        <item x="171"/>
        <item x="135"/>
        <item x="198"/>
        <item x="315"/>
        <item x="26"/>
        <item x="220"/>
        <item x="271"/>
        <item x="408"/>
        <item x="254"/>
        <item x="173"/>
        <item x="231"/>
        <item x="96"/>
        <item x="258"/>
        <item x="340"/>
        <item x="179"/>
        <item x="358"/>
        <item x="276"/>
        <item x="145"/>
        <item x="321"/>
        <item x="226"/>
        <item x="237"/>
        <item x="62"/>
        <item x="299"/>
        <item x="325"/>
        <item x="370"/>
        <item x="90"/>
        <item x="323"/>
        <item x="61"/>
        <item x="48"/>
        <item x="105"/>
        <item x="176"/>
        <item x="383"/>
        <item x="82"/>
        <item x="227"/>
        <item x="136"/>
        <item x="352"/>
        <item x="207"/>
        <item x="146"/>
        <item x="69"/>
        <item x="283"/>
        <item x="15"/>
        <item x="236"/>
        <item x="131"/>
        <item x="346"/>
        <item x="134"/>
        <item x="209"/>
        <item x="274"/>
        <item x="184"/>
        <item x="252"/>
        <item x="225"/>
        <item x="166"/>
        <item x="127"/>
        <item x="241"/>
        <item x="106"/>
        <item x="245"/>
        <item x="239"/>
        <item x="87"/>
        <item x="399"/>
        <item x="9"/>
        <item x="111"/>
        <item x="46"/>
        <item x="303"/>
        <item x="290"/>
        <item x="365"/>
        <item x="366"/>
        <item x="249"/>
        <item x="284"/>
        <item x="348"/>
        <item x="85"/>
        <item x="228"/>
        <item x="143"/>
        <item x="293"/>
        <item x="188"/>
        <item x="164"/>
        <item x="298"/>
        <item x="297"/>
        <item x="330"/>
        <item x="204"/>
        <item x="361"/>
        <item x="45"/>
        <item x="388"/>
        <item x="278"/>
        <item x="286"/>
        <item x="16"/>
        <item x="36"/>
        <item x="392"/>
        <item x="180"/>
        <item x="97"/>
        <item x="141"/>
        <item x="371"/>
        <item x="380"/>
        <item x="376"/>
        <item x="410"/>
        <item x="409"/>
        <item x="44"/>
        <item x="386"/>
        <item x="70"/>
        <item x="150"/>
        <item x="212"/>
        <item x="275"/>
        <item x="248"/>
        <item x="102"/>
        <item x="203"/>
        <item x="206"/>
        <item x="317"/>
        <item x="387"/>
        <item x="190"/>
        <item x="291"/>
        <item x="152"/>
        <item x="406"/>
        <item x="372"/>
        <item x="19"/>
        <item x="37"/>
        <item x="58"/>
        <item x="250"/>
        <item x="324"/>
        <item x="201"/>
        <item x="156"/>
        <item x="341"/>
        <item x="347"/>
        <item x="121"/>
        <item x="86"/>
        <item x="319"/>
        <item x="233"/>
        <item x="244"/>
        <item x="157"/>
        <item x="219"/>
        <item x="47"/>
        <item x="72"/>
        <item x="1"/>
        <item x="84"/>
        <item x="314"/>
        <item x="101"/>
        <item x="137"/>
        <item x="181"/>
        <item x="83"/>
        <item x="373"/>
        <item x="31"/>
        <item x="308"/>
        <item x="251"/>
        <item x="122"/>
        <item x="12"/>
        <item x="363"/>
        <item x="66"/>
        <item x="169"/>
        <item x="182"/>
        <item x="183"/>
        <item x="312"/>
        <item x="318"/>
        <item x="99"/>
        <item x="311"/>
        <item x="259"/>
        <item x="175"/>
        <item x="94"/>
        <item x="199"/>
        <item x="30"/>
        <item x="230"/>
        <item x="59"/>
        <item x="132"/>
        <item x="192"/>
        <item x="294"/>
        <item x="364"/>
        <item x="8"/>
        <item x="163"/>
        <item x="208"/>
        <item x="313"/>
        <item x="27"/>
        <item x="404"/>
        <item x="287"/>
        <item x="25"/>
        <item x="120"/>
        <item x="149"/>
        <item x="129"/>
        <item x="269"/>
        <item x="185"/>
        <item x="210"/>
        <item x="403"/>
        <item x="41"/>
        <item x="196"/>
        <item x="281"/>
        <item x="333"/>
        <item x="310"/>
        <item x="49"/>
        <item x="362"/>
        <item x="295"/>
        <item x="80"/>
        <item x="13"/>
        <item x="14"/>
        <item x="64"/>
        <item x="118"/>
        <item x="316"/>
        <item x="327"/>
        <item x="11"/>
        <item x="39"/>
        <item x="385"/>
        <item x="103"/>
        <item x="23"/>
        <item x="38"/>
        <item x="24"/>
        <item x="229"/>
        <item x="400"/>
        <item x="305"/>
        <item x="292"/>
        <item x="193"/>
        <item x="33"/>
        <item x="202"/>
        <item x="242"/>
        <item x="407"/>
        <item x="88"/>
        <item x="296"/>
        <item x="63"/>
        <item x="3"/>
        <item x="270"/>
        <item x="302"/>
        <item x="200"/>
        <item x="110"/>
        <item x="125"/>
        <item x="256"/>
        <item x="89"/>
        <item x="144"/>
        <item x="412"/>
        <item x="168"/>
        <item x="240"/>
        <item x="216"/>
        <item x="95"/>
        <item x="52"/>
        <item x="20"/>
        <item x="335"/>
        <item x="222"/>
        <item x="260"/>
        <item x="76"/>
        <item x="116"/>
        <item x="211"/>
        <item x="130"/>
        <item x="397"/>
        <item x="167"/>
        <item x="117"/>
        <item x="394"/>
        <item x="243"/>
        <item x="268"/>
        <item x="67"/>
        <item x="51"/>
        <item x="32"/>
        <item x="265"/>
        <item x="336"/>
        <item x="322"/>
        <item x="56"/>
        <item x="221"/>
        <item x="261"/>
        <item x="391"/>
        <item x="205"/>
        <item x="213"/>
        <item x="280"/>
        <item x="162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DE83B-4F37-490C-A874-B20735A37A1A}" name="Tableau croisé dynamique17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Entreprises sous traitant">
  <location ref="A1:A43" firstHeaderRow="1" firstDataRow="1" firstDataCol="1"/>
  <pivotFields count="4">
    <pivotField axis="axisRow" showAll="0">
      <items count="42">
        <item x="18"/>
        <item x="10"/>
        <item x="3"/>
        <item x="2"/>
        <item x="37"/>
        <item x="15"/>
        <item x="23"/>
        <item x="6"/>
        <item x="0"/>
        <item x="40"/>
        <item x="5"/>
        <item x="29"/>
        <item x="25"/>
        <item x="7"/>
        <item x="28"/>
        <item x="27"/>
        <item x="36"/>
        <item x="1"/>
        <item x="30"/>
        <item x="14"/>
        <item x="33"/>
        <item x="8"/>
        <item x="38"/>
        <item x="19"/>
        <item x="13"/>
        <item x="34"/>
        <item x="4"/>
        <item x="12"/>
        <item x="17"/>
        <item x="11"/>
        <item x="20"/>
        <item x="21"/>
        <item x="9"/>
        <item x="16"/>
        <item x="39"/>
        <item x="26"/>
        <item x="35"/>
        <item x="24"/>
        <item x="32"/>
        <item x="22"/>
        <item x="31"/>
        <item t="default"/>
      </items>
    </pivotField>
    <pivotField showAll="0"/>
    <pivotField showAll="0"/>
    <pivotField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1ED9E-91BD-44C3-BB1D-E5358D07F157}" name="Tableau croisé dynamique20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A5" firstHeaderRow="1" firstDataRow="1" firstDataCol="0" rowPageCount="1" colPageCount="1"/>
  <pivotFields count="15">
    <pivotField showAll="0"/>
    <pivotField showAll="0"/>
    <pivotField axis="axisPage" dataField="1" multipleItemSelectionAllowed="1" showAll="0">
      <items count="455">
        <item x="79"/>
        <item x="306"/>
        <item x="238"/>
        <item x="197"/>
        <item x="138"/>
        <item x="174"/>
        <item x="431"/>
        <item x="344"/>
        <item x="289"/>
        <item x="423"/>
        <item x="355"/>
        <item x="177"/>
        <item x="349"/>
        <item x="416"/>
        <item x="42"/>
        <item x="253"/>
        <item x="342"/>
        <item x="73"/>
        <item x="411"/>
        <item x="53"/>
        <item x="350"/>
        <item x="214"/>
        <item x="60"/>
        <item x="255"/>
        <item x="161"/>
        <item x="368"/>
        <item x="155"/>
        <item x="267"/>
        <item x="232"/>
        <item x="266"/>
        <item x="126"/>
        <item x="272"/>
        <item x="300"/>
        <item x="415"/>
        <item x="172"/>
        <item x="100"/>
        <item x="194"/>
        <item x="115"/>
        <item x="320"/>
        <item x="81"/>
        <item x="75"/>
        <item x="307"/>
        <item x="93"/>
        <item x="123"/>
        <item x="354"/>
        <item x="43"/>
        <item x="148"/>
        <item x="375"/>
        <item x="159"/>
        <item x="450"/>
        <item x="65"/>
        <item x="124"/>
        <item x="104"/>
        <item x="217"/>
        <item x="309"/>
        <item x="224"/>
        <item x="428"/>
        <item x="91"/>
        <item x="178"/>
        <item x="34"/>
        <item x="54"/>
        <item x="436"/>
        <item x="107"/>
        <item x="18"/>
        <item x="154"/>
        <item x="29"/>
        <item x="398"/>
        <item x="326"/>
        <item x="419"/>
        <item x="413"/>
        <item x="396"/>
        <item x="139"/>
        <item x="369"/>
        <item x="351"/>
        <item x="332"/>
        <item x="140"/>
        <item x="147"/>
        <item x="108"/>
        <item x="246"/>
        <item x="10"/>
        <item x="453"/>
        <item x="353"/>
        <item x="405"/>
        <item x="359"/>
        <item x="389"/>
        <item x="377"/>
        <item x="360"/>
        <item x="301"/>
        <item x="357"/>
        <item x="0"/>
        <item x="78"/>
        <item x="4"/>
        <item x="6"/>
        <item x="374"/>
        <item x="191"/>
        <item x="223"/>
        <item x="28"/>
        <item x="402"/>
        <item x="40"/>
        <item x="262"/>
        <item x="418"/>
        <item x="381"/>
        <item x="277"/>
        <item x="112"/>
        <item x="395"/>
        <item x="17"/>
        <item x="343"/>
        <item x="367"/>
        <item x="382"/>
        <item x="304"/>
        <item x="390"/>
        <item x="393"/>
        <item x="288"/>
        <item x="165"/>
        <item x="22"/>
        <item x="142"/>
        <item x="263"/>
        <item x="345"/>
        <item x="195"/>
        <item x="234"/>
        <item x="128"/>
        <item x="92"/>
        <item x="442"/>
        <item x="438"/>
        <item x="356"/>
        <item x="113"/>
        <item x="337"/>
        <item x="420"/>
        <item x="170"/>
        <item x="133"/>
        <item x="247"/>
        <item x="153"/>
        <item x="441"/>
        <item x="329"/>
        <item x="331"/>
        <item x="189"/>
        <item x="379"/>
        <item x="2"/>
        <item x="378"/>
        <item x="339"/>
        <item x="328"/>
        <item x="338"/>
        <item x="68"/>
        <item x="50"/>
        <item x="151"/>
        <item x="285"/>
        <item x="21"/>
        <item x="187"/>
        <item x="440"/>
        <item x="160"/>
        <item x="334"/>
        <item x="119"/>
        <item x="77"/>
        <item x="158"/>
        <item x="257"/>
        <item x="71"/>
        <item x="282"/>
        <item x="35"/>
        <item x="218"/>
        <item x="235"/>
        <item x="215"/>
        <item x="449"/>
        <item x="414"/>
        <item x="443"/>
        <item x="55"/>
        <item x="74"/>
        <item x="57"/>
        <item x="384"/>
        <item x="401"/>
        <item x="279"/>
        <item x="264"/>
        <item x="109"/>
        <item x="7"/>
        <item x="5"/>
        <item x="186"/>
        <item x="114"/>
        <item x="273"/>
        <item x="171"/>
        <item x="135"/>
        <item x="198"/>
        <item x="427"/>
        <item x="315"/>
        <item x="26"/>
        <item x="220"/>
        <item x="271"/>
        <item x="408"/>
        <item x="254"/>
        <item x="173"/>
        <item x="231"/>
        <item x="96"/>
        <item x="258"/>
        <item x="340"/>
        <item x="179"/>
        <item x="358"/>
        <item x="276"/>
        <item x="145"/>
        <item x="321"/>
        <item x="226"/>
        <item x="237"/>
        <item x="62"/>
        <item x="299"/>
        <item x="325"/>
        <item x="370"/>
        <item x="90"/>
        <item x="323"/>
        <item x="61"/>
        <item x="48"/>
        <item x="105"/>
        <item x="176"/>
        <item x="446"/>
        <item x="383"/>
        <item x="421"/>
        <item x="82"/>
        <item x="227"/>
        <item x="136"/>
        <item x="352"/>
        <item x="207"/>
        <item x="146"/>
        <item x="69"/>
        <item x="283"/>
        <item x="15"/>
        <item x="451"/>
        <item x="236"/>
        <item x="131"/>
        <item x="346"/>
        <item x="134"/>
        <item x="209"/>
        <item x="274"/>
        <item x="184"/>
        <item x="252"/>
        <item x="225"/>
        <item x="166"/>
        <item x="127"/>
        <item x="241"/>
        <item x="106"/>
        <item x="245"/>
        <item x="432"/>
        <item x="239"/>
        <item x="87"/>
        <item x="399"/>
        <item x="9"/>
        <item x="426"/>
        <item x="111"/>
        <item x="447"/>
        <item x="46"/>
        <item x="303"/>
        <item x="290"/>
        <item x="365"/>
        <item x="366"/>
        <item x="249"/>
        <item x="284"/>
        <item x="348"/>
        <item x="85"/>
        <item x="228"/>
        <item x="143"/>
        <item x="417"/>
        <item x="293"/>
        <item x="188"/>
        <item x="164"/>
        <item x="298"/>
        <item x="297"/>
        <item x="330"/>
        <item x="204"/>
        <item x="361"/>
        <item x="45"/>
        <item x="388"/>
        <item x="278"/>
        <item x="425"/>
        <item x="286"/>
        <item x="16"/>
        <item x="36"/>
        <item x="392"/>
        <item x="180"/>
        <item x="430"/>
        <item x="424"/>
        <item x="433"/>
        <item x="97"/>
        <item x="141"/>
        <item x="371"/>
        <item x="380"/>
        <item x="376"/>
        <item x="410"/>
        <item x="409"/>
        <item x="44"/>
        <item x="386"/>
        <item x="70"/>
        <item x="150"/>
        <item x="212"/>
        <item x="275"/>
        <item x="248"/>
        <item x="102"/>
        <item x="203"/>
        <item x="206"/>
        <item x="317"/>
        <item x="387"/>
        <item x="434"/>
        <item x="422"/>
        <item x="190"/>
        <item x="291"/>
        <item x="152"/>
        <item x="406"/>
        <item x="372"/>
        <item x="19"/>
        <item x="37"/>
        <item x="429"/>
        <item x="58"/>
        <item x="250"/>
        <item x="324"/>
        <item x="201"/>
        <item x="156"/>
        <item x="341"/>
        <item x="347"/>
        <item x="121"/>
        <item x="86"/>
        <item x="319"/>
        <item x="233"/>
        <item x="244"/>
        <item x="157"/>
        <item x="452"/>
        <item x="439"/>
        <item x="219"/>
        <item x="47"/>
        <item x="72"/>
        <item x="1"/>
        <item x="84"/>
        <item x="314"/>
        <item x="101"/>
        <item x="137"/>
        <item x="181"/>
        <item x="83"/>
        <item x="448"/>
        <item x="373"/>
        <item x="31"/>
        <item x="308"/>
        <item x="251"/>
        <item x="122"/>
        <item x="12"/>
        <item x="363"/>
        <item x="66"/>
        <item x="169"/>
        <item x="182"/>
        <item x="183"/>
        <item x="312"/>
        <item x="318"/>
        <item x="99"/>
        <item x="311"/>
        <item x="259"/>
        <item x="175"/>
        <item x="94"/>
        <item x="199"/>
        <item x="30"/>
        <item x="230"/>
        <item x="437"/>
        <item x="59"/>
        <item x="132"/>
        <item x="192"/>
        <item x="294"/>
        <item x="364"/>
        <item x="8"/>
        <item x="163"/>
        <item x="208"/>
        <item x="313"/>
        <item x="27"/>
        <item x="404"/>
        <item x="287"/>
        <item x="25"/>
        <item x="120"/>
        <item x="149"/>
        <item x="129"/>
        <item x="269"/>
        <item x="185"/>
        <item x="210"/>
        <item x="403"/>
        <item x="41"/>
        <item x="196"/>
        <item x="281"/>
        <item x="333"/>
        <item x="310"/>
        <item x="49"/>
        <item x="362"/>
        <item x="295"/>
        <item x="80"/>
        <item x="13"/>
        <item x="14"/>
        <item x="64"/>
        <item x="118"/>
        <item x="316"/>
        <item x="327"/>
        <item x="11"/>
        <item x="39"/>
        <item x="385"/>
        <item x="103"/>
        <item x="23"/>
        <item x="38"/>
        <item x="24"/>
        <item x="229"/>
        <item x="400"/>
        <item x="305"/>
        <item x="292"/>
        <item x="193"/>
        <item x="33"/>
        <item x="202"/>
        <item x="242"/>
        <item x="407"/>
        <item x="88"/>
        <item x="296"/>
        <item x="63"/>
        <item x="3"/>
        <item x="270"/>
        <item x="302"/>
        <item x="200"/>
        <item x="110"/>
        <item x="125"/>
        <item x="256"/>
        <item x="89"/>
        <item x="144"/>
        <item x="412"/>
        <item x="168"/>
        <item x="240"/>
        <item x="216"/>
        <item x="95"/>
        <item x="52"/>
        <item x="20"/>
        <item x="335"/>
        <item x="222"/>
        <item x="260"/>
        <item x="76"/>
        <item x="116"/>
        <item x="211"/>
        <item x="130"/>
        <item x="397"/>
        <item x="167"/>
        <item x="117"/>
        <item x="394"/>
        <item x="243"/>
        <item x="445"/>
        <item x="435"/>
        <item x="268"/>
        <item x="67"/>
        <item x="51"/>
        <item x="32"/>
        <item x="265"/>
        <item x="336"/>
        <item x="322"/>
        <item x="56"/>
        <item x="221"/>
        <item x="444"/>
        <item x="261"/>
        <item x="391"/>
        <item x="205"/>
        <item x="213"/>
        <item x="280"/>
        <item x="162"/>
        <item x="9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2" hier="-1"/>
  </pageFields>
  <dataFields count="1">
    <dataField name="Nombre de Part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B0B1A-23A1-47F4-89EA-E2CF5A77C013}" name="Tableau croisé dynamique24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417" firstHeaderRow="1" firstDataRow="1" firstDataCol="1"/>
  <pivotFields count="13">
    <pivotField showAll="0"/>
    <pivotField axis="axisRow" showAll="0">
      <items count="414">
        <item x="79"/>
        <item x="306"/>
        <item x="238"/>
        <item x="197"/>
        <item x="138"/>
        <item x="174"/>
        <item x="344"/>
        <item x="289"/>
        <item x="355"/>
        <item x="177"/>
        <item x="349"/>
        <item x="42"/>
        <item x="253"/>
        <item x="342"/>
        <item x="73"/>
        <item x="411"/>
        <item x="53"/>
        <item x="350"/>
        <item x="214"/>
        <item x="60"/>
        <item x="255"/>
        <item x="161"/>
        <item x="368"/>
        <item x="155"/>
        <item x="267"/>
        <item x="232"/>
        <item x="266"/>
        <item x="126"/>
        <item x="272"/>
        <item x="300"/>
        <item x="172"/>
        <item x="100"/>
        <item x="194"/>
        <item x="115"/>
        <item x="320"/>
        <item x="81"/>
        <item x="75"/>
        <item x="307"/>
        <item x="93"/>
        <item x="123"/>
        <item x="354"/>
        <item x="43"/>
        <item x="148"/>
        <item x="375"/>
        <item x="159"/>
        <item x="65"/>
        <item x="124"/>
        <item x="104"/>
        <item x="217"/>
        <item x="309"/>
        <item x="224"/>
        <item x="91"/>
        <item x="178"/>
        <item x="34"/>
        <item x="54"/>
        <item x="107"/>
        <item x="18"/>
        <item x="154"/>
        <item x="29"/>
        <item x="398"/>
        <item x="326"/>
        <item x="396"/>
        <item x="139"/>
        <item x="369"/>
        <item x="351"/>
        <item x="332"/>
        <item x="140"/>
        <item x="147"/>
        <item x="108"/>
        <item x="246"/>
        <item x="10"/>
        <item x="353"/>
        <item x="405"/>
        <item x="359"/>
        <item x="389"/>
        <item x="377"/>
        <item x="360"/>
        <item x="301"/>
        <item x="357"/>
        <item x="0"/>
        <item x="78"/>
        <item x="4"/>
        <item x="6"/>
        <item x="374"/>
        <item x="191"/>
        <item x="223"/>
        <item x="28"/>
        <item x="402"/>
        <item x="40"/>
        <item x="262"/>
        <item x="381"/>
        <item x="277"/>
        <item x="112"/>
        <item x="395"/>
        <item x="17"/>
        <item x="343"/>
        <item x="367"/>
        <item x="382"/>
        <item x="304"/>
        <item x="390"/>
        <item x="393"/>
        <item x="288"/>
        <item x="165"/>
        <item x="22"/>
        <item x="142"/>
        <item x="263"/>
        <item x="345"/>
        <item x="195"/>
        <item x="234"/>
        <item x="128"/>
        <item x="92"/>
        <item x="356"/>
        <item x="113"/>
        <item x="337"/>
        <item x="170"/>
        <item x="133"/>
        <item x="247"/>
        <item x="153"/>
        <item x="329"/>
        <item x="331"/>
        <item x="189"/>
        <item x="379"/>
        <item x="2"/>
        <item x="378"/>
        <item x="339"/>
        <item x="328"/>
        <item x="338"/>
        <item x="68"/>
        <item x="50"/>
        <item x="151"/>
        <item x="285"/>
        <item x="21"/>
        <item x="187"/>
        <item x="160"/>
        <item x="334"/>
        <item x="119"/>
        <item x="77"/>
        <item x="158"/>
        <item x="257"/>
        <item x="71"/>
        <item x="282"/>
        <item x="35"/>
        <item x="218"/>
        <item x="235"/>
        <item x="215"/>
        <item x="55"/>
        <item x="74"/>
        <item x="57"/>
        <item x="384"/>
        <item x="401"/>
        <item x="279"/>
        <item x="264"/>
        <item x="109"/>
        <item x="7"/>
        <item x="5"/>
        <item x="186"/>
        <item x="114"/>
        <item x="273"/>
        <item x="171"/>
        <item x="135"/>
        <item x="198"/>
        <item x="315"/>
        <item x="26"/>
        <item x="220"/>
        <item x="271"/>
        <item x="408"/>
        <item x="254"/>
        <item x="173"/>
        <item x="231"/>
        <item x="96"/>
        <item x="258"/>
        <item x="340"/>
        <item x="179"/>
        <item x="358"/>
        <item x="276"/>
        <item x="145"/>
        <item x="321"/>
        <item x="226"/>
        <item x="237"/>
        <item x="62"/>
        <item x="299"/>
        <item x="325"/>
        <item x="370"/>
        <item x="90"/>
        <item x="323"/>
        <item x="61"/>
        <item x="48"/>
        <item x="105"/>
        <item x="176"/>
        <item x="383"/>
        <item x="82"/>
        <item x="227"/>
        <item x="136"/>
        <item x="352"/>
        <item x="207"/>
        <item x="146"/>
        <item x="69"/>
        <item x="283"/>
        <item x="15"/>
        <item x="236"/>
        <item x="131"/>
        <item x="346"/>
        <item x="134"/>
        <item x="209"/>
        <item x="274"/>
        <item x="184"/>
        <item x="252"/>
        <item x="225"/>
        <item x="166"/>
        <item x="127"/>
        <item x="241"/>
        <item x="106"/>
        <item x="245"/>
        <item x="239"/>
        <item x="87"/>
        <item x="399"/>
        <item x="9"/>
        <item x="111"/>
        <item x="46"/>
        <item x="303"/>
        <item x="290"/>
        <item x="365"/>
        <item x="366"/>
        <item x="249"/>
        <item x="284"/>
        <item x="348"/>
        <item x="85"/>
        <item x="228"/>
        <item x="143"/>
        <item x="293"/>
        <item x="188"/>
        <item x="164"/>
        <item x="298"/>
        <item x="297"/>
        <item x="330"/>
        <item x="204"/>
        <item x="361"/>
        <item x="45"/>
        <item x="388"/>
        <item x="278"/>
        <item x="286"/>
        <item x="16"/>
        <item x="36"/>
        <item x="392"/>
        <item x="180"/>
        <item x="97"/>
        <item x="141"/>
        <item x="371"/>
        <item x="380"/>
        <item x="376"/>
        <item x="410"/>
        <item x="409"/>
        <item x="44"/>
        <item x="386"/>
        <item x="70"/>
        <item x="150"/>
        <item x="212"/>
        <item x="275"/>
        <item x="248"/>
        <item x="102"/>
        <item x="203"/>
        <item x="206"/>
        <item x="317"/>
        <item x="387"/>
        <item x="190"/>
        <item x="291"/>
        <item x="152"/>
        <item x="406"/>
        <item x="372"/>
        <item x="19"/>
        <item x="37"/>
        <item x="58"/>
        <item x="250"/>
        <item x="324"/>
        <item x="201"/>
        <item x="156"/>
        <item x="341"/>
        <item x="347"/>
        <item x="121"/>
        <item x="86"/>
        <item x="319"/>
        <item x="233"/>
        <item x="244"/>
        <item x="157"/>
        <item x="219"/>
        <item x="47"/>
        <item x="72"/>
        <item x="1"/>
        <item x="84"/>
        <item x="314"/>
        <item x="101"/>
        <item x="137"/>
        <item x="181"/>
        <item x="83"/>
        <item x="373"/>
        <item x="31"/>
        <item x="308"/>
        <item x="251"/>
        <item x="122"/>
        <item x="12"/>
        <item x="363"/>
        <item x="66"/>
        <item x="169"/>
        <item x="182"/>
        <item x="183"/>
        <item x="312"/>
        <item x="318"/>
        <item x="99"/>
        <item x="311"/>
        <item x="259"/>
        <item x="175"/>
        <item x="94"/>
        <item x="199"/>
        <item x="30"/>
        <item x="230"/>
        <item x="59"/>
        <item x="132"/>
        <item x="192"/>
        <item x="294"/>
        <item x="364"/>
        <item x="8"/>
        <item x="163"/>
        <item x="208"/>
        <item x="313"/>
        <item x="27"/>
        <item x="404"/>
        <item x="287"/>
        <item x="25"/>
        <item x="120"/>
        <item x="149"/>
        <item x="129"/>
        <item x="269"/>
        <item x="185"/>
        <item x="210"/>
        <item x="403"/>
        <item x="41"/>
        <item x="196"/>
        <item x="281"/>
        <item x="333"/>
        <item x="310"/>
        <item x="49"/>
        <item x="362"/>
        <item x="295"/>
        <item x="80"/>
        <item x="13"/>
        <item x="14"/>
        <item x="64"/>
        <item x="118"/>
        <item x="316"/>
        <item x="327"/>
        <item x="11"/>
        <item x="39"/>
        <item x="385"/>
        <item x="103"/>
        <item x="23"/>
        <item x="38"/>
        <item x="24"/>
        <item x="229"/>
        <item x="400"/>
        <item x="305"/>
        <item x="292"/>
        <item x="193"/>
        <item x="33"/>
        <item x="202"/>
        <item x="242"/>
        <item x="407"/>
        <item x="88"/>
        <item x="296"/>
        <item x="63"/>
        <item x="3"/>
        <item x="270"/>
        <item x="302"/>
        <item x="200"/>
        <item x="110"/>
        <item x="125"/>
        <item x="256"/>
        <item x="89"/>
        <item x="144"/>
        <item x="412"/>
        <item x="168"/>
        <item x="240"/>
        <item x="216"/>
        <item x="95"/>
        <item x="52"/>
        <item x="20"/>
        <item x="335"/>
        <item x="222"/>
        <item x="260"/>
        <item x="76"/>
        <item x="116"/>
        <item x="211"/>
        <item x="130"/>
        <item x="397"/>
        <item x="167"/>
        <item x="117"/>
        <item x="394"/>
        <item x="243"/>
        <item x="268"/>
        <item x="67"/>
        <item x="51"/>
        <item x="32"/>
        <item x="265"/>
        <item x="336"/>
        <item x="322"/>
        <item x="56"/>
        <item x="221"/>
        <item x="261"/>
        <item x="391"/>
        <item x="205"/>
        <item x="213"/>
        <item x="280"/>
        <item x="162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9FAF2E-043D-458A-87F6-D92AB5E5B505}" name="Tableau1" displayName="Tableau1" ref="A1:M556" totalsRowShown="0" headerRowDxfId="26" dataDxfId="24" headerRowBorderDxfId="25" tableBorderDxfId="23" totalsRowBorderDxfId="22">
  <autoFilter ref="A1:M556" xr:uid="{C6EB2DEC-4385-4AE1-B44F-476F960FA105}"/>
  <tableColumns count="13">
    <tableColumn id="1" xr3:uid="{90540983-FAA8-4502-8DC9-64BE8EB96CD5}" name="Code" dataDxfId="21"/>
    <tableColumn id="2" xr3:uid="{E0F329A0-674B-46F7-B406-742B00368C83}" name="Entreprise Titulaire" dataDxfId="20"/>
    <tableColumn id="3" xr3:uid="{3771D4C2-30E4-4AEE-9733-7BC474AAC0D1}" name="Type" dataDxfId="19"/>
    <tableColumn id="4" xr3:uid="{6ADE6148-39D5-4542-98EC-26A1F9ED44BB}" name="Substances" dataDxfId="18"/>
    <tableColumn id="5" xr3:uid="{ACDD4E41-8623-40DA-B8BD-725D3D581477}" name="Statut" dataDxfId="17"/>
    <tableColumn id="6" xr3:uid="{E8CC223B-9751-4B40-B622-249CCC35615C}" name="Région" dataDxfId="16"/>
    <tableColumn id="7" xr3:uid="{F41A270E-1D04-44D9-8107-BF122951AA4E}" name="Date Octroi" dataDxfId="15"/>
    <tableColumn id="8" xr3:uid="{4CC3D784-85E6-4E9E-A127-CDB9F0F05C58}" name="Date Expiration" dataDxfId="14"/>
    <tableColumn id="9" xr3:uid="{16A1CC97-1B96-4751-8051-DA8B19B6E19C}" name="Année Octroi" dataDxfId="13"/>
    <tableColumn id="10" xr3:uid="{FFA6963C-3B9F-42F7-8DF3-F1A71BAE57F4}" name="Correspondance RBE" dataDxfId="12"/>
    <tableColumn id="11" xr3:uid="{087F7376-A461-4D34-B3E1-A83D4EEBA987}" name="Score Matching" dataDxfId="11"/>
    <tableColumn id="12" xr3:uid="{AE6B6C4F-4996-489A-A183-C13CD4C77F1C}" name="Année 1re Décl. RBE" dataDxfId="10"/>
    <tableColumn id="13" xr3:uid="{F22F460B-C2E3-4D77-B967-70670FB31E3E}" name="Déclaré (0/1)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D00E1-08AE-4566-8987-A13B1CE287BC}" name="Permis" displayName="Permis" ref="A1:M556" totalsRowShown="0">
  <autoFilter ref="A1:M556" xr:uid="{00000000-0009-0000-0100-000001000000}"/>
  <sortState xmlns:xlrd2="http://schemas.microsoft.com/office/spreadsheetml/2017/richdata2" ref="A2:M556">
    <sortCondition ref="C1:C556"/>
  </sortState>
  <tableColumns count="13">
    <tableColumn id="1" xr3:uid="{736F2C59-A6DD-4268-AE05-3824F1774B88}" name="Code"/>
    <tableColumn id="2" xr3:uid="{72A4538D-8955-4D2E-A574-1406463E8E4C}" name="Nom"/>
    <tableColumn id="3" xr3:uid="{4C80021B-893B-46A8-8798-614B311A379F}" name="Parties"/>
    <tableColumn id="4" xr3:uid="{02C8D9C5-BE81-4592-8B00-5020B59C9534}" name="Juridiction"/>
    <tableColumn id="5" xr3:uid="{2D1080CE-CB1F-44AD-A63B-8A464CAC5A48}" name="Type"/>
    <tableColumn id="6" xr3:uid="{31E9D9BF-E6F0-47BE-AA53-A1A9B3DDEE9E}" name="Substances"/>
    <tableColumn id="7" xr3:uid="{594609E5-A6E2-4481-B449-B336860D60A8}" name="Statut"/>
    <tableColumn id="8" xr3:uid="{A74EAB0B-90BF-48F0-BC2B-BB30904F3DAB}" name="Région"/>
    <tableColumn id="9" xr3:uid="{832F779B-4B2A-48C8-B29A-E7AC3F8DFC4C}" name="Demande faite"/>
    <tableColumn id="10" xr3:uid="{450FD0DD-CB99-43BB-A651-F19C194BE707}" name="Octroyé"/>
    <tableColumn id="11" xr3:uid="{B30D762E-9EF9-45BC-AF8C-5ABE0C4A5E2D}" name="Expire le"/>
    <tableColumn id="12" xr3:uid="{20B865D7-70EE-4E3D-B319-A7E583CB8A99}" name="Renouvelé"/>
    <tableColumn id="13" xr3:uid="{4085856B-EC3C-4E6B-AE92-1B1B9B7C6417}" name="superfici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6EF06-C011-4A61-82B6-96C585DFDDB0}" name="Tableau3" displayName="Tableau3" ref="A1:E42" totalsRowShown="0" headerRowDxfId="8" dataDxfId="7" headerRowCellStyle="Normal 3" dataCellStyle="Normal 3">
  <autoFilter ref="A1:E42" xr:uid="{9D26EF06-C011-4A61-82B6-96C585DFDDB0}"/>
  <tableColumns count="5">
    <tableColumn id="1" xr3:uid="{19CF91FC-2D3D-4073-9ED0-13BFE237A031}" name="Entreprise" dataDxfId="6" dataCellStyle="Normal 3"/>
    <tableColumn id="5" xr3:uid="{6CDE0146-BA85-4C1E-B3E3-279AF3E6C073}" name="Colonne1" dataDxfId="5" dataCellStyle="Normal 3">
      <calculatedColumnFormula>UPPER(Tableau3[[#This Row],[Entreprise]])</calculatedColumnFormula>
    </tableColumn>
    <tableColumn id="2" xr3:uid="{4364267E-698C-4458-9CAC-C75F255F04B9}" name="Email" dataDxfId="4" dataCellStyle="Normal 3"/>
    <tableColumn id="3" xr3:uid="{3996DD6B-C252-4850-B2E7-BF90DB1465A7}" name="Profile" dataDxfId="3" dataCellStyle="Normal 3"/>
    <tableColumn id="4" xr3:uid="{72EEE4B0-2876-49D9-87FE-B72C52B04864}" name="Pays" dataDxfId="2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9AD7E8-88BD-4D4C-8395-A59790780BBF}" name="Permis5" displayName="Permis5" ref="A1:P597" totalsRowShown="0">
  <autoFilter ref="A1:P597" xr:uid="{C29AD7E8-88BD-4D4C-8395-A59790780BBF}"/>
  <sortState xmlns:xlrd2="http://schemas.microsoft.com/office/spreadsheetml/2017/richdata2" ref="A2:P597">
    <sortCondition ref="E1:E597"/>
  </sortState>
  <tableColumns count="16">
    <tableColumn id="1" xr3:uid="{CC9C5850-71F9-4A7D-B1BA-A012D84310F8}" name="Code"/>
    <tableColumn id="2" xr3:uid="{4398DC8F-EA3E-443B-9DC8-D1F47A3CB524}" name="Nom"/>
    <tableColumn id="3" xr3:uid="{0CAAC301-658C-4B96-8BBD-25BCB2C13F5A}" name="Parties"/>
    <tableColumn id="16" xr3:uid="{CEDF5F73-93B9-447B-A500-F7C70D884952}" name="Déclare" dataDxfId="1" dataCellStyle="Normal 3">
      <calculatedColumnFormula>IF(COUNTIF(RBE!$C$1:$C$629,A2)&gt;0,"Existe","Absent")</calculatedColumnFormula>
    </tableColumn>
    <tableColumn id="14" xr3:uid="{18074539-F5D4-4C96-9678-7AB73DF4EB03}" name="Profile" dataCellStyle="Normal 2"/>
    <tableColumn id="4" xr3:uid="{17F3B500-CC55-4DE3-A1BD-3D2DD92D8979}" name="Juridiction"/>
    <tableColumn id="15" xr3:uid="{D9962478-6D70-4AA3-A530-FA3988EF3EF7}" name="Contact" dataDxfId="0" dataCellStyle="Normal 3"/>
    <tableColumn id="5" xr3:uid="{B9CE1F14-343B-4B87-9CF5-5996DD86D30C}" name="Type"/>
    <tableColumn id="6" xr3:uid="{08A407D5-B258-49EC-807A-E2AD154143EC}" name="Substances"/>
    <tableColumn id="7" xr3:uid="{F2A11DC8-09C4-4E8F-AA73-4F5681823CA9}" name="Statut"/>
    <tableColumn id="8" xr3:uid="{4E507B24-D884-498E-BB8F-BEE7602F024A}" name="Région"/>
    <tableColumn id="9" xr3:uid="{1DEC3EFF-6F58-4625-835E-A6476B764E90}" name="Demande faite"/>
    <tableColumn id="10" xr3:uid="{67009857-79FC-4DE2-AB7A-4ADC767368AE}" name="Octroyé"/>
    <tableColumn id="11" xr3:uid="{785C9082-91D1-4531-836D-ADFD2F1745E0}" name="Expire le"/>
    <tableColumn id="12" xr3:uid="{D59CD056-7A88-412D-AEAE-77F15203C050}" name="Renouvelé"/>
    <tableColumn id="13" xr3:uid="{EDEB9E8A-D02C-4967-8EEF-117813FC1E46}" name="superfici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37D4-9AD5-41B9-AF2E-A13DC3EE5200}">
  <dimension ref="A1:M556"/>
  <sheetViews>
    <sheetView zoomScale="77" workbookViewId="0">
      <pane ySplit="1" topLeftCell="A7" activePane="bottomLeft" state="frozen"/>
      <selection pane="bottomLeft" activeCell="E8" sqref="E8"/>
    </sheetView>
  </sheetViews>
  <sheetFormatPr baseColWidth="10" defaultColWidth="8.7265625" defaultRowHeight="14.5" x14ac:dyDescent="0.35"/>
  <cols>
    <col min="1" max="1" width="8" customWidth="1"/>
    <col min="2" max="2" width="88.453125" bestFit="1" customWidth="1"/>
    <col min="3" max="3" width="10" customWidth="1"/>
    <col min="4" max="4" width="25" customWidth="1"/>
    <col min="5" max="5" width="22" customWidth="1"/>
    <col min="6" max="6" width="14" customWidth="1"/>
    <col min="7" max="7" width="12.6328125" customWidth="1"/>
    <col min="8" max="8" width="16" customWidth="1"/>
    <col min="9" max="9" width="14.08984375" customWidth="1"/>
    <col min="10" max="10" width="45" customWidth="1"/>
    <col min="11" max="11" width="16.26953125" customWidth="1"/>
    <col min="12" max="12" width="20.54296875" customWidth="1"/>
    <col min="13" max="13" width="13.6328125" customWidth="1"/>
  </cols>
  <sheetData>
    <row r="1" spans="1:13" ht="35" customHeight="1" x14ac:dyDescent="0.35">
      <c r="A1" s="21" t="s">
        <v>0</v>
      </c>
      <c r="B1" s="22" t="s">
        <v>3170</v>
      </c>
      <c r="C1" s="22" t="s">
        <v>4</v>
      </c>
      <c r="D1" s="22" t="s">
        <v>5</v>
      </c>
      <c r="E1" s="22" t="s">
        <v>6</v>
      </c>
      <c r="F1" s="22" t="s">
        <v>7</v>
      </c>
      <c r="G1" s="22" t="s">
        <v>3171</v>
      </c>
      <c r="H1" s="22" t="s">
        <v>3172</v>
      </c>
      <c r="I1" s="22" t="s">
        <v>3173</v>
      </c>
      <c r="J1" s="22" t="s">
        <v>3174</v>
      </c>
      <c r="K1" s="22" t="s">
        <v>3175</v>
      </c>
      <c r="L1" s="22" t="s">
        <v>3176</v>
      </c>
      <c r="M1" s="23" t="s">
        <v>3177</v>
      </c>
    </row>
    <row r="2" spans="1:13" x14ac:dyDescent="0.35">
      <c r="A2" s="24" t="s">
        <v>13</v>
      </c>
      <c r="B2" s="25" t="s">
        <v>14</v>
      </c>
      <c r="C2" s="26" t="s">
        <v>16</v>
      </c>
      <c r="D2" s="26" t="s">
        <v>17</v>
      </c>
      <c r="E2" s="26" t="s">
        <v>18</v>
      </c>
      <c r="F2" s="26" t="s">
        <v>19</v>
      </c>
      <c r="G2" s="26" t="s">
        <v>3178</v>
      </c>
      <c r="H2" s="26" t="s">
        <v>3179</v>
      </c>
      <c r="I2" s="26">
        <v>1959</v>
      </c>
      <c r="J2" s="26"/>
      <c r="K2" s="26"/>
      <c r="L2" s="26"/>
      <c r="M2" s="27" t="s">
        <v>3180</v>
      </c>
    </row>
    <row r="3" spans="1:13" x14ac:dyDescent="0.35">
      <c r="A3" s="28" t="s">
        <v>21</v>
      </c>
      <c r="B3" s="29" t="s">
        <v>22</v>
      </c>
      <c r="C3" s="30" t="s">
        <v>16</v>
      </c>
      <c r="D3" s="30" t="s">
        <v>17</v>
      </c>
      <c r="E3" s="30" t="s">
        <v>18</v>
      </c>
      <c r="F3" s="30" t="s">
        <v>19</v>
      </c>
      <c r="G3" s="30" t="s">
        <v>3181</v>
      </c>
      <c r="H3" s="30" t="s">
        <v>3182</v>
      </c>
      <c r="I3" s="30">
        <v>2015</v>
      </c>
      <c r="J3" s="30"/>
      <c r="K3" s="30"/>
      <c r="L3" s="30"/>
      <c r="M3" s="27" t="s">
        <v>3180</v>
      </c>
    </row>
    <row r="4" spans="1:13" x14ac:dyDescent="0.35">
      <c r="A4" s="24" t="s">
        <v>24</v>
      </c>
      <c r="B4" s="25" t="s">
        <v>3827</v>
      </c>
      <c r="C4" s="26" t="s">
        <v>27</v>
      </c>
      <c r="D4" s="26" t="s">
        <v>28</v>
      </c>
      <c r="E4" s="26" t="s">
        <v>18</v>
      </c>
      <c r="F4" s="26" t="s">
        <v>19</v>
      </c>
      <c r="G4" s="26" t="s">
        <v>3183</v>
      </c>
      <c r="H4" s="26" t="s">
        <v>3184</v>
      </c>
      <c r="I4" s="26">
        <v>2019</v>
      </c>
      <c r="J4" s="26"/>
      <c r="K4" s="26"/>
      <c r="L4" s="26"/>
      <c r="M4" s="27" t="s">
        <v>3180</v>
      </c>
    </row>
    <row r="5" spans="1:13" x14ac:dyDescent="0.35">
      <c r="A5" s="28" t="s">
        <v>30</v>
      </c>
      <c r="B5" s="29" t="s">
        <v>32</v>
      </c>
      <c r="C5" s="30" t="s">
        <v>16</v>
      </c>
      <c r="D5" s="30" t="s">
        <v>33</v>
      </c>
      <c r="E5" s="30" t="s">
        <v>18</v>
      </c>
      <c r="F5" s="30" t="s">
        <v>19</v>
      </c>
      <c r="G5" s="30" t="s">
        <v>3185</v>
      </c>
      <c r="H5" s="30"/>
      <c r="I5" s="30">
        <v>1985</v>
      </c>
      <c r="J5" s="30" t="s">
        <v>2962</v>
      </c>
      <c r="K5" s="30">
        <v>93.3</v>
      </c>
      <c r="L5" s="30">
        <v>2023</v>
      </c>
      <c r="M5" s="31" t="s">
        <v>3186</v>
      </c>
    </row>
    <row r="6" spans="1:13" x14ac:dyDescent="0.35">
      <c r="A6" s="24" t="s">
        <v>35</v>
      </c>
      <c r="B6" s="25" t="s">
        <v>32</v>
      </c>
      <c r="C6" s="26" t="s">
        <v>16</v>
      </c>
      <c r="D6" s="26" t="s">
        <v>37</v>
      </c>
      <c r="E6" s="26" t="s">
        <v>18</v>
      </c>
      <c r="F6" s="26" t="s">
        <v>19</v>
      </c>
      <c r="G6" s="26" t="s">
        <v>3185</v>
      </c>
      <c r="H6" s="26"/>
      <c r="I6" s="26">
        <v>1985</v>
      </c>
      <c r="J6" s="26" t="s">
        <v>2962</v>
      </c>
      <c r="K6" s="26">
        <v>93.3</v>
      </c>
      <c r="L6" s="26">
        <v>2023</v>
      </c>
      <c r="M6" s="31" t="s">
        <v>3186</v>
      </c>
    </row>
    <row r="7" spans="1:13" x14ac:dyDescent="0.35">
      <c r="A7" s="28" t="s">
        <v>39</v>
      </c>
      <c r="B7" s="29" t="s">
        <v>32</v>
      </c>
      <c r="C7" s="30" t="s">
        <v>16</v>
      </c>
      <c r="D7" s="30" t="s">
        <v>33</v>
      </c>
      <c r="E7" s="30" t="s">
        <v>41</v>
      </c>
      <c r="F7" s="30" t="s">
        <v>19</v>
      </c>
      <c r="G7" s="30" t="s">
        <v>3187</v>
      </c>
      <c r="H7" s="30" t="s">
        <v>3188</v>
      </c>
      <c r="I7" s="30">
        <v>1998</v>
      </c>
      <c r="J7" s="30" t="s">
        <v>2962</v>
      </c>
      <c r="K7" s="30">
        <v>93.3</v>
      </c>
      <c r="L7" s="30">
        <v>2023</v>
      </c>
      <c r="M7" s="31" t="s">
        <v>3186</v>
      </c>
    </row>
    <row r="8" spans="1:13" x14ac:dyDescent="0.35">
      <c r="A8" s="24" t="s">
        <v>43</v>
      </c>
      <c r="B8" s="25" t="s">
        <v>32</v>
      </c>
      <c r="C8" s="26" t="s">
        <v>16</v>
      </c>
      <c r="D8" s="26" t="s">
        <v>37</v>
      </c>
      <c r="E8" s="26" t="s">
        <v>18</v>
      </c>
      <c r="F8" s="26" t="s">
        <v>19</v>
      </c>
      <c r="G8" s="26" t="s">
        <v>3185</v>
      </c>
      <c r="H8" s="26"/>
      <c r="I8" s="26">
        <v>1985</v>
      </c>
      <c r="J8" s="26" t="s">
        <v>2962</v>
      </c>
      <c r="K8" s="26">
        <v>93.3</v>
      </c>
      <c r="L8" s="26">
        <v>2023</v>
      </c>
      <c r="M8" s="31" t="s">
        <v>3186</v>
      </c>
    </row>
    <row r="9" spans="1:13" x14ac:dyDescent="0.35">
      <c r="A9" s="28" t="s">
        <v>46</v>
      </c>
      <c r="B9" s="29" t="s">
        <v>3828</v>
      </c>
      <c r="C9" s="30" t="s">
        <v>27</v>
      </c>
      <c r="D9" s="30" t="s">
        <v>28</v>
      </c>
      <c r="E9" s="30" t="s">
        <v>18</v>
      </c>
      <c r="F9" s="30" t="s">
        <v>19</v>
      </c>
      <c r="G9" s="30" t="s">
        <v>3189</v>
      </c>
      <c r="H9" s="30" t="s">
        <v>3190</v>
      </c>
      <c r="I9" s="30">
        <v>1983</v>
      </c>
      <c r="J9" s="30"/>
      <c r="K9" s="30"/>
      <c r="L9" s="30"/>
      <c r="M9" s="27" t="s">
        <v>3180</v>
      </c>
    </row>
    <row r="10" spans="1:13" x14ac:dyDescent="0.35">
      <c r="A10" s="24" t="s">
        <v>49</v>
      </c>
      <c r="B10" s="25" t="s">
        <v>3829</v>
      </c>
      <c r="C10" s="26" t="s">
        <v>27</v>
      </c>
      <c r="D10" s="26" t="s">
        <v>28</v>
      </c>
      <c r="E10" s="26" t="s">
        <v>18</v>
      </c>
      <c r="F10" s="26" t="s">
        <v>19</v>
      </c>
      <c r="G10" s="26" t="s">
        <v>3191</v>
      </c>
      <c r="H10" s="26" t="s">
        <v>3192</v>
      </c>
      <c r="I10" s="26">
        <v>2009</v>
      </c>
      <c r="J10" s="26"/>
      <c r="K10" s="26"/>
      <c r="L10" s="26"/>
      <c r="M10" s="27" t="s">
        <v>3180</v>
      </c>
    </row>
    <row r="11" spans="1:13" x14ac:dyDescent="0.35">
      <c r="A11" s="28" t="s">
        <v>53</v>
      </c>
      <c r="B11" s="29" t="s">
        <v>3830</v>
      </c>
      <c r="C11" s="30" t="s">
        <v>27</v>
      </c>
      <c r="D11" s="30" t="s">
        <v>28</v>
      </c>
      <c r="E11" s="30" t="s">
        <v>55</v>
      </c>
      <c r="F11" s="30" t="s">
        <v>19</v>
      </c>
      <c r="G11" s="30" t="s">
        <v>3193</v>
      </c>
      <c r="H11" s="30" t="s">
        <v>3194</v>
      </c>
      <c r="I11" s="30">
        <v>1995</v>
      </c>
      <c r="J11" s="30"/>
      <c r="K11" s="30"/>
      <c r="L11" s="30"/>
      <c r="M11" s="27" t="s">
        <v>3180</v>
      </c>
    </row>
    <row r="12" spans="1:13" x14ac:dyDescent="0.35">
      <c r="A12" s="24" t="s">
        <v>57</v>
      </c>
      <c r="B12" s="25" t="s">
        <v>59</v>
      </c>
      <c r="C12" s="26" t="s">
        <v>27</v>
      </c>
      <c r="D12" s="26" t="s">
        <v>60</v>
      </c>
      <c r="E12" s="26" t="s">
        <v>18</v>
      </c>
      <c r="F12" s="26" t="s">
        <v>19</v>
      </c>
      <c r="G12" s="26" t="s">
        <v>3195</v>
      </c>
      <c r="H12" s="26" t="s">
        <v>3196</v>
      </c>
      <c r="I12" s="26">
        <v>2021</v>
      </c>
      <c r="J12" s="26"/>
      <c r="K12" s="26"/>
      <c r="L12" s="26"/>
      <c r="M12" s="27" t="s">
        <v>3180</v>
      </c>
    </row>
    <row r="13" spans="1:13" x14ac:dyDescent="0.35">
      <c r="A13" s="28" t="s">
        <v>62</v>
      </c>
      <c r="B13" s="29" t="s">
        <v>3828</v>
      </c>
      <c r="C13" s="30" t="s">
        <v>27</v>
      </c>
      <c r="D13" s="30" t="s">
        <v>60</v>
      </c>
      <c r="E13" s="30" t="s">
        <v>18</v>
      </c>
      <c r="F13" s="30" t="s">
        <v>19</v>
      </c>
      <c r="G13" s="30" t="s">
        <v>3197</v>
      </c>
      <c r="H13" s="30" t="s">
        <v>3198</v>
      </c>
      <c r="I13" s="30">
        <v>1996</v>
      </c>
      <c r="J13" s="30"/>
      <c r="K13" s="30"/>
      <c r="L13" s="30"/>
      <c r="M13" s="27" t="s">
        <v>3180</v>
      </c>
    </row>
    <row r="14" spans="1:13" x14ac:dyDescent="0.35">
      <c r="A14" s="24" t="s">
        <v>64</v>
      </c>
      <c r="B14" s="25" t="s">
        <v>66</v>
      </c>
      <c r="C14" s="26" t="s">
        <v>16</v>
      </c>
      <c r="D14" s="26" t="s">
        <v>67</v>
      </c>
      <c r="E14" s="26" t="s">
        <v>55</v>
      </c>
      <c r="F14" s="26" t="s">
        <v>19</v>
      </c>
      <c r="G14" s="26" t="s">
        <v>3199</v>
      </c>
      <c r="H14" s="26" t="s">
        <v>3200</v>
      </c>
      <c r="I14" s="26">
        <v>1988</v>
      </c>
      <c r="J14" s="26"/>
      <c r="K14" s="26"/>
      <c r="L14" s="26"/>
      <c r="M14" s="27" t="s">
        <v>3180</v>
      </c>
    </row>
    <row r="15" spans="1:13" x14ac:dyDescent="0.35">
      <c r="A15" s="28" t="s">
        <v>69</v>
      </c>
      <c r="B15" s="29" t="s">
        <v>71</v>
      </c>
      <c r="C15" s="30" t="s">
        <v>16</v>
      </c>
      <c r="D15" s="30" t="s">
        <v>17</v>
      </c>
      <c r="E15" s="30" t="s">
        <v>18</v>
      </c>
      <c r="F15" s="30" t="s">
        <v>19</v>
      </c>
      <c r="G15" s="30" t="s">
        <v>3201</v>
      </c>
      <c r="H15" s="30" t="s">
        <v>3202</v>
      </c>
      <c r="I15" s="30">
        <v>2009</v>
      </c>
      <c r="J15" s="30"/>
      <c r="K15" s="30"/>
      <c r="L15" s="30"/>
      <c r="M15" s="27" t="s">
        <v>3180</v>
      </c>
    </row>
    <row r="16" spans="1:13" x14ac:dyDescent="0.35">
      <c r="A16" s="24" t="s">
        <v>73</v>
      </c>
      <c r="B16" s="25" t="s">
        <v>71</v>
      </c>
      <c r="C16" s="26" t="s">
        <v>16</v>
      </c>
      <c r="D16" s="26" t="s">
        <v>17</v>
      </c>
      <c r="E16" s="26" t="s">
        <v>41</v>
      </c>
      <c r="F16" s="26" t="s">
        <v>19</v>
      </c>
      <c r="G16" s="26" t="s">
        <v>3203</v>
      </c>
      <c r="H16" s="26" t="s">
        <v>3204</v>
      </c>
      <c r="I16" s="26">
        <v>1999</v>
      </c>
      <c r="J16" s="26"/>
      <c r="K16" s="26"/>
      <c r="L16" s="26"/>
      <c r="M16" s="27" t="s">
        <v>3180</v>
      </c>
    </row>
    <row r="17" spans="1:13" x14ac:dyDescent="0.35">
      <c r="A17" s="28" t="s">
        <v>76</v>
      </c>
      <c r="B17" s="29" t="s">
        <v>78</v>
      </c>
      <c r="C17" s="30" t="s">
        <v>16</v>
      </c>
      <c r="D17" s="30" t="s">
        <v>60</v>
      </c>
      <c r="E17" s="30" t="s">
        <v>18</v>
      </c>
      <c r="F17" s="30" t="s">
        <v>19</v>
      </c>
      <c r="G17" s="30" t="s">
        <v>3205</v>
      </c>
      <c r="H17" s="30" t="s">
        <v>3206</v>
      </c>
      <c r="I17" s="30">
        <v>2000</v>
      </c>
      <c r="J17" s="30" t="s">
        <v>2632</v>
      </c>
      <c r="K17" s="30">
        <v>88.9</v>
      </c>
      <c r="L17" s="30">
        <v>2021</v>
      </c>
      <c r="M17" s="31" t="s">
        <v>3186</v>
      </c>
    </row>
    <row r="18" spans="1:13" x14ac:dyDescent="0.35">
      <c r="A18" s="24" t="s">
        <v>80</v>
      </c>
      <c r="B18" s="25" t="s">
        <v>78</v>
      </c>
      <c r="C18" s="26" t="s">
        <v>16</v>
      </c>
      <c r="D18" s="26" t="s">
        <v>82</v>
      </c>
      <c r="E18" s="26" t="s">
        <v>18</v>
      </c>
      <c r="F18" s="26" t="s">
        <v>19</v>
      </c>
      <c r="G18" s="26" t="s">
        <v>3201</v>
      </c>
      <c r="H18" s="26" t="s">
        <v>3207</v>
      </c>
      <c r="I18" s="26">
        <v>2009</v>
      </c>
      <c r="J18" s="26" t="s">
        <v>2632</v>
      </c>
      <c r="K18" s="26">
        <v>88.9</v>
      </c>
      <c r="L18" s="26">
        <v>2021</v>
      </c>
      <c r="M18" s="31" t="s">
        <v>3186</v>
      </c>
    </row>
    <row r="19" spans="1:13" x14ac:dyDescent="0.35">
      <c r="A19" s="28" t="s">
        <v>84</v>
      </c>
      <c r="B19" s="29" t="s">
        <v>86</v>
      </c>
      <c r="C19" s="30" t="s">
        <v>16</v>
      </c>
      <c r="D19" s="30" t="s">
        <v>87</v>
      </c>
      <c r="E19" s="30" t="s">
        <v>41</v>
      </c>
      <c r="F19" s="30" t="s">
        <v>88</v>
      </c>
      <c r="G19" s="30" t="s">
        <v>3208</v>
      </c>
      <c r="H19" s="30" t="s">
        <v>3209</v>
      </c>
      <c r="I19" s="30">
        <v>2007</v>
      </c>
      <c r="J19" s="30"/>
      <c r="K19" s="30"/>
      <c r="L19" s="30"/>
      <c r="M19" s="27" t="s">
        <v>3180</v>
      </c>
    </row>
    <row r="20" spans="1:13" x14ac:dyDescent="0.35">
      <c r="A20" s="24" t="s">
        <v>90</v>
      </c>
      <c r="B20" s="25" t="s">
        <v>92</v>
      </c>
      <c r="C20" s="26" t="s">
        <v>16</v>
      </c>
      <c r="D20" s="26" t="s">
        <v>93</v>
      </c>
      <c r="E20" s="26" t="s">
        <v>18</v>
      </c>
      <c r="F20" s="26" t="s">
        <v>88</v>
      </c>
      <c r="G20" s="26" t="s">
        <v>3210</v>
      </c>
      <c r="H20" s="26" t="s">
        <v>3211</v>
      </c>
      <c r="I20" s="26">
        <v>2005</v>
      </c>
      <c r="J20" s="26" t="s">
        <v>2798</v>
      </c>
      <c r="K20" s="26">
        <v>92.3</v>
      </c>
      <c r="L20" s="26">
        <v>2022</v>
      </c>
      <c r="M20" s="31" t="s">
        <v>3186</v>
      </c>
    </row>
    <row r="21" spans="1:13" x14ac:dyDescent="0.35">
      <c r="A21" s="28" t="s">
        <v>95</v>
      </c>
      <c r="B21" s="29" t="s">
        <v>3829</v>
      </c>
      <c r="C21" s="30" t="s">
        <v>27</v>
      </c>
      <c r="D21" s="30" t="s">
        <v>60</v>
      </c>
      <c r="E21" s="30" t="s">
        <v>18</v>
      </c>
      <c r="F21" s="30" t="s">
        <v>19</v>
      </c>
      <c r="G21" s="30" t="s">
        <v>3212</v>
      </c>
      <c r="H21" s="30" t="s">
        <v>3213</v>
      </c>
      <c r="I21" s="30">
        <v>2010</v>
      </c>
      <c r="J21" s="30"/>
      <c r="K21" s="30"/>
      <c r="L21" s="30"/>
      <c r="M21" s="27" t="s">
        <v>3180</v>
      </c>
    </row>
    <row r="22" spans="1:13" x14ac:dyDescent="0.35">
      <c r="A22" s="24" t="s">
        <v>98</v>
      </c>
      <c r="B22" s="25" t="s">
        <v>100</v>
      </c>
      <c r="C22" s="26" t="s">
        <v>16</v>
      </c>
      <c r="D22" s="26" t="s">
        <v>60</v>
      </c>
      <c r="E22" s="26" t="s">
        <v>18</v>
      </c>
      <c r="F22" s="26" t="s">
        <v>101</v>
      </c>
      <c r="G22" s="26" t="s">
        <v>3201</v>
      </c>
      <c r="H22" s="26" t="s">
        <v>3214</v>
      </c>
      <c r="I22" s="26">
        <v>2009</v>
      </c>
      <c r="J22" s="26"/>
      <c r="K22" s="26"/>
      <c r="L22" s="26"/>
      <c r="M22" s="27" t="s">
        <v>3180</v>
      </c>
    </row>
    <row r="23" spans="1:13" x14ac:dyDescent="0.35">
      <c r="A23" s="28" t="s">
        <v>103</v>
      </c>
      <c r="B23" s="29" t="s">
        <v>3831</v>
      </c>
      <c r="C23" s="30" t="s">
        <v>16</v>
      </c>
      <c r="D23" s="30" t="s">
        <v>60</v>
      </c>
      <c r="E23" s="30" t="s">
        <v>18</v>
      </c>
      <c r="F23" s="30" t="s">
        <v>19</v>
      </c>
      <c r="G23" s="30" t="s">
        <v>3215</v>
      </c>
      <c r="H23" s="30" t="s">
        <v>3216</v>
      </c>
      <c r="I23" s="30">
        <v>2006</v>
      </c>
      <c r="J23" s="30"/>
      <c r="K23" s="30"/>
      <c r="L23" s="30"/>
      <c r="M23" s="27" t="s">
        <v>3180</v>
      </c>
    </row>
    <row r="24" spans="1:13" x14ac:dyDescent="0.35">
      <c r="A24" s="24" t="s">
        <v>107</v>
      </c>
      <c r="B24" s="25" t="s">
        <v>100</v>
      </c>
      <c r="C24" s="26" t="s">
        <v>16</v>
      </c>
      <c r="D24" s="26" t="s">
        <v>60</v>
      </c>
      <c r="E24" s="26" t="s">
        <v>18</v>
      </c>
      <c r="F24" s="26" t="s">
        <v>19</v>
      </c>
      <c r="G24" s="26" t="s">
        <v>3215</v>
      </c>
      <c r="H24" s="26" t="s">
        <v>3217</v>
      </c>
      <c r="I24" s="26">
        <v>2006</v>
      </c>
      <c r="J24" s="26"/>
      <c r="K24" s="26"/>
      <c r="L24" s="26"/>
      <c r="M24" s="27" t="s">
        <v>3180</v>
      </c>
    </row>
    <row r="25" spans="1:13" x14ac:dyDescent="0.35">
      <c r="A25" s="28" t="s">
        <v>110</v>
      </c>
      <c r="B25" s="29" t="s">
        <v>112</v>
      </c>
      <c r="C25" s="30" t="s">
        <v>16</v>
      </c>
      <c r="D25" s="30" t="s">
        <v>113</v>
      </c>
      <c r="E25" s="30" t="s">
        <v>18</v>
      </c>
      <c r="F25" s="30" t="s">
        <v>19</v>
      </c>
      <c r="G25" s="30" t="s">
        <v>3201</v>
      </c>
      <c r="H25" s="30" t="s">
        <v>3218</v>
      </c>
      <c r="I25" s="30">
        <v>2009</v>
      </c>
      <c r="J25" s="30" t="s">
        <v>2481</v>
      </c>
      <c r="K25" s="30">
        <v>100</v>
      </c>
      <c r="L25" s="30">
        <v>2021</v>
      </c>
      <c r="M25" s="31" t="s">
        <v>3186</v>
      </c>
    </row>
    <row r="26" spans="1:13" x14ac:dyDescent="0.35">
      <c r="A26" s="24" t="s">
        <v>115</v>
      </c>
      <c r="B26" s="25" t="s">
        <v>3832</v>
      </c>
      <c r="C26" s="26" t="s">
        <v>27</v>
      </c>
      <c r="D26" s="26" t="s">
        <v>118</v>
      </c>
      <c r="E26" s="26" t="s">
        <v>41</v>
      </c>
      <c r="F26" s="26" t="s">
        <v>19</v>
      </c>
      <c r="G26" s="26" t="s">
        <v>3219</v>
      </c>
      <c r="H26" s="26" t="s">
        <v>3220</v>
      </c>
      <c r="I26" s="26">
        <v>2006</v>
      </c>
      <c r="J26" s="26"/>
      <c r="K26" s="26"/>
      <c r="L26" s="26"/>
      <c r="M26" s="27" t="s">
        <v>3180</v>
      </c>
    </row>
    <row r="27" spans="1:13" x14ac:dyDescent="0.35">
      <c r="A27" s="28" t="s">
        <v>120</v>
      </c>
      <c r="B27" s="29" t="s">
        <v>122</v>
      </c>
      <c r="C27" s="30" t="s">
        <v>16</v>
      </c>
      <c r="D27" s="30" t="s">
        <v>123</v>
      </c>
      <c r="E27" s="30" t="s">
        <v>18</v>
      </c>
      <c r="F27" s="30" t="s">
        <v>19</v>
      </c>
      <c r="G27" s="30" t="s">
        <v>3221</v>
      </c>
      <c r="H27" s="30" t="s">
        <v>3222</v>
      </c>
      <c r="I27" s="30">
        <v>2008</v>
      </c>
      <c r="J27" s="30"/>
      <c r="K27" s="30"/>
      <c r="L27" s="30"/>
      <c r="M27" s="27" t="s">
        <v>3180</v>
      </c>
    </row>
    <row r="28" spans="1:13" x14ac:dyDescent="0.35">
      <c r="A28" s="24" t="s">
        <v>125</v>
      </c>
      <c r="B28" s="25" t="s">
        <v>3828</v>
      </c>
      <c r="C28" s="26" t="s">
        <v>27</v>
      </c>
      <c r="D28" s="26" t="s">
        <v>28</v>
      </c>
      <c r="E28" s="26" t="s">
        <v>18</v>
      </c>
      <c r="F28" s="26" t="s">
        <v>19</v>
      </c>
      <c r="G28" s="26" t="s">
        <v>3223</v>
      </c>
      <c r="H28" s="26" t="s">
        <v>3224</v>
      </c>
      <c r="I28" s="26">
        <v>2008</v>
      </c>
      <c r="J28" s="26"/>
      <c r="K28" s="26"/>
      <c r="L28" s="26"/>
      <c r="M28" s="27" t="s">
        <v>3180</v>
      </c>
    </row>
    <row r="29" spans="1:13" x14ac:dyDescent="0.35">
      <c r="A29" s="28" t="s">
        <v>128</v>
      </c>
      <c r="B29" s="29" t="s">
        <v>3833</v>
      </c>
      <c r="C29" s="30" t="s">
        <v>27</v>
      </c>
      <c r="D29" s="30" t="s">
        <v>60</v>
      </c>
      <c r="E29" s="30" t="s">
        <v>18</v>
      </c>
      <c r="F29" s="30" t="s">
        <v>19</v>
      </c>
      <c r="G29" s="30" t="s">
        <v>3225</v>
      </c>
      <c r="H29" s="30" t="s">
        <v>3226</v>
      </c>
      <c r="I29" s="30">
        <v>2006</v>
      </c>
      <c r="J29" s="30"/>
      <c r="K29" s="30"/>
      <c r="L29" s="30"/>
      <c r="M29" s="27" t="s">
        <v>3180</v>
      </c>
    </row>
    <row r="30" spans="1:13" x14ac:dyDescent="0.35">
      <c r="A30" s="24" t="s">
        <v>131</v>
      </c>
      <c r="B30" s="25" t="s">
        <v>3828</v>
      </c>
      <c r="C30" s="26" t="s">
        <v>27</v>
      </c>
      <c r="D30" s="26" t="s">
        <v>28</v>
      </c>
      <c r="E30" s="26" t="s">
        <v>18</v>
      </c>
      <c r="F30" s="26" t="s">
        <v>19</v>
      </c>
      <c r="G30" s="26" t="s">
        <v>3227</v>
      </c>
      <c r="H30" s="26" t="s">
        <v>3228</v>
      </c>
      <c r="I30" s="26">
        <v>2009</v>
      </c>
      <c r="J30" s="26"/>
      <c r="K30" s="26"/>
      <c r="L30" s="26"/>
      <c r="M30" s="27" t="s">
        <v>3180</v>
      </c>
    </row>
    <row r="31" spans="1:13" x14ac:dyDescent="0.35">
      <c r="A31" s="28" t="s">
        <v>134</v>
      </c>
      <c r="B31" s="29" t="s">
        <v>3828</v>
      </c>
      <c r="C31" s="30" t="s">
        <v>27</v>
      </c>
      <c r="D31" s="30" t="s">
        <v>60</v>
      </c>
      <c r="E31" s="30" t="s">
        <v>18</v>
      </c>
      <c r="F31" s="30" t="s">
        <v>19</v>
      </c>
      <c r="G31" s="30" t="s">
        <v>3227</v>
      </c>
      <c r="H31" s="30" t="s">
        <v>3229</v>
      </c>
      <c r="I31" s="30">
        <v>2009</v>
      </c>
      <c r="J31" s="30"/>
      <c r="K31" s="30"/>
      <c r="L31" s="30"/>
      <c r="M31" s="27" t="s">
        <v>3180</v>
      </c>
    </row>
    <row r="32" spans="1:13" x14ac:dyDescent="0.35">
      <c r="A32" s="24" t="s">
        <v>136</v>
      </c>
      <c r="B32" s="25" t="s">
        <v>3834</v>
      </c>
      <c r="C32" s="26" t="s">
        <v>139</v>
      </c>
      <c r="D32" s="26" t="s">
        <v>93</v>
      </c>
      <c r="E32" s="26" t="s">
        <v>41</v>
      </c>
      <c r="F32" s="26" t="s">
        <v>88</v>
      </c>
      <c r="G32" s="26" t="s">
        <v>3230</v>
      </c>
      <c r="H32" s="26" t="s">
        <v>3231</v>
      </c>
      <c r="I32" s="26">
        <v>2019</v>
      </c>
      <c r="J32" s="26"/>
      <c r="K32" s="26"/>
      <c r="L32" s="26"/>
      <c r="M32" s="27" t="s">
        <v>3180</v>
      </c>
    </row>
    <row r="33" spans="1:13" x14ac:dyDescent="0.35">
      <c r="A33" s="28" t="s">
        <v>141</v>
      </c>
      <c r="B33" s="29" t="s">
        <v>3835</v>
      </c>
      <c r="C33" s="30" t="s">
        <v>27</v>
      </c>
      <c r="D33" s="30" t="s">
        <v>118</v>
      </c>
      <c r="E33" s="30" t="s">
        <v>18</v>
      </c>
      <c r="F33" s="30" t="s">
        <v>101</v>
      </c>
      <c r="G33" s="30" t="s">
        <v>3232</v>
      </c>
      <c r="H33" s="30" t="s">
        <v>3233</v>
      </c>
      <c r="I33" s="30">
        <v>2002</v>
      </c>
      <c r="J33" s="30" t="s">
        <v>3011</v>
      </c>
      <c r="K33" s="30">
        <v>100</v>
      </c>
      <c r="L33" s="30">
        <v>2022</v>
      </c>
      <c r="M33" s="31" t="s">
        <v>3186</v>
      </c>
    </row>
    <row r="34" spans="1:13" x14ac:dyDescent="0.35">
      <c r="A34" s="24" t="s">
        <v>145</v>
      </c>
      <c r="B34" s="25" t="s">
        <v>3836</v>
      </c>
      <c r="C34" s="26" t="s">
        <v>148</v>
      </c>
      <c r="D34" s="26" t="s">
        <v>149</v>
      </c>
      <c r="E34" s="26" t="s">
        <v>41</v>
      </c>
      <c r="F34" s="26" t="s">
        <v>19</v>
      </c>
      <c r="G34" s="26" t="s">
        <v>3234</v>
      </c>
      <c r="H34" s="26" t="s">
        <v>3235</v>
      </c>
      <c r="I34" s="26">
        <v>2018</v>
      </c>
      <c r="J34" s="26"/>
      <c r="K34" s="26"/>
      <c r="L34" s="26"/>
      <c r="M34" s="27" t="s">
        <v>3180</v>
      </c>
    </row>
    <row r="35" spans="1:13" x14ac:dyDescent="0.35">
      <c r="A35" s="28" t="s">
        <v>151</v>
      </c>
      <c r="B35" s="29" t="s">
        <v>153</v>
      </c>
      <c r="C35" s="30" t="s">
        <v>154</v>
      </c>
      <c r="D35" s="30" t="s">
        <v>93</v>
      </c>
      <c r="E35" s="30" t="s">
        <v>55</v>
      </c>
      <c r="F35" s="30" t="s">
        <v>88</v>
      </c>
      <c r="G35" s="30" t="s">
        <v>3236</v>
      </c>
      <c r="H35" s="30" t="s">
        <v>3237</v>
      </c>
      <c r="I35" s="30">
        <v>2010</v>
      </c>
      <c r="J35" s="30"/>
      <c r="K35" s="30"/>
      <c r="L35" s="30"/>
      <c r="M35" s="27" t="s">
        <v>3180</v>
      </c>
    </row>
    <row r="36" spans="1:13" x14ac:dyDescent="0.35">
      <c r="A36" s="24" t="s">
        <v>156</v>
      </c>
      <c r="B36" s="25" t="s">
        <v>3837</v>
      </c>
      <c r="C36" s="26" t="s">
        <v>139</v>
      </c>
      <c r="D36" s="26" t="s">
        <v>93</v>
      </c>
      <c r="E36" s="26" t="s">
        <v>41</v>
      </c>
      <c r="F36" s="26" t="s">
        <v>88</v>
      </c>
      <c r="G36" s="26" t="s">
        <v>3238</v>
      </c>
      <c r="H36" s="26" t="s">
        <v>3239</v>
      </c>
      <c r="I36" s="26">
        <v>2012</v>
      </c>
      <c r="J36" s="26" t="s">
        <v>538</v>
      </c>
      <c r="K36" s="26">
        <v>100</v>
      </c>
      <c r="L36" s="26">
        <v>2022</v>
      </c>
      <c r="M36" s="31" t="s">
        <v>3186</v>
      </c>
    </row>
    <row r="37" spans="1:13" x14ac:dyDescent="0.35">
      <c r="A37" s="28" t="s">
        <v>160</v>
      </c>
      <c r="B37" s="29" t="s">
        <v>162</v>
      </c>
      <c r="C37" s="30" t="s">
        <v>16</v>
      </c>
      <c r="D37" s="30" t="s">
        <v>17</v>
      </c>
      <c r="E37" s="30" t="s">
        <v>18</v>
      </c>
      <c r="F37" s="30" t="s">
        <v>163</v>
      </c>
      <c r="G37" s="30" t="s">
        <v>3240</v>
      </c>
      <c r="H37" s="30" t="s">
        <v>3241</v>
      </c>
      <c r="I37" s="30">
        <v>2011</v>
      </c>
      <c r="J37" s="30"/>
      <c r="K37" s="30"/>
      <c r="L37" s="30"/>
      <c r="M37" s="27" t="s">
        <v>3180</v>
      </c>
    </row>
    <row r="38" spans="1:13" x14ac:dyDescent="0.35">
      <c r="A38" s="24" t="s">
        <v>165</v>
      </c>
      <c r="B38" s="25" t="s">
        <v>167</v>
      </c>
      <c r="C38" s="26" t="s">
        <v>148</v>
      </c>
      <c r="D38" s="26" t="s">
        <v>93</v>
      </c>
      <c r="E38" s="26" t="s">
        <v>18</v>
      </c>
      <c r="F38" s="26" t="s">
        <v>88</v>
      </c>
      <c r="G38" s="26" t="s">
        <v>3242</v>
      </c>
      <c r="H38" s="26" t="s">
        <v>3243</v>
      </c>
      <c r="I38" s="26">
        <v>2012</v>
      </c>
      <c r="J38" s="26"/>
      <c r="K38" s="26"/>
      <c r="L38" s="26"/>
      <c r="M38" s="27" t="s">
        <v>3180</v>
      </c>
    </row>
    <row r="39" spans="1:13" x14ac:dyDescent="0.35">
      <c r="A39" s="28" t="s">
        <v>169</v>
      </c>
      <c r="B39" s="29" t="s">
        <v>3837</v>
      </c>
      <c r="C39" s="30" t="s">
        <v>139</v>
      </c>
      <c r="D39" s="30" t="s">
        <v>93</v>
      </c>
      <c r="E39" s="30" t="s">
        <v>41</v>
      </c>
      <c r="F39" s="30" t="s">
        <v>88</v>
      </c>
      <c r="G39" s="30" t="s">
        <v>3244</v>
      </c>
      <c r="H39" s="30" t="s">
        <v>3239</v>
      </c>
      <c r="I39" s="30">
        <v>2012</v>
      </c>
      <c r="J39" s="30" t="s">
        <v>538</v>
      </c>
      <c r="K39" s="30">
        <v>100</v>
      </c>
      <c r="L39" s="30">
        <v>2022</v>
      </c>
      <c r="M39" s="31" t="s">
        <v>3186</v>
      </c>
    </row>
    <row r="40" spans="1:13" x14ac:dyDescent="0.35">
      <c r="A40" s="24" t="s">
        <v>172</v>
      </c>
      <c r="B40" s="25" t="s">
        <v>3838</v>
      </c>
      <c r="C40" s="26" t="s">
        <v>139</v>
      </c>
      <c r="D40" s="26" t="s">
        <v>175</v>
      </c>
      <c r="E40" s="26" t="s">
        <v>176</v>
      </c>
      <c r="F40" s="26" t="s">
        <v>177</v>
      </c>
      <c r="G40" s="26" t="s">
        <v>3245</v>
      </c>
      <c r="H40" s="26" t="s">
        <v>3246</v>
      </c>
      <c r="I40" s="26">
        <v>2012</v>
      </c>
      <c r="J40" s="26"/>
      <c r="K40" s="26"/>
      <c r="L40" s="26"/>
      <c r="M40" s="27" t="s">
        <v>3180</v>
      </c>
    </row>
    <row r="41" spans="1:13" x14ac:dyDescent="0.35">
      <c r="A41" s="28" t="s">
        <v>179</v>
      </c>
      <c r="B41" s="29" t="s">
        <v>3838</v>
      </c>
      <c r="C41" s="30" t="s">
        <v>148</v>
      </c>
      <c r="D41" s="30" t="s">
        <v>175</v>
      </c>
      <c r="E41" s="30" t="s">
        <v>41</v>
      </c>
      <c r="F41" s="30" t="s">
        <v>177</v>
      </c>
      <c r="G41" s="30" t="s">
        <v>3238</v>
      </c>
      <c r="H41" s="30" t="s">
        <v>3247</v>
      </c>
      <c r="I41" s="30">
        <v>2012</v>
      </c>
      <c r="J41" s="30"/>
      <c r="K41" s="30"/>
      <c r="L41" s="30"/>
      <c r="M41" s="27" t="s">
        <v>3180</v>
      </c>
    </row>
    <row r="42" spans="1:13" x14ac:dyDescent="0.35">
      <c r="A42" s="24" t="s">
        <v>182</v>
      </c>
      <c r="B42" s="25" t="s">
        <v>3839</v>
      </c>
      <c r="C42" s="26" t="s">
        <v>148</v>
      </c>
      <c r="D42" s="26" t="s">
        <v>113</v>
      </c>
      <c r="E42" s="26" t="s">
        <v>18</v>
      </c>
      <c r="F42" s="26" t="s">
        <v>185</v>
      </c>
      <c r="G42" s="26" t="s">
        <v>3248</v>
      </c>
      <c r="H42" s="26" t="s">
        <v>3249</v>
      </c>
      <c r="I42" s="26">
        <v>2019</v>
      </c>
      <c r="J42" s="26"/>
      <c r="K42" s="26"/>
      <c r="L42" s="26"/>
      <c r="M42" s="27" t="s">
        <v>3180</v>
      </c>
    </row>
    <row r="43" spans="1:13" x14ac:dyDescent="0.35">
      <c r="A43" s="28" t="s">
        <v>187</v>
      </c>
      <c r="B43" s="29" t="s">
        <v>3840</v>
      </c>
      <c r="C43" s="30" t="s">
        <v>27</v>
      </c>
      <c r="D43" s="30" t="s">
        <v>60</v>
      </c>
      <c r="E43" s="30" t="s">
        <v>41</v>
      </c>
      <c r="F43" s="30" t="s">
        <v>190</v>
      </c>
      <c r="G43" s="30" t="s">
        <v>3250</v>
      </c>
      <c r="H43" s="30" t="s">
        <v>3251</v>
      </c>
      <c r="I43" s="30">
        <v>2018</v>
      </c>
      <c r="J43" s="30"/>
      <c r="K43" s="30"/>
      <c r="L43" s="30"/>
      <c r="M43" s="27" t="s">
        <v>3180</v>
      </c>
    </row>
    <row r="44" spans="1:13" x14ac:dyDescent="0.35">
      <c r="A44" s="24" t="s">
        <v>192</v>
      </c>
      <c r="B44" s="25" t="s">
        <v>3841</v>
      </c>
      <c r="C44" s="26" t="s">
        <v>139</v>
      </c>
      <c r="D44" s="26" t="s">
        <v>17</v>
      </c>
      <c r="E44" s="26" t="s">
        <v>18</v>
      </c>
      <c r="F44" s="26" t="s">
        <v>190</v>
      </c>
      <c r="G44" s="26" t="s">
        <v>3252</v>
      </c>
      <c r="H44" s="26" t="s">
        <v>3253</v>
      </c>
      <c r="I44" s="26">
        <v>2013</v>
      </c>
      <c r="J44" s="26"/>
      <c r="K44" s="26"/>
      <c r="L44" s="26"/>
      <c r="M44" s="27" t="s">
        <v>3180</v>
      </c>
    </row>
    <row r="45" spans="1:13" x14ac:dyDescent="0.35">
      <c r="A45" s="28" t="s">
        <v>196</v>
      </c>
      <c r="B45" s="29" t="s">
        <v>3842</v>
      </c>
      <c r="C45" s="30" t="s">
        <v>139</v>
      </c>
      <c r="D45" s="30" t="s">
        <v>93</v>
      </c>
      <c r="E45" s="30" t="s">
        <v>18</v>
      </c>
      <c r="F45" s="30" t="s">
        <v>88</v>
      </c>
      <c r="G45" s="30" t="s">
        <v>3254</v>
      </c>
      <c r="H45" s="30" t="s">
        <v>3255</v>
      </c>
      <c r="I45" s="30">
        <v>2013</v>
      </c>
      <c r="J45" s="30"/>
      <c r="K45" s="30"/>
      <c r="L45" s="30"/>
      <c r="M45" s="27" t="s">
        <v>3180</v>
      </c>
    </row>
    <row r="46" spans="1:13" x14ac:dyDescent="0.35">
      <c r="A46" s="24" t="s">
        <v>200</v>
      </c>
      <c r="B46" s="25" t="s">
        <v>3843</v>
      </c>
      <c r="C46" s="26" t="s">
        <v>203</v>
      </c>
      <c r="D46" s="26" t="s">
        <v>93</v>
      </c>
      <c r="E46" s="26" t="s">
        <v>18</v>
      </c>
      <c r="F46" s="26" t="s">
        <v>177</v>
      </c>
      <c r="G46" s="26" t="s">
        <v>3256</v>
      </c>
      <c r="H46" s="26"/>
      <c r="I46" s="26">
        <v>2014</v>
      </c>
      <c r="J46" s="26"/>
      <c r="K46" s="26"/>
      <c r="L46" s="26"/>
      <c r="M46" s="27" t="s">
        <v>3180</v>
      </c>
    </row>
    <row r="47" spans="1:13" x14ac:dyDescent="0.35">
      <c r="A47" s="28" t="s">
        <v>205</v>
      </c>
      <c r="B47" s="29" t="s">
        <v>3843</v>
      </c>
      <c r="C47" s="30" t="s">
        <v>203</v>
      </c>
      <c r="D47" s="30" t="s">
        <v>93</v>
      </c>
      <c r="E47" s="30" t="s">
        <v>18</v>
      </c>
      <c r="F47" s="30" t="s">
        <v>177</v>
      </c>
      <c r="G47" s="30" t="s">
        <v>3256</v>
      </c>
      <c r="H47" s="30"/>
      <c r="I47" s="30">
        <v>2014</v>
      </c>
      <c r="J47" s="30"/>
      <c r="K47" s="30"/>
      <c r="L47" s="30"/>
      <c r="M47" s="27" t="s">
        <v>3180</v>
      </c>
    </row>
    <row r="48" spans="1:13" x14ac:dyDescent="0.35">
      <c r="A48" s="24" t="s">
        <v>208</v>
      </c>
      <c r="B48" s="25" t="s">
        <v>3843</v>
      </c>
      <c r="C48" s="26" t="s">
        <v>203</v>
      </c>
      <c r="D48" s="26" t="s">
        <v>93</v>
      </c>
      <c r="E48" s="26" t="s">
        <v>18</v>
      </c>
      <c r="F48" s="26" t="s">
        <v>177</v>
      </c>
      <c r="G48" s="26" t="s">
        <v>3256</v>
      </c>
      <c r="H48" s="26"/>
      <c r="I48" s="26">
        <v>2014</v>
      </c>
      <c r="J48" s="26"/>
      <c r="K48" s="26"/>
      <c r="L48" s="26"/>
      <c r="M48" s="27" t="s">
        <v>3180</v>
      </c>
    </row>
    <row r="49" spans="1:13" x14ac:dyDescent="0.35">
      <c r="A49" s="28" t="s">
        <v>211</v>
      </c>
      <c r="B49" s="29" t="s">
        <v>3843</v>
      </c>
      <c r="C49" s="30" t="s">
        <v>203</v>
      </c>
      <c r="D49" s="30" t="s">
        <v>93</v>
      </c>
      <c r="E49" s="30" t="s">
        <v>18</v>
      </c>
      <c r="F49" s="30" t="s">
        <v>88</v>
      </c>
      <c r="G49" s="30" t="s">
        <v>3256</v>
      </c>
      <c r="H49" s="30"/>
      <c r="I49" s="30">
        <v>2014</v>
      </c>
      <c r="J49" s="30"/>
      <c r="K49" s="30"/>
      <c r="L49" s="30"/>
      <c r="M49" s="27" t="s">
        <v>3180</v>
      </c>
    </row>
    <row r="50" spans="1:13" x14ac:dyDescent="0.35">
      <c r="A50" s="24" t="s">
        <v>214</v>
      </c>
      <c r="B50" s="25" t="s">
        <v>3843</v>
      </c>
      <c r="C50" s="26" t="s">
        <v>203</v>
      </c>
      <c r="D50" s="26" t="s">
        <v>93</v>
      </c>
      <c r="E50" s="26" t="s">
        <v>18</v>
      </c>
      <c r="F50" s="26" t="s">
        <v>88</v>
      </c>
      <c r="G50" s="26" t="s">
        <v>3256</v>
      </c>
      <c r="H50" s="26"/>
      <c r="I50" s="26">
        <v>2014</v>
      </c>
      <c r="J50" s="26"/>
      <c r="K50" s="26"/>
      <c r="L50" s="26"/>
      <c r="M50" s="27" t="s">
        <v>3180</v>
      </c>
    </row>
    <row r="51" spans="1:13" x14ac:dyDescent="0.35">
      <c r="A51" s="28" t="s">
        <v>217</v>
      </c>
      <c r="B51" s="29" t="s">
        <v>3843</v>
      </c>
      <c r="C51" s="30" t="s">
        <v>203</v>
      </c>
      <c r="D51" s="30" t="s">
        <v>93</v>
      </c>
      <c r="E51" s="30" t="s">
        <v>18</v>
      </c>
      <c r="F51" s="30" t="s">
        <v>88</v>
      </c>
      <c r="G51" s="30" t="s">
        <v>3256</v>
      </c>
      <c r="H51" s="30"/>
      <c r="I51" s="30">
        <v>2014</v>
      </c>
      <c r="J51" s="30"/>
      <c r="K51" s="30"/>
      <c r="L51" s="30"/>
      <c r="M51" s="27" t="s">
        <v>3180</v>
      </c>
    </row>
    <row r="52" spans="1:13" x14ac:dyDescent="0.35">
      <c r="A52" s="24" t="s">
        <v>220</v>
      </c>
      <c r="B52" s="25" t="s">
        <v>3843</v>
      </c>
      <c r="C52" s="26" t="s">
        <v>203</v>
      </c>
      <c r="D52" s="26" t="s">
        <v>93</v>
      </c>
      <c r="E52" s="26" t="s">
        <v>18</v>
      </c>
      <c r="F52" s="26" t="s">
        <v>88</v>
      </c>
      <c r="G52" s="26" t="s">
        <v>3256</v>
      </c>
      <c r="H52" s="26"/>
      <c r="I52" s="26">
        <v>2014</v>
      </c>
      <c r="J52" s="26"/>
      <c r="K52" s="26"/>
      <c r="L52" s="26"/>
      <c r="M52" s="27" t="s">
        <v>3180</v>
      </c>
    </row>
    <row r="53" spans="1:13" x14ac:dyDescent="0.35">
      <c r="A53" s="28" t="s">
        <v>222</v>
      </c>
      <c r="B53" s="29" t="s">
        <v>3843</v>
      </c>
      <c r="C53" s="30" t="s">
        <v>203</v>
      </c>
      <c r="D53" s="30" t="s">
        <v>93</v>
      </c>
      <c r="E53" s="30" t="s">
        <v>18</v>
      </c>
      <c r="F53" s="30" t="s">
        <v>88</v>
      </c>
      <c r="G53" s="30" t="s">
        <v>3256</v>
      </c>
      <c r="H53" s="30"/>
      <c r="I53" s="30">
        <v>2014</v>
      </c>
      <c r="J53" s="30"/>
      <c r="K53" s="30"/>
      <c r="L53" s="30"/>
      <c r="M53" s="27" t="s">
        <v>3180</v>
      </c>
    </row>
    <row r="54" spans="1:13" x14ac:dyDescent="0.35">
      <c r="A54" s="24" t="s">
        <v>225</v>
      </c>
      <c r="B54" s="25" t="s">
        <v>3843</v>
      </c>
      <c r="C54" s="26" t="s">
        <v>203</v>
      </c>
      <c r="D54" s="26" t="s">
        <v>93</v>
      </c>
      <c r="E54" s="26" t="s">
        <v>18</v>
      </c>
      <c r="F54" s="26" t="s">
        <v>88</v>
      </c>
      <c r="G54" s="26" t="s">
        <v>3256</v>
      </c>
      <c r="H54" s="26"/>
      <c r="I54" s="26">
        <v>2014</v>
      </c>
      <c r="J54" s="26"/>
      <c r="K54" s="26"/>
      <c r="L54" s="26"/>
      <c r="M54" s="27" t="s">
        <v>3180</v>
      </c>
    </row>
    <row r="55" spans="1:13" x14ac:dyDescent="0.35">
      <c r="A55" s="28" t="s">
        <v>228</v>
      </c>
      <c r="B55" s="29" t="s">
        <v>3843</v>
      </c>
      <c r="C55" s="30" t="s">
        <v>203</v>
      </c>
      <c r="D55" s="30" t="s">
        <v>93</v>
      </c>
      <c r="E55" s="30" t="s">
        <v>18</v>
      </c>
      <c r="F55" s="30" t="s">
        <v>88</v>
      </c>
      <c r="G55" s="30" t="s">
        <v>3256</v>
      </c>
      <c r="H55" s="30"/>
      <c r="I55" s="30">
        <v>2014</v>
      </c>
      <c r="J55" s="30"/>
      <c r="K55" s="30"/>
      <c r="L55" s="30"/>
      <c r="M55" s="27" t="s">
        <v>3180</v>
      </c>
    </row>
    <row r="56" spans="1:13" x14ac:dyDescent="0.35">
      <c r="A56" s="24" t="s">
        <v>231</v>
      </c>
      <c r="B56" s="25" t="s">
        <v>3843</v>
      </c>
      <c r="C56" s="26" t="s">
        <v>203</v>
      </c>
      <c r="D56" s="26" t="s">
        <v>93</v>
      </c>
      <c r="E56" s="26" t="s">
        <v>18</v>
      </c>
      <c r="F56" s="26" t="s">
        <v>88</v>
      </c>
      <c r="G56" s="26" t="s">
        <v>3256</v>
      </c>
      <c r="H56" s="26"/>
      <c r="I56" s="26">
        <v>2014</v>
      </c>
      <c r="J56" s="26"/>
      <c r="K56" s="26"/>
      <c r="L56" s="26"/>
      <c r="M56" s="27" t="s">
        <v>3180</v>
      </c>
    </row>
    <row r="57" spans="1:13" x14ac:dyDescent="0.35">
      <c r="A57" s="28" t="s">
        <v>234</v>
      </c>
      <c r="B57" s="29" t="s">
        <v>3843</v>
      </c>
      <c r="C57" s="30" t="s">
        <v>203</v>
      </c>
      <c r="D57" s="30" t="s">
        <v>93</v>
      </c>
      <c r="E57" s="30" t="s">
        <v>18</v>
      </c>
      <c r="F57" s="30" t="s">
        <v>88</v>
      </c>
      <c r="G57" s="30" t="s">
        <v>3256</v>
      </c>
      <c r="H57" s="30"/>
      <c r="I57" s="30">
        <v>2014</v>
      </c>
      <c r="J57" s="30"/>
      <c r="K57" s="30"/>
      <c r="L57" s="30"/>
      <c r="M57" s="27" t="s">
        <v>3180</v>
      </c>
    </row>
    <row r="58" spans="1:13" x14ac:dyDescent="0.35">
      <c r="A58" s="24" t="s">
        <v>237</v>
      </c>
      <c r="B58" s="25" t="s">
        <v>3843</v>
      </c>
      <c r="C58" s="26" t="s">
        <v>203</v>
      </c>
      <c r="D58" s="26" t="s">
        <v>93</v>
      </c>
      <c r="E58" s="26" t="s">
        <v>18</v>
      </c>
      <c r="F58" s="26" t="s">
        <v>88</v>
      </c>
      <c r="G58" s="26" t="s">
        <v>3256</v>
      </c>
      <c r="H58" s="26"/>
      <c r="I58" s="26">
        <v>2014</v>
      </c>
      <c r="J58" s="26"/>
      <c r="K58" s="26"/>
      <c r="L58" s="26"/>
      <c r="M58" s="27" t="s">
        <v>3180</v>
      </c>
    </row>
    <row r="59" spans="1:13" x14ac:dyDescent="0.35">
      <c r="A59" s="28" t="s">
        <v>240</v>
      </c>
      <c r="B59" s="29" t="s">
        <v>3843</v>
      </c>
      <c r="C59" s="30" t="s">
        <v>203</v>
      </c>
      <c r="D59" s="30" t="s">
        <v>93</v>
      </c>
      <c r="E59" s="30" t="s">
        <v>18</v>
      </c>
      <c r="F59" s="30" t="s">
        <v>88</v>
      </c>
      <c r="G59" s="30" t="s">
        <v>3256</v>
      </c>
      <c r="H59" s="30"/>
      <c r="I59" s="30">
        <v>2014</v>
      </c>
      <c r="J59" s="30"/>
      <c r="K59" s="30"/>
      <c r="L59" s="30"/>
      <c r="M59" s="27" t="s">
        <v>3180</v>
      </c>
    </row>
    <row r="60" spans="1:13" x14ac:dyDescent="0.35">
      <c r="A60" s="24" t="s">
        <v>243</v>
      </c>
      <c r="B60" s="25" t="s">
        <v>3843</v>
      </c>
      <c r="C60" s="26" t="s">
        <v>203</v>
      </c>
      <c r="D60" s="26" t="s">
        <v>93</v>
      </c>
      <c r="E60" s="26" t="s">
        <v>18</v>
      </c>
      <c r="F60" s="26" t="s">
        <v>88</v>
      </c>
      <c r="G60" s="26" t="s">
        <v>3256</v>
      </c>
      <c r="H60" s="26"/>
      <c r="I60" s="26">
        <v>2014</v>
      </c>
      <c r="J60" s="26"/>
      <c r="K60" s="26"/>
      <c r="L60" s="26"/>
      <c r="M60" s="27" t="s">
        <v>3180</v>
      </c>
    </row>
    <row r="61" spans="1:13" x14ac:dyDescent="0.35">
      <c r="A61" s="28" t="s">
        <v>246</v>
      </c>
      <c r="B61" s="29" t="s">
        <v>3843</v>
      </c>
      <c r="C61" s="30" t="s">
        <v>203</v>
      </c>
      <c r="D61" s="30" t="s">
        <v>93</v>
      </c>
      <c r="E61" s="30" t="s">
        <v>18</v>
      </c>
      <c r="F61" s="30" t="s">
        <v>88</v>
      </c>
      <c r="G61" s="30" t="s">
        <v>3256</v>
      </c>
      <c r="H61" s="30"/>
      <c r="I61" s="30">
        <v>2014</v>
      </c>
      <c r="J61" s="30"/>
      <c r="K61" s="30"/>
      <c r="L61" s="30"/>
      <c r="M61" s="27" t="s">
        <v>3180</v>
      </c>
    </row>
    <row r="62" spans="1:13" x14ac:dyDescent="0.35">
      <c r="A62" s="24" t="s">
        <v>249</v>
      </c>
      <c r="B62" s="25" t="s">
        <v>3843</v>
      </c>
      <c r="C62" s="26" t="s">
        <v>203</v>
      </c>
      <c r="D62" s="26" t="s">
        <v>93</v>
      </c>
      <c r="E62" s="26" t="s">
        <v>18</v>
      </c>
      <c r="F62" s="26" t="s">
        <v>88</v>
      </c>
      <c r="G62" s="26" t="s">
        <v>3256</v>
      </c>
      <c r="H62" s="26"/>
      <c r="I62" s="26">
        <v>2014</v>
      </c>
      <c r="J62" s="26"/>
      <c r="K62" s="26"/>
      <c r="L62" s="26"/>
      <c r="M62" s="27" t="s">
        <v>3180</v>
      </c>
    </row>
    <row r="63" spans="1:13" x14ac:dyDescent="0.35">
      <c r="A63" s="28" t="s">
        <v>252</v>
      </c>
      <c r="B63" s="29" t="s">
        <v>3828</v>
      </c>
      <c r="C63" s="30" t="s">
        <v>27</v>
      </c>
      <c r="D63" s="30" t="s">
        <v>28</v>
      </c>
      <c r="E63" s="30" t="s">
        <v>18</v>
      </c>
      <c r="F63" s="30" t="s">
        <v>19</v>
      </c>
      <c r="G63" s="30" t="s">
        <v>3257</v>
      </c>
      <c r="H63" s="30" t="s">
        <v>3228</v>
      </c>
      <c r="I63" s="30">
        <v>2016</v>
      </c>
      <c r="J63" s="30"/>
      <c r="K63" s="30"/>
      <c r="L63" s="30"/>
      <c r="M63" s="27" t="s">
        <v>3180</v>
      </c>
    </row>
    <row r="64" spans="1:13" x14ac:dyDescent="0.35">
      <c r="A64" s="24" t="s">
        <v>255</v>
      </c>
      <c r="B64" s="25" t="s">
        <v>3844</v>
      </c>
      <c r="C64" s="26" t="s">
        <v>27</v>
      </c>
      <c r="D64" s="26" t="s">
        <v>60</v>
      </c>
      <c r="E64" s="26" t="s">
        <v>18</v>
      </c>
      <c r="F64" s="26" t="s">
        <v>19</v>
      </c>
      <c r="G64" s="26" t="s">
        <v>3258</v>
      </c>
      <c r="H64" s="26" t="s">
        <v>3259</v>
      </c>
      <c r="I64" s="26">
        <v>2017</v>
      </c>
      <c r="J64" s="26"/>
      <c r="K64" s="26"/>
      <c r="L64" s="26"/>
      <c r="M64" s="27" t="s">
        <v>3180</v>
      </c>
    </row>
    <row r="65" spans="1:13" x14ac:dyDescent="0.35">
      <c r="A65" s="28" t="s">
        <v>259</v>
      </c>
      <c r="B65" s="29" t="s">
        <v>3845</v>
      </c>
      <c r="C65" s="30" t="s">
        <v>27</v>
      </c>
      <c r="D65" s="30" t="s">
        <v>60</v>
      </c>
      <c r="E65" s="30" t="s">
        <v>18</v>
      </c>
      <c r="F65" s="30" t="s">
        <v>19</v>
      </c>
      <c r="G65" s="30" t="s">
        <v>3260</v>
      </c>
      <c r="H65" s="30" t="s">
        <v>3261</v>
      </c>
      <c r="I65" s="30">
        <v>2014</v>
      </c>
      <c r="J65" s="30"/>
      <c r="K65" s="30"/>
      <c r="L65" s="30"/>
      <c r="M65" s="27" t="s">
        <v>3180</v>
      </c>
    </row>
    <row r="66" spans="1:13" x14ac:dyDescent="0.35">
      <c r="A66" s="24" t="s">
        <v>263</v>
      </c>
      <c r="B66" s="25" t="s">
        <v>265</v>
      </c>
      <c r="C66" s="26" t="s">
        <v>139</v>
      </c>
      <c r="D66" s="26" t="s">
        <v>93</v>
      </c>
      <c r="E66" s="26" t="s">
        <v>18</v>
      </c>
      <c r="F66" s="26" t="s">
        <v>88</v>
      </c>
      <c r="G66" s="26" t="s">
        <v>3262</v>
      </c>
      <c r="H66" s="26" t="s">
        <v>3263</v>
      </c>
      <c r="I66" s="26">
        <v>2015</v>
      </c>
      <c r="J66" s="26" t="s">
        <v>2197</v>
      </c>
      <c r="K66" s="26">
        <v>100</v>
      </c>
      <c r="L66" s="26">
        <v>2021</v>
      </c>
      <c r="M66" s="31" t="s">
        <v>3186</v>
      </c>
    </row>
    <row r="67" spans="1:13" x14ac:dyDescent="0.35">
      <c r="A67" s="28" t="s">
        <v>267</v>
      </c>
      <c r="B67" s="29" t="s">
        <v>268</v>
      </c>
      <c r="C67" s="30" t="s">
        <v>27</v>
      </c>
      <c r="D67" s="30" t="s">
        <v>60</v>
      </c>
      <c r="E67" s="30" t="s">
        <v>18</v>
      </c>
      <c r="F67" s="30" t="s">
        <v>19</v>
      </c>
      <c r="G67" s="30" t="s">
        <v>3264</v>
      </c>
      <c r="H67" s="30" t="s">
        <v>3265</v>
      </c>
      <c r="I67" s="30">
        <v>2016</v>
      </c>
      <c r="J67" s="30"/>
      <c r="K67" s="30"/>
      <c r="L67" s="30"/>
      <c r="M67" s="27" t="s">
        <v>3180</v>
      </c>
    </row>
    <row r="68" spans="1:13" x14ac:dyDescent="0.35">
      <c r="A68" s="24" t="s">
        <v>270</v>
      </c>
      <c r="B68" s="25" t="s">
        <v>3846</v>
      </c>
      <c r="C68" s="26" t="s">
        <v>27</v>
      </c>
      <c r="D68" s="26" t="s">
        <v>60</v>
      </c>
      <c r="E68" s="26" t="s">
        <v>41</v>
      </c>
      <c r="F68" s="26" t="s">
        <v>19</v>
      </c>
      <c r="G68" s="26" t="s">
        <v>3266</v>
      </c>
      <c r="H68" s="26" t="s">
        <v>3267</v>
      </c>
      <c r="I68" s="26">
        <v>2015</v>
      </c>
      <c r="J68" s="26"/>
      <c r="K68" s="26"/>
      <c r="L68" s="26"/>
      <c r="M68" s="27" t="s">
        <v>3180</v>
      </c>
    </row>
    <row r="69" spans="1:13" x14ac:dyDescent="0.35">
      <c r="A69" s="28" t="s">
        <v>273</v>
      </c>
      <c r="B69" s="29" t="s">
        <v>3847</v>
      </c>
      <c r="C69" s="30" t="s">
        <v>27</v>
      </c>
      <c r="D69" s="30" t="s">
        <v>60</v>
      </c>
      <c r="E69" s="30" t="s">
        <v>18</v>
      </c>
      <c r="F69" s="30" t="s">
        <v>19</v>
      </c>
      <c r="G69" s="30" t="s">
        <v>3266</v>
      </c>
      <c r="H69" s="30" t="s">
        <v>3268</v>
      </c>
      <c r="I69" s="30">
        <v>2015</v>
      </c>
      <c r="J69" s="30"/>
      <c r="K69" s="30"/>
      <c r="L69" s="30"/>
      <c r="M69" s="27" t="s">
        <v>3180</v>
      </c>
    </row>
    <row r="70" spans="1:13" x14ac:dyDescent="0.35">
      <c r="A70" s="24" t="s">
        <v>276</v>
      </c>
      <c r="B70" s="25" t="s">
        <v>3848</v>
      </c>
      <c r="C70" s="26" t="s">
        <v>27</v>
      </c>
      <c r="D70" s="26" t="s">
        <v>60</v>
      </c>
      <c r="E70" s="26" t="s">
        <v>41</v>
      </c>
      <c r="F70" s="26" t="s">
        <v>19</v>
      </c>
      <c r="G70" s="26" t="s">
        <v>3266</v>
      </c>
      <c r="H70" s="26" t="s">
        <v>3267</v>
      </c>
      <c r="I70" s="26">
        <v>2015</v>
      </c>
      <c r="J70" s="26"/>
      <c r="K70" s="26"/>
      <c r="L70" s="26"/>
      <c r="M70" s="27" t="s">
        <v>3180</v>
      </c>
    </row>
    <row r="71" spans="1:13" x14ac:dyDescent="0.35">
      <c r="A71" s="28" t="s">
        <v>279</v>
      </c>
      <c r="B71" s="29" t="s">
        <v>3849</v>
      </c>
      <c r="C71" s="30" t="s">
        <v>27</v>
      </c>
      <c r="D71" s="30" t="s">
        <v>60</v>
      </c>
      <c r="E71" s="30" t="s">
        <v>41</v>
      </c>
      <c r="F71" s="30" t="s">
        <v>19</v>
      </c>
      <c r="G71" s="30" t="s">
        <v>3269</v>
      </c>
      <c r="H71" s="30" t="s">
        <v>3270</v>
      </c>
      <c r="I71" s="30">
        <v>2017</v>
      </c>
      <c r="J71" s="30"/>
      <c r="K71" s="30"/>
      <c r="L71" s="30"/>
      <c r="M71" s="27" t="s">
        <v>3180</v>
      </c>
    </row>
    <row r="72" spans="1:13" x14ac:dyDescent="0.35">
      <c r="A72" s="24" t="s">
        <v>282</v>
      </c>
      <c r="B72" s="25" t="s">
        <v>284</v>
      </c>
      <c r="C72" s="26" t="s">
        <v>27</v>
      </c>
      <c r="D72" s="26" t="s">
        <v>28</v>
      </c>
      <c r="E72" s="26" t="s">
        <v>18</v>
      </c>
      <c r="F72" s="26" t="s">
        <v>88</v>
      </c>
      <c r="G72" s="26" t="s">
        <v>3271</v>
      </c>
      <c r="H72" s="26" t="s">
        <v>3272</v>
      </c>
      <c r="I72" s="26">
        <v>2016</v>
      </c>
      <c r="J72" s="26"/>
      <c r="K72" s="26"/>
      <c r="L72" s="26"/>
      <c r="M72" s="27" t="s">
        <v>3180</v>
      </c>
    </row>
    <row r="73" spans="1:13" x14ac:dyDescent="0.35">
      <c r="A73" s="28" t="s">
        <v>286</v>
      </c>
      <c r="B73" s="29" t="s">
        <v>288</v>
      </c>
      <c r="C73" s="30" t="s">
        <v>16</v>
      </c>
      <c r="D73" s="30" t="s">
        <v>289</v>
      </c>
      <c r="E73" s="30" t="s">
        <v>18</v>
      </c>
      <c r="F73" s="30" t="s">
        <v>88</v>
      </c>
      <c r="G73" s="30" t="s">
        <v>3273</v>
      </c>
      <c r="H73" s="30" t="s">
        <v>3274</v>
      </c>
      <c r="I73" s="30">
        <v>2015</v>
      </c>
      <c r="J73" s="30"/>
      <c r="K73" s="30"/>
      <c r="L73" s="30"/>
      <c r="M73" s="27" t="s">
        <v>3180</v>
      </c>
    </row>
    <row r="74" spans="1:13" x14ac:dyDescent="0.35">
      <c r="A74" s="24" t="s">
        <v>291</v>
      </c>
      <c r="B74" s="25" t="s">
        <v>293</v>
      </c>
      <c r="C74" s="26" t="s">
        <v>294</v>
      </c>
      <c r="D74" s="26" t="s">
        <v>93</v>
      </c>
      <c r="E74" s="26" t="s">
        <v>18</v>
      </c>
      <c r="F74" s="26" t="s">
        <v>88</v>
      </c>
      <c r="G74" s="26" t="s">
        <v>3275</v>
      </c>
      <c r="H74" s="26" t="s">
        <v>3276</v>
      </c>
      <c r="I74" s="26">
        <v>2021</v>
      </c>
      <c r="J74" s="26"/>
      <c r="K74" s="26"/>
      <c r="L74" s="26"/>
      <c r="M74" s="27" t="s">
        <v>3180</v>
      </c>
    </row>
    <row r="75" spans="1:13" x14ac:dyDescent="0.35">
      <c r="A75" s="28" t="s">
        <v>296</v>
      </c>
      <c r="B75" s="29" t="s">
        <v>298</v>
      </c>
      <c r="C75" s="30" t="s">
        <v>294</v>
      </c>
      <c r="D75" s="30" t="s">
        <v>17</v>
      </c>
      <c r="E75" s="30" t="s">
        <v>18</v>
      </c>
      <c r="F75" s="30" t="s">
        <v>299</v>
      </c>
      <c r="G75" s="30" t="s">
        <v>3277</v>
      </c>
      <c r="H75" s="30" t="s">
        <v>3278</v>
      </c>
      <c r="I75" s="30">
        <v>2018</v>
      </c>
      <c r="J75" s="30"/>
      <c r="K75" s="30"/>
      <c r="L75" s="30"/>
      <c r="M75" s="27" t="s">
        <v>3180</v>
      </c>
    </row>
    <row r="76" spans="1:13" x14ac:dyDescent="0.35">
      <c r="A76" s="24" t="s">
        <v>301</v>
      </c>
      <c r="B76" s="25" t="s">
        <v>303</v>
      </c>
      <c r="C76" s="26" t="s">
        <v>294</v>
      </c>
      <c r="D76" s="26" t="s">
        <v>93</v>
      </c>
      <c r="E76" s="26" t="s">
        <v>18</v>
      </c>
      <c r="F76" s="26" t="s">
        <v>88</v>
      </c>
      <c r="G76" s="26" t="s">
        <v>3279</v>
      </c>
      <c r="H76" s="26" t="s">
        <v>3280</v>
      </c>
      <c r="I76" s="26">
        <v>2017</v>
      </c>
      <c r="J76" s="26" t="s">
        <v>2662</v>
      </c>
      <c r="K76" s="26">
        <v>98</v>
      </c>
      <c r="L76" s="26">
        <v>2023</v>
      </c>
      <c r="M76" s="31" t="s">
        <v>3186</v>
      </c>
    </row>
    <row r="77" spans="1:13" x14ac:dyDescent="0.35">
      <c r="A77" s="28" t="s">
        <v>305</v>
      </c>
      <c r="B77" s="29" t="s">
        <v>3850</v>
      </c>
      <c r="C77" s="30" t="s">
        <v>27</v>
      </c>
      <c r="D77" s="30" t="s">
        <v>60</v>
      </c>
      <c r="E77" s="30" t="s">
        <v>18</v>
      </c>
      <c r="F77" s="30" t="s">
        <v>19</v>
      </c>
      <c r="G77" s="30" t="s">
        <v>3281</v>
      </c>
      <c r="H77" s="30" t="s">
        <v>3282</v>
      </c>
      <c r="I77" s="30">
        <v>2016</v>
      </c>
      <c r="J77" s="30"/>
      <c r="K77" s="30"/>
      <c r="L77" s="30"/>
      <c r="M77" s="27" t="s">
        <v>3180</v>
      </c>
    </row>
    <row r="78" spans="1:13" x14ac:dyDescent="0.35">
      <c r="A78" s="24" t="s">
        <v>309</v>
      </c>
      <c r="B78" s="25" t="s">
        <v>3851</v>
      </c>
      <c r="C78" s="26" t="s">
        <v>311</v>
      </c>
      <c r="D78" s="26" t="s">
        <v>149</v>
      </c>
      <c r="E78" s="26" t="s">
        <v>41</v>
      </c>
      <c r="F78" s="26" t="s">
        <v>19</v>
      </c>
      <c r="G78" s="26" t="s">
        <v>3283</v>
      </c>
      <c r="H78" s="26" t="s">
        <v>3284</v>
      </c>
      <c r="I78" s="26">
        <v>2016</v>
      </c>
      <c r="J78" s="26"/>
      <c r="K78" s="26"/>
      <c r="L78" s="26"/>
      <c r="M78" s="27" t="s">
        <v>3180</v>
      </c>
    </row>
    <row r="79" spans="1:13" x14ac:dyDescent="0.35">
      <c r="A79" s="28" t="s">
        <v>313</v>
      </c>
      <c r="B79" s="29" t="s">
        <v>314</v>
      </c>
      <c r="C79" s="30" t="s">
        <v>16</v>
      </c>
      <c r="D79" s="30" t="s">
        <v>93</v>
      </c>
      <c r="E79" s="30" t="s">
        <v>18</v>
      </c>
      <c r="F79" s="30" t="s">
        <v>88</v>
      </c>
      <c r="G79" s="30" t="s">
        <v>3285</v>
      </c>
      <c r="H79" s="30" t="s">
        <v>3286</v>
      </c>
      <c r="I79" s="30">
        <v>2016</v>
      </c>
      <c r="J79" s="30"/>
      <c r="K79" s="30"/>
      <c r="L79" s="30"/>
      <c r="M79" s="27" t="s">
        <v>3180</v>
      </c>
    </row>
    <row r="80" spans="1:13" x14ac:dyDescent="0.35">
      <c r="A80" s="24" t="s">
        <v>316</v>
      </c>
      <c r="B80" s="25" t="s">
        <v>3852</v>
      </c>
      <c r="C80" s="26" t="s">
        <v>154</v>
      </c>
      <c r="D80" s="26" t="s">
        <v>93</v>
      </c>
      <c r="E80" s="26" t="s">
        <v>18</v>
      </c>
      <c r="F80" s="26" t="s">
        <v>88</v>
      </c>
      <c r="G80" s="26" t="s">
        <v>3287</v>
      </c>
      <c r="H80" s="26" t="s">
        <v>3288</v>
      </c>
      <c r="I80" s="26">
        <v>2010</v>
      </c>
      <c r="J80" s="26"/>
      <c r="K80" s="26"/>
      <c r="L80" s="26"/>
      <c r="M80" s="27" t="s">
        <v>3180</v>
      </c>
    </row>
    <row r="81" spans="1:13" x14ac:dyDescent="0.35">
      <c r="A81" s="28" t="s">
        <v>320</v>
      </c>
      <c r="B81" s="29" t="s">
        <v>3853</v>
      </c>
      <c r="C81" s="30" t="s">
        <v>27</v>
      </c>
      <c r="D81" s="30" t="s">
        <v>28</v>
      </c>
      <c r="E81" s="30" t="s">
        <v>18</v>
      </c>
      <c r="F81" s="30" t="s">
        <v>19</v>
      </c>
      <c r="G81" s="30" t="s">
        <v>3289</v>
      </c>
      <c r="H81" s="30" t="s">
        <v>3290</v>
      </c>
      <c r="I81" s="30">
        <v>2018</v>
      </c>
      <c r="J81" s="30"/>
      <c r="K81" s="30"/>
      <c r="L81" s="30"/>
      <c r="M81" s="27" t="s">
        <v>3180</v>
      </c>
    </row>
    <row r="82" spans="1:13" x14ac:dyDescent="0.35">
      <c r="A82" s="24" t="s">
        <v>324</v>
      </c>
      <c r="B82" s="25" t="s">
        <v>3854</v>
      </c>
      <c r="C82" s="26" t="s">
        <v>27</v>
      </c>
      <c r="D82" s="26" t="s">
        <v>60</v>
      </c>
      <c r="E82" s="26" t="s">
        <v>18</v>
      </c>
      <c r="F82" s="26" t="s">
        <v>19</v>
      </c>
      <c r="G82" s="26" t="s">
        <v>3291</v>
      </c>
      <c r="H82" s="26" t="s">
        <v>3292</v>
      </c>
      <c r="I82" s="26">
        <v>2016</v>
      </c>
      <c r="J82" s="26"/>
      <c r="K82" s="26"/>
      <c r="L82" s="26"/>
      <c r="M82" s="27" t="s">
        <v>3180</v>
      </c>
    </row>
    <row r="83" spans="1:13" x14ac:dyDescent="0.35">
      <c r="A83" s="28" t="s">
        <v>327</v>
      </c>
      <c r="B83" s="29" t="s">
        <v>3855</v>
      </c>
      <c r="C83" s="30" t="s">
        <v>311</v>
      </c>
      <c r="D83" s="30" t="s">
        <v>149</v>
      </c>
      <c r="E83" s="30" t="s">
        <v>41</v>
      </c>
      <c r="F83" s="30" t="s">
        <v>19</v>
      </c>
      <c r="G83" s="30" t="s">
        <v>3293</v>
      </c>
      <c r="H83" s="30" t="s">
        <v>3294</v>
      </c>
      <c r="I83" s="30">
        <v>2016</v>
      </c>
      <c r="J83" s="30"/>
      <c r="K83" s="30"/>
      <c r="L83" s="30"/>
      <c r="M83" s="27" t="s">
        <v>3180</v>
      </c>
    </row>
    <row r="84" spans="1:13" x14ac:dyDescent="0.35">
      <c r="A84" s="24" t="s">
        <v>331</v>
      </c>
      <c r="B84" s="25" t="s">
        <v>3856</v>
      </c>
      <c r="C84" s="26" t="s">
        <v>311</v>
      </c>
      <c r="D84" s="26" t="s">
        <v>149</v>
      </c>
      <c r="E84" s="26" t="s">
        <v>18</v>
      </c>
      <c r="F84" s="26" t="s">
        <v>19</v>
      </c>
      <c r="G84" s="26" t="s">
        <v>3295</v>
      </c>
      <c r="H84" s="26" t="s">
        <v>3296</v>
      </c>
      <c r="I84" s="26">
        <v>2016</v>
      </c>
      <c r="J84" s="26" t="s">
        <v>2987</v>
      </c>
      <c r="K84" s="26">
        <v>90.9</v>
      </c>
      <c r="L84" s="26">
        <v>2025</v>
      </c>
      <c r="M84" s="31" t="s">
        <v>3186</v>
      </c>
    </row>
    <row r="85" spans="1:13" x14ac:dyDescent="0.35">
      <c r="A85" s="28" t="s">
        <v>334</v>
      </c>
      <c r="B85" s="29" t="s">
        <v>3857</v>
      </c>
      <c r="C85" s="30" t="s">
        <v>27</v>
      </c>
      <c r="D85" s="30" t="s">
        <v>28</v>
      </c>
      <c r="E85" s="30" t="s">
        <v>18</v>
      </c>
      <c r="F85" s="30" t="s">
        <v>19</v>
      </c>
      <c r="G85" s="30" t="s">
        <v>3297</v>
      </c>
      <c r="H85" s="30" t="s">
        <v>3298</v>
      </c>
      <c r="I85" s="30">
        <v>2018</v>
      </c>
      <c r="J85" s="30"/>
      <c r="K85" s="30"/>
      <c r="L85" s="30"/>
      <c r="M85" s="27" t="s">
        <v>3180</v>
      </c>
    </row>
    <row r="86" spans="1:13" x14ac:dyDescent="0.35">
      <c r="A86" s="24" t="s">
        <v>337</v>
      </c>
      <c r="B86" s="25" t="s">
        <v>3831</v>
      </c>
      <c r="C86" s="26" t="s">
        <v>27</v>
      </c>
      <c r="D86" s="26" t="s">
        <v>60</v>
      </c>
      <c r="E86" s="26" t="s">
        <v>18</v>
      </c>
      <c r="F86" s="26" t="s">
        <v>19</v>
      </c>
      <c r="G86" s="26" t="s">
        <v>3299</v>
      </c>
      <c r="H86" s="26" t="s">
        <v>3300</v>
      </c>
      <c r="I86" s="26">
        <v>2016</v>
      </c>
      <c r="J86" s="26"/>
      <c r="K86" s="26"/>
      <c r="L86" s="26"/>
      <c r="M86" s="27" t="s">
        <v>3180</v>
      </c>
    </row>
    <row r="87" spans="1:13" x14ac:dyDescent="0.35">
      <c r="A87" s="28" t="s">
        <v>339</v>
      </c>
      <c r="B87" s="29" t="s">
        <v>3858</v>
      </c>
      <c r="C87" s="30" t="s">
        <v>311</v>
      </c>
      <c r="D87" s="30" t="s">
        <v>149</v>
      </c>
      <c r="E87" s="30" t="s">
        <v>41</v>
      </c>
      <c r="F87" s="30" t="s">
        <v>19</v>
      </c>
      <c r="G87" s="30" t="s">
        <v>3301</v>
      </c>
      <c r="H87" s="30" t="s">
        <v>3302</v>
      </c>
      <c r="I87" s="30">
        <v>2018</v>
      </c>
      <c r="J87" s="30"/>
      <c r="K87" s="30"/>
      <c r="L87" s="30"/>
      <c r="M87" s="27" t="s">
        <v>3180</v>
      </c>
    </row>
    <row r="88" spans="1:13" x14ac:dyDescent="0.35">
      <c r="A88" s="24" t="s">
        <v>342</v>
      </c>
      <c r="B88" s="25" t="s">
        <v>3836</v>
      </c>
      <c r="C88" s="26" t="s">
        <v>139</v>
      </c>
      <c r="D88" s="26" t="s">
        <v>118</v>
      </c>
      <c r="E88" s="26" t="s">
        <v>41</v>
      </c>
      <c r="F88" s="26" t="s">
        <v>177</v>
      </c>
      <c r="G88" s="26" t="s">
        <v>3295</v>
      </c>
      <c r="H88" s="26" t="s">
        <v>3303</v>
      </c>
      <c r="I88" s="26">
        <v>2016</v>
      </c>
      <c r="J88" s="26"/>
      <c r="K88" s="26"/>
      <c r="L88" s="26"/>
      <c r="M88" s="27" t="s">
        <v>3180</v>
      </c>
    </row>
    <row r="89" spans="1:13" x14ac:dyDescent="0.35">
      <c r="A89" s="28" t="s">
        <v>345</v>
      </c>
      <c r="B89" s="29" t="s">
        <v>3859</v>
      </c>
      <c r="C89" s="30" t="s">
        <v>311</v>
      </c>
      <c r="D89" s="30" t="s">
        <v>149</v>
      </c>
      <c r="E89" s="30" t="s">
        <v>18</v>
      </c>
      <c r="F89" s="30" t="s">
        <v>19</v>
      </c>
      <c r="G89" s="30" t="s">
        <v>3304</v>
      </c>
      <c r="H89" s="30" t="s">
        <v>3305</v>
      </c>
      <c r="I89" s="30">
        <v>2018</v>
      </c>
      <c r="J89" s="30"/>
      <c r="K89" s="30"/>
      <c r="L89" s="30"/>
      <c r="M89" s="27" t="s">
        <v>3180</v>
      </c>
    </row>
    <row r="90" spans="1:13" x14ac:dyDescent="0.35">
      <c r="A90" s="24" t="s">
        <v>348</v>
      </c>
      <c r="B90" s="25" t="s">
        <v>3860</v>
      </c>
      <c r="C90" s="26" t="s">
        <v>139</v>
      </c>
      <c r="D90" s="26" t="s">
        <v>93</v>
      </c>
      <c r="E90" s="26" t="s">
        <v>18</v>
      </c>
      <c r="F90" s="26" t="s">
        <v>88</v>
      </c>
      <c r="G90" s="26" t="s">
        <v>3304</v>
      </c>
      <c r="H90" s="26" t="s">
        <v>3306</v>
      </c>
      <c r="I90" s="26">
        <v>2018</v>
      </c>
      <c r="J90" s="26"/>
      <c r="K90" s="26"/>
      <c r="L90" s="26"/>
      <c r="M90" s="27" t="s">
        <v>3180</v>
      </c>
    </row>
    <row r="91" spans="1:13" x14ac:dyDescent="0.35">
      <c r="A91" s="28" t="s">
        <v>352</v>
      </c>
      <c r="B91" s="29" t="s">
        <v>354</v>
      </c>
      <c r="C91" s="30" t="s">
        <v>154</v>
      </c>
      <c r="D91" s="30" t="s">
        <v>93</v>
      </c>
      <c r="E91" s="30" t="s">
        <v>18</v>
      </c>
      <c r="F91" s="30" t="s">
        <v>88</v>
      </c>
      <c r="G91" s="30" t="s">
        <v>3307</v>
      </c>
      <c r="H91" s="30" t="s">
        <v>3308</v>
      </c>
      <c r="I91" s="30">
        <v>2021</v>
      </c>
      <c r="J91" s="30"/>
      <c r="K91" s="30"/>
      <c r="L91" s="30"/>
      <c r="M91" s="27" t="s">
        <v>3180</v>
      </c>
    </row>
    <row r="92" spans="1:13" x14ac:dyDescent="0.35">
      <c r="A92" s="24" t="s">
        <v>356</v>
      </c>
      <c r="B92" s="25" t="s">
        <v>3861</v>
      </c>
      <c r="C92" s="26" t="s">
        <v>311</v>
      </c>
      <c r="D92" s="26" t="s">
        <v>149</v>
      </c>
      <c r="E92" s="26" t="s">
        <v>18</v>
      </c>
      <c r="F92" s="26" t="s">
        <v>19</v>
      </c>
      <c r="G92" s="26" t="s">
        <v>3309</v>
      </c>
      <c r="H92" s="26" t="s">
        <v>3310</v>
      </c>
      <c r="I92" s="26">
        <v>2017</v>
      </c>
      <c r="J92" s="26"/>
      <c r="K92" s="26"/>
      <c r="L92" s="26"/>
      <c r="M92" s="27" t="s">
        <v>3180</v>
      </c>
    </row>
    <row r="93" spans="1:13" x14ac:dyDescent="0.35">
      <c r="A93" s="28" t="s">
        <v>359</v>
      </c>
      <c r="B93" s="29" t="s">
        <v>361</v>
      </c>
      <c r="C93" s="30" t="s">
        <v>27</v>
      </c>
      <c r="D93" s="30" t="s">
        <v>362</v>
      </c>
      <c r="E93" s="30" t="s">
        <v>18</v>
      </c>
      <c r="F93" s="30" t="s">
        <v>88</v>
      </c>
      <c r="G93" s="30" t="s">
        <v>3250</v>
      </c>
      <c r="H93" s="30" t="s">
        <v>3311</v>
      </c>
      <c r="I93" s="30">
        <v>2018</v>
      </c>
      <c r="J93" s="30"/>
      <c r="K93" s="30"/>
      <c r="L93" s="30"/>
      <c r="M93" s="27" t="s">
        <v>3180</v>
      </c>
    </row>
    <row r="94" spans="1:13" x14ac:dyDescent="0.35">
      <c r="A94" s="24" t="s">
        <v>364</v>
      </c>
      <c r="B94" s="25" t="s">
        <v>3862</v>
      </c>
      <c r="C94" s="26" t="s">
        <v>27</v>
      </c>
      <c r="D94" s="26" t="s">
        <v>60</v>
      </c>
      <c r="E94" s="26" t="s">
        <v>18</v>
      </c>
      <c r="F94" s="26" t="s">
        <v>19</v>
      </c>
      <c r="G94" s="26" t="s">
        <v>3312</v>
      </c>
      <c r="H94" s="26" t="s">
        <v>3313</v>
      </c>
      <c r="I94" s="26">
        <v>2018</v>
      </c>
      <c r="J94" s="26"/>
      <c r="K94" s="26"/>
      <c r="L94" s="26"/>
      <c r="M94" s="27" t="s">
        <v>3180</v>
      </c>
    </row>
    <row r="95" spans="1:13" x14ac:dyDescent="0.35">
      <c r="A95" s="28" t="s">
        <v>367</v>
      </c>
      <c r="B95" s="29" t="s">
        <v>3863</v>
      </c>
      <c r="C95" s="30" t="s">
        <v>154</v>
      </c>
      <c r="D95" s="30" t="s">
        <v>93</v>
      </c>
      <c r="E95" s="30" t="s">
        <v>41</v>
      </c>
      <c r="F95" s="30" t="s">
        <v>88</v>
      </c>
      <c r="G95" s="30" t="s">
        <v>3314</v>
      </c>
      <c r="H95" s="30" t="s">
        <v>3237</v>
      </c>
      <c r="I95" s="30">
        <v>2021</v>
      </c>
      <c r="J95" s="30"/>
      <c r="K95" s="30"/>
      <c r="L95" s="30"/>
      <c r="M95" s="27" t="s">
        <v>3180</v>
      </c>
    </row>
    <row r="96" spans="1:13" x14ac:dyDescent="0.35">
      <c r="A96" s="24" t="s">
        <v>371</v>
      </c>
      <c r="B96" s="25" t="s">
        <v>373</v>
      </c>
      <c r="C96" s="26" t="s">
        <v>154</v>
      </c>
      <c r="D96" s="26" t="s">
        <v>93</v>
      </c>
      <c r="E96" s="26" t="s">
        <v>41</v>
      </c>
      <c r="F96" s="26" t="s">
        <v>88</v>
      </c>
      <c r="G96" s="26" t="s">
        <v>3315</v>
      </c>
      <c r="H96" s="26" t="s">
        <v>3316</v>
      </c>
      <c r="I96" s="26">
        <v>2021</v>
      </c>
      <c r="J96" s="26"/>
      <c r="K96" s="26"/>
      <c r="L96" s="26"/>
      <c r="M96" s="27" t="s">
        <v>3180</v>
      </c>
    </row>
    <row r="97" spans="1:13" x14ac:dyDescent="0.35">
      <c r="A97" s="28" t="s">
        <v>374</v>
      </c>
      <c r="B97" s="29" t="s">
        <v>3864</v>
      </c>
      <c r="C97" s="30" t="s">
        <v>311</v>
      </c>
      <c r="D97" s="30" t="s">
        <v>149</v>
      </c>
      <c r="E97" s="30" t="s">
        <v>18</v>
      </c>
      <c r="F97" s="30" t="s">
        <v>19</v>
      </c>
      <c r="G97" s="30" t="s">
        <v>3317</v>
      </c>
      <c r="H97" s="30" t="s">
        <v>3318</v>
      </c>
      <c r="I97" s="30">
        <v>2017</v>
      </c>
      <c r="J97" s="30"/>
      <c r="K97" s="30"/>
      <c r="L97" s="30"/>
      <c r="M97" s="27" t="s">
        <v>3180</v>
      </c>
    </row>
    <row r="98" spans="1:13" x14ac:dyDescent="0.35">
      <c r="A98" s="24" t="s">
        <v>377</v>
      </c>
      <c r="B98" s="25" t="s">
        <v>3865</v>
      </c>
      <c r="C98" s="26" t="s">
        <v>311</v>
      </c>
      <c r="D98" s="26" t="s">
        <v>149</v>
      </c>
      <c r="E98" s="26" t="s">
        <v>18</v>
      </c>
      <c r="F98" s="26" t="s">
        <v>19</v>
      </c>
      <c r="G98" s="26" t="s">
        <v>3319</v>
      </c>
      <c r="H98" s="26" t="s">
        <v>3320</v>
      </c>
      <c r="I98" s="26">
        <v>2017</v>
      </c>
      <c r="J98" s="26" t="s">
        <v>2925</v>
      </c>
      <c r="K98" s="26">
        <v>100</v>
      </c>
      <c r="L98" s="26">
        <v>2022</v>
      </c>
      <c r="M98" s="31" t="s">
        <v>3186</v>
      </c>
    </row>
    <row r="99" spans="1:13" x14ac:dyDescent="0.35">
      <c r="A99" s="28" t="s">
        <v>379</v>
      </c>
      <c r="B99" s="29" t="s">
        <v>381</v>
      </c>
      <c r="C99" s="30" t="s">
        <v>139</v>
      </c>
      <c r="D99" s="30" t="s">
        <v>93</v>
      </c>
      <c r="E99" s="30" t="s">
        <v>18</v>
      </c>
      <c r="F99" s="30" t="s">
        <v>177</v>
      </c>
      <c r="G99" s="30" t="s">
        <v>3301</v>
      </c>
      <c r="H99" s="30" t="s">
        <v>3321</v>
      </c>
      <c r="I99" s="30">
        <v>2018</v>
      </c>
      <c r="J99" s="30" t="s">
        <v>381</v>
      </c>
      <c r="K99" s="30">
        <v>100</v>
      </c>
      <c r="L99" s="30">
        <v>2022</v>
      </c>
      <c r="M99" s="31" t="s">
        <v>3186</v>
      </c>
    </row>
    <row r="100" spans="1:13" x14ac:dyDescent="0.35">
      <c r="A100" s="24" t="s">
        <v>383</v>
      </c>
      <c r="B100" s="25" t="s">
        <v>3866</v>
      </c>
      <c r="C100" s="26" t="s">
        <v>139</v>
      </c>
      <c r="D100" s="26" t="s">
        <v>386</v>
      </c>
      <c r="E100" s="26" t="s">
        <v>18</v>
      </c>
      <c r="F100" s="26" t="s">
        <v>88</v>
      </c>
      <c r="G100" s="26" t="s">
        <v>3322</v>
      </c>
      <c r="H100" s="26" t="s">
        <v>3323</v>
      </c>
      <c r="I100" s="26">
        <v>2018</v>
      </c>
      <c r="J100" s="26" t="s">
        <v>2805</v>
      </c>
      <c r="K100" s="26">
        <v>100</v>
      </c>
      <c r="L100" s="26">
        <v>2023</v>
      </c>
      <c r="M100" s="31" t="s">
        <v>3186</v>
      </c>
    </row>
    <row r="101" spans="1:13" x14ac:dyDescent="0.35">
      <c r="A101" s="28" t="s">
        <v>388</v>
      </c>
      <c r="B101" s="29" t="s">
        <v>3867</v>
      </c>
      <c r="C101" s="30" t="s">
        <v>139</v>
      </c>
      <c r="D101" s="30" t="s">
        <v>386</v>
      </c>
      <c r="E101" s="30" t="s">
        <v>18</v>
      </c>
      <c r="F101" s="30" t="s">
        <v>88</v>
      </c>
      <c r="G101" s="30" t="s">
        <v>3304</v>
      </c>
      <c r="H101" s="30" t="s">
        <v>3306</v>
      </c>
      <c r="I101" s="30">
        <v>2018</v>
      </c>
      <c r="J101" s="30" t="s">
        <v>3072</v>
      </c>
      <c r="K101" s="30">
        <v>100</v>
      </c>
      <c r="L101" s="30">
        <v>2021</v>
      </c>
      <c r="M101" s="31" t="s">
        <v>3186</v>
      </c>
    </row>
    <row r="102" spans="1:13" x14ac:dyDescent="0.35">
      <c r="A102" s="24" t="s">
        <v>392</v>
      </c>
      <c r="B102" s="25" t="s">
        <v>3868</v>
      </c>
      <c r="C102" s="26" t="s">
        <v>311</v>
      </c>
      <c r="D102" s="26" t="s">
        <v>395</v>
      </c>
      <c r="E102" s="26" t="s">
        <v>41</v>
      </c>
      <c r="F102" s="26" t="s">
        <v>19</v>
      </c>
      <c r="G102" s="26" t="s">
        <v>3322</v>
      </c>
      <c r="H102" s="26" t="s">
        <v>3324</v>
      </c>
      <c r="I102" s="26">
        <v>2018</v>
      </c>
      <c r="J102" s="26"/>
      <c r="K102" s="26"/>
      <c r="L102" s="26"/>
      <c r="M102" s="27" t="s">
        <v>3180</v>
      </c>
    </row>
    <row r="103" spans="1:13" x14ac:dyDescent="0.35">
      <c r="A103" s="28" t="s">
        <v>397</v>
      </c>
      <c r="B103" s="29" t="s">
        <v>399</v>
      </c>
      <c r="C103" s="30" t="s">
        <v>294</v>
      </c>
      <c r="D103" s="30" t="s">
        <v>17</v>
      </c>
      <c r="E103" s="30" t="s">
        <v>18</v>
      </c>
      <c r="F103" s="30" t="s">
        <v>19</v>
      </c>
      <c r="G103" s="30" t="s">
        <v>3325</v>
      </c>
      <c r="H103" s="30" t="s">
        <v>3326</v>
      </c>
      <c r="I103" s="30">
        <v>2019</v>
      </c>
      <c r="J103" s="30"/>
      <c r="K103" s="30"/>
      <c r="L103" s="30"/>
      <c r="M103" s="27" t="s">
        <v>3180</v>
      </c>
    </row>
    <row r="104" spans="1:13" x14ac:dyDescent="0.35">
      <c r="A104" s="24" t="s">
        <v>401</v>
      </c>
      <c r="B104" s="25" t="s">
        <v>3869</v>
      </c>
      <c r="C104" s="26" t="s">
        <v>139</v>
      </c>
      <c r="D104" s="26" t="s">
        <v>404</v>
      </c>
      <c r="E104" s="26" t="s">
        <v>41</v>
      </c>
      <c r="F104" s="26" t="s">
        <v>88</v>
      </c>
      <c r="G104" s="26" t="s">
        <v>3327</v>
      </c>
      <c r="H104" s="26" t="s">
        <v>3328</v>
      </c>
      <c r="I104" s="26">
        <v>2018</v>
      </c>
      <c r="J104" s="26" t="s">
        <v>2666</v>
      </c>
      <c r="K104" s="26">
        <v>100</v>
      </c>
      <c r="L104" s="26">
        <v>2022</v>
      </c>
      <c r="M104" s="31" t="s">
        <v>3186</v>
      </c>
    </row>
    <row r="105" spans="1:13" x14ac:dyDescent="0.35">
      <c r="A105" s="28" t="s">
        <v>406</v>
      </c>
      <c r="B105" s="29" t="s">
        <v>3870</v>
      </c>
      <c r="C105" s="30" t="s">
        <v>154</v>
      </c>
      <c r="D105" s="30" t="s">
        <v>93</v>
      </c>
      <c r="E105" s="30" t="s">
        <v>18</v>
      </c>
      <c r="F105" s="30" t="s">
        <v>88</v>
      </c>
      <c r="G105" s="30" t="s">
        <v>3322</v>
      </c>
      <c r="H105" s="30" t="s">
        <v>3329</v>
      </c>
      <c r="I105" s="30">
        <v>2018</v>
      </c>
      <c r="J105" s="30"/>
      <c r="K105" s="30"/>
      <c r="L105" s="30"/>
      <c r="M105" s="27" t="s">
        <v>3180</v>
      </c>
    </row>
    <row r="106" spans="1:13" x14ac:dyDescent="0.35">
      <c r="A106" s="24" t="s">
        <v>410</v>
      </c>
      <c r="B106" s="25" t="s">
        <v>3871</v>
      </c>
      <c r="C106" s="26" t="s">
        <v>139</v>
      </c>
      <c r="D106" s="26" t="s">
        <v>413</v>
      </c>
      <c r="E106" s="26" t="s">
        <v>41</v>
      </c>
      <c r="F106" s="26" t="s">
        <v>19</v>
      </c>
      <c r="G106" s="26" t="s">
        <v>3322</v>
      </c>
      <c r="H106" s="26" t="s">
        <v>3330</v>
      </c>
      <c r="I106" s="26">
        <v>2018</v>
      </c>
      <c r="J106" s="26"/>
      <c r="K106" s="26"/>
      <c r="L106" s="26"/>
      <c r="M106" s="27" t="s">
        <v>3180</v>
      </c>
    </row>
    <row r="107" spans="1:13" x14ac:dyDescent="0.35">
      <c r="A107" s="28" t="s">
        <v>415</v>
      </c>
      <c r="B107" s="29" t="s">
        <v>3872</v>
      </c>
      <c r="C107" s="30" t="s">
        <v>139</v>
      </c>
      <c r="D107" s="30" t="s">
        <v>386</v>
      </c>
      <c r="E107" s="30" t="s">
        <v>18</v>
      </c>
      <c r="F107" s="30" t="s">
        <v>88</v>
      </c>
      <c r="G107" s="30" t="s">
        <v>3327</v>
      </c>
      <c r="H107" s="30" t="s">
        <v>3328</v>
      </c>
      <c r="I107" s="30">
        <v>2018</v>
      </c>
      <c r="J107" s="30"/>
      <c r="K107" s="30"/>
      <c r="L107" s="30"/>
      <c r="M107" s="27" t="s">
        <v>3180</v>
      </c>
    </row>
    <row r="108" spans="1:13" x14ac:dyDescent="0.35">
      <c r="A108" s="24" t="s">
        <v>419</v>
      </c>
      <c r="B108" s="25" t="s">
        <v>3873</v>
      </c>
      <c r="C108" s="26" t="s">
        <v>27</v>
      </c>
      <c r="D108" s="26" t="s">
        <v>28</v>
      </c>
      <c r="E108" s="26" t="s">
        <v>18</v>
      </c>
      <c r="F108" s="26" t="s">
        <v>88</v>
      </c>
      <c r="G108" s="26" t="s">
        <v>3331</v>
      </c>
      <c r="H108" s="26" t="s">
        <v>3332</v>
      </c>
      <c r="I108" s="26">
        <v>2021</v>
      </c>
      <c r="J108" s="26"/>
      <c r="K108" s="26"/>
      <c r="L108" s="26"/>
      <c r="M108" s="27" t="s">
        <v>3180</v>
      </c>
    </row>
    <row r="109" spans="1:13" x14ac:dyDescent="0.35">
      <c r="A109" s="28" t="s">
        <v>423</v>
      </c>
      <c r="B109" s="29" t="s">
        <v>3874</v>
      </c>
      <c r="C109" s="30" t="s">
        <v>139</v>
      </c>
      <c r="D109" s="30" t="s">
        <v>426</v>
      </c>
      <c r="E109" s="30" t="s">
        <v>18</v>
      </c>
      <c r="F109" s="30" t="s">
        <v>88</v>
      </c>
      <c r="G109" s="30" t="s">
        <v>3327</v>
      </c>
      <c r="H109" s="30" t="s">
        <v>3333</v>
      </c>
      <c r="I109" s="30">
        <v>2018</v>
      </c>
      <c r="J109" s="30" t="s">
        <v>2085</v>
      </c>
      <c r="K109" s="30">
        <v>100</v>
      </c>
      <c r="L109" s="30">
        <v>2023</v>
      </c>
      <c r="M109" s="31" t="s">
        <v>3186</v>
      </c>
    </row>
    <row r="110" spans="1:13" x14ac:dyDescent="0.35">
      <c r="A110" s="24" t="s">
        <v>428</v>
      </c>
      <c r="B110" s="25" t="s">
        <v>3875</v>
      </c>
      <c r="C110" s="26" t="s">
        <v>311</v>
      </c>
      <c r="D110" s="26" t="s">
        <v>149</v>
      </c>
      <c r="E110" s="26" t="s">
        <v>18</v>
      </c>
      <c r="F110" s="26" t="s">
        <v>19</v>
      </c>
      <c r="G110" s="26" t="s">
        <v>3334</v>
      </c>
      <c r="H110" s="26" t="s">
        <v>3335</v>
      </c>
      <c r="I110" s="26">
        <v>2018</v>
      </c>
      <c r="J110" s="26"/>
      <c r="K110" s="26"/>
      <c r="L110" s="26"/>
      <c r="M110" s="27" t="s">
        <v>3180</v>
      </c>
    </row>
    <row r="111" spans="1:13" x14ac:dyDescent="0.35">
      <c r="A111" s="28" t="s">
        <v>431</v>
      </c>
      <c r="B111" s="29" t="s">
        <v>3876</v>
      </c>
      <c r="C111" s="30" t="s">
        <v>311</v>
      </c>
      <c r="D111" s="30" t="s">
        <v>149</v>
      </c>
      <c r="E111" s="30" t="s">
        <v>41</v>
      </c>
      <c r="F111" s="30" t="s">
        <v>19</v>
      </c>
      <c r="G111" s="30" t="s">
        <v>3336</v>
      </c>
      <c r="H111" s="30" t="s">
        <v>3337</v>
      </c>
      <c r="I111" s="30">
        <v>2018</v>
      </c>
      <c r="J111" s="30"/>
      <c r="K111" s="30"/>
      <c r="L111" s="30"/>
      <c r="M111" s="27" t="s">
        <v>3180</v>
      </c>
    </row>
    <row r="112" spans="1:13" x14ac:dyDescent="0.35">
      <c r="A112" s="24" t="s">
        <v>434</v>
      </c>
      <c r="B112" s="25" t="s">
        <v>3877</v>
      </c>
      <c r="C112" s="26" t="s">
        <v>311</v>
      </c>
      <c r="D112" s="26" t="s">
        <v>149</v>
      </c>
      <c r="E112" s="26" t="s">
        <v>41</v>
      </c>
      <c r="F112" s="26" t="s">
        <v>19</v>
      </c>
      <c r="G112" s="26" t="s">
        <v>3322</v>
      </c>
      <c r="H112" s="26" t="s">
        <v>3324</v>
      </c>
      <c r="I112" s="26">
        <v>2018</v>
      </c>
      <c r="J112" s="26"/>
      <c r="K112" s="26"/>
      <c r="L112" s="26"/>
      <c r="M112" s="27" t="s">
        <v>3180</v>
      </c>
    </row>
    <row r="113" spans="1:13" x14ac:dyDescent="0.35">
      <c r="A113" s="28" t="s">
        <v>437</v>
      </c>
      <c r="B113" s="29" t="s">
        <v>3877</v>
      </c>
      <c r="C113" s="30" t="s">
        <v>311</v>
      </c>
      <c r="D113" s="30" t="s">
        <v>395</v>
      </c>
      <c r="E113" s="30" t="s">
        <v>41</v>
      </c>
      <c r="F113" s="30" t="s">
        <v>19</v>
      </c>
      <c r="G113" s="30" t="s">
        <v>3322</v>
      </c>
      <c r="H113" s="30" t="s">
        <v>3324</v>
      </c>
      <c r="I113" s="30">
        <v>2018</v>
      </c>
      <c r="J113" s="30"/>
      <c r="K113" s="30"/>
      <c r="L113" s="30"/>
      <c r="M113" s="27" t="s">
        <v>3180</v>
      </c>
    </row>
    <row r="114" spans="1:13" x14ac:dyDescent="0.35">
      <c r="A114" s="24" t="s">
        <v>439</v>
      </c>
      <c r="B114" s="25" t="s">
        <v>3878</v>
      </c>
      <c r="C114" s="26" t="s">
        <v>311</v>
      </c>
      <c r="D114" s="26" t="s">
        <v>149</v>
      </c>
      <c r="E114" s="26" t="s">
        <v>18</v>
      </c>
      <c r="F114" s="26" t="s">
        <v>19</v>
      </c>
      <c r="G114" s="26" t="s">
        <v>3338</v>
      </c>
      <c r="H114" s="26" t="s">
        <v>3339</v>
      </c>
      <c r="I114" s="26">
        <v>2018</v>
      </c>
      <c r="J114" s="26" t="s">
        <v>2027</v>
      </c>
      <c r="K114" s="26">
        <v>93.8</v>
      </c>
      <c r="L114" s="26">
        <v>2023</v>
      </c>
      <c r="M114" s="31" t="s">
        <v>3186</v>
      </c>
    </row>
    <row r="115" spans="1:13" x14ac:dyDescent="0.35">
      <c r="A115" s="28" t="s">
        <v>442</v>
      </c>
      <c r="B115" s="29" t="s">
        <v>3828</v>
      </c>
      <c r="C115" s="30" t="s">
        <v>27</v>
      </c>
      <c r="D115" s="30" t="s">
        <v>28</v>
      </c>
      <c r="E115" s="30" t="s">
        <v>18</v>
      </c>
      <c r="F115" s="30" t="s">
        <v>19</v>
      </c>
      <c r="G115" s="30" t="s">
        <v>3340</v>
      </c>
      <c r="H115" s="30" t="s">
        <v>3341</v>
      </c>
      <c r="I115" s="30">
        <v>2019</v>
      </c>
      <c r="J115" s="30"/>
      <c r="K115" s="30"/>
      <c r="L115" s="30"/>
      <c r="M115" s="27" t="s">
        <v>3180</v>
      </c>
    </row>
    <row r="116" spans="1:13" x14ac:dyDescent="0.35">
      <c r="A116" s="24" t="s">
        <v>444</v>
      </c>
      <c r="B116" s="25" t="s">
        <v>3879</v>
      </c>
      <c r="C116" s="26" t="s">
        <v>311</v>
      </c>
      <c r="D116" s="26" t="s">
        <v>395</v>
      </c>
      <c r="E116" s="26" t="s">
        <v>41</v>
      </c>
      <c r="F116" s="26" t="s">
        <v>19</v>
      </c>
      <c r="G116" s="26" t="s">
        <v>3342</v>
      </c>
      <c r="H116" s="26" t="s">
        <v>3343</v>
      </c>
      <c r="I116" s="26">
        <v>2018</v>
      </c>
      <c r="J116" s="26"/>
      <c r="K116" s="26"/>
      <c r="L116" s="26"/>
      <c r="M116" s="27" t="s">
        <v>3180</v>
      </c>
    </row>
    <row r="117" spans="1:13" x14ac:dyDescent="0.35">
      <c r="A117" s="28" t="s">
        <v>447</v>
      </c>
      <c r="B117" s="29" t="s">
        <v>3880</v>
      </c>
      <c r="C117" s="30" t="s">
        <v>311</v>
      </c>
      <c r="D117" s="30" t="s">
        <v>149</v>
      </c>
      <c r="E117" s="30" t="s">
        <v>18</v>
      </c>
      <c r="F117" s="30" t="s">
        <v>19</v>
      </c>
      <c r="G117" s="30" t="s">
        <v>3327</v>
      </c>
      <c r="H117" s="30" t="s">
        <v>3344</v>
      </c>
      <c r="I117" s="30">
        <v>2018</v>
      </c>
      <c r="J117" s="30"/>
      <c r="K117" s="30"/>
      <c r="L117" s="30"/>
      <c r="M117" s="27" t="s">
        <v>3180</v>
      </c>
    </row>
    <row r="118" spans="1:13" x14ac:dyDescent="0.35">
      <c r="A118" s="24" t="s">
        <v>450</v>
      </c>
      <c r="B118" s="25" t="s">
        <v>3881</v>
      </c>
      <c r="C118" s="26" t="s">
        <v>311</v>
      </c>
      <c r="D118" s="26" t="s">
        <v>149</v>
      </c>
      <c r="E118" s="26" t="s">
        <v>18</v>
      </c>
      <c r="F118" s="26" t="s">
        <v>19</v>
      </c>
      <c r="G118" s="26" t="s">
        <v>3345</v>
      </c>
      <c r="H118" s="26" t="s">
        <v>3346</v>
      </c>
      <c r="I118" s="26">
        <v>2018</v>
      </c>
      <c r="J118" s="26" t="s">
        <v>2463</v>
      </c>
      <c r="K118" s="26">
        <v>100</v>
      </c>
      <c r="L118" s="26">
        <v>2021</v>
      </c>
      <c r="M118" s="31" t="s">
        <v>3186</v>
      </c>
    </row>
    <row r="119" spans="1:13" x14ac:dyDescent="0.35">
      <c r="A119" s="28" t="s">
        <v>453</v>
      </c>
      <c r="B119" s="29" t="s">
        <v>3882</v>
      </c>
      <c r="C119" s="30" t="s">
        <v>311</v>
      </c>
      <c r="D119" s="30" t="s">
        <v>149</v>
      </c>
      <c r="E119" s="30" t="s">
        <v>41</v>
      </c>
      <c r="F119" s="30" t="s">
        <v>19</v>
      </c>
      <c r="G119" s="30" t="s">
        <v>3312</v>
      </c>
      <c r="H119" s="30" t="s">
        <v>3347</v>
      </c>
      <c r="I119" s="30">
        <v>2018</v>
      </c>
      <c r="J119" s="30"/>
      <c r="K119" s="30"/>
      <c r="L119" s="30"/>
      <c r="M119" s="27" t="s">
        <v>3180</v>
      </c>
    </row>
    <row r="120" spans="1:13" x14ac:dyDescent="0.35">
      <c r="A120" s="24" t="s">
        <v>456</v>
      </c>
      <c r="B120" s="25" t="s">
        <v>3883</v>
      </c>
      <c r="C120" s="26" t="s">
        <v>311</v>
      </c>
      <c r="D120" s="26" t="s">
        <v>149</v>
      </c>
      <c r="E120" s="26" t="s">
        <v>41</v>
      </c>
      <c r="F120" s="26" t="s">
        <v>19</v>
      </c>
      <c r="G120" s="26" t="s">
        <v>3289</v>
      </c>
      <c r="H120" s="26" t="s">
        <v>3348</v>
      </c>
      <c r="I120" s="26">
        <v>2018</v>
      </c>
      <c r="J120" s="26"/>
      <c r="K120" s="26"/>
      <c r="L120" s="26"/>
      <c r="M120" s="27" t="s">
        <v>3180</v>
      </c>
    </row>
    <row r="121" spans="1:13" x14ac:dyDescent="0.35">
      <c r="A121" s="28" t="s">
        <v>459</v>
      </c>
      <c r="B121" s="29" t="s">
        <v>3884</v>
      </c>
      <c r="C121" s="30" t="s">
        <v>139</v>
      </c>
      <c r="D121" s="30" t="s">
        <v>113</v>
      </c>
      <c r="E121" s="30" t="s">
        <v>18</v>
      </c>
      <c r="F121" s="30" t="s">
        <v>19</v>
      </c>
      <c r="G121" s="30" t="s">
        <v>3349</v>
      </c>
      <c r="H121" s="30" t="s">
        <v>3350</v>
      </c>
      <c r="I121" s="30">
        <v>2018</v>
      </c>
      <c r="J121" s="30"/>
      <c r="K121" s="30"/>
      <c r="L121" s="30"/>
      <c r="M121" s="27" t="s">
        <v>3180</v>
      </c>
    </row>
    <row r="122" spans="1:13" x14ac:dyDescent="0.35">
      <c r="A122" s="24" t="s">
        <v>463</v>
      </c>
      <c r="B122" s="25" t="s">
        <v>3828</v>
      </c>
      <c r="C122" s="26" t="s">
        <v>27</v>
      </c>
      <c r="D122" s="26" t="s">
        <v>28</v>
      </c>
      <c r="E122" s="26" t="s">
        <v>18</v>
      </c>
      <c r="F122" s="26" t="s">
        <v>88</v>
      </c>
      <c r="G122" s="26" t="s">
        <v>3351</v>
      </c>
      <c r="H122" s="26" t="s">
        <v>3352</v>
      </c>
      <c r="I122" s="26">
        <v>2019</v>
      </c>
      <c r="J122" s="26"/>
      <c r="K122" s="26"/>
      <c r="L122" s="26"/>
      <c r="M122" s="27" t="s">
        <v>3180</v>
      </c>
    </row>
    <row r="123" spans="1:13" x14ac:dyDescent="0.35">
      <c r="A123" s="28" t="s">
        <v>466</v>
      </c>
      <c r="B123" s="29" t="s">
        <v>3885</v>
      </c>
      <c r="C123" s="30" t="s">
        <v>139</v>
      </c>
      <c r="D123" s="30" t="s">
        <v>93</v>
      </c>
      <c r="E123" s="30" t="s">
        <v>18</v>
      </c>
      <c r="F123" s="30" t="s">
        <v>88</v>
      </c>
      <c r="G123" s="30" t="s">
        <v>3353</v>
      </c>
      <c r="H123" s="30" t="s">
        <v>3354</v>
      </c>
      <c r="I123" s="30">
        <v>2019</v>
      </c>
      <c r="J123" s="30" t="s">
        <v>2719</v>
      </c>
      <c r="K123" s="30">
        <v>95.5</v>
      </c>
      <c r="L123" s="30">
        <v>2021</v>
      </c>
      <c r="M123" s="31" t="s">
        <v>3186</v>
      </c>
    </row>
    <row r="124" spans="1:13" x14ac:dyDescent="0.35">
      <c r="A124" s="24" t="s">
        <v>470</v>
      </c>
      <c r="B124" s="25" t="s">
        <v>3867</v>
      </c>
      <c r="C124" s="26" t="s">
        <v>139</v>
      </c>
      <c r="D124" s="26" t="s">
        <v>93</v>
      </c>
      <c r="E124" s="26" t="s">
        <v>18</v>
      </c>
      <c r="F124" s="26" t="s">
        <v>177</v>
      </c>
      <c r="G124" s="26" t="s">
        <v>3353</v>
      </c>
      <c r="H124" s="26" t="s">
        <v>3355</v>
      </c>
      <c r="I124" s="26">
        <v>2019</v>
      </c>
      <c r="J124" s="26" t="s">
        <v>3072</v>
      </c>
      <c r="K124" s="26">
        <v>100</v>
      </c>
      <c r="L124" s="26">
        <v>2021</v>
      </c>
      <c r="M124" s="31" t="s">
        <v>3186</v>
      </c>
    </row>
    <row r="125" spans="1:13" x14ac:dyDescent="0.35">
      <c r="A125" s="28" t="s">
        <v>473</v>
      </c>
      <c r="B125" s="29" t="s">
        <v>3886</v>
      </c>
      <c r="C125" s="30" t="s">
        <v>139</v>
      </c>
      <c r="D125" s="30" t="s">
        <v>93</v>
      </c>
      <c r="E125" s="30" t="s">
        <v>18</v>
      </c>
      <c r="F125" s="30" t="s">
        <v>88</v>
      </c>
      <c r="G125" s="30" t="s">
        <v>3356</v>
      </c>
      <c r="H125" s="30" t="s">
        <v>3357</v>
      </c>
      <c r="I125" s="30">
        <v>2019</v>
      </c>
      <c r="J125" s="30"/>
      <c r="K125" s="30"/>
      <c r="L125" s="30"/>
      <c r="M125" s="27" t="s">
        <v>3180</v>
      </c>
    </row>
    <row r="126" spans="1:13" x14ac:dyDescent="0.35">
      <c r="A126" s="24" t="s">
        <v>477</v>
      </c>
      <c r="B126" s="25" t="s">
        <v>3887</v>
      </c>
      <c r="C126" s="26" t="s">
        <v>311</v>
      </c>
      <c r="D126" s="26" t="s">
        <v>149</v>
      </c>
      <c r="E126" s="26" t="s">
        <v>18</v>
      </c>
      <c r="F126" s="26" t="s">
        <v>19</v>
      </c>
      <c r="G126" s="26" t="s">
        <v>3277</v>
      </c>
      <c r="H126" s="26" t="s">
        <v>3358</v>
      </c>
      <c r="I126" s="26">
        <v>2018</v>
      </c>
      <c r="J126" s="26"/>
      <c r="K126" s="26"/>
      <c r="L126" s="26"/>
      <c r="M126" s="27" t="s">
        <v>3180</v>
      </c>
    </row>
    <row r="127" spans="1:13" x14ac:dyDescent="0.35">
      <c r="A127" s="28" t="s">
        <v>480</v>
      </c>
      <c r="B127" s="29" t="s">
        <v>3888</v>
      </c>
      <c r="C127" s="30" t="s">
        <v>27</v>
      </c>
      <c r="D127" s="30" t="s">
        <v>118</v>
      </c>
      <c r="E127" s="30" t="s">
        <v>18</v>
      </c>
      <c r="F127" s="30" t="s">
        <v>19</v>
      </c>
      <c r="G127" s="30" t="s">
        <v>3359</v>
      </c>
      <c r="H127" s="30" t="s">
        <v>3360</v>
      </c>
      <c r="I127" s="30">
        <v>2019</v>
      </c>
      <c r="J127" s="30"/>
      <c r="K127" s="30"/>
      <c r="L127" s="30"/>
      <c r="M127" s="27" t="s">
        <v>3180</v>
      </c>
    </row>
    <row r="128" spans="1:13" x14ac:dyDescent="0.35">
      <c r="A128" s="24" t="s">
        <v>483</v>
      </c>
      <c r="B128" s="25" t="s">
        <v>3857</v>
      </c>
      <c r="C128" s="26" t="s">
        <v>139</v>
      </c>
      <c r="D128" s="26" t="s">
        <v>17</v>
      </c>
      <c r="E128" s="26" t="s">
        <v>41</v>
      </c>
      <c r="F128" s="26" t="s">
        <v>299</v>
      </c>
      <c r="G128" s="26" t="s">
        <v>3361</v>
      </c>
      <c r="H128" s="26" t="s">
        <v>3276</v>
      </c>
      <c r="I128" s="26">
        <v>2019</v>
      </c>
      <c r="J128" s="26"/>
      <c r="K128" s="26"/>
      <c r="L128" s="26"/>
      <c r="M128" s="27" t="s">
        <v>3180</v>
      </c>
    </row>
    <row r="129" spans="1:13" x14ac:dyDescent="0.35">
      <c r="A129" s="28" t="s">
        <v>486</v>
      </c>
      <c r="B129" s="29" t="s">
        <v>3889</v>
      </c>
      <c r="C129" s="30" t="s">
        <v>27</v>
      </c>
      <c r="D129" s="30" t="s">
        <v>28</v>
      </c>
      <c r="E129" s="30" t="s">
        <v>41</v>
      </c>
      <c r="F129" s="30" t="s">
        <v>19</v>
      </c>
      <c r="G129" s="30" t="s">
        <v>3356</v>
      </c>
      <c r="H129" s="30" t="s">
        <v>3362</v>
      </c>
      <c r="I129" s="30">
        <v>2019</v>
      </c>
      <c r="J129" s="30"/>
      <c r="K129" s="30"/>
      <c r="L129" s="30"/>
      <c r="M129" s="27" t="s">
        <v>3180</v>
      </c>
    </row>
    <row r="130" spans="1:13" x14ac:dyDescent="0.35">
      <c r="A130" s="24" t="s">
        <v>489</v>
      </c>
      <c r="B130" s="25" t="s">
        <v>3879</v>
      </c>
      <c r="C130" s="26" t="s">
        <v>311</v>
      </c>
      <c r="D130" s="26" t="s">
        <v>149</v>
      </c>
      <c r="E130" s="26" t="s">
        <v>41</v>
      </c>
      <c r="F130" s="26" t="s">
        <v>19</v>
      </c>
      <c r="G130" s="26" t="s">
        <v>3248</v>
      </c>
      <c r="H130" s="26" t="s">
        <v>3363</v>
      </c>
      <c r="I130" s="26">
        <v>2019</v>
      </c>
      <c r="J130" s="26"/>
      <c r="K130" s="26"/>
      <c r="L130" s="26"/>
      <c r="M130" s="27" t="s">
        <v>3180</v>
      </c>
    </row>
    <row r="131" spans="1:13" x14ac:dyDescent="0.35">
      <c r="A131" s="28" t="s">
        <v>490</v>
      </c>
      <c r="B131" s="29" t="s">
        <v>492</v>
      </c>
      <c r="C131" s="30" t="s">
        <v>294</v>
      </c>
      <c r="D131" s="30" t="s">
        <v>93</v>
      </c>
      <c r="E131" s="30" t="s">
        <v>18</v>
      </c>
      <c r="F131" s="30" t="s">
        <v>88</v>
      </c>
      <c r="G131" s="30" t="s">
        <v>3364</v>
      </c>
      <c r="H131" s="30" t="s">
        <v>3365</v>
      </c>
      <c r="I131" s="30">
        <v>2019</v>
      </c>
      <c r="J131" s="30"/>
      <c r="K131" s="30"/>
      <c r="L131" s="30"/>
      <c r="M131" s="27" t="s">
        <v>3180</v>
      </c>
    </row>
    <row r="132" spans="1:13" x14ac:dyDescent="0.35">
      <c r="A132" s="24" t="s">
        <v>494</v>
      </c>
      <c r="B132" s="25" t="s">
        <v>3890</v>
      </c>
      <c r="C132" s="26" t="s">
        <v>311</v>
      </c>
      <c r="D132" s="26" t="s">
        <v>149</v>
      </c>
      <c r="E132" s="26" t="s">
        <v>18</v>
      </c>
      <c r="F132" s="26" t="s">
        <v>19</v>
      </c>
      <c r="G132" s="26" t="s">
        <v>3366</v>
      </c>
      <c r="H132" s="26" t="s">
        <v>3339</v>
      </c>
      <c r="I132" s="26">
        <v>2018</v>
      </c>
      <c r="J132" s="26"/>
      <c r="K132" s="26"/>
      <c r="L132" s="26"/>
      <c r="M132" s="27" t="s">
        <v>3180</v>
      </c>
    </row>
    <row r="133" spans="1:13" x14ac:dyDescent="0.35">
      <c r="A133" s="28" t="s">
        <v>497</v>
      </c>
      <c r="B133" s="29" t="s">
        <v>3891</v>
      </c>
      <c r="C133" s="30" t="s">
        <v>139</v>
      </c>
      <c r="D133" s="30" t="s">
        <v>93</v>
      </c>
      <c r="E133" s="30" t="s">
        <v>18</v>
      </c>
      <c r="F133" s="30" t="s">
        <v>88</v>
      </c>
      <c r="G133" s="30" t="s">
        <v>3367</v>
      </c>
      <c r="H133" s="30" t="s">
        <v>3368</v>
      </c>
      <c r="I133" s="30">
        <v>2019</v>
      </c>
      <c r="J133" s="30"/>
      <c r="K133" s="30"/>
      <c r="L133" s="30"/>
      <c r="M133" s="27" t="s">
        <v>3180</v>
      </c>
    </row>
    <row r="134" spans="1:13" x14ac:dyDescent="0.35">
      <c r="A134" s="24" t="s">
        <v>501</v>
      </c>
      <c r="B134" s="25" t="s">
        <v>3892</v>
      </c>
      <c r="C134" s="26" t="s">
        <v>27</v>
      </c>
      <c r="D134" s="26" t="s">
        <v>28</v>
      </c>
      <c r="E134" s="26" t="s">
        <v>18</v>
      </c>
      <c r="F134" s="26" t="s">
        <v>88</v>
      </c>
      <c r="G134" s="26" t="s">
        <v>3369</v>
      </c>
      <c r="H134" s="26" t="s">
        <v>3370</v>
      </c>
      <c r="I134" s="26">
        <v>2019</v>
      </c>
      <c r="J134" s="26"/>
      <c r="K134" s="26"/>
      <c r="L134" s="26"/>
      <c r="M134" s="27" t="s">
        <v>3180</v>
      </c>
    </row>
    <row r="135" spans="1:13" x14ac:dyDescent="0.35">
      <c r="A135" s="28" t="s">
        <v>504</v>
      </c>
      <c r="B135" s="29" t="s">
        <v>506</v>
      </c>
      <c r="C135" s="30" t="s">
        <v>139</v>
      </c>
      <c r="D135" s="30" t="s">
        <v>93</v>
      </c>
      <c r="E135" s="30" t="s">
        <v>18</v>
      </c>
      <c r="F135" s="30" t="s">
        <v>88</v>
      </c>
      <c r="G135" s="30" t="s">
        <v>3267</v>
      </c>
      <c r="H135" s="30" t="s">
        <v>3371</v>
      </c>
      <c r="I135" s="30">
        <v>2020</v>
      </c>
      <c r="J135" s="30"/>
      <c r="K135" s="30"/>
      <c r="L135" s="30"/>
      <c r="M135" s="27" t="s">
        <v>3180</v>
      </c>
    </row>
    <row r="136" spans="1:13" x14ac:dyDescent="0.35">
      <c r="A136" s="24" t="s">
        <v>508</v>
      </c>
      <c r="B136" s="25" t="s">
        <v>3893</v>
      </c>
      <c r="C136" s="26" t="s">
        <v>154</v>
      </c>
      <c r="D136" s="26" t="s">
        <v>93</v>
      </c>
      <c r="E136" s="26" t="s">
        <v>18</v>
      </c>
      <c r="F136" s="26" t="s">
        <v>88</v>
      </c>
      <c r="G136" s="26" t="s">
        <v>3372</v>
      </c>
      <c r="H136" s="26" t="s">
        <v>3373</v>
      </c>
      <c r="I136" s="26">
        <v>2020</v>
      </c>
      <c r="J136" s="26"/>
      <c r="K136" s="26"/>
      <c r="L136" s="26"/>
      <c r="M136" s="27" t="s">
        <v>3180</v>
      </c>
    </row>
    <row r="137" spans="1:13" x14ac:dyDescent="0.35">
      <c r="A137" s="28" t="s">
        <v>512</v>
      </c>
      <c r="B137" s="29" t="s">
        <v>3894</v>
      </c>
      <c r="C137" s="30" t="s">
        <v>139</v>
      </c>
      <c r="D137" s="30" t="s">
        <v>175</v>
      </c>
      <c r="E137" s="30" t="s">
        <v>41</v>
      </c>
      <c r="F137" s="30" t="s">
        <v>177</v>
      </c>
      <c r="G137" s="30" t="s">
        <v>3374</v>
      </c>
      <c r="H137" s="30" t="s">
        <v>3375</v>
      </c>
      <c r="I137" s="30">
        <v>2020</v>
      </c>
      <c r="J137" s="30"/>
      <c r="K137" s="30"/>
      <c r="L137" s="30"/>
      <c r="M137" s="27" t="s">
        <v>3180</v>
      </c>
    </row>
    <row r="138" spans="1:13" x14ac:dyDescent="0.35">
      <c r="A138" s="24" t="s">
        <v>516</v>
      </c>
      <c r="B138" s="25"/>
      <c r="C138" s="26" t="s">
        <v>518</v>
      </c>
      <c r="D138" s="26" t="s">
        <v>395</v>
      </c>
      <c r="E138" s="26" t="s">
        <v>18</v>
      </c>
      <c r="F138" s="26" t="s">
        <v>185</v>
      </c>
      <c r="G138" s="26" t="s">
        <v>3267</v>
      </c>
      <c r="H138" s="26" t="s">
        <v>3268</v>
      </c>
      <c r="I138" s="26">
        <v>2020</v>
      </c>
      <c r="J138" s="26"/>
      <c r="K138" s="26"/>
      <c r="L138" s="26"/>
      <c r="M138" s="27" t="s">
        <v>3180</v>
      </c>
    </row>
    <row r="139" spans="1:13" x14ac:dyDescent="0.35">
      <c r="A139" s="28" t="s">
        <v>520</v>
      </c>
      <c r="B139" s="29" t="s">
        <v>3895</v>
      </c>
      <c r="C139" s="30" t="s">
        <v>139</v>
      </c>
      <c r="D139" s="30" t="s">
        <v>93</v>
      </c>
      <c r="E139" s="30" t="s">
        <v>41</v>
      </c>
      <c r="F139" s="30" t="s">
        <v>88</v>
      </c>
      <c r="G139" s="30" t="s">
        <v>3376</v>
      </c>
      <c r="H139" s="30" t="s">
        <v>3377</v>
      </c>
      <c r="I139" s="30">
        <v>2020</v>
      </c>
      <c r="J139" s="30" t="s">
        <v>2828</v>
      </c>
      <c r="K139" s="30">
        <v>90</v>
      </c>
      <c r="L139" s="30">
        <v>2022</v>
      </c>
      <c r="M139" s="31" t="s">
        <v>3186</v>
      </c>
    </row>
    <row r="140" spans="1:13" x14ac:dyDescent="0.35">
      <c r="A140" s="24" t="s">
        <v>524</v>
      </c>
      <c r="B140" s="25" t="s">
        <v>3896</v>
      </c>
      <c r="C140" s="26" t="s">
        <v>139</v>
      </c>
      <c r="D140" s="26" t="s">
        <v>93</v>
      </c>
      <c r="E140" s="26" t="s">
        <v>18</v>
      </c>
      <c r="F140" s="26" t="s">
        <v>88</v>
      </c>
      <c r="G140" s="26" t="s">
        <v>3351</v>
      </c>
      <c r="H140" s="26" t="s">
        <v>3352</v>
      </c>
      <c r="I140" s="26">
        <v>2019</v>
      </c>
      <c r="J140" s="26" t="s">
        <v>2065</v>
      </c>
      <c r="K140" s="26">
        <v>100</v>
      </c>
      <c r="L140" s="26">
        <v>2023</v>
      </c>
      <c r="M140" s="31" t="s">
        <v>3186</v>
      </c>
    </row>
    <row r="141" spans="1:13" x14ac:dyDescent="0.35">
      <c r="A141" s="28" t="s">
        <v>528</v>
      </c>
      <c r="B141" s="29" t="s">
        <v>530</v>
      </c>
      <c r="C141" s="30" t="s">
        <v>139</v>
      </c>
      <c r="D141" s="30" t="s">
        <v>386</v>
      </c>
      <c r="E141" s="30" t="s">
        <v>41</v>
      </c>
      <c r="F141" s="30" t="s">
        <v>88</v>
      </c>
      <c r="G141" s="30" t="s">
        <v>3378</v>
      </c>
      <c r="H141" s="30" t="s">
        <v>3379</v>
      </c>
      <c r="I141" s="30">
        <v>2020</v>
      </c>
      <c r="J141" s="30" t="s">
        <v>2777</v>
      </c>
      <c r="K141" s="30">
        <v>100</v>
      </c>
      <c r="L141" s="30">
        <v>2024</v>
      </c>
      <c r="M141" s="31" t="s">
        <v>3186</v>
      </c>
    </row>
    <row r="142" spans="1:13" x14ac:dyDescent="0.35">
      <c r="A142" s="24" t="s">
        <v>532</v>
      </c>
      <c r="B142" s="25" t="s">
        <v>3897</v>
      </c>
      <c r="C142" s="26" t="s">
        <v>139</v>
      </c>
      <c r="D142" s="26" t="s">
        <v>93</v>
      </c>
      <c r="E142" s="26" t="s">
        <v>41</v>
      </c>
      <c r="F142" s="26" t="s">
        <v>88</v>
      </c>
      <c r="G142" s="26" t="s">
        <v>3380</v>
      </c>
      <c r="H142" s="26" t="s">
        <v>3381</v>
      </c>
      <c r="I142" s="26">
        <v>2020</v>
      </c>
      <c r="J142" s="26"/>
      <c r="K142" s="26"/>
      <c r="L142" s="26"/>
      <c r="M142" s="27" t="s">
        <v>3180</v>
      </c>
    </row>
    <row r="143" spans="1:13" x14ac:dyDescent="0.35">
      <c r="A143" s="28" t="s">
        <v>536</v>
      </c>
      <c r="B143" s="29" t="s">
        <v>538</v>
      </c>
      <c r="C143" s="30" t="s">
        <v>148</v>
      </c>
      <c r="D143" s="30" t="s">
        <v>93</v>
      </c>
      <c r="E143" s="30" t="s">
        <v>18</v>
      </c>
      <c r="F143" s="30" t="s">
        <v>88</v>
      </c>
      <c r="G143" s="30" t="s">
        <v>3382</v>
      </c>
      <c r="H143" s="30" t="s">
        <v>3383</v>
      </c>
      <c r="I143" s="30">
        <v>2020</v>
      </c>
      <c r="J143" s="30" t="s">
        <v>538</v>
      </c>
      <c r="K143" s="30">
        <v>100</v>
      </c>
      <c r="L143" s="30">
        <v>2022</v>
      </c>
      <c r="M143" s="31" t="s">
        <v>3186</v>
      </c>
    </row>
    <row r="144" spans="1:13" x14ac:dyDescent="0.35">
      <c r="A144" s="24" t="s">
        <v>540</v>
      </c>
      <c r="B144" s="25" t="s">
        <v>3898</v>
      </c>
      <c r="C144" s="26" t="s">
        <v>139</v>
      </c>
      <c r="D144" s="26" t="s">
        <v>93</v>
      </c>
      <c r="E144" s="26" t="s">
        <v>18</v>
      </c>
      <c r="F144" s="26" t="s">
        <v>177</v>
      </c>
      <c r="G144" s="26" t="s">
        <v>3307</v>
      </c>
      <c r="H144" s="26" t="s">
        <v>3384</v>
      </c>
      <c r="I144" s="26">
        <v>2021</v>
      </c>
      <c r="J144" s="26" t="s">
        <v>2164</v>
      </c>
      <c r="K144" s="26">
        <v>97</v>
      </c>
      <c r="L144" s="26">
        <v>2022</v>
      </c>
      <c r="M144" s="31" t="s">
        <v>3186</v>
      </c>
    </row>
    <row r="145" spans="1:13" x14ac:dyDescent="0.35">
      <c r="A145" s="28" t="s">
        <v>544</v>
      </c>
      <c r="B145" s="29" t="s">
        <v>3899</v>
      </c>
      <c r="C145" s="30" t="s">
        <v>154</v>
      </c>
      <c r="D145" s="30" t="s">
        <v>93</v>
      </c>
      <c r="E145" s="30" t="s">
        <v>41</v>
      </c>
      <c r="F145" s="30" t="s">
        <v>88</v>
      </c>
      <c r="G145" s="30" t="s">
        <v>3385</v>
      </c>
      <c r="H145" s="30" t="s">
        <v>3386</v>
      </c>
      <c r="I145" s="30">
        <v>2016</v>
      </c>
      <c r="J145" s="30"/>
      <c r="K145" s="30"/>
      <c r="L145" s="30"/>
      <c r="M145" s="27" t="s">
        <v>3180</v>
      </c>
    </row>
    <row r="146" spans="1:13" x14ac:dyDescent="0.35">
      <c r="A146" s="24" t="s">
        <v>548</v>
      </c>
      <c r="B146" s="25" t="s">
        <v>3900</v>
      </c>
      <c r="C146" s="26" t="s">
        <v>311</v>
      </c>
      <c r="D146" s="26" t="s">
        <v>149</v>
      </c>
      <c r="E146" s="26" t="s">
        <v>18</v>
      </c>
      <c r="F146" s="26" t="s">
        <v>19</v>
      </c>
      <c r="G146" s="26" t="s">
        <v>3387</v>
      </c>
      <c r="H146" s="26" t="s">
        <v>3388</v>
      </c>
      <c r="I146" s="26">
        <v>2020</v>
      </c>
      <c r="J146" s="26"/>
      <c r="K146" s="26"/>
      <c r="L146" s="26"/>
      <c r="M146" s="27" t="s">
        <v>3180</v>
      </c>
    </row>
    <row r="147" spans="1:13" x14ac:dyDescent="0.35">
      <c r="A147" s="28" t="s">
        <v>551</v>
      </c>
      <c r="B147" s="29" t="s">
        <v>553</v>
      </c>
      <c r="C147" s="30" t="s">
        <v>139</v>
      </c>
      <c r="D147" s="30" t="s">
        <v>93</v>
      </c>
      <c r="E147" s="30" t="s">
        <v>41</v>
      </c>
      <c r="F147" s="30" t="s">
        <v>88</v>
      </c>
      <c r="G147" s="30" t="s">
        <v>3389</v>
      </c>
      <c r="H147" s="30" t="s">
        <v>3390</v>
      </c>
      <c r="I147" s="30">
        <v>2020</v>
      </c>
      <c r="J147" s="30"/>
      <c r="K147" s="30"/>
      <c r="L147" s="30"/>
      <c r="M147" s="27" t="s">
        <v>3180</v>
      </c>
    </row>
    <row r="148" spans="1:13" x14ac:dyDescent="0.35">
      <c r="A148" s="24" t="s">
        <v>555</v>
      </c>
      <c r="B148" s="25" t="s">
        <v>3900</v>
      </c>
      <c r="C148" s="26" t="s">
        <v>139</v>
      </c>
      <c r="D148" s="26" t="s">
        <v>17</v>
      </c>
      <c r="E148" s="26" t="s">
        <v>41</v>
      </c>
      <c r="F148" s="26" t="s">
        <v>299</v>
      </c>
      <c r="G148" s="26" t="s">
        <v>3391</v>
      </c>
      <c r="H148" s="26" t="s">
        <v>3392</v>
      </c>
      <c r="I148" s="26">
        <v>2020</v>
      </c>
      <c r="J148" s="26"/>
      <c r="K148" s="26"/>
      <c r="L148" s="26"/>
      <c r="M148" s="27" t="s">
        <v>3180</v>
      </c>
    </row>
    <row r="149" spans="1:13" x14ac:dyDescent="0.35">
      <c r="A149" s="28" t="s">
        <v>558</v>
      </c>
      <c r="B149" s="29" t="s">
        <v>3901</v>
      </c>
      <c r="C149" s="30" t="s">
        <v>27</v>
      </c>
      <c r="D149" s="30" t="s">
        <v>60</v>
      </c>
      <c r="E149" s="30" t="s">
        <v>18</v>
      </c>
      <c r="F149" s="30" t="s">
        <v>19</v>
      </c>
      <c r="G149" s="30" t="s">
        <v>3393</v>
      </c>
      <c r="H149" s="30" t="s">
        <v>3394</v>
      </c>
      <c r="I149" s="30">
        <v>2021</v>
      </c>
      <c r="J149" s="30"/>
      <c r="K149" s="30"/>
      <c r="L149" s="30"/>
      <c r="M149" s="27" t="s">
        <v>3180</v>
      </c>
    </row>
    <row r="150" spans="1:13" x14ac:dyDescent="0.35">
      <c r="A150" s="24" t="s">
        <v>562</v>
      </c>
      <c r="B150" s="25" t="s">
        <v>3902</v>
      </c>
      <c r="C150" s="26" t="s">
        <v>27</v>
      </c>
      <c r="D150" s="26" t="s">
        <v>28</v>
      </c>
      <c r="E150" s="26" t="s">
        <v>18</v>
      </c>
      <c r="F150" s="26" t="s">
        <v>19</v>
      </c>
      <c r="G150" s="26" t="s">
        <v>3331</v>
      </c>
      <c r="H150" s="26" t="s">
        <v>3332</v>
      </c>
      <c r="I150" s="26">
        <v>2021</v>
      </c>
      <c r="J150" s="26"/>
      <c r="K150" s="26"/>
      <c r="L150" s="26"/>
      <c r="M150" s="27" t="s">
        <v>3180</v>
      </c>
    </row>
    <row r="151" spans="1:13" x14ac:dyDescent="0.35">
      <c r="A151" s="28" t="s">
        <v>565</v>
      </c>
      <c r="B151" s="29" t="s">
        <v>3903</v>
      </c>
      <c r="C151" s="30" t="s">
        <v>311</v>
      </c>
      <c r="D151" s="30" t="s">
        <v>149</v>
      </c>
      <c r="E151" s="30" t="s">
        <v>18</v>
      </c>
      <c r="F151" s="30" t="s">
        <v>19</v>
      </c>
      <c r="G151" s="30" t="s">
        <v>3267</v>
      </c>
      <c r="H151" s="30" t="s">
        <v>3395</v>
      </c>
      <c r="I151" s="30">
        <v>2020</v>
      </c>
      <c r="J151" s="30"/>
      <c r="K151" s="30"/>
      <c r="L151" s="30"/>
      <c r="M151" s="27" t="s">
        <v>3180</v>
      </c>
    </row>
    <row r="152" spans="1:13" x14ac:dyDescent="0.35">
      <c r="A152" s="24" t="s">
        <v>568</v>
      </c>
      <c r="B152" s="25" t="s">
        <v>3904</v>
      </c>
      <c r="C152" s="26" t="s">
        <v>311</v>
      </c>
      <c r="D152" s="26" t="s">
        <v>149</v>
      </c>
      <c r="E152" s="26" t="s">
        <v>18</v>
      </c>
      <c r="F152" s="26" t="s">
        <v>19</v>
      </c>
      <c r="G152" s="26" t="s">
        <v>3267</v>
      </c>
      <c r="H152" s="26" t="s">
        <v>3395</v>
      </c>
      <c r="I152" s="26">
        <v>2020</v>
      </c>
      <c r="J152" s="26"/>
      <c r="K152" s="26"/>
      <c r="L152" s="26"/>
      <c r="M152" s="27" t="s">
        <v>3180</v>
      </c>
    </row>
    <row r="153" spans="1:13" x14ac:dyDescent="0.35">
      <c r="A153" s="28" t="s">
        <v>570</v>
      </c>
      <c r="B153" s="29" t="s">
        <v>3905</v>
      </c>
      <c r="C153" s="30" t="s">
        <v>573</v>
      </c>
      <c r="D153" s="30" t="s">
        <v>395</v>
      </c>
      <c r="E153" s="30" t="s">
        <v>574</v>
      </c>
      <c r="F153" s="30" t="s">
        <v>101</v>
      </c>
      <c r="G153" s="30" t="s">
        <v>3396</v>
      </c>
      <c r="H153" s="30" t="s">
        <v>3397</v>
      </c>
      <c r="I153" s="30">
        <v>2021</v>
      </c>
      <c r="J153" s="30"/>
      <c r="K153" s="30"/>
      <c r="L153" s="30"/>
      <c r="M153" s="27" t="s">
        <v>3180</v>
      </c>
    </row>
    <row r="154" spans="1:13" x14ac:dyDescent="0.35">
      <c r="A154" s="24" t="s">
        <v>576</v>
      </c>
      <c r="B154" s="25" t="s">
        <v>3906</v>
      </c>
      <c r="C154" s="26" t="s">
        <v>139</v>
      </c>
      <c r="D154" s="26" t="s">
        <v>93</v>
      </c>
      <c r="E154" s="26" t="s">
        <v>41</v>
      </c>
      <c r="F154" s="26" t="s">
        <v>88</v>
      </c>
      <c r="G154" s="26" t="s">
        <v>3398</v>
      </c>
      <c r="H154" s="26" t="s">
        <v>3399</v>
      </c>
      <c r="I154" s="26">
        <v>2021</v>
      </c>
      <c r="J154" s="26"/>
      <c r="K154" s="26"/>
      <c r="L154" s="26"/>
      <c r="M154" s="27" t="s">
        <v>3180</v>
      </c>
    </row>
    <row r="155" spans="1:13" x14ac:dyDescent="0.35">
      <c r="A155" s="28" t="s">
        <v>580</v>
      </c>
      <c r="B155" s="29" t="s">
        <v>3907</v>
      </c>
      <c r="C155" s="30" t="s">
        <v>27</v>
      </c>
      <c r="D155" s="30" t="s">
        <v>582</v>
      </c>
      <c r="E155" s="30" t="s">
        <v>18</v>
      </c>
      <c r="F155" s="30" t="s">
        <v>177</v>
      </c>
      <c r="G155" s="30" t="s">
        <v>3400</v>
      </c>
      <c r="H155" s="30" t="s">
        <v>3272</v>
      </c>
      <c r="I155" s="30">
        <v>2021</v>
      </c>
      <c r="J155" s="30"/>
      <c r="K155" s="30"/>
      <c r="L155" s="30"/>
      <c r="M155" s="27" t="s">
        <v>3180</v>
      </c>
    </row>
    <row r="156" spans="1:13" x14ac:dyDescent="0.35">
      <c r="A156" s="24" t="s">
        <v>584</v>
      </c>
      <c r="B156" s="25" t="s">
        <v>3907</v>
      </c>
      <c r="C156" s="26" t="s">
        <v>27</v>
      </c>
      <c r="D156" s="26" t="s">
        <v>585</v>
      </c>
      <c r="E156" s="26" t="s">
        <v>18</v>
      </c>
      <c r="F156" s="26" t="s">
        <v>88</v>
      </c>
      <c r="G156" s="26" t="s">
        <v>3401</v>
      </c>
      <c r="H156" s="26" t="s">
        <v>3402</v>
      </c>
      <c r="I156" s="26">
        <v>2021</v>
      </c>
      <c r="J156" s="26"/>
      <c r="K156" s="26"/>
      <c r="L156" s="26"/>
      <c r="M156" s="27" t="s">
        <v>3180</v>
      </c>
    </row>
    <row r="157" spans="1:13" x14ac:dyDescent="0.35">
      <c r="A157" s="28" t="s">
        <v>587</v>
      </c>
      <c r="B157" s="29" t="s">
        <v>3908</v>
      </c>
      <c r="C157" s="30" t="s">
        <v>27</v>
      </c>
      <c r="D157" s="30" t="s">
        <v>28</v>
      </c>
      <c r="E157" s="30" t="s">
        <v>18</v>
      </c>
      <c r="F157" s="30" t="s">
        <v>88</v>
      </c>
      <c r="G157" s="30" t="s">
        <v>3401</v>
      </c>
      <c r="H157" s="30" t="s">
        <v>3402</v>
      </c>
      <c r="I157" s="30">
        <v>2021</v>
      </c>
      <c r="J157" s="30" t="s">
        <v>1996</v>
      </c>
      <c r="K157" s="30">
        <v>87</v>
      </c>
      <c r="L157" s="30">
        <v>2022</v>
      </c>
      <c r="M157" s="31" t="s">
        <v>3186</v>
      </c>
    </row>
    <row r="158" spans="1:13" x14ac:dyDescent="0.35">
      <c r="A158" s="24" t="s">
        <v>590</v>
      </c>
      <c r="B158" s="25" t="s">
        <v>3909</v>
      </c>
      <c r="C158" s="26" t="s">
        <v>27</v>
      </c>
      <c r="D158" s="26" t="s">
        <v>28</v>
      </c>
      <c r="E158" s="26" t="s">
        <v>18</v>
      </c>
      <c r="F158" s="26" t="s">
        <v>88</v>
      </c>
      <c r="G158" s="26" t="s">
        <v>3403</v>
      </c>
      <c r="H158" s="26" t="s">
        <v>3404</v>
      </c>
      <c r="I158" s="26">
        <v>2021</v>
      </c>
      <c r="J158" s="26"/>
      <c r="K158" s="26"/>
      <c r="L158" s="26"/>
      <c r="M158" s="27" t="s">
        <v>3180</v>
      </c>
    </row>
    <row r="159" spans="1:13" x14ac:dyDescent="0.35">
      <c r="A159" s="28" t="s">
        <v>593</v>
      </c>
      <c r="B159" s="29" t="s">
        <v>3910</v>
      </c>
      <c r="C159" s="30" t="s">
        <v>154</v>
      </c>
      <c r="D159" s="30" t="s">
        <v>93</v>
      </c>
      <c r="E159" s="30" t="s">
        <v>18</v>
      </c>
      <c r="F159" s="30" t="s">
        <v>88</v>
      </c>
      <c r="G159" s="30" t="s">
        <v>3405</v>
      </c>
      <c r="H159" s="30" t="s">
        <v>3406</v>
      </c>
      <c r="I159" s="30">
        <v>2021</v>
      </c>
      <c r="J159" s="30" t="s">
        <v>3033</v>
      </c>
      <c r="K159" s="30">
        <v>100</v>
      </c>
      <c r="L159" s="30">
        <v>2022</v>
      </c>
      <c r="M159" s="31" t="s">
        <v>3186</v>
      </c>
    </row>
    <row r="160" spans="1:13" x14ac:dyDescent="0.35">
      <c r="A160" s="24" t="s">
        <v>597</v>
      </c>
      <c r="B160" s="25" t="s">
        <v>3911</v>
      </c>
      <c r="C160" s="26" t="s">
        <v>27</v>
      </c>
      <c r="D160" s="26" t="s">
        <v>28</v>
      </c>
      <c r="E160" s="26" t="s">
        <v>18</v>
      </c>
      <c r="F160" s="26" t="s">
        <v>88</v>
      </c>
      <c r="G160" s="26" t="s">
        <v>3407</v>
      </c>
      <c r="H160" s="26" t="s">
        <v>3408</v>
      </c>
      <c r="I160" s="26">
        <v>2021</v>
      </c>
      <c r="J160" s="26"/>
      <c r="K160" s="26"/>
      <c r="L160" s="26"/>
      <c r="M160" s="27" t="s">
        <v>3180</v>
      </c>
    </row>
    <row r="161" spans="1:13" x14ac:dyDescent="0.35">
      <c r="A161" s="28" t="s">
        <v>600</v>
      </c>
      <c r="B161" s="29" t="s">
        <v>3912</v>
      </c>
      <c r="C161" s="30" t="s">
        <v>311</v>
      </c>
      <c r="D161" s="30" t="s">
        <v>149</v>
      </c>
      <c r="E161" s="30" t="s">
        <v>18</v>
      </c>
      <c r="F161" s="30" t="s">
        <v>19</v>
      </c>
      <c r="G161" s="30" t="s">
        <v>3401</v>
      </c>
      <c r="H161" s="30" t="s">
        <v>3402</v>
      </c>
      <c r="I161" s="30">
        <v>2021</v>
      </c>
      <c r="J161" s="30"/>
      <c r="K161" s="30"/>
      <c r="L161" s="30"/>
      <c r="M161" s="27" t="s">
        <v>3180</v>
      </c>
    </row>
    <row r="162" spans="1:13" x14ac:dyDescent="0.35">
      <c r="A162" s="24" t="s">
        <v>602</v>
      </c>
      <c r="B162" s="25" t="s">
        <v>3913</v>
      </c>
      <c r="C162" s="26" t="s">
        <v>518</v>
      </c>
      <c r="D162" s="26" t="s">
        <v>395</v>
      </c>
      <c r="E162" s="26" t="s">
        <v>18</v>
      </c>
      <c r="F162" s="26" t="s">
        <v>177</v>
      </c>
      <c r="G162" s="26" t="s">
        <v>3401</v>
      </c>
      <c r="H162" s="26" t="s">
        <v>3402</v>
      </c>
      <c r="I162" s="26">
        <v>2021</v>
      </c>
      <c r="J162" s="26"/>
      <c r="K162" s="26"/>
      <c r="L162" s="26"/>
      <c r="M162" s="27" t="s">
        <v>3180</v>
      </c>
    </row>
    <row r="163" spans="1:13" x14ac:dyDescent="0.35">
      <c r="A163" s="28" t="s">
        <v>605</v>
      </c>
      <c r="B163" s="29" t="s">
        <v>3914</v>
      </c>
      <c r="C163" s="30" t="s">
        <v>154</v>
      </c>
      <c r="D163" s="30" t="s">
        <v>93</v>
      </c>
      <c r="E163" s="30" t="s">
        <v>41</v>
      </c>
      <c r="F163" s="30" t="s">
        <v>88</v>
      </c>
      <c r="G163" s="30" t="s">
        <v>3409</v>
      </c>
      <c r="H163" s="30" t="s">
        <v>3410</v>
      </c>
      <c r="I163" s="30">
        <v>2021</v>
      </c>
      <c r="J163" s="30"/>
      <c r="K163" s="30"/>
      <c r="L163" s="30"/>
      <c r="M163" s="27" t="s">
        <v>3180</v>
      </c>
    </row>
    <row r="164" spans="1:13" x14ac:dyDescent="0.35">
      <c r="A164" s="24" t="s">
        <v>609</v>
      </c>
      <c r="B164" s="25" t="s">
        <v>3915</v>
      </c>
      <c r="C164" s="26" t="s">
        <v>148</v>
      </c>
      <c r="D164" s="26" t="s">
        <v>93</v>
      </c>
      <c r="E164" s="26" t="s">
        <v>18</v>
      </c>
      <c r="F164" s="26" t="s">
        <v>88</v>
      </c>
      <c r="G164" s="26" t="s">
        <v>3411</v>
      </c>
      <c r="H164" s="26" t="s">
        <v>3412</v>
      </c>
      <c r="I164" s="26">
        <v>2021</v>
      </c>
      <c r="J164" s="26"/>
      <c r="K164" s="26"/>
      <c r="L164" s="26"/>
      <c r="M164" s="27" t="s">
        <v>3180</v>
      </c>
    </row>
    <row r="165" spans="1:13" x14ac:dyDescent="0.35">
      <c r="A165" s="28" t="s">
        <v>613</v>
      </c>
      <c r="B165" s="29" t="s">
        <v>3916</v>
      </c>
      <c r="C165" s="30" t="s">
        <v>27</v>
      </c>
      <c r="D165" s="30" t="s">
        <v>118</v>
      </c>
      <c r="E165" s="30" t="s">
        <v>18</v>
      </c>
      <c r="F165" s="30" t="s">
        <v>88</v>
      </c>
      <c r="G165" s="30" t="s">
        <v>3413</v>
      </c>
      <c r="H165" s="30" t="s">
        <v>3414</v>
      </c>
      <c r="I165" s="30">
        <v>2021</v>
      </c>
      <c r="J165" s="30"/>
      <c r="K165" s="30"/>
      <c r="L165" s="30"/>
      <c r="M165" s="27" t="s">
        <v>3180</v>
      </c>
    </row>
    <row r="166" spans="1:13" x14ac:dyDescent="0.35">
      <c r="A166" s="24" t="s">
        <v>616</v>
      </c>
      <c r="B166" s="25" t="s">
        <v>3917</v>
      </c>
      <c r="C166" s="26" t="s">
        <v>139</v>
      </c>
      <c r="D166" s="26" t="s">
        <v>618</v>
      </c>
      <c r="E166" s="26" t="s">
        <v>18</v>
      </c>
      <c r="F166" s="26" t="s">
        <v>299</v>
      </c>
      <c r="G166" s="26" t="s">
        <v>3195</v>
      </c>
      <c r="H166" s="26" t="s">
        <v>3415</v>
      </c>
      <c r="I166" s="26">
        <v>2021</v>
      </c>
      <c r="J166" s="26"/>
      <c r="K166" s="26"/>
      <c r="L166" s="26"/>
      <c r="M166" s="27" t="s">
        <v>3180</v>
      </c>
    </row>
    <row r="167" spans="1:13" x14ac:dyDescent="0.35">
      <c r="A167" s="28" t="s">
        <v>620</v>
      </c>
      <c r="B167" s="29" t="s">
        <v>3918</v>
      </c>
      <c r="C167" s="30" t="s">
        <v>27</v>
      </c>
      <c r="D167" s="30" t="s">
        <v>28</v>
      </c>
      <c r="E167" s="30" t="s">
        <v>18</v>
      </c>
      <c r="F167" s="30" t="s">
        <v>88</v>
      </c>
      <c r="G167" s="30" t="s">
        <v>3416</v>
      </c>
      <c r="H167" s="30" t="s">
        <v>3417</v>
      </c>
      <c r="I167" s="30">
        <v>2021</v>
      </c>
      <c r="J167" s="30"/>
      <c r="K167" s="30"/>
      <c r="L167" s="30"/>
      <c r="M167" s="27" t="s">
        <v>3180</v>
      </c>
    </row>
    <row r="168" spans="1:13" x14ac:dyDescent="0.35">
      <c r="A168" s="24" t="s">
        <v>623</v>
      </c>
      <c r="B168" s="25" t="s">
        <v>3919</v>
      </c>
      <c r="C168" s="26" t="s">
        <v>27</v>
      </c>
      <c r="D168" s="26" t="s">
        <v>626</v>
      </c>
      <c r="E168" s="26" t="s">
        <v>18</v>
      </c>
      <c r="F168" s="26" t="s">
        <v>19</v>
      </c>
      <c r="G168" s="26" t="s">
        <v>3403</v>
      </c>
      <c r="H168" s="26" t="s">
        <v>3404</v>
      </c>
      <c r="I168" s="26">
        <v>2021</v>
      </c>
      <c r="J168" s="26"/>
      <c r="K168" s="26"/>
      <c r="L168" s="26"/>
      <c r="M168" s="27" t="s">
        <v>3180</v>
      </c>
    </row>
    <row r="169" spans="1:13" x14ac:dyDescent="0.35">
      <c r="A169" s="28" t="s">
        <v>628</v>
      </c>
      <c r="B169" s="29" t="s">
        <v>3920</v>
      </c>
      <c r="C169" s="30" t="s">
        <v>311</v>
      </c>
      <c r="D169" s="30" t="s">
        <v>149</v>
      </c>
      <c r="E169" s="30" t="s">
        <v>18</v>
      </c>
      <c r="F169" s="30" t="s">
        <v>19</v>
      </c>
      <c r="G169" s="30" t="s">
        <v>3418</v>
      </c>
      <c r="H169" s="30" t="s">
        <v>3419</v>
      </c>
      <c r="I169" s="30">
        <v>2021</v>
      </c>
      <c r="J169" s="30"/>
      <c r="K169" s="30"/>
      <c r="L169" s="30"/>
      <c r="M169" s="27" t="s">
        <v>3180</v>
      </c>
    </row>
    <row r="170" spans="1:13" x14ac:dyDescent="0.35">
      <c r="A170" s="24" t="s">
        <v>631</v>
      </c>
      <c r="B170" s="25" t="s">
        <v>3921</v>
      </c>
      <c r="C170" s="26" t="s">
        <v>154</v>
      </c>
      <c r="D170" s="26" t="s">
        <v>93</v>
      </c>
      <c r="E170" s="26" t="s">
        <v>18</v>
      </c>
      <c r="F170" s="26" t="s">
        <v>88</v>
      </c>
      <c r="G170" s="26" t="s">
        <v>3420</v>
      </c>
      <c r="H170" s="26" t="s">
        <v>3421</v>
      </c>
      <c r="I170" s="26">
        <v>2022</v>
      </c>
      <c r="J170" s="26"/>
      <c r="K170" s="26"/>
      <c r="L170" s="26"/>
      <c r="M170" s="27" t="s">
        <v>3180</v>
      </c>
    </row>
    <row r="171" spans="1:13" x14ac:dyDescent="0.35">
      <c r="A171" s="28" t="s">
        <v>634</v>
      </c>
      <c r="B171" s="29" t="s">
        <v>3922</v>
      </c>
      <c r="C171" s="30" t="s">
        <v>311</v>
      </c>
      <c r="D171" s="30" t="s">
        <v>149</v>
      </c>
      <c r="E171" s="30" t="s">
        <v>18</v>
      </c>
      <c r="F171" s="30" t="s">
        <v>19</v>
      </c>
      <c r="G171" s="30" t="s">
        <v>3195</v>
      </c>
      <c r="H171" s="30" t="s">
        <v>3196</v>
      </c>
      <c r="I171" s="30">
        <v>2021</v>
      </c>
      <c r="J171" s="30"/>
      <c r="K171" s="30"/>
      <c r="L171" s="30"/>
      <c r="M171" s="27" t="s">
        <v>3180</v>
      </c>
    </row>
    <row r="172" spans="1:13" x14ac:dyDescent="0.35">
      <c r="A172" s="24" t="s">
        <v>636</v>
      </c>
      <c r="B172" s="25" t="s">
        <v>3835</v>
      </c>
      <c r="C172" s="26" t="s">
        <v>311</v>
      </c>
      <c r="D172" s="26" t="s">
        <v>149</v>
      </c>
      <c r="E172" s="26" t="s">
        <v>18</v>
      </c>
      <c r="F172" s="26" t="s">
        <v>19</v>
      </c>
      <c r="G172" s="26" t="s">
        <v>3195</v>
      </c>
      <c r="H172" s="26" t="s">
        <v>3196</v>
      </c>
      <c r="I172" s="26">
        <v>2021</v>
      </c>
      <c r="J172" s="26" t="s">
        <v>3011</v>
      </c>
      <c r="K172" s="26">
        <v>100</v>
      </c>
      <c r="L172" s="26">
        <v>2022</v>
      </c>
      <c r="M172" s="31" t="s">
        <v>3186</v>
      </c>
    </row>
    <row r="173" spans="1:13" x14ac:dyDescent="0.35">
      <c r="A173" s="28" t="s">
        <v>637</v>
      </c>
      <c r="B173" s="29" t="s">
        <v>3923</v>
      </c>
      <c r="C173" s="30" t="s">
        <v>311</v>
      </c>
      <c r="D173" s="30" t="s">
        <v>149</v>
      </c>
      <c r="E173" s="30" t="s">
        <v>18</v>
      </c>
      <c r="F173" s="30" t="s">
        <v>19</v>
      </c>
      <c r="G173" s="30" t="s">
        <v>3422</v>
      </c>
      <c r="H173" s="30" t="s">
        <v>3423</v>
      </c>
      <c r="I173" s="30">
        <v>2021</v>
      </c>
      <c r="J173" s="30" t="s">
        <v>3030</v>
      </c>
      <c r="K173" s="30">
        <v>100</v>
      </c>
      <c r="L173" s="30">
        <v>2021</v>
      </c>
      <c r="M173" s="31" t="s">
        <v>3186</v>
      </c>
    </row>
    <row r="174" spans="1:13" x14ac:dyDescent="0.35">
      <c r="A174" s="24" t="s">
        <v>639</v>
      </c>
      <c r="B174" s="25" t="s">
        <v>3924</v>
      </c>
      <c r="C174" s="26" t="s">
        <v>27</v>
      </c>
      <c r="D174" s="26" t="s">
        <v>641</v>
      </c>
      <c r="E174" s="26" t="s">
        <v>18</v>
      </c>
      <c r="F174" s="26" t="s">
        <v>19</v>
      </c>
      <c r="G174" s="26" t="s">
        <v>3424</v>
      </c>
      <c r="H174" s="26" t="s">
        <v>3425</v>
      </c>
      <c r="I174" s="26">
        <v>2021</v>
      </c>
      <c r="J174" s="26"/>
      <c r="K174" s="26"/>
      <c r="L174" s="26"/>
      <c r="M174" s="27" t="s">
        <v>3180</v>
      </c>
    </row>
    <row r="175" spans="1:13" x14ac:dyDescent="0.35">
      <c r="A175" s="28" t="s">
        <v>643</v>
      </c>
      <c r="B175" s="29" t="s">
        <v>3925</v>
      </c>
      <c r="C175" s="30" t="s">
        <v>311</v>
      </c>
      <c r="D175" s="30" t="s">
        <v>149</v>
      </c>
      <c r="E175" s="30" t="s">
        <v>18</v>
      </c>
      <c r="F175" s="30" t="s">
        <v>19</v>
      </c>
      <c r="G175" s="30" t="s">
        <v>3413</v>
      </c>
      <c r="H175" s="30" t="s">
        <v>3414</v>
      </c>
      <c r="I175" s="30">
        <v>2021</v>
      </c>
      <c r="J175" s="30"/>
      <c r="K175" s="30"/>
      <c r="L175" s="30"/>
      <c r="M175" s="27" t="s">
        <v>3180</v>
      </c>
    </row>
    <row r="176" spans="1:13" x14ac:dyDescent="0.35">
      <c r="A176" s="24" t="s">
        <v>646</v>
      </c>
      <c r="B176" s="25" t="s">
        <v>3926</v>
      </c>
      <c r="C176" s="26" t="s">
        <v>27</v>
      </c>
      <c r="D176" s="26" t="s">
        <v>28</v>
      </c>
      <c r="E176" s="26" t="s">
        <v>18</v>
      </c>
      <c r="F176" s="26" t="s">
        <v>19</v>
      </c>
      <c r="G176" s="26" t="s">
        <v>3426</v>
      </c>
      <c r="H176" s="26" t="s">
        <v>3427</v>
      </c>
      <c r="I176" s="26">
        <v>2022</v>
      </c>
      <c r="J176" s="26"/>
      <c r="K176" s="26"/>
      <c r="L176" s="26"/>
      <c r="M176" s="27" t="s">
        <v>3180</v>
      </c>
    </row>
    <row r="177" spans="1:13" x14ac:dyDescent="0.35">
      <c r="A177" s="28" t="s">
        <v>649</v>
      </c>
      <c r="B177" s="29" t="s">
        <v>3927</v>
      </c>
      <c r="C177" s="30" t="s">
        <v>311</v>
      </c>
      <c r="D177" s="30" t="s">
        <v>149</v>
      </c>
      <c r="E177" s="30" t="s">
        <v>18</v>
      </c>
      <c r="F177" s="30" t="s">
        <v>19</v>
      </c>
      <c r="G177" s="30" t="s">
        <v>3428</v>
      </c>
      <c r="H177" s="30" t="s">
        <v>3429</v>
      </c>
      <c r="I177" s="30">
        <v>2021</v>
      </c>
      <c r="J177" s="30" t="s">
        <v>2484</v>
      </c>
      <c r="K177" s="30">
        <v>100</v>
      </c>
      <c r="L177" s="30">
        <v>2022</v>
      </c>
      <c r="M177" s="31" t="s">
        <v>3186</v>
      </c>
    </row>
    <row r="178" spans="1:13" x14ac:dyDescent="0.35">
      <c r="A178" s="24" t="s">
        <v>652</v>
      </c>
      <c r="B178" s="25" t="s">
        <v>654</v>
      </c>
      <c r="C178" s="26" t="s">
        <v>311</v>
      </c>
      <c r="D178" s="26" t="s">
        <v>149</v>
      </c>
      <c r="E178" s="26" t="s">
        <v>18</v>
      </c>
      <c r="F178" s="26" t="s">
        <v>19</v>
      </c>
      <c r="G178" s="26" t="s">
        <v>3430</v>
      </c>
      <c r="H178" s="26" t="s">
        <v>3431</v>
      </c>
      <c r="I178" s="26">
        <v>2022</v>
      </c>
      <c r="J178" s="26"/>
      <c r="K178" s="26"/>
      <c r="L178" s="26"/>
      <c r="M178" s="27" t="s">
        <v>3180</v>
      </c>
    </row>
    <row r="179" spans="1:13" x14ac:dyDescent="0.35">
      <c r="A179" s="28" t="s">
        <v>655</v>
      </c>
      <c r="B179" s="29" t="s">
        <v>3928</v>
      </c>
      <c r="C179" s="30" t="s">
        <v>139</v>
      </c>
      <c r="D179" s="30" t="s">
        <v>93</v>
      </c>
      <c r="E179" s="30" t="s">
        <v>18</v>
      </c>
      <c r="F179" s="30" t="s">
        <v>88</v>
      </c>
      <c r="G179" s="30" t="s">
        <v>3432</v>
      </c>
      <c r="H179" s="30" t="s">
        <v>3433</v>
      </c>
      <c r="I179" s="30">
        <v>2024</v>
      </c>
      <c r="J179" s="30" t="s">
        <v>2469</v>
      </c>
      <c r="K179" s="30">
        <v>100</v>
      </c>
      <c r="L179" s="30">
        <v>2023</v>
      </c>
      <c r="M179" s="31" t="s">
        <v>3186</v>
      </c>
    </row>
    <row r="180" spans="1:13" x14ac:dyDescent="0.35">
      <c r="A180" s="24" t="s">
        <v>659</v>
      </c>
      <c r="B180" s="25" t="s">
        <v>3929</v>
      </c>
      <c r="C180" s="26" t="s">
        <v>311</v>
      </c>
      <c r="D180" s="26" t="s">
        <v>149</v>
      </c>
      <c r="E180" s="26" t="s">
        <v>41</v>
      </c>
      <c r="F180" s="26" t="s">
        <v>19</v>
      </c>
      <c r="G180" s="26" t="s">
        <v>3434</v>
      </c>
      <c r="H180" s="26" t="s">
        <v>3435</v>
      </c>
      <c r="I180" s="26">
        <v>2021</v>
      </c>
      <c r="J180" s="26"/>
      <c r="K180" s="26"/>
      <c r="L180" s="26"/>
      <c r="M180" s="27" t="s">
        <v>3180</v>
      </c>
    </row>
    <row r="181" spans="1:13" x14ac:dyDescent="0.35">
      <c r="A181" s="28" t="s">
        <v>661</v>
      </c>
      <c r="B181" s="29" t="s">
        <v>3830</v>
      </c>
      <c r="C181" s="30" t="s">
        <v>27</v>
      </c>
      <c r="D181" s="30" t="s">
        <v>663</v>
      </c>
      <c r="E181" s="30" t="s">
        <v>18</v>
      </c>
      <c r="F181" s="30" t="s">
        <v>177</v>
      </c>
      <c r="G181" s="30" t="s">
        <v>3436</v>
      </c>
      <c r="H181" s="30" t="s">
        <v>3437</v>
      </c>
      <c r="I181" s="30">
        <v>2020</v>
      </c>
      <c r="J181" s="30"/>
      <c r="K181" s="30"/>
      <c r="L181" s="30"/>
      <c r="M181" s="27" t="s">
        <v>3180</v>
      </c>
    </row>
    <row r="182" spans="1:13" x14ac:dyDescent="0.35">
      <c r="A182" s="24" t="s">
        <v>665</v>
      </c>
      <c r="B182" s="25" t="s">
        <v>3930</v>
      </c>
      <c r="C182" s="26" t="s">
        <v>311</v>
      </c>
      <c r="D182" s="26" t="s">
        <v>149</v>
      </c>
      <c r="E182" s="26" t="s">
        <v>18</v>
      </c>
      <c r="F182" s="26" t="s">
        <v>19</v>
      </c>
      <c r="G182" s="26" t="s">
        <v>3195</v>
      </c>
      <c r="H182" s="26" t="s">
        <v>3196</v>
      </c>
      <c r="I182" s="26">
        <v>2021</v>
      </c>
      <c r="J182" s="26" t="s">
        <v>1900</v>
      </c>
      <c r="K182" s="26">
        <v>95</v>
      </c>
      <c r="L182" s="26">
        <v>2025</v>
      </c>
      <c r="M182" s="31" t="s">
        <v>3186</v>
      </c>
    </row>
    <row r="183" spans="1:13" x14ac:dyDescent="0.35">
      <c r="A183" s="28" t="s">
        <v>668</v>
      </c>
      <c r="B183" s="29" t="s">
        <v>3919</v>
      </c>
      <c r="C183" s="30" t="s">
        <v>311</v>
      </c>
      <c r="D183" s="30" t="s">
        <v>149</v>
      </c>
      <c r="E183" s="30" t="s">
        <v>18</v>
      </c>
      <c r="F183" s="30" t="s">
        <v>19</v>
      </c>
      <c r="G183" s="30" t="s">
        <v>3438</v>
      </c>
      <c r="H183" s="30" t="s">
        <v>3439</v>
      </c>
      <c r="I183" s="30">
        <v>2020</v>
      </c>
      <c r="J183" s="30"/>
      <c r="K183" s="30"/>
      <c r="L183" s="30"/>
      <c r="M183" s="27" t="s">
        <v>3180</v>
      </c>
    </row>
    <row r="184" spans="1:13" x14ac:dyDescent="0.35">
      <c r="A184" s="24" t="s">
        <v>669</v>
      </c>
      <c r="B184" s="25" t="s">
        <v>3931</v>
      </c>
      <c r="C184" s="26" t="s">
        <v>139</v>
      </c>
      <c r="D184" s="26" t="s">
        <v>93</v>
      </c>
      <c r="E184" s="26" t="s">
        <v>18</v>
      </c>
      <c r="F184" s="26" t="s">
        <v>88</v>
      </c>
      <c r="G184" s="26" t="s">
        <v>3420</v>
      </c>
      <c r="H184" s="26" t="s">
        <v>3440</v>
      </c>
      <c r="I184" s="26">
        <v>2022</v>
      </c>
      <c r="J184" s="26"/>
      <c r="K184" s="26"/>
      <c r="L184" s="26"/>
      <c r="M184" s="27" t="s">
        <v>3180</v>
      </c>
    </row>
    <row r="185" spans="1:13" x14ac:dyDescent="0.35">
      <c r="A185" s="28" t="s">
        <v>673</v>
      </c>
      <c r="B185" s="29" t="s">
        <v>3931</v>
      </c>
      <c r="C185" s="30" t="s">
        <v>139</v>
      </c>
      <c r="D185" s="30" t="s">
        <v>93</v>
      </c>
      <c r="E185" s="30" t="s">
        <v>18</v>
      </c>
      <c r="F185" s="30" t="s">
        <v>177</v>
      </c>
      <c r="G185" s="30" t="s">
        <v>3420</v>
      </c>
      <c r="H185" s="30" t="s">
        <v>3440</v>
      </c>
      <c r="I185" s="30">
        <v>2022</v>
      </c>
      <c r="J185" s="30"/>
      <c r="K185" s="30"/>
      <c r="L185" s="30"/>
      <c r="M185" s="27" t="s">
        <v>3180</v>
      </c>
    </row>
    <row r="186" spans="1:13" x14ac:dyDescent="0.35">
      <c r="A186" s="24" t="s">
        <v>676</v>
      </c>
      <c r="B186" s="25" t="s">
        <v>3932</v>
      </c>
      <c r="C186" s="26" t="s">
        <v>154</v>
      </c>
      <c r="D186" s="26" t="s">
        <v>93</v>
      </c>
      <c r="E186" s="26" t="s">
        <v>18</v>
      </c>
      <c r="F186" s="26" t="s">
        <v>88</v>
      </c>
      <c r="G186" s="26" t="s">
        <v>3441</v>
      </c>
      <c r="H186" s="26" t="s">
        <v>3206</v>
      </c>
      <c r="I186" s="26">
        <v>2022</v>
      </c>
      <c r="J186" s="26"/>
      <c r="K186" s="26"/>
      <c r="L186" s="26"/>
      <c r="M186" s="27" t="s">
        <v>3180</v>
      </c>
    </row>
    <row r="187" spans="1:13" x14ac:dyDescent="0.35">
      <c r="A187" s="28" t="s">
        <v>679</v>
      </c>
      <c r="B187" s="29" t="s">
        <v>3933</v>
      </c>
      <c r="C187" s="30" t="s">
        <v>139</v>
      </c>
      <c r="D187" s="30" t="s">
        <v>17</v>
      </c>
      <c r="E187" s="30" t="s">
        <v>18</v>
      </c>
      <c r="F187" s="30" t="s">
        <v>190</v>
      </c>
      <c r="G187" s="30" t="s">
        <v>3442</v>
      </c>
      <c r="H187" s="30" t="s">
        <v>3443</v>
      </c>
      <c r="I187" s="30">
        <v>2022</v>
      </c>
      <c r="J187" s="30"/>
      <c r="K187" s="30"/>
      <c r="L187" s="30"/>
      <c r="M187" s="27" t="s">
        <v>3180</v>
      </c>
    </row>
    <row r="188" spans="1:13" x14ac:dyDescent="0.35">
      <c r="A188" s="24" t="s">
        <v>682</v>
      </c>
      <c r="B188" s="25" t="s">
        <v>683</v>
      </c>
      <c r="C188" s="26" t="s">
        <v>311</v>
      </c>
      <c r="D188" s="26" t="s">
        <v>149</v>
      </c>
      <c r="E188" s="26" t="s">
        <v>18</v>
      </c>
      <c r="F188" s="26" t="s">
        <v>19</v>
      </c>
      <c r="G188" s="26" t="s">
        <v>3444</v>
      </c>
      <c r="H188" s="26" t="s">
        <v>3445</v>
      </c>
      <c r="I188" s="26">
        <v>2022</v>
      </c>
      <c r="J188" s="26" t="s">
        <v>2290</v>
      </c>
      <c r="K188" s="26">
        <v>100</v>
      </c>
      <c r="L188" s="26">
        <v>2022</v>
      </c>
      <c r="M188" s="31" t="s">
        <v>3186</v>
      </c>
    </row>
    <row r="189" spans="1:13" x14ac:dyDescent="0.35">
      <c r="A189" s="28" t="s">
        <v>684</v>
      </c>
      <c r="B189" s="29" t="s">
        <v>3934</v>
      </c>
      <c r="C189" s="30" t="s">
        <v>154</v>
      </c>
      <c r="D189" s="30" t="s">
        <v>93</v>
      </c>
      <c r="E189" s="30" t="s">
        <v>18</v>
      </c>
      <c r="F189" s="30" t="s">
        <v>88</v>
      </c>
      <c r="G189" s="30" t="s">
        <v>3446</v>
      </c>
      <c r="H189" s="30" t="s">
        <v>3447</v>
      </c>
      <c r="I189" s="30">
        <v>2022</v>
      </c>
      <c r="J189" s="30" t="s">
        <v>2571</v>
      </c>
      <c r="K189" s="30">
        <v>95.7</v>
      </c>
      <c r="L189" s="30">
        <v>2022</v>
      </c>
      <c r="M189" s="31" t="s">
        <v>3186</v>
      </c>
    </row>
    <row r="190" spans="1:13" x14ac:dyDescent="0.35">
      <c r="A190" s="24" t="s">
        <v>687</v>
      </c>
      <c r="B190" s="25" t="s">
        <v>3935</v>
      </c>
      <c r="C190" s="26" t="s">
        <v>148</v>
      </c>
      <c r="D190" s="26" t="s">
        <v>93</v>
      </c>
      <c r="E190" s="26" t="s">
        <v>18</v>
      </c>
      <c r="F190" s="26" t="s">
        <v>88</v>
      </c>
      <c r="G190" s="26" t="s">
        <v>3426</v>
      </c>
      <c r="H190" s="26" t="s">
        <v>3427</v>
      </c>
      <c r="I190" s="26">
        <v>2022</v>
      </c>
      <c r="J190" s="26" t="s">
        <v>2978</v>
      </c>
      <c r="K190" s="26">
        <v>100</v>
      </c>
      <c r="L190" s="26">
        <v>2022</v>
      </c>
      <c r="M190" s="31" t="s">
        <v>3186</v>
      </c>
    </row>
    <row r="191" spans="1:13" x14ac:dyDescent="0.35">
      <c r="A191" s="28" t="s">
        <v>691</v>
      </c>
      <c r="B191" s="29" t="s">
        <v>3936</v>
      </c>
      <c r="C191" s="30" t="s">
        <v>154</v>
      </c>
      <c r="D191" s="30" t="s">
        <v>93</v>
      </c>
      <c r="E191" s="30" t="s">
        <v>18</v>
      </c>
      <c r="F191" s="30" t="s">
        <v>88</v>
      </c>
      <c r="G191" s="30" t="s">
        <v>3444</v>
      </c>
      <c r="H191" s="30" t="s">
        <v>3448</v>
      </c>
      <c r="I191" s="30">
        <v>2022</v>
      </c>
      <c r="J191" s="30"/>
      <c r="K191" s="30"/>
      <c r="L191" s="30"/>
      <c r="M191" s="27" t="s">
        <v>3180</v>
      </c>
    </row>
    <row r="192" spans="1:13" x14ac:dyDescent="0.35">
      <c r="A192" s="24" t="s">
        <v>695</v>
      </c>
      <c r="B192" s="25" t="s">
        <v>3937</v>
      </c>
      <c r="C192" s="26" t="s">
        <v>154</v>
      </c>
      <c r="D192" s="26" t="s">
        <v>93</v>
      </c>
      <c r="E192" s="26" t="s">
        <v>41</v>
      </c>
      <c r="F192" s="26" t="s">
        <v>88</v>
      </c>
      <c r="G192" s="26" t="s">
        <v>3449</v>
      </c>
      <c r="H192" s="26" t="s">
        <v>3450</v>
      </c>
      <c r="I192" s="26">
        <v>2009</v>
      </c>
      <c r="J192" s="26"/>
      <c r="K192" s="26"/>
      <c r="L192" s="26"/>
      <c r="M192" s="27" t="s">
        <v>3180</v>
      </c>
    </row>
    <row r="193" spans="1:13" x14ac:dyDescent="0.35">
      <c r="A193" s="28" t="s">
        <v>699</v>
      </c>
      <c r="B193" s="29" t="s">
        <v>3938</v>
      </c>
      <c r="C193" s="30" t="s">
        <v>154</v>
      </c>
      <c r="D193" s="30" t="s">
        <v>93</v>
      </c>
      <c r="E193" s="30" t="s">
        <v>18</v>
      </c>
      <c r="F193" s="30" t="s">
        <v>88</v>
      </c>
      <c r="G193" s="30" t="s">
        <v>3451</v>
      </c>
      <c r="H193" s="30" t="s">
        <v>3452</v>
      </c>
      <c r="I193" s="30">
        <v>2022</v>
      </c>
      <c r="J193" s="30"/>
      <c r="K193" s="30"/>
      <c r="L193" s="30"/>
      <c r="M193" s="27" t="s">
        <v>3180</v>
      </c>
    </row>
    <row r="194" spans="1:13" x14ac:dyDescent="0.35">
      <c r="A194" s="24" t="s">
        <v>703</v>
      </c>
      <c r="B194" s="25" t="s">
        <v>3938</v>
      </c>
      <c r="C194" s="26" t="s">
        <v>154</v>
      </c>
      <c r="D194" s="26" t="s">
        <v>93</v>
      </c>
      <c r="E194" s="26" t="s">
        <v>18</v>
      </c>
      <c r="F194" s="26" t="s">
        <v>88</v>
      </c>
      <c r="G194" s="26" t="s">
        <v>3451</v>
      </c>
      <c r="H194" s="26" t="s">
        <v>3452</v>
      </c>
      <c r="I194" s="26">
        <v>2022</v>
      </c>
      <c r="J194" s="26"/>
      <c r="K194" s="26"/>
      <c r="L194" s="26"/>
      <c r="M194" s="27" t="s">
        <v>3180</v>
      </c>
    </row>
    <row r="195" spans="1:13" x14ac:dyDescent="0.35">
      <c r="A195" s="28" t="s">
        <v>706</v>
      </c>
      <c r="B195" s="29" t="s">
        <v>3939</v>
      </c>
      <c r="C195" s="30" t="s">
        <v>139</v>
      </c>
      <c r="D195" s="30" t="s">
        <v>93</v>
      </c>
      <c r="E195" s="30" t="s">
        <v>18</v>
      </c>
      <c r="F195" s="30" t="s">
        <v>88</v>
      </c>
      <c r="G195" s="30" t="s">
        <v>3453</v>
      </c>
      <c r="H195" s="30" t="s">
        <v>3454</v>
      </c>
      <c r="I195" s="30">
        <v>2022</v>
      </c>
      <c r="J195" s="30"/>
      <c r="K195" s="30"/>
      <c r="L195" s="30"/>
      <c r="M195" s="27" t="s">
        <v>3180</v>
      </c>
    </row>
    <row r="196" spans="1:13" x14ac:dyDescent="0.35">
      <c r="A196" s="24" t="s">
        <v>710</v>
      </c>
      <c r="B196" s="25" t="s">
        <v>3885</v>
      </c>
      <c r="C196" s="26" t="s">
        <v>139</v>
      </c>
      <c r="D196" s="26" t="s">
        <v>712</v>
      </c>
      <c r="E196" s="26" t="s">
        <v>18</v>
      </c>
      <c r="F196" s="26" t="s">
        <v>88</v>
      </c>
      <c r="G196" s="26" t="s">
        <v>3338</v>
      </c>
      <c r="H196" s="26" t="s">
        <v>3455</v>
      </c>
      <c r="I196" s="26">
        <v>2018</v>
      </c>
      <c r="J196" s="26" t="s">
        <v>2719</v>
      </c>
      <c r="K196" s="26">
        <v>95.5</v>
      </c>
      <c r="L196" s="26">
        <v>2021</v>
      </c>
      <c r="M196" s="31" t="s">
        <v>3186</v>
      </c>
    </row>
    <row r="197" spans="1:13" x14ac:dyDescent="0.35">
      <c r="A197" s="28" t="s">
        <v>714</v>
      </c>
      <c r="B197" s="29" t="s">
        <v>3940</v>
      </c>
      <c r="C197" s="30" t="s">
        <v>154</v>
      </c>
      <c r="D197" s="30" t="s">
        <v>93</v>
      </c>
      <c r="E197" s="30" t="s">
        <v>18</v>
      </c>
      <c r="F197" s="30" t="s">
        <v>88</v>
      </c>
      <c r="G197" s="30" t="s">
        <v>3456</v>
      </c>
      <c r="H197" s="30" t="s">
        <v>3457</v>
      </c>
      <c r="I197" s="30">
        <v>2022</v>
      </c>
      <c r="J197" s="30"/>
      <c r="K197" s="30"/>
      <c r="L197" s="30"/>
      <c r="M197" s="27" t="s">
        <v>3180</v>
      </c>
    </row>
    <row r="198" spans="1:13" x14ac:dyDescent="0.35">
      <c r="A198" s="24" t="s">
        <v>718</v>
      </c>
      <c r="B198" s="25" t="s">
        <v>3941</v>
      </c>
      <c r="C198" s="26" t="s">
        <v>154</v>
      </c>
      <c r="D198" s="26" t="s">
        <v>93</v>
      </c>
      <c r="E198" s="26" t="s">
        <v>18</v>
      </c>
      <c r="F198" s="26" t="s">
        <v>88</v>
      </c>
      <c r="G198" s="26" t="s">
        <v>3446</v>
      </c>
      <c r="H198" s="26" t="s">
        <v>3447</v>
      </c>
      <c r="I198" s="26">
        <v>2022</v>
      </c>
      <c r="J198" s="26" t="s">
        <v>2679</v>
      </c>
      <c r="K198" s="26">
        <v>100</v>
      </c>
      <c r="L198" s="26">
        <v>2022</v>
      </c>
      <c r="M198" s="31" t="s">
        <v>3186</v>
      </c>
    </row>
    <row r="199" spans="1:13" x14ac:dyDescent="0.35">
      <c r="A199" s="28" t="s">
        <v>722</v>
      </c>
      <c r="B199" s="29" t="s">
        <v>3942</v>
      </c>
      <c r="C199" s="30" t="s">
        <v>154</v>
      </c>
      <c r="D199" s="30" t="s">
        <v>93</v>
      </c>
      <c r="E199" s="30" t="s">
        <v>18</v>
      </c>
      <c r="F199" s="30" t="s">
        <v>88</v>
      </c>
      <c r="G199" s="30" t="s">
        <v>3458</v>
      </c>
      <c r="H199" s="30" t="s">
        <v>3459</v>
      </c>
      <c r="I199" s="30">
        <v>2022</v>
      </c>
      <c r="J199" s="30"/>
      <c r="K199" s="30"/>
      <c r="L199" s="30"/>
      <c r="M199" s="27" t="s">
        <v>3180</v>
      </c>
    </row>
    <row r="200" spans="1:13" x14ac:dyDescent="0.35">
      <c r="A200" s="24" t="s">
        <v>725</v>
      </c>
      <c r="B200" s="25" t="s">
        <v>3943</v>
      </c>
      <c r="C200" s="26" t="s">
        <v>139</v>
      </c>
      <c r="D200" s="26" t="s">
        <v>93</v>
      </c>
      <c r="E200" s="26" t="s">
        <v>18</v>
      </c>
      <c r="F200" s="26" t="s">
        <v>88</v>
      </c>
      <c r="G200" s="26" t="s">
        <v>3460</v>
      </c>
      <c r="H200" s="26" t="s">
        <v>3461</v>
      </c>
      <c r="I200" s="26">
        <v>2022</v>
      </c>
      <c r="J200" s="26"/>
      <c r="K200" s="26"/>
      <c r="L200" s="26"/>
      <c r="M200" s="27" t="s">
        <v>3180</v>
      </c>
    </row>
    <row r="201" spans="1:13" x14ac:dyDescent="0.35">
      <c r="A201" s="28" t="s">
        <v>729</v>
      </c>
      <c r="B201" s="29" t="s">
        <v>3944</v>
      </c>
      <c r="C201" s="30" t="s">
        <v>139</v>
      </c>
      <c r="D201" s="30" t="s">
        <v>17</v>
      </c>
      <c r="E201" s="30" t="s">
        <v>18</v>
      </c>
      <c r="F201" s="30" t="s">
        <v>19</v>
      </c>
      <c r="G201" s="30" t="s">
        <v>3460</v>
      </c>
      <c r="H201" s="30" t="s">
        <v>3461</v>
      </c>
      <c r="I201" s="30">
        <v>2022</v>
      </c>
      <c r="J201" s="30"/>
      <c r="K201" s="30"/>
      <c r="L201" s="30"/>
      <c r="M201" s="27" t="s">
        <v>3180</v>
      </c>
    </row>
    <row r="202" spans="1:13" x14ac:dyDescent="0.35">
      <c r="A202" s="24" t="s">
        <v>733</v>
      </c>
      <c r="B202" s="25" t="s">
        <v>3938</v>
      </c>
      <c r="C202" s="26" t="s">
        <v>154</v>
      </c>
      <c r="D202" s="26" t="s">
        <v>93</v>
      </c>
      <c r="E202" s="26" t="s">
        <v>18</v>
      </c>
      <c r="F202" s="26" t="s">
        <v>88</v>
      </c>
      <c r="G202" s="26" t="s">
        <v>3451</v>
      </c>
      <c r="H202" s="26" t="s">
        <v>3452</v>
      </c>
      <c r="I202" s="26">
        <v>2022</v>
      </c>
      <c r="J202" s="26"/>
      <c r="K202" s="26"/>
      <c r="L202" s="26"/>
      <c r="M202" s="27" t="s">
        <v>3180</v>
      </c>
    </row>
    <row r="203" spans="1:13" x14ac:dyDescent="0.35">
      <c r="A203" s="28" t="s">
        <v>736</v>
      </c>
      <c r="B203" s="29" t="s">
        <v>3945</v>
      </c>
      <c r="C203" s="30" t="s">
        <v>311</v>
      </c>
      <c r="D203" s="30" t="s">
        <v>149</v>
      </c>
      <c r="E203" s="30" t="s">
        <v>18</v>
      </c>
      <c r="F203" s="30" t="s">
        <v>19</v>
      </c>
      <c r="G203" s="30" t="s">
        <v>3444</v>
      </c>
      <c r="H203" s="30" t="s">
        <v>3445</v>
      </c>
      <c r="I203" s="30">
        <v>2022</v>
      </c>
      <c r="J203" s="30"/>
      <c r="K203" s="30"/>
      <c r="L203" s="30"/>
      <c r="M203" s="27" t="s">
        <v>3180</v>
      </c>
    </row>
    <row r="204" spans="1:13" x14ac:dyDescent="0.35">
      <c r="A204" s="24" t="s">
        <v>738</v>
      </c>
      <c r="B204" s="25" t="s">
        <v>3946</v>
      </c>
      <c r="C204" s="26" t="s">
        <v>311</v>
      </c>
      <c r="D204" s="26" t="s">
        <v>149</v>
      </c>
      <c r="E204" s="26" t="s">
        <v>18</v>
      </c>
      <c r="F204" s="26" t="s">
        <v>19</v>
      </c>
      <c r="G204" s="26" t="s">
        <v>3462</v>
      </c>
      <c r="H204" s="26" t="s">
        <v>3463</v>
      </c>
      <c r="I204" s="26">
        <v>2022</v>
      </c>
      <c r="J204" s="26" t="s">
        <v>2054</v>
      </c>
      <c r="K204" s="26">
        <v>92.1</v>
      </c>
      <c r="L204" s="26">
        <v>2022</v>
      </c>
      <c r="M204" s="31" t="s">
        <v>3186</v>
      </c>
    </row>
    <row r="205" spans="1:13" x14ac:dyDescent="0.35">
      <c r="A205" s="28" t="s">
        <v>740</v>
      </c>
      <c r="B205" s="29" t="s">
        <v>3947</v>
      </c>
      <c r="C205" s="30" t="s">
        <v>154</v>
      </c>
      <c r="D205" s="30" t="s">
        <v>93</v>
      </c>
      <c r="E205" s="30" t="s">
        <v>18</v>
      </c>
      <c r="F205" s="30" t="s">
        <v>88</v>
      </c>
      <c r="G205" s="30" t="s">
        <v>3464</v>
      </c>
      <c r="H205" s="30" t="s">
        <v>3465</v>
      </c>
      <c r="I205" s="30">
        <v>2023</v>
      </c>
      <c r="J205" s="30" t="s">
        <v>902</v>
      </c>
      <c r="K205" s="30">
        <v>100</v>
      </c>
      <c r="L205" s="30">
        <v>2022</v>
      </c>
      <c r="M205" s="31" t="s">
        <v>3186</v>
      </c>
    </row>
    <row r="206" spans="1:13" x14ac:dyDescent="0.35">
      <c r="A206" s="24" t="s">
        <v>743</v>
      </c>
      <c r="B206" s="25" t="s">
        <v>3940</v>
      </c>
      <c r="C206" s="26" t="s">
        <v>154</v>
      </c>
      <c r="D206" s="26" t="s">
        <v>93</v>
      </c>
      <c r="E206" s="26" t="s">
        <v>18</v>
      </c>
      <c r="F206" s="26" t="s">
        <v>88</v>
      </c>
      <c r="G206" s="26" t="s">
        <v>3456</v>
      </c>
      <c r="H206" s="26" t="s">
        <v>3457</v>
      </c>
      <c r="I206" s="26">
        <v>2022</v>
      </c>
      <c r="J206" s="26"/>
      <c r="K206" s="26"/>
      <c r="L206" s="26"/>
      <c r="M206" s="27" t="s">
        <v>3180</v>
      </c>
    </row>
    <row r="207" spans="1:13" x14ac:dyDescent="0.35">
      <c r="A207" s="28" t="s">
        <v>746</v>
      </c>
      <c r="B207" s="29" t="s">
        <v>3948</v>
      </c>
      <c r="C207" s="30" t="s">
        <v>154</v>
      </c>
      <c r="D207" s="30" t="s">
        <v>93</v>
      </c>
      <c r="E207" s="30" t="s">
        <v>18</v>
      </c>
      <c r="F207" s="30" t="s">
        <v>88</v>
      </c>
      <c r="G207" s="30" t="s">
        <v>3466</v>
      </c>
      <c r="H207" s="30" t="s">
        <v>3467</v>
      </c>
      <c r="I207" s="30">
        <v>2022</v>
      </c>
      <c r="J207" s="30" t="s">
        <v>2746</v>
      </c>
      <c r="K207" s="30">
        <v>100</v>
      </c>
      <c r="L207" s="30">
        <v>2023</v>
      </c>
      <c r="M207" s="31" t="s">
        <v>3186</v>
      </c>
    </row>
    <row r="208" spans="1:13" x14ac:dyDescent="0.35">
      <c r="A208" s="24" t="s">
        <v>750</v>
      </c>
      <c r="B208" s="25" t="s">
        <v>3949</v>
      </c>
      <c r="C208" s="26" t="s">
        <v>752</v>
      </c>
      <c r="D208" s="26" t="s">
        <v>93</v>
      </c>
      <c r="E208" s="26" t="s">
        <v>18</v>
      </c>
      <c r="F208" s="26" t="s">
        <v>88</v>
      </c>
      <c r="G208" s="26" t="s">
        <v>3468</v>
      </c>
      <c r="H208" s="26" t="s">
        <v>3469</v>
      </c>
      <c r="I208" s="26">
        <v>2022</v>
      </c>
      <c r="J208" s="26"/>
      <c r="K208" s="26"/>
      <c r="L208" s="26"/>
      <c r="M208" s="27" t="s">
        <v>3180</v>
      </c>
    </row>
    <row r="209" spans="1:13" x14ac:dyDescent="0.35">
      <c r="A209" s="28" t="s">
        <v>754</v>
      </c>
      <c r="B209" s="29" t="s">
        <v>3950</v>
      </c>
      <c r="C209" s="30" t="s">
        <v>311</v>
      </c>
      <c r="D209" s="30" t="s">
        <v>149</v>
      </c>
      <c r="E209" s="30" t="s">
        <v>18</v>
      </c>
      <c r="F209" s="30" t="s">
        <v>19</v>
      </c>
      <c r="G209" s="30" t="s">
        <v>3462</v>
      </c>
      <c r="H209" s="30" t="s">
        <v>3463</v>
      </c>
      <c r="I209" s="30">
        <v>2022</v>
      </c>
      <c r="J209" s="30"/>
      <c r="K209" s="30"/>
      <c r="L209" s="30"/>
      <c r="M209" s="27" t="s">
        <v>3180</v>
      </c>
    </row>
    <row r="210" spans="1:13" x14ac:dyDescent="0.35">
      <c r="A210" s="24" t="s">
        <v>756</v>
      </c>
      <c r="B210" s="25" t="s">
        <v>3949</v>
      </c>
      <c r="C210" s="26" t="s">
        <v>752</v>
      </c>
      <c r="D210" s="26" t="s">
        <v>757</v>
      </c>
      <c r="E210" s="26" t="s">
        <v>18</v>
      </c>
      <c r="F210" s="26" t="s">
        <v>19</v>
      </c>
      <c r="G210" s="26" t="s">
        <v>3470</v>
      </c>
      <c r="H210" s="26" t="s">
        <v>3471</v>
      </c>
      <c r="I210" s="26">
        <v>2022</v>
      </c>
      <c r="J210" s="26"/>
      <c r="K210" s="26"/>
      <c r="L210" s="26"/>
      <c r="M210" s="27" t="s">
        <v>3180</v>
      </c>
    </row>
    <row r="211" spans="1:13" x14ac:dyDescent="0.35">
      <c r="A211" s="28" t="s">
        <v>759</v>
      </c>
      <c r="B211" s="29" t="s">
        <v>3951</v>
      </c>
      <c r="C211" s="30" t="s">
        <v>311</v>
      </c>
      <c r="D211" s="30" t="s">
        <v>149</v>
      </c>
      <c r="E211" s="30" t="s">
        <v>18</v>
      </c>
      <c r="F211" s="30" t="s">
        <v>19</v>
      </c>
      <c r="G211" s="30" t="s">
        <v>3472</v>
      </c>
      <c r="H211" s="30" t="s">
        <v>3473</v>
      </c>
      <c r="I211" s="30">
        <v>2022</v>
      </c>
      <c r="J211" s="30"/>
      <c r="K211" s="30"/>
      <c r="L211" s="30"/>
      <c r="M211" s="27" t="s">
        <v>3180</v>
      </c>
    </row>
    <row r="212" spans="1:13" x14ac:dyDescent="0.35">
      <c r="A212" s="24" t="s">
        <v>761</v>
      </c>
      <c r="B212" s="25" t="s">
        <v>3952</v>
      </c>
      <c r="C212" s="26" t="s">
        <v>311</v>
      </c>
      <c r="D212" s="26" t="s">
        <v>149</v>
      </c>
      <c r="E212" s="26" t="s">
        <v>18</v>
      </c>
      <c r="F212" s="26"/>
      <c r="G212" s="26" t="s">
        <v>3441</v>
      </c>
      <c r="H212" s="26" t="s">
        <v>3474</v>
      </c>
      <c r="I212" s="26">
        <v>2022</v>
      </c>
      <c r="J212" s="26"/>
      <c r="K212" s="26"/>
      <c r="L212" s="26"/>
      <c r="M212" s="27" t="s">
        <v>3180</v>
      </c>
    </row>
    <row r="213" spans="1:13" x14ac:dyDescent="0.35">
      <c r="A213" s="28" t="s">
        <v>763</v>
      </c>
      <c r="B213" s="29" t="s">
        <v>3953</v>
      </c>
      <c r="C213" s="30" t="s">
        <v>311</v>
      </c>
      <c r="D213" s="30" t="s">
        <v>149</v>
      </c>
      <c r="E213" s="30" t="s">
        <v>18</v>
      </c>
      <c r="F213" s="30" t="s">
        <v>19</v>
      </c>
      <c r="G213" s="30" t="s">
        <v>3475</v>
      </c>
      <c r="H213" s="30" t="s">
        <v>3476</v>
      </c>
      <c r="I213" s="30">
        <v>2022</v>
      </c>
      <c r="J213" s="30"/>
      <c r="K213" s="30"/>
      <c r="L213" s="30"/>
      <c r="M213" s="27" t="s">
        <v>3180</v>
      </c>
    </row>
    <row r="214" spans="1:13" x14ac:dyDescent="0.35">
      <c r="A214" s="24" t="s">
        <v>765</v>
      </c>
      <c r="B214" s="25" t="s">
        <v>3954</v>
      </c>
      <c r="C214" s="26" t="s">
        <v>311</v>
      </c>
      <c r="D214" s="26" t="s">
        <v>149</v>
      </c>
      <c r="E214" s="26" t="s">
        <v>18</v>
      </c>
      <c r="F214" s="26" t="s">
        <v>19</v>
      </c>
      <c r="G214" s="26" t="s">
        <v>3477</v>
      </c>
      <c r="H214" s="26" t="s">
        <v>3478</v>
      </c>
      <c r="I214" s="26">
        <v>2022</v>
      </c>
      <c r="J214" s="26" t="s">
        <v>2885</v>
      </c>
      <c r="K214" s="26">
        <v>100</v>
      </c>
      <c r="L214" s="26">
        <v>2022</v>
      </c>
      <c r="M214" s="31" t="s">
        <v>3186</v>
      </c>
    </row>
    <row r="215" spans="1:13" x14ac:dyDescent="0.35">
      <c r="A215" s="28" t="s">
        <v>767</v>
      </c>
      <c r="B215" s="29" t="s">
        <v>3955</v>
      </c>
      <c r="C215" s="30" t="s">
        <v>148</v>
      </c>
      <c r="D215" s="30" t="s">
        <v>93</v>
      </c>
      <c r="E215" s="30" t="s">
        <v>18</v>
      </c>
      <c r="F215" s="30" t="s">
        <v>88</v>
      </c>
      <c r="G215" s="30" t="s">
        <v>3479</v>
      </c>
      <c r="H215" s="30" t="s">
        <v>3480</v>
      </c>
      <c r="I215" s="30">
        <v>2022</v>
      </c>
      <c r="J215" s="30" t="s">
        <v>2607</v>
      </c>
      <c r="K215" s="30">
        <v>100</v>
      </c>
      <c r="L215" s="30">
        <v>2022</v>
      </c>
      <c r="M215" s="31" t="s">
        <v>3186</v>
      </c>
    </row>
    <row r="216" spans="1:13" x14ac:dyDescent="0.35">
      <c r="A216" s="24" t="s">
        <v>770</v>
      </c>
      <c r="B216" s="25" t="s">
        <v>3956</v>
      </c>
      <c r="C216" s="26" t="s">
        <v>311</v>
      </c>
      <c r="D216" s="26" t="s">
        <v>149</v>
      </c>
      <c r="E216" s="26" t="s">
        <v>18</v>
      </c>
      <c r="F216" s="26" t="s">
        <v>19</v>
      </c>
      <c r="G216" s="26" t="s">
        <v>3481</v>
      </c>
      <c r="H216" s="26" t="s">
        <v>3482</v>
      </c>
      <c r="I216" s="26">
        <v>2022</v>
      </c>
      <c r="J216" s="26"/>
      <c r="K216" s="26"/>
      <c r="L216" s="26"/>
      <c r="M216" s="27" t="s">
        <v>3180</v>
      </c>
    </row>
    <row r="217" spans="1:13" x14ac:dyDescent="0.35">
      <c r="A217" s="28" t="s">
        <v>772</v>
      </c>
      <c r="B217" s="29" t="s">
        <v>3957</v>
      </c>
      <c r="C217" s="30" t="s">
        <v>139</v>
      </c>
      <c r="D217" s="30" t="s">
        <v>93</v>
      </c>
      <c r="E217" s="30" t="s">
        <v>18</v>
      </c>
      <c r="F217" s="30" t="s">
        <v>88</v>
      </c>
      <c r="G217" s="30" t="s">
        <v>3483</v>
      </c>
      <c r="H217" s="30" t="s">
        <v>3484</v>
      </c>
      <c r="I217" s="30">
        <v>2022</v>
      </c>
      <c r="J217" s="30"/>
      <c r="K217" s="30"/>
      <c r="L217" s="30"/>
      <c r="M217" s="27" t="s">
        <v>3180</v>
      </c>
    </row>
    <row r="218" spans="1:13" x14ac:dyDescent="0.35">
      <c r="A218" s="24" t="s">
        <v>776</v>
      </c>
      <c r="B218" s="25" t="s">
        <v>3958</v>
      </c>
      <c r="C218" s="26" t="s">
        <v>154</v>
      </c>
      <c r="D218" s="26" t="s">
        <v>93</v>
      </c>
      <c r="E218" s="26" t="s">
        <v>18</v>
      </c>
      <c r="F218" s="26" t="s">
        <v>88</v>
      </c>
      <c r="G218" s="26" t="s">
        <v>3485</v>
      </c>
      <c r="H218" s="26" t="s">
        <v>3486</v>
      </c>
      <c r="I218" s="26">
        <v>2022</v>
      </c>
      <c r="J218" s="26"/>
      <c r="K218" s="26"/>
      <c r="L218" s="26"/>
      <c r="M218" s="27" t="s">
        <v>3180</v>
      </c>
    </row>
    <row r="219" spans="1:13" x14ac:dyDescent="0.35">
      <c r="A219" s="28" t="s">
        <v>780</v>
      </c>
      <c r="B219" s="29" t="s">
        <v>3958</v>
      </c>
      <c r="C219" s="30" t="s">
        <v>154</v>
      </c>
      <c r="D219" s="30" t="s">
        <v>93</v>
      </c>
      <c r="E219" s="30" t="s">
        <v>18</v>
      </c>
      <c r="F219" s="30" t="s">
        <v>88</v>
      </c>
      <c r="G219" s="30" t="s">
        <v>3485</v>
      </c>
      <c r="H219" s="30" t="s">
        <v>3486</v>
      </c>
      <c r="I219" s="30">
        <v>2022</v>
      </c>
      <c r="J219" s="30"/>
      <c r="K219" s="30"/>
      <c r="L219" s="30"/>
      <c r="M219" s="27" t="s">
        <v>3180</v>
      </c>
    </row>
    <row r="220" spans="1:13" x14ac:dyDescent="0.35">
      <c r="A220" s="24" t="s">
        <v>783</v>
      </c>
      <c r="B220" s="25" t="s">
        <v>3959</v>
      </c>
      <c r="C220" s="26" t="s">
        <v>27</v>
      </c>
      <c r="D220" s="26" t="s">
        <v>786</v>
      </c>
      <c r="E220" s="26" t="s">
        <v>18</v>
      </c>
      <c r="F220" s="26" t="s">
        <v>19</v>
      </c>
      <c r="G220" s="26" t="s">
        <v>3487</v>
      </c>
      <c r="H220" s="26" t="s">
        <v>3488</v>
      </c>
      <c r="I220" s="26">
        <v>2017</v>
      </c>
      <c r="J220" s="26"/>
      <c r="K220" s="26"/>
      <c r="L220" s="26"/>
      <c r="M220" s="27" t="s">
        <v>3180</v>
      </c>
    </row>
    <row r="221" spans="1:13" x14ac:dyDescent="0.35">
      <c r="A221" s="28" t="s">
        <v>788</v>
      </c>
      <c r="B221" s="29" t="s">
        <v>3849</v>
      </c>
      <c r="C221" s="30" t="s">
        <v>311</v>
      </c>
      <c r="D221" s="30" t="s">
        <v>149</v>
      </c>
      <c r="E221" s="30" t="s">
        <v>18</v>
      </c>
      <c r="F221" s="30" t="s">
        <v>19</v>
      </c>
      <c r="G221" s="30" t="s">
        <v>3489</v>
      </c>
      <c r="H221" s="30" t="s">
        <v>3490</v>
      </c>
      <c r="I221" s="30">
        <v>2022</v>
      </c>
      <c r="J221" s="30"/>
      <c r="K221" s="30"/>
      <c r="L221" s="30"/>
      <c r="M221" s="27" t="s">
        <v>3180</v>
      </c>
    </row>
    <row r="222" spans="1:13" x14ac:dyDescent="0.35">
      <c r="A222" s="24" t="s">
        <v>789</v>
      </c>
      <c r="B222" s="25" t="s">
        <v>3960</v>
      </c>
      <c r="C222" s="26" t="s">
        <v>27</v>
      </c>
      <c r="D222" s="26" t="s">
        <v>28</v>
      </c>
      <c r="E222" s="26" t="s">
        <v>18</v>
      </c>
      <c r="F222" s="26" t="s">
        <v>177</v>
      </c>
      <c r="G222" s="26" t="s">
        <v>3462</v>
      </c>
      <c r="H222" s="26" t="s">
        <v>3463</v>
      </c>
      <c r="I222" s="26">
        <v>2022</v>
      </c>
      <c r="J222" s="26"/>
      <c r="K222" s="26"/>
      <c r="L222" s="26"/>
      <c r="M222" s="27" t="s">
        <v>3180</v>
      </c>
    </row>
    <row r="223" spans="1:13" x14ac:dyDescent="0.35">
      <c r="A223" s="28" t="s">
        <v>792</v>
      </c>
      <c r="B223" s="29" t="s">
        <v>3961</v>
      </c>
      <c r="C223" s="30" t="s">
        <v>311</v>
      </c>
      <c r="D223" s="30" t="s">
        <v>149</v>
      </c>
      <c r="E223" s="30" t="s">
        <v>18</v>
      </c>
      <c r="F223" s="30" t="s">
        <v>19</v>
      </c>
      <c r="G223" s="30" t="s">
        <v>3491</v>
      </c>
      <c r="H223" s="30" t="s">
        <v>3492</v>
      </c>
      <c r="I223" s="30">
        <v>2020</v>
      </c>
      <c r="J223" s="30"/>
      <c r="K223" s="30"/>
      <c r="L223" s="30"/>
      <c r="M223" s="27" t="s">
        <v>3180</v>
      </c>
    </row>
    <row r="224" spans="1:13" x14ac:dyDescent="0.35">
      <c r="A224" s="24" t="s">
        <v>794</v>
      </c>
      <c r="B224" s="25" t="s">
        <v>3962</v>
      </c>
      <c r="C224" s="26" t="s">
        <v>311</v>
      </c>
      <c r="D224" s="26" t="s">
        <v>149</v>
      </c>
      <c r="E224" s="26" t="s">
        <v>18</v>
      </c>
      <c r="F224" s="26" t="s">
        <v>19</v>
      </c>
      <c r="G224" s="26" t="s">
        <v>3462</v>
      </c>
      <c r="H224" s="26" t="s">
        <v>3463</v>
      </c>
      <c r="I224" s="26">
        <v>2022</v>
      </c>
      <c r="J224" s="26"/>
      <c r="K224" s="26"/>
      <c r="L224" s="26"/>
      <c r="M224" s="27" t="s">
        <v>3180</v>
      </c>
    </row>
    <row r="225" spans="1:13" x14ac:dyDescent="0.35">
      <c r="A225" s="28" t="s">
        <v>796</v>
      </c>
      <c r="B225" s="29" t="s">
        <v>3912</v>
      </c>
      <c r="C225" s="30" t="s">
        <v>27</v>
      </c>
      <c r="D225" s="30" t="s">
        <v>60</v>
      </c>
      <c r="E225" s="30" t="s">
        <v>18</v>
      </c>
      <c r="F225" s="30" t="s">
        <v>19</v>
      </c>
      <c r="G225" s="30" t="s">
        <v>3479</v>
      </c>
      <c r="H225" s="30" t="s">
        <v>3480</v>
      </c>
      <c r="I225" s="30">
        <v>2022</v>
      </c>
      <c r="J225" s="30"/>
      <c r="K225" s="30"/>
      <c r="L225" s="30"/>
      <c r="M225" s="27" t="s">
        <v>3180</v>
      </c>
    </row>
    <row r="226" spans="1:13" x14ac:dyDescent="0.35">
      <c r="A226" s="24" t="s">
        <v>798</v>
      </c>
      <c r="B226" s="25" t="s">
        <v>3963</v>
      </c>
      <c r="C226" s="26" t="s">
        <v>27</v>
      </c>
      <c r="D226" s="26" t="s">
        <v>60</v>
      </c>
      <c r="E226" s="26" t="s">
        <v>18</v>
      </c>
      <c r="F226" s="26" t="s">
        <v>19</v>
      </c>
      <c r="G226" s="26" t="s">
        <v>3493</v>
      </c>
      <c r="H226" s="26" t="s">
        <v>3494</v>
      </c>
      <c r="I226" s="26">
        <v>2012</v>
      </c>
      <c r="J226" s="26"/>
      <c r="K226" s="26"/>
      <c r="L226" s="26"/>
      <c r="M226" s="27" t="s">
        <v>3180</v>
      </c>
    </row>
    <row r="227" spans="1:13" x14ac:dyDescent="0.35">
      <c r="A227" s="28" t="s">
        <v>801</v>
      </c>
      <c r="B227" s="29" t="s">
        <v>3964</v>
      </c>
      <c r="C227" s="30" t="s">
        <v>311</v>
      </c>
      <c r="D227" s="30" t="s">
        <v>149</v>
      </c>
      <c r="E227" s="30" t="s">
        <v>18</v>
      </c>
      <c r="F227" s="30" t="s">
        <v>19</v>
      </c>
      <c r="G227" s="30" t="s">
        <v>3495</v>
      </c>
      <c r="H227" s="30" t="s">
        <v>3496</v>
      </c>
      <c r="I227" s="30">
        <v>2022</v>
      </c>
      <c r="J227" s="30" t="s">
        <v>2426</v>
      </c>
      <c r="K227" s="30">
        <v>92</v>
      </c>
      <c r="L227" s="30">
        <v>2022</v>
      </c>
      <c r="M227" s="31" t="s">
        <v>3186</v>
      </c>
    </row>
    <row r="228" spans="1:13" x14ac:dyDescent="0.35">
      <c r="A228" s="24" t="s">
        <v>803</v>
      </c>
      <c r="B228" s="25" t="s">
        <v>3965</v>
      </c>
      <c r="C228" s="26" t="s">
        <v>311</v>
      </c>
      <c r="D228" s="26" t="s">
        <v>149</v>
      </c>
      <c r="E228" s="26" t="s">
        <v>18</v>
      </c>
      <c r="F228" s="26" t="s">
        <v>19</v>
      </c>
      <c r="G228" s="26" t="s">
        <v>3497</v>
      </c>
      <c r="H228" s="26" t="s">
        <v>3498</v>
      </c>
      <c r="I228" s="26">
        <v>2022</v>
      </c>
      <c r="J228" s="26" t="s">
        <v>2262</v>
      </c>
      <c r="K228" s="26">
        <v>90.9</v>
      </c>
      <c r="L228" s="26">
        <v>2024</v>
      </c>
      <c r="M228" s="31" t="s">
        <v>3186</v>
      </c>
    </row>
    <row r="229" spans="1:13" x14ac:dyDescent="0.35">
      <c r="A229" s="28" t="s">
        <v>805</v>
      </c>
      <c r="B229" s="29" t="s">
        <v>3966</v>
      </c>
      <c r="C229" s="30" t="s">
        <v>139</v>
      </c>
      <c r="D229" s="30" t="s">
        <v>712</v>
      </c>
      <c r="E229" s="30" t="s">
        <v>18</v>
      </c>
      <c r="F229" s="30" t="s">
        <v>88</v>
      </c>
      <c r="G229" s="30" t="s">
        <v>3499</v>
      </c>
      <c r="H229" s="30" t="s">
        <v>3500</v>
      </c>
      <c r="I229" s="30">
        <v>2023</v>
      </c>
      <c r="J229" s="30" t="s">
        <v>2861</v>
      </c>
      <c r="K229" s="30">
        <v>100</v>
      </c>
      <c r="L229" s="30">
        <v>2022</v>
      </c>
      <c r="M229" s="31" t="s">
        <v>3186</v>
      </c>
    </row>
    <row r="230" spans="1:13" x14ac:dyDescent="0.35">
      <c r="A230" s="24" t="s">
        <v>808</v>
      </c>
      <c r="B230" s="25" t="s">
        <v>3941</v>
      </c>
      <c r="C230" s="26" t="s">
        <v>139</v>
      </c>
      <c r="D230" s="26" t="s">
        <v>93</v>
      </c>
      <c r="E230" s="26" t="s">
        <v>18</v>
      </c>
      <c r="F230" s="26" t="s">
        <v>88</v>
      </c>
      <c r="G230" s="26" t="s">
        <v>3501</v>
      </c>
      <c r="H230" s="26" t="s">
        <v>3502</v>
      </c>
      <c r="I230" s="26">
        <v>2023</v>
      </c>
      <c r="J230" s="26" t="s">
        <v>2679</v>
      </c>
      <c r="K230" s="26">
        <v>100</v>
      </c>
      <c r="L230" s="26">
        <v>2022</v>
      </c>
      <c r="M230" s="31" t="s">
        <v>3186</v>
      </c>
    </row>
    <row r="231" spans="1:13" x14ac:dyDescent="0.35">
      <c r="A231" s="28" t="s">
        <v>811</v>
      </c>
      <c r="B231" s="29" t="s">
        <v>3967</v>
      </c>
      <c r="C231" s="30" t="s">
        <v>154</v>
      </c>
      <c r="D231" s="30" t="s">
        <v>93</v>
      </c>
      <c r="E231" s="30" t="s">
        <v>18</v>
      </c>
      <c r="F231" s="30" t="s">
        <v>88</v>
      </c>
      <c r="G231" s="30" t="s">
        <v>3503</v>
      </c>
      <c r="H231" s="30" t="s">
        <v>3504</v>
      </c>
      <c r="I231" s="30">
        <v>2023</v>
      </c>
      <c r="J231" s="30" t="s">
        <v>2991</v>
      </c>
      <c r="K231" s="30">
        <v>91.7</v>
      </c>
      <c r="L231" s="30">
        <v>2023</v>
      </c>
      <c r="M231" s="31" t="s">
        <v>3186</v>
      </c>
    </row>
    <row r="232" spans="1:13" x14ac:dyDescent="0.35">
      <c r="A232" s="24" t="s">
        <v>815</v>
      </c>
      <c r="B232" s="25" t="s">
        <v>3968</v>
      </c>
      <c r="C232" s="26" t="s">
        <v>311</v>
      </c>
      <c r="D232" s="26" t="s">
        <v>149</v>
      </c>
      <c r="E232" s="26" t="s">
        <v>18</v>
      </c>
      <c r="F232" s="26" t="s">
        <v>19</v>
      </c>
      <c r="G232" s="26" t="s">
        <v>3505</v>
      </c>
      <c r="H232" s="26" t="s">
        <v>3506</v>
      </c>
      <c r="I232" s="26">
        <v>2022</v>
      </c>
      <c r="J232" s="26"/>
      <c r="K232" s="26"/>
      <c r="L232" s="26"/>
      <c r="M232" s="27" t="s">
        <v>3180</v>
      </c>
    </row>
    <row r="233" spans="1:13" x14ac:dyDescent="0.35">
      <c r="A233" s="28" t="s">
        <v>817</v>
      </c>
      <c r="B233" s="29" t="s">
        <v>3969</v>
      </c>
      <c r="C233" s="30" t="s">
        <v>311</v>
      </c>
      <c r="D233" s="30" t="s">
        <v>149</v>
      </c>
      <c r="E233" s="30" t="s">
        <v>18</v>
      </c>
      <c r="F233" s="30" t="s">
        <v>19</v>
      </c>
      <c r="G233" s="30" t="s">
        <v>3472</v>
      </c>
      <c r="H233" s="30" t="s">
        <v>3473</v>
      </c>
      <c r="I233" s="30">
        <v>2022</v>
      </c>
      <c r="J233" s="30"/>
      <c r="K233" s="30"/>
      <c r="L233" s="30"/>
      <c r="M233" s="27" t="s">
        <v>3180</v>
      </c>
    </row>
    <row r="234" spans="1:13" x14ac:dyDescent="0.35">
      <c r="A234" s="24" t="s">
        <v>819</v>
      </c>
      <c r="B234" s="25" t="s">
        <v>3970</v>
      </c>
      <c r="C234" s="26" t="s">
        <v>311</v>
      </c>
      <c r="D234" s="26" t="s">
        <v>149</v>
      </c>
      <c r="E234" s="26" t="s">
        <v>18</v>
      </c>
      <c r="F234" s="26" t="s">
        <v>19</v>
      </c>
      <c r="G234" s="26" t="s">
        <v>3466</v>
      </c>
      <c r="H234" s="26" t="s">
        <v>3507</v>
      </c>
      <c r="I234" s="26">
        <v>2022</v>
      </c>
      <c r="J234" s="26"/>
      <c r="K234" s="26"/>
      <c r="L234" s="26"/>
      <c r="M234" s="27" t="s">
        <v>3180</v>
      </c>
    </row>
    <row r="235" spans="1:13" x14ac:dyDescent="0.35">
      <c r="A235" s="28" t="s">
        <v>821</v>
      </c>
      <c r="B235" s="29" t="s">
        <v>3971</v>
      </c>
      <c r="C235" s="30" t="s">
        <v>311</v>
      </c>
      <c r="D235" s="30" t="s">
        <v>149</v>
      </c>
      <c r="E235" s="30" t="s">
        <v>18</v>
      </c>
      <c r="F235" s="30" t="s">
        <v>19</v>
      </c>
      <c r="G235" s="30" t="s">
        <v>3508</v>
      </c>
      <c r="H235" s="30" t="s">
        <v>3509</v>
      </c>
      <c r="I235" s="30">
        <v>2022</v>
      </c>
      <c r="J235" s="30"/>
      <c r="K235" s="30"/>
      <c r="L235" s="30"/>
      <c r="M235" s="27" t="s">
        <v>3180</v>
      </c>
    </row>
    <row r="236" spans="1:13" x14ac:dyDescent="0.35">
      <c r="A236" s="24" t="s">
        <v>823</v>
      </c>
      <c r="B236" s="25" t="s">
        <v>3972</v>
      </c>
      <c r="C236" s="26" t="s">
        <v>27</v>
      </c>
      <c r="D236" s="26" t="s">
        <v>28</v>
      </c>
      <c r="E236" s="26" t="s">
        <v>18</v>
      </c>
      <c r="F236" s="26" t="s">
        <v>88</v>
      </c>
      <c r="G236" s="26" t="s">
        <v>3453</v>
      </c>
      <c r="H236" s="26" t="s">
        <v>3290</v>
      </c>
      <c r="I236" s="26">
        <v>2022</v>
      </c>
      <c r="J236" s="26" t="s">
        <v>2785</v>
      </c>
      <c r="K236" s="26">
        <v>93.3</v>
      </c>
      <c r="L236" s="26">
        <v>2022</v>
      </c>
      <c r="M236" s="31" t="s">
        <v>3186</v>
      </c>
    </row>
    <row r="237" spans="1:13" x14ac:dyDescent="0.35">
      <c r="A237" s="28" t="s">
        <v>827</v>
      </c>
      <c r="B237" s="29" t="s">
        <v>3973</v>
      </c>
      <c r="C237" s="30" t="s">
        <v>311</v>
      </c>
      <c r="D237" s="30" t="s">
        <v>149</v>
      </c>
      <c r="E237" s="30" t="s">
        <v>18</v>
      </c>
      <c r="F237" s="30" t="s">
        <v>19</v>
      </c>
      <c r="G237" s="30" t="s">
        <v>3510</v>
      </c>
      <c r="H237" s="30" t="s">
        <v>3511</v>
      </c>
      <c r="I237" s="30">
        <v>2022</v>
      </c>
      <c r="J237" s="30"/>
      <c r="K237" s="30"/>
      <c r="L237" s="30"/>
      <c r="M237" s="27" t="s">
        <v>3180</v>
      </c>
    </row>
    <row r="238" spans="1:13" x14ac:dyDescent="0.35">
      <c r="A238" s="24" t="s">
        <v>829</v>
      </c>
      <c r="B238" s="25" t="s">
        <v>3974</v>
      </c>
      <c r="C238" s="26" t="s">
        <v>311</v>
      </c>
      <c r="D238" s="26" t="s">
        <v>149</v>
      </c>
      <c r="E238" s="26" t="s">
        <v>18</v>
      </c>
      <c r="F238" s="26" t="s">
        <v>19</v>
      </c>
      <c r="G238" s="26" t="s">
        <v>3458</v>
      </c>
      <c r="H238" s="26" t="s">
        <v>3512</v>
      </c>
      <c r="I238" s="26">
        <v>2022</v>
      </c>
      <c r="J238" s="26" t="s">
        <v>1943</v>
      </c>
      <c r="K238" s="26">
        <v>100</v>
      </c>
      <c r="L238" s="26">
        <v>2022</v>
      </c>
      <c r="M238" s="31" t="s">
        <v>3186</v>
      </c>
    </row>
    <row r="239" spans="1:13" x14ac:dyDescent="0.35">
      <c r="A239" s="28" t="s">
        <v>831</v>
      </c>
      <c r="B239" s="29" t="s">
        <v>3864</v>
      </c>
      <c r="C239" s="30" t="s">
        <v>27</v>
      </c>
      <c r="D239" s="30" t="s">
        <v>28</v>
      </c>
      <c r="E239" s="30" t="s">
        <v>18</v>
      </c>
      <c r="F239" s="30" t="s">
        <v>88</v>
      </c>
      <c r="G239" s="30" t="s">
        <v>3510</v>
      </c>
      <c r="H239" s="30" t="s">
        <v>3511</v>
      </c>
      <c r="I239" s="30">
        <v>2022</v>
      </c>
      <c r="J239" s="30"/>
      <c r="K239" s="30"/>
      <c r="L239" s="30"/>
      <c r="M239" s="27" t="s">
        <v>3180</v>
      </c>
    </row>
    <row r="240" spans="1:13" x14ac:dyDescent="0.35">
      <c r="A240" s="24" t="s">
        <v>834</v>
      </c>
      <c r="B240" s="25" t="s">
        <v>3975</v>
      </c>
      <c r="C240" s="26" t="s">
        <v>573</v>
      </c>
      <c r="D240" s="26" t="s">
        <v>395</v>
      </c>
      <c r="E240" s="26" t="s">
        <v>41</v>
      </c>
      <c r="F240" s="26" t="s">
        <v>19</v>
      </c>
      <c r="G240" s="26" t="s">
        <v>3513</v>
      </c>
      <c r="H240" s="26" t="s">
        <v>3514</v>
      </c>
      <c r="I240" s="26">
        <v>2023</v>
      </c>
      <c r="J240" s="26"/>
      <c r="K240" s="26"/>
      <c r="L240" s="26"/>
      <c r="M240" s="27" t="s">
        <v>3180</v>
      </c>
    </row>
    <row r="241" spans="1:13" x14ac:dyDescent="0.35">
      <c r="A241" s="28" t="s">
        <v>837</v>
      </c>
      <c r="B241" s="29" t="s">
        <v>3976</v>
      </c>
      <c r="C241" s="30" t="s">
        <v>139</v>
      </c>
      <c r="D241" s="30" t="s">
        <v>93</v>
      </c>
      <c r="E241" s="30" t="s">
        <v>18</v>
      </c>
      <c r="F241" s="30" t="s">
        <v>88</v>
      </c>
      <c r="G241" s="30" t="s">
        <v>3515</v>
      </c>
      <c r="H241" s="30" t="s">
        <v>3228</v>
      </c>
      <c r="I241" s="30">
        <v>2022</v>
      </c>
      <c r="J241" s="30" t="s">
        <v>2912</v>
      </c>
      <c r="K241" s="30">
        <v>100</v>
      </c>
      <c r="L241" s="30">
        <v>2022</v>
      </c>
      <c r="M241" s="31" t="s">
        <v>3186</v>
      </c>
    </row>
    <row r="242" spans="1:13" x14ac:dyDescent="0.35">
      <c r="A242" s="24" t="s">
        <v>841</v>
      </c>
      <c r="B242" s="25" t="s">
        <v>3977</v>
      </c>
      <c r="C242" s="26" t="s">
        <v>154</v>
      </c>
      <c r="D242" s="26" t="s">
        <v>93</v>
      </c>
      <c r="E242" s="26" t="s">
        <v>18</v>
      </c>
      <c r="F242" s="26" t="s">
        <v>88</v>
      </c>
      <c r="G242" s="26" t="s">
        <v>3516</v>
      </c>
      <c r="H242" s="26" t="s">
        <v>3517</v>
      </c>
      <c r="I242" s="26">
        <v>2022</v>
      </c>
      <c r="J242" s="26"/>
      <c r="K242" s="26"/>
      <c r="L242" s="26"/>
      <c r="M242" s="27" t="s">
        <v>3180</v>
      </c>
    </row>
    <row r="243" spans="1:13" x14ac:dyDescent="0.35">
      <c r="A243" s="28" t="s">
        <v>844</v>
      </c>
      <c r="B243" s="29" t="s">
        <v>845</v>
      </c>
      <c r="C243" s="30" t="s">
        <v>27</v>
      </c>
      <c r="D243" s="30" t="s">
        <v>118</v>
      </c>
      <c r="E243" s="30" t="s">
        <v>18</v>
      </c>
      <c r="F243" s="30" t="s">
        <v>19</v>
      </c>
      <c r="G243" s="30" t="s">
        <v>3497</v>
      </c>
      <c r="H243" s="30" t="s">
        <v>3498</v>
      </c>
      <c r="I243" s="30">
        <v>2022</v>
      </c>
      <c r="J243" s="30"/>
      <c r="K243" s="30"/>
      <c r="L243" s="30"/>
      <c r="M243" s="27" t="s">
        <v>3180</v>
      </c>
    </row>
    <row r="244" spans="1:13" x14ac:dyDescent="0.35">
      <c r="A244" s="24" t="s">
        <v>847</v>
      </c>
      <c r="B244" s="25" t="s">
        <v>3978</v>
      </c>
      <c r="C244" s="26" t="s">
        <v>154</v>
      </c>
      <c r="D244" s="26" t="s">
        <v>93</v>
      </c>
      <c r="E244" s="26" t="s">
        <v>18</v>
      </c>
      <c r="F244" s="26" t="s">
        <v>88</v>
      </c>
      <c r="G244" s="26" t="s">
        <v>3518</v>
      </c>
      <c r="H244" s="26" t="s">
        <v>3519</v>
      </c>
      <c r="I244" s="26">
        <v>2024</v>
      </c>
      <c r="J244" s="26" t="s">
        <v>2595</v>
      </c>
      <c r="K244" s="26">
        <v>100</v>
      </c>
      <c r="L244" s="26">
        <v>2022</v>
      </c>
      <c r="M244" s="31" t="s">
        <v>3186</v>
      </c>
    </row>
    <row r="245" spans="1:13" x14ac:dyDescent="0.35">
      <c r="A245" s="28" t="s">
        <v>850</v>
      </c>
      <c r="B245" s="29" t="s">
        <v>3979</v>
      </c>
      <c r="C245" s="30" t="s">
        <v>573</v>
      </c>
      <c r="D245" s="30" t="s">
        <v>395</v>
      </c>
      <c r="E245" s="30" t="s">
        <v>18</v>
      </c>
      <c r="F245" s="30" t="s">
        <v>853</v>
      </c>
      <c r="G245" s="30" t="s">
        <v>3520</v>
      </c>
      <c r="H245" s="30" t="s">
        <v>3521</v>
      </c>
      <c r="I245" s="30">
        <v>2022</v>
      </c>
      <c r="J245" s="30"/>
      <c r="K245" s="30"/>
      <c r="L245" s="30"/>
      <c r="M245" s="27" t="s">
        <v>3180</v>
      </c>
    </row>
    <row r="246" spans="1:13" x14ac:dyDescent="0.35">
      <c r="A246" s="24" t="s">
        <v>855</v>
      </c>
      <c r="B246" s="25" t="s">
        <v>3980</v>
      </c>
      <c r="C246" s="26" t="s">
        <v>311</v>
      </c>
      <c r="D246" s="26" t="s">
        <v>149</v>
      </c>
      <c r="E246" s="26" t="s">
        <v>18</v>
      </c>
      <c r="F246" s="26" t="s">
        <v>19</v>
      </c>
      <c r="G246" s="26" t="s">
        <v>3522</v>
      </c>
      <c r="H246" s="26" t="s">
        <v>3523</v>
      </c>
      <c r="I246" s="26">
        <v>2022</v>
      </c>
      <c r="J246" s="26"/>
      <c r="K246" s="26"/>
      <c r="L246" s="26"/>
      <c r="M246" s="27" t="s">
        <v>3180</v>
      </c>
    </row>
    <row r="247" spans="1:13" x14ac:dyDescent="0.35">
      <c r="A247" s="28" t="s">
        <v>857</v>
      </c>
      <c r="B247" s="29" t="s">
        <v>3981</v>
      </c>
      <c r="C247" s="30" t="s">
        <v>311</v>
      </c>
      <c r="D247" s="30" t="s">
        <v>149</v>
      </c>
      <c r="E247" s="30" t="s">
        <v>18</v>
      </c>
      <c r="F247" s="30" t="s">
        <v>19</v>
      </c>
      <c r="G247" s="30" t="s">
        <v>3524</v>
      </c>
      <c r="H247" s="30" t="s">
        <v>3525</v>
      </c>
      <c r="I247" s="30">
        <v>2022</v>
      </c>
      <c r="J247" s="30" t="s">
        <v>2240</v>
      </c>
      <c r="K247" s="30">
        <v>92.5</v>
      </c>
      <c r="L247" s="30">
        <v>2022</v>
      </c>
      <c r="M247" s="31" t="s">
        <v>3186</v>
      </c>
    </row>
    <row r="248" spans="1:13" x14ac:dyDescent="0.35">
      <c r="A248" s="24" t="s">
        <v>859</v>
      </c>
      <c r="B248" s="25" t="s">
        <v>3878</v>
      </c>
      <c r="C248" s="26" t="s">
        <v>27</v>
      </c>
      <c r="D248" s="26" t="s">
        <v>28</v>
      </c>
      <c r="E248" s="26" t="s">
        <v>18</v>
      </c>
      <c r="F248" s="26" t="s">
        <v>177</v>
      </c>
      <c r="G248" s="26" t="s">
        <v>3526</v>
      </c>
      <c r="H248" s="26" t="s">
        <v>3527</v>
      </c>
      <c r="I248" s="26">
        <v>2022</v>
      </c>
      <c r="J248" s="26" t="s">
        <v>2027</v>
      </c>
      <c r="K248" s="26">
        <v>93.8</v>
      </c>
      <c r="L248" s="26">
        <v>2023</v>
      </c>
      <c r="M248" s="31" t="s">
        <v>3186</v>
      </c>
    </row>
    <row r="249" spans="1:13" x14ac:dyDescent="0.35">
      <c r="A249" s="28" t="s">
        <v>862</v>
      </c>
      <c r="B249" s="29" t="s">
        <v>3982</v>
      </c>
      <c r="C249" s="30" t="s">
        <v>311</v>
      </c>
      <c r="D249" s="30" t="s">
        <v>149</v>
      </c>
      <c r="E249" s="30" t="s">
        <v>18</v>
      </c>
      <c r="F249" s="30" t="s">
        <v>19</v>
      </c>
      <c r="G249" s="30" t="s">
        <v>3528</v>
      </c>
      <c r="H249" s="30" t="s">
        <v>3529</v>
      </c>
      <c r="I249" s="30">
        <v>2022</v>
      </c>
      <c r="J249" s="30"/>
      <c r="K249" s="30"/>
      <c r="L249" s="30"/>
      <c r="M249" s="27" t="s">
        <v>3180</v>
      </c>
    </row>
    <row r="250" spans="1:13" x14ac:dyDescent="0.35">
      <c r="A250" s="24" t="s">
        <v>864</v>
      </c>
      <c r="B250" s="25" t="s">
        <v>3976</v>
      </c>
      <c r="C250" s="26" t="s">
        <v>154</v>
      </c>
      <c r="D250" s="26" t="s">
        <v>93</v>
      </c>
      <c r="E250" s="26" t="s">
        <v>18</v>
      </c>
      <c r="F250" s="26" t="s">
        <v>88</v>
      </c>
      <c r="G250" s="26" t="s">
        <v>3430</v>
      </c>
      <c r="H250" s="26" t="s">
        <v>3530</v>
      </c>
      <c r="I250" s="26">
        <v>2022</v>
      </c>
      <c r="J250" s="26" t="s">
        <v>2912</v>
      </c>
      <c r="K250" s="26">
        <v>100</v>
      </c>
      <c r="L250" s="26">
        <v>2022</v>
      </c>
      <c r="M250" s="31" t="s">
        <v>3186</v>
      </c>
    </row>
    <row r="251" spans="1:13" x14ac:dyDescent="0.35">
      <c r="A251" s="28" t="s">
        <v>867</v>
      </c>
      <c r="B251" s="29" t="s">
        <v>3976</v>
      </c>
      <c r="C251" s="30" t="s">
        <v>154</v>
      </c>
      <c r="D251" s="30" t="s">
        <v>93</v>
      </c>
      <c r="E251" s="30" t="s">
        <v>18</v>
      </c>
      <c r="F251" s="30" t="s">
        <v>88</v>
      </c>
      <c r="G251" s="30" t="s">
        <v>3430</v>
      </c>
      <c r="H251" s="30" t="s">
        <v>3530</v>
      </c>
      <c r="I251" s="30">
        <v>2022</v>
      </c>
      <c r="J251" s="30" t="s">
        <v>2912</v>
      </c>
      <c r="K251" s="30">
        <v>100</v>
      </c>
      <c r="L251" s="30">
        <v>2022</v>
      </c>
      <c r="M251" s="31" t="s">
        <v>3186</v>
      </c>
    </row>
    <row r="252" spans="1:13" x14ac:dyDescent="0.35">
      <c r="A252" s="24" t="s">
        <v>870</v>
      </c>
      <c r="B252" s="25" t="s">
        <v>3983</v>
      </c>
      <c r="C252" s="26" t="s">
        <v>311</v>
      </c>
      <c r="D252" s="26" t="s">
        <v>149</v>
      </c>
      <c r="E252" s="26" t="s">
        <v>18</v>
      </c>
      <c r="F252" s="26" t="s">
        <v>19</v>
      </c>
      <c r="G252" s="26" t="s">
        <v>3515</v>
      </c>
      <c r="H252" s="26" t="s">
        <v>3531</v>
      </c>
      <c r="I252" s="26">
        <v>2022</v>
      </c>
      <c r="J252" s="26" t="s">
        <v>2944</v>
      </c>
      <c r="K252" s="26">
        <v>100</v>
      </c>
      <c r="L252" s="26">
        <v>2022</v>
      </c>
      <c r="M252" s="31" t="s">
        <v>3186</v>
      </c>
    </row>
    <row r="253" spans="1:13" x14ac:dyDescent="0.35">
      <c r="A253" s="28" t="s">
        <v>872</v>
      </c>
      <c r="B253" s="29" t="s">
        <v>3932</v>
      </c>
      <c r="C253" s="30" t="s">
        <v>154</v>
      </c>
      <c r="D253" s="30" t="s">
        <v>93</v>
      </c>
      <c r="E253" s="30" t="s">
        <v>18</v>
      </c>
      <c r="F253" s="30" t="s">
        <v>88</v>
      </c>
      <c r="G253" s="30" t="s">
        <v>3532</v>
      </c>
      <c r="H253" s="30" t="s">
        <v>3533</v>
      </c>
      <c r="I253" s="30">
        <v>2022</v>
      </c>
      <c r="J253" s="30"/>
      <c r="K253" s="30"/>
      <c r="L253" s="30"/>
      <c r="M253" s="27" t="s">
        <v>3180</v>
      </c>
    </row>
    <row r="254" spans="1:13" x14ac:dyDescent="0.35">
      <c r="A254" s="24" t="s">
        <v>874</v>
      </c>
      <c r="B254" s="25" t="s">
        <v>3932</v>
      </c>
      <c r="C254" s="26" t="s">
        <v>154</v>
      </c>
      <c r="D254" s="26" t="s">
        <v>93</v>
      </c>
      <c r="E254" s="26" t="s">
        <v>18</v>
      </c>
      <c r="F254" s="26" t="s">
        <v>88</v>
      </c>
      <c r="G254" s="26" t="s">
        <v>3520</v>
      </c>
      <c r="H254" s="26" t="s">
        <v>3534</v>
      </c>
      <c r="I254" s="26">
        <v>2022</v>
      </c>
      <c r="J254" s="26"/>
      <c r="K254" s="26"/>
      <c r="L254" s="26"/>
      <c r="M254" s="27" t="s">
        <v>3180</v>
      </c>
    </row>
    <row r="255" spans="1:13" x14ac:dyDescent="0.35">
      <c r="A255" s="28" t="s">
        <v>876</v>
      </c>
      <c r="B255" s="29" t="s">
        <v>3984</v>
      </c>
      <c r="C255" s="30" t="s">
        <v>27</v>
      </c>
      <c r="D255" s="30" t="s">
        <v>28</v>
      </c>
      <c r="E255" s="30" t="s">
        <v>18</v>
      </c>
      <c r="F255" s="30" t="s">
        <v>177</v>
      </c>
      <c r="G255" s="30" t="s">
        <v>3428</v>
      </c>
      <c r="H255" s="30" t="s">
        <v>3429</v>
      </c>
      <c r="I255" s="30">
        <v>2021</v>
      </c>
      <c r="J255" s="30"/>
      <c r="K255" s="30"/>
      <c r="L255" s="30"/>
      <c r="M255" s="27" t="s">
        <v>3180</v>
      </c>
    </row>
    <row r="256" spans="1:13" x14ac:dyDescent="0.35">
      <c r="A256" s="24" t="s">
        <v>880</v>
      </c>
      <c r="B256" s="25" t="s">
        <v>3831</v>
      </c>
      <c r="C256" s="26" t="s">
        <v>27</v>
      </c>
      <c r="D256" s="26" t="s">
        <v>60</v>
      </c>
      <c r="E256" s="26" t="s">
        <v>18</v>
      </c>
      <c r="F256" s="26" t="s">
        <v>19</v>
      </c>
      <c r="G256" s="26" t="s">
        <v>3405</v>
      </c>
      <c r="H256" s="26" t="s">
        <v>3535</v>
      </c>
      <c r="I256" s="26">
        <v>2021</v>
      </c>
      <c r="J256" s="26"/>
      <c r="K256" s="26"/>
      <c r="L256" s="26"/>
      <c r="M256" s="27" t="s">
        <v>3180</v>
      </c>
    </row>
    <row r="257" spans="1:13" x14ac:dyDescent="0.35">
      <c r="A257" s="28" t="s">
        <v>882</v>
      </c>
      <c r="B257" s="29" t="s">
        <v>3985</v>
      </c>
      <c r="C257" s="30" t="s">
        <v>311</v>
      </c>
      <c r="D257" s="30" t="s">
        <v>149</v>
      </c>
      <c r="E257" s="30" t="s">
        <v>18</v>
      </c>
      <c r="F257" s="30" t="s">
        <v>19</v>
      </c>
      <c r="G257" s="30" t="s">
        <v>3508</v>
      </c>
      <c r="H257" s="30" t="s">
        <v>3509</v>
      </c>
      <c r="I257" s="30">
        <v>2022</v>
      </c>
      <c r="J257" s="30"/>
      <c r="K257" s="30"/>
      <c r="L257" s="30"/>
      <c r="M257" s="27" t="s">
        <v>3180</v>
      </c>
    </row>
    <row r="258" spans="1:13" x14ac:dyDescent="0.35">
      <c r="A258" s="24" t="s">
        <v>884</v>
      </c>
      <c r="B258" s="25" t="s">
        <v>3986</v>
      </c>
      <c r="C258" s="26" t="s">
        <v>27</v>
      </c>
      <c r="D258" s="26" t="s">
        <v>28</v>
      </c>
      <c r="E258" s="26" t="s">
        <v>18</v>
      </c>
      <c r="F258" s="26" t="s">
        <v>88</v>
      </c>
      <c r="G258" s="26" t="s">
        <v>3536</v>
      </c>
      <c r="H258" s="26" t="s">
        <v>3537</v>
      </c>
      <c r="I258" s="26">
        <v>2022</v>
      </c>
      <c r="J258" s="26"/>
      <c r="K258" s="26"/>
      <c r="L258" s="26"/>
      <c r="M258" s="27" t="s">
        <v>3180</v>
      </c>
    </row>
    <row r="259" spans="1:13" x14ac:dyDescent="0.35">
      <c r="A259" s="28" t="s">
        <v>887</v>
      </c>
      <c r="B259" s="29" t="s">
        <v>3987</v>
      </c>
      <c r="C259" s="30" t="s">
        <v>139</v>
      </c>
      <c r="D259" s="30" t="s">
        <v>890</v>
      </c>
      <c r="E259" s="30" t="s">
        <v>18</v>
      </c>
      <c r="F259" s="30" t="s">
        <v>177</v>
      </c>
      <c r="G259" s="30" t="s">
        <v>3510</v>
      </c>
      <c r="H259" s="30" t="s">
        <v>3535</v>
      </c>
      <c r="I259" s="30">
        <v>2022</v>
      </c>
      <c r="J259" s="30" t="s">
        <v>2003</v>
      </c>
      <c r="K259" s="30">
        <v>100</v>
      </c>
      <c r="L259" s="30">
        <v>2022</v>
      </c>
      <c r="M259" s="31" t="s">
        <v>3186</v>
      </c>
    </row>
    <row r="260" spans="1:13" x14ac:dyDescent="0.35">
      <c r="A260" s="24" t="s">
        <v>892</v>
      </c>
      <c r="B260" s="25" t="s">
        <v>3988</v>
      </c>
      <c r="C260" s="26" t="s">
        <v>139</v>
      </c>
      <c r="D260" s="26" t="s">
        <v>93</v>
      </c>
      <c r="E260" s="26" t="s">
        <v>18</v>
      </c>
      <c r="F260" s="26" t="s">
        <v>88</v>
      </c>
      <c r="G260" s="26" t="s">
        <v>3230</v>
      </c>
      <c r="H260" s="26" t="s">
        <v>3538</v>
      </c>
      <c r="I260" s="26">
        <v>2019</v>
      </c>
      <c r="J260" s="26"/>
      <c r="K260" s="26"/>
      <c r="L260" s="26"/>
      <c r="M260" s="27" t="s">
        <v>3180</v>
      </c>
    </row>
    <row r="261" spans="1:13" x14ac:dyDescent="0.35">
      <c r="A261" s="28" t="s">
        <v>896</v>
      </c>
      <c r="B261" s="29" t="s">
        <v>3989</v>
      </c>
      <c r="C261" s="30" t="s">
        <v>311</v>
      </c>
      <c r="D261" s="30" t="s">
        <v>149</v>
      </c>
      <c r="E261" s="30" t="s">
        <v>18</v>
      </c>
      <c r="F261" s="30" t="s">
        <v>19</v>
      </c>
      <c r="G261" s="30" t="s">
        <v>3539</v>
      </c>
      <c r="H261" s="30" t="s">
        <v>3339</v>
      </c>
      <c r="I261" s="30">
        <v>2023</v>
      </c>
      <c r="J261" s="30"/>
      <c r="K261" s="30"/>
      <c r="L261" s="30"/>
      <c r="M261" s="27" t="s">
        <v>3180</v>
      </c>
    </row>
    <row r="262" spans="1:13" x14ac:dyDescent="0.35">
      <c r="A262" s="24" t="s">
        <v>898</v>
      </c>
      <c r="B262" s="25" t="s">
        <v>3990</v>
      </c>
      <c r="C262" s="26" t="s">
        <v>27</v>
      </c>
      <c r="D262" s="26" t="s">
        <v>28</v>
      </c>
      <c r="E262" s="26" t="s">
        <v>18</v>
      </c>
      <c r="F262" s="26" t="s">
        <v>88</v>
      </c>
      <c r="G262" s="26" t="s">
        <v>3453</v>
      </c>
      <c r="H262" s="26" t="s">
        <v>3290</v>
      </c>
      <c r="I262" s="26">
        <v>2022</v>
      </c>
      <c r="J262" s="26"/>
      <c r="K262" s="26"/>
      <c r="L262" s="26"/>
      <c r="M262" s="27" t="s">
        <v>3180</v>
      </c>
    </row>
    <row r="263" spans="1:13" x14ac:dyDescent="0.35">
      <c r="A263" s="28" t="s">
        <v>901</v>
      </c>
      <c r="B263" s="29" t="s">
        <v>902</v>
      </c>
      <c r="C263" s="30" t="s">
        <v>311</v>
      </c>
      <c r="D263" s="30" t="s">
        <v>149</v>
      </c>
      <c r="E263" s="30" t="s">
        <v>18</v>
      </c>
      <c r="F263" s="30" t="s">
        <v>19</v>
      </c>
      <c r="G263" s="30" t="s">
        <v>3515</v>
      </c>
      <c r="H263" s="30" t="s">
        <v>3531</v>
      </c>
      <c r="I263" s="30">
        <v>2022</v>
      </c>
      <c r="J263" s="30" t="s">
        <v>902</v>
      </c>
      <c r="K263" s="30">
        <v>100</v>
      </c>
      <c r="L263" s="30">
        <v>2022</v>
      </c>
      <c r="M263" s="31" t="s">
        <v>3186</v>
      </c>
    </row>
    <row r="264" spans="1:13" x14ac:dyDescent="0.35">
      <c r="A264" s="24" t="s">
        <v>903</v>
      </c>
      <c r="B264" s="25" t="s">
        <v>3932</v>
      </c>
      <c r="C264" s="26" t="s">
        <v>154</v>
      </c>
      <c r="D264" s="26" t="s">
        <v>93</v>
      </c>
      <c r="E264" s="26" t="s">
        <v>18</v>
      </c>
      <c r="F264" s="26" t="s">
        <v>88</v>
      </c>
      <c r="G264" s="26" t="s">
        <v>3520</v>
      </c>
      <c r="H264" s="26" t="s">
        <v>3534</v>
      </c>
      <c r="I264" s="26">
        <v>2022</v>
      </c>
      <c r="J264" s="26"/>
      <c r="K264" s="26"/>
      <c r="L264" s="26"/>
      <c r="M264" s="27" t="s">
        <v>3180</v>
      </c>
    </row>
    <row r="265" spans="1:13" x14ac:dyDescent="0.35">
      <c r="A265" s="28" t="s">
        <v>904</v>
      </c>
      <c r="B265" s="29" t="s">
        <v>3991</v>
      </c>
      <c r="C265" s="30" t="s">
        <v>311</v>
      </c>
      <c r="D265" s="30" t="s">
        <v>149</v>
      </c>
      <c r="E265" s="30" t="s">
        <v>18</v>
      </c>
      <c r="F265" s="30" t="s">
        <v>19</v>
      </c>
      <c r="G265" s="30" t="s">
        <v>3540</v>
      </c>
      <c r="H265" s="30" t="s">
        <v>3541</v>
      </c>
      <c r="I265" s="30">
        <v>2022</v>
      </c>
      <c r="J265" s="30"/>
      <c r="K265" s="30"/>
      <c r="L265" s="30"/>
      <c r="M265" s="27" t="s">
        <v>3180</v>
      </c>
    </row>
    <row r="266" spans="1:13" x14ac:dyDescent="0.35">
      <c r="A266" s="24" t="s">
        <v>906</v>
      </c>
      <c r="B266" s="25" t="s">
        <v>3958</v>
      </c>
      <c r="C266" s="26" t="s">
        <v>311</v>
      </c>
      <c r="D266" s="26" t="s">
        <v>149</v>
      </c>
      <c r="E266" s="26" t="s">
        <v>18</v>
      </c>
      <c r="F266" s="26" t="s">
        <v>19</v>
      </c>
      <c r="G266" s="26" t="s">
        <v>3542</v>
      </c>
      <c r="H266" s="26" t="s">
        <v>3543</v>
      </c>
      <c r="I266" s="26">
        <v>2022</v>
      </c>
      <c r="J266" s="26"/>
      <c r="K266" s="26"/>
      <c r="L266" s="26"/>
      <c r="M266" s="27" t="s">
        <v>3180</v>
      </c>
    </row>
    <row r="267" spans="1:13" x14ac:dyDescent="0.35">
      <c r="A267" s="28" t="s">
        <v>907</v>
      </c>
      <c r="B267" s="29" t="s">
        <v>3992</v>
      </c>
      <c r="C267" s="30" t="s">
        <v>311</v>
      </c>
      <c r="D267" s="30" t="s">
        <v>149</v>
      </c>
      <c r="E267" s="30" t="s">
        <v>18</v>
      </c>
      <c r="F267" s="30" t="s">
        <v>19</v>
      </c>
      <c r="G267" s="30" t="s">
        <v>3544</v>
      </c>
      <c r="H267" s="30" t="s">
        <v>3545</v>
      </c>
      <c r="I267" s="30">
        <v>2023</v>
      </c>
      <c r="J267" s="30"/>
      <c r="K267" s="30"/>
      <c r="L267" s="30"/>
      <c r="M267" s="27" t="s">
        <v>3180</v>
      </c>
    </row>
    <row r="268" spans="1:13" x14ac:dyDescent="0.35">
      <c r="A268" s="24" t="s">
        <v>909</v>
      </c>
      <c r="B268" s="25" t="s">
        <v>3993</v>
      </c>
      <c r="C268" s="26" t="s">
        <v>311</v>
      </c>
      <c r="D268" s="26" t="s">
        <v>149</v>
      </c>
      <c r="E268" s="26" t="s">
        <v>18</v>
      </c>
      <c r="F268" s="26" t="s">
        <v>19</v>
      </c>
      <c r="G268" s="26" t="s">
        <v>3540</v>
      </c>
      <c r="H268" s="26" t="s">
        <v>3541</v>
      </c>
      <c r="I268" s="26">
        <v>2022</v>
      </c>
      <c r="J268" s="26"/>
      <c r="K268" s="26"/>
      <c r="L268" s="26"/>
      <c r="M268" s="27" t="s">
        <v>3180</v>
      </c>
    </row>
    <row r="269" spans="1:13" x14ac:dyDescent="0.35">
      <c r="A269" s="28" t="s">
        <v>911</v>
      </c>
      <c r="B269" s="29" t="s">
        <v>3994</v>
      </c>
      <c r="C269" s="30" t="s">
        <v>154</v>
      </c>
      <c r="D269" s="30" t="s">
        <v>93</v>
      </c>
      <c r="E269" s="30" t="s">
        <v>18</v>
      </c>
      <c r="F269" s="30" t="s">
        <v>88</v>
      </c>
      <c r="G269" s="30" t="s">
        <v>3546</v>
      </c>
      <c r="H269" s="30" t="s">
        <v>3547</v>
      </c>
      <c r="I269" s="30">
        <v>2023</v>
      </c>
      <c r="J269" s="30" t="s">
        <v>3111</v>
      </c>
      <c r="K269" s="30">
        <v>100</v>
      </c>
      <c r="L269" s="30">
        <v>2022</v>
      </c>
      <c r="M269" s="31" t="s">
        <v>3186</v>
      </c>
    </row>
    <row r="270" spans="1:13" x14ac:dyDescent="0.35">
      <c r="A270" s="24" t="s">
        <v>915</v>
      </c>
      <c r="B270" s="25" t="s">
        <v>3994</v>
      </c>
      <c r="C270" s="26" t="s">
        <v>154</v>
      </c>
      <c r="D270" s="26" t="s">
        <v>93</v>
      </c>
      <c r="E270" s="26" t="s">
        <v>18</v>
      </c>
      <c r="F270" s="26" t="s">
        <v>88</v>
      </c>
      <c r="G270" s="26" t="s">
        <v>3548</v>
      </c>
      <c r="H270" s="26" t="s">
        <v>3549</v>
      </c>
      <c r="I270" s="26">
        <v>2023</v>
      </c>
      <c r="J270" s="26" t="s">
        <v>3111</v>
      </c>
      <c r="K270" s="26">
        <v>100</v>
      </c>
      <c r="L270" s="26">
        <v>2022</v>
      </c>
      <c r="M270" s="31" t="s">
        <v>3186</v>
      </c>
    </row>
    <row r="271" spans="1:13" x14ac:dyDescent="0.35">
      <c r="A271" s="28" t="s">
        <v>918</v>
      </c>
      <c r="B271" s="29" t="s">
        <v>3918</v>
      </c>
      <c r="C271" s="30" t="s">
        <v>139</v>
      </c>
      <c r="D271" s="30" t="s">
        <v>93</v>
      </c>
      <c r="E271" s="30" t="s">
        <v>18</v>
      </c>
      <c r="F271" s="30" t="s">
        <v>88</v>
      </c>
      <c r="G271" s="30" t="s">
        <v>3550</v>
      </c>
      <c r="H271" s="30" t="s">
        <v>3551</v>
      </c>
      <c r="I271" s="30">
        <v>2023</v>
      </c>
      <c r="J271" s="30"/>
      <c r="K271" s="30"/>
      <c r="L271" s="30"/>
      <c r="M271" s="27" t="s">
        <v>3180</v>
      </c>
    </row>
    <row r="272" spans="1:13" x14ac:dyDescent="0.35">
      <c r="A272" s="24" t="s">
        <v>920</v>
      </c>
      <c r="B272" s="25" t="s">
        <v>3995</v>
      </c>
      <c r="C272" s="26" t="s">
        <v>148</v>
      </c>
      <c r="D272" s="26" t="s">
        <v>93</v>
      </c>
      <c r="E272" s="26" t="s">
        <v>18</v>
      </c>
      <c r="F272" s="26" t="s">
        <v>88</v>
      </c>
      <c r="G272" s="26" t="s">
        <v>3552</v>
      </c>
      <c r="H272" s="26" t="s">
        <v>3553</v>
      </c>
      <c r="I272" s="26">
        <v>2022</v>
      </c>
      <c r="J272" s="26"/>
      <c r="K272" s="26"/>
      <c r="L272" s="26"/>
      <c r="M272" s="27" t="s">
        <v>3180</v>
      </c>
    </row>
    <row r="273" spans="1:13" x14ac:dyDescent="0.35">
      <c r="A273" s="28" t="s">
        <v>923</v>
      </c>
      <c r="B273" s="29" t="s">
        <v>3996</v>
      </c>
      <c r="C273" s="30" t="s">
        <v>154</v>
      </c>
      <c r="D273" s="30" t="s">
        <v>93</v>
      </c>
      <c r="E273" s="30" t="s">
        <v>18</v>
      </c>
      <c r="F273" s="30" t="s">
        <v>88</v>
      </c>
      <c r="G273" s="30" t="s">
        <v>3501</v>
      </c>
      <c r="H273" s="30" t="s">
        <v>3554</v>
      </c>
      <c r="I273" s="30">
        <v>2023</v>
      </c>
      <c r="J273" s="30" t="s">
        <v>2472</v>
      </c>
      <c r="K273" s="30">
        <v>91.4</v>
      </c>
      <c r="L273" s="30">
        <v>2022</v>
      </c>
      <c r="M273" s="31" t="s">
        <v>3186</v>
      </c>
    </row>
    <row r="274" spans="1:13" x14ac:dyDescent="0.35">
      <c r="A274" s="24" t="s">
        <v>926</v>
      </c>
      <c r="B274" s="25" t="s">
        <v>3947</v>
      </c>
      <c r="C274" s="26" t="s">
        <v>27</v>
      </c>
      <c r="D274" s="26" t="s">
        <v>28</v>
      </c>
      <c r="E274" s="26" t="s">
        <v>18</v>
      </c>
      <c r="F274" s="26" t="s">
        <v>88</v>
      </c>
      <c r="G274" s="26" t="s">
        <v>3516</v>
      </c>
      <c r="H274" s="26" t="s">
        <v>3555</v>
      </c>
      <c r="I274" s="26">
        <v>2022</v>
      </c>
      <c r="J274" s="26" t="s">
        <v>902</v>
      </c>
      <c r="K274" s="26">
        <v>100</v>
      </c>
      <c r="L274" s="26">
        <v>2022</v>
      </c>
      <c r="M274" s="31" t="s">
        <v>3186</v>
      </c>
    </row>
    <row r="275" spans="1:13" x14ac:dyDescent="0.35">
      <c r="A275" s="28" t="s">
        <v>929</v>
      </c>
      <c r="B275" s="29" t="s">
        <v>3997</v>
      </c>
      <c r="C275" s="30" t="s">
        <v>311</v>
      </c>
      <c r="D275" s="30" t="s">
        <v>395</v>
      </c>
      <c r="E275" s="30" t="s">
        <v>18</v>
      </c>
      <c r="F275" s="30" t="s">
        <v>19</v>
      </c>
      <c r="G275" s="30" t="s">
        <v>3556</v>
      </c>
      <c r="H275" s="30" t="s">
        <v>3521</v>
      </c>
      <c r="I275" s="30">
        <v>2019</v>
      </c>
      <c r="J275" s="30"/>
      <c r="K275" s="30"/>
      <c r="L275" s="30"/>
      <c r="M275" s="27" t="s">
        <v>3180</v>
      </c>
    </row>
    <row r="276" spans="1:13" x14ac:dyDescent="0.35">
      <c r="A276" s="24" t="s">
        <v>931</v>
      </c>
      <c r="B276" s="25" t="s">
        <v>3926</v>
      </c>
      <c r="C276" s="26" t="s">
        <v>27</v>
      </c>
      <c r="D276" s="26" t="s">
        <v>28</v>
      </c>
      <c r="E276" s="26" t="s">
        <v>18</v>
      </c>
      <c r="F276" s="26" t="s">
        <v>19</v>
      </c>
      <c r="G276" s="26" t="s">
        <v>3430</v>
      </c>
      <c r="H276" s="26" t="s">
        <v>3431</v>
      </c>
      <c r="I276" s="26">
        <v>2022</v>
      </c>
      <c r="J276" s="26"/>
      <c r="K276" s="26"/>
      <c r="L276" s="26"/>
      <c r="M276" s="27" t="s">
        <v>3180</v>
      </c>
    </row>
    <row r="277" spans="1:13" x14ac:dyDescent="0.35">
      <c r="A277" s="28" t="s">
        <v>933</v>
      </c>
      <c r="B277" s="29" t="s">
        <v>3885</v>
      </c>
      <c r="C277" s="30" t="s">
        <v>148</v>
      </c>
      <c r="D277" s="30" t="s">
        <v>712</v>
      </c>
      <c r="E277" s="30" t="s">
        <v>18</v>
      </c>
      <c r="F277" s="30" t="s">
        <v>88</v>
      </c>
      <c r="G277" s="30" t="s">
        <v>3557</v>
      </c>
      <c r="H277" s="30" t="s">
        <v>3558</v>
      </c>
      <c r="I277" s="30">
        <v>2022</v>
      </c>
      <c r="J277" s="30" t="s">
        <v>2719</v>
      </c>
      <c r="K277" s="30">
        <v>95.5</v>
      </c>
      <c r="L277" s="30">
        <v>2021</v>
      </c>
      <c r="M277" s="31" t="s">
        <v>3186</v>
      </c>
    </row>
    <row r="278" spans="1:13" x14ac:dyDescent="0.35">
      <c r="A278" s="24" t="s">
        <v>936</v>
      </c>
      <c r="B278" s="25" t="s">
        <v>3998</v>
      </c>
      <c r="C278" s="26" t="s">
        <v>148</v>
      </c>
      <c r="D278" s="26" t="s">
        <v>113</v>
      </c>
      <c r="E278" s="26" t="s">
        <v>18</v>
      </c>
      <c r="F278" s="26" t="s">
        <v>939</v>
      </c>
      <c r="G278" s="26" t="s">
        <v>3559</v>
      </c>
      <c r="H278" s="26" t="s">
        <v>3560</v>
      </c>
      <c r="I278" s="26">
        <v>2023</v>
      </c>
      <c r="J278" s="26"/>
      <c r="K278" s="26"/>
      <c r="L278" s="26"/>
      <c r="M278" s="27" t="s">
        <v>3180</v>
      </c>
    </row>
    <row r="279" spans="1:13" x14ac:dyDescent="0.35">
      <c r="A279" s="28" t="s">
        <v>941</v>
      </c>
      <c r="B279" s="29" t="s">
        <v>3999</v>
      </c>
      <c r="C279" s="30" t="s">
        <v>139</v>
      </c>
      <c r="D279" s="30" t="s">
        <v>712</v>
      </c>
      <c r="E279" s="30" t="s">
        <v>18</v>
      </c>
      <c r="F279" s="30" t="s">
        <v>88</v>
      </c>
      <c r="G279" s="30" t="s">
        <v>3561</v>
      </c>
      <c r="H279" s="30" t="s">
        <v>3519</v>
      </c>
      <c r="I279" s="30">
        <v>2023</v>
      </c>
      <c r="J279" s="30" t="s">
        <v>2919</v>
      </c>
      <c r="K279" s="30">
        <v>98</v>
      </c>
      <c r="L279" s="30">
        <v>2022</v>
      </c>
      <c r="M279" s="31" t="s">
        <v>3186</v>
      </c>
    </row>
    <row r="280" spans="1:13" x14ac:dyDescent="0.35">
      <c r="A280" s="24" t="s">
        <v>945</v>
      </c>
      <c r="B280" s="25" t="s">
        <v>3999</v>
      </c>
      <c r="C280" s="26" t="s">
        <v>139</v>
      </c>
      <c r="D280" s="26" t="s">
        <v>712</v>
      </c>
      <c r="E280" s="26" t="s">
        <v>18</v>
      </c>
      <c r="F280" s="26" t="s">
        <v>177</v>
      </c>
      <c r="G280" s="26" t="s">
        <v>3561</v>
      </c>
      <c r="H280" s="26" t="s">
        <v>3519</v>
      </c>
      <c r="I280" s="26">
        <v>2023</v>
      </c>
      <c r="J280" s="26" t="s">
        <v>2919</v>
      </c>
      <c r="K280" s="26">
        <v>98</v>
      </c>
      <c r="L280" s="26">
        <v>2022</v>
      </c>
      <c r="M280" s="31" t="s">
        <v>3186</v>
      </c>
    </row>
    <row r="281" spans="1:13" x14ac:dyDescent="0.35">
      <c r="A281" s="28" t="s">
        <v>948</v>
      </c>
      <c r="B281" s="29" t="s">
        <v>3932</v>
      </c>
      <c r="C281" s="30" t="s">
        <v>154</v>
      </c>
      <c r="D281" s="30" t="s">
        <v>93</v>
      </c>
      <c r="E281" s="30" t="s">
        <v>18</v>
      </c>
      <c r="F281" s="30" t="s">
        <v>88</v>
      </c>
      <c r="G281" s="30" t="s">
        <v>3562</v>
      </c>
      <c r="H281" s="30" t="s">
        <v>3563</v>
      </c>
      <c r="I281" s="30">
        <v>2023</v>
      </c>
      <c r="J281" s="30"/>
      <c r="K281" s="30"/>
      <c r="L281" s="30"/>
      <c r="M281" s="27" t="s">
        <v>3180</v>
      </c>
    </row>
    <row r="282" spans="1:13" x14ac:dyDescent="0.35">
      <c r="A282" s="24" t="s">
        <v>951</v>
      </c>
      <c r="B282" s="25" t="s">
        <v>3932</v>
      </c>
      <c r="C282" s="26" t="s">
        <v>154</v>
      </c>
      <c r="D282" s="26" t="s">
        <v>93</v>
      </c>
      <c r="E282" s="26" t="s">
        <v>18</v>
      </c>
      <c r="F282" s="26" t="s">
        <v>88</v>
      </c>
      <c r="G282" s="26" t="s">
        <v>3562</v>
      </c>
      <c r="H282" s="26" t="s">
        <v>3563</v>
      </c>
      <c r="I282" s="26">
        <v>2023</v>
      </c>
      <c r="J282" s="26"/>
      <c r="K282" s="26"/>
      <c r="L282" s="26"/>
      <c r="M282" s="27" t="s">
        <v>3180</v>
      </c>
    </row>
    <row r="283" spans="1:13" x14ac:dyDescent="0.35">
      <c r="A283" s="28" t="s">
        <v>954</v>
      </c>
      <c r="B283" s="29" t="s">
        <v>4000</v>
      </c>
      <c r="C283" s="30" t="s">
        <v>154</v>
      </c>
      <c r="D283" s="30" t="s">
        <v>93</v>
      </c>
      <c r="E283" s="30" t="s">
        <v>18</v>
      </c>
      <c r="F283" s="30" t="s">
        <v>88</v>
      </c>
      <c r="G283" s="30" t="s">
        <v>3546</v>
      </c>
      <c r="H283" s="30" t="s">
        <v>3547</v>
      </c>
      <c r="I283" s="30">
        <v>2023</v>
      </c>
      <c r="J283" s="30" t="s">
        <v>3021</v>
      </c>
      <c r="K283" s="30">
        <v>100</v>
      </c>
      <c r="L283" s="30">
        <v>2022</v>
      </c>
      <c r="M283" s="31" t="s">
        <v>3186</v>
      </c>
    </row>
    <row r="284" spans="1:13" x14ac:dyDescent="0.35">
      <c r="A284" s="24" t="s">
        <v>958</v>
      </c>
      <c r="B284" s="25" t="s">
        <v>4001</v>
      </c>
      <c r="C284" s="26" t="s">
        <v>311</v>
      </c>
      <c r="D284" s="26" t="s">
        <v>149</v>
      </c>
      <c r="E284" s="26" t="s">
        <v>18</v>
      </c>
      <c r="F284" s="26" t="s">
        <v>19</v>
      </c>
      <c r="G284" s="26" t="s">
        <v>3564</v>
      </c>
      <c r="H284" s="26" t="s">
        <v>3565</v>
      </c>
      <c r="I284" s="26">
        <v>2020</v>
      </c>
      <c r="J284" s="26"/>
      <c r="K284" s="26"/>
      <c r="L284" s="26"/>
      <c r="M284" s="27" t="s">
        <v>3180</v>
      </c>
    </row>
    <row r="285" spans="1:13" x14ac:dyDescent="0.35">
      <c r="A285" s="28" t="s">
        <v>960</v>
      </c>
      <c r="B285" s="29" t="s">
        <v>3932</v>
      </c>
      <c r="C285" s="30" t="s">
        <v>154</v>
      </c>
      <c r="D285" s="30" t="s">
        <v>93</v>
      </c>
      <c r="E285" s="30" t="s">
        <v>18</v>
      </c>
      <c r="F285" s="30" t="s">
        <v>88</v>
      </c>
      <c r="G285" s="30" t="s">
        <v>3562</v>
      </c>
      <c r="H285" s="30" t="s">
        <v>3563</v>
      </c>
      <c r="I285" s="30">
        <v>2023</v>
      </c>
      <c r="J285" s="30"/>
      <c r="K285" s="30"/>
      <c r="L285" s="30"/>
      <c r="M285" s="27" t="s">
        <v>3180</v>
      </c>
    </row>
    <row r="286" spans="1:13" x14ac:dyDescent="0.35">
      <c r="A286" s="24" t="s">
        <v>962</v>
      </c>
      <c r="B286" s="25" t="s">
        <v>4002</v>
      </c>
      <c r="C286" s="26" t="s">
        <v>154</v>
      </c>
      <c r="D286" s="26" t="s">
        <v>93</v>
      </c>
      <c r="E286" s="26" t="s">
        <v>18</v>
      </c>
      <c r="F286" s="26" t="s">
        <v>88</v>
      </c>
      <c r="G286" s="26" t="s">
        <v>3460</v>
      </c>
      <c r="H286" s="26" t="s">
        <v>3566</v>
      </c>
      <c r="I286" s="26">
        <v>2022</v>
      </c>
      <c r="J286" s="26" t="s">
        <v>3117</v>
      </c>
      <c r="K286" s="26">
        <v>100</v>
      </c>
      <c r="L286" s="26">
        <v>2023</v>
      </c>
      <c r="M286" s="31" t="s">
        <v>3186</v>
      </c>
    </row>
    <row r="287" spans="1:13" x14ac:dyDescent="0.35">
      <c r="A287" s="28" t="s">
        <v>966</v>
      </c>
      <c r="B287" s="29" t="s">
        <v>4003</v>
      </c>
      <c r="C287" s="30" t="s">
        <v>311</v>
      </c>
      <c r="D287" s="30" t="s">
        <v>149</v>
      </c>
      <c r="E287" s="30" t="s">
        <v>18</v>
      </c>
      <c r="F287" s="30" t="s">
        <v>19</v>
      </c>
      <c r="G287" s="30" t="s">
        <v>3247</v>
      </c>
      <c r="H287" s="30" t="s">
        <v>3567</v>
      </c>
      <c r="I287" s="30">
        <v>2023</v>
      </c>
      <c r="J287" s="30"/>
      <c r="K287" s="30"/>
      <c r="L287" s="30"/>
      <c r="M287" s="27" t="s">
        <v>3180</v>
      </c>
    </row>
    <row r="288" spans="1:13" x14ac:dyDescent="0.35">
      <c r="A288" s="24" t="s">
        <v>968</v>
      </c>
      <c r="B288" s="25" t="s">
        <v>3895</v>
      </c>
      <c r="C288" s="26" t="s">
        <v>154</v>
      </c>
      <c r="D288" s="26" t="s">
        <v>93</v>
      </c>
      <c r="E288" s="26" t="s">
        <v>18</v>
      </c>
      <c r="F288" s="26" t="s">
        <v>88</v>
      </c>
      <c r="G288" s="26" t="s">
        <v>3568</v>
      </c>
      <c r="H288" s="26" t="s">
        <v>3569</v>
      </c>
      <c r="I288" s="26">
        <v>2023</v>
      </c>
      <c r="J288" s="26" t="s">
        <v>2828</v>
      </c>
      <c r="K288" s="26">
        <v>90</v>
      </c>
      <c r="L288" s="26">
        <v>2022</v>
      </c>
      <c r="M288" s="31" t="s">
        <v>3186</v>
      </c>
    </row>
    <row r="289" spans="1:13" x14ac:dyDescent="0.35">
      <c r="A289" s="28" t="s">
        <v>971</v>
      </c>
      <c r="B289" s="29" t="s">
        <v>3895</v>
      </c>
      <c r="C289" s="30" t="s">
        <v>154</v>
      </c>
      <c r="D289" s="30" t="s">
        <v>93</v>
      </c>
      <c r="E289" s="30" t="s">
        <v>18</v>
      </c>
      <c r="F289" s="30" t="s">
        <v>88</v>
      </c>
      <c r="G289" s="30" t="s">
        <v>3568</v>
      </c>
      <c r="H289" s="30" t="s">
        <v>3569</v>
      </c>
      <c r="I289" s="30">
        <v>2023</v>
      </c>
      <c r="J289" s="30" t="s">
        <v>2828</v>
      </c>
      <c r="K289" s="30">
        <v>90</v>
      </c>
      <c r="L289" s="30">
        <v>2022</v>
      </c>
      <c r="M289" s="31" t="s">
        <v>3186</v>
      </c>
    </row>
    <row r="290" spans="1:13" x14ac:dyDescent="0.35">
      <c r="A290" s="24" t="s">
        <v>974</v>
      </c>
      <c r="B290" s="25" t="s">
        <v>4004</v>
      </c>
      <c r="C290" s="26" t="s">
        <v>311</v>
      </c>
      <c r="D290" s="26" t="s">
        <v>149</v>
      </c>
      <c r="E290" s="26" t="s">
        <v>18</v>
      </c>
      <c r="F290" s="26" t="s">
        <v>19</v>
      </c>
      <c r="G290" s="26" t="s">
        <v>3544</v>
      </c>
      <c r="H290" s="26" t="s">
        <v>3545</v>
      </c>
      <c r="I290" s="26">
        <v>2023</v>
      </c>
      <c r="J290" s="26"/>
      <c r="K290" s="26"/>
      <c r="L290" s="26"/>
      <c r="M290" s="27" t="s">
        <v>3180</v>
      </c>
    </row>
    <row r="291" spans="1:13" x14ac:dyDescent="0.35">
      <c r="A291" s="28" t="s">
        <v>976</v>
      </c>
      <c r="B291" s="29" t="s">
        <v>4005</v>
      </c>
      <c r="C291" s="30" t="s">
        <v>154</v>
      </c>
      <c r="D291" s="30" t="s">
        <v>93</v>
      </c>
      <c r="E291" s="30" t="s">
        <v>18</v>
      </c>
      <c r="F291" s="30" t="s">
        <v>88</v>
      </c>
      <c r="G291" s="30" t="s">
        <v>3503</v>
      </c>
      <c r="H291" s="30" t="s">
        <v>3504</v>
      </c>
      <c r="I291" s="30">
        <v>2023</v>
      </c>
      <c r="J291" s="30" t="s">
        <v>2045</v>
      </c>
      <c r="K291" s="30">
        <v>90.9</v>
      </c>
      <c r="L291" s="30">
        <v>2023</v>
      </c>
      <c r="M291" s="31" t="s">
        <v>3186</v>
      </c>
    </row>
    <row r="292" spans="1:13" x14ac:dyDescent="0.35">
      <c r="A292" s="24" t="s">
        <v>979</v>
      </c>
      <c r="B292" s="25" t="s">
        <v>4006</v>
      </c>
      <c r="C292" s="26" t="s">
        <v>154</v>
      </c>
      <c r="D292" s="26" t="s">
        <v>93</v>
      </c>
      <c r="E292" s="26" t="s">
        <v>18</v>
      </c>
      <c r="F292" s="26" t="s">
        <v>88</v>
      </c>
      <c r="G292" s="26" t="s">
        <v>3570</v>
      </c>
      <c r="H292" s="26" t="s">
        <v>3571</v>
      </c>
      <c r="I292" s="26">
        <v>2023</v>
      </c>
      <c r="J292" s="26" t="s">
        <v>2166</v>
      </c>
      <c r="K292" s="26">
        <v>100</v>
      </c>
      <c r="L292" s="26">
        <v>2023</v>
      </c>
      <c r="M292" s="31" t="s">
        <v>3186</v>
      </c>
    </row>
    <row r="293" spans="1:13" x14ac:dyDescent="0.35">
      <c r="A293" s="28" t="s">
        <v>983</v>
      </c>
      <c r="B293" s="29" t="s">
        <v>984</v>
      </c>
      <c r="C293" s="30" t="s">
        <v>139</v>
      </c>
      <c r="D293" s="30" t="s">
        <v>60</v>
      </c>
      <c r="E293" s="30" t="s">
        <v>18</v>
      </c>
      <c r="F293" s="30" t="s">
        <v>19</v>
      </c>
      <c r="G293" s="30" t="s">
        <v>3572</v>
      </c>
      <c r="H293" s="30" t="s">
        <v>3573</v>
      </c>
      <c r="I293" s="30">
        <v>2023</v>
      </c>
      <c r="J293" s="30"/>
      <c r="K293" s="30"/>
      <c r="L293" s="30"/>
      <c r="M293" s="27" t="s">
        <v>3180</v>
      </c>
    </row>
    <row r="294" spans="1:13" x14ac:dyDescent="0.35">
      <c r="A294" s="24" t="s">
        <v>986</v>
      </c>
      <c r="B294" s="25" t="s">
        <v>4007</v>
      </c>
      <c r="C294" s="26" t="s">
        <v>154</v>
      </c>
      <c r="D294" s="26" t="s">
        <v>93</v>
      </c>
      <c r="E294" s="26" t="s">
        <v>18</v>
      </c>
      <c r="F294" s="26" t="s">
        <v>88</v>
      </c>
      <c r="G294" s="26" t="s">
        <v>3546</v>
      </c>
      <c r="H294" s="26" t="s">
        <v>3547</v>
      </c>
      <c r="I294" s="26">
        <v>2023</v>
      </c>
      <c r="J294" s="26"/>
      <c r="K294" s="26"/>
      <c r="L294" s="26"/>
      <c r="M294" s="27" t="s">
        <v>3180</v>
      </c>
    </row>
    <row r="295" spans="1:13" x14ac:dyDescent="0.35">
      <c r="A295" s="28" t="s">
        <v>990</v>
      </c>
      <c r="B295" s="29" t="s">
        <v>4008</v>
      </c>
      <c r="C295" s="30" t="s">
        <v>154</v>
      </c>
      <c r="D295" s="30" t="s">
        <v>93</v>
      </c>
      <c r="E295" s="30" t="s">
        <v>18</v>
      </c>
      <c r="F295" s="30" t="s">
        <v>88</v>
      </c>
      <c r="G295" s="30" t="s">
        <v>3546</v>
      </c>
      <c r="H295" s="30" t="s">
        <v>3547</v>
      </c>
      <c r="I295" s="30">
        <v>2023</v>
      </c>
      <c r="J295" s="30"/>
      <c r="K295" s="30"/>
      <c r="L295" s="30"/>
      <c r="M295" s="27" t="s">
        <v>3180</v>
      </c>
    </row>
    <row r="296" spans="1:13" x14ac:dyDescent="0.35">
      <c r="A296" s="24" t="s">
        <v>994</v>
      </c>
      <c r="B296" s="25" t="s">
        <v>3947</v>
      </c>
      <c r="C296" s="26" t="s">
        <v>148</v>
      </c>
      <c r="D296" s="26" t="s">
        <v>93</v>
      </c>
      <c r="E296" s="26" t="s">
        <v>18</v>
      </c>
      <c r="F296" s="26" t="s">
        <v>88</v>
      </c>
      <c r="G296" s="26" t="s">
        <v>3453</v>
      </c>
      <c r="H296" s="26" t="s">
        <v>3290</v>
      </c>
      <c r="I296" s="26">
        <v>2022</v>
      </c>
      <c r="J296" s="26" t="s">
        <v>902</v>
      </c>
      <c r="K296" s="26">
        <v>100</v>
      </c>
      <c r="L296" s="26">
        <v>2022</v>
      </c>
      <c r="M296" s="31" t="s">
        <v>3186</v>
      </c>
    </row>
    <row r="297" spans="1:13" x14ac:dyDescent="0.35">
      <c r="A297" s="28" t="s">
        <v>996</v>
      </c>
      <c r="B297" s="29" t="s">
        <v>4009</v>
      </c>
      <c r="C297" s="30" t="s">
        <v>139</v>
      </c>
      <c r="D297" s="30" t="s">
        <v>17</v>
      </c>
      <c r="E297" s="30" t="s">
        <v>18</v>
      </c>
      <c r="F297" s="30" t="s">
        <v>163</v>
      </c>
      <c r="G297" s="30" t="s">
        <v>3550</v>
      </c>
      <c r="H297" s="30" t="s">
        <v>3551</v>
      </c>
      <c r="I297" s="30">
        <v>2023</v>
      </c>
      <c r="J297" s="30" t="s">
        <v>3089</v>
      </c>
      <c r="K297" s="30">
        <v>100</v>
      </c>
      <c r="L297" s="30">
        <v>2024</v>
      </c>
      <c r="M297" s="31" t="s">
        <v>3186</v>
      </c>
    </row>
    <row r="298" spans="1:13" x14ac:dyDescent="0.35">
      <c r="A298" s="24" t="s">
        <v>1000</v>
      </c>
      <c r="B298" s="25" t="s">
        <v>1002</v>
      </c>
      <c r="C298" s="26" t="s">
        <v>154</v>
      </c>
      <c r="D298" s="26" t="s">
        <v>93</v>
      </c>
      <c r="E298" s="26" t="s">
        <v>41</v>
      </c>
      <c r="F298" s="26" t="s">
        <v>88</v>
      </c>
      <c r="G298" s="26" t="s">
        <v>3304</v>
      </c>
      <c r="H298" s="26" t="s">
        <v>3574</v>
      </c>
      <c r="I298" s="26">
        <v>2018</v>
      </c>
      <c r="J298" s="26"/>
      <c r="K298" s="26"/>
      <c r="L298" s="26"/>
      <c r="M298" s="27" t="s">
        <v>3180</v>
      </c>
    </row>
    <row r="299" spans="1:13" x14ac:dyDescent="0.35">
      <c r="A299" s="28" t="s">
        <v>1004</v>
      </c>
      <c r="B299" s="29" t="s">
        <v>4010</v>
      </c>
      <c r="C299" s="30" t="s">
        <v>154</v>
      </c>
      <c r="D299" s="30" t="s">
        <v>93</v>
      </c>
      <c r="E299" s="30" t="s">
        <v>18</v>
      </c>
      <c r="F299" s="30" t="s">
        <v>88</v>
      </c>
      <c r="G299" s="30" t="s">
        <v>3575</v>
      </c>
      <c r="H299" s="30" t="s">
        <v>3576</v>
      </c>
      <c r="I299" s="30">
        <v>2023</v>
      </c>
      <c r="J299" s="30" t="s">
        <v>2242</v>
      </c>
      <c r="K299" s="30">
        <v>88.1</v>
      </c>
      <c r="L299" s="30">
        <v>2023</v>
      </c>
      <c r="M299" s="31" t="s">
        <v>3186</v>
      </c>
    </row>
    <row r="300" spans="1:13" x14ac:dyDescent="0.35">
      <c r="A300" s="24" t="s">
        <v>1008</v>
      </c>
      <c r="B300" s="25" t="s">
        <v>4011</v>
      </c>
      <c r="C300" s="26" t="s">
        <v>139</v>
      </c>
      <c r="D300" s="26" t="s">
        <v>93</v>
      </c>
      <c r="E300" s="26" t="s">
        <v>18</v>
      </c>
      <c r="F300" s="26" t="s">
        <v>88</v>
      </c>
      <c r="G300" s="26" t="s">
        <v>3559</v>
      </c>
      <c r="H300" s="26" t="s">
        <v>3577</v>
      </c>
      <c r="I300" s="26">
        <v>2023</v>
      </c>
      <c r="J300" s="26" t="s">
        <v>2182</v>
      </c>
      <c r="K300" s="26">
        <v>97.7</v>
      </c>
      <c r="L300" s="26">
        <v>2022</v>
      </c>
      <c r="M300" s="31" t="s">
        <v>3186</v>
      </c>
    </row>
    <row r="301" spans="1:13" x14ac:dyDescent="0.35">
      <c r="A301" s="28" t="s">
        <v>1012</v>
      </c>
      <c r="B301" s="29" t="s">
        <v>4012</v>
      </c>
      <c r="C301" s="30" t="s">
        <v>154</v>
      </c>
      <c r="D301" s="30" t="s">
        <v>93</v>
      </c>
      <c r="E301" s="30" t="s">
        <v>18</v>
      </c>
      <c r="F301" s="30" t="s">
        <v>88</v>
      </c>
      <c r="G301" s="30" t="s">
        <v>3578</v>
      </c>
      <c r="H301" s="30" t="s">
        <v>3579</v>
      </c>
      <c r="I301" s="30">
        <v>2023</v>
      </c>
      <c r="J301" s="30" t="s">
        <v>2498</v>
      </c>
      <c r="K301" s="30">
        <v>100</v>
      </c>
      <c r="L301" s="30">
        <v>2023</v>
      </c>
      <c r="M301" s="31" t="s">
        <v>3186</v>
      </c>
    </row>
    <row r="302" spans="1:13" x14ac:dyDescent="0.35">
      <c r="A302" s="24" t="s">
        <v>1015</v>
      </c>
      <c r="B302" s="25" t="s">
        <v>4013</v>
      </c>
      <c r="C302" s="26" t="s">
        <v>154</v>
      </c>
      <c r="D302" s="26" t="s">
        <v>93</v>
      </c>
      <c r="E302" s="26" t="s">
        <v>18</v>
      </c>
      <c r="F302" s="26" t="s">
        <v>88</v>
      </c>
      <c r="G302" s="26" t="s">
        <v>3432</v>
      </c>
      <c r="H302" s="26" t="s">
        <v>3580</v>
      </c>
      <c r="I302" s="26">
        <v>2024</v>
      </c>
      <c r="J302" s="26"/>
      <c r="K302" s="26"/>
      <c r="L302" s="26"/>
      <c r="M302" s="27" t="s">
        <v>3180</v>
      </c>
    </row>
    <row r="303" spans="1:13" x14ac:dyDescent="0.35">
      <c r="A303" s="28" t="s">
        <v>1018</v>
      </c>
      <c r="B303" s="29" t="s">
        <v>1020</v>
      </c>
      <c r="C303" s="30" t="s">
        <v>139</v>
      </c>
      <c r="D303" s="30" t="s">
        <v>93</v>
      </c>
      <c r="E303" s="30" t="s">
        <v>18</v>
      </c>
      <c r="F303" s="30" t="s">
        <v>88</v>
      </c>
      <c r="G303" s="30" t="s">
        <v>3548</v>
      </c>
      <c r="H303" s="30" t="s">
        <v>3463</v>
      </c>
      <c r="I303" s="30">
        <v>2023</v>
      </c>
      <c r="J303" s="30"/>
      <c r="K303" s="30"/>
      <c r="L303" s="30"/>
      <c r="M303" s="27" t="s">
        <v>3180</v>
      </c>
    </row>
    <row r="304" spans="1:13" x14ac:dyDescent="0.35">
      <c r="A304" s="24" t="s">
        <v>1022</v>
      </c>
      <c r="B304" s="25" t="s">
        <v>1024</v>
      </c>
      <c r="C304" s="26" t="s">
        <v>139</v>
      </c>
      <c r="D304" s="26" t="s">
        <v>93</v>
      </c>
      <c r="E304" s="26" t="s">
        <v>18</v>
      </c>
      <c r="F304" s="26" t="s">
        <v>88</v>
      </c>
      <c r="G304" s="26" t="s">
        <v>3581</v>
      </c>
      <c r="H304" s="26" t="s">
        <v>3582</v>
      </c>
      <c r="I304" s="26">
        <v>2023</v>
      </c>
      <c r="J304" s="26" t="s">
        <v>2571</v>
      </c>
      <c r="K304" s="26">
        <v>95.7</v>
      </c>
      <c r="L304" s="26">
        <v>2022</v>
      </c>
      <c r="M304" s="31" t="s">
        <v>3186</v>
      </c>
    </row>
    <row r="305" spans="1:13" x14ac:dyDescent="0.35">
      <c r="A305" s="28" t="s">
        <v>1026</v>
      </c>
      <c r="B305" s="29" t="s">
        <v>4014</v>
      </c>
      <c r="C305" s="30" t="s">
        <v>154</v>
      </c>
      <c r="D305" s="30" t="s">
        <v>93</v>
      </c>
      <c r="E305" s="30" t="s">
        <v>18</v>
      </c>
      <c r="F305" s="30" t="s">
        <v>88</v>
      </c>
      <c r="G305" s="30" t="s">
        <v>3539</v>
      </c>
      <c r="H305" s="30" t="s">
        <v>3583</v>
      </c>
      <c r="I305" s="30">
        <v>2023</v>
      </c>
      <c r="J305" s="30" t="s">
        <v>2936</v>
      </c>
      <c r="K305" s="30">
        <v>99</v>
      </c>
      <c r="L305" s="30">
        <v>2023</v>
      </c>
      <c r="M305" s="31" t="s">
        <v>3186</v>
      </c>
    </row>
    <row r="306" spans="1:13" x14ac:dyDescent="0.35">
      <c r="A306" s="24" t="s">
        <v>1029</v>
      </c>
      <c r="B306" s="25" t="s">
        <v>4015</v>
      </c>
      <c r="C306" s="26" t="s">
        <v>139</v>
      </c>
      <c r="D306" s="26" t="s">
        <v>712</v>
      </c>
      <c r="E306" s="26" t="s">
        <v>18</v>
      </c>
      <c r="F306" s="26" t="s">
        <v>88</v>
      </c>
      <c r="G306" s="26" t="s">
        <v>3575</v>
      </c>
      <c r="H306" s="26" t="s">
        <v>3584</v>
      </c>
      <c r="I306" s="26">
        <v>2023</v>
      </c>
      <c r="J306" s="26" t="s">
        <v>2919</v>
      </c>
      <c r="K306" s="26">
        <v>96</v>
      </c>
      <c r="L306" s="26">
        <v>2022</v>
      </c>
      <c r="M306" s="31" t="s">
        <v>3186</v>
      </c>
    </row>
    <row r="307" spans="1:13" x14ac:dyDescent="0.35">
      <c r="A307" s="28" t="s">
        <v>1033</v>
      </c>
      <c r="B307" s="29" t="s">
        <v>3898</v>
      </c>
      <c r="C307" s="30" t="s">
        <v>148</v>
      </c>
      <c r="D307" s="30" t="s">
        <v>93</v>
      </c>
      <c r="E307" s="30" t="s">
        <v>18</v>
      </c>
      <c r="F307" s="30" t="s">
        <v>177</v>
      </c>
      <c r="G307" s="30" t="s">
        <v>3562</v>
      </c>
      <c r="H307" s="30" t="s">
        <v>3585</v>
      </c>
      <c r="I307" s="30">
        <v>2023</v>
      </c>
      <c r="J307" s="30" t="s">
        <v>2164</v>
      </c>
      <c r="K307" s="30">
        <v>97</v>
      </c>
      <c r="L307" s="30">
        <v>2022</v>
      </c>
      <c r="M307" s="31" t="s">
        <v>3186</v>
      </c>
    </row>
    <row r="308" spans="1:13" x14ac:dyDescent="0.35">
      <c r="A308" s="24" t="s">
        <v>1035</v>
      </c>
      <c r="B308" s="25" t="s">
        <v>4016</v>
      </c>
      <c r="C308" s="26" t="s">
        <v>154</v>
      </c>
      <c r="D308" s="26" t="s">
        <v>93</v>
      </c>
      <c r="E308" s="26" t="s">
        <v>18</v>
      </c>
      <c r="F308" s="26" t="s">
        <v>88</v>
      </c>
      <c r="G308" s="26" t="s">
        <v>3570</v>
      </c>
      <c r="H308" s="26" t="s">
        <v>3571</v>
      </c>
      <c r="I308" s="26">
        <v>2023</v>
      </c>
      <c r="J308" s="26" t="s">
        <v>2282</v>
      </c>
      <c r="K308" s="26">
        <v>93.9</v>
      </c>
      <c r="L308" s="26">
        <v>2023</v>
      </c>
      <c r="M308" s="31" t="s">
        <v>3186</v>
      </c>
    </row>
    <row r="309" spans="1:13" x14ac:dyDescent="0.35">
      <c r="A309" s="28" t="s">
        <v>1038</v>
      </c>
      <c r="B309" s="29" t="s">
        <v>4017</v>
      </c>
      <c r="C309" s="30" t="s">
        <v>154</v>
      </c>
      <c r="D309" s="30" t="s">
        <v>93</v>
      </c>
      <c r="E309" s="30" t="s">
        <v>18</v>
      </c>
      <c r="F309" s="30" t="s">
        <v>88</v>
      </c>
      <c r="G309" s="30" t="s">
        <v>3586</v>
      </c>
      <c r="H309" s="30" t="s">
        <v>3587</v>
      </c>
      <c r="I309" s="30">
        <v>2023</v>
      </c>
      <c r="J309" s="30"/>
      <c r="K309" s="30"/>
      <c r="L309" s="30"/>
      <c r="M309" s="27" t="s">
        <v>3180</v>
      </c>
    </row>
    <row r="310" spans="1:13" x14ac:dyDescent="0.35">
      <c r="A310" s="24" t="s">
        <v>1041</v>
      </c>
      <c r="B310" s="25" t="s">
        <v>4018</v>
      </c>
      <c r="C310" s="26" t="s">
        <v>154</v>
      </c>
      <c r="D310" s="26" t="s">
        <v>93</v>
      </c>
      <c r="E310" s="26" t="s">
        <v>18</v>
      </c>
      <c r="F310" s="26" t="s">
        <v>88</v>
      </c>
      <c r="G310" s="26" t="s">
        <v>3546</v>
      </c>
      <c r="H310" s="26" t="s">
        <v>3547</v>
      </c>
      <c r="I310" s="26">
        <v>2023</v>
      </c>
      <c r="J310" s="26" t="s">
        <v>2737</v>
      </c>
      <c r="K310" s="26">
        <v>100</v>
      </c>
      <c r="L310" s="26">
        <v>2023</v>
      </c>
      <c r="M310" s="31" t="s">
        <v>3186</v>
      </c>
    </row>
    <row r="311" spans="1:13" x14ac:dyDescent="0.35">
      <c r="A311" s="28" t="s">
        <v>1044</v>
      </c>
      <c r="B311" s="29" t="s">
        <v>3974</v>
      </c>
      <c r="C311" s="30" t="s">
        <v>154</v>
      </c>
      <c r="D311" s="30" t="s">
        <v>93</v>
      </c>
      <c r="E311" s="30" t="s">
        <v>18</v>
      </c>
      <c r="F311" s="30" t="s">
        <v>88</v>
      </c>
      <c r="G311" s="30" t="s">
        <v>3588</v>
      </c>
      <c r="H311" s="30" t="s">
        <v>3292</v>
      </c>
      <c r="I311" s="30">
        <v>2023</v>
      </c>
      <c r="J311" s="30" t="s">
        <v>1943</v>
      </c>
      <c r="K311" s="30">
        <v>100</v>
      </c>
      <c r="L311" s="30">
        <v>2022</v>
      </c>
      <c r="M311" s="31" t="s">
        <v>3186</v>
      </c>
    </row>
    <row r="312" spans="1:13" x14ac:dyDescent="0.35">
      <c r="A312" s="24" t="s">
        <v>1046</v>
      </c>
      <c r="B312" s="25" t="s">
        <v>4019</v>
      </c>
      <c r="C312" s="26" t="s">
        <v>148</v>
      </c>
      <c r="D312" s="26" t="s">
        <v>93</v>
      </c>
      <c r="E312" s="26" t="s">
        <v>18</v>
      </c>
      <c r="F312" s="26" t="s">
        <v>88</v>
      </c>
      <c r="G312" s="26" t="s">
        <v>3589</v>
      </c>
      <c r="H312" s="26" t="s">
        <v>3590</v>
      </c>
      <c r="I312" s="26">
        <v>2024</v>
      </c>
      <c r="J312" s="26"/>
      <c r="K312" s="26"/>
      <c r="L312" s="26"/>
      <c r="M312" s="27" t="s">
        <v>3180</v>
      </c>
    </row>
    <row r="313" spans="1:13" x14ac:dyDescent="0.35">
      <c r="A313" s="28" t="s">
        <v>1049</v>
      </c>
      <c r="B313" s="29" t="s">
        <v>4020</v>
      </c>
      <c r="C313" s="30" t="s">
        <v>154</v>
      </c>
      <c r="D313" s="30" t="s">
        <v>93</v>
      </c>
      <c r="E313" s="30" t="s">
        <v>18</v>
      </c>
      <c r="F313" s="30" t="s">
        <v>88</v>
      </c>
      <c r="G313" s="30" t="s">
        <v>3591</v>
      </c>
      <c r="H313" s="30" t="s">
        <v>3584</v>
      </c>
      <c r="I313" s="30">
        <v>2024</v>
      </c>
      <c r="J313" s="30" t="s">
        <v>2383</v>
      </c>
      <c r="K313" s="30">
        <v>100</v>
      </c>
      <c r="L313" s="30">
        <v>2023</v>
      </c>
      <c r="M313" s="31" t="s">
        <v>3186</v>
      </c>
    </row>
    <row r="314" spans="1:13" x14ac:dyDescent="0.35">
      <c r="A314" s="24" t="s">
        <v>1052</v>
      </c>
      <c r="B314" s="25" t="s">
        <v>4021</v>
      </c>
      <c r="C314" s="26" t="s">
        <v>139</v>
      </c>
      <c r="D314" s="26" t="s">
        <v>1055</v>
      </c>
      <c r="E314" s="26" t="s">
        <v>18</v>
      </c>
      <c r="F314" s="26" t="s">
        <v>19</v>
      </c>
      <c r="G314" s="26" t="s">
        <v>3592</v>
      </c>
      <c r="H314" s="26" t="s">
        <v>3593</v>
      </c>
      <c r="I314" s="26">
        <v>2021</v>
      </c>
      <c r="J314" s="26"/>
      <c r="K314" s="26"/>
      <c r="L314" s="26"/>
      <c r="M314" s="27" t="s">
        <v>3180</v>
      </c>
    </row>
    <row r="315" spans="1:13" x14ac:dyDescent="0.35">
      <c r="A315" s="28" t="s">
        <v>1057</v>
      </c>
      <c r="B315" s="29" t="s">
        <v>4022</v>
      </c>
      <c r="C315" s="30" t="s">
        <v>154</v>
      </c>
      <c r="D315" s="30" t="s">
        <v>93</v>
      </c>
      <c r="E315" s="30" t="s">
        <v>18</v>
      </c>
      <c r="F315" s="30" t="s">
        <v>177</v>
      </c>
      <c r="G315" s="30" t="s">
        <v>3594</v>
      </c>
      <c r="H315" s="30" t="s">
        <v>3595</v>
      </c>
      <c r="I315" s="30">
        <v>2023</v>
      </c>
      <c r="J315" s="30"/>
      <c r="K315" s="30"/>
      <c r="L315" s="30"/>
      <c r="M315" s="27" t="s">
        <v>3180</v>
      </c>
    </row>
    <row r="316" spans="1:13" x14ac:dyDescent="0.35">
      <c r="A316" s="24" t="s">
        <v>1061</v>
      </c>
      <c r="B316" s="25" t="s">
        <v>4023</v>
      </c>
      <c r="C316" s="26" t="s">
        <v>154</v>
      </c>
      <c r="D316" s="26" t="s">
        <v>93</v>
      </c>
      <c r="E316" s="26" t="s">
        <v>18</v>
      </c>
      <c r="F316" s="26" t="s">
        <v>88</v>
      </c>
      <c r="G316" s="26" t="s">
        <v>3586</v>
      </c>
      <c r="H316" s="26" t="s">
        <v>3587</v>
      </c>
      <c r="I316" s="26">
        <v>2023</v>
      </c>
      <c r="J316" s="26"/>
      <c r="K316" s="26"/>
      <c r="L316" s="26"/>
      <c r="M316" s="27" t="s">
        <v>3180</v>
      </c>
    </row>
    <row r="317" spans="1:13" x14ac:dyDescent="0.35">
      <c r="A317" s="28" t="s">
        <v>1064</v>
      </c>
      <c r="B317" s="29" t="s">
        <v>1066</v>
      </c>
      <c r="C317" s="30" t="s">
        <v>139</v>
      </c>
      <c r="D317" s="30" t="s">
        <v>93</v>
      </c>
      <c r="E317" s="30" t="s">
        <v>18</v>
      </c>
      <c r="F317" s="30" t="s">
        <v>177</v>
      </c>
      <c r="G317" s="30" t="s">
        <v>3581</v>
      </c>
      <c r="H317" s="30" t="s">
        <v>3582</v>
      </c>
      <c r="I317" s="30">
        <v>2023</v>
      </c>
      <c r="J317" s="30" t="s">
        <v>2519</v>
      </c>
      <c r="K317" s="30">
        <v>100</v>
      </c>
      <c r="L317" s="30">
        <v>2023</v>
      </c>
      <c r="M317" s="31" t="s">
        <v>3186</v>
      </c>
    </row>
    <row r="318" spans="1:13" x14ac:dyDescent="0.35">
      <c r="A318" s="24" t="s">
        <v>1068</v>
      </c>
      <c r="B318" s="25" t="s">
        <v>4024</v>
      </c>
      <c r="C318" s="26" t="s">
        <v>154</v>
      </c>
      <c r="D318" s="26" t="s">
        <v>93</v>
      </c>
      <c r="E318" s="26" t="s">
        <v>18</v>
      </c>
      <c r="F318" s="26" t="s">
        <v>88</v>
      </c>
      <c r="G318" s="26" t="s">
        <v>3575</v>
      </c>
      <c r="H318" s="26" t="s">
        <v>3576</v>
      </c>
      <c r="I318" s="26">
        <v>2023</v>
      </c>
      <c r="J318" s="26"/>
      <c r="K318" s="26"/>
      <c r="L318" s="26"/>
      <c r="M318" s="27" t="s">
        <v>3180</v>
      </c>
    </row>
    <row r="319" spans="1:13" x14ac:dyDescent="0.35">
      <c r="A319" s="28" t="s">
        <v>1071</v>
      </c>
      <c r="B319" s="29" t="s">
        <v>4025</v>
      </c>
      <c r="C319" s="30" t="s">
        <v>139</v>
      </c>
      <c r="D319" s="30" t="s">
        <v>712</v>
      </c>
      <c r="E319" s="30" t="s">
        <v>18</v>
      </c>
      <c r="F319" s="30" t="s">
        <v>88</v>
      </c>
      <c r="G319" s="30" t="s">
        <v>3575</v>
      </c>
      <c r="H319" s="30" t="s">
        <v>3584</v>
      </c>
      <c r="I319" s="30">
        <v>2023</v>
      </c>
      <c r="J319" s="30" t="s">
        <v>2511</v>
      </c>
      <c r="K319" s="30">
        <v>100</v>
      </c>
      <c r="L319" s="30">
        <v>2023</v>
      </c>
      <c r="M319" s="31" t="s">
        <v>3186</v>
      </c>
    </row>
    <row r="320" spans="1:13" x14ac:dyDescent="0.35">
      <c r="A320" s="24" t="s">
        <v>1075</v>
      </c>
      <c r="B320" s="25" t="s">
        <v>4026</v>
      </c>
      <c r="C320" s="26" t="s">
        <v>148</v>
      </c>
      <c r="D320" s="26" t="s">
        <v>17</v>
      </c>
      <c r="E320" s="26" t="s">
        <v>18</v>
      </c>
      <c r="F320" s="26" t="s">
        <v>163</v>
      </c>
      <c r="G320" s="26" t="s">
        <v>3462</v>
      </c>
      <c r="H320" s="26" t="s">
        <v>3463</v>
      </c>
      <c r="I320" s="26">
        <v>2022</v>
      </c>
      <c r="J320" s="26"/>
      <c r="K320" s="26"/>
      <c r="L320" s="26"/>
      <c r="M320" s="27" t="s">
        <v>3180</v>
      </c>
    </row>
    <row r="321" spans="1:13" x14ac:dyDescent="0.35">
      <c r="A321" s="28" t="s">
        <v>1079</v>
      </c>
      <c r="B321" s="29" t="s">
        <v>4027</v>
      </c>
      <c r="C321" s="30" t="s">
        <v>27</v>
      </c>
      <c r="D321" s="30" t="s">
        <v>28</v>
      </c>
      <c r="E321" s="30" t="s">
        <v>18</v>
      </c>
      <c r="F321" s="30" t="s">
        <v>19</v>
      </c>
      <c r="G321" s="30" t="s">
        <v>3596</v>
      </c>
      <c r="H321" s="30" t="s">
        <v>3597</v>
      </c>
      <c r="I321" s="30">
        <v>2023</v>
      </c>
      <c r="J321" s="30"/>
      <c r="K321" s="30"/>
      <c r="L321" s="30"/>
      <c r="M321" s="27" t="s">
        <v>3180</v>
      </c>
    </row>
    <row r="322" spans="1:13" x14ac:dyDescent="0.35">
      <c r="A322" s="24" t="s">
        <v>1082</v>
      </c>
      <c r="B322" s="25" t="s">
        <v>4028</v>
      </c>
      <c r="C322" s="26" t="s">
        <v>139</v>
      </c>
      <c r="D322" s="26" t="s">
        <v>93</v>
      </c>
      <c r="E322" s="26" t="s">
        <v>18</v>
      </c>
      <c r="F322" s="26" t="s">
        <v>88</v>
      </c>
      <c r="G322" s="26" t="s">
        <v>3598</v>
      </c>
      <c r="H322" s="26" t="s">
        <v>3511</v>
      </c>
      <c r="I322" s="26">
        <v>2023</v>
      </c>
      <c r="J322" s="26"/>
      <c r="K322" s="26"/>
      <c r="L322" s="26"/>
      <c r="M322" s="27" t="s">
        <v>3180</v>
      </c>
    </row>
    <row r="323" spans="1:13" x14ac:dyDescent="0.35">
      <c r="A323" s="28" t="s">
        <v>1086</v>
      </c>
      <c r="B323" s="29" t="s">
        <v>4029</v>
      </c>
      <c r="C323" s="30" t="s">
        <v>139</v>
      </c>
      <c r="D323" s="30" t="s">
        <v>93</v>
      </c>
      <c r="E323" s="30" t="s">
        <v>18</v>
      </c>
      <c r="F323" s="30" t="s">
        <v>88</v>
      </c>
      <c r="G323" s="30" t="s">
        <v>3599</v>
      </c>
      <c r="H323" s="30" t="s">
        <v>3600</v>
      </c>
      <c r="I323" s="30">
        <v>2023</v>
      </c>
      <c r="J323" s="30"/>
      <c r="K323" s="30"/>
      <c r="L323" s="30"/>
      <c r="M323" s="27" t="s">
        <v>3180</v>
      </c>
    </row>
    <row r="324" spans="1:13" x14ac:dyDescent="0.35">
      <c r="A324" s="24" t="s">
        <v>1090</v>
      </c>
      <c r="B324" s="25" t="s">
        <v>3839</v>
      </c>
      <c r="C324" s="26" t="s">
        <v>139</v>
      </c>
      <c r="D324" s="26" t="s">
        <v>113</v>
      </c>
      <c r="E324" s="26" t="s">
        <v>18</v>
      </c>
      <c r="F324" s="26" t="s">
        <v>185</v>
      </c>
      <c r="G324" s="26" t="s">
        <v>3598</v>
      </c>
      <c r="H324" s="26" t="s">
        <v>3511</v>
      </c>
      <c r="I324" s="26">
        <v>2023</v>
      </c>
      <c r="J324" s="26"/>
      <c r="K324" s="26"/>
      <c r="L324" s="26"/>
      <c r="M324" s="27" t="s">
        <v>3180</v>
      </c>
    </row>
    <row r="325" spans="1:13" x14ac:dyDescent="0.35">
      <c r="A325" s="28" t="s">
        <v>1092</v>
      </c>
      <c r="B325" s="29" t="s">
        <v>3878</v>
      </c>
      <c r="C325" s="30" t="s">
        <v>27</v>
      </c>
      <c r="D325" s="30" t="s">
        <v>28</v>
      </c>
      <c r="E325" s="30" t="s">
        <v>18</v>
      </c>
      <c r="F325" s="30" t="s">
        <v>19</v>
      </c>
      <c r="G325" s="30" t="s">
        <v>3601</v>
      </c>
      <c r="H325" s="30" t="s">
        <v>3602</v>
      </c>
      <c r="I325" s="30">
        <v>2023</v>
      </c>
      <c r="J325" s="30" t="s">
        <v>2027</v>
      </c>
      <c r="K325" s="30">
        <v>93.8</v>
      </c>
      <c r="L325" s="30">
        <v>2023</v>
      </c>
      <c r="M325" s="31" t="s">
        <v>3186</v>
      </c>
    </row>
    <row r="326" spans="1:13" x14ac:dyDescent="0.35">
      <c r="A326" s="24" t="s">
        <v>1094</v>
      </c>
      <c r="B326" s="25" t="s">
        <v>1095</v>
      </c>
      <c r="C326" s="26" t="s">
        <v>294</v>
      </c>
      <c r="D326" s="26" t="s">
        <v>1096</v>
      </c>
      <c r="E326" s="26" t="s">
        <v>18</v>
      </c>
      <c r="F326" s="26" t="s">
        <v>19</v>
      </c>
      <c r="G326" s="26" t="s">
        <v>3603</v>
      </c>
      <c r="H326" s="26" t="s">
        <v>3604</v>
      </c>
      <c r="I326" s="26">
        <v>2022</v>
      </c>
      <c r="J326" s="26"/>
      <c r="K326" s="26"/>
      <c r="L326" s="26"/>
      <c r="M326" s="27" t="s">
        <v>3180</v>
      </c>
    </row>
    <row r="327" spans="1:13" x14ac:dyDescent="0.35">
      <c r="A327" s="28" t="s">
        <v>1098</v>
      </c>
      <c r="B327" s="29" t="s">
        <v>4030</v>
      </c>
      <c r="C327" s="30" t="s">
        <v>311</v>
      </c>
      <c r="D327" s="30" t="s">
        <v>149</v>
      </c>
      <c r="E327" s="30" t="s">
        <v>18</v>
      </c>
      <c r="F327" s="30" t="s">
        <v>19</v>
      </c>
      <c r="G327" s="30" t="s">
        <v>3586</v>
      </c>
      <c r="H327" s="30" t="s">
        <v>3605</v>
      </c>
      <c r="I327" s="30">
        <v>2023</v>
      </c>
      <c r="J327" s="30"/>
      <c r="K327" s="30"/>
      <c r="L327" s="30"/>
      <c r="M327" s="27" t="s">
        <v>3180</v>
      </c>
    </row>
    <row r="328" spans="1:13" x14ac:dyDescent="0.35">
      <c r="A328" s="24" t="s">
        <v>1100</v>
      </c>
      <c r="B328" s="25" t="s">
        <v>4031</v>
      </c>
      <c r="C328" s="26" t="s">
        <v>311</v>
      </c>
      <c r="D328" s="26" t="s">
        <v>149</v>
      </c>
      <c r="E328" s="26" t="s">
        <v>18</v>
      </c>
      <c r="F328" s="26" t="s">
        <v>19</v>
      </c>
      <c r="G328" s="26" t="s">
        <v>3586</v>
      </c>
      <c r="H328" s="26" t="s">
        <v>3605</v>
      </c>
      <c r="I328" s="26">
        <v>2023</v>
      </c>
      <c r="J328" s="26"/>
      <c r="K328" s="26"/>
      <c r="L328" s="26"/>
      <c r="M328" s="27" t="s">
        <v>3180</v>
      </c>
    </row>
    <row r="329" spans="1:13" x14ac:dyDescent="0.35">
      <c r="A329" s="28" t="s">
        <v>1102</v>
      </c>
      <c r="B329" s="29" t="s">
        <v>4032</v>
      </c>
      <c r="C329" s="30" t="s">
        <v>311</v>
      </c>
      <c r="D329" s="30" t="s">
        <v>149</v>
      </c>
      <c r="E329" s="30" t="s">
        <v>18</v>
      </c>
      <c r="F329" s="30" t="s">
        <v>19</v>
      </c>
      <c r="G329" s="30" t="s">
        <v>3594</v>
      </c>
      <c r="H329" s="30" t="s">
        <v>3606</v>
      </c>
      <c r="I329" s="30">
        <v>2023</v>
      </c>
      <c r="J329" s="30"/>
      <c r="K329" s="30"/>
      <c r="L329" s="30"/>
      <c r="M329" s="27" t="s">
        <v>3180</v>
      </c>
    </row>
    <row r="330" spans="1:13" x14ac:dyDescent="0.35">
      <c r="A330" s="24" t="s">
        <v>1104</v>
      </c>
      <c r="B330" s="25" t="s">
        <v>4033</v>
      </c>
      <c r="C330" s="26" t="s">
        <v>139</v>
      </c>
      <c r="D330" s="26" t="s">
        <v>1107</v>
      </c>
      <c r="E330" s="26" t="s">
        <v>18</v>
      </c>
      <c r="F330" s="26" t="s">
        <v>88</v>
      </c>
      <c r="G330" s="26" t="s">
        <v>3594</v>
      </c>
      <c r="H330" s="26" t="s">
        <v>3607</v>
      </c>
      <c r="I330" s="26">
        <v>2023</v>
      </c>
      <c r="J330" s="26" t="s">
        <v>2989</v>
      </c>
      <c r="K330" s="26">
        <v>85</v>
      </c>
      <c r="L330" s="26">
        <v>2022</v>
      </c>
      <c r="M330" s="31" t="s">
        <v>3186</v>
      </c>
    </row>
    <row r="331" spans="1:13" x14ac:dyDescent="0.35">
      <c r="A331" s="28" t="s">
        <v>1109</v>
      </c>
      <c r="B331" s="29" t="s">
        <v>4034</v>
      </c>
      <c r="C331" s="30" t="s">
        <v>27</v>
      </c>
      <c r="D331" s="30" t="s">
        <v>60</v>
      </c>
      <c r="E331" s="30" t="s">
        <v>18</v>
      </c>
      <c r="F331" s="30" t="s">
        <v>19</v>
      </c>
      <c r="G331" s="30" t="s">
        <v>3570</v>
      </c>
      <c r="H331" s="30" t="s">
        <v>3608</v>
      </c>
      <c r="I331" s="30">
        <v>2023</v>
      </c>
      <c r="J331" s="30"/>
      <c r="K331" s="30"/>
      <c r="L331" s="30"/>
      <c r="M331" s="27" t="s">
        <v>3180</v>
      </c>
    </row>
    <row r="332" spans="1:13" x14ac:dyDescent="0.35">
      <c r="A332" s="24" t="s">
        <v>1112</v>
      </c>
      <c r="B332" s="25" t="s">
        <v>4035</v>
      </c>
      <c r="C332" s="26" t="s">
        <v>27</v>
      </c>
      <c r="D332" s="26" t="s">
        <v>60</v>
      </c>
      <c r="E332" s="26" t="s">
        <v>18</v>
      </c>
      <c r="F332" s="26" t="s">
        <v>19</v>
      </c>
      <c r="G332" s="26" t="s">
        <v>3609</v>
      </c>
      <c r="H332" s="26" t="s">
        <v>3610</v>
      </c>
      <c r="I332" s="26">
        <v>2023</v>
      </c>
      <c r="J332" s="26"/>
      <c r="K332" s="26"/>
      <c r="L332" s="26"/>
      <c r="M332" s="27" t="s">
        <v>3180</v>
      </c>
    </row>
    <row r="333" spans="1:13" x14ac:dyDescent="0.35">
      <c r="A333" s="28" t="s">
        <v>1115</v>
      </c>
      <c r="B333" s="29" t="s">
        <v>4036</v>
      </c>
      <c r="C333" s="30" t="s">
        <v>148</v>
      </c>
      <c r="D333" s="30" t="s">
        <v>93</v>
      </c>
      <c r="E333" s="30" t="s">
        <v>18</v>
      </c>
      <c r="F333" s="30" t="s">
        <v>177</v>
      </c>
      <c r="G333" s="30" t="s">
        <v>3611</v>
      </c>
      <c r="H333" s="30" t="s">
        <v>3612</v>
      </c>
      <c r="I333" s="30">
        <v>2023</v>
      </c>
      <c r="J333" s="30"/>
      <c r="K333" s="30"/>
      <c r="L333" s="30"/>
      <c r="M333" s="27" t="s">
        <v>3180</v>
      </c>
    </row>
    <row r="334" spans="1:13" x14ac:dyDescent="0.35">
      <c r="A334" s="24" t="s">
        <v>1119</v>
      </c>
      <c r="B334" s="25" t="s">
        <v>4037</v>
      </c>
      <c r="C334" s="26" t="s">
        <v>154</v>
      </c>
      <c r="D334" s="26" t="s">
        <v>93</v>
      </c>
      <c r="E334" s="26" t="s">
        <v>18</v>
      </c>
      <c r="F334" s="26" t="s">
        <v>88</v>
      </c>
      <c r="G334" s="26" t="s">
        <v>3613</v>
      </c>
      <c r="H334" s="26" t="s">
        <v>3614</v>
      </c>
      <c r="I334" s="26">
        <v>2024</v>
      </c>
      <c r="J334" s="26" t="s">
        <v>2169</v>
      </c>
      <c r="K334" s="26">
        <v>100</v>
      </c>
      <c r="L334" s="26">
        <v>2023</v>
      </c>
      <c r="M334" s="31" t="s">
        <v>3186</v>
      </c>
    </row>
    <row r="335" spans="1:13" x14ac:dyDescent="0.35">
      <c r="A335" s="28" t="s">
        <v>1122</v>
      </c>
      <c r="B335" s="29" t="s">
        <v>4038</v>
      </c>
      <c r="C335" s="30" t="s">
        <v>154</v>
      </c>
      <c r="D335" s="30" t="s">
        <v>93</v>
      </c>
      <c r="E335" s="30" t="s">
        <v>18</v>
      </c>
      <c r="F335" s="30" t="s">
        <v>88</v>
      </c>
      <c r="G335" s="30" t="s">
        <v>3615</v>
      </c>
      <c r="H335" s="30" t="s">
        <v>3616</v>
      </c>
      <c r="I335" s="30">
        <v>2023</v>
      </c>
      <c r="J335" s="30"/>
      <c r="K335" s="30"/>
      <c r="L335" s="30"/>
      <c r="M335" s="27" t="s">
        <v>3180</v>
      </c>
    </row>
    <row r="336" spans="1:13" x14ac:dyDescent="0.35">
      <c r="A336" s="24" t="s">
        <v>1125</v>
      </c>
      <c r="B336" s="25" t="s">
        <v>1127</v>
      </c>
      <c r="C336" s="26" t="s">
        <v>154</v>
      </c>
      <c r="D336" s="26" t="s">
        <v>93</v>
      </c>
      <c r="E336" s="26" t="s">
        <v>18</v>
      </c>
      <c r="F336" s="26" t="s">
        <v>88</v>
      </c>
      <c r="G336" s="26" t="s">
        <v>3617</v>
      </c>
      <c r="H336" s="26" t="s">
        <v>3618</v>
      </c>
      <c r="I336" s="26">
        <v>2023</v>
      </c>
      <c r="J336" s="26"/>
      <c r="K336" s="26"/>
      <c r="L336" s="26"/>
      <c r="M336" s="27" t="s">
        <v>3180</v>
      </c>
    </row>
    <row r="337" spans="1:13" x14ac:dyDescent="0.35">
      <c r="A337" s="28" t="s">
        <v>1129</v>
      </c>
      <c r="B337" s="29" t="s">
        <v>1130</v>
      </c>
      <c r="C337" s="30" t="s">
        <v>154</v>
      </c>
      <c r="D337" s="30" t="s">
        <v>93</v>
      </c>
      <c r="E337" s="30" t="s">
        <v>18</v>
      </c>
      <c r="F337" s="30" t="s">
        <v>177</v>
      </c>
      <c r="G337" s="30" t="s">
        <v>3619</v>
      </c>
      <c r="H337" s="30" t="s">
        <v>3404</v>
      </c>
      <c r="I337" s="30">
        <v>2023</v>
      </c>
      <c r="J337" s="30" t="s">
        <v>2356</v>
      </c>
      <c r="K337" s="30">
        <v>100</v>
      </c>
      <c r="L337" s="30">
        <v>2023</v>
      </c>
      <c r="M337" s="31" t="s">
        <v>3186</v>
      </c>
    </row>
    <row r="338" spans="1:13" x14ac:dyDescent="0.35">
      <c r="A338" s="24" t="s">
        <v>1132</v>
      </c>
      <c r="B338" s="25" t="s">
        <v>4039</v>
      </c>
      <c r="C338" s="26" t="s">
        <v>154</v>
      </c>
      <c r="D338" s="26" t="s">
        <v>93</v>
      </c>
      <c r="E338" s="26" t="s">
        <v>18</v>
      </c>
      <c r="F338" s="26" t="s">
        <v>88</v>
      </c>
      <c r="G338" s="26" t="s">
        <v>3363</v>
      </c>
      <c r="H338" s="26" t="s">
        <v>3620</v>
      </c>
      <c r="I338" s="26">
        <v>2024</v>
      </c>
      <c r="J338" s="26"/>
      <c r="K338" s="26"/>
      <c r="L338" s="26"/>
      <c r="M338" s="27" t="s">
        <v>3180</v>
      </c>
    </row>
    <row r="339" spans="1:13" x14ac:dyDescent="0.35">
      <c r="A339" s="28" t="s">
        <v>1135</v>
      </c>
      <c r="B339" s="29" t="s">
        <v>4040</v>
      </c>
      <c r="C339" s="30" t="s">
        <v>27</v>
      </c>
      <c r="D339" s="30" t="s">
        <v>28</v>
      </c>
      <c r="E339" s="30" t="s">
        <v>18</v>
      </c>
      <c r="F339" s="30" t="s">
        <v>19</v>
      </c>
      <c r="G339" s="30" t="s">
        <v>3619</v>
      </c>
      <c r="H339" s="30" t="s">
        <v>3621</v>
      </c>
      <c r="I339" s="30">
        <v>2023</v>
      </c>
      <c r="J339" s="30"/>
      <c r="K339" s="30"/>
      <c r="L339" s="30"/>
      <c r="M339" s="27" t="s">
        <v>3180</v>
      </c>
    </row>
    <row r="340" spans="1:13" x14ac:dyDescent="0.35">
      <c r="A340" s="24" t="s">
        <v>1138</v>
      </c>
      <c r="B340" s="25" t="s">
        <v>3926</v>
      </c>
      <c r="C340" s="26" t="s">
        <v>27</v>
      </c>
      <c r="D340" s="26" t="s">
        <v>28</v>
      </c>
      <c r="E340" s="26" t="s">
        <v>18</v>
      </c>
      <c r="F340" s="26" t="s">
        <v>19</v>
      </c>
      <c r="G340" s="26" t="s">
        <v>3601</v>
      </c>
      <c r="H340" s="26" t="s">
        <v>3602</v>
      </c>
      <c r="I340" s="26">
        <v>2023</v>
      </c>
      <c r="J340" s="26"/>
      <c r="K340" s="26"/>
      <c r="L340" s="26"/>
      <c r="M340" s="27" t="s">
        <v>3180</v>
      </c>
    </row>
    <row r="341" spans="1:13" x14ac:dyDescent="0.35">
      <c r="A341" s="28" t="s">
        <v>1140</v>
      </c>
      <c r="B341" s="29" t="s">
        <v>4041</v>
      </c>
      <c r="C341" s="30" t="s">
        <v>27</v>
      </c>
      <c r="D341" s="30" t="s">
        <v>28</v>
      </c>
      <c r="E341" s="30" t="s">
        <v>18</v>
      </c>
      <c r="F341" s="30" t="s">
        <v>19</v>
      </c>
      <c r="G341" s="30" t="s">
        <v>3601</v>
      </c>
      <c r="H341" s="30" t="s">
        <v>3602</v>
      </c>
      <c r="I341" s="30">
        <v>2023</v>
      </c>
      <c r="J341" s="30"/>
      <c r="K341" s="30"/>
      <c r="L341" s="30"/>
      <c r="M341" s="27" t="s">
        <v>3180</v>
      </c>
    </row>
    <row r="342" spans="1:13" x14ac:dyDescent="0.35">
      <c r="A342" s="24" t="s">
        <v>1143</v>
      </c>
      <c r="B342" s="25" t="s">
        <v>4042</v>
      </c>
      <c r="C342" s="26" t="s">
        <v>154</v>
      </c>
      <c r="D342" s="26" t="s">
        <v>93</v>
      </c>
      <c r="E342" s="26" t="s">
        <v>18</v>
      </c>
      <c r="F342" s="26" t="s">
        <v>88</v>
      </c>
      <c r="G342" s="26" t="s">
        <v>3622</v>
      </c>
      <c r="H342" s="26" t="s">
        <v>3488</v>
      </c>
      <c r="I342" s="26">
        <v>2023</v>
      </c>
      <c r="J342" s="26" t="s">
        <v>3109</v>
      </c>
      <c r="K342" s="26">
        <v>100</v>
      </c>
      <c r="L342" s="26">
        <v>2023</v>
      </c>
      <c r="M342" s="31" t="s">
        <v>3186</v>
      </c>
    </row>
    <row r="343" spans="1:13" x14ac:dyDescent="0.35">
      <c r="A343" s="28" t="s">
        <v>1147</v>
      </c>
      <c r="B343" s="29" t="s">
        <v>4043</v>
      </c>
      <c r="C343" s="30" t="s">
        <v>311</v>
      </c>
      <c r="D343" s="30" t="s">
        <v>149</v>
      </c>
      <c r="E343" s="30" t="s">
        <v>18</v>
      </c>
      <c r="F343" s="30" t="s">
        <v>19</v>
      </c>
      <c r="G343" s="30" t="s">
        <v>3619</v>
      </c>
      <c r="H343" s="30" t="s">
        <v>3621</v>
      </c>
      <c r="I343" s="30">
        <v>2023</v>
      </c>
      <c r="J343" s="30"/>
      <c r="K343" s="30"/>
      <c r="L343" s="30"/>
      <c r="M343" s="27" t="s">
        <v>3180</v>
      </c>
    </row>
    <row r="344" spans="1:13" x14ac:dyDescent="0.35">
      <c r="A344" s="24" t="s">
        <v>1149</v>
      </c>
      <c r="B344" s="25" t="s">
        <v>4044</v>
      </c>
      <c r="C344" s="26" t="s">
        <v>311</v>
      </c>
      <c r="D344" s="26" t="s">
        <v>149</v>
      </c>
      <c r="E344" s="26" t="s">
        <v>18</v>
      </c>
      <c r="F344" s="26" t="s">
        <v>19</v>
      </c>
      <c r="G344" s="26" t="s">
        <v>3611</v>
      </c>
      <c r="H344" s="26" t="s">
        <v>3612</v>
      </c>
      <c r="I344" s="26">
        <v>2023</v>
      </c>
      <c r="J344" s="26"/>
      <c r="K344" s="26"/>
      <c r="L344" s="26"/>
      <c r="M344" s="27" t="s">
        <v>3180</v>
      </c>
    </row>
    <row r="345" spans="1:13" x14ac:dyDescent="0.35">
      <c r="A345" s="28" t="s">
        <v>1151</v>
      </c>
      <c r="B345" s="29" t="s">
        <v>3990</v>
      </c>
      <c r="C345" s="30" t="s">
        <v>311</v>
      </c>
      <c r="D345" s="30" t="s">
        <v>149</v>
      </c>
      <c r="E345" s="30" t="s">
        <v>18</v>
      </c>
      <c r="F345" s="30" t="s">
        <v>19</v>
      </c>
      <c r="G345" s="30" t="s">
        <v>3611</v>
      </c>
      <c r="H345" s="30" t="s">
        <v>3612</v>
      </c>
      <c r="I345" s="30">
        <v>2023</v>
      </c>
      <c r="J345" s="30"/>
      <c r="K345" s="30"/>
      <c r="L345" s="30"/>
      <c r="M345" s="27" t="s">
        <v>3180</v>
      </c>
    </row>
    <row r="346" spans="1:13" x14ac:dyDescent="0.35">
      <c r="A346" s="24" t="s">
        <v>1152</v>
      </c>
      <c r="B346" s="25" t="s">
        <v>4045</v>
      </c>
      <c r="C346" s="26" t="s">
        <v>154</v>
      </c>
      <c r="D346" s="26" t="s">
        <v>93</v>
      </c>
      <c r="E346" s="26" t="s">
        <v>18</v>
      </c>
      <c r="F346" s="26" t="s">
        <v>88</v>
      </c>
      <c r="G346" s="26" t="s">
        <v>3623</v>
      </c>
      <c r="H346" s="26" t="s">
        <v>3624</v>
      </c>
      <c r="I346" s="26">
        <v>2023</v>
      </c>
      <c r="J346" s="26"/>
      <c r="K346" s="26"/>
      <c r="L346" s="26"/>
      <c r="M346" s="27" t="s">
        <v>3180</v>
      </c>
    </row>
    <row r="347" spans="1:13" x14ac:dyDescent="0.35">
      <c r="A347" s="28" t="s">
        <v>1156</v>
      </c>
      <c r="B347" s="29" t="s">
        <v>4046</v>
      </c>
      <c r="C347" s="30" t="s">
        <v>573</v>
      </c>
      <c r="D347" s="30" t="s">
        <v>118</v>
      </c>
      <c r="E347" s="30" t="s">
        <v>18</v>
      </c>
      <c r="F347" s="30" t="s">
        <v>88</v>
      </c>
      <c r="G347" s="30" t="s">
        <v>3625</v>
      </c>
      <c r="H347" s="30" t="s">
        <v>3626</v>
      </c>
      <c r="I347" s="30">
        <v>2023</v>
      </c>
      <c r="J347" s="30"/>
      <c r="K347" s="30"/>
      <c r="L347" s="30"/>
      <c r="M347" s="27" t="s">
        <v>3180</v>
      </c>
    </row>
    <row r="348" spans="1:13" x14ac:dyDescent="0.35">
      <c r="A348" s="24" t="s">
        <v>1159</v>
      </c>
      <c r="B348" s="25" t="s">
        <v>4047</v>
      </c>
      <c r="C348" s="26" t="s">
        <v>154</v>
      </c>
      <c r="D348" s="26" t="s">
        <v>93</v>
      </c>
      <c r="E348" s="26" t="s">
        <v>18</v>
      </c>
      <c r="F348" s="26" t="s">
        <v>88</v>
      </c>
      <c r="G348" s="26" t="s">
        <v>3627</v>
      </c>
      <c r="H348" s="26" t="s">
        <v>3628</v>
      </c>
      <c r="I348" s="26">
        <v>2023</v>
      </c>
      <c r="J348" s="26"/>
      <c r="K348" s="26"/>
      <c r="L348" s="26"/>
      <c r="M348" s="27" t="s">
        <v>3180</v>
      </c>
    </row>
    <row r="349" spans="1:13" x14ac:dyDescent="0.35">
      <c r="A349" s="28" t="s">
        <v>1163</v>
      </c>
      <c r="B349" s="29" t="s">
        <v>4047</v>
      </c>
      <c r="C349" s="30" t="s">
        <v>154</v>
      </c>
      <c r="D349" s="30" t="s">
        <v>93</v>
      </c>
      <c r="E349" s="30" t="s">
        <v>18</v>
      </c>
      <c r="F349" s="30" t="s">
        <v>88</v>
      </c>
      <c r="G349" s="30" t="s">
        <v>3627</v>
      </c>
      <c r="H349" s="30" t="s">
        <v>3628</v>
      </c>
      <c r="I349" s="30">
        <v>2023</v>
      </c>
      <c r="J349" s="30"/>
      <c r="K349" s="30"/>
      <c r="L349" s="30"/>
      <c r="M349" s="27" t="s">
        <v>3180</v>
      </c>
    </row>
    <row r="350" spans="1:13" x14ac:dyDescent="0.35">
      <c r="A350" s="24" t="s">
        <v>1165</v>
      </c>
      <c r="B350" s="25" t="s">
        <v>4045</v>
      </c>
      <c r="C350" s="26" t="s">
        <v>154</v>
      </c>
      <c r="D350" s="26" t="s">
        <v>93</v>
      </c>
      <c r="E350" s="26" t="s">
        <v>18</v>
      </c>
      <c r="F350" s="26" t="s">
        <v>88</v>
      </c>
      <c r="G350" s="26" t="s">
        <v>3623</v>
      </c>
      <c r="H350" s="26" t="s">
        <v>3624</v>
      </c>
      <c r="I350" s="26">
        <v>2023</v>
      </c>
      <c r="J350" s="26"/>
      <c r="K350" s="26"/>
      <c r="L350" s="26"/>
      <c r="M350" s="27" t="s">
        <v>3180</v>
      </c>
    </row>
    <row r="351" spans="1:13" x14ac:dyDescent="0.35">
      <c r="A351" s="28" t="s">
        <v>1168</v>
      </c>
      <c r="B351" s="29" t="s">
        <v>1169</v>
      </c>
      <c r="C351" s="30" t="s">
        <v>154</v>
      </c>
      <c r="D351" s="30" t="s">
        <v>93</v>
      </c>
      <c r="E351" s="30" t="s">
        <v>18</v>
      </c>
      <c r="F351" s="30" t="s">
        <v>177</v>
      </c>
      <c r="G351" s="30" t="s">
        <v>3629</v>
      </c>
      <c r="H351" s="30" t="s">
        <v>3630</v>
      </c>
      <c r="I351" s="30">
        <v>2023</v>
      </c>
      <c r="J351" s="30"/>
      <c r="K351" s="30"/>
      <c r="L351" s="30"/>
      <c r="M351" s="27" t="s">
        <v>3180</v>
      </c>
    </row>
    <row r="352" spans="1:13" x14ac:dyDescent="0.35">
      <c r="A352" s="24" t="s">
        <v>1171</v>
      </c>
      <c r="B352" s="25" t="s">
        <v>1173</v>
      </c>
      <c r="C352" s="26" t="s">
        <v>154</v>
      </c>
      <c r="D352" s="26" t="s">
        <v>93</v>
      </c>
      <c r="E352" s="26" t="s">
        <v>18</v>
      </c>
      <c r="F352" s="26" t="s">
        <v>88</v>
      </c>
      <c r="G352" s="26" t="s">
        <v>3631</v>
      </c>
      <c r="H352" s="26" t="s">
        <v>3632</v>
      </c>
      <c r="I352" s="26">
        <v>2023</v>
      </c>
      <c r="J352" s="26" t="s">
        <v>3072</v>
      </c>
      <c r="K352" s="26">
        <v>100</v>
      </c>
      <c r="L352" s="26">
        <v>2021</v>
      </c>
      <c r="M352" s="31" t="s">
        <v>3186</v>
      </c>
    </row>
    <row r="353" spans="1:13" x14ac:dyDescent="0.35">
      <c r="A353" s="28" t="s">
        <v>1175</v>
      </c>
      <c r="B353" s="29" t="s">
        <v>4035</v>
      </c>
      <c r="C353" s="30" t="s">
        <v>27</v>
      </c>
      <c r="D353" s="30" t="s">
        <v>60</v>
      </c>
      <c r="E353" s="30" t="s">
        <v>18</v>
      </c>
      <c r="F353" s="30" t="s">
        <v>19</v>
      </c>
      <c r="G353" s="30" t="s">
        <v>3627</v>
      </c>
      <c r="H353" s="30" t="s">
        <v>3358</v>
      </c>
      <c r="I353" s="30">
        <v>2023</v>
      </c>
      <c r="J353" s="30"/>
      <c r="K353" s="30"/>
      <c r="L353" s="30"/>
      <c r="M353" s="27" t="s">
        <v>3180</v>
      </c>
    </row>
    <row r="354" spans="1:13" x14ac:dyDescent="0.35">
      <c r="A354" s="24" t="s">
        <v>1177</v>
      </c>
      <c r="B354" s="25" t="s">
        <v>1178</v>
      </c>
      <c r="C354" s="26" t="s">
        <v>154</v>
      </c>
      <c r="D354" s="26" t="s">
        <v>93</v>
      </c>
      <c r="E354" s="26" t="s">
        <v>18</v>
      </c>
      <c r="F354" s="26" t="s">
        <v>88</v>
      </c>
      <c r="G354" s="26" t="s">
        <v>3633</v>
      </c>
      <c r="H354" s="26" t="s">
        <v>3634</v>
      </c>
      <c r="I354" s="26">
        <v>2024</v>
      </c>
      <c r="J354" s="26"/>
      <c r="K354" s="26"/>
      <c r="L354" s="26"/>
      <c r="M354" s="27" t="s">
        <v>3180</v>
      </c>
    </row>
    <row r="355" spans="1:13" x14ac:dyDescent="0.35">
      <c r="A355" s="28" t="s">
        <v>1180</v>
      </c>
      <c r="B355" s="29" t="s">
        <v>1178</v>
      </c>
      <c r="C355" s="30" t="s">
        <v>154</v>
      </c>
      <c r="D355" s="30" t="s">
        <v>93</v>
      </c>
      <c r="E355" s="30" t="s">
        <v>18</v>
      </c>
      <c r="F355" s="30" t="s">
        <v>88</v>
      </c>
      <c r="G355" s="30" t="s">
        <v>3635</v>
      </c>
      <c r="H355" s="30" t="s">
        <v>3636</v>
      </c>
      <c r="I355" s="30">
        <v>2023</v>
      </c>
      <c r="J355" s="30"/>
      <c r="K355" s="30"/>
      <c r="L355" s="30"/>
      <c r="M355" s="27" t="s">
        <v>3180</v>
      </c>
    </row>
    <row r="356" spans="1:13" x14ac:dyDescent="0.35">
      <c r="A356" s="24" t="s">
        <v>1182</v>
      </c>
      <c r="B356" s="25" t="s">
        <v>4028</v>
      </c>
      <c r="C356" s="26" t="s">
        <v>148</v>
      </c>
      <c r="D356" s="26" t="s">
        <v>93</v>
      </c>
      <c r="E356" s="26" t="s">
        <v>18</v>
      </c>
      <c r="F356" s="26" t="s">
        <v>88</v>
      </c>
      <c r="G356" s="26" t="s">
        <v>3637</v>
      </c>
      <c r="H356" s="26" t="s">
        <v>3638</v>
      </c>
      <c r="I356" s="26">
        <v>2023</v>
      </c>
      <c r="J356" s="26"/>
      <c r="K356" s="26"/>
      <c r="L356" s="26"/>
      <c r="M356" s="27" t="s">
        <v>3180</v>
      </c>
    </row>
    <row r="357" spans="1:13" x14ac:dyDescent="0.35">
      <c r="A357" s="28" t="s">
        <v>1185</v>
      </c>
      <c r="B357" s="29" t="s">
        <v>4028</v>
      </c>
      <c r="C357" s="30" t="s">
        <v>148</v>
      </c>
      <c r="D357" s="30" t="s">
        <v>93</v>
      </c>
      <c r="E357" s="30" t="s">
        <v>18</v>
      </c>
      <c r="F357" s="30" t="s">
        <v>88</v>
      </c>
      <c r="G357" s="30" t="s">
        <v>3639</v>
      </c>
      <c r="H357" s="30" t="s">
        <v>3640</v>
      </c>
      <c r="I357" s="30">
        <v>2023</v>
      </c>
      <c r="J357" s="30"/>
      <c r="K357" s="30"/>
      <c r="L357" s="30"/>
      <c r="M357" s="27" t="s">
        <v>3180</v>
      </c>
    </row>
    <row r="358" spans="1:13" x14ac:dyDescent="0.35">
      <c r="A358" s="24" t="s">
        <v>1188</v>
      </c>
      <c r="B358" s="25" t="s">
        <v>4048</v>
      </c>
      <c r="C358" s="26" t="s">
        <v>148</v>
      </c>
      <c r="D358" s="26" t="s">
        <v>17</v>
      </c>
      <c r="E358" s="26" t="s">
        <v>18</v>
      </c>
      <c r="F358" s="26" t="s">
        <v>19</v>
      </c>
      <c r="G358" s="26" t="s">
        <v>3637</v>
      </c>
      <c r="H358" s="26" t="s">
        <v>3638</v>
      </c>
      <c r="I358" s="26">
        <v>2023</v>
      </c>
      <c r="J358" s="26" t="s">
        <v>2962</v>
      </c>
      <c r="K358" s="26">
        <v>93.3</v>
      </c>
      <c r="L358" s="26">
        <v>2023</v>
      </c>
      <c r="M358" s="31" t="s">
        <v>3186</v>
      </c>
    </row>
    <row r="359" spans="1:13" x14ac:dyDescent="0.35">
      <c r="A359" s="28" t="s">
        <v>1192</v>
      </c>
      <c r="B359" s="29" t="s">
        <v>4049</v>
      </c>
      <c r="C359" s="30" t="s">
        <v>154</v>
      </c>
      <c r="D359" s="30" t="s">
        <v>93</v>
      </c>
      <c r="E359" s="30" t="s">
        <v>18</v>
      </c>
      <c r="F359" s="30" t="s">
        <v>177</v>
      </c>
      <c r="G359" s="30" t="s">
        <v>3641</v>
      </c>
      <c r="H359" s="30" t="s">
        <v>3642</v>
      </c>
      <c r="I359" s="30">
        <v>2024</v>
      </c>
      <c r="J359" s="30"/>
      <c r="K359" s="30"/>
      <c r="L359" s="30"/>
      <c r="M359" s="27" t="s">
        <v>3180</v>
      </c>
    </row>
    <row r="360" spans="1:13" x14ac:dyDescent="0.35">
      <c r="A360" s="24" t="s">
        <v>1194</v>
      </c>
      <c r="B360" s="25" t="s">
        <v>1195</v>
      </c>
      <c r="C360" s="26" t="s">
        <v>154</v>
      </c>
      <c r="D360" s="26" t="s">
        <v>93</v>
      </c>
      <c r="E360" s="26" t="s">
        <v>18</v>
      </c>
      <c r="F360" s="26" t="s">
        <v>88</v>
      </c>
      <c r="G360" s="26" t="s">
        <v>3643</v>
      </c>
      <c r="H360" s="26" t="s">
        <v>3644</v>
      </c>
      <c r="I360" s="26">
        <v>2023</v>
      </c>
      <c r="J360" s="26" t="s">
        <v>2059</v>
      </c>
      <c r="K360" s="26">
        <v>97.1</v>
      </c>
      <c r="L360" s="26">
        <v>2025</v>
      </c>
      <c r="M360" s="31" t="s">
        <v>3186</v>
      </c>
    </row>
    <row r="361" spans="1:13" x14ac:dyDescent="0.35">
      <c r="A361" s="28" t="s">
        <v>1197</v>
      </c>
      <c r="B361" s="29" t="s">
        <v>1169</v>
      </c>
      <c r="C361" s="30" t="s">
        <v>154</v>
      </c>
      <c r="D361" s="30" t="s">
        <v>93</v>
      </c>
      <c r="E361" s="30" t="s">
        <v>18</v>
      </c>
      <c r="F361" s="30" t="s">
        <v>177</v>
      </c>
      <c r="G361" s="30" t="s">
        <v>3629</v>
      </c>
      <c r="H361" s="30" t="s">
        <v>3630</v>
      </c>
      <c r="I361" s="30">
        <v>2023</v>
      </c>
      <c r="J361" s="30"/>
      <c r="K361" s="30"/>
      <c r="L361" s="30"/>
      <c r="M361" s="27" t="s">
        <v>3180</v>
      </c>
    </row>
    <row r="362" spans="1:13" x14ac:dyDescent="0.35">
      <c r="A362" s="24" t="s">
        <v>1199</v>
      </c>
      <c r="B362" s="25" t="s">
        <v>1169</v>
      </c>
      <c r="C362" s="26" t="s">
        <v>154</v>
      </c>
      <c r="D362" s="26" t="s">
        <v>93</v>
      </c>
      <c r="E362" s="26" t="s">
        <v>18</v>
      </c>
      <c r="F362" s="26" t="s">
        <v>177</v>
      </c>
      <c r="G362" s="26" t="s">
        <v>3629</v>
      </c>
      <c r="H362" s="26" t="s">
        <v>3630</v>
      </c>
      <c r="I362" s="26">
        <v>2023</v>
      </c>
      <c r="J362" s="26"/>
      <c r="K362" s="26"/>
      <c r="L362" s="26"/>
      <c r="M362" s="27" t="s">
        <v>3180</v>
      </c>
    </row>
    <row r="363" spans="1:13" x14ac:dyDescent="0.35">
      <c r="A363" s="28" t="s">
        <v>1201</v>
      </c>
      <c r="B363" s="29" t="s">
        <v>3940</v>
      </c>
      <c r="C363" s="30" t="s">
        <v>27</v>
      </c>
      <c r="D363" s="30" t="s">
        <v>118</v>
      </c>
      <c r="E363" s="30" t="s">
        <v>18</v>
      </c>
      <c r="F363" s="30" t="s">
        <v>19</v>
      </c>
      <c r="G363" s="30" t="s">
        <v>3645</v>
      </c>
      <c r="H363" s="30" t="s">
        <v>3646</v>
      </c>
      <c r="I363" s="30">
        <v>2023</v>
      </c>
      <c r="J363" s="30"/>
      <c r="K363" s="30"/>
      <c r="L363" s="30"/>
      <c r="M363" s="27" t="s">
        <v>3180</v>
      </c>
    </row>
    <row r="364" spans="1:13" x14ac:dyDescent="0.35">
      <c r="A364" s="24" t="s">
        <v>1204</v>
      </c>
      <c r="B364" s="25" t="s">
        <v>4050</v>
      </c>
      <c r="C364" s="26" t="s">
        <v>311</v>
      </c>
      <c r="D364" s="26" t="s">
        <v>149</v>
      </c>
      <c r="E364" s="26" t="s">
        <v>18</v>
      </c>
      <c r="F364" s="26" t="s">
        <v>19</v>
      </c>
      <c r="G364" s="26" t="s">
        <v>3647</v>
      </c>
      <c r="H364" s="26" t="s">
        <v>3648</v>
      </c>
      <c r="I364" s="26">
        <v>2023</v>
      </c>
      <c r="J364" s="26"/>
      <c r="K364" s="26"/>
      <c r="L364" s="26"/>
      <c r="M364" s="27" t="s">
        <v>3180</v>
      </c>
    </row>
    <row r="365" spans="1:13" x14ac:dyDescent="0.35">
      <c r="A365" s="28" t="s">
        <v>1206</v>
      </c>
      <c r="B365" s="29" t="s">
        <v>4051</v>
      </c>
      <c r="C365" s="30" t="s">
        <v>573</v>
      </c>
      <c r="D365" s="30" t="s">
        <v>395</v>
      </c>
      <c r="E365" s="30" t="s">
        <v>18</v>
      </c>
      <c r="F365" s="30" t="s">
        <v>19</v>
      </c>
      <c r="G365" s="30" t="s">
        <v>3649</v>
      </c>
      <c r="H365" s="30" t="s">
        <v>3360</v>
      </c>
      <c r="I365" s="30">
        <v>2023</v>
      </c>
      <c r="J365" s="30" t="s">
        <v>2488</v>
      </c>
      <c r="K365" s="30">
        <v>90.4</v>
      </c>
      <c r="L365" s="30">
        <v>2022</v>
      </c>
      <c r="M365" s="31" t="s">
        <v>3186</v>
      </c>
    </row>
    <row r="366" spans="1:13" x14ac:dyDescent="0.35">
      <c r="A366" s="24" t="s">
        <v>1210</v>
      </c>
      <c r="B366" s="25" t="s">
        <v>4052</v>
      </c>
      <c r="C366" s="26" t="s">
        <v>311</v>
      </c>
      <c r="D366" s="26" t="s">
        <v>149</v>
      </c>
      <c r="E366" s="26" t="s">
        <v>18</v>
      </c>
      <c r="F366" s="26" t="s">
        <v>19</v>
      </c>
      <c r="G366" s="26" t="s">
        <v>3615</v>
      </c>
      <c r="H366" s="26" t="s">
        <v>3650</v>
      </c>
      <c r="I366" s="26">
        <v>2023</v>
      </c>
      <c r="J366" s="26"/>
      <c r="K366" s="26"/>
      <c r="L366" s="26"/>
      <c r="M366" s="27" t="s">
        <v>3180</v>
      </c>
    </row>
    <row r="367" spans="1:13" x14ac:dyDescent="0.35">
      <c r="A367" s="28" t="s">
        <v>1213</v>
      </c>
      <c r="B367" s="29" t="s">
        <v>4053</v>
      </c>
      <c r="C367" s="30" t="s">
        <v>311</v>
      </c>
      <c r="D367" s="30" t="s">
        <v>149</v>
      </c>
      <c r="E367" s="30" t="s">
        <v>18</v>
      </c>
      <c r="F367" s="30" t="s">
        <v>19</v>
      </c>
      <c r="G367" s="30" t="s">
        <v>3623</v>
      </c>
      <c r="H367" s="30" t="s">
        <v>3651</v>
      </c>
      <c r="I367" s="30">
        <v>2023</v>
      </c>
      <c r="J367" s="30"/>
      <c r="K367" s="30"/>
      <c r="L367" s="30"/>
      <c r="M367" s="27" t="s">
        <v>3180</v>
      </c>
    </row>
    <row r="368" spans="1:13" x14ac:dyDescent="0.35">
      <c r="A368" s="24" t="s">
        <v>1215</v>
      </c>
      <c r="B368" s="25" t="s">
        <v>4054</v>
      </c>
      <c r="C368" s="26" t="s">
        <v>573</v>
      </c>
      <c r="D368" s="26" t="s">
        <v>1218</v>
      </c>
      <c r="E368" s="26" t="s">
        <v>18</v>
      </c>
      <c r="F368" s="26" t="s">
        <v>19</v>
      </c>
      <c r="G368" s="26" t="s">
        <v>3652</v>
      </c>
      <c r="H368" s="26" t="s">
        <v>3653</v>
      </c>
      <c r="I368" s="26">
        <v>2023</v>
      </c>
      <c r="J368" s="26"/>
      <c r="K368" s="26"/>
      <c r="L368" s="26"/>
      <c r="M368" s="27" t="s">
        <v>3180</v>
      </c>
    </row>
    <row r="369" spans="1:13" x14ac:dyDescent="0.35">
      <c r="A369" s="28" t="s">
        <v>1220</v>
      </c>
      <c r="B369" s="29" t="s">
        <v>4055</v>
      </c>
      <c r="C369" s="30" t="s">
        <v>311</v>
      </c>
      <c r="D369" s="30" t="s">
        <v>149</v>
      </c>
      <c r="E369" s="30" t="s">
        <v>18</v>
      </c>
      <c r="F369" s="30" t="s">
        <v>19</v>
      </c>
      <c r="G369" s="30" t="s">
        <v>3581</v>
      </c>
      <c r="H369" s="30" t="s">
        <v>3654</v>
      </c>
      <c r="I369" s="30">
        <v>2023</v>
      </c>
      <c r="J369" s="30"/>
      <c r="K369" s="30"/>
      <c r="L369" s="30"/>
      <c r="M369" s="27" t="s">
        <v>3180</v>
      </c>
    </row>
    <row r="370" spans="1:13" x14ac:dyDescent="0.35">
      <c r="A370" s="24" t="s">
        <v>1222</v>
      </c>
      <c r="B370" s="25" t="s">
        <v>3866</v>
      </c>
      <c r="C370" s="26" t="s">
        <v>139</v>
      </c>
      <c r="D370" s="26" t="s">
        <v>93</v>
      </c>
      <c r="E370" s="26" t="s">
        <v>18</v>
      </c>
      <c r="F370" s="26" t="s">
        <v>88</v>
      </c>
      <c r="G370" s="26" t="s">
        <v>3655</v>
      </c>
      <c r="H370" s="26" t="s">
        <v>3656</v>
      </c>
      <c r="I370" s="26">
        <v>2023</v>
      </c>
      <c r="J370" s="26" t="s">
        <v>2805</v>
      </c>
      <c r="K370" s="26">
        <v>100</v>
      </c>
      <c r="L370" s="26">
        <v>2023</v>
      </c>
      <c r="M370" s="31" t="s">
        <v>3186</v>
      </c>
    </row>
    <row r="371" spans="1:13" x14ac:dyDescent="0.35">
      <c r="A371" s="28" t="s">
        <v>1225</v>
      </c>
      <c r="B371" s="29" t="s">
        <v>1226</v>
      </c>
      <c r="C371" s="30" t="s">
        <v>154</v>
      </c>
      <c r="D371" s="30" t="s">
        <v>93</v>
      </c>
      <c r="E371" s="30" t="s">
        <v>18</v>
      </c>
      <c r="F371" s="30" t="s">
        <v>88</v>
      </c>
      <c r="G371" s="30" t="s">
        <v>3657</v>
      </c>
      <c r="H371" s="30" t="s">
        <v>3658</v>
      </c>
      <c r="I371" s="30">
        <v>2023</v>
      </c>
      <c r="J371" s="30"/>
      <c r="K371" s="30"/>
      <c r="L371" s="30"/>
      <c r="M371" s="27" t="s">
        <v>3180</v>
      </c>
    </row>
    <row r="372" spans="1:13" x14ac:dyDescent="0.35">
      <c r="A372" s="24" t="s">
        <v>1227</v>
      </c>
      <c r="B372" s="25" t="s">
        <v>4056</v>
      </c>
      <c r="C372" s="26" t="s">
        <v>154</v>
      </c>
      <c r="D372" s="26" t="s">
        <v>93</v>
      </c>
      <c r="E372" s="26" t="s">
        <v>18</v>
      </c>
      <c r="F372" s="26" t="s">
        <v>177</v>
      </c>
      <c r="G372" s="26" t="s">
        <v>3659</v>
      </c>
      <c r="H372" s="26" t="s">
        <v>3660</v>
      </c>
      <c r="I372" s="26">
        <v>2023</v>
      </c>
      <c r="J372" s="26"/>
      <c r="K372" s="26"/>
      <c r="L372" s="26"/>
      <c r="M372" s="27" t="s">
        <v>3180</v>
      </c>
    </row>
    <row r="373" spans="1:13" x14ac:dyDescent="0.35">
      <c r="A373" s="28" t="s">
        <v>1230</v>
      </c>
      <c r="B373" s="29" t="s">
        <v>4057</v>
      </c>
      <c r="C373" s="30" t="s">
        <v>311</v>
      </c>
      <c r="D373" s="30" t="s">
        <v>149</v>
      </c>
      <c r="E373" s="30" t="s">
        <v>18</v>
      </c>
      <c r="F373" s="30" t="s">
        <v>19</v>
      </c>
      <c r="G373" s="30" t="s">
        <v>3661</v>
      </c>
      <c r="H373" s="30" t="s">
        <v>3662</v>
      </c>
      <c r="I373" s="30">
        <v>2023</v>
      </c>
      <c r="J373" s="30"/>
      <c r="K373" s="30"/>
      <c r="L373" s="30"/>
      <c r="M373" s="27" t="s">
        <v>3180</v>
      </c>
    </row>
    <row r="374" spans="1:13" x14ac:dyDescent="0.35">
      <c r="A374" s="24" t="s">
        <v>1232</v>
      </c>
      <c r="B374" s="25" t="s">
        <v>1195</v>
      </c>
      <c r="C374" s="26" t="s">
        <v>154</v>
      </c>
      <c r="D374" s="26" t="s">
        <v>93</v>
      </c>
      <c r="E374" s="26" t="s">
        <v>18</v>
      </c>
      <c r="F374" s="26" t="s">
        <v>88</v>
      </c>
      <c r="G374" s="26" t="s">
        <v>3663</v>
      </c>
      <c r="H374" s="26" t="s">
        <v>3423</v>
      </c>
      <c r="I374" s="26">
        <v>2023</v>
      </c>
      <c r="J374" s="26" t="s">
        <v>2059</v>
      </c>
      <c r="K374" s="26">
        <v>97.1</v>
      </c>
      <c r="L374" s="26">
        <v>2025</v>
      </c>
      <c r="M374" s="31" t="s">
        <v>3186</v>
      </c>
    </row>
    <row r="375" spans="1:13" x14ac:dyDescent="0.35">
      <c r="A375" s="28" t="s">
        <v>1234</v>
      </c>
      <c r="B375" s="29" t="s">
        <v>4058</v>
      </c>
      <c r="C375" s="30" t="s">
        <v>573</v>
      </c>
      <c r="D375" s="30" t="s">
        <v>395</v>
      </c>
      <c r="E375" s="30" t="s">
        <v>18</v>
      </c>
      <c r="F375" s="30" t="s">
        <v>19</v>
      </c>
      <c r="G375" s="30" t="s">
        <v>3663</v>
      </c>
      <c r="H375" s="30" t="s">
        <v>3664</v>
      </c>
      <c r="I375" s="30">
        <v>2023</v>
      </c>
      <c r="J375" s="30"/>
      <c r="K375" s="30"/>
      <c r="L375" s="30"/>
      <c r="M375" s="27" t="s">
        <v>3180</v>
      </c>
    </row>
    <row r="376" spans="1:13" x14ac:dyDescent="0.35">
      <c r="A376" s="24" t="s">
        <v>1238</v>
      </c>
      <c r="B376" s="25" t="s">
        <v>4059</v>
      </c>
      <c r="C376" s="26" t="s">
        <v>139</v>
      </c>
      <c r="D376" s="26" t="s">
        <v>93</v>
      </c>
      <c r="E376" s="26" t="s">
        <v>18</v>
      </c>
      <c r="F376" s="26" t="s">
        <v>88</v>
      </c>
      <c r="G376" s="26" t="s">
        <v>3647</v>
      </c>
      <c r="H376" s="26" t="s">
        <v>3665</v>
      </c>
      <c r="I376" s="26">
        <v>2023</v>
      </c>
      <c r="J376" s="26" t="s">
        <v>1976</v>
      </c>
      <c r="K376" s="26">
        <v>100</v>
      </c>
      <c r="L376" s="26">
        <v>2023</v>
      </c>
      <c r="M376" s="31" t="s">
        <v>3186</v>
      </c>
    </row>
    <row r="377" spans="1:13" x14ac:dyDescent="0.35">
      <c r="A377" s="28" t="s">
        <v>1242</v>
      </c>
      <c r="B377" s="29" t="s">
        <v>4060</v>
      </c>
      <c r="C377" s="30" t="s">
        <v>148</v>
      </c>
      <c r="D377" s="30" t="s">
        <v>17</v>
      </c>
      <c r="E377" s="30" t="s">
        <v>18</v>
      </c>
      <c r="F377" s="30" t="s">
        <v>163</v>
      </c>
      <c r="G377" s="30" t="s">
        <v>3633</v>
      </c>
      <c r="H377" s="30" t="s">
        <v>3666</v>
      </c>
      <c r="I377" s="30">
        <v>2024</v>
      </c>
      <c r="J377" s="30" t="s">
        <v>2553</v>
      </c>
      <c r="K377" s="30">
        <v>100</v>
      </c>
      <c r="L377" s="30">
        <v>2023</v>
      </c>
      <c r="M377" s="31" t="s">
        <v>3186</v>
      </c>
    </row>
    <row r="378" spans="1:13" x14ac:dyDescent="0.35">
      <c r="A378" s="24" t="s">
        <v>1246</v>
      </c>
      <c r="B378" s="25" t="s">
        <v>4060</v>
      </c>
      <c r="C378" s="26" t="s">
        <v>148</v>
      </c>
      <c r="D378" s="26" t="s">
        <v>17</v>
      </c>
      <c r="E378" s="26" t="s">
        <v>18</v>
      </c>
      <c r="F378" s="26" t="s">
        <v>163</v>
      </c>
      <c r="G378" s="26" t="s">
        <v>3633</v>
      </c>
      <c r="H378" s="26" t="s">
        <v>3666</v>
      </c>
      <c r="I378" s="26">
        <v>2024</v>
      </c>
      <c r="J378" s="26" t="s">
        <v>2553</v>
      </c>
      <c r="K378" s="26">
        <v>100</v>
      </c>
      <c r="L378" s="26">
        <v>2023</v>
      </c>
      <c r="M378" s="31" t="s">
        <v>3186</v>
      </c>
    </row>
    <row r="379" spans="1:13" x14ac:dyDescent="0.35">
      <c r="A379" s="28" t="s">
        <v>1249</v>
      </c>
      <c r="B379" s="29" t="s">
        <v>4061</v>
      </c>
      <c r="C379" s="30" t="s">
        <v>573</v>
      </c>
      <c r="D379" s="30" t="s">
        <v>395</v>
      </c>
      <c r="E379" s="30" t="s">
        <v>18</v>
      </c>
      <c r="F379" s="30" t="s">
        <v>101</v>
      </c>
      <c r="G379" s="30" t="s">
        <v>3667</v>
      </c>
      <c r="H379" s="30" t="s">
        <v>3668</v>
      </c>
      <c r="I379" s="30">
        <v>2023</v>
      </c>
      <c r="J379" s="30"/>
      <c r="K379" s="30"/>
      <c r="L379" s="30"/>
      <c r="M379" s="27" t="s">
        <v>3180</v>
      </c>
    </row>
    <row r="380" spans="1:13" x14ac:dyDescent="0.35">
      <c r="A380" s="24" t="s">
        <v>1253</v>
      </c>
      <c r="B380" s="25" t="s">
        <v>4061</v>
      </c>
      <c r="C380" s="26" t="s">
        <v>573</v>
      </c>
      <c r="D380" s="26" t="s">
        <v>395</v>
      </c>
      <c r="E380" s="26" t="s">
        <v>18</v>
      </c>
      <c r="F380" s="26" t="s">
        <v>101</v>
      </c>
      <c r="G380" s="26" t="s">
        <v>3667</v>
      </c>
      <c r="H380" s="26" t="s">
        <v>3668</v>
      </c>
      <c r="I380" s="26">
        <v>2023</v>
      </c>
      <c r="J380" s="26"/>
      <c r="K380" s="26"/>
      <c r="L380" s="26"/>
      <c r="M380" s="27" t="s">
        <v>3180</v>
      </c>
    </row>
    <row r="381" spans="1:13" x14ac:dyDescent="0.35">
      <c r="A381" s="28" t="s">
        <v>1256</v>
      </c>
      <c r="B381" s="29" t="s">
        <v>3831</v>
      </c>
      <c r="C381" s="30" t="s">
        <v>27</v>
      </c>
      <c r="D381" s="30" t="s">
        <v>82</v>
      </c>
      <c r="E381" s="30" t="s">
        <v>18</v>
      </c>
      <c r="F381" s="30" t="s">
        <v>177</v>
      </c>
      <c r="G381" s="30" t="s">
        <v>3669</v>
      </c>
      <c r="H381" s="30" t="s">
        <v>3670</v>
      </c>
      <c r="I381" s="30">
        <v>2022</v>
      </c>
      <c r="J381" s="30"/>
      <c r="K381" s="30"/>
      <c r="L381" s="30"/>
      <c r="M381" s="27" t="s">
        <v>3180</v>
      </c>
    </row>
    <row r="382" spans="1:13" x14ac:dyDescent="0.35">
      <c r="A382" s="24" t="s">
        <v>1258</v>
      </c>
      <c r="B382" s="25" t="s">
        <v>4062</v>
      </c>
      <c r="C382" s="26" t="s">
        <v>27</v>
      </c>
      <c r="D382" s="26" t="s">
        <v>60</v>
      </c>
      <c r="E382" s="26" t="s">
        <v>18</v>
      </c>
      <c r="F382" s="26" t="s">
        <v>19</v>
      </c>
      <c r="G382" s="26" t="s">
        <v>3671</v>
      </c>
      <c r="H382" s="26" t="s">
        <v>3672</v>
      </c>
      <c r="I382" s="26">
        <v>2021</v>
      </c>
      <c r="J382" s="26"/>
      <c r="K382" s="26"/>
      <c r="L382" s="26"/>
      <c r="M382" s="27" t="s">
        <v>3180</v>
      </c>
    </row>
    <row r="383" spans="1:13" x14ac:dyDescent="0.35">
      <c r="A383" s="28" t="s">
        <v>1261</v>
      </c>
      <c r="B383" s="29" t="s">
        <v>4063</v>
      </c>
      <c r="C383" s="30" t="s">
        <v>27</v>
      </c>
      <c r="D383" s="30" t="s">
        <v>60</v>
      </c>
      <c r="E383" s="30" t="s">
        <v>18</v>
      </c>
      <c r="F383" s="30" t="s">
        <v>19</v>
      </c>
      <c r="G383" s="30" t="s">
        <v>3673</v>
      </c>
      <c r="H383" s="30" t="s">
        <v>3674</v>
      </c>
      <c r="I383" s="30">
        <v>2022</v>
      </c>
      <c r="J383" s="30" t="s">
        <v>2906</v>
      </c>
      <c r="K383" s="30">
        <v>100</v>
      </c>
      <c r="L383" s="30">
        <v>2022</v>
      </c>
      <c r="M383" s="31" t="s">
        <v>3186</v>
      </c>
    </row>
    <row r="384" spans="1:13" x14ac:dyDescent="0.35">
      <c r="A384" s="24" t="s">
        <v>1264</v>
      </c>
      <c r="B384" s="25" t="s">
        <v>3828</v>
      </c>
      <c r="C384" s="26" t="s">
        <v>27</v>
      </c>
      <c r="D384" s="26" t="s">
        <v>28</v>
      </c>
      <c r="E384" s="26" t="s">
        <v>18</v>
      </c>
      <c r="F384" s="26" t="s">
        <v>19</v>
      </c>
      <c r="G384" s="26" t="s">
        <v>3675</v>
      </c>
      <c r="H384" s="26" t="s">
        <v>3676</v>
      </c>
      <c r="I384" s="26">
        <v>2018</v>
      </c>
      <c r="J384" s="26"/>
      <c r="K384" s="26"/>
      <c r="L384" s="26"/>
      <c r="M384" s="27" t="s">
        <v>3180</v>
      </c>
    </row>
    <row r="385" spans="1:13" x14ac:dyDescent="0.35">
      <c r="A385" s="28" t="s">
        <v>1266</v>
      </c>
      <c r="B385" s="29" t="s">
        <v>3829</v>
      </c>
      <c r="C385" s="30" t="s">
        <v>27</v>
      </c>
      <c r="D385" s="30" t="s">
        <v>28</v>
      </c>
      <c r="E385" s="30" t="s">
        <v>18</v>
      </c>
      <c r="F385" s="30" t="s">
        <v>19</v>
      </c>
      <c r="G385" s="30" t="s">
        <v>3515</v>
      </c>
      <c r="H385" s="30" t="s">
        <v>3531</v>
      </c>
      <c r="I385" s="30">
        <v>2022</v>
      </c>
      <c r="J385" s="30"/>
      <c r="K385" s="30"/>
      <c r="L385" s="30"/>
      <c r="M385" s="27" t="s">
        <v>3180</v>
      </c>
    </row>
    <row r="386" spans="1:13" x14ac:dyDescent="0.35">
      <c r="A386" s="24" t="s">
        <v>1269</v>
      </c>
      <c r="B386" s="25" t="s">
        <v>3831</v>
      </c>
      <c r="C386" s="26" t="s">
        <v>27</v>
      </c>
      <c r="D386" s="26" t="s">
        <v>82</v>
      </c>
      <c r="E386" s="26" t="s">
        <v>18</v>
      </c>
      <c r="F386" s="26" t="s">
        <v>177</v>
      </c>
      <c r="G386" s="26" t="s">
        <v>3669</v>
      </c>
      <c r="H386" s="26" t="s">
        <v>3670</v>
      </c>
      <c r="I386" s="26">
        <v>2022</v>
      </c>
      <c r="J386" s="26"/>
      <c r="K386" s="26"/>
      <c r="L386" s="26"/>
      <c r="M386" s="27" t="s">
        <v>3180</v>
      </c>
    </row>
    <row r="387" spans="1:13" x14ac:dyDescent="0.35">
      <c r="A387" s="28" t="s">
        <v>1271</v>
      </c>
      <c r="B387" s="29" t="s">
        <v>4064</v>
      </c>
      <c r="C387" s="30" t="s">
        <v>573</v>
      </c>
      <c r="D387" s="30" t="s">
        <v>395</v>
      </c>
      <c r="E387" s="30" t="s">
        <v>18</v>
      </c>
      <c r="F387" s="30" t="s">
        <v>19</v>
      </c>
      <c r="G387" s="30" t="s">
        <v>3677</v>
      </c>
      <c r="H387" s="30" t="s">
        <v>3678</v>
      </c>
      <c r="I387" s="30">
        <v>2024</v>
      </c>
      <c r="J387" s="30"/>
      <c r="K387" s="30"/>
      <c r="L387" s="30"/>
      <c r="M387" s="27" t="s">
        <v>3180</v>
      </c>
    </row>
    <row r="388" spans="1:13" x14ac:dyDescent="0.35">
      <c r="A388" s="24" t="s">
        <v>1275</v>
      </c>
      <c r="B388" s="25" t="s">
        <v>1276</v>
      </c>
      <c r="C388" s="26" t="s">
        <v>154</v>
      </c>
      <c r="D388" s="26" t="s">
        <v>93</v>
      </c>
      <c r="E388" s="26" t="s">
        <v>18</v>
      </c>
      <c r="F388" s="26" t="s">
        <v>88</v>
      </c>
      <c r="G388" s="26" t="s">
        <v>3645</v>
      </c>
      <c r="H388" s="26" t="s">
        <v>3679</v>
      </c>
      <c r="I388" s="26">
        <v>2023</v>
      </c>
      <c r="J388" s="26" t="s">
        <v>2022</v>
      </c>
      <c r="K388" s="26">
        <v>93.1</v>
      </c>
      <c r="L388" s="26">
        <v>2023</v>
      </c>
      <c r="M388" s="31" t="s">
        <v>3186</v>
      </c>
    </row>
    <row r="389" spans="1:13" x14ac:dyDescent="0.35">
      <c r="A389" s="28" t="s">
        <v>1278</v>
      </c>
      <c r="B389" s="29" t="s">
        <v>4065</v>
      </c>
      <c r="C389" s="30" t="s">
        <v>148</v>
      </c>
      <c r="D389" s="30" t="s">
        <v>93</v>
      </c>
      <c r="E389" s="30" t="s">
        <v>18</v>
      </c>
      <c r="F389" s="30" t="s">
        <v>88</v>
      </c>
      <c r="G389" s="30" t="s">
        <v>3680</v>
      </c>
      <c r="H389" s="30" t="s">
        <v>3681</v>
      </c>
      <c r="I389" s="30">
        <v>2024</v>
      </c>
      <c r="J389" s="30" t="s">
        <v>2541</v>
      </c>
      <c r="K389" s="30">
        <v>100</v>
      </c>
      <c r="L389" s="30">
        <v>2022</v>
      </c>
      <c r="M389" s="31" t="s">
        <v>3186</v>
      </c>
    </row>
    <row r="390" spans="1:13" x14ac:dyDescent="0.35">
      <c r="A390" s="24" t="s">
        <v>1281</v>
      </c>
      <c r="B390" s="25" t="s">
        <v>4036</v>
      </c>
      <c r="C390" s="26" t="s">
        <v>148</v>
      </c>
      <c r="D390" s="26" t="s">
        <v>175</v>
      </c>
      <c r="E390" s="26" t="s">
        <v>18</v>
      </c>
      <c r="F390" s="26" t="s">
        <v>177</v>
      </c>
      <c r="G390" s="26" t="s">
        <v>3680</v>
      </c>
      <c r="H390" s="26" t="s">
        <v>3681</v>
      </c>
      <c r="I390" s="26">
        <v>2024</v>
      </c>
      <c r="J390" s="26"/>
      <c r="K390" s="26"/>
      <c r="L390" s="26"/>
      <c r="M390" s="27" t="s">
        <v>3180</v>
      </c>
    </row>
    <row r="391" spans="1:13" x14ac:dyDescent="0.35">
      <c r="A391" s="28" t="s">
        <v>1283</v>
      </c>
      <c r="B391" s="29" t="s">
        <v>4066</v>
      </c>
      <c r="C391" s="30" t="s">
        <v>311</v>
      </c>
      <c r="D391" s="30" t="s">
        <v>149</v>
      </c>
      <c r="E391" s="30" t="s">
        <v>18</v>
      </c>
      <c r="F391" s="30" t="s">
        <v>19</v>
      </c>
      <c r="G391" s="30" t="s">
        <v>3522</v>
      </c>
      <c r="H391" s="30" t="s">
        <v>3523</v>
      </c>
      <c r="I391" s="30">
        <v>2022</v>
      </c>
      <c r="J391" s="30" t="s">
        <v>2696</v>
      </c>
      <c r="K391" s="30">
        <v>100</v>
      </c>
      <c r="L391" s="30">
        <v>2022</v>
      </c>
      <c r="M391" s="31" t="s">
        <v>3186</v>
      </c>
    </row>
    <row r="392" spans="1:13" x14ac:dyDescent="0.35">
      <c r="A392" s="24" t="s">
        <v>1285</v>
      </c>
      <c r="B392" s="25" t="s">
        <v>4067</v>
      </c>
      <c r="C392" s="26" t="s">
        <v>573</v>
      </c>
      <c r="D392" s="26" t="s">
        <v>395</v>
      </c>
      <c r="E392" s="26" t="s">
        <v>18</v>
      </c>
      <c r="F392" s="26" t="s">
        <v>185</v>
      </c>
      <c r="G392" s="26" t="s">
        <v>3682</v>
      </c>
      <c r="H392" s="26" t="s">
        <v>3683</v>
      </c>
      <c r="I392" s="26">
        <v>2024</v>
      </c>
      <c r="J392" s="26"/>
      <c r="K392" s="26"/>
      <c r="L392" s="26"/>
      <c r="M392" s="27" t="s">
        <v>3180</v>
      </c>
    </row>
    <row r="393" spans="1:13" x14ac:dyDescent="0.35">
      <c r="A393" s="28" t="s">
        <v>1289</v>
      </c>
      <c r="B393" s="29" t="s">
        <v>4068</v>
      </c>
      <c r="C393" s="30" t="s">
        <v>27</v>
      </c>
      <c r="D393" s="30" t="s">
        <v>28</v>
      </c>
      <c r="E393" s="30" t="s">
        <v>18</v>
      </c>
      <c r="F393" s="30" t="s">
        <v>19</v>
      </c>
      <c r="G393" s="30" t="s">
        <v>3503</v>
      </c>
      <c r="H393" s="30" t="s">
        <v>3684</v>
      </c>
      <c r="I393" s="30">
        <v>2023</v>
      </c>
      <c r="J393" s="30"/>
      <c r="K393" s="30"/>
      <c r="L393" s="30"/>
      <c r="M393" s="27" t="s">
        <v>3180</v>
      </c>
    </row>
    <row r="394" spans="1:13" x14ac:dyDescent="0.35">
      <c r="A394" s="24" t="s">
        <v>1292</v>
      </c>
      <c r="B394" s="25" t="s">
        <v>4069</v>
      </c>
      <c r="C394" s="26" t="s">
        <v>573</v>
      </c>
      <c r="D394" s="26" t="s">
        <v>1218</v>
      </c>
      <c r="E394" s="26" t="s">
        <v>18</v>
      </c>
      <c r="F394" s="26" t="s">
        <v>19</v>
      </c>
      <c r="G394" s="26" t="s">
        <v>3685</v>
      </c>
      <c r="H394" s="26" t="s">
        <v>3686</v>
      </c>
      <c r="I394" s="26">
        <v>2024</v>
      </c>
      <c r="J394" s="26"/>
      <c r="K394" s="26"/>
      <c r="L394" s="26"/>
      <c r="M394" s="27" t="s">
        <v>3180</v>
      </c>
    </row>
    <row r="395" spans="1:13" x14ac:dyDescent="0.35">
      <c r="A395" s="28" t="s">
        <v>1296</v>
      </c>
      <c r="B395" s="29" t="s">
        <v>1298</v>
      </c>
      <c r="C395" s="30" t="s">
        <v>148</v>
      </c>
      <c r="D395" s="30" t="s">
        <v>17</v>
      </c>
      <c r="E395" s="30" t="s">
        <v>18</v>
      </c>
      <c r="F395" s="30" t="s">
        <v>19</v>
      </c>
      <c r="G395" s="30" t="s">
        <v>3680</v>
      </c>
      <c r="H395" s="30" t="s">
        <v>3681</v>
      </c>
      <c r="I395" s="30">
        <v>2024</v>
      </c>
      <c r="J395" s="30"/>
      <c r="K395" s="30"/>
      <c r="L395" s="30"/>
      <c r="M395" s="27" t="s">
        <v>3180</v>
      </c>
    </row>
    <row r="396" spans="1:13" x14ac:dyDescent="0.35">
      <c r="A396" s="24" t="s">
        <v>1300</v>
      </c>
      <c r="B396" s="25" t="s">
        <v>4070</v>
      </c>
      <c r="C396" s="26" t="s">
        <v>154</v>
      </c>
      <c r="D396" s="26" t="s">
        <v>93</v>
      </c>
      <c r="E396" s="26" t="s">
        <v>18</v>
      </c>
      <c r="F396" s="26" t="s">
        <v>177</v>
      </c>
      <c r="G396" s="26" t="s">
        <v>3641</v>
      </c>
      <c r="H396" s="26" t="s">
        <v>3642</v>
      </c>
      <c r="I396" s="26">
        <v>2024</v>
      </c>
      <c r="J396" s="26" t="s">
        <v>2893</v>
      </c>
      <c r="K396" s="26">
        <v>89.3</v>
      </c>
      <c r="L396" s="26">
        <v>2022</v>
      </c>
      <c r="M396" s="31" t="s">
        <v>3186</v>
      </c>
    </row>
    <row r="397" spans="1:13" x14ac:dyDescent="0.35">
      <c r="A397" s="28" t="s">
        <v>1304</v>
      </c>
      <c r="B397" s="29" t="s">
        <v>4071</v>
      </c>
      <c r="C397" s="30" t="s">
        <v>154</v>
      </c>
      <c r="D397" s="30" t="s">
        <v>93</v>
      </c>
      <c r="E397" s="30" t="s">
        <v>18</v>
      </c>
      <c r="F397" s="30" t="s">
        <v>88</v>
      </c>
      <c r="G397" s="30" t="s">
        <v>3518</v>
      </c>
      <c r="H397" s="30" t="s">
        <v>3519</v>
      </c>
      <c r="I397" s="30">
        <v>2024</v>
      </c>
      <c r="J397" s="30"/>
      <c r="K397" s="30"/>
      <c r="L397" s="30"/>
      <c r="M397" s="27" t="s">
        <v>3180</v>
      </c>
    </row>
    <row r="398" spans="1:13" x14ac:dyDescent="0.35">
      <c r="A398" s="24" t="s">
        <v>1307</v>
      </c>
      <c r="B398" s="25" t="s">
        <v>4071</v>
      </c>
      <c r="C398" s="26" t="s">
        <v>154</v>
      </c>
      <c r="D398" s="26" t="s">
        <v>93</v>
      </c>
      <c r="E398" s="26" t="s">
        <v>18</v>
      </c>
      <c r="F398" s="26" t="s">
        <v>88</v>
      </c>
      <c r="G398" s="26" t="s">
        <v>3518</v>
      </c>
      <c r="H398" s="26" t="s">
        <v>3519</v>
      </c>
      <c r="I398" s="26">
        <v>2024</v>
      </c>
      <c r="J398" s="26"/>
      <c r="K398" s="26"/>
      <c r="L398" s="26"/>
      <c r="M398" s="27" t="s">
        <v>3180</v>
      </c>
    </row>
    <row r="399" spans="1:13" x14ac:dyDescent="0.35">
      <c r="A399" s="28" t="s">
        <v>1309</v>
      </c>
      <c r="B399" s="29" t="s">
        <v>4071</v>
      </c>
      <c r="C399" s="30" t="s">
        <v>154</v>
      </c>
      <c r="D399" s="30" t="s">
        <v>93</v>
      </c>
      <c r="E399" s="30" t="s">
        <v>18</v>
      </c>
      <c r="F399" s="30" t="s">
        <v>88</v>
      </c>
      <c r="G399" s="30" t="s">
        <v>3518</v>
      </c>
      <c r="H399" s="30" t="s">
        <v>3519</v>
      </c>
      <c r="I399" s="30">
        <v>2024</v>
      </c>
      <c r="J399" s="30"/>
      <c r="K399" s="30"/>
      <c r="L399" s="30"/>
      <c r="M399" s="27" t="s">
        <v>3180</v>
      </c>
    </row>
    <row r="400" spans="1:13" x14ac:dyDescent="0.35">
      <c r="A400" s="24" t="s">
        <v>1311</v>
      </c>
      <c r="B400" s="25" t="s">
        <v>1312</v>
      </c>
      <c r="C400" s="26" t="s">
        <v>154</v>
      </c>
      <c r="D400" s="26" t="s">
        <v>93</v>
      </c>
      <c r="E400" s="26" t="s">
        <v>18</v>
      </c>
      <c r="F400" s="26" t="s">
        <v>88</v>
      </c>
      <c r="G400" s="26" t="s">
        <v>3518</v>
      </c>
      <c r="H400" s="26" t="s">
        <v>3519</v>
      </c>
      <c r="I400" s="26">
        <v>2024</v>
      </c>
      <c r="J400" s="26"/>
      <c r="K400" s="26"/>
      <c r="L400" s="26"/>
      <c r="M400" s="27" t="s">
        <v>3180</v>
      </c>
    </row>
    <row r="401" spans="1:13" x14ac:dyDescent="0.35">
      <c r="A401" s="28" t="s">
        <v>1314</v>
      </c>
      <c r="B401" s="29" t="s">
        <v>4071</v>
      </c>
      <c r="C401" s="30" t="s">
        <v>154</v>
      </c>
      <c r="D401" s="30" t="s">
        <v>93</v>
      </c>
      <c r="E401" s="30" t="s">
        <v>18</v>
      </c>
      <c r="F401" s="30" t="s">
        <v>88</v>
      </c>
      <c r="G401" s="30" t="s">
        <v>3518</v>
      </c>
      <c r="H401" s="30" t="s">
        <v>3519</v>
      </c>
      <c r="I401" s="30">
        <v>2024</v>
      </c>
      <c r="J401" s="30"/>
      <c r="K401" s="30"/>
      <c r="L401" s="30"/>
      <c r="M401" s="27" t="s">
        <v>3180</v>
      </c>
    </row>
    <row r="402" spans="1:13" x14ac:dyDescent="0.35">
      <c r="A402" s="24" t="s">
        <v>1316</v>
      </c>
      <c r="B402" s="25" t="s">
        <v>3831</v>
      </c>
      <c r="C402" s="26" t="s">
        <v>27</v>
      </c>
      <c r="D402" s="26" t="s">
        <v>1218</v>
      </c>
      <c r="E402" s="26" t="s">
        <v>18</v>
      </c>
      <c r="F402" s="26" t="s">
        <v>19</v>
      </c>
      <c r="G402" s="26" t="s">
        <v>3687</v>
      </c>
      <c r="H402" s="26" t="s">
        <v>3688</v>
      </c>
      <c r="I402" s="26">
        <v>2023</v>
      </c>
      <c r="J402" s="26"/>
      <c r="K402" s="26"/>
      <c r="L402" s="26"/>
      <c r="M402" s="27" t="s">
        <v>3180</v>
      </c>
    </row>
    <row r="403" spans="1:13" x14ac:dyDescent="0.35">
      <c r="A403" s="28" t="s">
        <v>1318</v>
      </c>
      <c r="B403" s="29" t="s">
        <v>4038</v>
      </c>
      <c r="C403" s="30" t="s">
        <v>154</v>
      </c>
      <c r="D403" s="30" t="s">
        <v>93</v>
      </c>
      <c r="E403" s="30" t="s">
        <v>18</v>
      </c>
      <c r="F403" s="30" t="s">
        <v>88</v>
      </c>
      <c r="G403" s="30" t="s">
        <v>3689</v>
      </c>
      <c r="H403" s="30" t="s">
        <v>3690</v>
      </c>
      <c r="I403" s="30">
        <v>2024</v>
      </c>
      <c r="J403" s="30"/>
      <c r="K403" s="30"/>
      <c r="L403" s="30"/>
      <c r="M403" s="27" t="s">
        <v>3180</v>
      </c>
    </row>
    <row r="404" spans="1:13" x14ac:dyDescent="0.35">
      <c r="A404" s="24" t="s">
        <v>1320</v>
      </c>
      <c r="B404" s="25" t="s">
        <v>3831</v>
      </c>
      <c r="C404" s="26" t="s">
        <v>27</v>
      </c>
      <c r="D404" s="26" t="s">
        <v>60</v>
      </c>
      <c r="E404" s="26" t="s">
        <v>18</v>
      </c>
      <c r="F404" s="26" t="s">
        <v>19</v>
      </c>
      <c r="G404" s="26" t="s">
        <v>3687</v>
      </c>
      <c r="H404" s="26" t="s">
        <v>3688</v>
      </c>
      <c r="I404" s="26">
        <v>2023</v>
      </c>
      <c r="J404" s="26"/>
      <c r="K404" s="26"/>
      <c r="L404" s="26"/>
      <c r="M404" s="27" t="s">
        <v>3180</v>
      </c>
    </row>
    <row r="405" spans="1:13" x14ac:dyDescent="0.35">
      <c r="A405" s="28" t="s">
        <v>1322</v>
      </c>
      <c r="B405" s="29" t="s">
        <v>4072</v>
      </c>
      <c r="C405" s="30" t="s">
        <v>154</v>
      </c>
      <c r="D405" s="30" t="s">
        <v>93</v>
      </c>
      <c r="E405" s="30" t="s">
        <v>18</v>
      </c>
      <c r="F405" s="30" t="s">
        <v>88</v>
      </c>
      <c r="G405" s="30" t="s">
        <v>3633</v>
      </c>
      <c r="H405" s="30" t="s">
        <v>3634</v>
      </c>
      <c r="I405" s="30">
        <v>2024</v>
      </c>
      <c r="J405" s="30"/>
      <c r="K405" s="30"/>
      <c r="L405" s="30"/>
      <c r="M405" s="27" t="s">
        <v>3180</v>
      </c>
    </row>
    <row r="406" spans="1:13" x14ac:dyDescent="0.35">
      <c r="A406" s="24" t="s">
        <v>1325</v>
      </c>
      <c r="B406" s="25" t="s">
        <v>4073</v>
      </c>
      <c r="C406" s="26" t="s">
        <v>154</v>
      </c>
      <c r="D406" s="26" t="s">
        <v>93</v>
      </c>
      <c r="E406" s="26" t="s">
        <v>18</v>
      </c>
      <c r="F406" s="26" t="s">
        <v>88</v>
      </c>
      <c r="G406" s="26" t="s">
        <v>3657</v>
      </c>
      <c r="H406" s="26" t="s">
        <v>3658</v>
      </c>
      <c r="I406" s="26">
        <v>2023</v>
      </c>
      <c r="J406" s="26" t="s">
        <v>2059</v>
      </c>
      <c r="K406" s="26">
        <v>97.1</v>
      </c>
      <c r="L406" s="26">
        <v>2025</v>
      </c>
      <c r="M406" s="31" t="s">
        <v>3186</v>
      </c>
    </row>
    <row r="407" spans="1:13" x14ac:dyDescent="0.35">
      <c r="A407" s="28" t="s">
        <v>1328</v>
      </c>
      <c r="B407" s="29" t="s">
        <v>4074</v>
      </c>
      <c r="C407" s="30" t="s">
        <v>1331</v>
      </c>
      <c r="D407" s="30" t="s">
        <v>395</v>
      </c>
      <c r="E407" s="30" t="s">
        <v>18</v>
      </c>
      <c r="F407" s="30" t="s">
        <v>185</v>
      </c>
      <c r="G407" s="30" t="s">
        <v>3685</v>
      </c>
      <c r="H407" s="30" t="s">
        <v>3686</v>
      </c>
      <c r="I407" s="30">
        <v>2024</v>
      </c>
      <c r="J407" s="30"/>
      <c r="K407" s="30"/>
      <c r="L407" s="30"/>
      <c r="M407" s="27" t="s">
        <v>3180</v>
      </c>
    </row>
    <row r="408" spans="1:13" x14ac:dyDescent="0.35">
      <c r="A408" s="24" t="s">
        <v>1333</v>
      </c>
      <c r="B408" s="25" t="s">
        <v>4075</v>
      </c>
      <c r="C408" s="26" t="s">
        <v>573</v>
      </c>
      <c r="D408" s="26" t="s">
        <v>60</v>
      </c>
      <c r="E408" s="26" t="s">
        <v>18</v>
      </c>
      <c r="F408" s="26" t="s">
        <v>163</v>
      </c>
      <c r="G408" s="26" t="s">
        <v>3691</v>
      </c>
      <c r="H408" s="26" t="s">
        <v>3692</v>
      </c>
      <c r="I408" s="26">
        <v>2024</v>
      </c>
      <c r="J408" s="26"/>
      <c r="K408" s="26"/>
      <c r="L408" s="26"/>
      <c r="M408" s="27" t="s">
        <v>3180</v>
      </c>
    </row>
    <row r="409" spans="1:13" x14ac:dyDescent="0.35">
      <c r="A409" s="28" t="s">
        <v>1337</v>
      </c>
      <c r="B409" s="29" t="s">
        <v>3831</v>
      </c>
      <c r="C409" s="30" t="s">
        <v>27</v>
      </c>
      <c r="D409" s="30" t="s">
        <v>60</v>
      </c>
      <c r="E409" s="30" t="s">
        <v>18</v>
      </c>
      <c r="F409" s="30" t="s">
        <v>19</v>
      </c>
      <c r="G409" s="30" t="s">
        <v>3693</v>
      </c>
      <c r="H409" s="30" t="s">
        <v>3694</v>
      </c>
      <c r="I409" s="30">
        <v>2023</v>
      </c>
      <c r="J409" s="30"/>
      <c r="K409" s="30"/>
      <c r="L409" s="30"/>
      <c r="M409" s="27" t="s">
        <v>3180</v>
      </c>
    </row>
    <row r="410" spans="1:13" x14ac:dyDescent="0.35">
      <c r="A410" s="24" t="s">
        <v>1339</v>
      </c>
      <c r="B410" s="25" t="s">
        <v>4076</v>
      </c>
      <c r="C410" s="26" t="s">
        <v>154</v>
      </c>
      <c r="D410" s="26" t="s">
        <v>93</v>
      </c>
      <c r="E410" s="26" t="s">
        <v>18</v>
      </c>
      <c r="F410" s="26" t="s">
        <v>88</v>
      </c>
      <c r="G410" s="26" t="s">
        <v>3695</v>
      </c>
      <c r="H410" s="26" t="s">
        <v>3577</v>
      </c>
      <c r="I410" s="26">
        <v>2024</v>
      </c>
      <c r="J410" s="26"/>
      <c r="K410" s="26"/>
      <c r="L410" s="26"/>
      <c r="M410" s="27" t="s">
        <v>3180</v>
      </c>
    </row>
    <row r="411" spans="1:13" x14ac:dyDescent="0.35">
      <c r="A411" s="28" t="s">
        <v>1342</v>
      </c>
      <c r="B411" s="29" t="s">
        <v>4077</v>
      </c>
      <c r="C411" s="30" t="s">
        <v>27</v>
      </c>
      <c r="D411" s="30" t="s">
        <v>118</v>
      </c>
      <c r="E411" s="30" t="s">
        <v>18</v>
      </c>
      <c r="F411" s="30" t="s">
        <v>19</v>
      </c>
      <c r="G411" s="30" t="s">
        <v>3633</v>
      </c>
      <c r="H411" s="30" t="s">
        <v>3666</v>
      </c>
      <c r="I411" s="30">
        <v>2024</v>
      </c>
      <c r="J411" s="30"/>
      <c r="K411" s="30"/>
      <c r="L411" s="30"/>
      <c r="M411" s="27" t="s">
        <v>3180</v>
      </c>
    </row>
    <row r="412" spans="1:13" x14ac:dyDescent="0.35">
      <c r="A412" s="24" t="s">
        <v>1345</v>
      </c>
      <c r="B412" s="25" t="s">
        <v>3920</v>
      </c>
      <c r="C412" s="26" t="s">
        <v>27</v>
      </c>
      <c r="D412" s="26" t="s">
        <v>28</v>
      </c>
      <c r="E412" s="26" t="s">
        <v>18</v>
      </c>
      <c r="F412" s="26" t="s">
        <v>19</v>
      </c>
      <c r="G412" s="26" t="s">
        <v>3657</v>
      </c>
      <c r="H412" s="26" t="s">
        <v>3696</v>
      </c>
      <c r="I412" s="26">
        <v>2023</v>
      </c>
      <c r="J412" s="26"/>
      <c r="K412" s="26"/>
      <c r="L412" s="26"/>
      <c r="M412" s="27" t="s">
        <v>3180</v>
      </c>
    </row>
    <row r="413" spans="1:13" x14ac:dyDescent="0.35">
      <c r="A413" s="28" t="s">
        <v>1348</v>
      </c>
      <c r="B413" s="29" t="s">
        <v>4078</v>
      </c>
      <c r="C413" s="30" t="s">
        <v>311</v>
      </c>
      <c r="D413" s="30" t="s">
        <v>149</v>
      </c>
      <c r="E413" s="30" t="s">
        <v>18</v>
      </c>
      <c r="F413" s="30" t="s">
        <v>19</v>
      </c>
      <c r="G413" s="30" t="s">
        <v>3657</v>
      </c>
      <c r="H413" s="30" t="s">
        <v>3696</v>
      </c>
      <c r="I413" s="30">
        <v>2023</v>
      </c>
      <c r="J413" s="30"/>
      <c r="K413" s="30"/>
      <c r="L413" s="30"/>
      <c r="M413" s="27" t="s">
        <v>3180</v>
      </c>
    </row>
    <row r="414" spans="1:13" x14ac:dyDescent="0.35">
      <c r="A414" s="24" t="s">
        <v>1350</v>
      </c>
      <c r="B414" s="25" t="s">
        <v>3918</v>
      </c>
      <c r="C414" s="26" t="s">
        <v>27</v>
      </c>
      <c r="D414" s="26" t="s">
        <v>28</v>
      </c>
      <c r="E414" s="26" t="s">
        <v>18</v>
      </c>
      <c r="F414" s="26" t="s">
        <v>19</v>
      </c>
      <c r="G414" s="26" t="s">
        <v>3663</v>
      </c>
      <c r="H414" s="26" t="s">
        <v>3697</v>
      </c>
      <c r="I414" s="26">
        <v>2023</v>
      </c>
      <c r="J414" s="26"/>
      <c r="K414" s="26"/>
      <c r="L414" s="26"/>
      <c r="M414" s="27" t="s">
        <v>3180</v>
      </c>
    </row>
    <row r="415" spans="1:13" x14ac:dyDescent="0.35">
      <c r="A415" s="28" t="s">
        <v>1352</v>
      </c>
      <c r="B415" s="29" t="s">
        <v>1353</v>
      </c>
      <c r="C415" s="30" t="s">
        <v>154</v>
      </c>
      <c r="D415" s="30" t="s">
        <v>93</v>
      </c>
      <c r="E415" s="30" t="s">
        <v>18</v>
      </c>
      <c r="F415" s="30" t="s">
        <v>88</v>
      </c>
      <c r="G415" s="30" t="s">
        <v>3613</v>
      </c>
      <c r="H415" s="30" t="s">
        <v>3614</v>
      </c>
      <c r="I415" s="30">
        <v>2024</v>
      </c>
      <c r="J415" s="30"/>
      <c r="K415" s="30"/>
      <c r="L415" s="30"/>
      <c r="M415" s="27" t="s">
        <v>3180</v>
      </c>
    </row>
    <row r="416" spans="1:13" x14ac:dyDescent="0.35">
      <c r="A416" s="24" t="s">
        <v>1355</v>
      </c>
      <c r="B416" s="25" t="s">
        <v>4070</v>
      </c>
      <c r="C416" s="26" t="s">
        <v>154</v>
      </c>
      <c r="D416" s="26" t="s">
        <v>93</v>
      </c>
      <c r="E416" s="26" t="s">
        <v>18</v>
      </c>
      <c r="F416" s="26" t="s">
        <v>88</v>
      </c>
      <c r="G416" s="26" t="s">
        <v>3698</v>
      </c>
      <c r="H416" s="26" t="s">
        <v>3699</v>
      </c>
      <c r="I416" s="26">
        <v>2024</v>
      </c>
      <c r="J416" s="26" t="s">
        <v>2893</v>
      </c>
      <c r="K416" s="26">
        <v>89.3</v>
      </c>
      <c r="L416" s="26">
        <v>2022</v>
      </c>
      <c r="M416" s="31" t="s">
        <v>3186</v>
      </c>
    </row>
    <row r="417" spans="1:13" x14ac:dyDescent="0.35">
      <c r="A417" s="28" t="s">
        <v>1358</v>
      </c>
      <c r="B417" s="29" t="s">
        <v>4079</v>
      </c>
      <c r="C417" s="30" t="s">
        <v>139</v>
      </c>
      <c r="D417" s="30" t="s">
        <v>93</v>
      </c>
      <c r="E417" s="30" t="s">
        <v>18</v>
      </c>
      <c r="F417" s="30" t="s">
        <v>88</v>
      </c>
      <c r="G417" s="30" t="s">
        <v>3700</v>
      </c>
      <c r="H417" s="30" t="s">
        <v>3701</v>
      </c>
      <c r="I417" s="30">
        <v>2024</v>
      </c>
      <c r="J417" s="30" t="s">
        <v>2088</v>
      </c>
      <c r="K417" s="30">
        <v>100</v>
      </c>
      <c r="L417" s="30">
        <v>2023</v>
      </c>
      <c r="M417" s="31" t="s">
        <v>3186</v>
      </c>
    </row>
    <row r="418" spans="1:13" x14ac:dyDescent="0.35">
      <c r="A418" s="24" t="s">
        <v>1362</v>
      </c>
      <c r="B418" s="25" t="s">
        <v>4080</v>
      </c>
      <c r="C418" s="26" t="s">
        <v>154</v>
      </c>
      <c r="D418" s="26" t="s">
        <v>93</v>
      </c>
      <c r="E418" s="26" t="s">
        <v>18</v>
      </c>
      <c r="F418" s="26" t="s">
        <v>88</v>
      </c>
      <c r="G418" s="26" t="s">
        <v>3700</v>
      </c>
      <c r="H418" s="26" t="s">
        <v>3463</v>
      </c>
      <c r="I418" s="26">
        <v>2024</v>
      </c>
      <c r="J418" s="26"/>
      <c r="K418" s="26"/>
      <c r="L418" s="26"/>
      <c r="M418" s="27" t="s">
        <v>3180</v>
      </c>
    </row>
    <row r="419" spans="1:13" x14ac:dyDescent="0.35">
      <c r="A419" s="28" t="s">
        <v>1365</v>
      </c>
      <c r="B419" s="29" t="s">
        <v>4081</v>
      </c>
      <c r="C419" s="30" t="s">
        <v>154</v>
      </c>
      <c r="D419" s="30" t="s">
        <v>93</v>
      </c>
      <c r="E419" s="30" t="s">
        <v>18</v>
      </c>
      <c r="F419" s="30" t="s">
        <v>88</v>
      </c>
      <c r="G419" s="30" t="s">
        <v>3700</v>
      </c>
      <c r="H419" s="30" t="s">
        <v>3463</v>
      </c>
      <c r="I419" s="30">
        <v>2024</v>
      </c>
      <c r="J419" s="30"/>
      <c r="K419" s="30"/>
      <c r="L419" s="30"/>
      <c r="M419" s="27" t="s">
        <v>3180</v>
      </c>
    </row>
    <row r="420" spans="1:13" x14ac:dyDescent="0.35">
      <c r="A420" s="24" t="s">
        <v>1368</v>
      </c>
      <c r="B420" s="25" t="s">
        <v>4082</v>
      </c>
      <c r="C420" s="26" t="s">
        <v>154</v>
      </c>
      <c r="D420" s="26" t="s">
        <v>93</v>
      </c>
      <c r="E420" s="26" t="s">
        <v>18</v>
      </c>
      <c r="F420" s="26" t="s">
        <v>88</v>
      </c>
      <c r="G420" s="26" t="s">
        <v>3700</v>
      </c>
      <c r="H420" s="26" t="s">
        <v>3463</v>
      </c>
      <c r="I420" s="26">
        <v>2024</v>
      </c>
      <c r="J420" s="26"/>
      <c r="K420" s="26"/>
      <c r="L420" s="26"/>
      <c r="M420" s="27" t="s">
        <v>3180</v>
      </c>
    </row>
    <row r="421" spans="1:13" x14ac:dyDescent="0.35">
      <c r="A421" s="28" t="s">
        <v>1371</v>
      </c>
      <c r="B421" s="29" t="s">
        <v>3948</v>
      </c>
      <c r="C421" s="30" t="s">
        <v>148</v>
      </c>
      <c r="D421" s="30" t="s">
        <v>93</v>
      </c>
      <c r="E421" s="30" t="s">
        <v>18</v>
      </c>
      <c r="F421" s="30" t="s">
        <v>88</v>
      </c>
      <c r="G421" s="30" t="s">
        <v>3702</v>
      </c>
      <c r="H421" s="30" t="s">
        <v>3703</v>
      </c>
      <c r="I421" s="30">
        <v>2024</v>
      </c>
      <c r="J421" s="30" t="s">
        <v>2746</v>
      </c>
      <c r="K421" s="30">
        <v>100</v>
      </c>
      <c r="L421" s="30">
        <v>2023</v>
      </c>
      <c r="M421" s="31" t="s">
        <v>3186</v>
      </c>
    </row>
    <row r="422" spans="1:13" x14ac:dyDescent="0.35">
      <c r="A422" s="24" t="s">
        <v>1374</v>
      </c>
      <c r="B422" s="25" t="s">
        <v>4083</v>
      </c>
      <c r="C422" s="26" t="s">
        <v>573</v>
      </c>
      <c r="D422" s="26" t="s">
        <v>82</v>
      </c>
      <c r="E422" s="26" t="s">
        <v>18</v>
      </c>
      <c r="F422" s="26" t="s">
        <v>19</v>
      </c>
      <c r="G422" s="26" t="s">
        <v>3704</v>
      </c>
      <c r="H422" s="26" t="s">
        <v>3705</v>
      </c>
      <c r="I422" s="26">
        <v>2024</v>
      </c>
      <c r="J422" s="26" t="s">
        <v>2842</v>
      </c>
      <c r="K422" s="26">
        <v>100</v>
      </c>
      <c r="L422" s="26">
        <v>2024</v>
      </c>
      <c r="M422" s="31" t="s">
        <v>3186</v>
      </c>
    </row>
    <row r="423" spans="1:13" x14ac:dyDescent="0.35">
      <c r="A423" s="28" t="s">
        <v>1378</v>
      </c>
      <c r="B423" s="29" t="s">
        <v>4051</v>
      </c>
      <c r="C423" s="30" t="s">
        <v>573</v>
      </c>
      <c r="D423" s="30" t="s">
        <v>395</v>
      </c>
      <c r="E423" s="30" t="s">
        <v>18</v>
      </c>
      <c r="F423" s="30" t="s">
        <v>19</v>
      </c>
      <c r="G423" s="30" t="s">
        <v>3706</v>
      </c>
      <c r="H423" s="30" t="s">
        <v>3707</v>
      </c>
      <c r="I423" s="30">
        <v>2024</v>
      </c>
      <c r="J423" s="30" t="s">
        <v>2488</v>
      </c>
      <c r="K423" s="30">
        <v>90.4</v>
      </c>
      <c r="L423" s="30">
        <v>2022</v>
      </c>
      <c r="M423" s="31" t="s">
        <v>3186</v>
      </c>
    </row>
    <row r="424" spans="1:13" x14ac:dyDescent="0.35">
      <c r="A424" s="24" t="s">
        <v>1381</v>
      </c>
      <c r="B424" s="25" t="s">
        <v>4084</v>
      </c>
      <c r="C424" s="26" t="s">
        <v>573</v>
      </c>
      <c r="D424" s="26" t="s">
        <v>395</v>
      </c>
      <c r="E424" s="26" t="s">
        <v>18</v>
      </c>
      <c r="F424" s="26" t="s">
        <v>19</v>
      </c>
      <c r="G424" s="26" t="s">
        <v>3695</v>
      </c>
      <c r="H424" s="26" t="s">
        <v>3708</v>
      </c>
      <c r="I424" s="26">
        <v>2024</v>
      </c>
      <c r="J424" s="26" t="s">
        <v>1986</v>
      </c>
      <c r="K424" s="26">
        <v>90.2</v>
      </c>
      <c r="L424" s="26">
        <v>2022</v>
      </c>
      <c r="M424" s="31" t="s">
        <v>3186</v>
      </c>
    </row>
    <row r="425" spans="1:13" x14ac:dyDescent="0.35">
      <c r="A425" s="28" t="s">
        <v>1385</v>
      </c>
      <c r="B425" s="29" t="s">
        <v>4085</v>
      </c>
      <c r="C425" s="30" t="s">
        <v>311</v>
      </c>
      <c r="D425" s="30" t="s">
        <v>149</v>
      </c>
      <c r="E425" s="30" t="s">
        <v>18</v>
      </c>
      <c r="F425" s="30" t="s">
        <v>19</v>
      </c>
      <c r="G425" s="30" t="s">
        <v>3700</v>
      </c>
      <c r="H425" s="30" t="s">
        <v>3709</v>
      </c>
      <c r="I425" s="30">
        <v>2024</v>
      </c>
      <c r="J425" s="30"/>
      <c r="K425" s="30"/>
      <c r="L425" s="30"/>
      <c r="M425" s="27" t="s">
        <v>3180</v>
      </c>
    </row>
    <row r="426" spans="1:13" x14ac:dyDescent="0.35">
      <c r="A426" s="24" t="s">
        <v>1387</v>
      </c>
      <c r="B426" s="25" t="s">
        <v>4086</v>
      </c>
      <c r="C426" s="26" t="s">
        <v>311</v>
      </c>
      <c r="D426" s="26" t="s">
        <v>149</v>
      </c>
      <c r="E426" s="26" t="s">
        <v>18</v>
      </c>
      <c r="F426" s="26" t="s">
        <v>19</v>
      </c>
      <c r="G426" s="26" t="s">
        <v>3700</v>
      </c>
      <c r="H426" s="26" t="s">
        <v>3709</v>
      </c>
      <c r="I426" s="26">
        <v>2024</v>
      </c>
      <c r="J426" s="26"/>
      <c r="K426" s="26"/>
      <c r="L426" s="26"/>
      <c r="M426" s="27" t="s">
        <v>3180</v>
      </c>
    </row>
    <row r="427" spans="1:13" x14ac:dyDescent="0.35">
      <c r="A427" s="28" t="s">
        <v>1389</v>
      </c>
      <c r="B427" s="29" t="s">
        <v>4087</v>
      </c>
      <c r="C427" s="30" t="s">
        <v>573</v>
      </c>
      <c r="D427" s="30" t="s">
        <v>1218</v>
      </c>
      <c r="E427" s="30" t="s">
        <v>18</v>
      </c>
      <c r="F427" s="30" t="s">
        <v>19</v>
      </c>
      <c r="G427" s="30" t="s">
        <v>3710</v>
      </c>
      <c r="H427" s="30" t="s">
        <v>3206</v>
      </c>
      <c r="I427" s="30">
        <v>2024</v>
      </c>
      <c r="J427" s="30"/>
      <c r="K427" s="30"/>
      <c r="L427" s="30"/>
      <c r="M427" s="27" t="s">
        <v>3180</v>
      </c>
    </row>
    <row r="428" spans="1:13" x14ac:dyDescent="0.35">
      <c r="A428" s="24" t="s">
        <v>1393</v>
      </c>
      <c r="B428" s="25" t="s">
        <v>4088</v>
      </c>
      <c r="C428" s="26" t="s">
        <v>573</v>
      </c>
      <c r="D428" s="26" t="s">
        <v>1218</v>
      </c>
      <c r="E428" s="26" t="s">
        <v>18</v>
      </c>
      <c r="F428" s="26" t="s">
        <v>19</v>
      </c>
      <c r="G428" s="26" t="s">
        <v>3711</v>
      </c>
      <c r="H428" s="26" t="s">
        <v>3383</v>
      </c>
      <c r="I428" s="26">
        <v>2024</v>
      </c>
      <c r="J428" s="26"/>
      <c r="K428" s="26"/>
      <c r="L428" s="26"/>
      <c r="M428" s="27" t="s">
        <v>3180</v>
      </c>
    </row>
    <row r="429" spans="1:13" x14ac:dyDescent="0.35">
      <c r="A429" s="28" t="s">
        <v>1397</v>
      </c>
      <c r="B429" s="29" t="s">
        <v>4089</v>
      </c>
      <c r="C429" s="30" t="s">
        <v>573</v>
      </c>
      <c r="D429" s="30" t="s">
        <v>1218</v>
      </c>
      <c r="E429" s="30" t="s">
        <v>18</v>
      </c>
      <c r="F429" s="30" t="s">
        <v>101</v>
      </c>
      <c r="G429" s="30" t="s">
        <v>3711</v>
      </c>
      <c r="H429" s="30" t="s">
        <v>3383</v>
      </c>
      <c r="I429" s="30">
        <v>2024</v>
      </c>
      <c r="J429" s="30"/>
      <c r="K429" s="30"/>
      <c r="L429" s="30"/>
      <c r="M429" s="27" t="s">
        <v>3180</v>
      </c>
    </row>
    <row r="430" spans="1:13" x14ac:dyDescent="0.35">
      <c r="A430" s="24" t="s">
        <v>1401</v>
      </c>
      <c r="B430" s="25" t="s">
        <v>3970</v>
      </c>
      <c r="C430" s="26" t="s">
        <v>27</v>
      </c>
      <c r="D430" s="26" t="s">
        <v>28</v>
      </c>
      <c r="E430" s="26" t="s">
        <v>18</v>
      </c>
      <c r="F430" s="26" t="s">
        <v>88</v>
      </c>
      <c r="G430" s="26" t="s">
        <v>3712</v>
      </c>
      <c r="H430" s="26" t="s">
        <v>3577</v>
      </c>
      <c r="I430" s="26">
        <v>2022</v>
      </c>
      <c r="J430" s="26"/>
      <c r="K430" s="26"/>
      <c r="L430" s="26"/>
      <c r="M430" s="27" t="s">
        <v>3180</v>
      </c>
    </row>
    <row r="431" spans="1:13" x14ac:dyDescent="0.35">
      <c r="A431" s="28" t="s">
        <v>1404</v>
      </c>
      <c r="B431" s="29" t="s">
        <v>1406</v>
      </c>
      <c r="C431" s="30" t="s">
        <v>573</v>
      </c>
      <c r="D431" s="30" t="s">
        <v>395</v>
      </c>
      <c r="E431" s="30" t="s">
        <v>18</v>
      </c>
      <c r="F431" s="30" t="s">
        <v>19</v>
      </c>
      <c r="G431" s="30" t="s">
        <v>3713</v>
      </c>
      <c r="H431" s="30" t="s">
        <v>3714</v>
      </c>
      <c r="I431" s="30">
        <v>2024</v>
      </c>
      <c r="J431" s="30"/>
      <c r="K431" s="30"/>
      <c r="L431" s="30"/>
      <c r="M431" s="27" t="s">
        <v>3180</v>
      </c>
    </row>
    <row r="432" spans="1:13" x14ac:dyDescent="0.35">
      <c r="A432" s="24" t="s">
        <v>1408</v>
      </c>
      <c r="B432" s="25" t="s">
        <v>4090</v>
      </c>
      <c r="C432" s="26" t="s">
        <v>573</v>
      </c>
      <c r="D432" s="26" t="s">
        <v>1218</v>
      </c>
      <c r="E432" s="26" t="s">
        <v>18</v>
      </c>
      <c r="F432" s="26" t="s">
        <v>19</v>
      </c>
      <c r="G432" s="26" t="s">
        <v>3715</v>
      </c>
      <c r="H432" s="26" t="s">
        <v>3716</v>
      </c>
      <c r="I432" s="26">
        <v>2024</v>
      </c>
      <c r="J432" s="26"/>
      <c r="K432" s="26"/>
      <c r="L432" s="26"/>
      <c r="M432" s="27" t="s">
        <v>3180</v>
      </c>
    </row>
    <row r="433" spans="1:13" x14ac:dyDescent="0.35">
      <c r="A433" s="28" t="s">
        <v>1411</v>
      </c>
      <c r="B433" s="29" t="s">
        <v>4091</v>
      </c>
      <c r="C433" s="30" t="s">
        <v>573</v>
      </c>
      <c r="D433" s="30" t="s">
        <v>1218</v>
      </c>
      <c r="E433" s="30" t="s">
        <v>18</v>
      </c>
      <c r="F433" s="30" t="s">
        <v>19</v>
      </c>
      <c r="G433" s="30" t="s">
        <v>3717</v>
      </c>
      <c r="H433" s="30" t="s">
        <v>3718</v>
      </c>
      <c r="I433" s="30">
        <v>2024</v>
      </c>
      <c r="J433" s="30"/>
      <c r="K433" s="30"/>
      <c r="L433" s="30"/>
      <c r="M433" s="27" t="s">
        <v>3180</v>
      </c>
    </row>
    <row r="434" spans="1:13" x14ac:dyDescent="0.35">
      <c r="A434" s="24" t="s">
        <v>1415</v>
      </c>
      <c r="B434" s="25" t="s">
        <v>4092</v>
      </c>
      <c r="C434" s="26" t="s">
        <v>573</v>
      </c>
      <c r="D434" s="26" t="s">
        <v>395</v>
      </c>
      <c r="E434" s="26" t="s">
        <v>18</v>
      </c>
      <c r="F434" s="26" t="s">
        <v>19</v>
      </c>
      <c r="G434" s="26" t="s">
        <v>3719</v>
      </c>
      <c r="H434" s="26" t="s">
        <v>3720</v>
      </c>
      <c r="I434" s="26">
        <v>2024</v>
      </c>
      <c r="J434" s="26" t="s">
        <v>2439</v>
      </c>
      <c r="K434" s="26">
        <v>90.5</v>
      </c>
      <c r="L434" s="26">
        <v>2022</v>
      </c>
      <c r="M434" s="31" t="s">
        <v>3186</v>
      </c>
    </row>
    <row r="435" spans="1:13" x14ac:dyDescent="0.35">
      <c r="A435" s="28" t="s">
        <v>1419</v>
      </c>
      <c r="B435" s="29" t="s">
        <v>4092</v>
      </c>
      <c r="C435" s="30" t="s">
        <v>573</v>
      </c>
      <c r="D435" s="30" t="s">
        <v>395</v>
      </c>
      <c r="E435" s="30" t="s">
        <v>18</v>
      </c>
      <c r="F435" s="30" t="s">
        <v>19</v>
      </c>
      <c r="G435" s="30" t="s">
        <v>3719</v>
      </c>
      <c r="H435" s="30" t="s">
        <v>3720</v>
      </c>
      <c r="I435" s="30">
        <v>2024</v>
      </c>
      <c r="J435" s="30" t="s">
        <v>2439</v>
      </c>
      <c r="K435" s="30">
        <v>90.5</v>
      </c>
      <c r="L435" s="30">
        <v>2022</v>
      </c>
      <c r="M435" s="31" t="s">
        <v>3186</v>
      </c>
    </row>
    <row r="436" spans="1:13" x14ac:dyDescent="0.35">
      <c r="A436" s="24" t="s">
        <v>1422</v>
      </c>
      <c r="B436" s="25" t="s">
        <v>4093</v>
      </c>
      <c r="C436" s="26" t="s">
        <v>573</v>
      </c>
      <c r="D436" s="26" t="s">
        <v>1218</v>
      </c>
      <c r="E436" s="26" t="s">
        <v>18</v>
      </c>
      <c r="F436" s="26" t="s">
        <v>19</v>
      </c>
      <c r="G436" s="26" t="s">
        <v>3719</v>
      </c>
      <c r="H436" s="26" t="s">
        <v>3720</v>
      </c>
      <c r="I436" s="26">
        <v>2024</v>
      </c>
      <c r="J436" s="26" t="s">
        <v>3083</v>
      </c>
      <c r="K436" s="26">
        <v>100</v>
      </c>
      <c r="L436" s="26">
        <v>2024</v>
      </c>
      <c r="M436" s="31" t="s">
        <v>3186</v>
      </c>
    </row>
    <row r="437" spans="1:13" x14ac:dyDescent="0.35">
      <c r="A437" s="28" t="s">
        <v>1426</v>
      </c>
      <c r="B437" s="29" t="s">
        <v>4094</v>
      </c>
      <c r="C437" s="30" t="s">
        <v>573</v>
      </c>
      <c r="D437" s="30" t="s">
        <v>395</v>
      </c>
      <c r="E437" s="30" t="s">
        <v>18</v>
      </c>
      <c r="F437" s="30" t="s">
        <v>19</v>
      </c>
      <c r="G437" s="30" t="s">
        <v>3721</v>
      </c>
      <c r="H437" s="30" t="s">
        <v>3722</v>
      </c>
      <c r="I437" s="30">
        <v>2024</v>
      </c>
      <c r="J437" s="30"/>
      <c r="K437" s="30"/>
      <c r="L437" s="30"/>
      <c r="M437" s="27" t="s">
        <v>3180</v>
      </c>
    </row>
    <row r="438" spans="1:13" x14ac:dyDescent="0.35">
      <c r="A438" s="24" t="s">
        <v>1430</v>
      </c>
      <c r="B438" s="25" t="s">
        <v>1432</v>
      </c>
      <c r="C438" s="26" t="s">
        <v>311</v>
      </c>
      <c r="D438" s="26" t="s">
        <v>149</v>
      </c>
      <c r="E438" s="26" t="s">
        <v>18</v>
      </c>
      <c r="F438" s="26" t="s">
        <v>19</v>
      </c>
      <c r="G438" s="26" t="s">
        <v>3723</v>
      </c>
      <c r="H438" s="26" t="s">
        <v>3724</v>
      </c>
      <c r="I438" s="26">
        <v>2024</v>
      </c>
      <c r="J438" s="26"/>
      <c r="K438" s="26"/>
      <c r="L438" s="26"/>
      <c r="M438" s="27" t="s">
        <v>3180</v>
      </c>
    </row>
    <row r="439" spans="1:13" x14ac:dyDescent="0.35">
      <c r="A439" s="28" t="s">
        <v>1433</v>
      </c>
      <c r="B439" s="29" t="s">
        <v>4095</v>
      </c>
      <c r="C439" s="30" t="s">
        <v>154</v>
      </c>
      <c r="D439" s="30" t="s">
        <v>93</v>
      </c>
      <c r="E439" s="30" t="s">
        <v>18</v>
      </c>
      <c r="F439" s="30" t="s">
        <v>88</v>
      </c>
      <c r="G439" s="30" t="s">
        <v>3432</v>
      </c>
      <c r="H439" s="30" t="s">
        <v>3580</v>
      </c>
      <c r="I439" s="30">
        <v>2024</v>
      </c>
      <c r="J439" s="30" t="s">
        <v>2600</v>
      </c>
      <c r="K439" s="30">
        <v>100</v>
      </c>
      <c r="L439" s="30">
        <v>2023</v>
      </c>
      <c r="M439" s="31" t="s">
        <v>3186</v>
      </c>
    </row>
    <row r="440" spans="1:13" x14ac:dyDescent="0.35">
      <c r="A440" s="24" t="s">
        <v>1437</v>
      </c>
      <c r="B440" s="25" t="s">
        <v>4096</v>
      </c>
      <c r="C440" s="26" t="s">
        <v>311</v>
      </c>
      <c r="D440" s="26" t="s">
        <v>395</v>
      </c>
      <c r="E440" s="26" t="s">
        <v>18</v>
      </c>
      <c r="F440" s="26" t="s">
        <v>19</v>
      </c>
      <c r="G440" s="26" t="s">
        <v>3657</v>
      </c>
      <c r="H440" s="26" t="s">
        <v>3696</v>
      </c>
      <c r="I440" s="26">
        <v>2023</v>
      </c>
      <c r="J440" s="26"/>
      <c r="K440" s="26"/>
      <c r="L440" s="26"/>
      <c r="M440" s="27" t="s">
        <v>3180</v>
      </c>
    </row>
    <row r="441" spans="1:13" x14ac:dyDescent="0.35">
      <c r="A441" s="28" t="s">
        <v>1440</v>
      </c>
      <c r="B441" s="29" t="s">
        <v>4097</v>
      </c>
      <c r="C441" s="30" t="s">
        <v>573</v>
      </c>
      <c r="D441" s="30" t="s">
        <v>1218</v>
      </c>
      <c r="E441" s="30" t="s">
        <v>18</v>
      </c>
      <c r="F441" s="30" t="s">
        <v>19</v>
      </c>
      <c r="G441" s="30" t="s">
        <v>3362</v>
      </c>
      <c r="H441" s="30" t="s">
        <v>3725</v>
      </c>
      <c r="I441" s="30">
        <v>2024</v>
      </c>
      <c r="J441" s="30"/>
      <c r="K441" s="30"/>
      <c r="L441" s="30"/>
      <c r="M441" s="27" t="s">
        <v>3180</v>
      </c>
    </row>
    <row r="442" spans="1:13" x14ac:dyDescent="0.35">
      <c r="A442" s="24" t="s">
        <v>1444</v>
      </c>
      <c r="B442" s="25" t="s">
        <v>4098</v>
      </c>
      <c r="C442" s="26" t="s">
        <v>573</v>
      </c>
      <c r="D442" s="26" t="s">
        <v>1218</v>
      </c>
      <c r="E442" s="26" t="s">
        <v>18</v>
      </c>
      <c r="F442" s="26" t="s">
        <v>19</v>
      </c>
      <c r="G442" s="26" t="s">
        <v>3726</v>
      </c>
      <c r="H442" s="26" t="s">
        <v>3306</v>
      </c>
      <c r="I442" s="26">
        <v>2024</v>
      </c>
      <c r="J442" s="26"/>
      <c r="K442" s="26"/>
      <c r="L442" s="26"/>
      <c r="M442" s="27" t="s">
        <v>3180</v>
      </c>
    </row>
    <row r="443" spans="1:13" x14ac:dyDescent="0.35">
      <c r="A443" s="28" t="s">
        <v>1447</v>
      </c>
      <c r="B443" s="29" t="s">
        <v>4099</v>
      </c>
      <c r="C443" s="30" t="s">
        <v>573</v>
      </c>
      <c r="D443" s="30" t="s">
        <v>395</v>
      </c>
      <c r="E443" s="30" t="s">
        <v>18</v>
      </c>
      <c r="F443" s="30" t="s">
        <v>19</v>
      </c>
      <c r="G443" s="30" t="s">
        <v>3726</v>
      </c>
      <c r="H443" s="30" t="s">
        <v>3306</v>
      </c>
      <c r="I443" s="30">
        <v>2024</v>
      </c>
      <c r="J443" s="30" t="s">
        <v>2324</v>
      </c>
      <c r="K443" s="30">
        <v>100</v>
      </c>
      <c r="L443" s="30">
        <v>2021</v>
      </c>
      <c r="M443" s="31" t="s">
        <v>3186</v>
      </c>
    </row>
    <row r="444" spans="1:13" x14ac:dyDescent="0.35">
      <c r="A444" s="24" t="s">
        <v>1450</v>
      </c>
      <c r="B444" s="25" t="s">
        <v>4009</v>
      </c>
      <c r="C444" s="26" t="s">
        <v>139</v>
      </c>
      <c r="D444" s="26" t="s">
        <v>17</v>
      </c>
      <c r="E444" s="26" t="s">
        <v>18</v>
      </c>
      <c r="F444" s="26" t="s">
        <v>88</v>
      </c>
      <c r="G444" s="26" t="s">
        <v>3432</v>
      </c>
      <c r="H444" s="26" t="s">
        <v>3433</v>
      </c>
      <c r="I444" s="26">
        <v>2024</v>
      </c>
      <c r="J444" s="26" t="s">
        <v>3089</v>
      </c>
      <c r="K444" s="26">
        <v>100</v>
      </c>
      <c r="L444" s="26">
        <v>2024</v>
      </c>
      <c r="M444" s="31" t="s">
        <v>3186</v>
      </c>
    </row>
    <row r="445" spans="1:13" x14ac:dyDescent="0.35">
      <c r="A445" s="28" t="s">
        <v>1453</v>
      </c>
      <c r="B445" s="29" t="s">
        <v>4100</v>
      </c>
      <c r="C445" s="30" t="s">
        <v>139</v>
      </c>
      <c r="D445" s="30" t="s">
        <v>175</v>
      </c>
      <c r="E445" s="30" t="s">
        <v>18</v>
      </c>
      <c r="F445" s="30" t="s">
        <v>88</v>
      </c>
      <c r="G445" s="30" t="s">
        <v>3432</v>
      </c>
      <c r="H445" s="30" t="s">
        <v>3433</v>
      </c>
      <c r="I445" s="30">
        <v>2024</v>
      </c>
      <c r="J445" s="30" t="s">
        <v>2624</v>
      </c>
      <c r="K445" s="30">
        <v>98</v>
      </c>
      <c r="L445" s="30">
        <v>2024</v>
      </c>
      <c r="M445" s="31" t="s">
        <v>3186</v>
      </c>
    </row>
    <row r="446" spans="1:13" x14ac:dyDescent="0.35">
      <c r="A446" s="24" t="s">
        <v>1457</v>
      </c>
      <c r="B446" s="25" t="s">
        <v>1459</v>
      </c>
      <c r="C446" s="26" t="s">
        <v>573</v>
      </c>
      <c r="D446" s="26" t="s">
        <v>395</v>
      </c>
      <c r="E446" s="26" t="s">
        <v>18</v>
      </c>
      <c r="F446" s="26" t="s">
        <v>853</v>
      </c>
      <c r="G446" s="26" t="s">
        <v>3715</v>
      </c>
      <c r="H446" s="26" t="s">
        <v>3716</v>
      </c>
      <c r="I446" s="26">
        <v>2024</v>
      </c>
      <c r="J446" s="26"/>
      <c r="K446" s="26"/>
      <c r="L446" s="26"/>
      <c r="M446" s="27" t="s">
        <v>3180</v>
      </c>
    </row>
    <row r="447" spans="1:13" x14ac:dyDescent="0.35">
      <c r="A447" s="28" t="s">
        <v>1461</v>
      </c>
      <c r="B447" s="29" t="s">
        <v>4101</v>
      </c>
      <c r="C447" s="30" t="s">
        <v>311</v>
      </c>
      <c r="D447" s="30" t="s">
        <v>149</v>
      </c>
      <c r="E447" s="30" t="s">
        <v>18</v>
      </c>
      <c r="F447" s="30" t="s">
        <v>19</v>
      </c>
      <c r="G447" s="30" t="s">
        <v>3641</v>
      </c>
      <c r="H447" s="30" t="s">
        <v>3504</v>
      </c>
      <c r="I447" s="30">
        <v>2024</v>
      </c>
      <c r="J447" s="30"/>
      <c r="K447" s="30"/>
      <c r="L447" s="30"/>
      <c r="M447" s="27" t="s">
        <v>3180</v>
      </c>
    </row>
    <row r="448" spans="1:13" x14ac:dyDescent="0.35">
      <c r="A448" s="24" t="s">
        <v>1463</v>
      </c>
      <c r="B448" s="25" t="s">
        <v>1464</v>
      </c>
      <c r="C448" s="26" t="s">
        <v>311</v>
      </c>
      <c r="D448" s="26" t="s">
        <v>149</v>
      </c>
      <c r="E448" s="26" t="s">
        <v>18</v>
      </c>
      <c r="F448" s="26" t="s">
        <v>19</v>
      </c>
      <c r="G448" s="26" t="s">
        <v>3641</v>
      </c>
      <c r="H448" s="26" t="s">
        <v>3727</v>
      </c>
      <c r="I448" s="26">
        <v>2024</v>
      </c>
      <c r="J448" s="26"/>
      <c r="K448" s="26"/>
      <c r="L448" s="26"/>
      <c r="M448" s="27" t="s">
        <v>3180</v>
      </c>
    </row>
    <row r="449" spans="1:13" x14ac:dyDescent="0.35">
      <c r="A449" s="28" t="s">
        <v>1465</v>
      </c>
      <c r="B449" s="29" t="s">
        <v>4102</v>
      </c>
      <c r="C449" s="30" t="s">
        <v>311</v>
      </c>
      <c r="D449" s="30" t="s">
        <v>149</v>
      </c>
      <c r="E449" s="30" t="s">
        <v>18</v>
      </c>
      <c r="F449" s="30" t="s">
        <v>19</v>
      </c>
      <c r="G449" s="30" t="s">
        <v>3641</v>
      </c>
      <c r="H449" s="30" t="s">
        <v>3504</v>
      </c>
      <c r="I449" s="30">
        <v>2024</v>
      </c>
      <c r="J449" s="30"/>
      <c r="K449" s="30"/>
      <c r="L449" s="30"/>
      <c r="M449" s="27" t="s">
        <v>3180</v>
      </c>
    </row>
    <row r="450" spans="1:13" x14ac:dyDescent="0.35">
      <c r="A450" s="24" t="s">
        <v>1467</v>
      </c>
      <c r="B450" s="25" t="s">
        <v>4103</v>
      </c>
      <c r="C450" s="26" t="s">
        <v>311</v>
      </c>
      <c r="D450" s="26" t="s">
        <v>149</v>
      </c>
      <c r="E450" s="26" t="s">
        <v>18</v>
      </c>
      <c r="F450" s="26" t="s">
        <v>19</v>
      </c>
      <c r="G450" s="26" t="s">
        <v>3641</v>
      </c>
      <c r="H450" s="26" t="s">
        <v>3727</v>
      </c>
      <c r="I450" s="26">
        <v>2024</v>
      </c>
      <c r="J450" s="26" t="s">
        <v>3013</v>
      </c>
      <c r="K450" s="26">
        <v>100</v>
      </c>
      <c r="L450" s="26">
        <v>2023</v>
      </c>
      <c r="M450" s="31" t="s">
        <v>3186</v>
      </c>
    </row>
    <row r="451" spans="1:13" x14ac:dyDescent="0.35">
      <c r="A451" s="28" t="s">
        <v>1469</v>
      </c>
      <c r="B451" s="29" t="s">
        <v>4101</v>
      </c>
      <c r="C451" s="30" t="s">
        <v>27</v>
      </c>
      <c r="D451" s="30" t="s">
        <v>118</v>
      </c>
      <c r="E451" s="30" t="s">
        <v>18</v>
      </c>
      <c r="F451" s="30" t="s">
        <v>19</v>
      </c>
      <c r="G451" s="30" t="s">
        <v>3728</v>
      </c>
      <c r="H451" s="30" t="s">
        <v>3729</v>
      </c>
      <c r="I451" s="30">
        <v>2024</v>
      </c>
      <c r="J451" s="30"/>
      <c r="K451" s="30"/>
      <c r="L451" s="30"/>
      <c r="M451" s="27" t="s">
        <v>3180</v>
      </c>
    </row>
    <row r="452" spans="1:13" x14ac:dyDescent="0.35">
      <c r="A452" s="24" t="s">
        <v>1472</v>
      </c>
      <c r="B452" s="25" t="s">
        <v>4045</v>
      </c>
      <c r="C452" s="26" t="s">
        <v>154</v>
      </c>
      <c r="D452" s="26" t="s">
        <v>93</v>
      </c>
      <c r="E452" s="26" t="s">
        <v>18</v>
      </c>
      <c r="F452" s="26" t="s">
        <v>88</v>
      </c>
      <c r="G452" s="26" t="s">
        <v>3641</v>
      </c>
      <c r="H452" s="26" t="s">
        <v>3642</v>
      </c>
      <c r="I452" s="26">
        <v>2024</v>
      </c>
      <c r="J452" s="26"/>
      <c r="K452" s="26"/>
      <c r="L452" s="26"/>
      <c r="M452" s="27" t="s">
        <v>3180</v>
      </c>
    </row>
    <row r="453" spans="1:13" x14ac:dyDescent="0.35">
      <c r="A453" s="28" t="s">
        <v>1475</v>
      </c>
      <c r="B453" s="29" t="s">
        <v>4104</v>
      </c>
      <c r="C453" s="30" t="s">
        <v>573</v>
      </c>
      <c r="D453" s="30" t="s">
        <v>1218</v>
      </c>
      <c r="E453" s="30" t="s">
        <v>18</v>
      </c>
      <c r="F453" s="30" t="s">
        <v>19</v>
      </c>
      <c r="G453" s="30" t="s">
        <v>3730</v>
      </c>
      <c r="H453" s="30" t="s">
        <v>3731</v>
      </c>
      <c r="I453" s="30">
        <v>2024</v>
      </c>
      <c r="J453" s="30"/>
      <c r="K453" s="30"/>
      <c r="L453" s="30"/>
      <c r="M453" s="27" t="s">
        <v>3180</v>
      </c>
    </row>
    <row r="454" spans="1:13" x14ac:dyDescent="0.35">
      <c r="A454" s="24" t="s">
        <v>1479</v>
      </c>
      <c r="B454" s="25" t="s">
        <v>4105</v>
      </c>
      <c r="C454" s="26" t="s">
        <v>27</v>
      </c>
      <c r="D454" s="26" t="s">
        <v>28</v>
      </c>
      <c r="E454" s="26" t="s">
        <v>18</v>
      </c>
      <c r="F454" s="26" t="s">
        <v>177</v>
      </c>
      <c r="G454" s="26" t="s">
        <v>3730</v>
      </c>
      <c r="H454" s="26" t="s">
        <v>3732</v>
      </c>
      <c r="I454" s="26">
        <v>2024</v>
      </c>
      <c r="J454" s="26"/>
      <c r="K454" s="26"/>
      <c r="L454" s="26"/>
      <c r="M454" s="27" t="s">
        <v>3180</v>
      </c>
    </row>
    <row r="455" spans="1:13" x14ac:dyDescent="0.35">
      <c r="A455" s="28" t="s">
        <v>1483</v>
      </c>
      <c r="B455" s="29" t="s">
        <v>4105</v>
      </c>
      <c r="C455" s="30" t="s">
        <v>27</v>
      </c>
      <c r="D455" s="30" t="s">
        <v>28</v>
      </c>
      <c r="E455" s="30" t="s">
        <v>18</v>
      </c>
      <c r="F455" s="30" t="s">
        <v>177</v>
      </c>
      <c r="G455" s="30" t="s">
        <v>3730</v>
      </c>
      <c r="H455" s="30" t="s">
        <v>3732</v>
      </c>
      <c r="I455" s="30">
        <v>2024</v>
      </c>
      <c r="J455" s="30"/>
      <c r="K455" s="30"/>
      <c r="L455" s="30"/>
      <c r="M455" s="27" t="s">
        <v>3180</v>
      </c>
    </row>
    <row r="456" spans="1:13" x14ac:dyDescent="0.35">
      <c r="A456" s="24" t="s">
        <v>1486</v>
      </c>
      <c r="B456" s="25" t="s">
        <v>4106</v>
      </c>
      <c r="C456" s="26" t="s">
        <v>311</v>
      </c>
      <c r="D456" s="26" t="s">
        <v>149</v>
      </c>
      <c r="E456" s="26" t="s">
        <v>18</v>
      </c>
      <c r="F456" s="26" t="s">
        <v>19</v>
      </c>
      <c r="G456" s="26" t="s">
        <v>3730</v>
      </c>
      <c r="H456" s="26" t="s">
        <v>3732</v>
      </c>
      <c r="I456" s="26">
        <v>2024</v>
      </c>
      <c r="J456" s="26" t="s">
        <v>2338</v>
      </c>
      <c r="K456" s="26">
        <v>86.6</v>
      </c>
      <c r="L456" s="26">
        <v>2023</v>
      </c>
      <c r="M456" s="31" t="s">
        <v>3186</v>
      </c>
    </row>
    <row r="457" spans="1:13" x14ac:dyDescent="0.35">
      <c r="A457" s="28" t="s">
        <v>1488</v>
      </c>
      <c r="B457" s="29" t="s">
        <v>4107</v>
      </c>
      <c r="C457" s="30" t="s">
        <v>311</v>
      </c>
      <c r="D457" s="30" t="s">
        <v>149</v>
      </c>
      <c r="E457" s="30" t="s">
        <v>18</v>
      </c>
      <c r="F457" s="30" t="s">
        <v>19</v>
      </c>
      <c r="G457" s="30" t="s">
        <v>3730</v>
      </c>
      <c r="H457" s="30" t="s">
        <v>3732</v>
      </c>
      <c r="I457" s="30">
        <v>2024</v>
      </c>
      <c r="J457" s="30"/>
      <c r="K457" s="30"/>
      <c r="L457" s="30"/>
      <c r="M457" s="27" t="s">
        <v>3180</v>
      </c>
    </row>
    <row r="458" spans="1:13" x14ac:dyDescent="0.35">
      <c r="A458" s="24" t="s">
        <v>1490</v>
      </c>
      <c r="B458" s="25" t="s">
        <v>4108</v>
      </c>
      <c r="C458" s="26" t="s">
        <v>573</v>
      </c>
      <c r="D458" s="26" t="s">
        <v>1218</v>
      </c>
      <c r="E458" s="26" t="s">
        <v>18</v>
      </c>
      <c r="F458" s="26" t="s">
        <v>19</v>
      </c>
      <c r="G458" s="26" t="s">
        <v>3733</v>
      </c>
      <c r="H458" s="26" t="s">
        <v>3734</v>
      </c>
      <c r="I458" s="26">
        <v>2024</v>
      </c>
      <c r="J458" s="26"/>
      <c r="K458" s="26"/>
      <c r="L458" s="26"/>
      <c r="M458" s="27" t="s">
        <v>3180</v>
      </c>
    </row>
    <row r="459" spans="1:13" x14ac:dyDescent="0.35">
      <c r="A459" s="28" t="s">
        <v>1494</v>
      </c>
      <c r="B459" s="29" t="s">
        <v>4009</v>
      </c>
      <c r="C459" s="30" t="s">
        <v>148</v>
      </c>
      <c r="D459" s="30" t="s">
        <v>17</v>
      </c>
      <c r="E459" s="30" t="s">
        <v>18</v>
      </c>
      <c r="F459" s="30" t="s">
        <v>163</v>
      </c>
      <c r="G459" s="30" t="s">
        <v>3735</v>
      </c>
      <c r="H459" s="30" t="s">
        <v>3736</v>
      </c>
      <c r="I459" s="30">
        <v>2024</v>
      </c>
      <c r="J459" s="30" t="s">
        <v>3089</v>
      </c>
      <c r="K459" s="30">
        <v>100</v>
      </c>
      <c r="L459" s="30">
        <v>2024</v>
      </c>
      <c r="M459" s="31" t="s">
        <v>3186</v>
      </c>
    </row>
    <row r="460" spans="1:13" x14ac:dyDescent="0.35">
      <c r="A460" s="24" t="s">
        <v>1497</v>
      </c>
      <c r="B460" s="25" t="s">
        <v>4109</v>
      </c>
      <c r="C460" s="26" t="s">
        <v>148</v>
      </c>
      <c r="D460" s="26" t="s">
        <v>93</v>
      </c>
      <c r="E460" s="26" t="s">
        <v>18</v>
      </c>
      <c r="F460" s="26" t="s">
        <v>88</v>
      </c>
      <c r="G460" s="26" t="s">
        <v>3497</v>
      </c>
      <c r="H460" s="26" t="s">
        <v>3498</v>
      </c>
      <c r="I460" s="26">
        <v>2022</v>
      </c>
      <c r="J460" s="26"/>
      <c r="K460" s="26"/>
      <c r="L460" s="26"/>
      <c r="M460" s="27" t="s">
        <v>3180</v>
      </c>
    </row>
    <row r="461" spans="1:13" x14ac:dyDescent="0.35">
      <c r="A461" s="28" t="s">
        <v>1500</v>
      </c>
      <c r="B461" s="29" t="s">
        <v>3944</v>
      </c>
      <c r="C461" s="30" t="s">
        <v>148</v>
      </c>
      <c r="D461" s="30" t="s">
        <v>17</v>
      </c>
      <c r="E461" s="30" t="s">
        <v>18</v>
      </c>
      <c r="F461" s="30" t="s">
        <v>19</v>
      </c>
      <c r="G461" s="30" t="s">
        <v>3735</v>
      </c>
      <c r="H461" s="30" t="s">
        <v>3736</v>
      </c>
      <c r="I461" s="30">
        <v>2024</v>
      </c>
      <c r="J461" s="30"/>
      <c r="K461" s="30"/>
      <c r="L461" s="30"/>
      <c r="M461" s="27" t="s">
        <v>3180</v>
      </c>
    </row>
    <row r="462" spans="1:13" x14ac:dyDescent="0.35">
      <c r="A462" s="24" t="s">
        <v>1502</v>
      </c>
      <c r="B462" s="25" t="s">
        <v>4110</v>
      </c>
      <c r="C462" s="26" t="s">
        <v>154</v>
      </c>
      <c r="D462" s="26" t="s">
        <v>93</v>
      </c>
      <c r="E462" s="26" t="s">
        <v>18</v>
      </c>
      <c r="F462" s="26" t="s">
        <v>88</v>
      </c>
      <c r="G462" s="26" t="s">
        <v>3737</v>
      </c>
      <c r="H462" s="26" t="s">
        <v>3263</v>
      </c>
      <c r="I462" s="26">
        <v>2023</v>
      </c>
      <c r="J462" s="26"/>
      <c r="K462" s="26"/>
      <c r="L462" s="26"/>
      <c r="M462" s="27" t="s">
        <v>3180</v>
      </c>
    </row>
    <row r="463" spans="1:13" x14ac:dyDescent="0.35">
      <c r="A463" s="28" t="s">
        <v>1506</v>
      </c>
      <c r="B463" s="29" t="s">
        <v>4111</v>
      </c>
      <c r="C463" s="30" t="s">
        <v>139</v>
      </c>
      <c r="D463" s="30" t="s">
        <v>175</v>
      </c>
      <c r="E463" s="30" t="s">
        <v>18</v>
      </c>
      <c r="F463" s="30" t="s">
        <v>177</v>
      </c>
      <c r="G463" s="30" t="s">
        <v>3738</v>
      </c>
      <c r="H463" s="30" t="s">
        <v>3739</v>
      </c>
      <c r="I463" s="30">
        <v>2024</v>
      </c>
      <c r="J463" s="30" t="s">
        <v>2273</v>
      </c>
      <c r="K463" s="30">
        <v>100</v>
      </c>
      <c r="L463" s="30">
        <v>2024</v>
      </c>
      <c r="M463" s="31" t="s">
        <v>3186</v>
      </c>
    </row>
    <row r="464" spans="1:13" x14ac:dyDescent="0.35">
      <c r="A464" s="24" t="s">
        <v>1510</v>
      </c>
      <c r="B464" s="25" t="s">
        <v>4112</v>
      </c>
      <c r="C464" s="26" t="s">
        <v>139</v>
      </c>
      <c r="D464" s="26" t="s">
        <v>712</v>
      </c>
      <c r="E464" s="26" t="s">
        <v>18</v>
      </c>
      <c r="F464" s="26" t="s">
        <v>88</v>
      </c>
      <c r="G464" s="26" t="s">
        <v>3548</v>
      </c>
      <c r="H464" s="26" t="s">
        <v>3463</v>
      </c>
      <c r="I464" s="26">
        <v>2023</v>
      </c>
      <c r="J464" s="26"/>
      <c r="K464" s="26"/>
      <c r="L464" s="26"/>
      <c r="M464" s="27" t="s">
        <v>3180</v>
      </c>
    </row>
    <row r="465" spans="1:13" x14ac:dyDescent="0.35">
      <c r="A465" s="28" t="s">
        <v>1514</v>
      </c>
      <c r="B465" s="29" t="s">
        <v>4113</v>
      </c>
      <c r="C465" s="30" t="s">
        <v>154</v>
      </c>
      <c r="D465" s="30" t="s">
        <v>93</v>
      </c>
      <c r="E465" s="30" t="s">
        <v>18</v>
      </c>
      <c r="F465" s="30" t="s">
        <v>177</v>
      </c>
      <c r="G465" s="30" t="s">
        <v>3728</v>
      </c>
      <c r="H465" s="30" t="s">
        <v>3445</v>
      </c>
      <c r="I465" s="30">
        <v>2024</v>
      </c>
      <c r="J465" s="30" t="s">
        <v>2616</v>
      </c>
      <c r="K465" s="30">
        <v>95.7</v>
      </c>
      <c r="L465" s="30">
        <v>2021</v>
      </c>
      <c r="M465" s="31" t="s">
        <v>3186</v>
      </c>
    </row>
    <row r="466" spans="1:13" x14ac:dyDescent="0.35">
      <c r="A466" s="24" t="s">
        <v>1517</v>
      </c>
      <c r="B466" s="25" t="s">
        <v>4114</v>
      </c>
      <c r="C466" s="26" t="s">
        <v>139</v>
      </c>
      <c r="D466" s="26" t="s">
        <v>93</v>
      </c>
      <c r="E466" s="26" t="s">
        <v>18</v>
      </c>
      <c r="F466" s="26" t="s">
        <v>88</v>
      </c>
      <c r="G466" s="26" t="s">
        <v>3730</v>
      </c>
      <c r="H466" s="26" t="s">
        <v>3740</v>
      </c>
      <c r="I466" s="26">
        <v>2024</v>
      </c>
      <c r="J466" s="26"/>
      <c r="K466" s="26"/>
      <c r="L466" s="26"/>
      <c r="M466" s="27" t="s">
        <v>3180</v>
      </c>
    </row>
    <row r="467" spans="1:13" x14ac:dyDescent="0.35">
      <c r="A467" s="28" t="s">
        <v>1521</v>
      </c>
      <c r="B467" s="29" t="s">
        <v>4115</v>
      </c>
      <c r="C467" s="30" t="s">
        <v>27</v>
      </c>
      <c r="D467" s="30" t="s">
        <v>118</v>
      </c>
      <c r="E467" s="30" t="s">
        <v>18</v>
      </c>
      <c r="F467" s="30" t="s">
        <v>19</v>
      </c>
      <c r="G467" s="30" t="s">
        <v>3741</v>
      </c>
      <c r="H467" s="30" t="s">
        <v>3346</v>
      </c>
      <c r="I467" s="30">
        <v>2023</v>
      </c>
      <c r="J467" s="30"/>
      <c r="K467" s="30"/>
      <c r="L467" s="30"/>
      <c r="M467" s="27" t="s">
        <v>3180</v>
      </c>
    </row>
    <row r="468" spans="1:13" x14ac:dyDescent="0.35">
      <c r="A468" s="24" t="s">
        <v>1524</v>
      </c>
      <c r="B468" s="25" t="s">
        <v>4116</v>
      </c>
      <c r="C468" s="26" t="s">
        <v>311</v>
      </c>
      <c r="D468" s="26" t="s">
        <v>149</v>
      </c>
      <c r="E468" s="26" t="s">
        <v>18</v>
      </c>
      <c r="F468" s="26" t="s">
        <v>19</v>
      </c>
      <c r="G468" s="26" t="s">
        <v>3742</v>
      </c>
      <c r="H468" s="26" t="s">
        <v>3743</v>
      </c>
      <c r="I468" s="26">
        <v>2023</v>
      </c>
      <c r="J468" s="26"/>
      <c r="K468" s="26"/>
      <c r="L468" s="26"/>
      <c r="M468" s="27" t="s">
        <v>3180</v>
      </c>
    </row>
    <row r="469" spans="1:13" x14ac:dyDescent="0.35">
      <c r="A469" s="28" t="s">
        <v>1527</v>
      </c>
      <c r="B469" s="29" t="s">
        <v>4117</v>
      </c>
      <c r="C469" s="30" t="s">
        <v>27</v>
      </c>
      <c r="D469" s="30" t="s">
        <v>641</v>
      </c>
      <c r="E469" s="30" t="s">
        <v>18</v>
      </c>
      <c r="F469" s="30" t="s">
        <v>19</v>
      </c>
      <c r="G469" s="30" t="s">
        <v>3586</v>
      </c>
      <c r="H469" s="30" t="s">
        <v>3605</v>
      </c>
      <c r="I469" s="30">
        <v>2023</v>
      </c>
      <c r="J469" s="30" t="s">
        <v>2037</v>
      </c>
      <c r="K469" s="30">
        <v>100</v>
      </c>
      <c r="L469" s="30">
        <v>2021</v>
      </c>
      <c r="M469" s="31" t="s">
        <v>3186</v>
      </c>
    </row>
    <row r="470" spans="1:13" x14ac:dyDescent="0.35">
      <c r="A470" s="24" t="s">
        <v>1530</v>
      </c>
      <c r="B470" s="25" t="s">
        <v>4118</v>
      </c>
      <c r="C470" s="26" t="s">
        <v>139</v>
      </c>
      <c r="D470" s="26" t="s">
        <v>93</v>
      </c>
      <c r="E470" s="26" t="s">
        <v>18</v>
      </c>
      <c r="F470" s="26" t="s">
        <v>88</v>
      </c>
      <c r="G470" s="26" t="s">
        <v>3730</v>
      </c>
      <c r="H470" s="26" t="s">
        <v>3740</v>
      </c>
      <c r="I470" s="26">
        <v>2024</v>
      </c>
      <c r="J470" s="26"/>
      <c r="K470" s="26"/>
      <c r="L470" s="26"/>
      <c r="M470" s="27" t="s">
        <v>3180</v>
      </c>
    </row>
    <row r="471" spans="1:13" x14ac:dyDescent="0.35">
      <c r="A471" s="28" t="s">
        <v>1534</v>
      </c>
      <c r="B471" s="29" t="s">
        <v>4029</v>
      </c>
      <c r="C471" s="30" t="s">
        <v>139</v>
      </c>
      <c r="D471" s="30" t="s">
        <v>712</v>
      </c>
      <c r="E471" s="30" t="s">
        <v>18</v>
      </c>
      <c r="F471" s="30" t="s">
        <v>88</v>
      </c>
      <c r="G471" s="30" t="s">
        <v>3499</v>
      </c>
      <c r="H471" s="30" t="s">
        <v>3500</v>
      </c>
      <c r="I471" s="30">
        <v>2023</v>
      </c>
      <c r="J471" s="30"/>
      <c r="K471" s="30"/>
      <c r="L471" s="30"/>
      <c r="M471" s="27" t="s">
        <v>3180</v>
      </c>
    </row>
    <row r="472" spans="1:13" x14ac:dyDescent="0.35">
      <c r="A472" s="24" t="s">
        <v>1537</v>
      </c>
      <c r="B472" s="25" t="s">
        <v>4119</v>
      </c>
      <c r="C472" s="26" t="s">
        <v>573</v>
      </c>
      <c r="D472" s="26" t="s">
        <v>1218</v>
      </c>
      <c r="E472" s="26" t="s">
        <v>18</v>
      </c>
      <c r="F472" s="26" t="s">
        <v>185</v>
      </c>
      <c r="G472" s="26" t="s">
        <v>3589</v>
      </c>
      <c r="H472" s="26" t="s">
        <v>3744</v>
      </c>
      <c r="I472" s="26">
        <v>2024</v>
      </c>
      <c r="J472" s="26"/>
      <c r="K472" s="26"/>
      <c r="L472" s="26"/>
      <c r="M472" s="27" t="s">
        <v>3180</v>
      </c>
    </row>
    <row r="473" spans="1:13" x14ac:dyDescent="0.35">
      <c r="A473" s="28" t="s">
        <v>1541</v>
      </c>
      <c r="B473" s="29" t="s">
        <v>4119</v>
      </c>
      <c r="C473" s="30" t="s">
        <v>573</v>
      </c>
      <c r="D473" s="30" t="s">
        <v>1218</v>
      </c>
      <c r="E473" s="30" t="s">
        <v>18</v>
      </c>
      <c r="F473" s="30" t="s">
        <v>185</v>
      </c>
      <c r="G473" s="30" t="s">
        <v>3589</v>
      </c>
      <c r="H473" s="30" t="s">
        <v>3744</v>
      </c>
      <c r="I473" s="30">
        <v>2024</v>
      </c>
      <c r="J473" s="30"/>
      <c r="K473" s="30"/>
      <c r="L473" s="30"/>
      <c r="M473" s="27" t="s">
        <v>3180</v>
      </c>
    </row>
    <row r="474" spans="1:13" x14ac:dyDescent="0.35">
      <c r="A474" s="24" t="s">
        <v>1543</v>
      </c>
      <c r="B474" s="25" t="s">
        <v>4120</v>
      </c>
      <c r="C474" s="26" t="s">
        <v>139</v>
      </c>
      <c r="D474" s="26" t="s">
        <v>93</v>
      </c>
      <c r="E474" s="26" t="s">
        <v>18</v>
      </c>
      <c r="F474" s="26" t="s">
        <v>88</v>
      </c>
      <c r="G474" s="26" t="s">
        <v>3409</v>
      </c>
      <c r="H474" s="26" t="s">
        <v>3745</v>
      </c>
      <c r="I474" s="26">
        <v>2021</v>
      </c>
      <c r="J474" s="26" t="s">
        <v>2679</v>
      </c>
      <c r="K474" s="26">
        <v>84.4</v>
      </c>
      <c r="L474" s="26">
        <v>2022</v>
      </c>
      <c r="M474" s="31" t="s">
        <v>3186</v>
      </c>
    </row>
    <row r="475" spans="1:13" x14ac:dyDescent="0.35">
      <c r="A475" s="28" t="s">
        <v>1547</v>
      </c>
      <c r="B475" s="29" t="s">
        <v>4121</v>
      </c>
      <c r="C475" s="30" t="s">
        <v>27</v>
      </c>
      <c r="D475" s="30" t="s">
        <v>28</v>
      </c>
      <c r="E475" s="30" t="s">
        <v>18</v>
      </c>
      <c r="F475" s="30" t="s">
        <v>19</v>
      </c>
      <c r="G475" s="30" t="s">
        <v>3702</v>
      </c>
      <c r="H475" s="30" t="s">
        <v>3703</v>
      </c>
      <c r="I475" s="30">
        <v>2024</v>
      </c>
      <c r="J475" s="30"/>
      <c r="K475" s="30"/>
      <c r="L475" s="30"/>
      <c r="M475" s="27" t="s">
        <v>3180</v>
      </c>
    </row>
    <row r="476" spans="1:13" x14ac:dyDescent="0.35">
      <c r="A476" s="24" t="s">
        <v>1551</v>
      </c>
      <c r="B476" s="25" t="s">
        <v>4122</v>
      </c>
      <c r="C476" s="26" t="s">
        <v>148</v>
      </c>
      <c r="D476" s="26" t="s">
        <v>17</v>
      </c>
      <c r="E476" s="26" t="s">
        <v>18</v>
      </c>
      <c r="F476" s="26" t="s">
        <v>163</v>
      </c>
      <c r="G476" s="26" t="s">
        <v>3735</v>
      </c>
      <c r="H476" s="26" t="s">
        <v>3736</v>
      </c>
      <c r="I476" s="26">
        <v>2024</v>
      </c>
      <c r="J476" s="26"/>
      <c r="K476" s="26"/>
      <c r="L476" s="26"/>
      <c r="M476" s="27" t="s">
        <v>3180</v>
      </c>
    </row>
    <row r="477" spans="1:13" x14ac:dyDescent="0.35">
      <c r="A477" s="28" t="s">
        <v>1554</v>
      </c>
      <c r="B477" s="29" t="s">
        <v>4123</v>
      </c>
      <c r="C477" s="30" t="s">
        <v>573</v>
      </c>
      <c r="D477" s="30" t="s">
        <v>395</v>
      </c>
      <c r="E477" s="30" t="s">
        <v>18</v>
      </c>
      <c r="F477" s="30" t="s">
        <v>101</v>
      </c>
      <c r="G477" s="30" t="s">
        <v>3746</v>
      </c>
      <c r="H477" s="30" t="s">
        <v>3747</v>
      </c>
      <c r="I477" s="30">
        <v>2025</v>
      </c>
      <c r="J477" s="30"/>
      <c r="K477" s="30"/>
      <c r="L477" s="30"/>
      <c r="M477" s="27" t="s">
        <v>3180</v>
      </c>
    </row>
    <row r="478" spans="1:13" x14ac:dyDescent="0.35">
      <c r="A478" s="24" t="s">
        <v>1557</v>
      </c>
      <c r="B478" s="25" t="s">
        <v>4124</v>
      </c>
      <c r="C478" s="26" t="s">
        <v>573</v>
      </c>
      <c r="D478" s="26" t="s">
        <v>395</v>
      </c>
      <c r="E478" s="26" t="s">
        <v>18</v>
      </c>
      <c r="F478" s="26" t="s">
        <v>19</v>
      </c>
      <c r="G478" s="26" t="s">
        <v>3748</v>
      </c>
      <c r="H478" s="26" t="s">
        <v>3749</v>
      </c>
      <c r="I478" s="26">
        <v>2025</v>
      </c>
      <c r="J478" s="26" t="s">
        <v>1971</v>
      </c>
      <c r="K478" s="26">
        <v>96.6</v>
      </c>
      <c r="L478" s="26">
        <v>2025</v>
      </c>
      <c r="M478" s="31" t="s">
        <v>3186</v>
      </c>
    </row>
    <row r="479" spans="1:13" x14ac:dyDescent="0.35">
      <c r="A479" s="28" t="s">
        <v>1560</v>
      </c>
      <c r="B479" s="29" t="s">
        <v>4061</v>
      </c>
      <c r="C479" s="30" t="s">
        <v>573</v>
      </c>
      <c r="D479" s="30" t="s">
        <v>395</v>
      </c>
      <c r="E479" s="30" t="s">
        <v>18</v>
      </c>
      <c r="F479" s="30" t="s">
        <v>101</v>
      </c>
      <c r="G479" s="30" t="s">
        <v>3750</v>
      </c>
      <c r="H479" s="30" t="s">
        <v>3412</v>
      </c>
      <c r="I479" s="30">
        <v>2025</v>
      </c>
      <c r="J479" s="30"/>
      <c r="K479" s="30"/>
      <c r="L479" s="30"/>
      <c r="M479" s="27" t="s">
        <v>3180</v>
      </c>
    </row>
    <row r="480" spans="1:13" x14ac:dyDescent="0.35">
      <c r="A480" s="24" t="s">
        <v>1562</v>
      </c>
      <c r="B480" s="25" t="s">
        <v>1563</v>
      </c>
      <c r="C480" s="26" t="s">
        <v>1331</v>
      </c>
      <c r="D480" s="26"/>
      <c r="E480" s="26" t="s">
        <v>18</v>
      </c>
      <c r="F480" s="26" t="s">
        <v>185</v>
      </c>
      <c r="G480" s="26" t="s">
        <v>3751</v>
      </c>
      <c r="H480" s="26" t="s">
        <v>3752</v>
      </c>
      <c r="I480" s="26">
        <v>2025</v>
      </c>
      <c r="J480" s="26"/>
      <c r="K480" s="26"/>
      <c r="L480" s="26"/>
      <c r="M480" s="27" t="s">
        <v>3180</v>
      </c>
    </row>
    <row r="481" spans="1:13" x14ac:dyDescent="0.35">
      <c r="A481" s="28" t="s">
        <v>1565</v>
      </c>
      <c r="B481" s="29" t="s">
        <v>4125</v>
      </c>
      <c r="C481" s="30" t="s">
        <v>573</v>
      </c>
      <c r="D481" s="30" t="s">
        <v>395</v>
      </c>
      <c r="E481" s="30" t="s">
        <v>18</v>
      </c>
      <c r="F481" s="30" t="s">
        <v>19</v>
      </c>
      <c r="G481" s="30" t="s">
        <v>3753</v>
      </c>
      <c r="H481" s="30" t="s">
        <v>3754</v>
      </c>
      <c r="I481" s="30">
        <v>2025</v>
      </c>
      <c r="J481" s="30" t="s">
        <v>1974</v>
      </c>
      <c r="K481" s="30">
        <v>100</v>
      </c>
      <c r="L481" s="30">
        <v>2025</v>
      </c>
      <c r="M481" s="31" t="s">
        <v>3186</v>
      </c>
    </row>
    <row r="482" spans="1:13" x14ac:dyDescent="0.35">
      <c r="A482" s="24" t="s">
        <v>1568</v>
      </c>
      <c r="B482" s="25" t="s">
        <v>4126</v>
      </c>
      <c r="C482" s="26" t="s">
        <v>1331</v>
      </c>
      <c r="D482" s="26"/>
      <c r="E482" s="26" t="s">
        <v>18</v>
      </c>
      <c r="F482" s="26" t="s">
        <v>185</v>
      </c>
      <c r="G482" s="26" t="s">
        <v>3448</v>
      </c>
      <c r="H482" s="26" t="s">
        <v>3554</v>
      </c>
      <c r="I482" s="26">
        <v>2025</v>
      </c>
      <c r="J482" s="26"/>
      <c r="K482" s="26"/>
      <c r="L482" s="26"/>
      <c r="M482" s="27" t="s">
        <v>3180</v>
      </c>
    </row>
    <row r="483" spans="1:13" x14ac:dyDescent="0.35">
      <c r="A483" s="28" t="s">
        <v>1571</v>
      </c>
      <c r="B483" s="29" t="s">
        <v>4127</v>
      </c>
      <c r="C483" s="30" t="s">
        <v>1331</v>
      </c>
      <c r="D483" s="30" t="s">
        <v>395</v>
      </c>
      <c r="E483" s="30" t="s">
        <v>18</v>
      </c>
      <c r="F483" s="30" t="s">
        <v>19</v>
      </c>
      <c r="G483" s="30" t="s">
        <v>3755</v>
      </c>
      <c r="H483" s="30" t="s">
        <v>3756</v>
      </c>
      <c r="I483" s="30">
        <v>2025</v>
      </c>
      <c r="J483" s="30"/>
      <c r="K483" s="30"/>
      <c r="L483" s="30"/>
      <c r="M483" s="27" t="s">
        <v>3180</v>
      </c>
    </row>
    <row r="484" spans="1:13" x14ac:dyDescent="0.35">
      <c r="A484" s="24" t="s">
        <v>1574</v>
      </c>
      <c r="B484" s="25" t="s">
        <v>4128</v>
      </c>
      <c r="C484" s="26" t="s">
        <v>573</v>
      </c>
      <c r="D484" s="26" t="s">
        <v>82</v>
      </c>
      <c r="E484" s="26" t="s">
        <v>18</v>
      </c>
      <c r="F484" s="26" t="s">
        <v>1577</v>
      </c>
      <c r="G484" s="26" t="s">
        <v>3757</v>
      </c>
      <c r="H484" s="26" t="s">
        <v>3758</v>
      </c>
      <c r="I484" s="26">
        <v>2025</v>
      </c>
      <c r="J484" s="26" t="s">
        <v>2618</v>
      </c>
      <c r="K484" s="26">
        <v>88</v>
      </c>
      <c r="L484" s="26">
        <v>2023</v>
      </c>
      <c r="M484" s="31" t="s">
        <v>3186</v>
      </c>
    </row>
    <row r="485" spans="1:13" x14ac:dyDescent="0.35">
      <c r="A485" s="28" t="s">
        <v>1579</v>
      </c>
      <c r="B485" s="29" t="s">
        <v>4129</v>
      </c>
      <c r="C485" s="30" t="s">
        <v>573</v>
      </c>
      <c r="D485" s="30" t="s">
        <v>395</v>
      </c>
      <c r="E485" s="30" t="s">
        <v>18</v>
      </c>
      <c r="F485" s="30" t="s">
        <v>1577</v>
      </c>
      <c r="G485" s="30" t="s">
        <v>3759</v>
      </c>
      <c r="H485" s="30" t="s">
        <v>3760</v>
      </c>
      <c r="I485" s="30">
        <v>2025</v>
      </c>
      <c r="J485" s="30"/>
      <c r="K485" s="30"/>
      <c r="L485" s="30"/>
      <c r="M485" s="27" t="s">
        <v>3180</v>
      </c>
    </row>
    <row r="486" spans="1:13" x14ac:dyDescent="0.35">
      <c r="A486" s="24" t="s">
        <v>1582</v>
      </c>
      <c r="B486" s="25" t="s">
        <v>4130</v>
      </c>
      <c r="C486" s="26" t="s">
        <v>573</v>
      </c>
      <c r="D486" s="26" t="s">
        <v>1218</v>
      </c>
      <c r="E486" s="26" t="s">
        <v>18</v>
      </c>
      <c r="F486" s="26" t="s">
        <v>88</v>
      </c>
      <c r="G486" s="26" t="s">
        <v>3761</v>
      </c>
      <c r="H486" s="26" t="s">
        <v>3744</v>
      </c>
      <c r="I486" s="26">
        <v>2025</v>
      </c>
      <c r="J486" s="26" t="s">
        <v>2798</v>
      </c>
      <c r="K486" s="26">
        <v>92.3</v>
      </c>
      <c r="L486" s="26">
        <v>2022</v>
      </c>
      <c r="M486" s="31" t="s">
        <v>3186</v>
      </c>
    </row>
    <row r="487" spans="1:13" x14ac:dyDescent="0.35">
      <c r="A487" s="28" t="s">
        <v>1585</v>
      </c>
      <c r="B487" s="29" t="s">
        <v>4131</v>
      </c>
      <c r="C487" s="30" t="s">
        <v>573</v>
      </c>
      <c r="D487" s="30" t="s">
        <v>395</v>
      </c>
      <c r="E487" s="30" t="s">
        <v>18</v>
      </c>
      <c r="F487" s="30" t="s">
        <v>101</v>
      </c>
      <c r="G487" s="30" t="s">
        <v>3762</v>
      </c>
      <c r="H487" s="30" t="s">
        <v>3763</v>
      </c>
      <c r="I487" s="30">
        <v>2025</v>
      </c>
      <c r="J487" s="30"/>
      <c r="K487" s="30"/>
      <c r="L487" s="30"/>
      <c r="M487" s="27" t="s">
        <v>3180</v>
      </c>
    </row>
    <row r="488" spans="1:13" x14ac:dyDescent="0.35">
      <c r="A488" s="24" t="s">
        <v>1589</v>
      </c>
      <c r="B488" s="25" t="s">
        <v>1590</v>
      </c>
      <c r="C488" s="26" t="s">
        <v>573</v>
      </c>
      <c r="D488" s="26" t="s">
        <v>395</v>
      </c>
      <c r="E488" s="26" t="s">
        <v>18</v>
      </c>
      <c r="F488" s="26" t="s">
        <v>19</v>
      </c>
      <c r="G488" s="26" t="s">
        <v>3764</v>
      </c>
      <c r="H488" s="26" t="s">
        <v>3765</v>
      </c>
      <c r="I488" s="26">
        <v>2025</v>
      </c>
      <c r="J488" s="26"/>
      <c r="K488" s="26"/>
      <c r="L488" s="26"/>
      <c r="M488" s="27" t="s">
        <v>3180</v>
      </c>
    </row>
    <row r="489" spans="1:13" x14ac:dyDescent="0.35">
      <c r="A489" s="28" t="s">
        <v>1592</v>
      </c>
      <c r="B489" s="29" t="s">
        <v>4132</v>
      </c>
      <c r="C489" s="30" t="s">
        <v>573</v>
      </c>
      <c r="D489" s="30" t="s">
        <v>395</v>
      </c>
      <c r="E489" s="30" t="s">
        <v>18</v>
      </c>
      <c r="F489" s="30" t="s">
        <v>19</v>
      </c>
      <c r="G489" s="30" t="s">
        <v>3764</v>
      </c>
      <c r="H489" s="30" t="s">
        <v>3765</v>
      </c>
      <c r="I489" s="30">
        <v>2025</v>
      </c>
      <c r="J489" s="30"/>
      <c r="K489" s="30"/>
      <c r="L489" s="30"/>
      <c r="M489" s="27" t="s">
        <v>3180</v>
      </c>
    </row>
    <row r="490" spans="1:13" x14ac:dyDescent="0.35">
      <c r="A490" s="24" t="s">
        <v>1595</v>
      </c>
      <c r="B490" s="25" t="s">
        <v>4132</v>
      </c>
      <c r="C490" s="26" t="s">
        <v>573</v>
      </c>
      <c r="D490" s="26" t="s">
        <v>395</v>
      </c>
      <c r="E490" s="26" t="s">
        <v>18</v>
      </c>
      <c r="F490" s="26" t="s">
        <v>19</v>
      </c>
      <c r="G490" s="26" t="s">
        <v>3764</v>
      </c>
      <c r="H490" s="26" t="s">
        <v>3765</v>
      </c>
      <c r="I490" s="26">
        <v>2025</v>
      </c>
      <c r="J490" s="26"/>
      <c r="K490" s="26"/>
      <c r="L490" s="26"/>
      <c r="M490" s="27" t="s">
        <v>3180</v>
      </c>
    </row>
    <row r="491" spans="1:13" x14ac:dyDescent="0.35">
      <c r="A491" s="28" t="s">
        <v>1597</v>
      </c>
      <c r="B491" s="29" t="s">
        <v>4132</v>
      </c>
      <c r="C491" s="30" t="s">
        <v>573</v>
      </c>
      <c r="D491" s="30" t="s">
        <v>395</v>
      </c>
      <c r="E491" s="30" t="s">
        <v>18</v>
      </c>
      <c r="F491" s="30" t="s">
        <v>19</v>
      </c>
      <c r="G491" s="30" t="s">
        <v>3766</v>
      </c>
      <c r="H491" s="30" t="s">
        <v>3767</v>
      </c>
      <c r="I491" s="30">
        <v>2025</v>
      </c>
      <c r="J491" s="30"/>
      <c r="K491" s="30"/>
      <c r="L491" s="30"/>
      <c r="M491" s="27" t="s">
        <v>3180</v>
      </c>
    </row>
    <row r="492" spans="1:13" x14ac:dyDescent="0.35">
      <c r="A492" s="24" t="s">
        <v>1599</v>
      </c>
      <c r="B492" s="25" t="s">
        <v>4132</v>
      </c>
      <c r="C492" s="26" t="s">
        <v>573</v>
      </c>
      <c r="D492" s="26" t="s">
        <v>1218</v>
      </c>
      <c r="E492" s="26" t="s">
        <v>18</v>
      </c>
      <c r="F492" s="26" t="s">
        <v>101</v>
      </c>
      <c r="G492" s="26" t="s">
        <v>3766</v>
      </c>
      <c r="H492" s="26" t="s">
        <v>3767</v>
      </c>
      <c r="I492" s="26">
        <v>2025</v>
      </c>
      <c r="J492" s="26"/>
      <c r="K492" s="26"/>
      <c r="L492" s="26"/>
      <c r="M492" s="27" t="s">
        <v>3180</v>
      </c>
    </row>
    <row r="493" spans="1:13" x14ac:dyDescent="0.35">
      <c r="A493" s="28" t="s">
        <v>1601</v>
      </c>
      <c r="B493" s="29" t="s">
        <v>4133</v>
      </c>
      <c r="C493" s="30" t="s">
        <v>573</v>
      </c>
      <c r="D493" s="30" t="s">
        <v>395</v>
      </c>
      <c r="E493" s="30" t="s">
        <v>18</v>
      </c>
      <c r="F493" s="30" t="s">
        <v>853</v>
      </c>
      <c r="G493" s="30" t="s">
        <v>3530</v>
      </c>
      <c r="H493" s="30" t="s">
        <v>3768</v>
      </c>
      <c r="I493" s="30">
        <v>2025</v>
      </c>
      <c r="J493" s="30"/>
      <c r="K493" s="30"/>
      <c r="L493" s="30"/>
      <c r="M493" s="27" t="s">
        <v>3180</v>
      </c>
    </row>
    <row r="494" spans="1:13" x14ac:dyDescent="0.35">
      <c r="A494" s="24" t="s">
        <v>1605</v>
      </c>
      <c r="B494" s="25" t="s">
        <v>4123</v>
      </c>
      <c r="C494" s="26" t="s">
        <v>573</v>
      </c>
      <c r="D494" s="26" t="s">
        <v>395</v>
      </c>
      <c r="E494" s="26" t="s">
        <v>18</v>
      </c>
      <c r="F494" s="26" t="s">
        <v>101</v>
      </c>
      <c r="G494" s="26" t="s">
        <v>3769</v>
      </c>
      <c r="H494" s="26" t="s">
        <v>3770</v>
      </c>
      <c r="I494" s="26">
        <v>2025</v>
      </c>
      <c r="J494" s="26"/>
      <c r="K494" s="26"/>
      <c r="L494" s="26"/>
      <c r="M494" s="27" t="s">
        <v>3180</v>
      </c>
    </row>
    <row r="495" spans="1:13" x14ac:dyDescent="0.35">
      <c r="A495" s="28" t="s">
        <v>1607</v>
      </c>
      <c r="B495" s="29" t="s">
        <v>4134</v>
      </c>
      <c r="C495" s="30" t="s">
        <v>1609</v>
      </c>
      <c r="D495" s="30" t="s">
        <v>17</v>
      </c>
      <c r="E495" s="30" t="s">
        <v>18</v>
      </c>
      <c r="F495" s="30" t="s">
        <v>163</v>
      </c>
      <c r="G495" s="30" t="s">
        <v>3771</v>
      </c>
      <c r="H495" s="30" t="s">
        <v>3672</v>
      </c>
      <c r="I495" s="30">
        <v>2026</v>
      </c>
      <c r="J495" s="30"/>
      <c r="K495" s="30"/>
      <c r="L495" s="30"/>
      <c r="M495" s="27" t="s">
        <v>3180</v>
      </c>
    </row>
    <row r="496" spans="1:13" x14ac:dyDescent="0.35">
      <c r="A496" s="24" t="s">
        <v>1611</v>
      </c>
      <c r="B496" s="25" t="s">
        <v>4135</v>
      </c>
      <c r="C496" s="26" t="s">
        <v>573</v>
      </c>
      <c r="D496" s="26" t="s">
        <v>1218</v>
      </c>
      <c r="E496" s="26" t="s">
        <v>18</v>
      </c>
      <c r="F496" s="26" t="s">
        <v>1613</v>
      </c>
      <c r="G496" s="26" t="s">
        <v>3764</v>
      </c>
      <c r="H496" s="26" t="s">
        <v>3765</v>
      </c>
      <c r="I496" s="26">
        <v>2025</v>
      </c>
      <c r="J496" s="26"/>
      <c r="K496" s="26"/>
      <c r="L496" s="26"/>
      <c r="M496" s="27" t="s">
        <v>3180</v>
      </c>
    </row>
    <row r="497" spans="1:13" x14ac:dyDescent="0.35">
      <c r="A497" s="28" t="s">
        <v>1615</v>
      </c>
      <c r="B497" s="29" t="s">
        <v>4136</v>
      </c>
      <c r="C497" s="30" t="s">
        <v>573</v>
      </c>
      <c r="D497" s="30" t="s">
        <v>395</v>
      </c>
      <c r="E497" s="30" t="s">
        <v>18</v>
      </c>
      <c r="F497" s="30" t="s">
        <v>19</v>
      </c>
      <c r="G497" s="30" t="s">
        <v>3764</v>
      </c>
      <c r="H497" s="30" t="s">
        <v>3765</v>
      </c>
      <c r="I497" s="30">
        <v>2025</v>
      </c>
      <c r="J497" s="30"/>
      <c r="K497" s="30"/>
      <c r="L497" s="30"/>
      <c r="M497" s="27" t="s">
        <v>3180</v>
      </c>
    </row>
    <row r="498" spans="1:13" x14ac:dyDescent="0.35">
      <c r="A498" s="24" t="s">
        <v>1618</v>
      </c>
      <c r="B498" s="25" t="s">
        <v>1620</v>
      </c>
      <c r="C498" s="26" t="s">
        <v>1331</v>
      </c>
      <c r="D498" s="26" t="s">
        <v>395</v>
      </c>
      <c r="E498" s="26" t="s">
        <v>18</v>
      </c>
      <c r="F498" s="26" t="s">
        <v>190</v>
      </c>
      <c r="G498" s="26" t="s">
        <v>3772</v>
      </c>
      <c r="H498" s="26" t="s">
        <v>3773</v>
      </c>
      <c r="I498" s="26">
        <v>2025</v>
      </c>
      <c r="J498" s="26"/>
      <c r="K498" s="26"/>
      <c r="L498" s="26"/>
      <c r="M498" s="27" t="s">
        <v>3180</v>
      </c>
    </row>
    <row r="499" spans="1:13" x14ac:dyDescent="0.35">
      <c r="A499" s="28" t="s">
        <v>1622</v>
      </c>
      <c r="B499" s="29" t="s">
        <v>4106</v>
      </c>
      <c r="C499" s="30" t="s">
        <v>573</v>
      </c>
      <c r="D499" s="30" t="s">
        <v>395</v>
      </c>
      <c r="E499" s="30" t="s">
        <v>18</v>
      </c>
      <c r="F499" s="30" t="s">
        <v>299</v>
      </c>
      <c r="G499" s="30" t="s">
        <v>3772</v>
      </c>
      <c r="H499" s="30" t="s">
        <v>3773</v>
      </c>
      <c r="I499" s="30">
        <v>2025</v>
      </c>
      <c r="J499" s="30" t="s">
        <v>2338</v>
      </c>
      <c r="K499" s="30">
        <v>86.6</v>
      </c>
      <c r="L499" s="30">
        <v>2023</v>
      </c>
      <c r="M499" s="31" t="s">
        <v>3186</v>
      </c>
    </row>
    <row r="500" spans="1:13" x14ac:dyDescent="0.35">
      <c r="A500" s="24" t="s">
        <v>1625</v>
      </c>
      <c r="B500" s="25" t="s">
        <v>4137</v>
      </c>
      <c r="C500" s="26" t="s">
        <v>573</v>
      </c>
      <c r="D500" s="26" t="s">
        <v>82</v>
      </c>
      <c r="E500" s="26" t="s">
        <v>18</v>
      </c>
      <c r="F500" s="26" t="s">
        <v>1627</v>
      </c>
      <c r="G500" s="26" t="s">
        <v>3772</v>
      </c>
      <c r="H500" s="26" t="s">
        <v>3773</v>
      </c>
      <c r="I500" s="26">
        <v>2025</v>
      </c>
      <c r="J500" s="26" t="s">
        <v>2701</v>
      </c>
      <c r="K500" s="26">
        <v>100</v>
      </c>
      <c r="L500" s="26">
        <v>2022</v>
      </c>
      <c r="M500" s="31" t="s">
        <v>3186</v>
      </c>
    </row>
    <row r="501" spans="1:13" x14ac:dyDescent="0.35">
      <c r="A501" s="28" t="s">
        <v>1629</v>
      </c>
      <c r="B501" s="29" t="s">
        <v>1630</v>
      </c>
      <c r="C501" s="30" t="s">
        <v>752</v>
      </c>
      <c r="D501" s="30" t="s">
        <v>93</v>
      </c>
      <c r="E501" s="30" t="s">
        <v>18</v>
      </c>
      <c r="F501" s="30" t="s">
        <v>88</v>
      </c>
      <c r="G501" s="30" t="s">
        <v>3774</v>
      </c>
      <c r="H501" s="30" t="s">
        <v>3775</v>
      </c>
      <c r="I501" s="30">
        <v>2026</v>
      </c>
      <c r="J501" s="30"/>
      <c r="K501" s="30"/>
      <c r="L501" s="30"/>
      <c r="M501" s="27" t="s">
        <v>3180</v>
      </c>
    </row>
    <row r="502" spans="1:13" x14ac:dyDescent="0.35">
      <c r="A502" s="24" t="s">
        <v>1632</v>
      </c>
      <c r="B502" s="25" t="s">
        <v>3843</v>
      </c>
      <c r="C502" s="26" t="s">
        <v>752</v>
      </c>
      <c r="D502" s="26" t="s">
        <v>93</v>
      </c>
      <c r="E502" s="26" t="s">
        <v>18</v>
      </c>
      <c r="F502" s="26" t="s">
        <v>88</v>
      </c>
      <c r="G502" s="26" t="s">
        <v>3776</v>
      </c>
      <c r="H502" s="26" t="s">
        <v>3777</v>
      </c>
      <c r="I502" s="26">
        <v>2026</v>
      </c>
      <c r="J502" s="26"/>
      <c r="K502" s="26"/>
      <c r="L502" s="26"/>
      <c r="M502" s="27" t="s">
        <v>3180</v>
      </c>
    </row>
    <row r="503" spans="1:13" x14ac:dyDescent="0.35">
      <c r="A503" s="28" t="s">
        <v>1634</v>
      </c>
      <c r="B503" s="29" t="s">
        <v>3843</v>
      </c>
      <c r="C503" s="30" t="s">
        <v>752</v>
      </c>
      <c r="D503" s="30" t="s">
        <v>93</v>
      </c>
      <c r="E503" s="30" t="s">
        <v>18</v>
      </c>
      <c r="F503" s="30" t="s">
        <v>88</v>
      </c>
      <c r="G503" s="30" t="s">
        <v>3778</v>
      </c>
      <c r="H503" s="30" t="s">
        <v>3779</v>
      </c>
      <c r="I503" s="30">
        <v>2026</v>
      </c>
      <c r="J503" s="30"/>
      <c r="K503" s="30"/>
      <c r="L503" s="30"/>
      <c r="M503" s="27" t="s">
        <v>3180</v>
      </c>
    </row>
    <row r="504" spans="1:13" x14ac:dyDescent="0.35">
      <c r="A504" s="24" t="s">
        <v>1636</v>
      </c>
      <c r="B504" s="25" t="s">
        <v>3843</v>
      </c>
      <c r="C504" s="26" t="s">
        <v>752</v>
      </c>
      <c r="D504" s="26" t="s">
        <v>93</v>
      </c>
      <c r="E504" s="26" t="s">
        <v>18</v>
      </c>
      <c r="F504" s="26" t="s">
        <v>88</v>
      </c>
      <c r="G504" s="26" t="s">
        <v>3780</v>
      </c>
      <c r="H504" s="26" t="s">
        <v>3781</v>
      </c>
      <c r="I504" s="26">
        <v>2026</v>
      </c>
      <c r="J504" s="26"/>
      <c r="K504" s="26"/>
      <c r="L504" s="26"/>
      <c r="M504" s="27" t="s">
        <v>3180</v>
      </c>
    </row>
    <row r="505" spans="1:13" x14ac:dyDescent="0.35">
      <c r="A505" s="28" t="s">
        <v>1638</v>
      </c>
      <c r="B505" s="29" t="s">
        <v>3965</v>
      </c>
      <c r="C505" s="30" t="s">
        <v>573</v>
      </c>
      <c r="D505" s="30" t="s">
        <v>395</v>
      </c>
      <c r="E505" s="30" t="s">
        <v>18</v>
      </c>
      <c r="F505" s="30" t="s">
        <v>19</v>
      </c>
      <c r="G505" s="30" t="s">
        <v>3755</v>
      </c>
      <c r="H505" s="30" t="s">
        <v>3756</v>
      </c>
      <c r="I505" s="30">
        <v>2025</v>
      </c>
      <c r="J505" s="30" t="s">
        <v>2262</v>
      </c>
      <c r="K505" s="30">
        <v>90.9</v>
      </c>
      <c r="L505" s="30">
        <v>2024</v>
      </c>
      <c r="M505" s="31" t="s">
        <v>3186</v>
      </c>
    </row>
    <row r="506" spans="1:13" x14ac:dyDescent="0.35">
      <c r="A506" s="24" t="s">
        <v>1640</v>
      </c>
      <c r="B506" s="25" t="s">
        <v>4138</v>
      </c>
      <c r="C506" s="26" t="s">
        <v>573</v>
      </c>
      <c r="D506" s="26" t="s">
        <v>395</v>
      </c>
      <c r="E506" s="26" t="s">
        <v>18</v>
      </c>
      <c r="F506" s="26" t="s">
        <v>19</v>
      </c>
      <c r="G506" s="26" t="s">
        <v>3755</v>
      </c>
      <c r="H506" s="26" t="s">
        <v>3756</v>
      </c>
      <c r="I506" s="26">
        <v>2025</v>
      </c>
      <c r="J506" s="26" t="s">
        <v>2230</v>
      </c>
      <c r="K506" s="26">
        <v>91.9</v>
      </c>
      <c r="L506" s="26">
        <v>2025</v>
      </c>
      <c r="M506" s="31" t="s">
        <v>3186</v>
      </c>
    </row>
    <row r="507" spans="1:13" x14ac:dyDescent="0.35">
      <c r="A507" s="28" t="s">
        <v>1643</v>
      </c>
      <c r="B507" s="29" t="s">
        <v>4139</v>
      </c>
      <c r="C507" s="30" t="s">
        <v>1609</v>
      </c>
      <c r="D507" s="30" t="s">
        <v>93</v>
      </c>
      <c r="E507" s="30" t="s">
        <v>18</v>
      </c>
      <c r="F507" s="30" t="s">
        <v>88</v>
      </c>
      <c r="G507" s="30" t="s">
        <v>3517</v>
      </c>
      <c r="H507" s="30" t="s">
        <v>3368</v>
      </c>
      <c r="I507" s="30">
        <v>2025</v>
      </c>
      <c r="J507" s="30"/>
      <c r="K507" s="30"/>
      <c r="L507" s="30"/>
      <c r="M507" s="27" t="s">
        <v>3180</v>
      </c>
    </row>
    <row r="508" spans="1:13" x14ac:dyDescent="0.35">
      <c r="A508" s="24" t="s">
        <v>1646</v>
      </c>
      <c r="B508" s="25" t="s">
        <v>4140</v>
      </c>
      <c r="C508" s="26" t="s">
        <v>1331</v>
      </c>
      <c r="D508" s="26" t="s">
        <v>395</v>
      </c>
      <c r="E508" s="26" t="s">
        <v>18</v>
      </c>
      <c r="F508" s="26" t="s">
        <v>1649</v>
      </c>
      <c r="G508" s="26" t="s">
        <v>3350</v>
      </c>
      <c r="H508" s="26" t="s">
        <v>3782</v>
      </c>
      <c r="I508" s="26">
        <v>2025</v>
      </c>
      <c r="J508" s="26"/>
      <c r="K508" s="26"/>
      <c r="L508" s="26"/>
      <c r="M508" s="27" t="s">
        <v>3180</v>
      </c>
    </row>
    <row r="509" spans="1:13" x14ac:dyDescent="0.35">
      <c r="A509" s="28" t="s">
        <v>1651</v>
      </c>
      <c r="B509" s="29" t="s">
        <v>4140</v>
      </c>
      <c r="C509" s="30" t="s">
        <v>1331</v>
      </c>
      <c r="D509" s="30" t="s">
        <v>395</v>
      </c>
      <c r="E509" s="30" t="s">
        <v>18</v>
      </c>
      <c r="F509" s="30" t="s">
        <v>1649</v>
      </c>
      <c r="G509" s="30" t="s">
        <v>3350</v>
      </c>
      <c r="H509" s="30" t="s">
        <v>3782</v>
      </c>
      <c r="I509" s="30">
        <v>2025</v>
      </c>
      <c r="J509" s="30"/>
      <c r="K509" s="30"/>
      <c r="L509" s="30"/>
      <c r="M509" s="27" t="s">
        <v>3180</v>
      </c>
    </row>
    <row r="510" spans="1:13" x14ac:dyDescent="0.35">
      <c r="A510" s="24" t="s">
        <v>1654</v>
      </c>
      <c r="B510" s="25" t="s">
        <v>1620</v>
      </c>
      <c r="C510" s="26" t="s">
        <v>1331</v>
      </c>
      <c r="D510" s="26" t="s">
        <v>395</v>
      </c>
      <c r="E510" s="26" t="s">
        <v>18</v>
      </c>
      <c r="F510" s="26" t="s">
        <v>190</v>
      </c>
      <c r="G510" s="26" t="s">
        <v>3772</v>
      </c>
      <c r="H510" s="26" t="s">
        <v>3773</v>
      </c>
      <c r="I510" s="26">
        <v>2025</v>
      </c>
      <c r="J510" s="26"/>
      <c r="K510" s="26"/>
      <c r="L510" s="26"/>
      <c r="M510" s="27" t="s">
        <v>3180</v>
      </c>
    </row>
    <row r="511" spans="1:13" x14ac:dyDescent="0.35">
      <c r="A511" s="28" t="s">
        <v>1657</v>
      </c>
      <c r="B511" s="29" t="s">
        <v>1630</v>
      </c>
      <c r="C511" s="30" t="s">
        <v>752</v>
      </c>
      <c r="D511" s="30" t="s">
        <v>93</v>
      </c>
      <c r="E511" s="30" t="s">
        <v>18</v>
      </c>
      <c r="F511" s="30"/>
      <c r="G511" s="30" t="s">
        <v>3783</v>
      </c>
      <c r="H511" s="30" t="s">
        <v>3709</v>
      </c>
      <c r="I511" s="30">
        <v>2026</v>
      </c>
      <c r="J511" s="30"/>
      <c r="K511" s="30"/>
      <c r="L511" s="30"/>
      <c r="M511" s="27" t="s">
        <v>3180</v>
      </c>
    </row>
    <row r="512" spans="1:13" x14ac:dyDescent="0.35">
      <c r="A512" s="24" t="s">
        <v>1659</v>
      </c>
      <c r="B512" s="25" t="s">
        <v>4141</v>
      </c>
      <c r="C512" s="26" t="s">
        <v>1331</v>
      </c>
      <c r="D512" s="26" t="s">
        <v>395</v>
      </c>
      <c r="E512" s="26" t="s">
        <v>18</v>
      </c>
      <c r="F512" s="26" t="s">
        <v>190</v>
      </c>
      <c r="G512" s="26" t="s">
        <v>3761</v>
      </c>
      <c r="H512" s="26" t="s">
        <v>3744</v>
      </c>
      <c r="I512" s="26">
        <v>2025</v>
      </c>
      <c r="J512" s="26"/>
      <c r="K512" s="26"/>
      <c r="L512" s="26"/>
      <c r="M512" s="27" t="s">
        <v>3180</v>
      </c>
    </row>
    <row r="513" spans="1:13" x14ac:dyDescent="0.35">
      <c r="A513" s="28" t="s">
        <v>1662</v>
      </c>
      <c r="B513" s="29" t="s">
        <v>3843</v>
      </c>
      <c r="C513" s="30" t="s">
        <v>752</v>
      </c>
      <c r="D513" s="30" t="s">
        <v>93</v>
      </c>
      <c r="E513" s="30" t="s">
        <v>18</v>
      </c>
      <c r="F513" s="30" t="s">
        <v>88</v>
      </c>
      <c r="G513" s="30" t="s">
        <v>3784</v>
      </c>
      <c r="H513" s="30" t="s">
        <v>3785</v>
      </c>
      <c r="I513" s="30">
        <v>2026</v>
      </c>
      <c r="J513" s="30"/>
      <c r="K513" s="30"/>
      <c r="L513" s="30"/>
      <c r="M513" s="27" t="s">
        <v>3180</v>
      </c>
    </row>
    <row r="514" spans="1:13" x14ac:dyDescent="0.35">
      <c r="A514" s="24" t="s">
        <v>1664</v>
      </c>
      <c r="B514" s="25" t="s">
        <v>4142</v>
      </c>
      <c r="C514" s="26" t="s">
        <v>573</v>
      </c>
      <c r="D514" s="26" t="s">
        <v>1218</v>
      </c>
      <c r="E514" s="26" t="s">
        <v>18</v>
      </c>
      <c r="F514" s="26" t="s">
        <v>19</v>
      </c>
      <c r="G514" s="26" t="s">
        <v>3748</v>
      </c>
      <c r="H514" s="26" t="s">
        <v>3749</v>
      </c>
      <c r="I514" s="26">
        <v>2025</v>
      </c>
      <c r="J514" s="26"/>
      <c r="K514" s="26"/>
      <c r="L514" s="26"/>
      <c r="M514" s="27" t="s">
        <v>3180</v>
      </c>
    </row>
    <row r="515" spans="1:13" x14ac:dyDescent="0.35">
      <c r="A515" s="28" t="s">
        <v>1667</v>
      </c>
      <c r="B515" s="29" t="s">
        <v>4143</v>
      </c>
      <c r="C515" s="30" t="s">
        <v>573</v>
      </c>
      <c r="D515" s="30" t="s">
        <v>395</v>
      </c>
      <c r="E515" s="30" t="s">
        <v>18</v>
      </c>
      <c r="F515" s="30" t="s">
        <v>299</v>
      </c>
      <c r="G515" s="30" t="s">
        <v>3786</v>
      </c>
      <c r="H515" s="30" t="s">
        <v>3787</v>
      </c>
      <c r="I515" s="30">
        <v>2025</v>
      </c>
      <c r="J515" s="30" t="s">
        <v>2328</v>
      </c>
      <c r="K515" s="30">
        <v>94.9</v>
      </c>
      <c r="L515" s="30">
        <v>2023</v>
      </c>
      <c r="M515" s="31" t="s">
        <v>3186</v>
      </c>
    </row>
    <row r="516" spans="1:13" x14ac:dyDescent="0.35">
      <c r="A516" s="24" t="s">
        <v>1670</v>
      </c>
      <c r="B516" s="25" t="s">
        <v>4144</v>
      </c>
      <c r="C516" s="26" t="s">
        <v>1331</v>
      </c>
      <c r="D516" s="26" t="s">
        <v>395</v>
      </c>
      <c r="E516" s="26" t="s">
        <v>18</v>
      </c>
      <c r="F516" s="26" t="s">
        <v>1627</v>
      </c>
      <c r="G516" s="26" t="s">
        <v>3786</v>
      </c>
      <c r="H516" s="26" t="s">
        <v>3787</v>
      </c>
      <c r="I516" s="26">
        <v>2025</v>
      </c>
      <c r="J516" s="26"/>
      <c r="K516" s="26"/>
      <c r="L516" s="26"/>
      <c r="M516" s="27" t="s">
        <v>3180</v>
      </c>
    </row>
    <row r="517" spans="1:13" x14ac:dyDescent="0.35">
      <c r="A517" s="28" t="s">
        <v>1673</v>
      </c>
      <c r="B517" s="29" t="s">
        <v>4145</v>
      </c>
      <c r="C517" s="30" t="s">
        <v>573</v>
      </c>
      <c r="D517" s="30" t="s">
        <v>395</v>
      </c>
      <c r="E517" s="30" t="s">
        <v>18</v>
      </c>
      <c r="F517" s="30" t="s">
        <v>19</v>
      </c>
      <c r="G517" s="30" t="s">
        <v>3788</v>
      </c>
      <c r="H517" s="30" t="s">
        <v>3789</v>
      </c>
      <c r="I517" s="30">
        <v>2025</v>
      </c>
      <c r="J517" s="30" t="s">
        <v>2252</v>
      </c>
      <c r="K517" s="30">
        <v>100</v>
      </c>
      <c r="L517" s="30">
        <v>2022</v>
      </c>
      <c r="M517" s="31" t="s">
        <v>3186</v>
      </c>
    </row>
    <row r="518" spans="1:13" x14ac:dyDescent="0.35">
      <c r="A518" s="24" t="s">
        <v>1676</v>
      </c>
      <c r="B518" s="25" t="s">
        <v>4146</v>
      </c>
      <c r="C518" s="26" t="s">
        <v>573</v>
      </c>
      <c r="D518" s="26" t="s">
        <v>395</v>
      </c>
      <c r="E518" s="26" t="s">
        <v>18</v>
      </c>
      <c r="F518" s="26" t="s">
        <v>299</v>
      </c>
      <c r="G518" s="26" t="s">
        <v>3772</v>
      </c>
      <c r="H518" s="26" t="s">
        <v>3773</v>
      </c>
      <c r="I518" s="26">
        <v>2025</v>
      </c>
      <c r="J518" s="26"/>
      <c r="K518" s="26"/>
      <c r="L518" s="26"/>
      <c r="M518" s="27" t="s">
        <v>3180</v>
      </c>
    </row>
    <row r="519" spans="1:13" x14ac:dyDescent="0.35">
      <c r="A519" s="28" t="s">
        <v>1679</v>
      </c>
      <c r="B519" s="29" t="s">
        <v>4147</v>
      </c>
      <c r="C519" s="30" t="s">
        <v>573</v>
      </c>
      <c r="D519" s="30" t="s">
        <v>1218</v>
      </c>
      <c r="E519" s="30" t="s">
        <v>18</v>
      </c>
      <c r="F519" s="30" t="s">
        <v>19</v>
      </c>
      <c r="G519" s="30" t="s">
        <v>3790</v>
      </c>
      <c r="H519" s="30" t="s">
        <v>3791</v>
      </c>
      <c r="I519" s="30">
        <v>2025</v>
      </c>
      <c r="J519" s="30" t="s">
        <v>2452</v>
      </c>
      <c r="K519" s="30">
        <v>100</v>
      </c>
      <c r="L519" s="30">
        <v>2022</v>
      </c>
      <c r="M519" s="31" t="s">
        <v>3186</v>
      </c>
    </row>
    <row r="520" spans="1:13" x14ac:dyDescent="0.35">
      <c r="A520" s="24" t="s">
        <v>1682</v>
      </c>
      <c r="B520" s="25" t="s">
        <v>4147</v>
      </c>
      <c r="C520" s="26" t="s">
        <v>573</v>
      </c>
      <c r="D520" s="26" t="s">
        <v>1218</v>
      </c>
      <c r="E520" s="26" t="s">
        <v>18</v>
      </c>
      <c r="F520" s="26" t="s">
        <v>19</v>
      </c>
      <c r="G520" s="26" t="s">
        <v>3790</v>
      </c>
      <c r="H520" s="26" t="s">
        <v>3791</v>
      </c>
      <c r="I520" s="26">
        <v>2025</v>
      </c>
      <c r="J520" s="26" t="s">
        <v>2452</v>
      </c>
      <c r="K520" s="26">
        <v>100</v>
      </c>
      <c r="L520" s="26">
        <v>2022</v>
      </c>
      <c r="M520" s="31" t="s">
        <v>3186</v>
      </c>
    </row>
    <row r="521" spans="1:13" x14ac:dyDescent="0.35">
      <c r="A521" s="28" t="s">
        <v>1684</v>
      </c>
      <c r="B521" s="29" t="s">
        <v>4148</v>
      </c>
      <c r="C521" s="30" t="s">
        <v>1609</v>
      </c>
      <c r="D521" s="30" t="s">
        <v>28</v>
      </c>
      <c r="E521" s="30" t="s">
        <v>18</v>
      </c>
      <c r="F521" s="30" t="s">
        <v>19</v>
      </c>
      <c r="G521" s="30" t="s">
        <v>3748</v>
      </c>
      <c r="H521" s="30" t="s">
        <v>3533</v>
      </c>
      <c r="I521" s="30">
        <v>2025</v>
      </c>
      <c r="J521" s="30"/>
      <c r="K521" s="30"/>
      <c r="L521" s="30"/>
      <c r="M521" s="27" t="s">
        <v>3180</v>
      </c>
    </row>
    <row r="522" spans="1:13" x14ac:dyDescent="0.35">
      <c r="A522" s="24" t="s">
        <v>1687</v>
      </c>
      <c r="B522" s="25" t="s">
        <v>4130</v>
      </c>
      <c r="C522" s="26" t="s">
        <v>573</v>
      </c>
      <c r="D522" s="26" t="s">
        <v>1218</v>
      </c>
      <c r="E522" s="26" t="s">
        <v>18</v>
      </c>
      <c r="F522" s="26" t="s">
        <v>88</v>
      </c>
      <c r="G522" s="26" t="s">
        <v>3761</v>
      </c>
      <c r="H522" s="26" t="s">
        <v>3744</v>
      </c>
      <c r="I522" s="26">
        <v>2025</v>
      </c>
      <c r="J522" s="26" t="s">
        <v>2798</v>
      </c>
      <c r="K522" s="26">
        <v>92.3</v>
      </c>
      <c r="L522" s="26">
        <v>2022</v>
      </c>
      <c r="M522" s="31" t="s">
        <v>3186</v>
      </c>
    </row>
    <row r="523" spans="1:13" x14ac:dyDescent="0.35">
      <c r="A523" s="28" t="s">
        <v>1690</v>
      </c>
      <c r="B523" s="29" t="s">
        <v>92</v>
      </c>
      <c r="C523" s="30" t="s">
        <v>573</v>
      </c>
      <c r="D523" s="30" t="s">
        <v>1218</v>
      </c>
      <c r="E523" s="30" t="s">
        <v>18</v>
      </c>
      <c r="F523" s="30" t="s">
        <v>88</v>
      </c>
      <c r="G523" s="30" t="s">
        <v>3761</v>
      </c>
      <c r="H523" s="30" t="s">
        <v>3744</v>
      </c>
      <c r="I523" s="30">
        <v>2025</v>
      </c>
      <c r="J523" s="30" t="s">
        <v>2798</v>
      </c>
      <c r="K523" s="30">
        <v>92.3</v>
      </c>
      <c r="L523" s="30">
        <v>2022</v>
      </c>
      <c r="M523" s="31" t="s">
        <v>3186</v>
      </c>
    </row>
    <row r="524" spans="1:13" x14ac:dyDescent="0.35">
      <c r="A524" s="24" t="s">
        <v>1693</v>
      </c>
      <c r="B524" s="25" t="s">
        <v>4149</v>
      </c>
      <c r="C524" s="26" t="s">
        <v>1609</v>
      </c>
      <c r="D524" s="26"/>
      <c r="E524" s="26" t="s">
        <v>18</v>
      </c>
      <c r="F524" s="26" t="s">
        <v>177</v>
      </c>
      <c r="G524" s="26" t="s">
        <v>3792</v>
      </c>
      <c r="H524" s="26" t="s">
        <v>3793</v>
      </c>
      <c r="I524" s="26">
        <v>2025</v>
      </c>
      <c r="J524" s="26" t="s">
        <v>2933</v>
      </c>
      <c r="K524" s="26">
        <v>87.5</v>
      </c>
      <c r="L524" s="26">
        <v>2025</v>
      </c>
      <c r="M524" s="31" t="s">
        <v>3186</v>
      </c>
    </row>
    <row r="525" spans="1:13" x14ac:dyDescent="0.35">
      <c r="A525" s="28" t="s">
        <v>1696</v>
      </c>
      <c r="B525" s="29" t="s">
        <v>4129</v>
      </c>
      <c r="C525" s="30" t="s">
        <v>573</v>
      </c>
      <c r="D525" s="30" t="s">
        <v>395</v>
      </c>
      <c r="E525" s="30" t="s">
        <v>18</v>
      </c>
      <c r="F525" s="30" t="s">
        <v>1577</v>
      </c>
      <c r="G525" s="30" t="s">
        <v>3759</v>
      </c>
      <c r="H525" s="30" t="s">
        <v>3760</v>
      </c>
      <c r="I525" s="30">
        <v>2025</v>
      </c>
      <c r="J525" s="30"/>
      <c r="K525" s="30"/>
      <c r="L525" s="30"/>
      <c r="M525" s="27" t="s">
        <v>3180</v>
      </c>
    </row>
    <row r="526" spans="1:13" x14ac:dyDescent="0.35">
      <c r="A526" s="24" t="s">
        <v>1698</v>
      </c>
      <c r="B526" s="25" t="s">
        <v>4150</v>
      </c>
      <c r="C526" s="26" t="s">
        <v>573</v>
      </c>
      <c r="D526" s="26" t="s">
        <v>395</v>
      </c>
      <c r="E526" s="26" t="s">
        <v>18</v>
      </c>
      <c r="F526" s="26" t="s">
        <v>1627</v>
      </c>
      <c r="G526" s="26" t="s">
        <v>3759</v>
      </c>
      <c r="H526" s="26" t="s">
        <v>3760</v>
      </c>
      <c r="I526" s="26">
        <v>2025</v>
      </c>
      <c r="J526" s="26"/>
      <c r="K526" s="26"/>
      <c r="L526" s="26"/>
      <c r="M526" s="27" t="s">
        <v>3180</v>
      </c>
    </row>
    <row r="527" spans="1:13" x14ac:dyDescent="0.35">
      <c r="A527" s="28" t="s">
        <v>1701</v>
      </c>
      <c r="B527" s="29" t="s">
        <v>4151</v>
      </c>
      <c r="C527" s="30" t="s">
        <v>573</v>
      </c>
      <c r="D527" s="30" t="s">
        <v>82</v>
      </c>
      <c r="E527" s="30" t="s">
        <v>18</v>
      </c>
      <c r="F527" s="30" t="s">
        <v>101</v>
      </c>
      <c r="G527" s="30" t="s">
        <v>3772</v>
      </c>
      <c r="H527" s="30" t="s">
        <v>3773</v>
      </c>
      <c r="I527" s="30">
        <v>2025</v>
      </c>
      <c r="J527" s="30" t="s">
        <v>2693</v>
      </c>
      <c r="K527" s="30">
        <v>90.6</v>
      </c>
      <c r="L527" s="30">
        <v>2024</v>
      </c>
      <c r="M527" s="31" t="s">
        <v>3186</v>
      </c>
    </row>
    <row r="528" spans="1:13" x14ac:dyDescent="0.35">
      <c r="A528" s="24" t="s">
        <v>1704</v>
      </c>
      <c r="B528" s="25" t="s">
        <v>4151</v>
      </c>
      <c r="C528" s="26" t="s">
        <v>573</v>
      </c>
      <c r="D528" s="26" t="s">
        <v>1218</v>
      </c>
      <c r="E528" s="26" t="s">
        <v>18</v>
      </c>
      <c r="F528" s="26" t="s">
        <v>101</v>
      </c>
      <c r="G528" s="26" t="s">
        <v>3772</v>
      </c>
      <c r="H528" s="26" t="s">
        <v>3773</v>
      </c>
      <c r="I528" s="26">
        <v>2025</v>
      </c>
      <c r="J528" s="26" t="s">
        <v>2693</v>
      </c>
      <c r="K528" s="26">
        <v>90.6</v>
      </c>
      <c r="L528" s="26">
        <v>2024</v>
      </c>
      <c r="M528" s="31" t="s">
        <v>3186</v>
      </c>
    </row>
    <row r="529" spans="1:13" x14ac:dyDescent="0.35">
      <c r="A529" s="28" t="s">
        <v>1705</v>
      </c>
      <c r="B529" s="29" t="s">
        <v>4152</v>
      </c>
      <c r="C529" s="30" t="s">
        <v>573</v>
      </c>
      <c r="D529" s="30" t="s">
        <v>1218</v>
      </c>
      <c r="E529" s="30" t="s">
        <v>18</v>
      </c>
      <c r="F529" s="30" t="s">
        <v>19</v>
      </c>
      <c r="G529" s="30" t="s">
        <v>3761</v>
      </c>
      <c r="H529" s="30" t="s">
        <v>3744</v>
      </c>
      <c r="I529" s="30">
        <v>2025</v>
      </c>
      <c r="J529" s="30" t="s">
        <v>2635</v>
      </c>
      <c r="K529" s="30">
        <v>100</v>
      </c>
      <c r="L529" s="30">
        <v>2021</v>
      </c>
      <c r="M529" s="31" t="s">
        <v>3186</v>
      </c>
    </row>
    <row r="530" spans="1:13" x14ac:dyDescent="0.35">
      <c r="A530" s="24" t="s">
        <v>1709</v>
      </c>
      <c r="B530" s="25" t="s">
        <v>4153</v>
      </c>
      <c r="C530" s="26" t="s">
        <v>1331</v>
      </c>
      <c r="D530" s="26" t="s">
        <v>395</v>
      </c>
      <c r="E530" s="26" t="s">
        <v>18</v>
      </c>
      <c r="F530" s="26" t="s">
        <v>1627</v>
      </c>
      <c r="G530" s="26" t="s">
        <v>3794</v>
      </c>
      <c r="H530" s="26" t="s">
        <v>3795</v>
      </c>
      <c r="I530" s="26">
        <v>2025</v>
      </c>
      <c r="J530" s="26"/>
      <c r="K530" s="26"/>
      <c r="L530" s="26"/>
      <c r="M530" s="27" t="s">
        <v>3180</v>
      </c>
    </row>
    <row r="531" spans="1:13" x14ac:dyDescent="0.35">
      <c r="A531" s="28" t="s">
        <v>1712</v>
      </c>
      <c r="B531" s="29" t="s">
        <v>4154</v>
      </c>
      <c r="C531" s="30" t="s">
        <v>573</v>
      </c>
      <c r="D531" s="30" t="s">
        <v>1218</v>
      </c>
      <c r="E531" s="30" t="s">
        <v>18</v>
      </c>
      <c r="F531" s="30" t="s">
        <v>19</v>
      </c>
      <c r="G531" s="30" t="s">
        <v>3750</v>
      </c>
      <c r="H531" s="30" t="s">
        <v>3412</v>
      </c>
      <c r="I531" s="30">
        <v>2025</v>
      </c>
      <c r="J531" s="30"/>
      <c r="K531" s="30"/>
      <c r="L531" s="30"/>
      <c r="M531" s="27" t="s">
        <v>3180</v>
      </c>
    </row>
    <row r="532" spans="1:13" x14ac:dyDescent="0.35">
      <c r="A532" s="24" t="s">
        <v>1715</v>
      </c>
      <c r="B532" s="25" t="s">
        <v>4155</v>
      </c>
      <c r="C532" s="26" t="s">
        <v>294</v>
      </c>
      <c r="D532" s="26" t="s">
        <v>60</v>
      </c>
      <c r="E532" s="26" t="s">
        <v>18</v>
      </c>
      <c r="F532" s="26" t="s">
        <v>19</v>
      </c>
      <c r="G532" s="26" t="s">
        <v>3685</v>
      </c>
      <c r="H532" s="26" t="s">
        <v>3796</v>
      </c>
      <c r="I532" s="26">
        <v>2024</v>
      </c>
      <c r="J532" s="26"/>
      <c r="K532" s="26"/>
      <c r="L532" s="26"/>
      <c r="M532" s="27" t="s">
        <v>3180</v>
      </c>
    </row>
    <row r="533" spans="1:13" x14ac:dyDescent="0.35">
      <c r="A533" s="28" t="s">
        <v>1718</v>
      </c>
      <c r="B533" s="29" t="s">
        <v>4156</v>
      </c>
      <c r="C533" s="30" t="s">
        <v>1609</v>
      </c>
      <c r="D533" s="30" t="s">
        <v>786</v>
      </c>
      <c r="E533" s="30" t="s">
        <v>18</v>
      </c>
      <c r="F533" s="30" t="s">
        <v>19</v>
      </c>
      <c r="G533" s="30" t="s">
        <v>3797</v>
      </c>
      <c r="H533" s="30" t="s">
        <v>3798</v>
      </c>
      <c r="I533" s="30">
        <v>2025</v>
      </c>
      <c r="J533" s="30"/>
      <c r="K533" s="30"/>
      <c r="L533" s="30"/>
      <c r="M533" s="27" t="s">
        <v>3180</v>
      </c>
    </row>
    <row r="534" spans="1:13" x14ac:dyDescent="0.35">
      <c r="A534" s="24" t="s">
        <v>1721</v>
      </c>
      <c r="B534" s="25" t="s">
        <v>4157</v>
      </c>
      <c r="C534" s="26" t="s">
        <v>573</v>
      </c>
      <c r="D534" s="26" t="s">
        <v>395</v>
      </c>
      <c r="E534" s="26" t="s">
        <v>18</v>
      </c>
      <c r="F534" s="26" t="s">
        <v>19</v>
      </c>
      <c r="G534" s="26" t="s">
        <v>3764</v>
      </c>
      <c r="H534" s="26" t="s">
        <v>3765</v>
      </c>
      <c r="I534" s="26">
        <v>2025</v>
      </c>
      <c r="J534" s="26"/>
      <c r="K534" s="26"/>
      <c r="L534" s="26"/>
      <c r="M534" s="27" t="s">
        <v>3180</v>
      </c>
    </row>
    <row r="535" spans="1:13" x14ac:dyDescent="0.35">
      <c r="A535" s="28" t="s">
        <v>1725</v>
      </c>
      <c r="B535" s="29" t="s">
        <v>4158</v>
      </c>
      <c r="C535" s="30" t="s">
        <v>1609</v>
      </c>
      <c r="D535" s="30" t="s">
        <v>28</v>
      </c>
      <c r="E535" s="30" t="s">
        <v>18</v>
      </c>
      <c r="F535" s="30" t="s">
        <v>19</v>
      </c>
      <c r="G535" s="30" t="s">
        <v>3799</v>
      </c>
      <c r="H535" s="30" t="s">
        <v>3800</v>
      </c>
      <c r="I535" s="30">
        <v>2026</v>
      </c>
      <c r="J535" s="30"/>
      <c r="K535" s="30"/>
      <c r="L535" s="30"/>
      <c r="M535" s="27" t="s">
        <v>3180</v>
      </c>
    </row>
    <row r="536" spans="1:13" x14ac:dyDescent="0.35">
      <c r="A536" s="24" t="s">
        <v>1728</v>
      </c>
      <c r="B536" s="25" t="s">
        <v>4159</v>
      </c>
      <c r="C536" s="26" t="s">
        <v>1609</v>
      </c>
      <c r="D536" s="26" t="s">
        <v>82</v>
      </c>
      <c r="E536" s="26" t="s">
        <v>18</v>
      </c>
      <c r="F536" s="26" t="s">
        <v>177</v>
      </c>
      <c r="G536" s="26" t="s">
        <v>3801</v>
      </c>
      <c r="H536" s="26" t="s">
        <v>3802</v>
      </c>
      <c r="I536" s="26">
        <v>2026</v>
      </c>
      <c r="J536" s="26" t="s">
        <v>2265</v>
      </c>
      <c r="K536" s="26">
        <v>100</v>
      </c>
      <c r="L536" s="26">
        <v>2021</v>
      </c>
      <c r="M536" s="31" t="s">
        <v>3186</v>
      </c>
    </row>
    <row r="537" spans="1:13" x14ac:dyDescent="0.35">
      <c r="A537" s="28" t="s">
        <v>1731</v>
      </c>
      <c r="B537" s="29" t="s">
        <v>4153</v>
      </c>
      <c r="C537" s="30" t="s">
        <v>1331</v>
      </c>
      <c r="D537" s="30" t="s">
        <v>395</v>
      </c>
      <c r="E537" s="30" t="s">
        <v>18</v>
      </c>
      <c r="F537" s="30" t="s">
        <v>1627</v>
      </c>
      <c r="G537" s="30" t="s">
        <v>3803</v>
      </c>
      <c r="H537" s="30" t="s">
        <v>3804</v>
      </c>
      <c r="I537" s="30">
        <v>2026</v>
      </c>
      <c r="J537" s="30"/>
      <c r="K537" s="30"/>
      <c r="L537" s="30"/>
      <c r="M537" s="27" t="s">
        <v>3180</v>
      </c>
    </row>
    <row r="538" spans="1:13" x14ac:dyDescent="0.35">
      <c r="A538" s="24" t="s">
        <v>1733</v>
      </c>
      <c r="B538" s="25" t="s">
        <v>4160</v>
      </c>
      <c r="C538" s="26" t="s">
        <v>27</v>
      </c>
      <c r="D538" s="26" t="s">
        <v>60</v>
      </c>
      <c r="E538" s="26" t="s">
        <v>41</v>
      </c>
      <c r="F538" s="26" t="s">
        <v>19</v>
      </c>
      <c r="G538" s="26" t="s">
        <v>3266</v>
      </c>
      <c r="H538" s="26" t="s">
        <v>3268</v>
      </c>
      <c r="I538" s="26">
        <v>2015</v>
      </c>
      <c r="J538" s="26"/>
      <c r="K538" s="26"/>
      <c r="L538" s="26"/>
      <c r="M538" s="27" t="s">
        <v>3180</v>
      </c>
    </row>
    <row r="539" spans="1:13" x14ac:dyDescent="0.35">
      <c r="A539" s="28" t="s">
        <v>1736</v>
      </c>
      <c r="B539" s="29" t="s">
        <v>4161</v>
      </c>
      <c r="C539" s="30" t="s">
        <v>27</v>
      </c>
      <c r="D539" s="30" t="s">
        <v>60</v>
      </c>
      <c r="E539" s="30" t="s">
        <v>18</v>
      </c>
      <c r="F539" s="30" t="s">
        <v>19</v>
      </c>
      <c r="G539" s="30" t="s">
        <v>3266</v>
      </c>
      <c r="H539" s="30" t="s">
        <v>3268</v>
      </c>
      <c r="I539" s="30">
        <v>2015</v>
      </c>
      <c r="J539" s="30"/>
      <c r="K539" s="30"/>
      <c r="L539" s="30"/>
      <c r="M539" s="27" t="s">
        <v>3180</v>
      </c>
    </row>
    <row r="540" spans="1:13" x14ac:dyDescent="0.35">
      <c r="A540" s="24" t="s">
        <v>1739</v>
      </c>
      <c r="B540" s="25" t="s">
        <v>3843</v>
      </c>
      <c r="C540" s="26" t="s">
        <v>203</v>
      </c>
      <c r="D540" s="26" t="s">
        <v>93</v>
      </c>
      <c r="E540" s="26" t="s">
        <v>18</v>
      </c>
      <c r="F540" s="26" t="s">
        <v>88</v>
      </c>
      <c r="G540" s="26"/>
      <c r="H540" s="26"/>
      <c r="I540" s="26"/>
      <c r="J540" s="26"/>
      <c r="K540" s="26"/>
      <c r="L540" s="26"/>
      <c r="M540" s="27" t="s">
        <v>3180</v>
      </c>
    </row>
    <row r="541" spans="1:13" x14ac:dyDescent="0.35">
      <c r="A541" s="28" t="s">
        <v>1742</v>
      </c>
      <c r="B541" s="29" t="s">
        <v>3843</v>
      </c>
      <c r="C541" s="30" t="s">
        <v>203</v>
      </c>
      <c r="D541" s="30" t="s">
        <v>93</v>
      </c>
      <c r="E541" s="30" t="s">
        <v>18</v>
      </c>
      <c r="F541" s="30" t="s">
        <v>88</v>
      </c>
      <c r="G541" s="30"/>
      <c r="H541" s="30"/>
      <c r="I541" s="30"/>
      <c r="J541" s="30"/>
      <c r="K541" s="30"/>
      <c r="L541" s="30"/>
      <c r="M541" s="27" t="s">
        <v>3180</v>
      </c>
    </row>
    <row r="542" spans="1:13" x14ac:dyDescent="0.35">
      <c r="A542" s="24" t="s">
        <v>1745</v>
      </c>
      <c r="B542" s="25" t="s">
        <v>4162</v>
      </c>
      <c r="C542" s="26" t="s">
        <v>27</v>
      </c>
      <c r="D542" s="26" t="s">
        <v>118</v>
      </c>
      <c r="E542" s="26" t="s">
        <v>18</v>
      </c>
      <c r="F542" s="26" t="s">
        <v>19</v>
      </c>
      <c r="G542" s="26" t="s">
        <v>3805</v>
      </c>
      <c r="H542" s="26" t="s">
        <v>3806</v>
      </c>
      <c r="I542" s="26">
        <v>2007</v>
      </c>
      <c r="J542" s="26"/>
      <c r="K542" s="26"/>
      <c r="L542" s="26"/>
      <c r="M542" s="27" t="s">
        <v>3180</v>
      </c>
    </row>
    <row r="543" spans="1:13" x14ac:dyDescent="0.35">
      <c r="A543" s="28" t="s">
        <v>1749</v>
      </c>
      <c r="B543" s="29" t="s">
        <v>4163</v>
      </c>
      <c r="C543" s="30" t="s">
        <v>27</v>
      </c>
      <c r="D543" s="30" t="s">
        <v>60</v>
      </c>
      <c r="E543" s="30" t="s">
        <v>41</v>
      </c>
      <c r="F543" s="30" t="s">
        <v>19</v>
      </c>
      <c r="G543" s="30" t="s">
        <v>3807</v>
      </c>
      <c r="H543" s="30" t="s">
        <v>3808</v>
      </c>
      <c r="I543" s="30">
        <v>2014</v>
      </c>
      <c r="J543" s="30" t="s">
        <v>1933</v>
      </c>
      <c r="K543" s="30">
        <v>100</v>
      </c>
      <c r="L543" s="30">
        <v>2022</v>
      </c>
      <c r="M543" s="31" t="s">
        <v>3186</v>
      </c>
    </row>
    <row r="544" spans="1:13" x14ac:dyDescent="0.35">
      <c r="A544" s="24" t="s">
        <v>1752</v>
      </c>
      <c r="B544" s="25" t="s">
        <v>4164</v>
      </c>
      <c r="C544" s="26" t="s">
        <v>27</v>
      </c>
      <c r="D544" s="26" t="s">
        <v>118</v>
      </c>
      <c r="E544" s="26" t="s">
        <v>18</v>
      </c>
      <c r="F544" s="26" t="s">
        <v>19</v>
      </c>
      <c r="G544" s="26" t="s">
        <v>3809</v>
      </c>
      <c r="H544" s="26" t="s">
        <v>3810</v>
      </c>
      <c r="I544" s="26">
        <v>2013</v>
      </c>
      <c r="J544" s="26"/>
      <c r="K544" s="26"/>
      <c r="L544" s="26"/>
      <c r="M544" s="27" t="s">
        <v>3180</v>
      </c>
    </row>
    <row r="545" spans="1:13" x14ac:dyDescent="0.35">
      <c r="A545" s="28" t="s">
        <v>1756</v>
      </c>
      <c r="B545" s="29" t="s">
        <v>1758</v>
      </c>
      <c r="C545" s="30" t="s">
        <v>154</v>
      </c>
      <c r="D545" s="30" t="s">
        <v>93</v>
      </c>
      <c r="E545" s="30" t="s">
        <v>41</v>
      </c>
      <c r="F545" s="30" t="s">
        <v>88</v>
      </c>
      <c r="G545" s="30" t="s">
        <v>3317</v>
      </c>
      <c r="H545" s="30" t="s">
        <v>3811</v>
      </c>
      <c r="I545" s="30">
        <v>2017</v>
      </c>
      <c r="J545" s="30"/>
      <c r="K545" s="30"/>
      <c r="L545" s="30"/>
      <c r="M545" s="27" t="s">
        <v>3180</v>
      </c>
    </row>
    <row r="546" spans="1:13" x14ac:dyDescent="0.35">
      <c r="A546" s="24" t="s">
        <v>1759</v>
      </c>
      <c r="B546" s="25" t="s">
        <v>1761</v>
      </c>
      <c r="C546" s="26" t="s">
        <v>154</v>
      </c>
      <c r="D546" s="26" t="s">
        <v>93</v>
      </c>
      <c r="E546" s="26" t="s">
        <v>18</v>
      </c>
      <c r="F546" s="26" t="s">
        <v>88</v>
      </c>
      <c r="G546" s="26" t="s">
        <v>3812</v>
      </c>
      <c r="H546" s="26" t="s">
        <v>3813</v>
      </c>
      <c r="I546" s="26">
        <v>2013</v>
      </c>
      <c r="J546" s="26"/>
      <c r="K546" s="26"/>
      <c r="L546" s="26"/>
      <c r="M546" s="27" t="s">
        <v>3180</v>
      </c>
    </row>
    <row r="547" spans="1:13" x14ac:dyDescent="0.35">
      <c r="A547" s="28" t="s">
        <v>1762</v>
      </c>
      <c r="B547" s="29" t="s">
        <v>1764</v>
      </c>
      <c r="C547" s="30" t="s">
        <v>139</v>
      </c>
      <c r="D547" s="30" t="s">
        <v>93</v>
      </c>
      <c r="E547" s="30" t="s">
        <v>41</v>
      </c>
      <c r="F547" s="30" t="s">
        <v>88</v>
      </c>
      <c r="G547" s="30" t="s">
        <v>3814</v>
      </c>
      <c r="H547" s="30" t="s">
        <v>3815</v>
      </c>
      <c r="I547" s="30">
        <v>2017</v>
      </c>
      <c r="J547" s="30"/>
      <c r="K547" s="30"/>
      <c r="L547" s="30"/>
      <c r="M547" s="27" t="s">
        <v>3180</v>
      </c>
    </row>
    <row r="548" spans="1:13" x14ac:dyDescent="0.35">
      <c r="A548" s="24" t="s">
        <v>1766</v>
      </c>
      <c r="B548" s="25" t="s">
        <v>4165</v>
      </c>
      <c r="C548" s="26" t="s">
        <v>154</v>
      </c>
      <c r="D548" s="26" t="s">
        <v>93</v>
      </c>
      <c r="E548" s="26" t="s">
        <v>41</v>
      </c>
      <c r="F548" s="26" t="s">
        <v>88</v>
      </c>
      <c r="G548" s="26" t="s">
        <v>3816</v>
      </c>
      <c r="H548" s="26" t="s">
        <v>3817</v>
      </c>
      <c r="I548" s="26">
        <v>2016</v>
      </c>
      <c r="J548" s="26"/>
      <c r="K548" s="26"/>
      <c r="L548" s="26"/>
      <c r="M548" s="27" t="s">
        <v>3180</v>
      </c>
    </row>
    <row r="549" spans="1:13" x14ac:dyDescent="0.35">
      <c r="A549" s="28" t="s">
        <v>1769</v>
      </c>
      <c r="B549" s="29" t="s">
        <v>4166</v>
      </c>
      <c r="C549" s="30" t="s">
        <v>311</v>
      </c>
      <c r="D549" s="30" t="s">
        <v>149</v>
      </c>
      <c r="E549" s="30" t="s">
        <v>18</v>
      </c>
      <c r="F549" s="30" t="s">
        <v>19</v>
      </c>
      <c r="G549" s="30" t="s">
        <v>3446</v>
      </c>
      <c r="H549" s="30" t="s">
        <v>3818</v>
      </c>
      <c r="I549" s="30">
        <v>2022</v>
      </c>
      <c r="J549" s="30"/>
      <c r="K549" s="30"/>
      <c r="L549" s="30"/>
      <c r="M549" s="27" t="s">
        <v>3180</v>
      </c>
    </row>
    <row r="550" spans="1:13" x14ac:dyDescent="0.35">
      <c r="A550" s="24" t="s">
        <v>1771</v>
      </c>
      <c r="B550" s="25" t="s">
        <v>4167</v>
      </c>
      <c r="C550" s="26" t="s">
        <v>311</v>
      </c>
      <c r="D550" s="26" t="s">
        <v>149</v>
      </c>
      <c r="E550" s="26" t="s">
        <v>18</v>
      </c>
      <c r="F550" s="26" t="s">
        <v>19</v>
      </c>
      <c r="G550" s="26" t="s">
        <v>3819</v>
      </c>
      <c r="H550" s="26" t="s">
        <v>3820</v>
      </c>
      <c r="I550" s="26">
        <v>2020</v>
      </c>
      <c r="J550" s="26"/>
      <c r="K550" s="26"/>
      <c r="L550" s="26"/>
      <c r="M550" s="27" t="s">
        <v>3180</v>
      </c>
    </row>
    <row r="551" spans="1:13" x14ac:dyDescent="0.35">
      <c r="A551" s="28" t="s">
        <v>1775</v>
      </c>
      <c r="B551" s="29" t="s">
        <v>4168</v>
      </c>
      <c r="C551" s="30" t="s">
        <v>573</v>
      </c>
      <c r="D551" s="30" t="s">
        <v>585</v>
      </c>
      <c r="E551" s="30" t="s">
        <v>41</v>
      </c>
      <c r="F551" s="30" t="s">
        <v>88</v>
      </c>
      <c r="G551" s="30" t="s">
        <v>3821</v>
      </c>
      <c r="H551" s="30" t="s">
        <v>3822</v>
      </c>
      <c r="I551" s="30">
        <v>2022</v>
      </c>
      <c r="J551" s="30"/>
      <c r="K551" s="30"/>
      <c r="L551" s="30"/>
      <c r="M551" s="27" t="s">
        <v>3180</v>
      </c>
    </row>
    <row r="552" spans="1:13" x14ac:dyDescent="0.35">
      <c r="A552" s="24" t="s">
        <v>1778</v>
      </c>
      <c r="B552" s="25" t="s">
        <v>4169</v>
      </c>
      <c r="C552" s="26" t="s">
        <v>154</v>
      </c>
      <c r="D552" s="26" t="s">
        <v>93</v>
      </c>
      <c r="E552" s="26" t="s">
        <v>41</v>
      </c>
      <c r="F552" s="26" t="s">
        <v>88</v>
      </c>
      <c r="G552" s="26" t="s">
        <v>3823</v>
      </c>
      <c r="H552" s="26" t="s">
        <v>3824</v>
      </c>
      <c r="I552" s="26">
        <v>2021</v>
      </c>
      <c r="J552" s="26"/>
      <c r="K552" s="26"/>
      <c r="L552" s="26"/>
      <c r="M552" s="27" t="s">
        <v>3180</v>
      </c>
    </row>
    <row r="553" spans="1:13" x14ac:dyDescent="0.35">
      <c r="A553" s="28" t="s">
        <v>1781</v>
      </c>
      <c r="B553" s="29" t="s">
        <v>4170</v>
      </c>
      <c r="C553" s="30" t="s">
        <v>1331</v>
      </c>
      <c r="D553" s="30" t="s">
        <v>1218</v>
      </c>
      <c r="E553" s="30" t="s">
        <v>18</v>
      </c>
      <c r="F553" s="30" t="s">
        <v>185</v>
      </c>
      <c r="G553" s="30" t="s">
        <v>3362</v>
      </c>
      <c r="H553" s="30" t="s">
        <v>3725</v>
      </c>
      <c r="I553" s="30">
        <v>2024</v>
      </c>
      <c r="J553" s="30"/>
      <c r="K553" s="30"/>
      <c r="L553" s="30"/>
      <c r="M553" s="27" t="s">
        <v>3180</v>
      </c>
    </row>
    <row r="554" spans="1:13" x14ac:dyDescent="0.35">
      <c r="A554" s="24" t="s">
        <v>1785</v>
      </c>
      <c r="B554" s="25" t="s">
        <v>4171</v>
      </c>
      <c r="C554" s="26" t="s">
        <v>1331</v>
      </c>
      <c r="D554" s="26" t="s">
        <v>1218</v>
      </c>
      <c r="E554" s="26" t="s">
        <v>18</v>
      </c>
      <c r="F554" s="26" t="s">
        <v>185</v>
      </c>
      <c r="G554" s="26" t="s">
        <v>3726</v>
      </c>
      <c r="H554" s="26" t="s">
        <v>3306</v>
      </c>
      <c r="I554" s="26">
        <v>2024</v>
      </c>
      <c r="J554" s="26"/>
      <c r="K554" s="26"/>
      <c r="L554" s="26"/>
      <c r="M554" s="27" t="s">
        <v>3180</v>
      </c>
    </row>
    <row r="555" spans="1:13" x14ac:dyDescent="0.35">
      <c r="A555" s="28" t="s">
        <v>1789</v>
      </c>
      <c r="B555" s="29" t="s">
        <v>4172</v>
      </c>
      <c r="C555" s="30" t="s">
        <v>139</v>
      </c>
      <c r="D555" s="30" t="s">
        <v>93</v>
      </c>
      <c r="E555" s="30" t="s">
        <v>18</v>
      </c>
      <c r="F555" s="30" t="s">
        <v>88</v>
      </c>
      <c r="G555" s="30" t="s">
        <v>3416</v>
      </c>
      <c r="H555" s="30" t="s">
        <v>3825</v>
      </c>
      <c r="I555" s="30">
        <v>2021</v>
      </c>
      <c r="J555" s="30" t="s">
        <v>2043</v>
      </c>
      <c r="K555" s="30">
        <v>100</v>
      </c>
      <c r="L555" s="30">
        <v>2022</v>
      </c>
      <c r="M555" s="31" t="s">
        <v>3186</v>
      </c>
    </row>
    <row r="556" spans="1:13" x14ac:dyDescent="0.35">
      <c r="A556" s="32" t="s">
        <v>1793</v>
      </c>
      <c r="B556" s="33" t="s">
        <v>1794</v>
      </c>
      <c r="C556" s="34" t="s">
        <v>1795</v>
      </c>
      <c r="D556" s="34"/>
      <c r="E556" s="34" t="s">
        <v>18</v>
      </c>
      <c r="F556" s="34"/>
      <c r="G556" s="34" t="s">
        <v>3826</v>
      </c>
      <c r="H556" s="34" t="s">
        <v>3826</v>
      </c>
      <c r="I556" s="34">
        <v>2025</v>
      </c>
      <c r="J556" s="34"/>
      <c r="K556" s="34"/>
      <c r="L556" s="34"/>
      <c r="M556" s="35" t="s">
        <v>3180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B06B-C296-4FC8-AA56-B01AF9C13341}">
  <dimension ref="A1:M556"/>
  <sheetViews>
    <sheetView topLeftCell="A175" zoomScale="59" workbookViewId="0">
      <selection activeCell="C15" sqref="C15"/>
    </sheetView>
  </sheetViews>
  <sheetFormatPr baseColWidth="10" defaultColWidth="8.7265625" defaultRowHeight="14.5" x14ac:dyDescent="0.35"/>
  <cols>
    <col min="1" max="1" width="18.36328125" style="2" customWidth="1"/>
    <col min="2" max="2" width="43.08984375" style="2" customWidth="1"/>
    <col min="3" max="3" width="92.54296875" style="2" customWidth="1"/>
    <col min="4" max="4" width="13.6328125" style="2" customWidth="1"/>
    <col min="5" max="5" width="8.7265625" style="2" customWidth="1"/>
    <col min="6" max="6" width="35.1796875" style="2" customWidth="1"/>
    <col min="7" max="7" width="28.6328125" style="2" customWidth="1"/>
    <col min="8" max="8" width="13.90625" style="2" customWidth="1"/>
    <col min="9" max="9" width="17.453125" style="2" customWidth="1"/>
    <col min="10" max="10" width="11.453125" style="2" customWidth="1"/>
    <col min="11" max="11" width="12" style="2" customWidth="1"/>
    <col min="12" max="12" width="13.7265625" style="2" customWidth="1"/>
    <col min="13" max="13" width="15.1796875" style="2" customWidth="1"/>
    <col min="14" max="16384" width="8.7265625" style="2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439</v>
      </c>
      <c r="B2" s="2" t="s">
        <v>328</v>
      </c>
      <c r="C2" s="2" t="s">
        <v>3878</v>
      </c>
      <c r="D2" s="2" t="s">
        <v>15</v>
      </c>
      <c r="E2" s="2" t="s">
        <v>311</v>
      </c>
      <c r="F2" s="2" t="s">
        <v>149</v>
      </c>
      <c r="G2" s="2" t="s">
        <v>18</v>
      </c>
      <c r="H2" s="2" t="s">
        <v>19</v>
      </c>
      <c r="I2" s="3">
        <v>43165</v>
      </c>
      <c r="J2" s="3">
        <v>43229</v>
      </c>
      <c r="K2" s="3">
        <v>46881</v>
      </c>
      <c r="L2" s="3">
        <v>45055</v>
      </c>
      <c r="M2" s="2" t="s">
        <v>441</v>
      </c>
    </row>
    <row r="3" spans="1:13" x14ac:dyDescent="0.35">
      <c r="A3" s="2" t="s">
        <v>859</v>
      </c>
      <c r="B3" s="2" t="s">
        <v>860</v>
      </c>
      <c r="C3" s="2" t="s">
        <v>3878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177</v>
      </c>
      <c r="I3" s="3">
        <v>44215</v>
      </c>
      <c r="J3" s="3">
        <v>44862</v>
      </c>
      <c r="K3" s="3">
        <v>46687</v>
      </c>
      <c r="M3" s="2" t="s">
        <v>861</v>
      </c>
    </row>
    <row r="4" spans="1:13" x14ac:dyDescent="0.35">
      <c r="A4" s="2" t="s">
        <v>1092</v>
      </c>
      <c r="C4" s="2" t="s">
        <v>3878</v>
      </c>
      <c r="D4" s="2" t="s">
        <v>15</v>
      </c>
      <c r="E4" s="2" t="s">
        <v>27</v>
      </c>
      <c r="F4" s="2" t="s">
        <v>28</v>
      </c>
      <c r="G4" s="2" t="s">
        <v>18</v>
      </c>
      <c r="H4" s="2" t="s">
        <v>19</v>
      </c>
      <c r="I4" s="3">
        <v>45085</v>
      </c>
      <c r="J4" s="3">
        <v>45184</v>
      </c>
      <c r="K4" s="3">
        <v>47010</v>
      </c>
      <c r="M4" s="2" t="s">
        <v>1093</v>
      </c>
    </row>
    <row r="5" spans="1:13" x14ac:dyDescent="0.35">
      <c r="A5" s="2" t="s">
        <v>1352</v>
      </c>
      <c r="C5" s="2" t="s">
        <v>1353</v>
      </c>
      <c r="D5" s="2" t="s">
        <v>15</v>
      </c>
      <c r="E5" s="2" t="s">
        <v>154</v>
      </c>
      <c r="F5" s="2" t="s">
        <v>93</v>
      </c>
      <c r="G5" s="2" t="s">
        <v>18</v>
      </c>
      <c r="H5" s="2" t="s">
        <v>88</v>
      </c>
      <c r="I5" s="3">
        <v>45316</v>
      </c>
      <c r="J5" s="3">
        <v>45329</v>
      </c>
      <c r="K5" s="3">
        <v>46424</v>
      </c>
      <c r="M5" s="2" t="s">
        <v>1354</v>
      </c>
    </row>
    <row r="6" spans="1:13" x14ac:dyDescent="0.35">
      <c r="A6" s="2" t="s">
        <v>1061</v>
      </c>
      <c r="C6" s="2" t="s">
        <v>4023</v>
      </c>
      <c r="D6" s="2" t="s">
        <v>15</v>
      </c>
      <c r="E6" s="2" t="s">
        <v>154</v>
      </c>
      <c r="F6" s="2" t="s">
        <v>93</v>
      </c>
      <c r="G6" s="2" t="s">
        <v>18</v>
      </c>
      <c r="H6" s="2" t="s">
        <v>88</v>
      </c>
      <c r="I6" s="3">
        <v>45083</v>
      </c>
      <c r="J6" s="3">
        <v>45090</v>
      </c>
      <c r="K6" s="3">
        <v>46185</v>
      </c>
      <c r="M6" s="2" t="s">
        <v>1063</v>
      </c>
    </row>
    <row r="7" spans="1:13" x14ac:dyDescent="0.35">
      <c r="A7" s="2" t="s">
        <v>887</v>
      </c>
      <c r="B7" s="2" t="s">
        <v>888</v>
      </c>
      <c r="C7" s="2" t="s">
        <v>3987</v>
      </c>
      <c r="D7" s="2" t="s">
        <v>15</v>
      </c>
      <c r="E7" s="2" t="s">
        <v>139</v>
      </c>
      <c r="F7" s="2" t="s">
        <v>890</v>
      </c>
      <c r="G7" s="2" t="s">
        <v>18</v>
      </c>
      <c r="H7" s="2" t="s">
        <v>177</v>
      </c>
      <c r="I7" s="3">
        <v>44127</v>
      </c>
      <c r="J7" s="3">
        <v>44747</v>
      </c>
      <c r="K7" s="3">
        <v>46208</v>
      </c>
      <c r="M7" s="2" t="s">
        <v>891</v>
      </c>
    </row>
    <row r="8" spans="1:13" x14ac:dyDescent="0.35">
      <c r="A8" s="2" t="s">
        <v>665</v>
      </c>
      <c r="B8" s="2" t="s">
        <v>666</v>
      </c>
      <c r="C8" s="2" t="s">
        <v>3930</v>
      </c>
      <c r="D8" s="2" t="s">
        <v>15</v>
      </c>
      <c r="E8" s="2" t="s">
        <v>311</v>
      </c>
      <c r="F8" s="2" t="s">
        <v>149</v>
      </c>
      <c r="G8" s="2" t="s">
        <v>18</v>
      </c>
      <c r="H8" s="2" t="s">
        <v>19</v>
      </c>
      <c r="I8" s="3">
        <v>44455</v>
      </c>
      <c r="J8" s="3">
        <v>44476</v>
      </c>
      <c r="K8" s="3">
        <v>46301</v>
      </c>
    </row>
    <row r="9" spans="1:13" x14ac:dyDescent="0.35">
      <c r="A9" s="2" t="s">
        <v>803</v>
      </c>
      <c r="B9" s="2" t="s">
        <v>566</v>
      </c>
      <c r="C9" s="2" t="s">
        <v>3965</v>
      </c>
      <c r="D9" s="2" t="s">
        <v>15</v>
      </c>
      <c r="E9" s="2" t="s">
        <v>311</v>
      </c>
      <c r="F9" s="2" t="s">
        <v>149</v>
      </c>
      <c r="G9" s="2" t="s">
        <v>18</v>
      </c>
      <c r="H9" s="2" t="s">
        <v>19</v>
      </c>
      <c r="I9" s="3">
        <v>44781</v>
      </c>
      <c r="J9" s="3">
        <v>44811</v>
      </c>
      <c r="K9" s="3">
        <v>46636</v>
      </c>
    </row>
    <row r="10" spans="1:13" x14ac:dyDescent="0.35">
      <c r="A10" s="2" t="s">
        <v>1638</v>
      </c>
      <c r="C10" s="2" t="s">
        <v>3965</v>
      </c>
      <c r="D10" s="2" t="s">
        <v>15</v>
      </c>
      <c r="E10" s="2" t="s">
        <v>573</v>
      </c>
      <c r="F10" s="2" t="s">
        <v>395</v>
      </c>
      <c r="G10" s="2" t="s">
        <v>18</v>
      </c>
      <c r="H10" s="2" t="s">
        <v>19</v>
      </c>
      <c r="I10" s="5">
        <v>45850.397592592599</v>
      </c>
      <c r="J10" s="3">
        <v>45957</v>
      </c>
      <c r="K10" s="3">
        <v>46321</v>
      </c>
      <c r="M10" s="2" t="s">
        <v>1639</v>
      </c>
    </row>
    <row r="11" spans="1:13" x14ac:dyDescent="0.35">
      <c r="A11" s="2" t="s">
        <v>1510</v>
      </c>
      <c r="B11" s="2" t="s">
        <v>1511</v>
      </c>
      <c r="C11" s="2" t="s">
        <v>4112</v>
      </c>
      <c r="D11" s="2" t="s">
        <v>15</v>
      </c>
      <c r="E11" s="2" t="s">
        <v>139</v>
      </c>
      <c r="F11" s="2" t="s">
        <v>712</v>
      </c>
      <c r="G11" s="2" t="s">
        <v>18</v>
      </c>
      <c r="H11" s="2" t="s">
        <v>88</v>
      </c>
      <c r="I11" s="3">
        <v>44841</v>
      </c>
      <c r="J11" s="3">
        <v>44959</v>
      </c>
      <c r="K11" s="3">
        <v>46419</v>
      </c>
      <c r="M11" s="2" t="s">
        <v>1513</v>
      </c>
    </row>
    <row r="12" spans="1:13" x14ac:dyDescent="0.35">
      <c r="A12" s="2" t="s">
        <v>1275</v>
      </c>
      <c r="C12" s="2" t="s">
        <v>1276</v>
      </c>
      <c r="D12" s="2" t="s">
        <v>15</v>
      </c>
      <c r="E12" s="2" t="s">
        <v>154</v>
      </c>
      <c r="F12" s="2" t="s">
        <v>93</v>
      </c>
      <c r="G12" s="2" t="s">
        <v>18</v>
      </c>
      <c r="H12" s="2" t="s">
        <v>88</v>
      </c>
      <c r="I12" s="3">
        <v>45098</v>
      </c>
      <c r="J12" s="3">
        <v>45289</v>
      </c>
      <c r="K12" s="3">
        <v>46384</v>
      </c>
      <c r="M12" s="2" t="s">
        <v>1277</v>
      </c>
    </row>
    <row r="13" spans="1:13" x14ac:dyDescent="0.35">
      <c r="A13" s="2" t="s">
        <v>1554</v>
      </c>
      <c r="C13" s="2" t="s">
        <v>4123</v>
      </c>
      <c r="D13" s="2" t="s">
        <v>15</v>
      </c>
      <c r="E13" s="2" t="s">
        <v>573</v>
      </c>
      <c r="F13" s="2" t="s">
        <v>395</v>
      </c>
      <c r="G13" s="2" t="s">
        <v>18</v>
      </c>
      <c r="H13" s="2" t="s">
        <v>101</v>
      </c>
      <c r="I13" s="3">
        <v>45805</v>
      </c>
      <c r="J13" s="3">
        <v>45807</v>
      </c>
      <c r="K13" s="3">
        <v>46171</v>
      </c>
      <c r="M13" s="2" t="s">
        <v>1556</v>
      </c>
    </row>
    <row r="14" spans="1:13" x14ac:dyDescent="0.35">
      <c r="A14" s="2" t="s">
        <v>1605</v>
      </c>
      <c r="C14" s="2" t="s">
        <v>4123</v>
      </c>
      <c r="D14" s="2" t="s">
        <v>15</v>
      </c>
      <c r="E14" s="2" t="s">
        <v>573</v>
      </c>
      <c r="F14" s="2" t="s">
        <v>395</v>
      </c>
      <c r="G14" s="2" t="s">
        <v>18</v>
      </c>
      <c r="H14" s="2" t="s">
        <v>101</v>
      </c>
      <c r="I14" s="5">
        <v>45972.6425578704</v>
      </c>
      <c r="J14" s="3">
        <v>45989</v>
      </c>
      <c r="K14" s="3">
        <v>46353</v>
      </c>
      <c r="M14" s="2" t="s">
        <v>1606</v>
      </c>
    </row>
    <row r="15" spans="1:13" x14ac:dyDescent="0.35">
      <c r="A15" s="2" t="s">
        <v>815</v>
      </c>
      <c r="C15" s="2" t="s">
        <v>3968</v>
      </c>
      <c r="D15" s="2" t="s">
        <v>15</v>
      </c>
      <c r="E15" s="2" t="s">
        <v>311</v>
      </c>
      <c r="F15" s="2" t="s">
        <v>149</v>
      </c>
      <c r="G15" s="2" t="s">
        <v>18</v>
      </c>
      <c r="H15" s="2" t="s">
        <v>19</v>
      </c>
      <c r="I15" s="3">
        <v>44447</v>
      </c>
      <c r="J15" s="3">
        <v>44608</v>
      </c>
      <c r="K15" s="3">
        <v>46433</v>
      </c>
    </row>
    <row r="16" spans="1:13" x14ac:dyDescent="0.35">
      <c r="A16" s="2" t="s">
        <v>1527</v>
      </c>
      <c r="C16" s="2" t="s">
        <v>4117</v>
      </c>
      <c r="D16" s="2" t="s">
        <v>15</v>
      </c>
      <c r="E16" s="2" t="s">
        <v>27</v>
      </c>
      <c r="F16" s="2" t="s">
        <v>641</v>
      </c>
      <c r="G16" s="2" t="s">
        <v>18</v>
      </c>
      <c r="H16" s="2" t="s">
        <v>19</v>
      </c>
      <c r="I16" s="3">
        <v>45047</v>
      </c>
      <c r="J16" s="3">
        <v>45090</v>
      </c>
      <c r="K16" s="3">
        <v>46916</v>
      </c>
      <c r="M16" s="2" t="s">
        <v>1529</v>
      </c>
    </row>
    <row r="17" spans="1:13" x14ac:dyDescent="0.35">
      <c r="A17" s="2" t="s">
        <v>291</v>
      </c>
      <c r="B17" s="2" t="s">
        <v>292</v>
      </c>
      <c r="C17" s="2" t="s">
        <v>4182</v>
      </c>
      <c r="D17" s="2" t="s">
        <v>15</v>
      </c>
      <c r="E17" s="2" t="s">
        <v>294</v>
      </c>
      <c r="F17" s="2" t="s">
        <v>93</v>
      </c>
      <c r="G17" s="2" t="s">
        <v>18</v>
      </c>
      <c r="H17" s="2" t="s">
        <v>88</v>
      </c>
      <c r="I17" s="3">
        <v>42097</v>
      </c>
      <c r="J17" s="3">
        <v>44228</v>
      </c>
      <c r="K17" s="3">
        <v>46053</v>
      </c>
      <c r="M17" s="2" t="s">
        <v>295</v>
      </c>
    </row>
    <row r="18" spans="1:13" x14ac:dyDescent="0.35">
      <c r="A18" s="2" t="s">
        <v>1115</v>
      </c>
      <c r="B18" s="2" t="s">
        <v>1116</v>
      </c>
      <c r="C18" s="2" t="s">
        <v>4036</v>
      </c>
      <c r="D18" s="2" t="s">
        <v>15</v>
      </c>
      <c r="E18" s="2" t="s">
        <v>148</v>
      </c>
      <c r="F18" s="2" t="s">
        <v>93</v>
      </c>
      <c r="G18" s="2" t="s">
        <v>18</v>
      </c>
      <c r="H18" s="2" t="s">
        <v>177</v>
      </c>
      <c r="I18" s="3">
        <v>45098</v>
      </c>
      <c r="J18" s="3">
        <v>45145</v>
      </c>
      <c r="K18" s="3">
        <v>46971</v>
      </c>
      <c r="M18" s="2" t="s">
        <v>1118</v>
      </c>
    </row>
    <row r="19" spans="1:13" x14ac:dyDescent="0.35">
      <c r="A19" s="2" t="s">
        <v>1281</v>
      </c>
      <c r="C19" s="2" t="s">
        <v>4036</v>
      </c>
      <c r="D19" s="2" t="s">
        <v>15</v>
      </c>
      <c r="E19" s="2" t="s">
        <v>148</v>
      </c>
      <c r="F19" s="2" t="s">
        <v>175</v>
      </c>
      <c r="G19" s="2" t="s">
        <v>18</v>
      </c>
      <c r="H19" s="2" t="s">
        <v>177</v>
      </c>
      <c r="I19" s="3">
        <v>45099</v>
      </c>
      <c r="J19" s="3">
        <v>45308</v>
      </c>
      <c r="K19" s="3">
        <v>47134</v>
      </c>
      <c r="M19" s="2" t="s">
        <v>1282</v>
      </c>
    </row>
    <row r="20" spans="1:13" x14ac:dyDescent="0.35">
      <c r="A20" s="2" t="s">
        <v>1502</v>
      </c>
      <c r="B20" s="2" t="s">
        <v>1503</v>
      </c>
      <c r="C20" s="2" t="s">
        <v>4110</v>
      </c>
      <c r="D20" s="2" t="s">
        <v>15</v>
      </c>
      <c r="E20" s="2" t="s">
        <v>154</v>
      </c>
      <c r="F20" s="2" t="s">
        <v>93</v>
      </c>
      <c r="G20" s="2" t="s">
        <v>18</v>
      </c>
      <c r="H20" s="2" t="s">
        <v>88</v>
      </c>
      <c r="I20" s="3">
        <v>44998</v>
      </c>
      <c r="J20" s="3">
        <v>45099</v>
      </c>
      <c r="K20" s="3">
        <v>46194</v>
      </c>
      <c r="M20" s="2" t="s">
        <v>1505</v>
      </c>
    </row>
    <row r="21" spans="1:13" x14ac:dyDescent="0.35">
      <c r="A21" s="2" t="s">
        <v>415</v>
      </c>
      <c r="B21" s="2" t="s">
        <v>416</v>
      </c>
      <c r="C21" s="2" t="s">
        <v>3872</v>
      </c>
      <c r="D21" s="2" t="s">
        <v>15</v>
      </c>
      <c r="E21" s="2" t="s">
        <v>139</v>
      </c>
      <c r="F21" s="2" t="s">
        <v>386</v>
      </c>
      <c r="G21" s="2" t="s">
        <v>18</v>
      </c>
      <c r="H21" s="2" t="s">
        <v>88</v>
      </c>
      <c r="I21" s="3">
        <v>43038</v>
      </c>
      <c r="J21" s="3">
        <v>43256</v>
      </c>
      <c r="K21" s="3">
        <v>45813</v>
      </c>
      <c r="M21" s="2" t="s">
        <v>418</v>
      </c>
    </row>
    <row r="22" spans="1:13" x14ac:dyDescent="0.35">
      <c r="A22" s="2" t="s">
        <v>1789</v>
      </c>
      <c r="B22" s="2" t="s">
        <v>1790</v>
      </c>
      <c r="C22" s="2" t="s">
        <v>4172</v>
      </c>
      <c r="D22" s="2" t="s">
        <v>15</v>
      </c>
      <c r="E22" s="2" t="s">
        <v>139</v>
      </c>
      <c r="F22" s="2" t="s">
        <v>93</v>
      </c>
      <c r="G22" s="2" t="s">
        <v>18</v>
      </c>
      <c r="H22" s="2" t="s">
        <v>88</v>
      </c>
      <c r="I22" s="3">
        <v>44252</v>
      </c>
      <c r="J22" s="3">
        <v>44405</v>
      </c>
      <c r="K22" s="3">
        <v>45865</v>
      </c>
      <c r="M22" s="2" t="s">
        <v>1792</v>
      </c>
    </row>
    <row r="23" spans="1:13" x14ac:dyDescent="0.35">
      <c r="A23" s="2" t="s">
        <v>334</v>
      </c>
      <c r="B23" s="2" t="s">
        <v>260</v>
      </c>
      <c r="C23" s="2" t="s">
        <v>3857</v>
      </c>
      <c r="D23" s="2" t="s">
        <v>15</v>
      </c>
      <c r="E23" s="2" t="s">
        <v>27</v>
      </c>
      <c r="F23" s="2" t="s">
        <v>28</v>
      </c>
      <c r="G23" s="2" t="s">
        <v>18</v>
      </c>
      <c r="H23" s="2" t="s">
        <v>19</v>
      </c>
      <c r="I23" s="3">
        <v>42422</v>
      </c>
      <c r="J23" s="3">
        <v>43362</v>
      </c>
      <c r="K23" s="3">
        <v>46643</v>
      </c>
      <c r="L23" s="3">
        <v>44818</v>
      </c>
      <c r="M23" s="2" t="s">
        <v>336</v>
      </c>
    </row>
    <row r="24" spans="1:13" x14ac:dyDescent="0.35">
      <c r="A24" s="2" t="s">
        <v>483</v>
      </c>
      <c r="B24" s="2" t="s">
        <v>484</v>
      </c>
      <c r="C24" s="2" t="s">
        <v>3857</v>
      </c>
      <c r="D24" s="2" t="s">
        <v>15</v>
      </c>
      <c r="E24" s="2" t="s">
        <v>139</v>
      </c>
      <c r="F24" s="2" t="s">
        <v>17</v>
      </c>
      <c r="G24" s="2" t="s">
        <v>41</v>
      </c>
      <c r="H24" s="2" t="s">
        <v>299</v>
      </c>
      <c r="I24" s="3">
        <v>43357</v>
      </c>
      <c r="J24" s="3">
        <v>43496</v>
      </c>
      <c r="K24" s="3">
        <v>46053</v>
      </c>
      <c r="M24" s="2" t="s">
        <v>485</v>
      </c>
    </row>
    <row r="25" spans="1:13" x14ac:dyDescent="0.35">
      <c r="A25" s="2" t="s">
        <v>1530</v>
      </c>
      <c r="B25" s="2" t="s">
        <v>1531</v>
      </c>
      <c r="C25" s="2" t="s">
        <v>4118</v>
      </c>
      <c r="D25" s="2" t="s">
        <v>15</v>
      </c>
      <c r="E25" s="2" t="s">
        <v>139</v>
      </c>
      <c r="F25" s="2" t="s">
        <v>93</v>
      </c>
      <c r="G25" s="2" t="s">
        <v>18</v>
      </c>
      <c r="H25" s="2" t="s">
        <v>88</v>
      </c>
      <c r="I25" s="3">
        <v>45369</v>
      </c>
      <c r="J25" s="3">
        <v>45380</v>
      </c>
      <c r="K25" s="3">
        <v>46840</v>
      </c>
      <c r="M25" s="2" t="s">
        <v>1533</v>
      </c>
    </row>
    <row r="26" spans="1:13" x14ac:dyDescent="0.35">
      <c r="A26" s="2" t="s">
        <v>966</v>
      </c>
      <c r="C26" s="2" t="s">
        <v>4003</v>
      </c>
      <c r="D26" s="2" t="s">
        <v>15</v>
      </c>
      <c r="E26" s="2" t="s">
        <v>311</v>
      </c>
      <c r="F26" s="2" t="s">
        <v>149</v>
      </c>
      <c r="G26" s="2" t="s">
        <v>18</v>
      </c>
      <c r="H26" s="2" t="s">
        <v>19</v>
      </c>
      <c r="I26" s="3">
        <v>44834</v>
      </c>
      <c r="J26" s="3">
        <v>44957</v>
      </c>
      <c r="K26" s="3">
        <v>46782</v>
      </c>
    </row>
    <row r="27" spans="1:13" x14ac:dyDescent="0.35">
      <c r="A27" s="2" t="s">
        <v>364</v>
      </c>
      <c r="C27" s="2" t="s">
        <v>3862</v>
      </c>
      <c r="D27" s="2" t="s">
        <v>15</v>
      </c>
      <c r="E27" s="2" t="s">
        <v>27</v>
      </c>
      <c r="F27" s="2" t="s">
        <v>60</v>
      </c>
      <c r="G27" s="2" t="s">
        <v>18</v>
      </c>
      <c r="H27" s="2" t="s">
        <v>19</v>
      </c>
      <c r="I27" s="3">
        <v>42786</v>
      </c>
      <c r="J27" s="3">
        <v>43304</v>
      </c>
      <c r="K27" s="3">
        <v>46957</v>
      </c>
      <c r="M27" s="2" t="s">
        <v>366</v>
      </c>
    </row>
    <row r="28" spans="1:13" x14ac:dyDescent="0.35">
      <c r="A28" s="2" t="s">
        <v>1122</v>
      </c>
      <c r="B28" s="2" t="s">
        <v>700</v>
      </c>
      <c r="C28" s="2" t="s">
        <v>4038</v>
      </c>
      <c r="D28" s="2" t="s">
        <v>15</v>
      </c>
      <c r="E28" s="2" t="s">
        <v>154</v>
      </c>
      <c r="F28" s="2" t="s">
        <v>93</v>
      </c>
      <c r="G28" s="2" t="s">
        <v>18</v>
      </c>
      <c r="H28" s="2" t="s">
        <v>88</v>
      </c>
      <c r="I28" s="3">
        <v>45152</v>
      </c>
      <c r="J28" s="3">
        <v>45194</v>
      </c>
      <c r="K28" s="3">
        <v>46289</v>
      </c>
      <c r="M28" s="2" t="s">
        <v>1124</v>
      </c>
    </row>
    <row r="29" spans="1:13" x14ac:dyDescent="0.35">
      <c r="A29" s="2" t="s">
        <v>1318</v>
      </c>
      <c r="B29" s="2" t="s">
        <v>734</v>
      </c>
      <c r="C29" s="2" t="s">
        <v>4038</v>
      </c>
      <c r="D29" s="2" t="s">
        <v>15</v>
      </c>
      <c r="E29" s="2" t="s">
        <v>154</v>
      </c>
      <c r="F29" s="2" t="s">
        <v>93</v>
      </c>
      <c r="G29" s="2" t="s">
        <v>18</v>
      </c>
      <c r="H29" s="2" t="s">
        <v>88</v>
      </c>
      <c r="I29" s="3">
        <v>45306</v>
      </c>
      <c r="J29" s="3">
        <v>45349</v>
      </c>
      <c r="K29" s="3">
        <v>46444</v>
      </c>
      <c r="M29" s="2" t="s">
        <v>1319</v>
      </c>
    </row>
    <row r="30" spans="1:13" x14ac:dyDescent="0.35">
      <c r="A30" s="2" t="s">
        <v>761</v>
      </c>
      <c r="B30" s="2" t="s">
        <v>566</v>
      </c>
      <c r="C30" s="2" t="s">
        <v>3952</v>
      </c>
      <c r="D30" s="2" t="s">
        <v>15</v>
      </c>
      <c r="E30" s="2" t="s">
        <v>311</v>
      </c>
      <c r="F30" s="2" t="s">
        <v>149</v>
      </c>
      <c r="G30" s="2" t="s">
        <v>18</v>
      </c>
      <c r="I30" s="3">
        <v>44357</v>
      </c>
      <c r="J30" s="3">
        <v>44614</v>
      </c>
      <c r="K30" s="3">
        <v>46439</v>
      </c>
    </row>
    <row r="31" spans="1:13" x14ac:dyDescent="0.35">
      <c r="A31" s="2" t="s">
        <v>1607</v>
      </c>
      <c r="C31" s="2" t="s">
        <v>4134</v>
      </c>
      <c r="D31" s="2" t="s">
        <v>15</v>
      </c>
      <c r="E31" s="2" t="s">
        <v>1609</v>
      </c>
      <c r="F31" s="2" t="s">
        <v>17</v>
      </c>
      <c r="G31" s="2" t="s">
        <v>18</v>
      </c>
      <c r="H31" s="2" t="s">
        <v>163</v>
      </c>
      <c r="I31" s="5">
        <v>45973.532002314802</v>
      </c>
      <c r="J31" s="3">
        <v>46113</v>
      </c>
      <c r="K31" s="3">
        <v>46295</v>
      </c>
      <c r="M31" s="2" t="s">
        <v>1610</v>
      </c>
    </row>
    <row r="32" spans="1:13" x14ac:dyDescent="0.35">
      <c r="A32" s="2" t="s">
        <v>738</v>
      </c>
      <c r="B32" s="2" t="s">
        <v>566</v>
      </c>
      <c r="C32" s="2" t="s">
        <v>3946</v>
      </c>
      <c r="D32" s="2" t="s">
        <v>15</v>
      </c>
      <c r="E32" s="2" t="s">
        <v>311</v>
      </c>
      <c r="F32" s="2" t="s">
        <v>149</v>
      </c>
      <c r="G32" s="2" t="s">
        <v>18</v>
      </c>
      <c r="H32" s="2" t="s">
        <v>19</v>
      </c>
      <c r="I32" s="3">
        <v>44532</v>
      </c>
      <c r="J32" s="3">
        <v>44594</v>
      </c>
      <c r="K32" s="3">
        <v>46419</v>
      </c>
    </row>
    <row r="33" spans="1:13" x14ac:dyDescent="0.35">
      <c r="A33" s="2" t="s">
        <v>1168</v>
      </c>
      <c r="C33" s="2" t="s">
        <v>1169</v>
      </c>
      <c r="D33" s="2" t="s">
        <v>15</v>
      </c>
      <c r="E33" s="2" t="s">
        <v>154</v>
      </c>
      <c r="F33" s="2" t="s">
        <v>93</v>
      </c>
      <c r="G33" s="2" t="s">
        <v>18</v>
      </c>
      <c r="H33" s="2" t="s">
        <v>177</v>
      </c>
      <c r="I33" s="3">
        <v>45117</v>
      </c>
      <c r="J33" s="3">
        <v>45121</v>
      </c>
      <c r="K33" s="3">
        <v>46216</v>
      </c>
      <c r="M33" s="2" t="s">
        <v>1170</v>
      </c>
    </row>
    <row r="34" spans="1:13" x14ac:dyDescent="0.35">
      <c r="A34" s="2" t="s">
        <v>1197</v>
      </c>
      <c r="B34" s="2" t="s">
        <v>700</v>
      </c>
      <c r="C34" s="2" t="s">
        <v>1169</v>
      </c>
      <c r="D34" s="2" t="s">
        <v>15</v>
      </c>
      <c r="E34" s="2" t="s">
        <v>154</v>
      </c>
      <c r="F34" s="2" t="s">
        <v>93</v>
      </c>
      <c r="G34" s="2" t="s">
        <v>18</v>
      </c>
      <c r="H34" s="2" t="s">
        <v>177</v>
      </c>
      <c r="I34" s="3">
        <v>45117</v>
      </c>
      <c r="J34" s="3">
        <v>45121</v>
      </c>
      <c r="K34" s="3">
        <v>46216</v>
      </c>
      <c r="M34" s="2" t="s">
        <v>1198</v>
      </c>
    </row>
    <row r="35" spans="1:13" x14ac:dyDescent="0.35">
      <c r="A35" s="2" t="s">
        <v>1199</v>
      </c>
      <c r="B35" s="2" t="s">
        <v>1160</v>
      </c>
      <c r="C35" s="2" t="s">
        <v>1169</v>
      </c>
      <c r="D35" s="2" t="s">
        <v>15</v>
      </c>
      <c r="E35" s="2" t="s">
        <v>154</v>
      </c>
      <c r="F35" s="2" t="s">
        <v>93</v>
      </c>
      <c r="G35" s="2" t="s">
        <v>18</v>
      </c>
      <c r="H35" s="2" t="s">
        <v>177</v>
      </c>
      <c r="I35" s="3">
        <v>45117</v>
      </c>
      <c r="J35" s="3">
        <v>45121</v>
      </c>
      <c r="K35" s="3">
        <v>46216</v>
      </c>
      <c r="M35" s="2" t="s">
        <v>1200</v>
      </c>
    </row>
    <row r="36" spans="1:13" x14ac:dyDescent="0.35">
      <c r="A36" s="2" t="s">
        <v>1038</v>
      </c>
      <c r="B36" s="2" t="s">
        <v>734</v>
      </c>
      <c r="C36" s="2" t="s">
        <v>4017</v>
      </c>
      <c r="D36" s="2" t="s">
        <v>15</v>
      </c>
      <c r="E36" s="2" t="s">
        <v>154</v>
      </c>
      <c r="F36" s="2" t="s">
        <v>93</v>
      </c>
      <c r="G36" s="2" t="s">
        <v>18</v>
      </c>
      <c r="H36" s="2" t="s">
        <v>88</v>
      </c>
      <c r="I36" s="3">
        <v>45029</v>
      </c>
      <c r="J36" s="3">
        <v>45090</v>
      </c>
      <c r="K36" s="3">
        <v>46185</v>
      </c>
      <c r="M36" s="2" t="s">
        <v>1040</v>
      </c>
    </row>
    <row r="37" spans="1:13" x14ac:dyDescent="0.35">
      <c r="A37" s="2" t="s">
        <v>1159</v>
      </c>
      <c r="B37" s="2" t="s">
        <v>1160</v>
      </c>
      <c r="C37" s="2" t="s">
        <v>4047</v>
      </c>
      <c r="D37" s="2" t="s">
        <v>15</v>
      </c>
      <c r="E37" s="2" t="s">
        <v>154</v>
      </c>
      <c r="F37" s="2" t="s">
        <v>93</v>
      </c>
      <c r="G37" s="2" t="s">
        <v>18</v>
      </c>
      <c r="H37" s="2" t="s">
        <v>88</v>
      </c>
      <c r="I37" s="3">
        <v>45190</v>
      </c>
      <c r="J37" s="3">
        <v>45196</v>
      </c>
      <c r="K37" s="3">
        <v>46291</v>
      </c>
      <c r="M37" s="2" t="s">
        <v>1162</v>
      </c>
    </row>
    <row r="38" spans="1:13" x14ac:dyDescent="0.35">
      <c r="A38" s="2" t="s">
        <v>1163</v>
      </c>
      <c r="B38" s="2" t="s">
        <v>734</v>
      </c>
      <c r="C38" s="2" t="s">
        <v>4047</v>
      </c>
      <c r="D38" s="2" t="s">
        <v>15</v>
      </c>
      <c r="E38" s="2" t="s">
        <v>154</v>
      </c>
      <c r="F38" s="2" t="s">
        <v>93</v>
      </c>
      <c r="G38" s="2" t="s">
        <v>18</v>
      </c>
      <c r="H38" s="2" t="s">
        <v>88</v>
      </c>
      <c r="I38" s="3">
        <v>45190</v>
      </c>
      <c r="J38" s="3">
        <v>45196</v>
      </c>
      <c r="K38" s="3">
        <v>46291</v>
      </c>
      <c r="M38" s="2" t="s">
        <v>1164</v>
      </c>
    </row>
    <row r="39" spans="1:13" x14ac:dyDescent="0.35">
      <c r="A39" s="2" t="s">
        <v>623</v>
      </c>
      <c r="B39" s="2" t="s">
        <v>624</v>
      </c>
      <c r="C39" s="2" t="s">
        <v>3919</v>
      </c>
      <c r="D39" s="2" t="s">
        <v>15</v>
      </c>
      <c r="E39" s="2" t="s">
        <v>27</v>
      </c>
      <c r="F39" s="2" t="s">
        <v>626</v>
      </c>
      <c r="G39" s="2" t="s">
        <v>18</v>
      </c>
      <c r="H39" s="2" t="s">
        <v>19</v>
      </c>
      <c r="I39" s="3">
        <v>44379</v>
      </c>
      <c r="J39" s="3">
        <v>44439</v>
      </c>
      <c r="K39" s="3">
        <v>46264</v>
      </c>
      <c r="M39" s="2" t="s">
        <v>627</v>
      </c>
    </row>
    <row r="40" spans="1:13" x14ac:dyDescent="0.35">
      <c r="A40" s="2" t="s">
        <v>668</v>
      </c>
      <c r="B40" s="2" t="s">
        <v>666</v>
      </c>
      <c r="C40" s="2" t="s">
        <v>3919</v>
      </c>
      <c r="D40" s="2" t="s">
        <v>15</v>
      </c>
      <c r="E40" s="2" t="s">
        <v>311</v>
      </c>
      <c r="F40" s="2" t="s">
        <v>149</v>
      </c>
      <c r="G40" s="2" t="s">
        <v>18</v>
      </c>
      <c r="H40" s="2" t="s">
        <v>19</v>
      </c>
      <c r="I40" s="3">
        <v>44404</v>
      </c>
      <c r="J40" s="3">
        <v>44172</v>
      </c>
      <c r="K40" s="3">
        <v>45997</v>
      </c>
    </row>
    <row r="41" spans="1:13" x14ac:dyDescent="0.35">
      <c r="A41" s="2" t="s">
        <v>1194</v>
      </c>
      <c r="B41" s="2" t="s">
        <v>704</v>
      </c>
      <c r="C41" s="2" t="s">
        <v>1195</v>
      </c>
      <c r="D41" s="2" t="s">
        <v>15</v>
      </c>
      <c r="E41" s="2" t="s">
        <v>154</v>
      </c>
      <c r="F41" s="2" t="s">
        <v>93</v>
      </c>
      <c r="G41" s="2" t="s">
        <v>18</v>
      </c>
      <c r="H41" s="2" t="s">
        <v>88</v>
      </c>
      <c r="I41" s="3">
        <v>45217</v>
      </c>
      <c r="J41" s="3">
        <v>45236</v>
      </c>
      <c r="K41" s="3">
        <v>46331</v>
      </c>
      <c r="M41" s="2" t="s">
        <v>1196</v>
      </c>
    </row>
    <row r="42" spans="1:13" x14ac:dyDescent="0.35">
      <c r="A42" s="2" t="s">
        <v>1232</v>
      </c>
      <c r="C42" s="2" t="s">
        <v>1195</v>
      </c>
      <c r="D42" s="2" t="s">
        <v>15</v>
      </c>
      <c r="E42" s="2" t="s">
        <v>154</v>
      </c>
      <c r="F42" s="2" t="s">
        <v>93</v>
      </c>
      <c r="G42" s="2" t="s">
        <v>18</v>
      </c>
      <c r="H42" s="2" t="s">
        <v>88</v>
      </c>
      <c r="I42" s="3">
        <v>45240</v>
      </c>
      <c r="J42" s="3">
        <v>45267</v>
      </c>
      <c r="K42" s="3">
        <v>46362</v>
      </c>
      <c r="M42" s="2" t="s">
        <v>1233</v>
      </c>
    </row>
    <row r="43" spans="1:13" x14ac:dyDescent="0.35">
      <c r="A43" s="2" t="s">
        <v>1325</v>
      </c>
      <c r="B43" s="2" t="s">
        <v>1160</v>
      </c>
      <c r="C43" s="2" t="s">
        <v>4073</v>
      </c>
      <c r="D43" s="2" t="s">
        <v>15</v>
      </c>
      <c r="E43" s="2" t="s">
        <v>154</v>
      </c>
      <c r="F43" s="2" t="s">
        <v>93</v>
      </c>
      <c r="G43" s="2" t="s">
        <v>18</v>
      </c>
      <c r="H43" s="2" t="s">
        <v>88</v>
      </c>
      <c r="I43" s="3">
        <v>45217</v>
      </c>
      <c r="J43" s="3">
        <v>45287</v>
      </c>
      <c r="K43" s="3">
        <v>46382</v>
      </c>
      <c r="M43" s="2" t="s">
        <v>1327</v>
      </c>
    </row>
    <row r="44" spans="1:13" x14ac:dyDescent="0.35">
      <c r="A44" s="2" t="s">
        <v>798</v>
      </c>
      <c r="B44" s="2" t="s">
        <v>58</v>
      </c>
      <c r="C44" s="2" t="s">
        <v>3963</v>
      </c>
      <c r="D44" s="2" t="s">
        <v>15</v>
      </c>
      <c r="E44" s="2" t="s">
        <v>27</v>
      </c>
      <c r="F44" s="2" t="s">
        <v>60</v>
      </c>
      <c r="G44" s="2" t="s">
        <v>18</v>
      </c>
      <c r="H44" s="2" t="s">
        <v>19</v>
      </c>
      <c r="I44" s="3">
        <v>40765</v>
      </c>
      <c r="J44" s="3">
        <v>41143</v>
      </c>
      <c r="K44" s="3">
        <v>46619</v>
      </c>
      <c r="L44" s="3">
        <v>44794</v>
      </c>
      <c r="M44" s="2" t="s">
        <v>800</v>
      </c>
    </row>
    <row r="45" spans="1:13" x14ac:dyDescent="0.35">
      <c r="A45" s="2" t="s">
        <v>524</v>
      </c>
      <c r="B45" s="2" t="s">
        <v>525</v>
      </c>
      <c r="C45" s="2" t="s">
        <v>3896</v>
      </c>
      <c r="D45" s="2" t="s">
        <v>15</v>
      </c>
      <c r="E45" s="2" t="s">
        <v>139</v>
      </c>
      <c r="F45" s="2" t="s">
        <v>93</v>
      </c>
      <c r="G45" s="2" t="s">
        <v>18</v>
      </c>
      <c r="H45" s="2" t="s">
        <v>88</v>
      </c>
      <c r="I45" s="3">
        <v>43833</v>
      </c>
      <c r="J45" s="3">
        <v>43510</v>
      </c>
      <c r="K45" s="3">
        <v>47162</v>
      </c>
      <c r="M45" s="2" t="s">
        <v>527</v>
      </c>
    </row>
    <row r="46" spans="1:13" x14ac:dyDescent="0.35">
      <c r="A46" s="2" t="s">
        <v>876</v>
      </c>
      <c r="B46" s="2" t="s">
        <v>877</v>
      </c>
      <c r="C46" s="2" t="s">
        <v>3984</v>
      </c>
      <c r="D46" s="2" t="s">
        <v>15</v>
      </c>
      <c r="E46" s="2" t="s">
        <v>27</v>
      </c>
      <c r="F46" s="2" t="s">
        <v>28</v>
      </c>
      <c r="G46" s="2" t="s">
        <v>18</v>
      </c>
      <c r="H46" s="2" t="s">
        <v>177</v>
      </c>
      <c r="I46" s="3">
        <v>44284</v>
      </c>
      <c r="J46" s="3">
        <v>44462</v>
      </c>
      <c r="K46" s="3">
        <v>46287</v>
      </c>
      <c r="M46" s="2" t="s">
        <v>879</v>
      </c>
    </row>
    <row r="47" spans="1:13" x14ac:dyDescent="0.35">
      <c r="A47" s="2" t="s">
        <v>587</v>
      </c>
      <c r="C47" s="2" t="s">
        <v>3908</v>
      </c>
      <c r="D47" s="2" t="s">
        <v>15</v>
      </c>
      <c r="E47" s="2" t="s">
        <v>27</v>
      </c>
      <c r="F47" s="2" t="s">
        <v>28</v>
      </c>
      <c r="G47" s="2" t="s">
        <v>18</v>
      </c>
      <c r="H47" s="2" t="s">
        <v>88</v>
      </c>
      <c r="I47" s="3">
        <v>43816</v>
      </c>
      <c r="J47" s="3">
        <v>44315</v>
      </c>
      <c r="K47" s="3">
        <v>46140</v>
      </c>
      <c r="M47" s="2" t="s">
        <v>589</v>
      </c>
    </row>
    <row r="48" spans="1:13" x14ac:dyDescent="0.35">
      <c r="A48" s="2" t="s">
        <v>1411</v>
      </c>
      <c r="B48" s="2" t="s">
        <v>1412</v>
      </c>
      <c r="C48" s="2" t="s">
        <v>4091</v>
      </c>
      <c r="D48" s="2" t="s">
        <v>15</v>
      </c>
      <c r="E48" s="2" t="s">
        <v>573</v>
      </c>
      <c r="F48" s="2" t="s">
        <v>1218</v>
      </c>
      <c r="G48" s="2" t="s">
        <v>18</v>
      </c>
      <c r="H48" s="2" t="s">
        <v>19</v>
      </c>
      <c r="I48" s="3">
        <v>45357</v>
      </c>
      <c r="J48" s="3">
        <v>45358</v>
      </c>
      <c r="K48" s="3">
        <v>45722</v>
      </c>
      <c r="M48" s="2" t="s">
        <v>1414</v>
      </c>
    </row>
    <row r="49" spans="1:13" x14ac:dyDescent="0.35">
      <c r="A49" s="2" t="s">
        <v>447</v>
      </c>
      <c r="C49" s="2" t="s">
        <v>3880</v>
      </c>
      <c r="D49" s="2" t="s">
        <v>15</v>
      </c>
      <c r="E49" s="2" t="s">
        <v>311</v>
      </c>
      <c r="F49" s="2" t="s">
        <v>149</v>
      </c>
      <c r="G49" s="2" t="s">
        <v>18</v>
      </c>
      <c r="H49" s="2" t="s">
        <v>19</v>
      </c>
      <c r="I49" s="3">
        <v>43208</v>
      </c>
      <c r="J49" s="3">
        <v>43256</v>
      </c>
      <c r="K49" s="3">
        <v>46907</v>
      </c>
      <c r="L49" s="3">
        <v>45082</v>
      </c>
      <c r="M49" s="2" t="s">
        <v>449</v>
      </c>
    </row>
    <row r="50" spans="1:13" x14ac:dyDescent="0.35">
      <c r="A50" s="2" t="s">
        <v>423</v>
      </c>
      <c r="B50" s="2" t="s">
        <v>424</v>
      </c>
      <c r="C50" s="2" t="s">
        <v>3874</v>
      </c>
      <c r="D50" s="2" t="s">
        <v>15</v>
      </c>
      <c r="E50" s="2" t="s">
        <v>139</v>
      </c>
      <c r="F50" s="2" t="s">
        <v>426</v>
      </c>
      <c r="G50" s="2" t="s">
        <v>18</v>
      </c>
      <c r="H50" s="2" t="s">
        <v>88</v>
      </c>
      <c r="I50" s="3">
        <v>43102</v>
      </c>
      <c r="J50" s="3">
        <v>43256</v>
      </c>
      <c r="K50" s="3">
        <v>46908</v>
      </c>
      <c r="M50" s="2" t="s">
        <v>427</v>
      </c>
    </row>
    <row r="51" spans="1:13" x14ac:dyDescent="0.35">
      <c r="A51" s="2" t="s">
        <v>1358</v>
      </c>
      <c r="B51" s="2" t="s">
        <v>1359</v>
      </c>
      <c r="C51" s="2" t="s">
        <v>4079</v>
      </c>
      <c r="D51" s="2" t="s">
        <v>15</v>
      </c>
      <c r="E51" s="2" t="s">
        <v>139</v>
      </c>
      <c r="F51" s="2" t="s">
        <v>93</v>
      </c>
      <c r="G51" s="2" t="s">
        <v>18</v>
      </c>
      <c r="H51" s="2" t="s">
        <v>88</v>
      </c>
      <c r="I51" s="3">
        <v>45048</v>
      </c>
      <c r="J51" s="3">
        <v>45324</v>
      </c>
      <c r="K51" s="3">
        <v>46784</v>
      </c>
      <c r="M51" s="2" t="s">
        <v>1361</v>
      </c>
    </row>
    <row r="52" spans="1:13" x14ac:dyDescent="0.35">
      <c r="A52" s="2" t="s">
        <v>497</v>
      </c>
      <c r="B52" s="2" t="s">
        <v>498</v>
      </c>
      <c r="C52" s="2" t="s">
        <v>3891</v>
      </c>
      <c r="D52" s="2" t="s">
        <v>15</v>
      </c>
      <c r="E52" s="2" t="s">
        <v>139</v>
      </c>
      <c r="F52" s="2" t="s">
        <v>93</v>
      </c>
      <c r="G52" s="2" t="s">
        <v>18</v>
      </c>
      <c r="H52" s="2" t="s">
        <v>88</v>
      </c>
      <c r="I52" s="3">
        <v>43455</v>
      </c>
      <c r="J52" s="3">
        <v>43623</v>
      </c>
      <c r="K52" s="3">
        <v>46180</v>
      </c>
      <c r="M52" s="2" t="s">
        <v>500</v>
      </c>
    </row>
    <row r="53" spans="1:13" x14ac:dyDescent="0.35">
      <c r="A53" s="2" t="s">
        <v>613</v>
      </c>
      <c r="C53" s="2" t="s">
        <v>3916</v>
      </c>
      <c r="D53" s="2" t="s">
        <v>15</v>
      </c>
      <c r="E53" s="2" t="s">
        <v>27</v>
      </c>
      <c r="F53" s="2" t="s">
        <v>118</v>
      </c>
      <c r="G53" s="2" t="s">
        <v>18</v>
      </c>
      <c r="H53" s="2" t="s">
        <v>88</v>
      </c>
      <c r="I53" s="3">
        <v>44070</v>
      </c>
      <c r="J53" s="3">
        <v>44357</v>
      </c>
      <c r="K53" s="3">
        <v>46182</v>
      </c>
      <c r="M53" s="2" t="s">
        <v>615</v>
      </c>
    </row>
    <row r="54" spans="1:13" x14ac:dyDescent="0.35">
      <c r="A54" s="2" t="s">
        <v>1551</v>
      </c>
      <c r="C54" s="2" t="s">
        <v>4122</v>
      </c>
      <c r="D54" s="2" t="s">
        <v>15</v>
      </c>
      <c r="E54" s="2" t="s">
        <v>148</v>
      </c>
      <c r="F54" s="2" t="s">
        <v>17</v>
      </c>
      <c r="G54" s="2" t="s">
        <v>18</v>
      </c>
      <c r="H54" s="2" t="s">
        <v>163</v>
      </c>
      <c r="I54" s="3">
        <v>45377</v>
      </c>
      <c r="J54" s="3">
        <v>45378</v>
      </c>
      <c r="K54" s="3">
        <v>47203</v>
      </c>
      <c r="M54" s="2" t="s">
        <v>1553</v>
      </c>
    </row>
    <row r="55" spans="1:13" x14ac:dyDescent="0.35">
      <c r="A55" s="2" t="s">
        <v>296</v>
      </c>
      <c r="B55" s="2" t="s">
        <v>297</v>
      </c>
      <c r="C55" s="2" t="s">
        <v>298</v>
      </c>
      <c r="D55" s="2" t="s">
        <v>15</v>
      </c>
      <c r="E55" s="2" t="s">
        <v>294</v>
      </c>
      <c r="F55" s="2" t="s">
        <v>17</v>
      </c>
      <c r="G55" s="2" t="s">
        <v>18</v>
      </c>
      <c r="H55" s="2" t="s">
        <v>299</v>
      </c>
      <c r="I55" s="3">
        <v>42116</v>
      </c>
      <c r="J55" s="3">
        <v>43370</v>
      </c>
      <c r="K55" s="3">
        <v>50674</v>
      </c>
      <c r="M55" s="2" t="s">
        <v>300</v>
      </c>
    </row>
    <row r="56" spans="1:13" x14ac:dyDescent="0.35">
      <c r="A56" s="2" t="s">
        <v>706</v>
      </c>
      <c r="B56" s="2" t="s">
        <v>707</v>
      </c>
      <c r="C56" s="2" t="s">
        <v>3939</v>
      </c>
      <c r="D56" s="2" t="s">
        <v>15</v>
      </c>
      <c r="E56" s="2" t="s">
        <v>139</v>
      </c>
      <c r="F56" s="2" t="s">
        <v>93</v>
      </c>
      <c r="G56" s="2" t="s">
        <v>18</v>
      </c>
      <c r="H56" s="2" t="s">
        <v>88</v>
      </c>
      <c r="I56" s="3">
        <v>44692</v>
      </c>
      <c r="J56" s="3">
        <v>44789</v>
      </c>
      <c r="K56" s="3">
        <v>46249</v>
      </c>
      <c r="M56" s="2" t="s">
        <v>709</v>
      </c>
    </row>
    <row r="57" spans="1:13" x14ac:dyDescent="0.35">
      <c r="A57" s="2" t="s">
        <v>1643</v>
      </c>
      <c r="C57" s="2" t="s">
        <v>4139</v>
      </c>
      <c r="D57" s="2" t="s">
        <v>15</v>
      </c>
      <c r="E57" s="2" t="s">
        <v>1609</v>
      </c>
      <c r="F57" s="2" t="s">
        <v>93</v>
      </c>
      <c r="G57" s="2" t="s">
        <v>18</v>
      </c>
      <c r="H57" s="2" t="s">
        <v>88</v>
      </c>
      <c r="I57" s="5">
        <v>45834.778321759302</v>
      </c>
      <c r="J57" s="3">
        <v>45999</v>
      </c>
      <c r="K57" s="3">
        <v>46180</v>
      </c>
      <c r="M57" s="2" t="s">
        <v>1645</v>
      </c>
    </row>
    <row r="58" spans="1:13" x14ac:dyDescent="0.35">
      <c r="A58" s="2" t="s">
        <v>754</v>
      </c>
      <c r="B58" s="2" t="s">
        <v>666</v>
      </c>
      <c r="C58" s="2" t="s">
        <v>3950</v>
      </c>
      <c r="D58" s="2" t="s">
        <v>15</v>
      </c>
      <c r="E58" s="2" t="s">
        <v>311</v>
      </c>
      <c r="F58" s="2" t="s">
        <v>149</v>
      </c>
      <c r="G58" s="2" t="s">
        <v>18</v>
      </c>
      <c r="H58" s="2" t="s">
        <v>19</v>
      </c>
      <c r="I58" s="3">
        <v>44537</v>
      </c>
      <c r="J58" s="3">
        <v>44594</v>
      </c>
      <c r="K58" s="3">
        <v>46419</v>
      </c>
    </row>
    <row r="59" spans="1:13" x14ac:dyDescent="0.35">
      <c r="A59" s="2" t="s">
        <v>379</v>
      </c>
      <c r="B59" s="2" t="s">
        <v>380</v>
      </c>
      <c r="C59" s="2" t="s">
        <v>381</v>
      </c>
      <c r="D59" s="2" t="s">
        <v>15</v>
      </c>
      <c r="E59" s="2" t="s">
        <v>139</v>
      </c>
      <c r="F59" s="2" t="s">
        <v>93</v>
      </c>
      <c r="G59" s="2" t="s">
        <v>18</v>
      </c>
      <c r="H59" s="2" t="s">
        <v>177</v>
      </c>
      <c r="I59" s="3">
        <v>42921</v>
      </c>
      <c r="J59" s="3">
        <v>43115</v>
      </c>
      <c r="K59" s="3">
        <v>45671</v>
      </c>
      <c r="M59" s="2" t="s">
        <v>382</v>
      </c>
    </row>
    <row r="60" spans="1:13" x14ac:dyDescent="0.35">
      <c r="A60" s="2" t="s">
        <v>616</v>
      </c>
      <c r="C60" s="2" t="s">
        <v>3917</v>
      </c>
      <c r="D60" s="2" t="s">
        <v>15</v>
      </c>
      <c r="E60" s="2" t="s">
        <v>139</v>
      </c>
      <c r="F60" s="2" t="s">
        <v>618</v>
      </c>
      <c r="G60" s="2" t="s">
        <v>18</v>
      </c>
      <c r="H60" s="2" t="s">
        <v>299</v>
      </c>
      <c r="I60" s="3">
        <v>43833</v>
      </c>
      <c r="J60" s="3">
        <v>44476</v>
      </c>
      <c r="K60" s="3">
        <v>45936</v>
      </c>
      <c r="M60" s="2" t="s">
        <v>619</v>
      </c>
    </row>
    <row r="61" spans="1:13" x14ac:dyDescent="0.35">
      <c r="A61" s="2" t="s">
        <v>540</v>
      </c>
      <c r="B61" s="2" t="s">
        <v>541</v>
      </c>
      <c r="C61" s="2" t="s">
        <v>3898</v>
      </c>
      <c r="D61" s="2" t="s">
        <v>15</v>
      </c>
      <c r="E61" s="2" t="s">
        <v>139</v>
      </c>
      <c r="F61" s="2" t="s">
        <v>93</v>
      </c>
      <c r="G61" s="2" t="s">
        <v>18</v>
      </c>
      <c r="H61" s="2" t="s">
        <v>177</v>
      </c>
      <c r="I61" s="3">
        <v>43969</v>
      </c>
      <c r="J61" s="3">
        <v>44292</v>
      </c>
      <c r="K61" s="3">
        <v>45752</v>
      </c>
      <c r="M61" s="2" t="s">
        <v>543</v>
      </c>
    </row>
    <row r="62" spans="1:13" x14ac:dyDescent="0.35">
      <c r="A62" s="2" t="s">
        <v>1033</v>
      </c>
      <c r="B62" s="2" t="s">
        <v>407</v>
      </c>
      <c r="C62" s="2" t="s">
        <v>3898</v>
      </c>
      <c r="D62" s="2" t="s">
        <v>15</v>
      </c>
      <c r="E62" s="2" t="s">
        <v>148</v>
      </c>
      <c r="F62" s="2" t="s">
        <v>93</v>
      </c>
      <c r="G62" s="2" t="s">
        <v>18</v>
      </c>
      <c r="H62" s="2" t="s">
        <v>177</v>
      </c>
      <c r="I62" s="3">
        <v>44795</v>
      </c>
      <c r="J62" s="3">
        <v>45028</v>
      </c>
      <c r="K62" s="3">
        <v>46854</v>
      </c>
      <c r="M62" s="2" t="s">
        <v>1034</v>
      </c>
    </row>
    <row r="63" spans="1:13" x14ac:dyDescent="0.35">
      <c r="A63" s="2" t="s">
        <v>979</v>
      </c>
      <c r="B63" s="2" t="s">
        <v>980</v>
      </c>
      <c r="C63" s="2" t="s">
        <v>4006</v>
      </c>
      <c r="D63" s="2" t="s">
        <v>15</v>
      </c>
      <c r="E63" s="2" t="s">
        <v>154</v>
      </c>
      <c r="F63" s="2" t="s">
        <v>93</v>
      </c>
      <c r="G63" s="2" t="s">
        <v>18</v>
      </c>
      <c r="H63" s="2" t="s">
        <v>88</v>
      </c>
      <c r="I63" s="3">
        <v>44019</v>
      </c>
      <c r="J63" s="3">
        <v>45103</v>
      </c>
      <c r="K63" s="3">
        <v>46198</v>
      </c>
      <c r="M63" s="2" t="s">
        <v>982</v>
      </c>
    </row>
    <row r="64" spans="1:13" x14ac:dyDescent="0.35">
      <c r="A64" s="2" t="s">
        <v>1365</v>
      </c>
      <c r="C64" s="2" t="s">
        <v>4081</v>
      </c>
      <c r="D64" s="2" t="s">
        <v>15</v>
      </c>
      <c r="E64" s="2" t="s">
        <v>154</v>
      </c>
      <c r="F64" s="2" t="s">
        <v>93</v>
      </c>
      <c r="G64" s="2" t="s">
        <v>18</v>
      </c>
      <c r="H64" s="2" t="s">
        <v>88</v>
      </c>
      <c r="I64" s="3">
        <v>45316</v>
      </c>
      <c r="J64" s="3">
        <v>45324</v>
      </c>
      <c r="K64" s="3">
        <v>46419</v>
      </c>
      <c r="M64" s="2" t="s">
        <v>1367</v>
      </c>
    </row>
    <row r="65" spans="1:13" x14ac:dyDescent="0.35">
      <c r="A65" s="2" t="s">
        <v>1008</v>
      </c>
      <c r="B65" s="2" t="s">
        <v>1009</v>
      </c>
      <c r="C65" s="2" t="s">
        <v>4011</v>
      </c>
      <c r="D65" s="2" t="s">
        <v>15</v>
      </c>
      <c r="E65" s="2" t="s">
        <v>139</v>
      </c>
      <c r="F65" s="2" t="s">
        <v>93</v>
      </c>
      <c r="G65" s="2" t="s">
        <v>18</v>
      </c>
      <c r="H65" s="2" t="s">
        <v>88</v>
      </c>
      <c r="I65" s="3">
        <v>44648</v>
      </c>
      <c r="J65" s="3">
        <v>44977</v>
      </c>
      <c r="K65" s="3">
        <v>46437</v>
      </c>
      <c r="M65" s="2" t="s">
        <v>1011</v>
      </c>
    </row>
    <row r="66" spans="1:13" x14ac:dyDescent="0.35">
      <c r="A66" s="2" t="s">
        <v>490</v>
      </c>
      <c r="B66" s="2" t="s">
        <v>491</v>
      </c>
      <c r="C66" s="2" t="s">
        <v>4183</v>
      </c>
      <c r="D66" s="2" t="s">
        <v>15</v>
      </c>
      <c r="E66" s="2" t="s">
        <v>294</v>
      </c>
      <c r="F66" s="2" t="s">
        <v>93</v>
      </c>
      <c r="G66" s="2" t="s">
        <v>18</v>
      </c>
      <c r="H66" s="2" t="s">
        <v>88</v>
      </c>
      <c r="I66" s="3">
        <v>43395</v>
      </c>
      <c r="J66" s="3">
        <v>43815</v>
      </c>
      <c r="K66" s="3">
        <v>51119</v>
      </c>
      <c r="M66" s="2" t="s">
        <v>493</v>
      </c>
    </row>
    <row r="67" spans="1:13" x14ac:dyDescent="0.35">
      <c r="A67" s="2" t="s">
        <v>817</v>
      </c>
      <c r="C67" s="2" t="s">
        <v>3969</v>
      </c>
      <c r="D67" s="2" t="s">
        <v>15</v>
      </c>
      <c r="E67" s="2" t="s">
        <v>311</v>
      </c>
      <c r="F67" s="2" t="s">
        <v>149</v>
      </c>
      <c r="G67" s="2" t="s">
        <v>18</v>
      </c>
      <c r="H67" s="2" t="s">
        <v>19</v>
      </c>
      <c r="I67" s="3">
        <v>44666</v>
      </c>
      <c r="J67" s="3">
        <v>44763</v>
      </c>
      <c r="K67" s="3">
        <v>46588</v>
      </c>
    </row>
    <row r="68" spans="1:13" x14ac:dyDescent="0.35">
      <c r="A68" s="2" t="s">
        <v>263</v>
      </c>
      <c r="B68" s="2" t="s">
        <v>264</v>
      </c>
      <c r="C68" s="2" t="s">
        <v>265</v>
      </c>
      <c r="D68" s="2" t="s">
        <v>15</v>
      </c>
      <c r="E68" s="2" t="s">
        <v>139</v>
      </c>
      <c r="F68" s="2" t="s">
        <v>93</v>
      </c>
      <c r="G68" s="2" t="s">
        <v>18</v>
      </c>
      <c r="H68" s="2" t="s">
        <v>88</v>
      </c>
      <c r="I68" s="3">
        <v>41990</v>
      </c>
      <c r="J68" s="3">
        <v>42165</v>
      </c>
      <c r="K68" s="3">
        <v>46194</v>
      </c>
      <c r="M68" s="2" t="s">
        <v>266</v>
      </c>
    </row>
    <row r="69" spans="1:13" x14ac:dyDescent="0.35">
      <c r="A69" s="2" t="s">
        <v>339</v>
      </c>
      <c r="B69" s="2" t="s">
        <v>328</v>
      </c>
      <c r="C69" s="2" t="s">
        <v>3858</v>
      </c>
      <c r="D69" s="2" t="s">
        <v>15</v>
      </c>
      <c r="E69" s="2" t="s">
        <v>311</v>
      </c>
      <c r="F69" s="2" t="s">
        <v>149</v>
      </c>
      <c r="G69" s="2" t="s">
        <v>41</v>
      </c>
      <c r="H69" s="2" t="s">
        <v>19</v>
      </c>
      <c r="I69" s="3">
        <v>42461</v>
      </c>
      <c r="J69" s="3">
        <v>43115</v>
      </c>
      <c r="K69" s="3">
        <v>44940</v>
      </c>
      <c r="M69" s="2" t="s">
        <v>341</v>
      </c>
    </row>
    <row r="70" spans="1:13" x14ac:dyDescent="0.35">
      <c r="A70" s="2" t="s">
        <v>551</v>
      </c>
      <c r="B70" s="2" t="s">
        <v>552</v>
      </c>
      <c r="C70" s="2" t="s">
        <v>553</v>
      </c>
      <c r="D70" s="2" t="s">
        <v>15</v>
      </c>
      <c r="E70" s="2" t="s">
        <v>139</v>
      </c>
      <c r="F70" s="2" t="s">
        <v>93</v>
      </c>
      <c r="G70" s="2" t="s">
        <v>41</v>
      </c>
      <c r="H70" s="2" t="s">
        <v>88</v>
      </c>
      <c r="I70" s="3">
        <v>44104</v>
      </c>
      <c r="J70" s="3">
        <v>44119</v>
      </c>
      <c r="K70" s="3">
        <v>45579</v>
      </c>
      <c r="M70" s="2" t="s">
        <v>554</v>
      </c>
    </row>
    <row r="71" spans="1:13" x14ac:dyDescent="0.35">
      <c r="A71" s="2" t="s">
        <v>128</v>
      </c>
      <c r="B71" s="2" t="s">
        <v>58</v>
      </c>
      <c r="C71" s="2" t="s">
        <v>3833</v>
      </c>
      <c r="D71" s="2" t="s">
        <v>15</v>
      </c>
      <c r="E71" s="2" t="s">
        <v>27</v>
      </c>
      <c r="F71" s="2" t="s">
        <v>60</v>
      </c>
      <c r="G71" s="2" t="s">
        <v>18</v>
      </c>
      <c r="H71" s="2" t="s">
        <v>19</v>
      </c>
      <c r="I71" s="3">
        <v>38679</v>
      </c>
      <c r="J71" s="3">
        <v>39044</v>
      </c>
      <c r="K71" s="3">
        <v>45928</v>
      </c>
      <c r="M71" s="2" t="s">
        <v>130</v>
      </c>
    </row>
    <row r="72" spans="1:13" x14ac:dyDescent="0.35">
      <c r="A72" s="2" t="s">
        <v>736</v>
      </c>
      <c r="B72" s="2" t="s">
        <v>566</v>
      </c>
      <c r="C72" s="2" t="s">
        <v>3945</v>
      </c>
      <c r="D72" s="2" t="s">
        <v>15</v>
      </c>
      <c r="E72" s="2" t="s">
        <v>311</v>
      </c>
      <c r="F72" s="2" t="s">
        <v>149</v>
      </c>
      <c r="G72" s="2" t="s">
        <v>18</v>
      </c>
      <c r="H72" s="2" t="s">
        <v>19</v>
      </c>
      <c r="I72" s="3">
        <v>44538</v>
      </c>
      <c r="J72" s="3">
        <v>44642</v>
      </c>
      <c r="K72" s="3">
        <v>46467</v>
      </c>
    </row>
    <row r="73" spans="1:13" x14ac:dyDescent="0.35">
      <c r="A73" s="2" t="s">
        <v>192</v>
      </c>
      <c r="B73" s="2" t="s">
        <v>193</v>
      </c>
      <c r="C73" s="2" t="s">
        <v>3841</v>
      </c>
      <c r="D73" s="2" t="s">
        <v>15</v>
      </c>
      <c r="E73" s="2" t="s">
        <v>139</v>
      </c>
      <c r="F73" s="2" t="s">
        <v>17</v>
      </c>
      <c r="G73" s="2" t="s">
        <v>18</v>
      </c>
      <c r="H73" s="2" t="s">
        <v>190</v>
      </c>
      <c r="I73" s="3">
        <v>41327</v>
      </c>
      <c r="J73" s="3">
        <v>41465</v>
      </c>
      <c r="K73" s="3">
        <v>45837</v>
      </c>
      <c r="M73" s="2" t="s">
        <v>195</v>
      </c>
    </row>
    <row r="74" spans="1:13" x14ac:dyDescent="0.35">
      <c r="A74" s="2" t="s">
        <v>1745</v>
      </c>
      <c r="B74" s="2" t="s">
        <v>1746</v>
      </c>
      <c r="C74" s="2" t="s">
        <v>4162</v>
      </c>
      <c r="D74" s="2" t="s">
        <v>15</v>
      </c>
      <c r="E74" s="2" t="s">
        <v>27</v>
      </c>
      <c r="F74" s="2" t="s">
        <v>118</v>
      </c>
      <c r="G74" s="2" t="s">
        <v>18</v>
      </c>
      <c r="H74" s="2" t="s">
        <v>19</v>
      </c>
      <c r="I74" s="3">
        <v>38531</v>
      </c>
      <c r="J74" s="3">
        <v>39303</v>
      </c>
      <c r="K74" s="3">
        <v>46202</v>
      </c>
      <c r="M74" s="2" t="s">
        <v>1748</v>
      </c>
    </row>
    <row r="75" spans="1:13" x14ac:dyDescent="0.35">
      <c r="A75" s="2" t="s">
        <v>1437</v>
      </c>
      <c r="B75" s="2" t="s">
        <v>393</v>
      </c>
      <c r="C75" s="2" t="s">
        <v>4096</v>
      </c>
      <c r="D75" s="2" t="s">
        <v>15</v>
      </c>
      <c r="E75" s="2" t="s">
        <v>311</v>
      </c>
      <c r="F75" s="2" t="s">
        <v>395</v>
      </c>
      <c r="G75" s="2" t="s">
        <v>18</v>
      </c>
      <c r="H75" s="2" t="s">
        <v>19</v>
      </c>
      <c r="I75" s="3">
        <v>43129</v>
      </c>
      <c r="J75" s="3">
        <v>45287</v>
      </c>
      <c r="K75" s="3">
        <v>47113</v>
      </c>
      <c r="M75" s="2" t="s">
        <v>1439</v>
      </c>
    </row>
    <row r="76" spans="1:13" x14ac:dyDescent="0.35">
      <c r="A76" s="2" t="s">
        <v>1733</v>
      </c>
      <c r="B76" s="2" t="s">
        <v>58</v>
      </c>
      <c r="C76" s="2" t="s">
        <v>4160</v>
      </c>
      <c r="D76" s="2" t="s">
        <v>15</v>
      </c>
      <c r="E76" s="2" t="s">
        <v>27</v>
      </c>
      <c r="F76" s="2" t="s">
        <v>60</v>
      </c>
      <c r="G76" s="2" t="s">
        <v>41</v>
      </c>
      <c r="H76" s="2" t="s">
        <v>19</v>
      </c>
      <c r="I76" s="3">
        <v>42004</v>
      </c>
      <c r="J76" s="3">
        <v>42054</v>
      </c>
      <c r="K76" s="3">
        <v>45706</v>
      </c>
      <c r="L76" s="3">
        <v>43880</v>
      </c>
      <c r="M76" s="2" t="s">
        <v>1735</v>
      </c>
    </row>
    <row r="77" spans="1:13" x14ac:dyDescent="0.35">
      <c r="A77" s="2" t="s">
        <v>669</v>
      </c>
      <c r="B77" s="2" t="s">
        <v>670</v>
      </c>
      <c r="C77" s="2" t="s">
        <v>3931</v>
      </c>
      <c r="D77" s="2" t="s">
        <v>15</v>
      </c>
      <c r="E77" s="2" t="s">
        <v>139</v>
      </c>
      <c r="F77" s="2" t="s">
        <v>93</v>
      </c>
      <c r="G77" s="2" t="s">
        <v>18</v>
      </c>
      <c r="H77" s="2" t="s">
        <v>88</v>
      </c>
      <c r="I77" s="3">
        <v>43269</v>
      </c>
      <c r="J77" s="3">
        <v>44623</v>
      </c>
      <c r="K77" s="3">
        <v>46083</v>
      </c>
      <c r="M77" s="2" t="s">
        <v>672</v>
      </c>
    </row>
    <row r="78" spans="1:13" x14ac:dyDescent="0.35">
      <c r="A78" s="2" t="s">
        <v>673</v>
      </c>
      <c r="B78" s="2" t="s">
        <v>674</v>
      </c>
      <c r="C78" s="2" t="s">
        <v>3931</v>
      </c>
      <c r="D78" s="2" t="s">
        <v>15</v>
      </c>
      <c r="E78" s="2" t="s">
        <v>139</v>
      </c>
      <c r="F78" s="2" t="s">
        <v>93</v>
      </c>
      <c r="G78" s="2" t="s">
        <v>18</v>
      </c>
      <c r="H78" s="2" t="s">
        <v>177</v>
      </c>
      <c r="I78" s="3">
        <v>44431</v>
      </c>
      <c r="J78" s="3">
        <v>44623</v>
      </c>
      <c r="K78" s="3">
        <v>46083</v>
      </c>
      <c r="M78" s="2" t="s">
        <v>675</v>
      </c>
    </row>
    <row r="79" spans="1:13" x14ac:dyDescent="0.35">
      <c r="A79" s="2" t="s">
        <v>1611</v>
      </c>
      <c r="C79" s="2" t="s">
        <v>4135</v>
      </c>
      <c r="D79" s="2" t="s">
        <v>15</v>
      </c>
      <c r="E79" s="2" t="s">
        <v>573</v>
      </c>
      <c r="F79" s="2" t="s">
        <v>1218</v>
      </c>
      <c r="G79" s="2" t="s">
        <v>18</v>
      </c>
      <c r="H79" s="2" t="s">
        <v>1613</v>
      </c>
      <c r="I79" s="5">
        <v>45974.450717592597</v>
      </c>
      <c r="J79" s="3">
        <v>46013</v>
      </c>
      <c r="K79" s="3">
        <v>46377</v>
      </c>
      <c r="M79" s="2" t="s">
        <v>1614</v>
      </c>
    </row>
    <row r="80" spans="1:13" x14ac:dyDescent="0.35">
      <c r="A80" s="2" t="s">
        <v>1537</v>
      </c>
      <c r="B80" s="2" t="s">
        <v>1538</v>
      </c>
      <c r="C80" s="2" t="s">
        <v>4119</v>
      </c>
      <c r="D80" s="2" t="s">
        <v>15</v>
      </c>
      <c r="E80" s="2" t="s">
        <v>573</v>
      </c>
      <c r="F80" s="2" t="s">
        <v>1218</v>
      </c>
      <c r="G80" s="2" t="s">
        <v>18</v>
      </c>
      <c r="H80" s="2" t="s">
        <v>185</v>
      </c>
      <c r="I80" s="3">
        <v>45433</v>
      </c>
      <c r="J80" s="3">
        <v>45431</v>
      </c>
      <c r="K80" s="3">
        <v>46293</v>
      </c>
      <c r="L80" s="3">
        <v>45796</v>
      </c>
      <c r="M80" s="2" t="s">
        <v>1540</v>
      </c>
    </row>
    <row r="81" spans="1:13" x14ac:dyDescent="0.35">
      <c r="A81" s="2" t="s">
        <v>1541</v>
      </c>
      <c r="B81" s="2" t="s">
        <v>1538</v>
      </c>
      <c r="C81" s="2" t="s">
        <v>4119</v>
      </c>
      <c r="D81" s="2" t="s">
        <v>15</v>
      </c>
      <c r="E81" s="2" t="s">
        <v>573</v>
      </c>
      <c r="F81" s="2" t="s">
        <v>1218</v>
      </c>
      <c r="G81" s="2" t="s">
        <v>18</v>
      </c>
      <c r="H81" s="2" t="s">
        <v>185</v>
      </c>
      <c r="I81" s="3">
        <v>45456</v>
      </c>
      <c r="J81" s="3">
        <v>45431</v>
      </c>
      <c r="K81" s="3">
        <v>46293</v>
      </c>
      <c r="L81" s="3">
        <v>45796</v>
      </c>
      <c r="M81" s="2" t="s">
        <v>1542</v>
      </c>
    </row>
    <row r="82" spans="1:13" x14ac:dyDescent="0.35">
      <c r="A82" s="2" t="s">
        <v>1461</v>
      </c>
      <c r="B82" s="2" t="s">
        <v>566</v>
      </c>
      <c r="C82" s="2" t="s">
        <v>4101</v>
      </c>
      <c r="D82" s="2" t="s">
        <v>15</v>
      </c>
      <c r="E82" s="2" t="s">
        <v>311</v>
      </c>
      <c r="F82" s="2" t="s">
        <v>149</v>
      </c>
      <c r="G82" s="2" t="s">
        <v>18</v>
      </c>
      <c r="H82" s="2" t="s">
        <v>19</v>
      </c>
      <c r="I82" s="3">
        <v>45306</v>
      </c>
      <c r="J82" s="3">
        <v>45366</v>
      </c>
      <c r="K82" s="3">
        <v>46095</v>
      </c>
    </row>
    <row r="83" spans="1:13" x14ac:dyDescent="0.35">
      <c r="A83" s="2" t="s">
        <v>1469</v>
      </c>
      <c r="B83" s="2" t="s">
        <v>1470</v>
      </c>
      <c r="C83" s="2" t="s">
        <v>4101</v>
      </c>
      <c r="D83" s="2" t="s">
        <v>15</v>
      </c>
      <c r="E83" s="2" t="s">
        <v>27</v>
      </c>
      <c r="F83" s="2" t="s">
        <v>118</v>
      </c>
      <c r="G83" s="2" t="s">
        <v>18</v>
      </c>
      <c r="H83" s="2" t="s">
        <v>19</v>
      </c>
      <c r="I83" s="3">
        <v>45315</v>
      </c>
      <c r="J83" s="3">
        <v>45373</v>
      </c>
      <c r="K83" s="3">
        <v>47198</v>
      </c>
      <c r="M83" s="2" t="s">
        <v>1471</v>
      </c>
    </row>
    <row r="84" spans="1:13" x14ac:dyDescent="0.35">
      <c r="A84" s="2" t="s">
        <v>676</v>
      </c>
      <c r="C84" s="2" t="s">
        <v>3932</v>
      </c>
      <c r="D84" s="2" t="s">
        <v>15</v>
      </c>
      <c r="E84" s="2" t="s">
        <v>154</v>
      </c>
      <c r="F84" s="2" t="s">
        <v>93</v>
      </c>
      <c r="G84" s="2" t="s">
        <v>18</v>
      </c>
      <c r="H84" s="2" t="s">
        <v>88</v>
      </c>
      <c r="I84" s="3">
        <v>44609</v>
      </c>
      <c r="J84" s="3">
        <v>44614</v>
      </c>
      <c r="K84" s="3">
        <v>45709</v>
      </c>
      <c r="M84" s="2" t="s">
        <v>678</v>
      </c>
    </row>
    <row r="85" spans="1:13" x14ac:dyDescent="0.35">
      <c r="A85" s="2" t="s">
        <v>872</v>
      </c>
      <c r="C85" s="2" t="s">
        <v>3932</v>
      </c>
      <c r="D85" s="2" t="s">
        <v>15</v>
      </c>
      <c r="E85" s="2" t="s">
        <v>154</v>
      </c>
      <c r="F85" s="2" t="s">
        <v>93</v>
      </c>
      <c r="G85" s="2" t="s">
        <v>18</v>
      </c>
      <c r="H85" s="2" t="s">
        <v>88</v>
      </c>
      <c r="I85" s="3">
        <v>44902</v>
      </c>
      <c r="J85" s="3">
        <v>44922</v>
      </c>
      <c r="K85" s="3">
        <v>46017</v>
      </c>
      <c r="M85" s="2" t="s">
        <v>873</v>
      </c>
    </row>
    <row r="86" spans="1:13" x14ac:dyDescent="0.35">
      <c r="A86" s="2" t="s">
        <v>874</v>
      </c>
      <c r="C86" s="2" t="s">
        <v>3932</v>
      </c>
      <c r="D86" s="2" t="s">
        <v>15</v>
      </c>
      <c r="E86" s="2" t="s">
        <v>154</v>
      </c>
      <c r="F86" s="2" t="s">
        <v>93</v>
      </c>
      <c r="G86" s="2" t="s">
        <v>18</v>
      </c>
      <c r="H86" s="2" t="s">
        <v>88</v>
      </c>
      <c r="I86" s="3">
        <v>44902</v>
      </c>
      <c r="J86" s="3">
        <v>44908</v>
      </c>
      <c r="K86" s="3">
        <v>46003</v>
      </c>
      <c r="M86" s="2" t="s">
        <v>875</v>
      </c>
    </row>
    <row r="87" spans="1:13" x14ac:dyDescent="0.35">
      <c r="A87" s="2" t="s">
        <v>903</v>
      </c>
      <c r="C87" s="2" t="s">
        <v>3932</v>
      </c>
      <c r="D87" s="2" t="s">
        <v>15</v>
      </c>
      <c r="E87" s="2" t="s">
        <v>154</v>
      </c>
      <c r="F87" s="2" t="s">
        <v>93</v>
      </c>
      <c r="G87" s="2" t="s">
        <v>18</v>
      </c>
      <c r="H87" s="2" t="s">
        <v>88</v>
      </c>
      <c r="I87" s="3">
        <v>44902</v>
      </c>
      <c r="J87" s="3">
        <v>44908</v>
      </c>
      <c r="K87" s="3">
        <v>46003</v>
      </c>
      <c r="M87" s="2" t="s">
        <v>370</v>
      </c>
    </row>
    <row r="88" spans="1:13" x14ac:dyDescent="0.35">
      <c r="A88" s="2" t="s">
        <v>948</v>
      </c>
      <c r="B88" s="2" t="s">
        <v>949</v>
      </c>
      <c r="C88" s="2" t="s">
        <v>3932</v>
      </c>
      <c r="D88" s="2" t="s">
        <v>15</v>
      </c>
      <c r="E88" s="2" t="s">
        <v>154</v>
      </c>
      <c r="F88" s="2" t="s">
        <v>93</v>
      </c>
      <c r="G88" s="2" t="s">
        <v>18</v>
      </c>
      <c r="H88" s="2" t="s">
        <v>88</v>
      </c>
      <c r="I88" s="3">
        <v>44972</v>
      </c>
      <c r="J88" s="3">
        <v>45028</v>
      </c>
      <c r="K88" s="3">
        <v>46123</v>
      </c>
      <c r="M88" s="2" t="s">
        <v>950</v>
      </c>
    </row>
    <row r="89" spans="1:13" x14ac:dyDescent="0.35">
      <c r="A89" s="2" t="s">
        <v>951</v>
      </c>
      <c r="B89" s="2" t="s">
        <v>952</v>
      </c>
      <c r="C89" s="2" t="s">
        <v>3932</v>
      </c>
      <c r="D89" s="2" t="s">
        <v>15</v>
      </c>
      <c r="E89" s="2" t="s">
        <v>154</v>
      </c>
      <c r="F89" s="2" t="s">
        <v>93</v>
      </c>
      <c r="G89" s="2" t="s">
        <v>18</v>
      </c>
      <c r="H89" s="2" t="s">
        <v>88</v>
      </c>
      <c r="I89" s="3">
        <v>44972</v>
      </c>
      <c r="J89" s="3">
        <v>45028</v>
      </c>
      <c r="K89" s="3">
        <v>46123</v>
      </c>
      <c r="M89" s="2" t="s">
        <v>953</v>
      </c>
    </row>
    <row r="90" spans="1:13" x14ac:dyDescent="0.35">
      <c r="A90" s="2" t="s">
        <v>960</v>
      </c>
      <c r="B90" s="2" t="s">
        <v>704</v>
      </c>
      <c r="C90" s="2" t="s">
        <v>3932</v>
      </c>
      <c r="D90" s="2" t="s">
        <v>15</v>
      </c>
      <c r="E90" s="2" t="s">
        <v>154</v>
      </c>
      <c r="F90" s="2" t="s">
        <v>93</v>
      </c>
      <c r="G90" s="2" t="s">
        <v>18</v>
      </c>
      <c r="H90" s="2" t="s">
        <v>88</v>
      </c>
      <c r="I90" s="3">
        <v>44972</v>
      </c>
      <c r="J90" s="3">
        <v>45028</v>
      </c>
      <c r="K90" s="3">
        <v>46123</v>
      </c>
      <c r="M90" s="2" t="s">
        <v>961</v>
      </c>
    </row>
    <row r="91" spans="1:13" x14ac:dyDescent="0.35">
      <c r="A91" s="2" t="s">
        <v>699</v>
      </c>
      <c r="B91" s="2" t="s">
        <v>700</v>
      </c>
      <c r="C91" s="2" t="s">
        <v>3938</v>
      </c>
      <c r="D91" s="2" t="s">
        <v>15</v>
      </c>
      <c r="E91" s="2" t="s">
        <v>154</v>
      </c>
      <c r="F91" s="2" t="s">
        <v>93</v>
      </c>
      <c r="G91" s="2" t="s">
        <v>18</v>
      </c>
      <c r="H91" s="2" t="s">
        <v>88</v>
      </c>
      <c r="I91" s="3">
        <v>44662</v>
      </c>
      <c r="J91" s="3">
        <v>44736</v>
      </c>
      <c r="K91" s="3">
        <v>45831</v>
      </c>
      <c r="M91" s="2" t="s">
        <v>702</v>
      </c>
    </row>
    <row r="92" spans="1:13" x14ac:dyDescent="0.35">
      <c r="A92" s="2" t="s">
        <v>703</v>
      </c>
      <c r="B92" s="2" t="s">
        <v>704</v>
      </c>
      <c r="C92" s="2" t="s">
        <v>3938</v>
      </c>
      <c r="D92" s="2" t="s">
        <v>15</v>
      </c>
      <c r="E92" s="2" t="s">
        <v>154</v>
      </c>
      <c r="F92" s="2" t="s">
        <v>93</v>
      </c>
      <c r="G92" s="2" t="s">
        <v>18</v>
      </c>
      <c r="H92" s="2" t="s">
        <v>88</v>
      </c>
      <c r="I92" s="3">
        <v>44662</v>
      </c>
      <c r="J92" s="3">
        <v>44736</v>
      </c>
      <c r="K92" s="3">
        <v>45831</v>
      </c>
      <c r="M92" s="2" t="s">
        <v>705</v>
      </c>
    </row>
    <row r="93" spans="1:13" x14ac:dyDescent="0.35">
      <c r="A93" s="2" t="s">
        <v>733</v>
      </c>
      <c r="B93" s="2" t="s">
        <v>734</v>
      </c>
      <c r="C93" s="2" t="s">
        <v>3938</v>
      </c>
      <c r="D93" s="2" t="s">
        <v>15</v>
      </c>
      <c r="E93" s="2" t="s">
        <v>154</v>
      </c>
      <c r="F93" s="2" t="s">
        <v>93</v>
      </c>
      <c r="G93" s="2" t="s">
        <v>18</v>
      </c>
      <c r="H93" s="2" t="s">
        <v>88</v>
      </c>
      <c r="I93" s="3">
        <v>44662</v>
      </c>
      <c r="J93" s="3">
        <v>44736</v>
      </c>
      <c r="K93" s="3">
        <v>45831</v>
      </c>
      <c r="M93" s="2" t="s">
        <v>735</v>
      </c>
    </row>
    <row r="94" spans="1:13" x14ac:dyDescent="0.35">
      <c r="A94" s="2" t="s">
        <v>558</v>
      </c>
      <c r="B94" s="2" t="s">
        <v>559</v>
      </c>
      <c r="C94" s="2" t="s">
        <v>3901</v>
      </c>
      <c r="D94" s="2" t="s">
        <v>15</v>
      </c>
      <c r="E94" s="2" t="s">
        <v>27</v>
      </c>
      <c r="F94" s="2" t="s">
        <v>60</v>
      </c>
      <c r="G94" s="2" t="s">
        <v>18</v>
      </c>
      <c r="H94" s="2" t="s">
        <v>19</v>
      </c>
      <c r="I94" s="3">
        <v>44106</v>
      </c>
      <c r="J94" s="3">
        <v>44279</v>
      </c>
      <c r="K94" s="3">
        <v>46104</v>
      </c>
      <c r="M94" s="2" t="s">
        <v>561</v>
      </c>
    </row>
    <row r="95" spans="1:13" x14ac:dyDescent="0.35">
      <c r="A95" s="2" t="s">
        <v>1094</v>
      </c>
      <c r="B95" s="2" t="s">
        <v>559</v>
      </c>
      <c r="C95" s="2" t="s">
        <v>3901</v>
      </c>
      <c r="D95" s="2" t="s">
        <v>15</v>
      </c>
      <c r="E95" s="2" t="s">
        <v>294</v>
      </c>
      <c r="F95" s="2" t="s">
        <v>1096</v>
      </c>
      <c r="G95" s="2" t="s">
        <v>18</v>
      </c>
      <c r="H95" s="2" t="s">
        <v>19</v>
      </c>
      <c r="I95" s="3">
        <v>44640</v>
      </c>
      <c r="J95" s="3">
        <v>44712</v>
      </c>
      <c r="K95" s="3">
        <v>52016</v>
      </c>
      <c r="M95" s="2" t="s">
        <v>1097</v>
      </c>
    </row>
    <row r="96" spans="1:13" x14ac:dyDescent="0.35">
      <c r="A96" s="2" t="s">
        <v>76</v>
      </c>
      <c r="B96" s="2" t="s">
        <v>77</v>
      </c>
      <c r="C96" s="2" t="s">
        <v>78</v>
      </c>
      <c r="D96" s="2" t="s">
        <v>15</v>
      </c>
      <c r="E96" s="2" t="s">
        <v>16</v>
      </c>
      <c r="F96" s="2" t="s">
        <v>60</v>
      </c>
      <c r="G96" s="2" t="s">
        <v>18</v>
      </c>
      <c r="H96" s="2" t="s">
        <v>19</v>
      </c>
      <c r="I96" s="3">
        <v>36285</v>
      </c>
      <c r="J96" s="3">
        <v>36578</v>
      </c>
      <c r="K96" s="3">
        <v>45709</v>
      </c>
      <c r="M96" s="2" t="s">
        <v>79</v>
      </c>
    </row>
    <row r="97" spans="1:13" x14ac:dyDescent="0.35">
      <c r="A97" s="2" t="s">
        <v>80</v>
      </c>
      <c r="B97" s="2" t="s">
        <v>81</v>
      </c>
      <c r="C97" s="2" t="s">
        <v>78</v>
      </c>
      <c r="D97" s="2" t="s">
        <v>15</v>
      </c>
      <c r="E97" s="2" t="s">
        <v>16</v>
      </c>
      <c r="F97" s="2" t="s">
        <v>82</v>
      </c>
      <c r="G97" s="2" t="s">
        <v>18</v>
      </c>
      <c r="H97" s="2" t="s">
        <v>19</v>
      </c>
      <c r="I97" s="3">
        <v>36285</v>
      </c>
      <c r="J97" s="3">
        <v>40102</v>
      </c>
      <c r="K97" s="3">
        <v>45710</v>
      </c>
      <c r="M97" s="2" t="s">
        <v>83</v>
      </c>
    </row>
    <row r="98" spans="1:13" x14ac:dyDescent="0.35">
      <c r="A98" s="2" t="s">
        <v>1547</v>
      </c>
      <c r="B98" s="2" t="s">
        <v>1548</v>
      </c>
      <c r="C98" s="2" t="s">
        <v>4121</v>
      </c>
      <c r="D98" s="2" t="s">
        <v>15</v>
      </c>
      <c r="E98" s="2" t="s">
        <v>27</v>
      </c>
      <c r="F98" s="2" t="s">
        <v>28</v>
      </c>
      <c r="G98" s="2" t="s">
        <v>18</v>
      </c>
      <c r="H98" s="2" t="s">
        <v>19</v>
      </c>
      <c r="I98" s="3">
        <v>44636</v>
      </c>
      <c r="J98" s="3">
        <v>45334</v>
      </c>
      <c r="K98" s="3">
        <v>47160</v>
      </c>
      <c r="M98" s="2" t="s">
        <v>1550</v>
      </c>
    </row>
    <row r="99" spans="1:13" x14ac:dyDescent="0.35">
      <c r="A99" s="2" t="s">
        <v>1769</v>
      </c>
      <c r="B99" s="2" t="s">
        <v>146</v>
      </c>
      <c r="C99" s="2" t="s">
        <v>4166</v>
      </c>
      <c r="D99" s="2" t="s">
        <v>15</v>
      </c>
      <c r="E99" s="2" t="s">
        <v>311</v>
      </c>
      <c r="F99" s="2" t="s">
        <v>149</v>
      </c>
      <c r="G99" s="2" t="s">
        <v>18</v>
      </c>
      <c r="H99" s="2" t="s">
        <v>19</v>
      </c>
      <c r="I99" s="3">
        <v>42368</v>
      </c>
      <c r="J99" s="3">
        <v>44762</v>
      </c>
      <c r="K99" s="3">
        <v>46587</v>
      </c>
      <c r="M99" s="2" t="s">
        <v>347</v>
      </c>
    </row>
    <row r="100" spans="1:13" x14ac:dyDescent="0.35">
      <c r="A100" s="2" t="s">
        <v>1568</v>
      </c>
      <c r="C100" s="2" t="s">
        <v>4126</v>
      </c>
      <c r="D100" s="2" t="s">
        <v>15</v>
      </c>
      <c r="E100" s="2" t="s">
        <v>1331</v>
      </c>
      <c r="G100" s="2" t="s">
        <v>18</v>
      </c>
      <c r="H100" s="2" t="s">
        <v>185</v>
      </c>
      <c r="I100" s="3">
        <v>45688</v>
      </c>
      <c r="J100" s="3">
        <v>45737</v>
      </c>
      <c r="K100" s="3">
        <v>46101</v>
      </c>
      <c r="M100" s="2" t="s">
        <v>1570</v>
      </c>
    </row>
    <row r="101" spans="1:13" x14ac:dyDescent="0.35">
      <c r="A101" s="2" t="s">
        <v>1709</v>
      </c>
      <c r="C101" s="2" t="s">
        <v>4153</v>
      </c>
      <c r="D101" s="2" t="s">
        <v>15</v>
      </c>
      <c r="E101" s="2" t="s">
        <v>1331</v>
      </c>
      <c r="F101" s="2" t="s">
        <v>395</v>
      </c>
      <c r="G101" s="2" t="s">
        <v>18</v>
      </c>
      <c r="H101" s="2" t="s">
        <v>1627</v>
      </c>
      <c r="I101" s="5">
        <v>46122.7331597222</v>
      </c>
      <c r="J101" s="3">
        <v>45908</v>
      </c>
      <c r="K101" s="3">
        <v>46272</v>
      </c>
      <c r="M101" s="2" t="s">
        <v>1711</v>
      </c>
    </row>
    <row r="102" spans="1:13" x14ac:dyDescent="0.35">
      <c r="A102" s="2" t="s">
        <v>1731</v>
      </c>
      <c r="C102" s="2" t="s">
        <v>4153</v>
      </c>
      <c r="D102" s="2" t="s">
        <v>15</v>
      </c>
      <c r="E102" s="2" t="s">
        <v>1331</v>
      </c>
      <c r="F102" s="2" t="s">
        <v>395</v>
      </c>
      <c r="G102" s="2" t="s">
        <v>18</v>
      </c>
      <c r="H102" s="2" t="s">
        <v>1627</v>
      </c>
      <c r="I102" s="5">
        <v>46128.616770833301</v>
      </c>
      <c r="J102" s="3">
        <v>46132</v>
      </c>
      <c r="K102" s="3">
        <v>46496</v>
      </c>
      <c r="M102" s="2" t="s">
        <v>1732</v>
      </c>
    </row>
    <row r="103" spans="1:13" x14ac:dyDescent="0.35">
      <c r="A103" s="2" t="s">
        <v>1659</v>
      </c>
      <c r="C103" s="2" t="s">
        <v>4141</v>
      </c>
      <c r="D103" s="2" t="s">
        <v>15</v>
      </c>
      <c r="E103" s="2" t="s">
        <v>1331</v>
      </c>
      <c r="F103" s="2" t="s">
        <v>395</v>
      </c>
      <c r="G103" s="2" t="s">
        <v>18</v>
      </c>
      <c r="H103" s="2" t="s">
        <v>190</v>
      </c>
      <c r="I103" s="5">
        <v>46069.381053240701</v>
      </c>
      <c r="J103" s="3">
        <v>45929</v>
      </c>
      <c r="K103" s="3">
        <v>46293</v>
      </c>
      <c r="M103" s="2" t="s">
        <v>1661</v>
      </c>
    </row>
    <row r="104" spans="1:13" x14ac:dyDescent="0.35">
      <c r="A104" s="2" t="s">
        <v>1571</v>
      </c>
      <c r="C104" s="2" t="s">
        <v>4127</v>
      </c>
      <c r="D104" s="2" t="s">
        <v>15</v>
      </c>
      <c r="E104" s="2" t="s">
        <v>1331</v>
      </c>
      <c r="F104" s="2" t="s">
        <v>395</v>
      </c>
      <c r="G104" s="2" t="s">
        <v>18</v>
      </c>
      <c r="H104" s="2" t="s">
        <v>19</v>
      </c>
      <c r="I104" s="5">
        <v>45859.711261574099</v>
      </c>
      <c r="J104" s="3">
        <v>45957</v>
      </c>
      <c r="K104" s="3">
        <v>46321</v>
      </c>
      <c r="M104" s="2" t="s">
        <v>1573</v>
      </c>
    </row>
    <row r="105" spans="1:13" x14ac:dyDescent="0.35">
      <c r="A105" s="2" t="s">
        <v>1328</v>
      </c>
      <c r="B105" s="2" t="s">
        <v>1329</v>
      </c>
      <c r="C105" s="2" t="s">
        <v>4074</v>
      </c>
      <c r="D105" s="2" t="s">
        <v>15</v>
      </c>
      <c r="E105" s="2" t="s">
        <v>1331</v>
      </c>
      <c r="F105" s="2" t="s">
        <v>395</v>
      </c>
      <c r="G105" s="2" t="s">
        <v>18</v>
      </c>
      <c r="H105" s="2" t="s">
        <v>185</v>
      </c>
      <c r="I105" s="3">
        <v>45183</v>
      </c>
      <c r="J105" s="3">
        <v>45336</v>
      </c>
      <c r="K105" s="3">
        <v>45701</v>
      </c>
      <c r="M105" s="2" t="s">
        <v>1332</v>
      </c>
    </row>
    <row r="106" spans="1:13" x14ac:dyDescent="0.35">
      <c r="A106" s="2" t="s">
        <v>1562</v>
      </c>
      <c r="C106" s="2" t="s">
        <v>1563</v>
      </c>
      <c r="D106" s="2" t="s">
        <v>15</v>
      </c>
      <c r="E106" s="2" t="s">
        <v>1331</v>
      </c>
      <c r="G106" s="2" t="s">
        <v>18</v>
      </c>
      <c r="H106" s="2" t="s">
        <v>185</v>
      </c>
      <c r="I106" s="3">
        <v>45800</v>
      </c>
      <c r="J106" s="3">
        <v>45803</v>
      </c>
      <c r="K106" s="3">
        <v>46167</v>
      </c>
      <c r="M106" s="2" t="s">
        <v>1564</v>
      </c>
    </row>
    <row r="107" spans="1:13" x14ac:dyDescent="0.35">
      <c r="A107" s="2" t="s">
        <v>13</v>
      </c>
      <c r="C107" s="2" t="s">
        <v>14</v>
      </c>
      <c r="D107" s="2" t="s">
        <v>15</v>
      </c>
      <c r="E107" s="2" t="s">
        <v>16</v>
      </c>
      <c r="F107" s="2" t="s">
        <v>17</v>
      </c>
      <c r="G107" s="2" t="s">
        <v>18</v>
      </c>
      <c r="H107" s="2" t="s">
        <v>19</v>
      </c>
      <c r="I107" s="3">
        <v>21177</v>
      </c>
      <c r="J107" s="3">
        <v>21551</v>
      </c>
      <c r="K107" s="3">
        <v>48945</v>
      </c>
      <c r="M107" s="2" t="s">
        <v>20</v>
      </c>
    </row>
    <row r="108" spans="1:13" x14ac:dyDescent="0.35">
      <c r="A108" s="2" t="s">
        <v>434</v>
      </c>
      <c r="B108" s="2" t="s">
        <v>328</v>
      </c>
      <c r="C108" s="2" t="s">
        <v>3877</v>
      </c>
      <c r="D108" s="2" t="s">
        <v>15</v>
      </c>
      <c r="E108" s="2" t="s">
        <v>311</v>
      </c>
      <c r="F108" s="2" t="s">
        <v>149</v>
      </c>
      <c r="G108" s="2" t="s">
        <v>41</v>
      </c>
      <c r="H108" s="2" t="s">
        <v>19</v>
      </c>
      <c r="I108" s="3">
        <v>43151</v>
      </c>
      <c r="J108" s="3">
        <v>43210</v>
      </c>
      <c r="K108" s="3">
        <v>45035</v>
      </c>
      <c r="M108" s="2" t="s">
        <v>436</v>
      </c>
    </row>
    <row r="109" spans="1:13" x14ac:dyDescent="0.35">
      <c r="A109" s="2" t="s">
        <v>437</v>
      </c>
      <c r="B109" s="2" t="s">
        <v>393</v>
      </c>
      <c r="C109" s="2" t="s">
        <v>3877</v>
      </c>
      <c r="D109" s="2" t="s">
        <v>15</v>
      </c>
      <c r="E109" s="2" t="s">
        <v>311</v>
      </c>
      <c r="F109" s="2" t="s">
        <v>395</v>
      </c>
      <c r="G109" s="2" t="s">
        <v>41</v>
      </c>
      <c r="H109" s="2" t="s">
        <v>19</v>
      </c>
      <c r="I109" s="3">
        <v>43151</v>
      </c>
      <c r="J109" s="3">
        <v>43210</v>
      </c>
      <c r="K109" s="3">
        <v>45035</v>
      </c>
      <c r="M109" s="2" t="s">
        <v>438</v>
      </c>
    </row>
    <row r="110" spans="1:13" x14ac:dyDescent="0.35">
      <c r="A110" s="2" t="s">
        <v>46</v>
      </c>
      <c r="C110" s="2" t="s">
        <v>3828</v>
      </c>
      <c r="D110" s="2" t="s">
        <v>15</v>
      </c>
      <c r="E110" s="2" t="s">
        <v>27</v>
      </c>
      <c r="F110" s="2" t="s">
        <v>28</v>
      </c>
      <c r="G110" s="2" t="s">
        <v>18</v>
      </c>
      <c r="H110" s="2" t="s">
        <v>19</v>
      </c>
      <c r="I110" s="3">
        <v>30365</v>
      </c>
      <c r="J110" s="3">
        <v>30466</v>
      </c>
      <c r="K110" s="3">
        <v>46285</v>
      </c>
      <c r="M110" s="2" t="s">
        <v>48</v>
      </c>
    </row>
    <row r="111" spans="1:13" x14ac:dyDescent="0.35">
      <c r="A111" s="2" t="s">
        <v>62</v>
      </c>
      <c r="B111" s="2" t="s">
        <v>58</v>
      </c>
      <c r="C111" s="2" t="s">
        <v>3828</v>
      </c>
      <c r="D111" s="2" t="s">
        <v>15</v>
      </c>
      <c r="E111" s="2" t="s">
        <v>27</v>
      </c>
      <c r="F111" s="2" t="s">
        <v>60</v>
      </c>
      <c r="G111" s="2" t="s">
        <v>18</v>
      </c>
      <c r="H111" s="2" t="s">
        <v>19</v>
      </c>
      <c r="I111" s="3">
        <v>35192</v>
      </c>
      <c r="J111" s="3">
        <v>35384</v>
      </c>
      <c r="K111" s="3">
        <v>46121</v>
      </c>
      <c r="M111" s="2" t="s">
        <v>63</v>
      </c>
    </row>
    <row r="112" spans="1:13" x14ac:dyDescent="0.35">
      <c r="A112" s="2" t="s">
        <v>125</v>
      </c>
      <c r="B112" s="2" t="s">
        <v>126</v>
      </c>
      <c r="C112" s="2" t="s">
        <v>3828</v>
      </c>
      <c r="D112" s="2" t="s">
        <v>15</v>
      </c>
      <c r="E112" s="2" t="s">
        <v>27</v>
      </c>
      <c r="F112" s="2" t="s">
        <v>28</v>
      </c>
      <c r="G112" s="2" t="s">
        <v>18</v>
      </c>
      <c r="H112" s="2" t="s">
        <v>19</v>
      </c>
      <c r="I112" s="3">
        <v>39384</v>
      </c>
      <c r="J112" s="3">
        <v>39629</v>
      </c>
      <c r="K112" s="3">
        <v>46128</v>
      </c>
      <c r="M112" s="2" t="s">
        <v>127</v>
      </c>
    </row>
    <row r="113" spans="1:13" x14ac:dyDescent="0.35">
      <c r="A113" s="2" t="s">
        <v>131</v>
      </c>
      <c r="B113" s="2" t="s">
        <v>132</v>
      </c>
      <c r="C113" s="2" t="s">
        <v>3828</v>
      </c>
      <c r="D113" s="2" t="s">
        <v>15</v>
      </c>
      <c r="E113" s="2" t="s">
        <v>27</v>
      </c>
      <c r="F113" s="2" t="s">
        <v>28</v>
      </c>
      <c r="G113" s="2" t="s">
        <v>18</v>
      </c>
      <c r="H113" s="2" t="s">
        <v>19</v>
      </c>
      <c r="I113" s="3">
        <v>39496</v>
      </c>
      <c r="J113" s="3">
        <v>40032</v>
      </c>
      <c r="K113" s="3">
        <v>46339</v>
      </c>
      <c r="M113" s="2" t="s">
        <v>133</v>
      </c>
    </row>
    <row r="114" spans="1:13" x14ac:dyDescent="0.35">
      <c r="A114" s="2" t="s">
        <v>134</v>
      </c>
      <c r="B114" s="2" t="s">
        <v>58</v>
      </c>
      <c r="C114" s="2" t="s">
        <v>3828</v>
      </c>
      <c r="D114" s="2" t="s">
        <v>15</v>
      </c>
      <c r="E114" s="2" t="s">
        <v>27</v>
      </c>
      <c r="F114" s="2" t="s">
        <v>60</v>
      </c>
      <c r="G114" s="2" t="s">
        <v>18</v>
      </c>
      <c r="H114" s="2" t="s">
        <v>19</v>
      </c>
      <c r="I114" s="3">
        <v>39694</v>
      </c>
      <c r="J114" s="3">
        <v>40032</v>
      </c>
      <c r="K114" s="3">
        <v>46119</v>
      </c>
      <c r="M114" s="2" t="s">
        <v>135</v>
      </c>
    </row>
    <row r="115" spans="1:13" x14ac:dyDescent="0.35">
      <c r="A115" s="2" t="s">
        <v>252</v>
      </c>
      <c r="B115" s="2" t="s">
        <v>253</v>
      </c>
      <c r="C115" s="2" t="s">
        <v>3828</v>
      </c>
      <c r="D115" s="2" t="s">
        <v>15</v>
      </c>
      <c r="E115" s="2" t="s">
        <v>27</v>
      </c>
      <c r="F115" s="2" t="s">
        <v>28</v>
      </c>
      <c r="G115" s="2" t="s">
        <v>18</v>
      </c>
      <c r="H115" s="2" t="s">
        <v>19</v>
      </c>
      <c r="I115" s="3">
        <v>41729</v>
      </c>
      <c r="J115" s="3">
        <v>42688</v>
      </c>
      <c r="K115" s="3">
        <v>46339</v>
      </c>
      <c r="M115" s="2" t="s">
        <v>254</v>
      </c>
    </row>
    <row r="116" spans="1:13" x14ac:dyDescent="0.35">
      <c r="A116" s="2" t="s">
        <v>442</v>
      </c>
      <c r="C116" s="2" t="s">
        <v>3828</v>
      </c>
      <c r="D116" s="2" t="s">
        <v>15</v>
      </c>
      <c r="E116" s="2" t="s">
        <v>27</v>
      </c>
      <c r="F116" s="2" t="s">
        <v>28</v>
      </c>
      <c r="G116" s="2" t="s">
        <v>18</v>
      </c>
      <c r="H116" s="2" t="s">
        <v>19</v>
      </c>
      <c r="I116" s="3">
        <v>43178</v>
      </c>
      <c r="J116" s="3">
        <v>43493</v>
      </c>
      <c r="K116" s="3">
        <v>46779</v>
      </c>
      <c r="M116" s="2" t="s">
        <v>443</v>
      </c>
    </row>
    <row r="117" spans="1:13" x14ac:dyDescent="0.35">
      <c r="A117" s="2" t="s">
        <v>463</v>
      </c>
      <c r="B117" s="2" t="s">
        <v>464</v>
      </c>
      <c r="C117" s="2" t="s">
        <v>3828</v>
      </c>
      <c r="D117" s="2" t="s">
        <v>15</v>
      </c>
      <c r="E117" s="2" t="s">
        <v>27</v>
      </c>
      <c r="F117" s="2" t="s">
        <v>28</v>
      </c>
      <c r="G117" s="2" t="s">
        <v>18</v>
      </c>
      <c r="H117" s="2" t="s">
        <v>88</v>
      </c>
      <c r="I117" s="3">
        <v>43291</v>
      </c>
      <c r="J117" s="3">
        <v>43510</v>
      </c>
      <c r="K117" s="3">
        <v>47162</v>
      </c>
      <c r="M117" s="2" t="s">
        <v>465</v>
      </c>
    </row>
    <row r="118" spans="1:13" x14ac:dyDescent="0.35">
      <c r="A118" s="2" t="s">
        <v>1264</v>
      </c>
      <c r="C118" s="2" t="s">
        <v>3828</v>
      </c>
      <c r="D118" s="2" t="s">
        <v>15</v>
      </c>
      <c r="E118" s="2" t="s">
        <v>27</v>
      </c>
      <c r="F118" s="2" t="s">
        <v>28</v>
      </c>
      <c r="G118" s="2" t="s">
        <v>18</v>
      </c>
      <c r="H118" s="2" t="s">
        <v>19</v>
      </c>
      <c r="I118" s="3">
        <v>39629</v>
      </c>
      <c r="J118" s="3">
        <v>43280</v>
      </c>
      <c r="K118" s="3">
        <v>46931</v>
      </c>
      <c r="M118" s="2" t="s">
        <v>1265</v>
      </c>
    </row>
    <row r="119" spans="1:13" x14ac:dyDescent="0.35">
      <c r="A119" s="2" t="s">
        <v>53</v>
      </c>
      <c r="B119" s="2" t="s">
        <v>25</v>
      </c>
      <c r="C119" s="2" t="s">
        <v>3830</v>
      </c>
      <c r="D119" s="2" t="s">
        <v>15</v>
      </c>
      <c r="E119" s="2" t="s">
        <v>27</v>
      </c>
      <c r="F119" s="2" t="s">
        <v>28</v>
      </c>
      <c r="G119" s="2" t="s">
        <v>55</v>
      </c>
      <c r="H119" s="2" t="s">
        <v>19</v>
      </c>
      <c r="I119" s="3">
        <v>34432</v>
      </c>
      <c r="J119" s="3">
        <v>34990</v>
      </c>
      <c r="K119" s="3">
        <v>45670</v>
      </c>
      <c r="M119" s="2" t="s">
        <v>56</v>
      </c>
    </row>
    <row r="120" spans="1:13" x14ac:dyDescent="0.35">
      <c r="A120" s="2" t="s">
        <v>661</v>
      </c>
      <c r="B120" s="2" t="s">
        <v>662</v>
      </c>
      <c r="C120" s="2" t="s">
        <v>3830</v>
      </c>
      <c r="D120" s="2" t="s">
        <v>15</v>
      </c>
      <c r="E120" s="2" t="s">
        <v>27</v>
      </c>
      <c r="F120" s="2" t="s">
        <v>663</v>
      </c>
      <c r="G120" s="2" t="s">
        <v>18</v>
      </c>
      <c r="H120" s="2" t="s">
        <v>177</v>
      </c>
      <c r="I120" s="3">
        <v>43754</v>
      </c>
      <c r="J120" s="3">
        <v>44114</v>
      </c>
      <c r="K120" s="3">
        <v>45939</v>
      </c>
      <c r="M120" s="2" t="s">
        <v>664</v>
      </c>
    </row>
    <row r="121" spans="1:13" x14ac:dyDescent="0.35">
      <c r="A121" s="2" t="s">
        <v>1640</v>
      </c>
      <c r="C121" s="2" t="s">
        <v>4138</v>
      </c>
      <c r="D121" s="2" t="s">
        <v>15</v>
      </c>
      <c r="E121" s="2" t="s">
        <v>573</v>
      </c>
      <c r="F121" s="2" t="s">
        <v>395</v>
      </c>
      <c r="G121" s="2" t="s">
        <v>18</v>
      </c>
      <c r="H121" s="2" t="s">
        <v>19</v>
      </c>
      <c r="I121" s="5">
        <v>45821.470891203702</v>
      </c>
      <c r="J121" s="3">
        <v>45957</v>
      </c>
      <c r="K121" s="3">
        <v>46321</v>
      </c>
      <c r="M121" s="2" t="s">
        <v>1642</v>
      </c>
    </row>
    <row r="122" spans="1:13" x14ac:dyDescent="0.35">
      <c r="A122" s="2" t="s">
        <v>857</v>
      </c>
      <c r="C122" s="2" t="s">
        <v>3981</v>
      </c>
      <c r="D122" s="2" t="s">
        <v>15</v>
      </c>
      <c r="E122" s="2" t="s">
        <v>311</v>
      </c>
      <c r="F122" s="2" t="s">
        <v>149</v>
      </c>
      <c r="G122" s="2" t="s">
        <v>18</v>
      </c>
      <c r="H122" s="2" t="s">
        <v>19</v>
      </c>
      <c r="I122" s="3">
        <v>44814</v>
      </c>
      <c r="J122" s="3">
        <v>44873</v>
      </c>
      <c r="K122" s="3">
        <v>46698</v>
      </c>
    </row>
    <row r="123" spans="1:13" x14ac:dyDescent="0.35">
      <c r="A123" s="2" t="s">
        <v>1004</v>
      </c>
      <c r="B123" s="2" t="s">
        <v>1005</v>
      </c>
      <c r="C123" s="2" t="s">
        <v>4010</v>
      </c>
      <c r="D123" s="2" t="s">
        <v>15</v>
      </c>
      <c r="E123" s="2" t="s">
        <v>154</v>
      </c>
      <c r="F123" s="2" t="s">
        <v>93</v>
      </c>
      <c r="G123" s="2" t="s">
        <v>18</v>
      </c>
      <c r="H123" s="2" t="s">
        <v>88</v>
      </c>
      <c r="I123" s="3">
        <v>44999</v>
      </c>
      <c r="J123" s="3">
        <v>45070</v>
      </c>
      <c r="K123" s="3">
        <v>46165</v>
      </c>
      <c r="M123" s="2" t="s">
        <v>1007</v>
      </c>
    </row>
    <row r="124" spans="1:13" x14ac:dyDescent="0.35">
      <c r="A124" s="2" t="s">
        <v>187</v>
      </c>
      <c r="B124" s="2" t="s">
        <v>188</v>
      </c>
      <c r="C124" s="2" t="s">
        <v>3840</v>
      </c>
      <c r="D124" s="2" t="s">
        <v>15</v>
      </c>
      <c r="E124" s="2" t="s">
        <v>27</v>
      </c>
      <c r="F124" s="2" t="s">
        <v>60</v>
      </c>
      <c r="G124" s="2" t="s">
        <v>41</v>
      </c>
      <c r="H124" s="2" t="s">
        <v>190</v>
      </c>
      <c r="I124" s="3">
        <v>41085</v>
      </c>
      <c r="J124" s="3">
        <v>43139</v>
      </c>
      <c r="K124" s="3">
        <v>44964</v>
      </c>
      <c r="M124" s="2" t="s">
        <v>191</v>
      </c>
    </row>
    <row r="125" spans="1:13" x14ac:dyDescent="0.35">
      <c r="A125" s="2" t="s">
        <v>1759</v>
      </c>
      <c r="B125" s="2" t="s">
        <v>1760</v>
      </c>
      <c r="C125" s="2" t="s">
        <v>1761</v>
      </c>
      <c r="D125" s="2" t="s">
        <v>15</v>
      </c>
      <c r="E125" s="2" t="s">
        <v>154</v>
      </c>
      <c r="F125" s="2" t="s">
        <v>93</v>
      </c>
      <c r="G125" s="2" t="s">
        <v>18</v>
      </c>
      <c r="H125" s="2" t="s">
        <v>88</v>
      </c>
      <c r="I125" s="3">
        <v>41270</v>
      </c>
      <c r="J125" s="3">
        <v>41516</v>
      </c>
      <c r="K125" s="3">
        <v>45479</v>
      </c>
      <c r="L125" s="3">
        <v>42977</v>
      </c>
      <c r="M125" s="2" t="s">
        <v>370</v>
      </c>
    </row>
    <row r="126" spans="1:13" x14ac:dyDescent="0.35">
      <c r="A126" s="2" t="s">
        <v>282</v>
      </c>
      <c r="B126" s="2" t="s">
        <v>283</v>
      </c>
      <c r="C126" s="2" t="s">
        <v>284</v>
      </c>
      <c r="D126" s="2" t="s">
        <v>15</v>
      </c>
      <c r="E126" s="2" t="s">
        <v>27</v>
      </c>
      <c r="F126" s="2" t="s">
        <v>28</v>
      </c>
      <c r="G126" s="2" t="s">
        <v>18</v>
      </c>
      <c r="H126" s="2" t="s">
        <v>88</v>
      </c>
      <c r="I126" s="3">
        <v>42048</v>
      </c>
      <c r="J126" s="3">
        <v>42479</v>
      </c>
      <c r="K126" s="3">
        <v>46130</v>
      </c>
      <c r="L126" s="3">
        <v>44305</v>
      </c>
      <c r="M126" s="2" t="s">
        <v>285</v>
      </c>
    </row>
    <row r="127" spans="1:13" x14ac:dyDescent="0.35">
      <c r="A127" s="2" t="s">
        <v>1147</v>
      </c>
      <c r="C127" s="2" t="s">
        <v>4043</v>
      </c>
      <c r="D127" s="2" t="s">
        <v>15</v>
      </c>
      <c r="E127" s="2" t="s">
        <v>311</v>
      </c>
      <c r="F127" s="2" t="s">
        <v>149</v>
      </c>
      <c r="G127" s="2" t="s">
        <v>18</v>
      </c>
      <c r="H127" s="2" t="s">
        <v>19</v>
      </c>
      <c r="I127" s="3">
        <v>45124</v>
      </c>
      <c r="J127" s="3">
        <v>45169</v>
      </c>
      <c r="K127" s="3">
        <v>46995</v>
      </c>
    </row>
    <row r="128" spans="1:13" x14ac:dyDescent="0.35">
      <c r="A128" s="2" t="s">
        <v>1673</v>
      </c>
      <c r="C128" s="2" t="s">
        <v>4145</v>
      </c>
      <c r="D128" s="2" t="s">
        <v>15</v>
      </c>
      <c r="E128" s="2" t="s">
        <v>573</v>
      </c>
      <c r="F128" s="2" t="s">
        <v>395</v>
      </c>
      <c r="G128" s="2" t="s">
        <v>18</v>
      </c>
      <c r="H128" s="2" t="s">
        <v>19</v>
      </c>
      <c r="I128" s="5">
        <v>45971.6219444444</v>
      </c>
      <c r="J128" s="3">
        <v>45987</v>
      </c>
      <c r="K128" s="3">
        <v>46351</v>
      </c>
      <c r="M128" s="2" t="s">
        <v>1675</v>
      </c>
    </row>
    <row r="129" spans="1:13" x14ac:dyDescent="0.35">
      <c r="A129" s="2" t="s">
        <v>1215</v>
      </c>
      <c r="B129" s="2" t="s">
        <v>1216</v>
      </c>
      <c r="C129" s="2" t="s">
        <v>4054</v>
      </c>
      <c r="D129" s="2" t="s">
        <v>15</v>
      </c>
      <c r="E129" s="2" t="s">
        <v>573</v>
      </c>
      <c r="F129" s="2" t="s">
        <v>1218</v>
      </c>
      <c r="G129" s="2" t="s">
        <v>18</v>
      </c>
      <c r="H129" s="2" t="s">
        <v>19</v>
      </c>
      <c r="I129" s="3">
        <v>45132</v>
      </c>
      <c r="J129" s="3">
        <v>45271</v>
      </c>
      <c r="K129" s="3">
        <v>45636</v>
      </c>
      <c r="M129" s="2" t="s">
        <v>1219</v>
      </c>
    </row>
    <row r="130" spans="1:13" x14ac:dyDescent="0.35">
      <c r="A130" s="2" t="s">
        <v>570</v>
      </c>
      <c r="B130" s="2" t="s">
        <v>571</v>
      </c>
      <c r="C130" s="2" t="s">
        <v>3905</v>
      </c>
      <c r="D130" s="2" t="s">
        <v>15</v>
      </c>
      <c r="E130" s="2" t="s">
        <v>573</v>
      </c>
      <c r="F130" s="2" t="s">
        <v>395</v>
      </c>
      <c r="G130" s="2" t="s">
        <v>574</v>
      </c>
      <c r="H130" s="2" t="s">
        <v>101</v>
      </c>
      <c r="I130" s="3">
        <v>44225</v>
      </c>
      <c r="J130" s="3">
        <v>44256</v>
      </c>
      <c r="K130" s="3">
        <v>44441</v>
      </c>
      <c r="M130" s="2" t="s">
        <v>575</v>
      </c>
    </row>
    <row r="131" spans="1:13" x14ac:dyDescent="0.35">
      <c r="A131" s="2" t="s">
        <v>1728</v>
      </c>
      <c r="C131" s="2" t="s">
        <v>4159</v>
      </c>
      <c r="D131" s="2" t="s">
        <v>15</v>
      </c>
      <c r="E131" s="2" t="s">
        <v>1609</v>
      </c>
      <c r="F131" s="2" t="s">
        <v>82</v>
      </c>
      <c r="G131" s="2" t="s">
        <v>18</v>
      </c>
      <c r="H131" s="2" t="s">
        <v>177</v>
      </c>
      <c r="I131" s="3">
        <v>45418</v>
      </c>
      <c r="J131" s="3">
        <v>46076</v>
      </c>
      <c r="K131" s="3">
        <v>46256</v>
      </c>
      <c r="M131" s="2" t="s">
        <v>1730</v>
      </c>
    </row>
    <row r="132" spans="1:13" x14ac:dyDescent="0.35">
      <c r="A132" s="2" t="s">
        <v>120</v>
      </c>
      <c r="B132" s="2" t="s">
        <v>121</v>
      </c>
      <c r="C132" s="2" t="s">
        <v>122</v>
      </c>
      <c r="D132" s="2" t="s">
        <v>15</v>
      </c>
      <c r="E132" s="2" t="s">
        <v>16</v>
      </c>
      <c r="F132" s="2" t="s">
        <v>123</v>
      </c>
      <c r="G132" s="2" t="s">
        <v>18</v>
      </c>
      <c r="H132" s="2" t="s">
        <v>19</v>
      </c>
      <c r="I132" s="3">
        <v>39310</v>
      </c>
      <c r="J132" s="3">
        <v>39794</v>
      </c>
      <c r="K132" s="3">
        <v>48924</v>
      </c>
      <c r="M132" s="2" t="s">
        <v>124</v>
      </c>
    </row>
    <row r="133" spans="1:13" x14ac:dyDescent="0.35">
      <c r="A133" s="2" t="s">
        <v>1506</v>
      </c>
      <c r="B133" s="2" t="s">
        <v>1507</v>
      </c>
      <c r="C133" s="2" t="s">
        <v>4111</v>
      </c>
      <c r="D133" s="2" t="s">
        <v>15</v>
      </c>
      <c r="E133" s="2" t="s">
        <v>139</v>
      </c>
      <c r="F133" s="2" t="s">
        <v>175</v>
      </c>
      <c r="G133" s="2" t="s">
        <v>18</v>
      </c>
      <c r="H133" s="2" t="s">
        <v>177</v>
      </c>
      <c r="I133" s="3">
        <v>45307</v>
      </c>
      <c r="J133" s="3">
        <v>45365</v>
      </c>
      <c r="K133" s="3">
        <v>46825</v>
      </c>
      <c r="M133" s="2" t="s">
        <v>1509</v>
      </c>
    </row>
    <row r="134" spans="1:13" x14ac:dyDescent="0.35">
      <c r="A134" s="2" t="s">
        <v>1601</v>
      </c>
      <c r="B134" s="2" t="s">
        <v>1602</v>
      </c>
      <c r="C134" s="2" t="s">
        <v>4133</v>
      </c>
      <c r="D134" s="2" t="s">
        <v>15</v>
      </c>
      <c r="E134" s="2" t="s">
        <v>573</v>
      </c>
      <c r="F134" s="2" t="s">
        <v>395</v>
      </c>
      <c r="G134" s="2" t="s">
        <v>18</v>
      </c>
      <c r="H134" s="2" t="s">
        <v>853</v>
      </c>
      <c r="I134" s="5">
        <v>45960.42</v>
      </c>
      <c r="J134" s="3">
        <v>45985</v>
      </c>
      <c r="K134" s="3">
        <v>46349</v>
      </c>
      <c r="M134" s="2" t="s">
        <v>1604</v>
      </c>
    </row>
    <row r="135" spans="1:13" x14ac:dyDescent="0.35">
      <c r="A135" s="2" t="s">
        <v>1676</v>
      </c>
      <c r="C135" s="2" t="s">
        <v>4146</v>
      </c>
      <c r="D135" s="2" t="s">
        <v>15</v>
      </c>
      <c r="E135" s="2" t="s">
        <v>573</v>
      </c>
      <c r="F135" s="2" t="s">
        <v>395</v>
      </c>
      <c r="G135" s="2" t="s">
        <v>18</v>
      </c>
      <c r="H135" s="2" t="s">
        <v>299</v>
      </c>
      <c r="I135" s="5">
        <v>45999.676689814798</v>
      </c>
      <c r="J135" s="3">
        <v>46014</v>
      </c>
      <c r="K135" s="3">
        <v>46378</v>
      </c>
      <c r="M135" s="2" t="s">
        <v>1678</v>
      </c>
    </row>
    <row r="136" spans="1:13" x14ac:dyDescent="0.35">
      <c r="A136" s="2" t="s">
        <v>1342</v>
      </c>
      <c r="B136" s="2" t="s">
        <v>1293</v>
      </c>
      <c r="C136" s="2" t="s">
        <v>4077</v>
      </c>
      <c r="D136" s="2" t="s">
        <v>15</v>
      </c>
      <c r="E136" s="2" t="s">
        <v>27</v>
      </c>
      <c r="F136" s="2" t="s">
        <v>118</v>
      </c>
      <c r="G136" s="2" t="s">
        <v>18</v>
      </c>
      <c r="H136" s="2" t="s">
        <v>19</v>
      </c>
      <c r="I136" s="3">
        <v>45233</v>
      </c>
      <c r="J136" s="3">
        <v>45294</v>
      </c>
      <c r="K136" s="3">
        <v>47120</v>
      </c>
      <c r="M136" s="2" t="s">
        <v>1344</v>
      </c>
    </row>
    <row r="137" spans="1:13" x14ac:dyDescent="0.35">
      <c r="A137" s="2" t="s">
        <v>1712</v>
      </c>
      <c r="C137" s="2" t="s">
        <v>4154</v>
      </c>
      <c r="D137" s="2" t="s">
        <v>15</v>
      </c>
      <c r="E137" s="2" t="s">
        <v>573</v>
      </c>
      <c r="F137" s="2" t="s">
        <v>1218</v>
      </c>
      <c r="G137" s="2" t="s">
        <v>18</v>
      </c>
      <c r="H137" s="2" t="s">
        <v>19</v>
      </c>
      <c r="I137" s="3">
        <v>45828</v>
      </c>
      <c r="J137" s="3">
        <v>45845</v>
      </c>
      <c r="K137" s="3">
        <v>46209</v>
      </c>
      <c r="M137" s="2" t="s">
        <v>1714</v>
      </c>
    </row>
    <row r="138" spans="1:13" x14ac:dyDescent="0.35">
      <c r="A138" s="2" t="s">
        <v>1721</v>
      </c>
      <c r="B138" s="2" t="s">
        <v>1722</v>
      </c>
      <c r="C138" s="2" t="s">
        <v>4157</v>
      </c>
      <c r="D138" s="2" t="s">
        <v>15</v>
      </c>
      <c r="E138" s="2" t="s">
        <v>573</v>
      </c>
      <c r="F138" s="2" t="s">
        <v>395</v>
      </c>
      <c r="G138" s="2" t="s">
        <v>18</v>
      </c>
      <c r="H138" s="2" t="s">
        <v>19</v>
      </c>
      <c r="I138" s="5">
        <v>45875.416666666701</v>
      </c>
      <c r="J138" s="3">
        <v>46013</v>
      </c>
      <c r="K138" s="3">
        <v>46377</v>
      </c>
      <c r="M138" s="2" t="s">
        <v>1724</v>
      </c>
    </row>
    <row r="139" spans="1:13" x14ac:dyDescent="0.35">
      <c r="A139" s="2" t="s">
        <v>1271</v>
      </c>
      <c r="B139" s="2" t="s">
        <v>1272</v>
      </c>
      <c r="C139" s="2" t="s">
        <v>4064</v>
      </c>
      <c r="D139" s="2" t="s">
        <v>15</v>
      </c>
      <c r="E139" s="2" t="s">
        <v>573</v>
      </c>
      <c r="F139" s="2" t="s">
        <v>395</v>
      </c>
      <c r="G139" s="2" t="s">
        <v>18</v>
      </c>
      <c r="H139" s="2" t="s">
        <v>19</v>
      </c>
      <c r="I139" s="3">
        <v>45287</v>
      </c>
      <c r="J139" s="3">
        <v>45317</v>
      </c>
      <c r="K139" s="3">
        <v>45682</v>
      </c>
      <c r="M139" s="2" t="s">
        <v>1274</v>
      </c>
    </row>
    <row r="140" spans="1:13" x14ac:dyDescent="0.35">
      <c r="A140" s="2" t="s">
        <v>770</v>
      </c>
      <c r="C140" s="2" t="s">
        <v>3956</v>
      </c>
      <c r="D140" s="2" t="s">
        <v>15</v>
      </c>
      <c r="E140" s="2" t="s">
        <v>311</v>
      </c>
      <c r="F140" s="2" t="s">
        <v>149</v>
      </c>
      <c r="G140" s="2" t="s">
        <v>18</v>
      </c>
      <c r="H140" s="2" t="s">
        <v>19</v>
      </c>
      <c r="I140" s="3">
        <v>44778</v>
      </c>
      <c r="J140" s="3">
        <v>44659</v>
      </c>
      <c r="K140" s="3">
        <v>46484</v>
      </c>
    </row>
    <row r="141" spans="1:13" x14ac:dyDescent="0.35">
      <c r="A141" s="2" t="s">
        <v>151</v>
      </c>
      <c r="B141" s="2" t="s">
        <v>152</v>
      </c>
      <c r="C141" s="2" t="s">
        <v>153</v>
      </c>
      <c r="D141" s="2" t="s">
        <v>15</v>
      </c>
      <c r="E141" s="2" t="s">
        <v>154</v>
      </c>
      <c r="F141" s="2" t="s">
        <v>93</v>
      </c>
      <c r="G141" s="2" t="s">
        <v>55</v>
      </c>
      <c r="H141" s="2" t="s">
        <v>88</v>
      </c>
      <c r="I141" s="3">
        <v>40311</v>
      </c>
      <c r="J141" s="3">
        <v>40388</v>
      </c>
      <c r="K141" s="3">
        <v>45353</v>
      </c>
      <c r="M141" s="2" t="s">
        <v>155</v>
      </c>
    </row>
    <row r="142" spans="1:13" x14ac:dyDescent="0.35">
      <c r="A142" s="2" t="s">
        <v>682</v>
      </c>
      <c r="B142" s="2" t="s">
        <v>566</v>
      </c>
      <c r="C142" s="2" t="s">
        <v>683</v>
      </c>
      <c r="D142" s="2" t="s">
        <v>15</v>
      </c>
      <c r="E142" s="2" t="s">
        <v>311</v>
      </c>
      <c r="F142" s="2" t="s">
        <v>149</v>
      </c>
      <c r="G142" s="2" t="s">
        <v>18</v>
      </c>
      <c r="H142" s="2" t="s">
        <v>19</v>
      </c>
      <c r="I142" s="3">
        <v>44404</v>
      </c>
      <c r="J142" s="3">
        <v>44642</v>
      </c>
      <c r="K142" s="3">
        <v>46467</v>
      </c>
    </row>
    <row r="143" spans="1:13" x14ac:dyDescent="0.35">
      <c r="A143" s="2" t="s">
        <v>1149</v>
      </c>
      <c r="C143" s="2" t="s">
        <v>4044</v>
      </c>
      <c r="D143" s="2" t="s">
        <v>15</v>
      </c>
      <c r="E143" s="2" t="s">
        <v>311</v>
      </c>
      <c r="F143" s="2" t="s">
        <v>149</v>
      </c>
      <c r="G143" s="2" t="s">
        <v>18</v>
      </c>
      <c r="H143" s="2" t="s">
        <v>19</v>
      </c>
      <c r="I143" s="3">
        <v>45097</v>
      </c>
      <c r="J143" s="3">
        <v>45145</v>
      </c>
      <c r="K143" s="3">
        <v>46971</v>
      </c>
    </row>
    <row r="144" spans="1:13" x14ac:dyDescent="0.35">
      <c r="A144" s="2" t="s">
        <v>1514</v>
      </c>
      <c r="C144" s="2" t="s">
        <v>4113</v>
      </c>
      <c r="D144" s="2" t="s">
        <v>15</v>
      </c>
      <c r="E144" s="2" t="s">
        <v>154</v>
      </c>
      <c r="F144" s="2" t="s">
        <v>93</v>
      </c>
      <c r="G144" s="2" t="s">
        <v>18</v>
      </c>
      <c r="H144" s="2" t="s">
        <v>177</v>
      </c>
      <c r="I144" s="3">
        <v>45338</v>
      </c>
      <c r="J144" s="3">
        <v>45373</v>
      </c>
      <c r="K144" s="3">
        <v>46467</v>
      </c>
      <c r="M144" s="2" t="s">
        <v>1516</v>
      </c>
    </row>
    <row r="145" spans="1:13" x14ac:dyDescent="0.35">
      <c r="A145" s="2" t="s">
        <v>882</v>
      </c>
      <c r="C145" s="2" t="s">
        <v>3985</v>
      </c>
      <c r="D145" s="2" t="s">
        <v>15</v>
      </c>
      <c r="E145" s="2" t="s">
        <v>311</v>
      </c>
      <c r="F145" s="2" t="s">
        <v>149</v>
      </c>
      <c r="G145" s="2" t="s">
        <v>18</v>
      </c>
      <c r="H145" s="2" t="s">
        <v>19</v>
      </c>
      <c r="I145" s="3">
        <v>44382</v>
      </c>
      <c r="J145" s="3">
        <v>44778</v>
      </c>
      <c r="K145" s="3">
        <v>46603</v>
      </c>
    </row>
    <row r="146" spans="1:13" x14ac:dyDescent="0.35">
      <c r="A146" s="2" t="s">
        <v>1046</v>
      </c>
      <c r="C146" s="2" t="s">
        <v>4019</v>
      </c>
      <c r="D146" s="2" t="s">
        <v>15</v>
      </c>
      <c r="E146" s="2" t="s">
        <v>148</v>
      </c>
      <c r="F146" s="2" t="s">
        <v>93</v>
      </c>
      <c r="G146" s="2" t="s">
        <v>18</v>
      </c>
      <c r="H146" s="2" t="s">
        <v>88</v>
      </c>
      <c r="I146" s="3">
        <v>45043</v>
      </c>
      <c r="J146" s="3">
        <v>45431</v>
      </c>
      <c r="K146" s="3">
        <v>47256</v>
      </c>
      <c r="M146" s="2" t="s">
        <v>1048</v>
      </c>
    </row>
    <row r="147" spans="1:13" x14ac:dyDescent="0.35">
      <c r="A147" s="2" t="s">
        <v>631</v>
      </c>
      <c r="C147" s="2" t="s">
        <v>3921</v>
      </c>
      <c r="D147" s="2" t="s">
        <v>15</v>
      </c>
      <c r="E147" s="2" t="s">
        <v>154</v>
      </c>
      <c r="F147" s="2" t="s">
        <v>93</v>
      </c>
      <c r="G147" s="2" t="s">
        <v>18</v>
      </c>
      <c r="H147" s="2" t="s">
        <v>88</v>
      </c>
      <c r="I147" s="3">
        <v>44033</v>
      </c>
      <c r="J147" s="3">
        <v>44623</v>
      </c>
      <c r="K147" s="3">
        <v>45718</v>
      </c>
      <c r="M147" s="2" t="s">
        <v>633</v>
      </c>
    </row>
    <row r="148" spans="1:13" x14ac:dyDescent="0.35">
      <c r="A148" s="2" t="s">
        <v>494</v>
      </c>
      <c r="B148" s="2" t="s">
        <v>393</v>
      </c>
      <c r="C148" s="2" t="s">
        <v>3890</v>
      </c>
      <c r="D148" s="2" t="s">
        <v>15</v>
      </c>
      <c r="E148" s="2" t="s">
        <v>311</v>
      </c>
      <c r="F148" s="2" t="s">
        <v>149</v>
      </c>
      <c r="G148" s="2" t="s">
        <v>18</v>
      </c>
      <c r="H148" s="2" t="s">
        <v>19</v>
      </c>
      <c r="I148" s="3">
        <v>43398</v>
      </c>
      <c r="J148" s="3">
        <v>43448</v>
      </c>
      <c r="K148" s="3">
        <v>46881</v>
      </c>
      <c r="L148" s="3">
        <v>45055</v>
      </c>
      <c r="M148" s="2" t="s">
        <v>496</v>
      </c>
    </row>
    <row r="149" spans="1:13" x14ac:dyDescent="0.35">
      <c r="A149" s="2" t="s">
        <v>1557</v>
      </c>
      <c r="C149" s="2" t="s">
        <v>4124</v>
      </c>
      <c r="D149" s="2" t="s">
        <v>15</v>
      </c>
      <c r="E149" s="2" t="s">
        <v>573</v>
      </c>
      <c r="F149" s="2" t="s">
        <v>395</v>
      </c>
      <c r="G149" s="2" t="s">
        <v>18</v>
      </c>
      <c r="H149" s="2" t="s">
        <v>19</v>
      </c>
      <c r="I149" s="5">
        <v>45835.575891203698</v>
      </c>
      <c r="J149" s="3">
        <v>45835</v>
      </c>
      <c r="K149" s="3">
        <v>46199</v>
      </c>
      <c r="M149" s="2" t="s">
        <v>1559</v>
      </c>
    </row>
    <row r="150" spans="1:13" x14ac:dyDescent="0.35">
      <c r="A150" s="2" t="s">
        <v>576</v>
      </c>
      <c r="B150" s="2" t="s">
        <v>577</v>
      </c>
      <c r="C150" s="2" t="s">
        <v>3906</v>
      </c>
      <c r="D150" s="2" t="s">
        <v>15</v>
      </c>
      <c r="E150" s="2" t="s">
        <v>139</v>
      </c>
      <c r="F150" s="2" t="s">
        <v>93</v>
      </c>
      <c r="G150" s="2" t="s">
        <v>41</v>
      </c>
      <c r="H150" s="2" t="s">
        <v>88</v>
      </c>
      <c r="I150" s="3">
        <v>43356</v>
      </c>
      <c r="J150" s="3">
        <v>44281</v>
      </c>
      <c r="K150" s="3">
        <v>45741</v>
      </c>
      <c r="M150" s="2" t="s">
        <v>579</v>
      </c>
    </row>
    <row r="151" spans="1:13" x14ac:dyDescent="0.35">
      <c r="A151" s="2" t="s">
        <v>1479</v>
      </c>
      <c r="B151" s="2" t="s">
        <v>1480</v>
      </c>
      <c r="C151" s="2" t="s">
        <v>4105</v>
      </c>
      <c r="D151" s="2" t="s">
        <v>15</v>
      </c>
      <c r="E151" s="2" t="s">
        <v>27</v>
      </c>
      <c r="F151" s="2" t="s">
        <v>28</v>
      </c>
      <c r="G151" s="2" t="s">
        <v>18</v>
      </c>
      <c r="H151" s="2" t="s">
        <v>177</v>
      </c>
      <c r="I151" s="3">
        <v>44762</v>
      </c>
      <c r="J151" s="3">
        <v>45380</v>
      </c>
      <c r="K151" s="3">
        <v>47205</v>
      </c>
      <c r="M151" s="2" t="s">
        <v>1482</v>
      </c>
    </row>
    <row r="152" spans="1:13" x14ac:dyDescent="0.35">
      <c r="A152" s="2" t="s">
        <v>1483</v>
      </c>
      <c r="B152" s="2" t="s">
        <v>1484</v>
      </c>
      <c r="C152" s="2" t="s">
        <v>4105</v>
      </c>
      <c r="D152" s="2" t="s">
        <v>15</v>
      </c>
      <c r="E152" s="2" t="s">
        <v>27</v>
      </c>
      <c r="F152" s="2" t="s">
        <v>28</v>
      </c>
      <c r="G152" s="2" t="s">
        <v>18</v>
      </c>
      <c r="H152" s="2" t="s">
        <v>177</v>
      </c>
      <c r="I152" s="3">
        <v>44762</v>
      </c>
      <c r="J152" s="3">
        <v>45380</v>
      </c>
      <c r="K152" s="3">
        <v>47205</v>
      </c>
      <c r="M152" s="2" t="s">
        <v>1485</v>
      </c>
    </row>
    <row r="153" spans="1:13" x14ac:dyDescent="0.35">
      <c r="A153" s="2" t="s">
        <v>792</v>
      </c>
      <c r="C153" s="2" t="s">
        <v>3961</v>
      </c>
      <c r="D153" s="2" t="s">
        <v>15</v>
      </c>
      <c r="E153" s="2" t="s">
        <v>311</v>
      </c>
      <c r="F153" s="2" t="s">
        <v>149</v>
      </c>
      <c r="G153" s="2" t="s">
        <v>18</v>
      </c>
      <c r="H153" s="2" t="s">
        <v>19</v>
      </c>
      <c r="I153" s="3">
        <v>44789</v>
      </c>
      <c r="J153" s="3">
        <v>44054</v>
      </c>
      <c r="K153" s="3">
        <v>45879</v>
      </c>
    </row>
    <row r="154" spans="1:13" x14ac:dyDescent="0.35">
      <c r="A154" s="2" t="s">
        <v>646</v>
      </c>
      <c r="B154" s="2" t="s">
        <v>260</v>
      </c>
      <c r="C154" s="2" t="s">
        <v>3926</v>
      </c>
      <c r="D154" s="2" t="s">
        <v>15</v>
      </c>
      <c r="E154" s="2" t="s">
        <v>27</v>
      </c>
      <c r="F154" s="2" t="s">
        <v>28</v>
      </c>
      <c r="G154" s="2" t="s">
        <v>18</v>
      </c>
      <c r="H154" s="2" t="s">
        <v>19</v>
      </c>
      <c r="I154" s="3">
        <v>44540</v>
      </c>
      <c r="J154" s="3">
        <v>44572</v>
      </c>
      <c r="K154" s="3">
        <v>46397</v>
      </c>
      <c r="M154" s="2" t="s">
        <v>648</v>
      </c>
    </row>
    <row r="155" spans="1:13" x14ac:dyDescent="0.35">
      <c r="A155" s="2" t="s">
        <v>931</v>
      </c>
      <c r="C155" s="2" t="s">
        <v>3926</v>
      </c>
      <c r="D155" s="2" t="s">
        <v>15</v>
      </c>
      <c r="E155" s="2" t="s">
        <v>27</v>
      </c>
      <c r="F155" s="2" t="s">
        <v>28</v>
      </c>
      <c r="G155" s="2" t="s">
        <v>18</v>
      </c>
      <c r="H155" s="2" t="s">
        <v>19</v>
      </c>
      <c r="I155" s="3">
        <v>44882</v>
      </c>
      <c r="J155" s="3">
        <v>44890</v>
      </c>
      <c r="K155" s="3">
        <v>46715</v>
      </c>
      <c r="M155" s="2" t="s">
        <v>932</v>
      </c>
    </row>
    <row r="156" spans="1:13" x14ac:dyDescent="0.35">
      <c r="A156" s="2" t="s">
        <v>1138</v>
      </c>
      <c r="C156" s="2" t="s">
        <v>3926</v>
      </c>
      <c r="D156" s="2" t="s">
        <v>15</v>
      </c>
      <c r="E156" s="2" t="s">
        <v>27</v>
      </c>
      <c r="F156" s="2" t="s">
        <v>28</v>
      </c>
      <c r="G156" s="2" t="s">
        <v>18</v>
      </c>
      <c r="H156" s="2" t="s">
        <v>19</v>
      </c>
      <c r="I156" s="3">
        <v>45154</v>
      </c>
      <c r="J156" s="3">
        <v>45184</v>
      </c>
      <c r="K156" s="3">
        <v>47010</v>
      </c>
      <c r="M156" s="2" t="s">
        <v>1139</v>
      </c>
    </row>
    <row r="157" spans="1:13" x14ac:dyDescent="0.35">
      <c r="A157" s="2" t="s">
        <v>1098</v>
      </c>
      <c r="C157" s="2" t="s">
        <v>4030</v>
      </c>
      <c r="D157" s="2" t="s">
        <v>15</v>
      </c>
      <c r="E157" s="2" t="s">
        <v>311</v>
      </c>
      <c r="F157" s="2" t="s">
        <v>149</v>
      </c>
      <c r="G157" s="2" t="s">
        <v>18</v>
      </c>
      <c r="H157" s="2" t="s">
        <v>19</v>
      </c>
      <c r="I157" s="3">
        <v>45061</v>
      </c>
      <c r="J157" s="3">
        <v>45090</v>
      </c>
      <c r="K157" s="3">
        <v>46916</v>
      </c>
    </row>
    <row r="158" spans="1:13" x14ac:dyDescent="0.35">
      <c r="A158" s="2" t="s">
        <v>729</v>
      </c>
      <c r="B158" s="2" t="s">
        <v>730</v>
      </c>
      <c r="C158" s="2" t="s">
        <v>3944</v>
      </c>
      <c r="D158" s="2" t="s">
        <v>15</v>
      </c>
      <c r="E158" s="2" t="s">
        <v>139</v>
      </c>
      <c r="F158" s="2" t="s">
        <v>17</v>
      </c>
      <c r="G158" s="2" t="s">
        <v>18</v>
      </c>
      <c r="H158" s="2" t="s">
        <v>19</v>
      </c>
      <c r="I158" s="3">
        <v>44636</v>
      </c>
      <c r="J158" s="3">
        <v>44719</v>
      </c>
      <c r="K158" s="3">
        <v>46179</v>
      </c>
      <c r="M158" s="2" t="s">
        <v>732</v>
      </c>
    </row>
    <row r="159" spans="1:13" x14ac:dyDescent="0.35">
      <c r="A159" s="2" t="s">
        <v>1500</v>
      </c>
      <c r="C159" s="2" t="s">
        <v>3944</v>
      </c>
      <c r="D159" s="2" t="s">
        <v>15</v>
      </c>
      <c r="E159" s="2" t="s">
        <v>148</v>
      </c>
      <c r="F159" s="2" t="s">
        <v>17</v>
      </c>
      <c r="G159" s="2" t="s">
        <v>18</v>
      </c>
      <c r="H159" s="2" t="s">
        <v>19</v>
      </c>
      <c r="I159" s="3">
        <v>45377</v>
      </c>
      <c r="J159" s="3">
        <v>45378</v>
      </c>
      <c r="K159" s="3">
        <v>47203</v>
      </c>
      <c r="M159" s="2" t="s">
        <v>1501</v>
      </c>
    </row>
    <row r="160" spans="1:13" x14ac:dyDescent="0.35">
      <c r="A160" s="2" t="s">
        <v>1447</v>
      </c>
      <c r="C160" s="2" t="s">
        <v>4099</v>
      </c>
      <c r="D160" s="2" t="s">
        <v>15</v>
      </c>
      <c r="E160" s="2" t="s">
        <v>573</v>
      </c>
      <c r="F160" s="2" t="s">
        <v>395</v>
      </c>
      <c r="G160" s="2" t="s">
        <v>18</v>
      </c>
      <c r="H160" s="2" t="s">
        <v>19</v>
      </c>
      <c r="I160" s="3">
        <v>45358</v>
      </c>
      <c r="J160" s="3">
        <v>45372</v>
      </c>
      <c r="K160" s="3">
        <v>45736</v>
      </c>
      <c r="M160" s="2" t="s">
        <v>1449</v>
      </c>
    </row>
    <row r="161" spans="1:13" x14ac:dyDescent="0.35">
      <c r="A161" s="2" t="s">
        <v>1457</v>
      </c>
      <c r="B161" s="2" t="s">
        <v>1458</v>
      </c>
      <c r="C161" s="2" t="s">
        <v>1459</v>
      </c>
      <c r="D161" s="2" t="s">
        <v>15</v>
      </c>
      <c r="E161" s="2" t="s">
        <v>573</v>
      </c>
      <c r="F161" s="2" t="s">
        <v>395</v>
      </c>
      <c r="G161" s="2" t="s">
        <v>18</v>
      </c>
      <c r="H161" s="2" t="s">
        <v>853</v>
      </c>
      <c r="I161" s="3">
        <v>45379</v>
      </c>
      <c r="J161" s="3">
        <v>45385</v>
      </c>
      <c r="K161" s="3">
        <v>45749</v>
      </c>
      <c r="M161" s="2" t="s">
        <v>1460</v>
      </c>
    </row>
    <row r="162" spans="1:13" x14ac:dyDescent="0.35">
      <c r="A162" s="2" t="s">
        <v>850</v>
      </c>
      <c r="B162" s="2" t="s">
        <v>851</v>
      </c>
      <c r="C162" s="2" t="s">
        <v>3979</v>
      </c>
      <c r="D162" s="2" t="s">
        <v>15</v>
      </c>
      <c r="E162" s="2" t="s">
        <v>573</v>
      </c>
      <c r="F162" s="2" t="s">
        <v>395</v>
      </c>
      <c r="G162" s="2" t="s">
        <v>18</v>
      </c>
      <c r="H162" s="2" t="s">
        <v>853</v>
      </c>
      <c r="I162" s="3">
        <v>44882</v>
      </c>
      <c r="J162" s="3">
        <v>44908</v>
      </c>
      <c r="K162" s="3">
        <v>45638</v>
      </c>
      <c r="L162" s="3">
        <v>45273</v>
      </c>
      <c r="M162" s="2" t="s">
        <v>854</v>
      </c>
    </row>
    <row r="163" spans="1:13" x14ac:dyDescent="0.35">
      <c r="A163" s="2" t="s">
        <v>1667</v>
      </c>
      <c r="C163" s="2" t="s">
        <v>4143</v>
      </c>
      <c r="D163" s="2" t="s">
        <v>15</v>
      </c>
      <c r="E163" s="2" t="s">
        <v>573</v>
      </c>
      <c r="F163" s="2" t="s">
        <v>395</v>
      </c>
      <c r="G163" s="2" t="s">
        <v>18</v>
      </c>
      <c r="H163" s="2" t="s">
        <v>299</v>
      </c>
      <c r="I163" s="3">
        <v>45825</v>
      </c>
      <c r="J163" s="3">
        <v>45826</v>
      </c>
      <c r="K163" s="3">
        <v>46190</v>
      </c>
      <c r="M163" s="2" t="s">
        <v>1669</v>
      </c>
    </row>
    <row r="164" spans="1:13" x14ac:dyDescent="0.35">
      <c r="A164" s="2" t="s">
        <v>24</v>
      </c>
      <c r="B164" s="2" t="s">
        <v>25</v>
      </c>
      <c r="C164" s="2" t="s">
        <v>3827</v>
      </c>
      <c r="D164" s="2" t="s">
        <v>15</v>
      </c>
      <c r="E164" s="2" t="s">
        <v>27</v>
      </c>
      <c r="F164" s="2" t="s">
        <v>28</v>
      </c>
      <c r="G164" s="2" t="s">
        <v>18</v>
      </c>
      <c r="H164" s="2" t="s">
        <v>19</v>
      </c>
      <c r="I164" s="3">
        <v>28990</v>
      </c>
      <c r="J164" s="3">
        <v>43742</v>
      </c>
      <c r="K164" s="3">
        <v>47393</v>
      </c>
      <c r="M164" s="2" t="s">
        <v>29</v>
      </c>
    </row>
    <row r="165" spans="1:13" x14ac:dyDescent="0.35">
      <c r="A165" s="2" t="s">
        <v>1664</v>
      </c>
      <c r="C165" s="2" t="s">
        <v>4142</v>
      </c>
      <c r="D165" s="2" t="s">
        <v>15</v>
      </c>
      <c r="E165" s="2" t="s">
        <v>573</v>
      </c>
      <c r="F165" s="2" t="s">
        <v>1218</v>
      </c>
      <c r="G165" s="2" t="s">
        <v>18</v>
      </c>
      <c r="H165" s="2" t="s">
        <v>19</v>
      </c>
      <c r="I165" s="3">
        <v>45650</v>
      </c>
      <c r="J165" s="3">
        <v>45835</v>
      </c>
      <c r="K165" s="3">
        <v>46199</v>
      </c>
      <c r="M165" s="2" t="s">
        <v>1666</v>
      </c>
    </row>
    <row r="166" spans="1:13" x14ac:dyDescent="0.35">
      <c r="A166" s="2" t="s">
        <v>1488</v>
      </c>
      <c r="B166" s="2" t="s">
        <v>566</v>
      </c>
      <c r="C166" s="2" t="s">
        <v>4107</v>
      </c>
      <c r="D166" s="2" t="s">
        <v>15</v>
      </c>
      <c r="E166" s="2" t="s">
        <v>311</v>
      </c>
      <c r="F166" s="2" t="s">
        <v>149</v>
      </c>
      <c r="G166" s="2" t="s">
        <v>18</v>
      </c>
      <c r="H166" s="2" t="s">
        <v>19</v>
      </c>
      <c r="I166" s="3">
        <v>45405</v>
      </c>
      <c r="J166" s="3">
        <v>45380</v>
      </c>
      <c r="K166" s="3">
        <v>47205</v>
      </c>
    </row>
    <row r="167" spans="1:13" x14ac:dyDescent="0.35">
      <c r="A167" s="2" t="s">
        <v>1444</v>
      </c>
      <c r="B167" s="2" t="s">
        <v>1272</v>
      </c>
      <c r="C167" s="2" t="s">
        <v>4098</v>
      </c>
      <c r="D167" s="2" t="s">
        <v>15</v>
      </c>
      <c r="E167" s="2" t="s">
        <v>573</v>
      </c>
      <c r="F167" s="2" t="s">
        <v>1218</v>
      </c>
      <c r="G167" s="2" t="s">
        <v>18</v>
      </c>
      <c r="H167" s="2" t="s">
        <v>19</v>
      </c>
      <c r="I167" s="3">
        <v>45254</v>
      </c>
      <c r="J167" s="3">
        <v>45372</v>
      </c>
      <c r="K167" s="3">
        <v>45736</v>
      </c>
      <c r="M167" s="2" t="s">
        <v>1446</v>
      </c>
    </row>
    <row r="168" spans="1:13" x14ac:dyDescent="0.35">
      <c r="A168" s="2" t="s">
        <v>1486</v>
      </c>
      <c r="B168" s="2" t="s">
        <v>566</v>
      </c>
      <c r="C168" s="2" t="s">
        <v>4106</v>
      </c>
      <c r="D168" s="2" t="s">
        <v>15</v>
      </c>
      <c r="E168" s="2" t="s">
        <v>311</v>
      </c>
      <c r="F168" s="2" t="s">
        <v>149</v>
      </c>
      <c r="G168" s="2" t="s">
        <v>18</v>
      </c>
      <c r="H168" s="2" t="s">
        <v>19</v>
      </c>
      <c r="I168" s="3">
        <v>45370</v>
      </c>
      <c r="J168" s="3">
        <v>45380</v>
      </c>
      <c r="K168" s="3">
        <v>47205</v>
      </c>
    </row>
    <row r="169" spans="1:13" x14ac:dyDescent="0.35">
      <c r="A169" s="2" t="s">
        <v>1622</v>
      </c>
      <c r="B169" s="2" t="s">
        <v>1623</v>
      </c>
      <c r="C169" s="2" t="s">
        <v>4106</v>
      </c>
      <c r="D169" s="2" t="s">
        <v>15</v>
      </c>
      <c r="E169" s="2" t="s">
        <v>573</v>
      </c>
      <c r="F169" s="2" t="s">
        <v>395</v>
      </c>
      <c r="G169" s="2" t="s">
        <v>18</v>
      </c>
      <c r="H169" s="2" t="s">
        <v>299</v>
      </c>
      <c r="I169" s="5">
        <v>45999.658217592601</v>
      </c>
      <c r="J169" s="3">
        <v>46014</v>
      </c>
      <c r="K169" s="3">
        <v>46378</v>
      </c>
      <c r="M169" s="2" t="s">
        <v>1624</v>
      </c>
    </row>
    <row r="170" spans="1:13" x14ac:dyDescent="0.35">
      <c r="A170" s="2" t="s">
        <v>392</v>
      </c>
      <c r="B170" s="2" t="s">
        <v>393</v>
      </c>
      <c r="C170" s="2" t="s">
        <v>3868</v>
      </c>
      <c r="D170" s="2" t="s">
        <v>15</v>
      </c>
      <c r="E170" s="2" t="s">
        <v>311</v>
      </c>
      <c r="F170" s="2" t="s">
        <v>395</v>
      </c>
      <c r="G170" s="2" t="s">
        <v>41</v>
      </c>
      <c r="H170" s="2" t="s">
        <v>19</v>
      </c>
      <c r="I170" s="3">
        <v>42953</v>
      </c>
      <c r="J170" s="3">
        <v>43210</v>
      </c>
      <c r="K170" s="3">
        <v>45035</v>
      </c>
      <c r="M170" s="2" t="s">
        <v>396</v>
      </c>
    </row>
    <row r="171" spans="1:13" x14ac:dyDescent="0.35">
      <c r="A171" s="2" t="s">
        <v>324</v>
      </c>
      <c r="B171" s="2" t="s">
        <v>260</v>
      </c>
      <c r="C171" s="2" t="s">
        <v>3854</v>
      </c>
      <c r="D171" s="2" t="s">
        <v>15</v>
      </c>
      <c r="E171" s="2" t="s">
        <v>27</v>
      </c>
      <c r="F171" s="2" t="s">
        <v>60</v>
      </c>
      <c r="G171" s="2" t="s">
        <v>18</v>
      </c>
      <c r="H171" s="2" t="s">
        <v>19</v>
      </c>
      <c r="I171" s="3">
        <v>42402</v>
      </c>
      <c r="J171" s="3">
        <v>42541</v>
      </c>
      <c r="K171" s="3">
        <v>46192</v>
      </c>
      <c r="M171" s="2" t="s">
        <v>326</v>
      </c>
    </row>
    <row r="172" spans="1:13" x14ac:dyDescent="0.35">
      <c r="A172" s="2" t="s">
        <v>722</v>
      </c>
      <c r="C172" s="2" t="s">
        <v>3942</v>
      </c>
      <c r="D172" s="2" t="s">
        <v>15</v>
      </c>
      <c r="E172" s="2" t="s">
        <v>154</v>
      </c>
      <c r="F172" s="2" t="s">
        <v>93</v>
      </c>
      <c r="G172" s="2" t="s">
        <v>18</v>
      </c>
      <c r="H172" s="2" t="s">
        <v>88</v>
      </c>
      <c r="I172" s="3">
        <v>44509</v>
      </c>
      <c r="J172" s="3">
        <v>44796</v>
      </c>
      <c r="K172" s="3">
        <v>45891</v>
      </c>
      <c r="M172" s="2" t="s">
        <v>724</v>
      </c>
    </row>
    <row r="173" spans="1:13" x14ac:dyDescent="0.35">
      <c r="A173" s="2" t="s">
        <v>1249</v>
      </c>
      <c r="B173" s="2" t="s">
        <v>1250</v>
      </c>
      <c r="C173" s="2" t="s">
        <v>4061</v>
      </c>
      <c r="D173" s="2" t="s">
        <v>15</v>
      </c>
      <c r="E173" s="2" t="s">
        <v>573</v>
      </c>
      <c r="F173" s="2" t="s">
        <v>395</v>
      </c>
      <c r="G173" s="2" t="s">
        <v>18</v>
      </c>
      <c r="H173" s="2" t="s">
        <v>101</v>
      </c>
      <c r="I173" s="3">
        <v>45213</v>
      </c>
      <c r="J173" s="3">
        <v>45268</v>
      </c>
      <c r="K173" s="3">
        <v>45633</v>
      </c>
      <c r="M173" s="2" t="s">
        <v>1252</v>
      </c>
    </row>
    <row r="174" spans="1:13" x14ac:dyDescent="0.35">
      <c r="A174" s="2" t="s">
        <v>1253</v>
      </c>
      <c r="B174" s="2" t="s">
        <v>1254</v>
      </c>
      <c r="C174" s="2" t="s">
        <v>4061</v>
      </c>
      <c r="D174" s="2" t="s">
        <v>15</v>
      </c>
      <c r="E174" s="2" t="s">
        <v>573</v>
      </c>
      <c r="F174" s="2" t="s">
        <v>395</v>
      </c>
      <c r="G174" s="2" t="s">
        <v>18</v>
      </c>
      <c r="H174" s="2" t="s">
        <v>101</v>
      </c>
      <c r="I174" s="3">
        <v>45167</v>
      </c>
      <c r="J174" s="3">
        <v>45268</v>
      </c>
      <c r="K174" s="3">
        <v>45633</v>
      </c>
      <c r="M174" s="2" t="s">
        <v>1255</v>
      </c>
    </row>
    <row r="175" spans="1:13" x14ac:dyDescent="0.35">
      <c r="A175" s="2" t="s">
        <v>1560</v>
      </c>
      <c r="C175" s="2" t="s">
        <v>4061</v>
      </c>
      <c r="D175" s="2" t="s">
        <v>15</v>
      </c>
      <c r="E175" s="2" t="s">
        <v>573</v>
      </c>
      <c r="F175" s="2" t="s">
        <v>395</v>
      </c>
      <c r="G175" s="2" t="s">
        <v>18</v>
      </c>
      <c r="H175" s="2" t="s">
        <v>101</v>
      </c>
      <c r="I175" s="5">
        <v>45841.689768518503</v>
      </c>
      <c r="J175" s="3">
        <v>45845</v>
      </c>
      <c r="K175" s="3">
        <v>46209</v>
      </c>
      <c r="M175" s="2" t="s">
        <v>1561</v>
      </c>
    </row>
    <row r="176" spans="1:13" x14ac:dyDescent="0.35">
      <c r="A176" s="2" t="s">
        <v>145</v>
      </c>
      <c r="B176" s="2" t="s">
        <v>146</v>
      </c>
      <c r="C176" s="2" t="s">
        <v>3836</v>
      </c>
      <c r="D176" s="2" t="s">
        <v>15</v>
      </c>
      <c r="E176" s="2" t="s">
        <v>148</v>
      </c>
      <c r="F176" s="2" t="s">
        <v>149</v>
      </c>
      <c r="G176" s="2" t="s">
        <v>41</v>
      </c>
      <c r="H176" s="2" t="s">
        <v>19</v>
      </c>
      <c r="I176" s="3">
        <v>40262</v>
      </c>
      <c r="J176" s="3">
        <v>43283</v>
      </c>
      <c r="K176" s="3">
        <v>45108</v>
      </c>
      <c r="M176" s="2" t="s">
        <v>150</v>
      </c>
    </row>
    <row r="177" spans="1:13" x14ac:dyDescent="0.35">
      <c r="A177" s="2" t="s">
        <v>342</v>
      </c>
      <c r="B177" s="2" t="s">
        <v>343</v>
      </c>
      <c r="C177" s="2" t="s">
        <v>3836</v>
      </c>
      <c r="D177" s="2" t="s">
        <v>15</v>
      </c>
      <c r="E177" s="2" t="s">
        <v>139</v>
      </c>
      <c r="F177" s="2" t="s">
        <v>118</v>
      </c>
      <c r="G177" s="2" t="s">
        <v>41</v>
      </c>
      <c r="H177" s="2" t="s">
        <v>177</v>
      </c>
      <c r="I177" s="3">
        <v>42571</v>
      </c>
      <c r="J177" s="3">
        <v>42635</v>
      </c>
      <c r="K177" s="3">
        <v>44825</v>
      </c>
      <c r="M177" s="2" t="s">
        <v>344</v>
      </c>
    </row>
    <row r="178" spans="1:13" x14ac:dyDescent="0.35">
      <c r="A178" s="2" t="s">
        <v>844</v>
      </c>
      <c r="C178" s="2" t="s">
        <v>845</v>
      </c>
      <c r="D178" s="2" t="s">
        <v>15</v>
      </c>
      <c r="E178" s="2" t="s">
        <v>27</v>
      </c>
      <c r="F178" s="2" t="s">
        <v>118</v>
      </c>
      <c r="G178" s="2" t="s">
        <v>18</v>
      </c>
      <c r="H178" s="2" t="s">
        <v>19</v>
      </c>
      <c r="I178" s="3">
        <v>44420</v>
      </c>
      <c r="J178" s="3">
        <v>44811</v>
      </c>
      <c r="K178" s="3">
        <v>46636</v>
      </c>
      <c r="M178" s="2" t="s">
        <v>846</v>
      </c>
    </row>
    <row r="179" spans="1:13" x14ac:dyDescent="0.35">
      <c r="A179" s="2" t="s">
        <v>759</v>
      </c>
      <c r="B179" s="2" t="s">
        <v>566</v>
      </c>
      <c r="C179" s="2" t="s">
        <v>3951</v>
      </c>
      <c r="D179" s="2" t="s">
        <v>15</v>
      </c>
      <c r="E179" s="2" t="s">
        <v>311</v>
      </c>
      <c r="F179" s="2" t="s">
        <v>149</v>
      </c>
      <c r="G179" s="2" t="s">
        <v>18</v>
      </c>
      <c r="H179" s="2" t="s">
        <v>19</v>
      </c>
      <c r="I179" s="3">
        <v>44757</v>
      </c>
      <c r="J179" s="3">
        <v>44763</v>
      </c>
      <c r="K179" s="3">
        <v>46588</v>
      </c>
    </row>
    <row r="180" spans="1:13" x14ac:dyDescent="0.35">
      <c r="A180" s="2" t="s">
        <v>1465</v>
      </c>
      <c r="B180" s="2" t="s">
        <v>566</v>
      </c>
      <c r="C180" s="2" t="s">
        <v>4102</v>
      </c>
      <c r="D180" s="2" t="s">
        <v>15</v>
      </c>
      <c r="E180" s="2" t="s">
        <v>311</v>
      </c>
      <c r="F180" s="2" t="s">
        <v>149</v>
      </c>
      <c r="G180" s="2" t="s">
        <v>18</v>
      </c>
      <c r="H180" s="2" t="s">
        <v>19</v>
      </c>
      <c r="I180" s="3">
        <v>45362</v>
      </c>
      <c r="J180" s="3">
        <v>45366</v>
      </c>
      <c r="K180" s="3">
        <v>46095</v>
      </c>
    </row>
    <row r="181" spans="1:13" x14ac:dyDescent="0.35">
      <c r="A181" s="2" t="s">
        <v>600</v>
      </c>
      <c r="C181" s="2" t="s">
        <v>3912</v>
      </c>
      <c r="D181" s="2" t="s">
        <v>15</v>
      </c>
      <c r="E181" s="2" t="s">
        <v>311</v>
      </c>
      <c r="F181" s="2" t="s">
        <v>149</v>
      </c>
      <c r="G181" s="2" t="s">
        <v>18</v>
      </c>
      <c r="H181" s="2" t="s">
        <v>19</v>
      </c>
      <c r="I181" s="3">
        <v>44294</v>
      </c>
      <c r="J181" s="3">
        <v>44315</v>
      </c>
      <c r="K181" s="3">
        <v>46140</v>
      </c>
    </row>
    <row r="182" spans="1:13" x14ac:dyDescent="0.35">
      <c r="A182" s="2" t="s">
        <v>796</v>
      </c>
      <c r="B182" s="2" t="s">
        <v>58</v>
      </c>
      <c r="C182" s="2" t="s">
        <v>3912</v>
      </c>
      <c r="D182" s="2" t="s">
        <v>15</v>
      </c>
      <c r="E182" s="2" t="s">
        <v>27</v>
      </c>
      <c r="F182" s="2" t="s">
        <v>60</v>
      </c>
      <c r="G182" s="2" t="s">
        <v>18</v>
      </c>
      <c r="H182" s="2" t="s">
        <v>19</v>
      </c>
      <c r="I182" s="3">
        <v>44324</v>
      </c>
      <c r="J182" s="3">
        <v>44783</v>
      </c>
      <c r="K182" s="3">
        <v>46608</v>
      </c>
      <c r="M182" s="2" t="s">
        <v>797</v>
      </c>
    </row>
    <row r="183" spans="1:13" x14ac:dyDescent="0.35">
      <c r="A183" s="2" t="s">
        <v>431</v>
      </c>
      <c r="B183" s="2" t="s">
        <v>146</v>
      </c>
      <c r="C183" s="2" t="s">
        <v>3876</v>
      </c>
      <c r="D183" s="2" t="s">
        <v>15</v>
      </c>
      <c r="E183" s="2" t="s">
        <v>311</v>
      </c>
      <c r="F183" s="2" t="s">
        <v>149</v>
      </c>
      <c r="G183" s="2" t="s">
        <v>41</v>
      </c>
      <c r="H183" s="2" t="s">
        <v>19</v>
      </c>
      <c r="I183" s="3">
        <v>43130</v>
      </c>
      <c r="J183" s="3">
        <v>43271</v>
      </c>
      <c r="K183" s="3">
        <v>45096</v>
      </c>
      <c r="M183" s="2" t="s">
        <v>433</v>
      </c>
    </row>
    <row r="184" spans="1:13" x14ac:dyDescent="0.35">
      <c r="A184" s="2" t="s">
        <v>750</v>
      </c>
      <c r="C184" s="2" t="s">
        <v>3949</v>
      </c>
      <c r="D184" s="2" t="s">
        <v>15</v>
      </c>
      <c r="E184" s="2" t="s">
        <v>752</v>
      </c>
      <c r="F184" s="2" t="s">
        <v>93</v>
      </c>
      <c r="G184" s="2" t="s">
        <v>18</v>
      </c>
      <c r="H184" s="2" t="s">
        <v>88</v>
      </c>
      <c r="I184" s="3">
        <v>44735</v>
      </c>
      <c r="J184" s="3">
        <v>44735</v>
      </c>
      <c r="K184" s="3">
        <v>48387</v>
      </c>
      <c r="M184" s="2" t="s">
        <v>753</v>
      </c>
    </row>
    <row r="185" spans="1:13" x14ac:dyDescent="0.35">
      <c r="A185" s="2" t="s">
        <v>756</v>
      </c>
      <c r="C185" s="2" t="s">
        <v>3949</v>
      </c>
      <c r="D185" s="2" t="s">
        <v>15</v>
      </c>
      <c r="E185" s="2" t="s">
        <v>752</v>
      </c>
      <c r="F185" s="2" t="s">
        <v>757</v>
      </c>
      <c r="G185" s="2" t="s">
        <v>18</v>
      </c>
      <c r="H185" s="2" t="s">
        <v>19</v>
      </c>
      <c r="I185" s="3">
        <v>44557</v>
      </c>
      <c r="J185" s="3">
        <v>44742</v>
      </c>
      <c r="K185" s="3">
        <v>48394</v>
      </c>
      <c r="M185" s="2" t="s">
        <v>758</v>
      </c>
    </row>
    <row r="186" spans="1:13" x14ac:dyDescent="0.35">
      <c r="A186" s="2" t="s">
        <v>1129</v>
      </c>
      <c r="C186" s="2" t="s">
        <v>1130</v>
      </c>
      <c r="D186" s="2" t="s">
        <v>15</v>
      </c>
      <c r="E186" s="2" t="s">
        <v>154</v>
      </c>
      <c r="F186" s="2" t="s">
        <v>93</v>
      </c>
      <c r="G186" s="2" t="s">
        <v>18</v>
      </c>
      <c r="H186" s="2" t="s">
        <v>177</v>
      </c>
      <c r="I186" s="3">
        <v>45120</v>
      </c>
      <c r="J186" s="3">
        <v>45169</v>
      </c>
      <c r="K186" s="3">
        <v>46264</v>
      </c>
      <c r="M186" s="2" t="s">
        <v>1131</v>
      </c>
    </row>
    <row r="187" spans="1:13" x14ac:dyDescent="0.35">
      <c r="A187" s="2" t="s">
        <v>406</v>
      </c>
      <c r="B187" s="2" t="s">
        <v>407</v>
      </c>
      <c r="C187" s="2" t="s">
        <v>3870</v>
      </c>
      <c r="D187" s="2" t="s">
        <v>15</v>
      </c>
      <c r="E187" s="2" t="s">
        <v>154</v>
      </c>
      <c r="F187" s="2" t="s">
        <v>93</v>
      </c>
      <c r="G187" s="2" t="s">
        <v>18</v>
      </c>
      <c r="H187" s="2" t="s">
        <v>88</v>
      </c>
      <c r="I187" s="3">
        <v>43026</v>
      </c>
      <c r="J187" s="3">
        <v>43210</v>
      </c>
      <c r="K187" s="3">
        <v>45401</v>
      </c>
      <c r="L187" s="3">
        <v>44306</v>
      </c>
      <c r="M187" s="2" t="s">
        <v>409</v>
      </c>
    </row>
    <row r="188" spans="1:13" x14ac:dyDescent="0.35">
      <c r="A188" s="2" t="s">
        <v>1234</v>
      </c>
      <c r="B188" s="2" t="s">
        <v>1235</v>
      </c>
      <c r="C188" s="2" t="s">
        <v>4058</v>
      </c>
      <c r="D188" s="2" t="s">
        <v>15</v>
      </c>
      <c r="E188" s="2" t="s">
        <v>573</v>
      </c>
      <c r="F188" s="2" t="s">
        <v>395</v>
      </c>
      <c r="G188" s="2" t="s">
        <v>18</v>
      </c>
      <c r="H188" s="2" t="s">
        <v>19</v>
      </c>
      <c r="I188" s="3">
        <v>45130</v>
      </c>
      <c r="J188" s="3">
        <v>45267</v>
      </c>
      <c r="K188" s="3">
        <v>45632</v>
      </c>
      <c r="M188" s="2" t="s">
        <v>1237</v>
      </c>
    </row>
    <row r="189" spans="1:13" x14ac:dyDescent="0.35">
      <c r="A189" s="2" t="s">
        <v>267</v>
      </c>
      <c r="B189" s="2" t="s">
        <v>256</v>
      </c>
      <c r="C189" s="2" t="s">
        <v>268</v>
      </c>
      <c r="D189" s="2" t="s">
        <v>15</v>
      </c>
      <c r="E189" s="2" t="s">
        <v>27</v>
      </c>
      <c r="F189" s="2" t="s">
        <v>60</v>
      </c>
      <c r="G189" s="2" t="s">
        <v>18</v>
      </c>
      <c r="H189" s="2" t="s">
        <v>19</v>
      </c>
      <c r="I189" s="3">
        <v>42004</v>
      </c>
      <c r="J189" s="3">
        <v>42478</v>
      </c>
      <c r="K189" s="3">
        <v>45771</v>
      </c>
      <c r="M189" s="2" t="s">
        <v>269</v>
      </c>
    </row>
    <row r="190" spans="1:13" x14ac:dyDescent="0.35">
      <c r="A190" s="2" t="s">
        <v>983</v>
      </c>
      <c r="B190" s="2" t="s">
        <v>58</v>
      </c>
      <c r="C190" s="2" t="s">
        <v>984</v>
      </c>
      <c r="D190" s="2" t="s">
        <v>15</v>
      </c>
      <c r="E190" s="2" t="s">
        <v>139</v>
      </c>
      <c r="F190" s="2" t="s">
        <v>60</v>
      </c>
      <c r="G190" s="2" t="s">
        <v>18</v>
      </c>
      <c r="H190" s="2" t="s">
        <v>19</v>
      </c>
      <c r="I190" s="3">
        <v>44904</v>
      </c>
      <c r="J190" s="3">
        <v>44974</v>
      </c>
      <c r="K190" s="3">
        <v>46434</v>
      </c>
      <c r="M190" s="2" t="s">
        <v>985</v>
      </c>
    </row>
    <row r="191" spans="1:13" x14ac:dyDescent="0.35">
      <c r="A191" s="2" t="s">
        <v>1049</v>
      </c>
      <c r="B191" s="2" t="s">
        <v>1050</v>
      </c>
      <c r="C191" s="2" t="s">
        <v>4020</v>
      </c>
      <c r="D191" s="2" t="s">
        <v>15</v>
      </c>
      <c r="E191" s="2" t="s">
        <v>154</v>
      </c>
      <c r="F191" s="2" t="s">
        <v>93</v>
      </c>
      <c r="G191" s="2" t="s">
        <v>18</v>
      </c>
      <c r="H191" s="2" t="s">
        <v>88</v>
      </c>
      <c r="I191" s="3">
        <v>45062</v>
      </c>
      <c r="J191" s="3">
        <v>45436</v>
      </c>
      <c r="K191" s="3">
        <v>46530</v>
      </c>
      <c r="M191" s="2" t="s">
        <v>370</v>
      </c>
    </row>
    <row r="192" spans="1:13" x14ac:dyDescent="0.35">
      <c r="A192" s="2" t="s">
        <v>974</v>
      </c>
      <c r="C192" s="2" t="s">
        <v>4004</v>
      </c>
      <c r="D192" s="2" t="s">
        <v>15</v>
      </c>
      <c r="E192" s="2" t="s">
        <v>311</v>
      </c>
      <c r="F192" s="2" t="s">
        <v>149</v>
      </c>
      <c r="G192" s="2" t="s">
        <v>18</v>
      </c>
      <c r="H192" s="2" t="s">
        <v>19</v>
      </c>
      <c r="I192" s="3">
        <v>44640</v>
      </c>
      <c r="J192" s="3">
        <v>44930</v>
      </c>
      <c r="K192" s="3">
        <v>46755</v>
      </c>
    </row>
    <row r="193" spans="1:13" x14ac:dyDescent="0.35">
      <c r="A193" s="2" t="s">
        <v>345</v>
      </c>
      <c r="C193" s="2" t="s">
        <v>3859</v>
      </c>
      <c r="D193" s="2" t="s">
        <v>15</v>
      </c>
      <c r="E193" s="2" t="s">
        <v>311</v>
      </c>
      <c r="F193" s="2" t="s">
        <v>149</v>
      </c>
      <c r="G193" s="2" t="s">
        <v>18</v>
      </c>
      <c r="H193" s="2" t="s">
        <v>19</v>
      </c>
      <c r="I193" s="3">
        <v>42640</v>
      </c>
      <c r="J193" s="3">
        <v>43179</v>
      </c>
      <c r="K193" s="3">
        <v>46830</v>
      </c>
      <c r="L193" s="3">
        <v>45005</v>
      </c>
      <c r="M193" s="2" t="s">
        <v>347</v>
      </c>
    </row>
    <row r="194" spans="1:13" x14ac:dyDescent="0.35">
      <c r="A194" s="2" t="s">
        <v>419</v>
      </c>
      <c r="B194" s="2" t="s">
        <v>420</v>
      </c>
      <c r="C194" s="2" t="s">
        <v>3873</v>
      </c>
      <c r="D194" s="2" t="s">
        <v>15</v>
      </c>
      <c r="E194" s="2" t="s">
        <v>27</v>
      </c>
      <c r="F194" s="2" t="s">
        <v>28</v>
      </c>
      <c r="G194" s="2" t="s">
        <v>18</v>
      </c>
      <c r="H194" s="2" t="s">
        <v>88</v>
      </c>
      <c r="I194" s="3">
        <v>43091</v>
      </c>
      <c r="J194" s="3">
        <v>44225</v>
      </c>
      <c r="K194" s="3">
        <v>46050</v>
      </c>
      <c r="M194" s="2" t="s">
        <v>422</v>
      </c>
    </row>
    <row r="195" spans="1:13" x14ac:dyDescent="0.35">
      <c r="A195" s="2" t="s">
        <v>352</v>
      </c>
      <c r="B195" s="2" t="s">
        <v>353</v>
      </c>
      <c r="C195" s="2" t="s">
        <v>354</v>
      </c>
      <c r="D195" s="2" t="s">
        <v>15</v>
      </c>
      <c r="E195" s="2" t="s">
        <v>154</v>
      </c>
      <c r="F195" s="2" t="s">
        <v>93</v>
      </c>
      <c r="G195" s="2" t="s">
        <v>18</v>
      </c>
      <c r="H195" s="2" t="s">
        <v>88</v>
      </c>
      <c r="I195" s="3">
        <v>42719</v>
      </c>
      <c r="J195" s="3">
        <v>44292</v>
      </c>
      <c r="K195" s="3">
        <v>45387</v>
      </c>
      <c r="M195" s="2" t="s">
        <v>355</v>
      </c>
    </row>
    <row r="196" spans="1:13" x14ac:dyDescent="0.35">
      <c r="A196" s="2" t="s">
        <v>1684</v>
      </c>
      <c r="C196" s="2" t="s">
        <v>4148</v>
      </c>
      <c r="D196" s="2" t="s">
        <v>15</v>
      </c>
      <c r="E196" s="2" t="s">
        <v>1609</v>
      </c>
      <c r="F196" s="2" t="s">
        <v>28</v>
      </c>
      <c r="G196" s="2" t="s">
        <v>18</v>
      </c>
      <c r="H196" s="2" t="s">
        <v>19</v>
      </c>
      <c r="I196" s="5">
        <v>45834.6475810185</v>
      </c>
      <c r="J196" s="3">
        <v>45835</v>
      </c>
      <c r="K196" s="3">
        <v>46017</v>
      </c>
      <c r="M196" s="2" t="s">
        <v>1686</v>
      </c>
    </row>
    <row r="197" spans="1:13" x14ac:dyDescent="0.35">
      <c r="A197" s="2" t="s">
        <v>1756</v>
      </c>
      <c r="B197" s="2" t="s">
        <v>1757</v>
      </c>
      <c r="C197" s="2" t="s">
        <v>1758</v>
      </c>
      <c r="D197" s="2" t="s">
        <v>15</v>
      </c>
      <c r="E197" s="2" t="s">
        <v>154</v>
      </c>
      <c r="F197" s="2" t="s">
        <v>93</v>
      </c>
      <c r="G197" s="2" t="s">
        <v>41</v>
      </c>
      <c r="H197" s="2" t="s">
        <v>88</v>
      </c>
      <c r="I197" s="3">
        <v>42809</v>
      </c>
      <c r="J197" s="3">
        <v>42955</v>
      </c>
      <c r="K197" s="3">
        <v>44051</v>
      </c>
      <c r="M197" s="2" t="s">
        <v>370</v>
      </c>
    </row>
    <row r="198" spans="1:13" x14ac:dyDescent="0.35">
      <c r="A198" s="2" t="s">
        <v>1225</v>
      </c>
      <c r="C198" s="2" t="s">
        <v>1226</v>
      </c>
      <c r="D198" s="2" t="s">
        <v>15</v>
      </c>
      <c r="E198" s="2" t="s">
        <v>154</v>
      </c>
      <c r="F198" s="2" t="s">
        <v>93</v>
      </c>
      <c r="G198" s="2" t="s">
        <v>18</v>
      </c>
      <c r="H198" s="2" t="s">
        <v>88</v>
      </c>
      <c r="I198" s="3">
        <v>45194</v>
      </c>
      <c r="J198" s="3">
        <v>45287</v>
      </c>
      <c r="K198" s="3">
        <v>46382</v>
      </c>
      <c r="M198" s="2" t="s">
        <v>370</v>
      </c>
    </row>
    <row r="199" spans="1:13" x14ac:dyDescent="0.35">
      <c r="A199" s="2" t="s">
        <v>1152</v>
      </c>
      <c r="B199" s="2" t="s">
        <v>1153</v>
      </c>
      <c r="C199" s="2" t="s">
        <v>4045</v>
      </c>
      <c r="D199" s="2" t="s">
        <v>15</v>
      </c>
      <c r="E199" s="2" t="s">
        <v>154</v>
      </c>
      <c r="F199" s="2" t="s">
        <v>93</v>
      </c>
      <c r="G199" s="2" t="s">
        <v>18</v>
      </c>
      <c r="H199" s="2" t="s">
        <v>88</v>
      </c>
      <c r="I199" s="3">
        <v>45188</v>
      </c>
      <c r="J199" s="3">
        <v>45202</v>
      </c>
      <c r="K199" s="3">
        <v>46297</v>
      </c>
      <c r="M199" s="2" t="s">
        <v>1155</v>
      </c>
    </row>
    <row r="200" spans="1:13" x14ac:dyDescent="0.35">
      <c r="A200" s="2" t="s">
        <v>1165</v>
      </c>
      <c r="B200" s="2" t="s">
        <v>1166</v>
      </c>
      <c r="C200" s="2" t="s">
        <v>4045</v>
      </c>
      <c r="D200" s="2" t="s">
        <v>15</v>
      </c>
      <c r="E200" s="2" t="s">
        <v>154</v>
      </c>
      <c r="F200" s="2" t="s">
        <v>93</v>
      </c>
      <c r="G200" s="2" t="s">
        <v>18</v>
      </c>
      <c r="H200" s="2" t="s">
        <v>88</v>
      </c>
      <c r="I200" s="3">
        <v>45190</v>
      </c>
      <c r="J200" s="3">
        <v>45202</v>
      </c>
      <c r="K200" s="3">
        <v>46297</v>
      </c>
      <c r="M200" s="2" t="s">
        <v>1167</v>
      </c>
    </row>
    <row r="201" spans="1:13" x14ac:dyDescent="0.35">
      <c r="A201" s="2" t="s">
        <v>1472</v>
      </c>
      <c r="B201" s="2" t="s">
        <v>1473</v>
      </c>
      <c r="C201" s="2" t="s">
        <v>4045</v>
      </c>
      <c r="D201" s="2" t="s">
        <v>15</v>
      </c>
      <c r="E201" s="2" t="s">
        <v>154</v>
      </c>
      <c r="F201" s="2" t="s">
        <v>93</v>
      </c>
      <c r="G201" s="2" t="s">
        <v>18</v>
      </c>
      <c r="H201" s="2" t="s">
        <v>88</v>
      </c>
      <c r="I201" s="3">
        <v>45279</v>
      </c>
      <c r="J201" s="3">
        <v>45366</v>
      </c>
      <c r="K201" s="3">
        <v>46460</v>
      </c>
      <c r="M201" s="2" t="s">
        <v>1474</v>
      </c>
    </row>
    <row r="202" spans="1:13" x14ac:dyDescent="0.35">
      <c r="A202" s="2" t="s">
        <v>562</v>
      </c>
      <c r="C202" s="2" t="s">
        <v>3902</v>
      </c>
      <c r="D202" s="2" t="s">
        <v>15</v>
      </c>
      <c r="E202" s="2" t="s">
        <v>27</v>
      </c>
      <c r="F202" s="2" t="s">
        <v>28</v>
      </c>
      <c r="G202" s="2" t="s">
        <v>18</v>
      </c>
      <c r="H202" s="2" t="s">
        <v>19</v>
      </c>
      <c r="I202" s="3">
        <v>44160</v>
      </c>
      <c r="J202" s="3">
        <v>44225</v>
      </c>
      <c r="K202" s="3">
        <v>46050</v>
      </c>
      <c r="M202" s="2" t="s">
        <v>564</v>
      </c>
    </row>
    <row r="203" spans="1:13" x14ac:dyDescent="0.35">
      <c r="A203" s="2" t="s">
        <v>57</v>
      </c>
      <c r="B203" s="2" t="s">
        <v>58</v>
      </c>
      <c r="C203" s="2" t="s">
        <v>59</v>
      </c>
      <c r="D203" s="2" t="s">
        <v>15</v>
      </c>
      <c r="E203" s="2" t="s">
        <v>27</v>
      </c>
      <c r="F203" s="2" t="s">
        <v>60</v>
      </c>
      <c r="G203" s="2" t="s">
        <v>18</v>
      </c>
      <c r="H203" s="2" t="s">
        <v>19</v>
      </c>
      <c r="I203" s="3">
        <v>34983</v>
      </c>
      <c r="J203" s="3">
        <v>44476</v>
      </c>
      <c r="K203" s="3">
        <v>46301</v>
      </c>
      <c r="M203" s="2" t="s">
        <v>61</v>
      </c>
    </row>
    <row r="204" spans="1:13" x14ac:dyDescent="0.35">
      <c r="A204" s="2" t="s">
        <v>49</v>
      </c>
      <c r="B204" s="2" t="s">
        <v>50</v>
      </c>
      <c r="C204" s="2" t="s">
        <v>3829</v>
      </c>
      <c r="D204" s="2" t="s">
        <v>15</v>
      </c>
      <c r="E204" s="2" t="s">
        <v>27</v>
      </c>
      <c r="F204" s="2" t="s">
        <v>28</v>
      </c>
      <c r="G204" s="2" t="s">
        <v>18</v>
      </c>
      <c r="H204" s="2" t="s">
        <v>19</v>
      </c>
      <c r="I204" s="3">
        <v>31882</v>
      </c>
      <c r="J204" s="3">
        <v>39986</v>
      </c>
      <c r="K204" s="3">
        <v>45829</v>
      </c>
      <c r="L204" s="3">
        <v>44004</v>
      </c>
      <c r="M204" s="2" t="s">
        <v>52</v>
      </c>
    </row>
    <row r="205" spans="1:13" x14ac:dyDescent="0.35">
      <c r="A205" s="2" t="s">
        <v>95</v>
      </c>
      <c r="B205" s="2" t="s">
        <v>96</v>
      </c>
      <c r="C205" s="2" t="s">
        <v>3829</v>
      </c>
      <c r="D205" s="2" t="s">
        <v>15</v>
      </c>
      <c r="E205" s="2" t="s">
        <v>27</v>
      </c>
      <c r="F205" s="2" t="s">
        <v>60</v>
      </c>
      <c r="G205" s="2" t="s">
        <v>18</v>
      </c>
      <c r="H205" s="2" t="s">
        <v>19</v>
      </c>
      <c r="I205" s="3">
        <v>38734</v>
      </c>
      <c r="J205" s="3">
        <v>40430</v>
      </c>
      <c r="K205" s="3">
        <v>46154</v>
      </c>
      <c r="M205" s="2" t="s">
        <v>97</v>
      </c>
    </row>
    <row r="206" spans="1:13" x14ac:dyDescent="0.35">
      <c r="A206" s="2" t="s">
        <v>1266</v>
      </c>
      <c r="B206" s="2" t="s">
        <v>1267</v>
      </c>
      <c r="C206" s="2" t="s">
        <v>3829</v>
      </c>
      <c r="D206" s="2" t="s">
        <v>15</v>
      </c>
      <c r="E206" s="2" t="s">
        <v>27</v>
      </c>
      <c r="F206" s="2" t="s">
        <v>28</v>
      </c>
      <c r="G206" s="2" t="s">
        <v>18</v>
      </c>
      <c r="H206" s="2" t="s">
        <v>19</v>
      </c>
      <c r="I206" s="3">
        <v>39876</v>
      </c>
      <c r="J206" s="3">
        <v>44879</v>
      </c>
      <c r="K206" s="3">
        <v>46704</v>
      </c>
      <c r="M206" s="2" t="s">
        <v>1268</v>
      </c>
    </row>
    <row r="207" spans="1:13" x14ac:dyDescent="0.35">
      <c r="A207" s="2" t="s">
        <v>841</v>
      </c>
      <c r="C207" s="2" t="s">
        <v>3977</v>
      </c>
      <c r="D207" s="2" t="s">
        <v>15</v>
      </c>
      <c r="E207" s="2" t="s">
        <v>154</v>
      </c>
      <c r="F207" s="2" t="s">
        <v>93</v>
      </c>
      <c r="G207" s="2" t="s">
        <v>18</v>
      </c>
      <c r="H207" s="2" t="s">
        <v>88</v>
      </c>
      <c r="I207" s="3">
        <v>44812</v>
      </c>
      <c r="J207" s="3">
        <v>44904</v>
      </c>
      <c r="K207" s="3">
        <v>45999</v>
      </c>
      <c r="M207" s="2" t="s">
        <v>843</v>
      </c>
    </row>
    <row r="208" spans="1:13" x14ac:dyDescent="0.35">
      <c r="A208" s="2" t="s">
        <v>580</v>
      </c>
      <c r="C208" s="2" t="s">
        <v>3907</v>
      </c>
      <c r="D208" s="2" t="s">
        <v>15</v>
      </c>
      <c r="E208" s="2" t="s">
        <v>27</v>
      </c>
      <c r="F208" s="2" t="s">
        <v>582</v>
      </c>
      <c r="G208" s="2" t="s">
        <v>18</v>
      </c>
      <c r="H208" s="2" t="s">
        <v>177</v>
      </c>
      <c r="I208" s="3">
        <v>44238</v>
      </c>
      <c r="J208" s="3">
        <v>44305</v>
      </c>
      <c r="K208" s="3">
        <v>46130</v>
      </c>
      <c r="M208" s="2" t="s">
        <v>583</v>
      </c>
    </row>
    <row r="209" spans="1:13" x14ac:dyDescent="0.35">
      <c r="A209" s="2" t="s">
        <v>584</v>
      </c>
      <c r="C209" s="2" t="s">
        <v>3907</v>
      </c>
      <c r="D209" s="2" t="s">
        <v>15</v>
      </c>
      <c r="E209" s="2" t="s">
        <v>27</v>
      </c>
      <c r="F209" s="2" t="s">
        <v>585</v>
      </c>
      <c r="G209" s="2" t="s">
        <v>18</v>
      </c>
      <c r="H209" s="2" t="s">
        <v>88</v>
      </c>
      <c r="I209" s="3">
        <v>44238</v>
      </c>
      <c r="J209" s="3">
        <v>44315</v>
      </c>
      <c r="K209" s="3">
        <v>46140</v>
      </c>
      <c r="M209" s="2" t="s">
        <v>586</v>
      </c>
    </row>
    <row r="210" spans="1:13" x14ac:dyDescent="0.35">
      <c r="A210" s="2" t="s">
        <v>1204</v>
      </c>
      <c r="B210" s="2" t="s">
        <v>666</v>
      </c>
      <c r="C210" s="2" t="s">
        <v>4050</v>
      </c>
      <c r="D210" s="2" t="s">
        <v>15</v>
      </c>
      <c r="E210" s="2" t="s">
        <v>311</v>
      </c>
      <c r="F210" s="2" t="s">
        <v>149</v>
      </c>
      <c r="G210" s="2" t="s">
        <v>18</v>
      </c>
      <c r="H210" s="2" t="s">
        <v>19</v>
      </c>
      <c r="I210" s="3">
        <v>45233</v>
      </c>
      <c r="J210" s="3">
        <v>45259</v>
      </c>
      <c r="K210" s="3">
        <v>47085</v>
      </c>
    </row>
    <row r="211" spans="1:13" x14ac:dyDescent="0.35">
      <c r="A211" s="2" t="s">
        <v>794</v>
      </c>
      <c r="C211" s="2" t="s">
        <v>3962</v>
      </c>
      <c r="D211" s="2" t="s">
        <v>15</v>
      </c>
      <c r="E211" s="2" t="s">
        <v>311</v>
      </c>
      <c r="F211" s="2" t="s">
        <v>149</v>
      </c>
      <c r="G211" s="2" t="s">
        <v>18</v>
      </c>
      <c r="H211" s="2" t="s">
        <v>19</v>
      </c>
      <c r="I211" s="3">
        <v>44529</v>
      </c>
      <c r="J211" s="3">
        <v>44594</v>
      </c>
      <c r="K211" s="3">
        <v>46419</v>
      </c>
    </row>
    <row r="212" spans="1:13" x14ac:dyDescent="0.35">
      <c r="A212" s="2" t="s">
        <v>652</v>
      </c>
      <c r="B212" s="2" t="s">
        <v>653</v>
      </c>
      <c r="C212" s="2" t="s">
        <v>654</v>
      </c>
      <c r="D212" s="2" t="s">
        <v>15</v>
      </c>
      <c r="E212" s="2" t="s">
        <v>311</v>
      </c>
      <c r="F212" s="2" t="s">
        <v>149</v>
      </c>
      <c r="G212" s="2" t="s">
        <v>18</v>
      </c>
      <c r="H212" s="2" t="s">
        <v>19</v>
      </c>
      <c r="I212" s="3">
        <v>44385</v>
      </c>
      <c r="J212" s="3">
        <v>44890</v>
      </c>
      <c r="K212" s="3">
        <v>46715</v>
      </c>
    </row>
    <row r="213" spans="1:13" x14ac:dyDescent="0.35">
      <c r="A213" s="2" t="s">
        <v>892</v>
      </c>
      <c r="B213" s="2" t="s">
        <v>893</v>
      </c>
      <c r="C213" s="2" t="s">
        <v>3988</v>
      </c>
      <c r="D213" s="2" t="s">
        <v>15</v>
      </c>
      <c r="E213" s="2" t="s">
        <v>139</v>
      </c>
      <c r="F213" s="2" t="s">
        <v>93</v>
      </c>
      <c r="G213" s="2" t="s">
        <v>18</v>
      </c>
      <c r="H213" s="2" t="s">
        <v>88</v>
      </c>
      <c r="I213" s="3">
        <v>43377</v>
      </c>
      <c r="J213" s="3">
        <v>43500</v>
      </c>
      <c r="K213" s="3">
        <v>46056</v>
      </c>
      <c r="M213" s="2" t="s">
        <v>895</v>
      </c>
    </row>
    <row r="214" spans="1:13" x14ac:dyDescent="0.35">
      <c r="A214" s="2" t="s">
        <v>1389</v>
      </c>
      <c r="B214" s="2" t="s">
        <v>1390</v>
      </c>
      <c r="C214" s="2" t="s">
        <v>4087</v>
      </c>
      <c r="D214" s="2" t="s">
        <v>15</v>
      </c>
      <c r="E214" s="2" t="s">
        <v>573</v>
      </c>
      <c r="F214" s="2" t="s">
        <v>1218</v>
      </c>
      <c r="G214" s="2" t="s">
        <v>18</v>
      </c>
      <c r="H214" s="2" t="s">
        <v>19</v>
      </c>
      <c r="I214" s="3">
        <v>45334</v>
      </c>
      <c r="J214" s="3">
        <v>45344</v>
      </c>
      <c r="K214" s="3">
        <v>45709</v>
      </c>
      <c r="M214" s="2" t="s">
        <v>1392</v>
      </c>
    </row>
    <row r="215" spans="1:13" x14ac:dyDescent="0.35">
      <c r="A215" s="2" t="s">
        <v>172</v>
      </c>
      <c r="B215" s="2" t="s">
        <v>173</v>
      </c>
      <c r="C215" s="2" t="s">
        <v>3838</v>
      </c>
      <c r="D215" s="2" t="s">
        <v>15</v>
      </c>
      <c r="E215" s="2" t="s">
        <v>139</v>
      </c>
      <c r="F215" s="2" t="s">
        <v>175</v>
      </c>
      <c r="G215" s="2" t="s">
        <v>176</v>
      </c>
      <c r="H215" s="2" t="s">
        <v>177</v>
      </c>
      <c r="I215" s="3">
        <v>40904</v>
      </c>
      <c r="J215" s="3">
        <v>40918</v>
      </c>
      <c r="K215" s="3">
        <v>44223</v>
      </c>
      <c r="M215" s="2" t="s">
        <v>178</v>
      </c>
    </row>
    <row r="216" spans="1:13" x14ac:dyDescent="0.35">
      <c r="A216" s="2" t="s">
        <v>179</v>
      </c>
      <c r="B216" s="2" t="s">
        <v>180</v>
      </c>
      <c r="C216" s="2" t="s">
        <v>3838</v>
      </c>
      <c r="D216" s="2" t="s">
        <v>15</v>
      </c>
      <c r="E216" s="2" t="s">
        <v>148</v>
      </c>
      <c r="F216" s="2" t="s">
        <v>175</v>
      </c>
      <c r="G216" s="2" t="s">
        <v>41</v>
      </c>
      <c r="H216" s="2" t="s">
        <v>177</v>
      </c>
      <c r="I216" s="3">
        <v>40924</v>
      </c>
      <c r="J216" s="3">
        <v>40940</v>
      </c>
      <c r="K216" s="3">
        <v>44957</v>
      </c>
      <c r="M216" s="2" t="s">
        <v>181</v>
      </c>
    </row>
    <row r="217" spans="1:13" x14ac:dyDescent="0.35">
      <c r="A217" s="2" t="s">
        <v>990</v>
      </c>
      <c r="B217" s="2" t="s">
        <v>991</v>
      </c>
      <c r="C217" s="2" t="s">
        <v>4008</v>
      </c>
      <c r="D217" s="2" t="s">
        <v>15</v>
      </c>
      <c r="E217" s="2" t="s">
        <v>154</v>
      </c>
      <c r="F217" s="2" t="s">
        <v>93</v>
      </c>
      <c r="G217" s="2" t="s">
        <v>18</v>
      </c>
      <c r="H217" s="2" t="s">
        <v>88</v>
      </c>
      <c r="I217" s="3">
        <v>45006</v>
      </c>
      <c r="J217" s="3">
        <v>45041</v>
      </c>
      <c r="K217" s="3">
        <v>46136</v>
      </c>
      <c r="M217" s="2" t="s">
        <v>993</v>
      </c>
    </row>
    <row r="218" spans="1:13" x14ac:dyDescent="0.35">
      <c r="A218" s="2" t="s">
        <v>1192</v>
      </c>
      <c r="C218" s="2" t="s">
        <v>4049</v>
      </c>
      <c r="D218" s="2" t="s">
        <v>15</v>
      </c>
      <c r="E218" s="2" t="s">
        <v>154</v>
      </c>
      <c r="F218" s="2" t="s">
        <v>93</v>
      </c>
      <c r="G218" s="2" t="s">
        <v>18</v>
      </c>
      <c r="H218" s="2" t="s">
        <v>177</v>
      </c>
      <c r="I218" s="3">
        <v>45233</v>
      </c>
      <c r="J218" s="3">
        <v>45366</v>
      </c>
      <c r="K218" s="3">
        <v>46460</v>
      </c>
      <c r="M218" s="2" t="s">
        <v>814</v>
      </c>
    </row>
    <row r="219" spans="1:13" x14ac:dyDescent="0.35">
      <c r="A219" s="2" t="s">
        <v>1778</v>
      </c>
      <c r="C219" s="2" t="s">
        <v>4169</v>
      </c>
      <c r="D219" s="2" t="s">
        <v>15</v>
      </c>
      <c r="E219" s="2" t="s">
        <v>154</v>
      </c>
      <c r="F219" s="2" t="s">
        <v>93</v>
      </c>
      <c r="G219" s="2" t="s">
        <v>41</v>
      </c>
      <c r="H219" s="2" t="s">
        <v>88</v>
      </c>
      <c r="I219" s="3">
        <v>44193</v>
      </c>
      <c r="J219" s="3">
        <v>44404</v>
      </c>
      <c r="K219" s="3">
        <v>45499</v>
      </c>
      <c r="M219" s="2" t="s">
        <v>1780</v>
      </c>
    </row>
    <row r="220" spans="1:13" x14ac:dyDescent="0.35">
      <c r="A220" s="2" t="s">
        <v>1119</v>
      </c>
      <c r="C220" s="2" t="s">
        <v>4037</v>
      </c>
      <c r="D220" s="2" t="s">
        <v>15</v>
      </c>
      <c r="E220" s="2" t="s">
        <v>154</v>
      </c>
      <c r="F220" s="2" t="s">
        <v>93</v>
      </c>
      <c r="G220" s="2" t="s">
        <v>18</v>
      </c>
      <c r="H220" s="2" t="s">
        <v>88</v>
      </c>
      <c r="I220" s="3">
        <v>45126</v>
      </c>
      <c r="J220" s="3">
        <v>45329</v>
      </c>
      <c r="K220" s="3">
        <v>46424</v>
      </c>
      <c r="M220" s="2" t="s">
        <v>1121</v>
      </c>
    </row>
    <row r="221" spans="1:13" x14ac:dyDescent="0.35">
      <c r="A221" s="2" t="s">
        <v>801</v>
      </c>
      <c r="B221" s="2" t="s">
        <v>566</v>
      </c>
      <c r="C221" s="2" t="s">
        <v>3964</v>
      </c>
      <c r="D221" s="2" t="s">
        <v>15</v>
      </c>
      <c r="E221" s="2" t="s">
        <v>311</v>
      </c>
      <c r="F221" s="2" t="s">
        <v>149</v>
      </c>
      <c r="G221" s="2" t="s">
        <v>18</v>
      </c>
      <c r="H221" s="2" t="s">
        <v>19</v>
      </c>
      <c r="I221" s="3">
        <v>44799</v>
      </c>
      <c r="J221" s="3">
        <v>44817</v>
      </c>
      <c r="K221" s="3">
        <v>46642</v>
      </c>
    </row>
    <row r="222" spans="1:13" x14ac:dyDescent="0.35">
      <c r="A222" s="2" t="s">
        <v>1035</v>
      </c>
      <c r="C222" s="2" t="s">
        <v>4016</v>
      </c>
      <c r="D222" s="2" t="s">
        <v>15</v>
      </c>
      <c r="E222" s="2" t="s">
        <v>154</v>
      </c>
      <c r="F222" s="2" t="s">
        <v>93</v>
      </c>
      <c r="G222" s="2" t="s">
        <v>18</v>
      </c>
      <c r="H222" s="2" t="s">
        <v>88</v>
      </c>
      <c r="I222" s="3">
        <v>44986</v>
      </c>
      <c r="J222" s="3">
        <v>45103</v>
      </c>
      <c r="K222" s="3">
        <v>46198</v>
      </c>
      <c r="M222" s="2" t="s">
        <v>1037</v>
      </c>
    </row>
    <row r="223" spans="1:13" x14ac:dyDescent="0.35">
      <c r="A223" s="2" t="s">
        <v>508</v>
      </c>
      <c r="B223" s="2" t="s">
        <v>509</v>
      </c>
      <c r="C223" s="2" t="s">
        <v>3893</v>
      </c>
      <c r="D223" s="2" t="s">
        <v>15</v>
      </c>
      <c r="E223" s="2" t="s">
        <v>154</v>
      </c>
      <c r="F223" s="2" t="s">
        <v>93</v>
      </c>
      <c r="G223" s="2" t="s">
        <v>18</v>
      </c>
      <c r="H223" s="2" t="s">
        <v>88</v>
      </c>
      <c r="I223" s="3">
        <v>43749</v>
      </c>
      <c r="J223" s="3">
        <v>43878</v>
      </c>
      <c r="K223" s="3">
        <v>46069</v>
      </c>
      <c r="L223" s="3">
        <v>44974</v>
      </c>
      <c r="M223" s="2" t="s">
        <v>511</v>
      </c>
    </row>
    <row r="224" spans="1:13" x14ac:dyDescent="0.35">
      <c r="A224" s="2" t="s">
        <v>1132</v>
      </c>
      <c r="C224" s="2" t="s">
        <v>4039</v>
      </c>
      <c r="D224" s="2" t="s">
        <v>15</v>
      </c>
      <c r="E224" s="2" t="s">
        <v>154</v>
      </c>
      <c r="F224" s="2" t="s">
        <v>93</v>
      </c>
      <c r="G224" s="2" t="s">
        <v>18</v>
      </c>
      <c r="H224" s="2" t="s">
        <v>88</v>
      </c>
      <c r="I224" s="3">
        <v>45183</v>
      </c>
      <c r="J224" s="3">
        <v>45299</v>
      </c>
      <c r="K224" s="3">
        <v>46394</v>
      </c>
      <c r="M224" s="2" t="s">
        <v>1134</v>
      </c>
    </row>
    <row r="225" spans="1:13" x14ac:dyDescent="0.35">
      <c r="A225" s="2" t="s">
        <v>1490</v>
      </c>
      <c r="B225" s="2" t="s">
        <v>1491</v>
      </c>
      <c r="C225" s="2" t="s">
        <v>4108</v>
      </c>
      <c r="D225" s="2" t="s">
        <v>15</v>
      </c>
      <c r="E225" s="2" t="s">
        <v>573</v>
      </c>
      <c r="F225" s="2" t="s">
        <v>1218</v>
      </c>
      <c r="G225" s="2" t="s">
        <v>18</v>
      </c>
      <c r="H225" s="2" t="s">
        <v>19</v>
      </c>
      <c r="I225" s="3">
        <v>45343</v>
      </c>
      <c r="J225" s="3">
        <v>45350</v>
      </c>
      <c r="K225" s="3">
        <v>45715</v>
      </c>
      <c r="M225" s="2" t="s">
        <v>1493</v>
      </c>
    </row>
    <row r="226" spans="1:13" x14ac:dyDescent="0.35">
      <c r="A226" s="2" t="s">
        <v>819</v>
      </c>
      <c r="C226" s="2" t="s">
        <v>3970</v>
      </c>
      <c r="D226" s="2" t="s">
        <v>15</v>
      </c>
      <c r="E226" s="2" t="s">
        <v>311</v>
      </c>
      <c r="F226" s="2" t="s">
        <v>149</v>
      </c>
      <c r="G226" s="2" t="s">
        <v>18</v>
      </c>
      <c r="H226" s="2" t="s">
        <v>19</v>
      </c>
      <c r="I226" s="3">
        <v>44423</v>
      </c>
      <c r="J226" s="3">
        <v>44704</v>
      </c>
      <c r="K226" s="3">
        <v>46529</v>
      </c>
    </row>
    <row r="227" spans="1:13" x14ac:dyDescent="0.35">
      <c r="A227" s="2" t="s">
        <v>1401</v>
      </c>
      <c r="B227" s="2" t="s">
        <v>1402</v>
      </c>
      <c r="C227" s="2" t="s">
        <v>3970</v>
      </c>
      <c r="D227" s="2" t="s">
        <v>15</v>
      </c>
      <c r="E227" s="2" t="s">
        <v>27</v>
      </c>
      <c r="F227" s="2" t="s">
        <v>28</v>
      </c>
      <c r="G227" s="2" t="s">
        <v>18</v>
      </c>
      <c r="H227" s="2" t="s">
        <v>88</v>
      </c>
      <c r="I227" s="3">
        <v>45257</v>
      </c>
      <c r="J227" s="3">
        <v>44612</v>
      </c>
      <c r="K227" s="3">
        <v>46437</v>
      </c>
      <c r="M227" s="2" t="s">
        <v>1403</v>
      </c>
    </row>
    <row r="228" spans="1:13" x14ac:dyDescent="0.35">
      <c r="A228" s="2" t="s">
        <v>1565</v>
      </c>
      <c r="C228" s="2" t="s">
        <v>4125</v>
      </c>
      <c r="D228" s="2" t="s">
        <v>15</v>
      </c>
      <c r="E228" s="2" t="s">
        <v>573</v>
      </c>
      <c r="F228" s="2" t="s">
        <v>395</v>
      </c>
      <c r="G228" s="2" t="s">
        <v>18</v>
      </c>
      <c r="H228" s="2" t="s">
        <v>19</v>
      </c>
      <c r="I228" s="5">
        <v>45863.4227777778</v>
      </c>
      <c r="J228" s="3">
        <v>45870</v>
      </c>
      <c r="K228" s="3">
        <v>46234</v>
      </c>
      <c r="M228" s="2" t="s">
        <v>1567</v>
      </c>
    </row>
    <row r="229" spans="1:13" x14ac:dyDescent="0.35">
      <c r="A229" s="2" t="s">
        <v>1213</v>
      </c>
      <c r="B229" s="2" t="s">
        <v>566</v>
      </c>
      <c r="C229" s="2" t="s">
        <v>4053</v>
      </c>
      <c r="D229" s="2" t="s">
        <v>15</v>
      </c>
      <c r="E229" s="2" t="s">
        <v>311</v>
      </c>
      <c r="F229" s="2" t="s">
        <v>149</v>
      </c>
      <c r="G229" s="2" t="s">
        <v>18</v>
      </c>
      <c r="H229" s="2" t="s">
        <v>19</v>
      </c>
      <c r="I229" s="3">
        <v>45194</v>
      </c>
      <c r="J229" s="3">
        <v>45202</v>
      </c>
      <c r="K229" s="3">
        <v>47028</v>
      </c>
    </row>
    <row r="230" spans="1:13" x14ac:dyDescent="0.35">
      <c r="A230" s="2" t="s">
        <v>691</v>
      </c>
      <c r="B230" s="2" t="s">
        <v>692</v>
      </c>
      <c r="C230" s="2" t="s">
        <v>3936</v>
      </c>
      <c r="D230" s="2" t="s">
        <v>15</v>
      </c>
      <c r="E230" s="2" t="s">
        <v>154</v>
      </c>
      <c r="F230" s="2" t="s">
        <v>93</v>
      </c>
      <c r="G230" s="2" t="s">
        <v>18</v>
      </c>
      <c r="H230" s="2" t="s">
        <v>88</v>
      </c>
      <c r="I230" s="3">
        <v>44384</v>
      </c>
      <c r="J230" s="3">
        <v>44642</v>
      </c>
      <c r="K230" s="3">
        <v>45737</v>
      </c>
      <c r="M230" s="2" t="s">
        <v>694</v>
      </c>
    </row>
    <row r="231" spans="1:13" x14ac:dyDescent="0.35">
      <c r="A231" s="2" t="s">
        <v>1415</v>
      </c>
      <c r="B231" s="2" t="s">
        <v>1416</v>
      </c>
      <c r="C231" s="2" t="s">
        <v>4092</v>
      </c>
      <c r="D231" s="2" t="s">
        <v>15</v>
      </c>
      <c r="E231" s="2" t="s">
        <v>573</v>
      </c>
      <c r="F231" s="2" t="s">
        <v>395</v>
      </c>
      <c r="G231" s="2" t="s">
        <v>18</v>
      </c>
      <c r="H231" s="2" t="s">
        <v>19</v>
      </c>
      <c r="I231" s="3">
        <v>45357</v>
      </c>
      <c r="J231" s="3">
        <v>45359</v>
      </c>
      <c r="K231" s="3">
        <v>45723</v>
      </c>
      <c r="M231" s="2" t="s">
        <v>1418</v>
      </c>
    </row>
    <row r="232" spans="1:13" x14ac:dyDescent="0.35">
      <c r="A232" s="2" t="s">
        <v>1419</v>
      </c>
      <c r="B232" s="2" t="s">
        <v>1420</v>
      </c>
      <c r="C232" s="2" t="s">
        <v>4092</v>
      </c>
      <c r="D232" s="2" t="s">
        <v>15</v>
      </c>
      <c r="E232" s="2" t="s">
        <v>573</v>
      </c>
      <c r="F232" s="2" t="s">
        <v>395</v>
      </c>
      <c r="G232" s="2" t="s">
        <v>18</v>
      </c>
      <c r="H232" s="2" t="s">
        <v>19</v>
      </c>
      <c r="I232" s="3">
        <v>45355</v>
      </c>
      <c r="J232" s="3">
        <v>45359</v>
      </c>
      <c r="K232" s="3">
        <v>45723</v>
      </c>
      <c r="M232" s="2" t="s">
        <v>1421</v>
      </c>
    </row>
    <row r="233" spans="1:13" x14ac:dyDescent="0.35">
      <c r="A233" s="2" t="s">
        <v>1015</v>
      </c>
      <c r="B233" s="2" t="s">
        <v>1016</v>
      </c>
      <c r="C233" s="2" t="s">
        <v>4013</v>
      </c>
      <c r="D233" s="2" t="s">
        <v>15</v>
      </c>
      <c r="E233" s="2" t="s">
        <v>154</v>
      </c>
      <c r="F233" s="2" t="s">
        <v>93</v>
      </c>
      <c r="G233" s="2" t="s">
        <v>18</v>
      </c>
      <c r="H233" s="2" t="s">
        <v>88</v>
      </c>
      <c r="I233" s="3">
        <v>44867</v>
      </c>
      <c r="J233" s="3">
        <v>45357</v>
      </c>
      <c r="K233" s="3">
        <v>46451</v>
      </c>
      <c r="M233" s="2" t="s">
        <v>370</v>
      </c>
    </row>
    <row r="234" spans="1:13" x14ac:dyDescent="0.35">
      <c r="A234" s="2" t="s">
        <v>1057</v>
      </c>
      <c r="B234" s="2" t="s">
        <v>1058</v>
      </c>
      <c r="C234" s="2" t="s">
        <v>4022</v>
      </c>
      <c r="D234" s="2" t="s">
        <v>15</v>
      </c>
      <c r="E234" s="2" t="s">
        <v>154</v>
      </c>
      <c r="F234" s="2" t="s">
        <v>93</v>
      </c>
      <c r="G234" s="2" t="s">
        <v>18</v>
      </c>
      <c r="H234" s="2" t="s">
        <v>177</v>
      </c>
      <c r="I234" s="3">
        <v>45071</v>
      </c>
      <c r="J234" s="3">
        <v>45117</v>
      </c>
      <c r="K234" s="3">
        <v>46212</v>
      </c>
      <c r="M234" s="2" t="s">
        <v>1060</v>
      </c>
    </row>
    <row r="235" spans="1:13" x14ac:dyDescent="0.35">
      <c r="A235" s="2" t="s">
        <v>371</v>
      </c>
      <c r="B235" s="2" t="s">
        <v>372</v>
      </c>
      <c r="C235" s="2" t="s">
        <v>373</v>
      </c>
      <c r="D235" s="2" t="s">
        <v>15</v>
      </c>
      <c r="E235" s="2" t="s">
        <v>154</v>
      </c>
      <c r="F235" s="2" t="s">
        <v>93</v>
      </c>
      <c r="G235" s="2" t="s">
        <v>41</v>
      </c>
      <c r="H235" s="2" t="s">
        <v>88</v>
      </c>
      <c r="I235" s="3">
        <v>42808</v>
      </c>
      <c r="J235" s="3">
        <v>44249</v>
      </c>
      <c r="K235" s="3">
        <v>45306</v>
      </c>
      <c r="M235" s="2" t="s">
        <v>370</v>
      </c>
    </row>
    <row r="236" spans="1:13" x14ac:dyDescent="0.35">
      <c r="A236" s="2" t="s">
        <v>1322</v>
      </c>
      <c r="B236" s="2" t="s">
        <v>1323</v>
      </c>
      <c r="C236" s="2" t="s">
        <v>4072</v>
      </c>
      <c r="D236" s="2" t="s">
        <v>15</v>
      </c>
      <c r="E236" s="2" t="s">
        <v>154</v>
      </c>
      <c r="F236" s="2" t="s">
        <v>93</v>
      </c>
      <c r="G236" s="2" t="s">
        <v>18</v>
      </c>
      <c r="H236" s="2" t="s">
        <v>88</v>
      </c>
      <c r="I236" s="3">
        <v>45012</v>
      </c>
      <c r="J236" s="3">
        <v>45294</v>
      </c>
      <c r="K236" s="3">
        <v>46389</v>
      </c>
      <c r="M236" s="2" t="s">
        <v>370</v>
      </c>
    </row>
    <row r="237" spans="1:13" x14ac:dyDescent="0.35">
      <c r="A237" s="2" t="s">
        <v>1433</v>
      </c>
      <c r="B237" s="2" t="s">
        <v>1434</v>
      </c>
      <c r="C237" s="2" t="s">
        <v>4095</v>
      </c>
      <c r="D237" s="2" t="s">
        <v>15</v>
      </c>
      <c r="E237" s="2" t="s">
        <v>154</v>
      </c>
      <c r="F237" s="2" t="s">
        <v>93</v>
      </c>
      <c r="G237" s="2" t="s">
        <v>18</v>
      </c>
      <c r="H237" s="2" t="s">
        <v>88</v>
      </c>
      <c r="I237" s="3">
        <v>45119</v>
      </c>
      <c r="J237" s="3">
        <v>45357</v>
      </c>
      <c r="K237" s="3">
        <v>46451</v>
      </c>
      <c r="M237" s="2" t="s">
        <v>1436</v>
      </c>
    </row>
    <row r="238" spans="1:13" x14ac:dyDescent="0.35">
      <c r="A238" s="2" t="s">
        <v>1615</v>
      </c>
      <c r="C238" s="2" t="s">
        <v>4136</v>
      </c>
      <c r="D238" s="2" t="s">
        <v>15</v>
      </c>
      <c r="E238" s="2" t="s">
        <v>573</v>
      </c>
      <c r="F238" s="2" t="s">
        <v>395</v>
      </c>
      <c r="G238" s="2" t="s">
        <v>18</v>
      </c>
      <c r="H238" s="2" t="s">
        <v>19</v>
      </c>
      <c r="I238" s="5">
        <v>45973.574976851902</v>
      </c>
      <c r="J238" s="3">
        <v>46013</v>
      </c>
      <c r="K238" s="3">
        <v>46377</v>
      </c>
      <c r="M238" s="2" t="s">
        <v>1617</v>
      </c>
    </row>
    <row r="239" spans="1:13" x14ac:dyDescent="0.35">
      <c r="A239" s="2" t="s">
        <v>486</v>
      </c>
      <c r="C239" s="2" t="s">
        <v>3889</v>
      </c>
      <c r="D239" s="2" t="s">
        <v>15</v>
      </c>
      <c r="E239" s="2" t="s">
        <v>27</v>
      </c>
      <c r="F239" s="2" t="s">
        <v>28</v>
      </c>
      <c r="G239" s="2" t="s">
        <v>41</v>
      </c>
      <c r="H239" s="2" t="s">
        <v>19</v>
      </c>
      <c r="I239" s="3">
        <v>43360</v>
      </c>
      <c r="J239" s="3">
        <v>43543</v>
      </c>
      <c r="K239" s="3">
        <v>45369</v>
      </c>
      <c r="M239" s="2" t="s">
        <v>488</v>
      </c>
    </row>
    <row r="240" spans="1:13" x14ac:dyDescent="0.35">
      <c r="A240" s="2" t="s">
        <v>1426</v>
      </c>
      <c r="B240" s="2" t="s">
        <v>1427</v>
      </c>
      <c r="C240" s="2" t="s">
        <v>4094</v>
      </c>
      <c r="D240" s="2" t="s">
        <v>15</v>
      </c>
      <c r="E240" s="2" t="s">
        <v>573</v>
      </c>
      <c r="F240" s="2" t="s">
        <v>395</v>
      </c>
      <c r="G240" s="2" t="s">
        <v>18</v>
      </c>
      <c r="H240" s="2" t="s">
        <v>19</v>
      </c>
      <c r="I240" s="3">
        <v>45358</v>
      </c>
      <c r="J240" s="3">
        <v>45363</v>
      </c>
      <c r="K240" s="3">
        <v>45727</v>
      </c>
      <c r="M240" s="2" t="s">
        <v>1429</v>
      </c>
    </row>
    <row r="241" spans="1:13" x14ac:dyDescent="0.35">
      <c r="A241" s="2" t="s">
        <v>367</v>
      </c>
      <c r="B241" s="2" t="s">
        <v>368</v>
      </c>
      <c r="C241" s="2" t="s">
        <v>3863</v>
      </c>
      <c r="D241" s="2" t="s">
        <v>15</v>
      </c>
      <c r="E241" s="2" t="s">
        <v>154</v>
      </c>
      <c r="F241" s="2" t="s">
        <v>93</v>
      </c>
      <c r="G241" s="2" t="s">
        <v>41</v>
      </c>
      <c r="H241" s="2" t="s">
        <v>88</v>
      </c>
      <c r="I241" s="3">
        <v>42787</v>
      </c>
      <c r="J241" s="3">
        <v>44258</v>
      </c>
      <c r="K241" s="3">
        <v>45353</v>
      </c>
      <c r="M241" s="2" t="s">
        <v>370</v>
      </c>
    </row>
    <row r="242" spans="1:13" x14ac:dyDescent="0.35">
      <c r="A242" s="2" t="s">
        <v>316</v>
      </c>
      <c r="B242" s="2" t="s">
        <v>317</v>
      </c>
      <c r="C242" s="2" t="s">
        <v>3852</v>
      </c>
      <c r="D242" s="2" t="s">
        <v>15</v>
      </c>
      <c r="E242" s="2" t="s">
        <v>154</v>
      </c>
      <c r="F242" s="2" t="s">
        <v>93</v>
      </c>
      <c r="G242" s="2" t="s">
        <v>18</v>
      </c>
      <c r="H242" s="2" t="s">
        <v>88</v>
      </c>
      <c r="I242" s="3">
        <v>42381</v>
      </c>
      <c r="J242" s="3">
        <v>40190</v>
      </c>
      <c r="K242" s="3">
        <v>45421</v>
      </c>
      <c r="L242" s="3">
        <v>43707</v>
      </c>
      <c r="M242" s="2" t="s">
        <v>319</v>
      </c>
    </row>
    <row r="243" spans="1:13" x14ac:dyDescent="0.35">
      <c r="A243" s="2" t="s">
        <v>544</v>
      </c>
      <c r="B243" s="2" t="s">
        <v>545</v>
      </c>
      <c r="C243" s="2" t="s">
        <v>3899</v>
      </c>
      <c r="D243" s="2" t="s">
        <v>15</v>
      </c>
      <c r="E243" s="2" t="s">
        <v>154</v>
      </c>
      <c r="F243" s="2" t="s">
        <v>93</v>
      </c>
      <c r="G243" s="2" t="s">
        <v>41</v>
      </c>
      <c r="H243" s="2" t="s">
        <v>88</v>
      </c>
      <c r="I243" s="3">
        <v>44032</v>
      </c>
      <c r="J243" s="3">
        <v>42537</v>
      </c>
      <c r="K243" s="3">
        <v>43633</v>
      </c>
      <c r="M243" s="2" t="s">
        <v>547</v>
      </c>
    </row>
    <row r="244" spans="1:13" x14ac:dyDescent="0.35">
      <c r="A244" s="2" t="s">
        <v>811</v>
      </c>
      <c r="B244" s="2" t="s">
        <v>812</v>
      </c>
      <c r="C244" s="2" t="s">
        <v>3967</v>
      </c>
      <c r="D244" s="2" t="s">
        <v>15</v>
      </c>
      <c r="E244" s="2" t="s">
        <v>154</v>
      </c>
      <c r="F244" s="2" t="s">
        <v>93</v>
      </c>
      <c r="G244" s="2" t="s">
        <v>18</v>
      </c>
      <c r="H244" s="2" t="s">
        <v>88</v>
      </c>
      <c r="I244" s="3">
        <v>44796</v>
      </c>
      <c r="J244" s="3">
        <v>45000</v>
      </c>
      <c r="K244" s="3">
        <v>46095</v>
      </c>
      <c r="M244" s="2" t="s">
        <v>814</v>
      </c>
    </row>
    <row r="245" spans="1:13" x14ac:dyDescent="0.35">
      <c r="A245" s="2" t="s">
        <v>1679</v>
      </c>
      <c r="C245" s="2" t="s">
        <v>4147</v>
      </c>
      <c r="D245" s="2" t="s">
        <v>15</v>
      </c>
      <c r="E245" s="2" t="s">
        <v>573</v>
      </c>
      <c r="F245" s="2" t="s">
        <v>1218</v>
      </c>
      <c r="G245" s="2" t="s">
        <v>18</v>
      </c>
      <c r="H245" s="2" t="s">
        <v>19</v>
      </c>
      <c r="I245" s="5">
        <v>45960.553506944401</v>
      </c>
      <c r="J245" s="3">
        <v>46002</v>
      </c>
      <c r="K245" s="3">
        <v>46366</v>
      </c>
      <c r="M245" s="2" t="s">
        <v>1681</v>
      </c>
    </row>
    <row r="246" spans="1:13" x14ac:dyDescent="0.35">
      <c r="A246" s="2" t="s">
        <v>1682</v>
      </c>
      <c r="C246" s="2" t="s">
        <v>4147</v>
      </c>
      <c r="D246" s="2" t="s">
        <v>15</v>
      </c>
      <c r="E246" s="2" t="s">
        <v>573</v>
      </c>
      <c r="F246" s="2" t="s">
        <v>1218</v>
      </c>
      <c r="G246" s="2" t="s">
        <v>18</v>
      </c>
      <c r="H246" s="2" t="s">
        <v>19</v>
      </c>
      <c r="I246" s="5">
        <v>45960.493518518502</v>
      </c>
      <c r="J246" s="3">
        <v>46002</v>
      </c>
      <c r="K246" s="3">
        <v>46366</v>
      </c>
      <c r="M246" s="2" t="s">
        <v>1683</v>
      </c>
    </row>
    <row r="247" spans="1:13" x14ac:dyDescent="0.35">
      <c r="A247" s="2" t="s">
        <v>450</v>
      </c>
      <c r="B247" s="2" t="s">
        <v>328</v>
      </c>
      <c r="C247" s="2" t="s">
        <v>3881</v>
      </c>
      <c r="D247" s="2" t="s">
        <v>15</v>
      </c>
      <c r="E247" s="2" t="s">
        <v>311</v>
      </c>
      <c r="F247" s="2" t="s">
        <v>149</v>
      </c>
      <c r="G247" s="2" t="s">
        <v>18</v>
      </c>
      <c r="H247" s="2" t="s">
        <v>19</v>
      </c>
      <c r="I247" s="3">
        <v>43225</v>
      </c>
      <c r="J247" s="3">
        <v>43273</v>
      </c>
      <c r="K247" s="3">
        <v>46880</v>
      </c>
      <c r="L247" s="3">
        <v>45055</v>
      </c>
      <c r="M247" s="2" t="s">
        <v>452</v>
      </c>
    </row>
    <row r="248" spans="1:13" x14ac:dyDescent="0.35">
      <c r="A248" s="2" t="s">
        <v>1018</v>
      </c>
      <c r="B248" s="2" t="s">
        <v>1019</v>
      </c>
      <c r="C248" s="2" t="s">
        <v>1020</v>
      </c>
      <c r="D248" s="2" t="s">
        <v>15</v>
      </c>
      <c r="E248" s="2" t="s">
        <v>139</v>
      </c>
      <c r="F248" s="2" t="s">
        <v>93</v>
      </c>
      <c r="G248" s="2" t="s">
        <v>18</v>
      </c>
      <c r="H248" s="2" t="s">
        <v>88</v>
      </c>
      <c r="I248" s="3">
        <v>44831</v>
      </c>
      <c r="J248" s="3">
        <v>44959</v>
      </c>
      <c r="K248" s="3">
        <v>46419</v>
      </c>
      <c r="M248" s="2" t="s">
        <v>1021</v>
      </c>
    </row>
    <row r="249" spans="1:13" x14ac:dyDescent="0.35">
      <c r="A249" s="2" t="s">
        <v>655</v>
      </c>
      <c r="B249" s="2" t="s">
        <v>656</v>
      </c>
      <c r="C249" s="2" t="s">
        <v>3928</v>
      </c>
      <c r="D249" s="2" t="s">
        <v>15</v>
      </c>
      <c r="E249" s="2" t="s">
        <v>139</v>
      </c>
      <c r="F249" s="2" t="s">
        <v>93</v>
      </c>
      <c r="G249" s="2" t="s">
        <v>18</v>
      </c>
      <c r="H249" s="2" t="s">
        <v>88</v>
      </c>
      <c r="I249" s="3">
        <v>44529</v>
      </c>
      <c r="J249" s="3">
        <v>45357</v>
      </c>
      <c r="K249" s="3">
        <v>46817</v>
      </c>
      <c r="M249" s="2" t="s">
        <v>658</v>
      </c>
    </row>
    <row r="250" spans="1:13" x14ac:dyDescent="0.35">
      <c r="A250" s="2" t="s">
        <v>1543</v>
      </c>
      <c r="B250" s="2" t="s">
        <v>1544</v>
      </c>
      <c r="C250" s="2" t="s">
        <v>4120</v>
      </c>
      <c r="D250" s="2" t="s">
        <v>15</v>
      </c>
      <c r="E250" s="2" t="s">
        <v>139</v>
      </c>
      <c r="F250" s="2" t="s">
        <v>93</v>
      </c>
      <c r="G250" s="2" t="s">
        <v>18</v>
      </c>
      <c r="H250" s="2" t="s">
        <v>88</v>
      </c>
      <c r="I250" s="3">
        <v>44217</v>
      </c>
      <c r="J250" s="3">
        <v>44413</v>
      </c>
      <c r="K250" s="3">
        <v>45873</v>
      </c>
      <c r="M250" s="2" t="s">
        <v>1546</v>
      </c>
    </row>
    <row r="251" spans="1:13" x14ac:dyDescent="0.35">
      <c r="A251" s="2" t="s">
        <v>923</v>
      </c>
      <c r="C251" s="2" t="s">
        <v>3996</v>
      </c>
      <c r="D251" s="2" t="s">
        <v>15</v>
      </c>
      <c r="E251" s="2" t="s">
        <v>154</v>
      </c>
      <c r="F251" s="2" t="s">
        <v>93</v>
      </c>
      <c r="G251" s="2" t="s">
        <v>18</v>
      </c>
      <c r="H251" s="2" t="s">
        <v>88</v>
      </c>
      <c r="I251" s="3">
        <v>44861</v>
      </c>
      <c r="J251" s="3">
        <v>45006</v>
      </c>
      <c r="K251" s="3">
        <v>46101</v>
      </c>
      <c r="M251" s="2" t="s">
        <v>925</v>
      </c>
    </row>
    <row r="252" spans="1:13" x14ac:dyDescent="0.35">
      <c r="A252" s="2" t="s">
        <v>695</v>
      </c>
      <c r="B252" s="2" t="s">
        <v>696</v>
      </c>
      <c r="C252" s="2" t="s">
        <v>3937</v>
      </c>
      <c r="D252" s="2" t="s">
        <v>15</v>
      </c>
      <c r="E252" s="2" t="s">
        <v>154</v>
      </c>
      <c r="F252" s="2" t="s">
        <v>93</v>
      </c>
      <c r="G252" s="2" t="s">
        <v>41</v>
      </c>
      <c r="H252" s="2" t="s">
        <v>88</v>
      </c>
      <c r="I252" s="3">
        <v>40045</v>
      </c>
      <c r="J252" s="3">
        <v>40119</v>
      </c>
      <c r="K252" s="3">
        <v>44136</v>
      </c>
      <c r="L252" s="3">
        <v>43041</v>
      </c>
      <c r="M252" s="2" t="s">
        <v>698</v>
      </c>
    </row>
    <row r="253" spans="1:13" x14ac:dyDescent="0.35">
      <c r="A253" s="2" t="s">
        <v>397</v>
      </c>
      <c r="B253" s="2" t="s">
        <v>398</v>
      </c>
      <c r="C253" s="2" t="s">
        <v>399</v>
      </c>
      <c r="D253" s="2" t="s">
        <v>15</v>
      </c>
      <c r="E253" s="2" t="s">
        <v>294</v>
      </c>
      <c r="F253" s="2" t="s">
        <v>17</v>
      </c>
      <c r="G253" s="2" t="s">
        <v>18</v>
      </c>
      <c r="H253" s="2" t="s">
        <v>19</v>
      </c>
      <c r="I253" s="3">
        <v>43000</v>
      </c>
      <c r="J253" s="3">
        <v>43481</v>
      </c>
      <c r="K253" s="3">
        <v>52612</v>
      </c>
      <c r="M253" s="2" t="s">
        <v>400</v>
      </c>
    </row>
    <row r="254" spans="1:13" x14ac:dyDescent="0.35">
      <c r="A254" s="2" t="s">
        <v>1238</v>
      </c>
      <c r="B254" s="2" t="s">
        <v>1239</v>
      </c>
      <c r="C254" s="2" t="s">
        <v>4059</v>
      </c>
      <c r="D254" s="2" t="s">
        <v>15</v>
      </c>
      <c r="E254" s="2" t="s">
        <v>139</v>
      </c>
      <c r="F254" s="2" t="s">
        <v>93</v>
      </c>
      <c r="G254" s="2" t="s">
        <v>18</v>
      </c>
      <c r="H254" s="2" t="s">
        <v>88</v>
      </c>
      <c r="I254" s="3">
        <v>45126</v>
      </c>
      <c r="J254" s="3">
        <v>45259</v>
      </c>
      <c r="K254" s="3">
        <v>46719</v>
      </c>
      <c r="M254" s="2" t="s">
        <v>1241</v>
      </c>
    </row>
    <row r="255" spans="1:13" x14ac:dyDescent="0.35">
      <c r="A255" s="2" t="s">
        <v>110</v>
      </c>
      <c r="B255" s="2" t="s">
        <v>111</v>
      </c>
      <c r="C255" s="2" t="s">
        <v>112</v>
      </c>
      <c r="D255" s="2" t="s">
        <v>15</v>
      </c>
      <c r="E255" s="2" t="s">
        <v>16</v>
      </c>
      <c r="F255" s="2" t="s">
        <v>113</v>
      </c>
      <c r="G255" s="2" t="s">
        <v>18</v>
      </c>
      <c r="H255" s="2" t="s">
        <v>19</v>
      </c>
      <c r="I255" s="3">
        <v>38826</v>
      </c>
      <c r="J255" s="3">
        <v>40102</v>
      </c>
      <c r="K255" s="3">
        <v>48520</v>
      </c>
      <c r="M255" s="2" t="s">
        <v>114</v>
      </c>
    </row>
    <row r="256" spans="1:13" x14ac:dyDescent="0.35">
      <c r="A256" s="2" t="s">
        <v>1052</v>
      </c>
      <c r="B256" s="2" t="s">
        <v>1053</v>
      </c>
      <c r="C256" s="2" t="s">
        <v>4021</v>
      </c>
      <c r="D256" s="2" t="s">
        <v>15</v>
      </c>
      <c r="E256" s="2" t="s">
        <v>139</v>
      </c>
      <c r="F256" s="2" t="s">
        <v>1055</v>
      </c>
      <c r="G256" s="2" t="s">
        <v>18</v>
      </c>
      <c r="H256" s="2" t="s">
        <v>19</v>
      </c>
      <c r="I256" s="3">
        <v>44421</v>
      </c>
      <c r="J256" s="3">
        <v>44433</v>
      </c>
      <c r="K256" s="3">
        <v>45893</v>
      </c>
      <c r="M256" s="2" t="s">
        <v>1056</v>
      </c>
    </row>
    <row r="257" spans="1:13" x14ac:dyDescent="0.35">
      <c r="A257" s="2" t="s">
        <v>639</v>
      </c>
      <c r="C257" s="2" t="s">
        <v>3924</v>
      </c>
      <c r="D257" s="2" t="s">
        <v>15</v>
      </c>
      <c r="E257" s="2" t="s">
        <v>27</v>
      </c>
      <c r="F257" s="2" t="s">
        <v>641</v>
      </c>
      <c r="G257" s="2" t="s">
        <v>18</v>
      </c>
      <c r="H257" s="2" t="s">
        <v>19</v>
      </c>
      <c r="I257" s="3">
        <v>44320</v>
      </c>
      <c r="J257" s="3">
        <v>44392</v>
      </c>
      <c r="K257" s="3">
        <v>46217</v>
      </c>
      <c r="M257" s="2" t="s">
        <v>642</v>
      </c>
    </row>
    <row r="258" spans="1:13" x14ac:dyDescent="0.35">
      <c r="A258" s="2" t="s">
        <v>1517</v>
      </c>
      <c r="B258" s="2" t="s">
        <v>1518</v>
      </c>
      <c r="C258" s="2" t="s">
        <v>4114</v>
      </c>
      <c r="D258" s="2" t="s">
        <v>15</v>
      </c>
      <c r="E258" s="2" t="s">
        <v>139</v>
      </c>
      <c r="F258" s="2" t="s">
        <v>93</v>
      </c>
      <c r="G258" s="2" t="s">
        <v>18</v>
      </c>
      <c r="H258" s="2" t="s">
        <v>88</v>
      </c>
      <c r="I258" s="3">
        <v>45306</v>
      </c>
      <c r="J258" s="3">
        <v>45380</v>
      </c>
      <c r="K258" s="3">
        <v>46840</v>
      </c>
      <c r="M258" s="2" t="s">
        <v>1520</v>
      </c>
    </row>
    <row r="259" spans="1:13" x14ac:dyDescent="0.35">
      <c r="A259" s="2" t="s">
        <v>649</v>
      </c>
      <c r="B259" s="2" t="s">
        <v>650</v>
      </c>
      <c r="C259" s="2" t="s">
        <v>3927</v>
      </c>
      <c r="D259" s="2" t="s">
        <v>15</v>
      </c>
      <c r="E259" s="2" t="s">
        <v>311</v>
      </c>
      <c r="F259" s="2" t="s">
        <v>149</v>
      </c>
      <c r="G259" s="2" t="s">
        <v>18</v>
      </c>
      <c r="H259" s="2" t="s">
        <v>19</v>
      </c>
      <c r="I259" s="3">
        <v>44425</v>
      </c>
      <c r="J259" s="3">
        <v>44462</v>
      </c>
      <c r="K259" s="3">
        <v>46287</v>
      </c>
    </row>
    <row r="260" spans="1:13" x14ac:dyDescent="0.35">
      <c r="A260" s="2" t="s">
        <v>936</v>
      </c>
      <c r="B260" s="2" t="s">
        <v>937</v>
      </c>
      <c r="C260" s="2" t="s">
        <v>3998</v>
      </c>
      <c r="D260" s="2" t="s">
        <v>15</v>
      </c>
      <c r="E260" s="2" t="s">
        <v>148</v>
      </c>
      <c r="F260" s="2" t="s">
        <v>113</v>
      </c>
      <c r="G260" s="2" t="s">
        <v>18</v>
      </c>
      <c r="H260" s="2" t="s">
        <v>939</v>
      </c>
      <c r="I260" s="3">
        <v>44970</v>
      </c>
      <c r="J260" s="3">
        <v>44977</v>
      </c>
      <c r="K260" s="3">
        <v>46802</v>
      </c>
      <c r="M260" s="2" t="s">
        <v>940</v>
      </c>
    </row>
    <row r="261" spans="1:13" x14ac:dyDescent="0.35">
      <c r="A261" s="2" t="s">
        <v>1206</v>
      </c>
      <c r="B261" s="2" t="s">
        <v>1207</v>
      </c>
      <c r="C261" s="2" t="s">
        <v>4051</v>
      </c>
      <c r="D261" s="2" t="s">
        <v>15</v>
      </c>
      <c r="E261" s="2" t="s">
        <v>573</v>
      </c>
      <c r="F261" s="2" t="s">
        <v>395</v>
      </c>
      <c r="G261" s="2" t="s">
        <v>18</v>
      </c>
      <c r="H261" s="2" t="s">
        <v>19</v>
      </c>
      <c r="I261" s="3">
        <v>45055</v>
      </c>
      <c r="J261" s="3">
        <v>45286</v>
      </c>
      <c r="K261" s="3">
        <v>45651</v>
      </c>
      <c r="M261" s="2" t="s">
        <v>1209</v>
      </c>
    </row>
    <row r="262" spans="1:13" x14ac:dyDescent="0.35">
      <c r="A262" s="2" t="s">
        <v>1378</v>
      </c>
      <c r="B262" s="2" t="s">
        <v>1379</v>
      </c>
      <c r="C262" s="2" t="s">
        <v>4051</v>
      </c>
      <c r="D262" s="2" t="s">
        <v>15</v>
      </c>
      <c r="E262" s="2" t="s">
        <v>573</v>
      </c>
      <c r="F262" s="2" t="s">
        <v>395</v>
      </c>
      <c r="G262" s="2" t="s">
        <v>18</v>
      </c>
      <c r="H262" s="2" t="s">
        <v>19</v>
      </c>
      <c r="I262" s="3">
        <v>44517</v>
      </c>
      <c r="J262" s="3">
        <v>45343</v>
      </c>
      <c r="K262" s="3">
        <v>45708</v>
      </c>
      <c r="M262" s="2" t="s">
        <v>1380</v>
      </c>
    </row>
    <row r="263" spans="1:13" x14ac:dyDescent="0.35">
      <c r="A263" s="2" t="s">
        <v>834</v>
      </c>
      <c r="B263" s="2" t="s">
        <v>321</v>
      </c>
      <c r="C263" s="2" t="s">
        <v>3975</v>
      </c>
      <c r="D263" s="2" t="s">
        <v>15</v>
      </c>
      <c r="E263" s="2" t="s">
        <v>573</v>
      </c>
      <c r="F263" s="2" t="s">
        <v>395</v>
      </c>
      <c r="G263" s="2" t="s">
        <v>41</v>
      </c>
      <c r="H263" s="2" t="s">
        <v>19</v>
      </c>
      <c r="I263" s="3">
        <v>44614</v>
      </c>
      <c r="J263" s="3">
        <v>44971</v>
      </c>
      <c r="K263" s="3">
        <v>45335</v>
      </c>
      <c r="M263" s="2" t="s">
        <v>836</v>
      </c>
    </row>
    <row r="264" spans="1:13" x14ac:dyDescent="0.35">
      <c r="A264" s="2" t="s">
        <v>1112</v>
      </c>
      <c r="C264" s="2" t="s">
        <v>4035</v>
      </c>
      <c r="D264" s="2" t="s">
        <v>15</v>
      </c>
      <c r="E264" s="2" t="s">
        <v>27</v>
      </c>
      <c r="F264" s="2" t="s">
        <v>60</v>
      </c>
      <c r="G264" s="2" t="s">
        <v>18</v>
      </c>
      <c r="H264" s="2" t="s">
        <v>19</v>
      </c>
      <c r="I264" s="3">
        <v>45041</v>
      </c>
      <c r="J264" s="3">
        <v>45104</v>
      </c>
      <c r="K264" s="3">
        <v>46930</v>
      </c>
      <c r="M264" s="2" t="s">
        <v>1114</v>
      </c>
    </row>
    <row r="265" spans="1:13" x14ac:dyDescent="0.35">
      <c r="A265" s="2" t="s">
        <v>1175</v>
      </c>
      <c r="C265" s="2" t="s">
        <v>4035</v>
      </c>
      <c r="D265" s="2" t="s">
        <v>15</v>
      </c>
      <c r="E265" s="2" t="s">
        <v>27</v>
      </c>
      <c r="F265" s="2" t="s">
        <v>60</v>
      </c>
      <c r="G265" s="2" t="s">
        <v>18</v>
      </c>
      <c r="H265" s="2" t="s">
        <v>19</v>
      </c>
      <c r="I265" s="3">
        <v>45047</v>
      </c>
      <c r="J265" s="3">
        <v>45196</v>
      </c>
      <c r="K265" s="3">
        <v>47022</v>
      </c>
      <c r="M265" s="2" t="s">
        <v>1176</v>
      </c>
    </row>
    <row r="266" spans="1:13" x14ac:dyDescent="0.35">
      <c r="A266" s="2" t="s">
        <v>1012</v>
      </c>
      <c r="B266" s="2" t="s">
        <v>700</v>
      </c>
      <c r="C266" s="2" t="s">
        <v>4012</v>
      </c>
      <c r="D266" s="2" t="s">
        <v>15</v>
      </c>
      <c r="E266" s="2" t="s">
        <v>154</v>
      </c>
      <c r="F266" s="2" t="s">
        <v>93</v>
      </c>
      <c r="G266" s="2" t="s">
        <v>18</v>
      </c>
      <c r="H266" s="2" t="s">
        <v>88</v>
      </c>
      <c r="I266" s="3">
        <v>45013</v>
      </c>
      <c r="J266" s="3">
        <v>45030</v>
      </c>
      <c r="K266" s="3">
        <v>46125</v>
      </c>
      <c r="M266" s="2" t="s">
        <v>1014</v>
      </c>
    </row>
    <row r="267" spans="1:13" x14ac:dyDescent="0.35">
      <c r="A267" s="2" t="s">
        <v>772</v>
      </c>
      <c r="B267" s="2" t="s">
        <v>773</v>
      </c>
      <c r="C267" s="2" t="s">
        <v>3957</v>
      </c>
      <c r="D267" s="2" t="s">
        <v>15</v>
      </c>
      <c r="E267" s="2" t="s">
        <v>139</v>
      </c>
      <c r="F267" s="2" t="s">
        <v>93</v>
      </c>
      <c r="G267" s="2" t="s">
        <v>18</v>
      </c>
      <c r="H267" s="2" t="s">
        <v>88</v>
      </c>
      <c r="I267" s="3">
        <v>44642</v>
      </c>
      <c r="J267" s="3">
        <v>44792</v>
      </c>
      <c r="K267" s="3">
        <v>46252</v>
      </c>
      <c r="M267" s="2" t="s">
        <v>775</v>
      </c>
    </row>
    <row r="268" spans="1:13" x14ac:dyDescent="0.35">
      <c r="A268" s="2" t="s">
        <v>628</v>
      </c>
      <c r="B268" s="2" t="s">
        <v>629</v>
      </c>
      <c r="C268" s="2" t="s">
        <v>3920</v>
      </c>
      <c r="D268" s="2" t="s">
        <v>15</v>
      </c>
      <c r="E268" s="2" t="s">
        <v>311</v>
      </c>
      <c r="F268" s="2" t="s">
        <v>149</v>
      </c>
      <c r="G268" s="2" t="s">
        <v>18</v>
      </c>
      <c r="H268" s="2" t="s">
        <v>19</v>
      </c>
      <c r="I268" s="3">
        <v>44417</v>
      </c>
      <c r="J268" s="3">
        <v>44481</v>
      </c>
      <c r="K268" s="3">
        <v>46306</v>
      </c>
    </row>
    <row r="269" spans="1:13" x14ac:dyDescent="0.35">
      <c r="A269" s="2" t="s">
        <v>1345</v>
      </c>
      <c r="B269" s="2" t="s">
        <v>1346</v>
      </c>
      <c r="C269" s="2" t="s">
        <v>3920</v>
      </c>
      <c r="D269" s="2" t="s">
        <v>15</v>
      </c>
      <c r="E269" s="2" t="s">
        <v>27</v>
      </c>
      <c r="F269" s="2" t="s">
        <v>28</v>
      </c>
      <c r="G269" s="2" t="s">
        <v>18</v>
      </c>
      <c r="H269" s="2" t="s">
        <v>19</v>
      </c>
      <c r="I269" s="3">
        <v>45222</v>
      </c>
      <c r="J269" s="3">
        <v>45287</v>
      </c>
      <c r="K269" s="3">
        <v>47113</v>
      </c>
      <c r="M269" s="2" t="s">
        <v>1347</v>
      </c>
    </row>
    <row r="270" spans="1:13" x14ac:dyDescent="0.35">
      <c r="A270" s="2" t="s">
        <v>1071</v>
      </c>
      <c r="B270" s="2" t="s">
        <v>1072</v>
      </c>
      <c r="C270" s="2" t="s">
        <v>4025</v>
      </c>
      <c r="D270" s="2" t="s">
        <v>15</v>
      </c>
      <c r="E270" s="2" t="s">
        <v>139</v>
      </c>
      <c r="F270" s="2" t="s">
        <v>712</v>
      </c>
      <c r="G270" s="2" t="s">
        <v>18</v>
      </c>
      <c r="H270" s="2" t="s">
        <v>88</v>
      </c>
      <c r="I270" s="3">
        <v>45033</v>
      </c>
      <c r="J270" s="3">
        <v>45070</v>
      </c>
      <c r="K270" s="3">
        <v>46530</v>
      </c>
      <c r="M270" s="2" t="s">
        <v>1074</v>
      </c>
    </row>
    <row r="271" spans="1:13" x14ac:dyDescent="0.35">
      <c r="A271" s="2" t="s">
        <v>548</v>
      </c>
      <c r="B271" s="2" t="s">
        <v>328</v>
      </c>
      <c r="C271" s="2" t="s">
        <v>3900</v>
      </c>
      <c r="D271" s="2" t="s">
        <v>15</v>
      </c>
      <c r="E271" s="2" t="s">
        <v>311</v>
      </c>
      <c r="F271" s="2" t="s">
        <v>149</v>
      </c>
      <c r="G271" s="2" t="s">
        <v>18</v>
      </c>
      <c r="H271" s="2" t="s">
        <v>19</v>
      </c>
      <c r="I271" s="3">
        <v>44069</v>
      </c>
      <c r="J271" s="3">
        <v>44116</v>
      </c>
      <c r="K271" s="3">
        <v>45941</v>
      </c>
      <c r="M271" s="2" t="s">
        <v>550</v>
      </c>
    </row>
    <row r="272" spans="1:13" x14ac:dyDescent="0.35">
      <c r="A272" s="2" t="s">
        <v>555</v>
      </c>
      <c r="B272" s="2" t="s">
        <v>556</v>
      </c>
      <c r="C272" s="2" t="s">
        <v>3900</v>
      </c>
      <c r="D272" s="2" t="s">
        <v>15</v>
      </c>
      <c r="E272" s="2" t="s">
        <v>139</v>
      </c>
      <c r="F272" s="2" t="s">
        <v>17</v>
      </c>
      <c r="G272" s="2" t="s">
        <v>41</v>
      </c>
      <c r="H272" s="2" t="s">
        <v>299</v>
      </c>
      <c r="I272" s="3">
        <v>44105</v>
      </c>
      <c r="J272" s="3">
        <v>44132</v>
      </c>
      <c r="K272" s="3">
        <v>45592</v>
      </c>
      <c r="M272" s="2" t="s">
        <v>557</v>
      </c>
    </row>
    <row r="273" spans="1:13" x14ac:dyDescent="0.35">
      <c r="A273" s="2" t="s">
        <v>1086</v>
      </c>
      <c r="B273" s="2" t="s">
        <v>1087</v>
      </c>
      <c r="C273" s="2" t="s">
        <v>4029</v>
      </c>
      <c r="D273" s="2" t="s">
        <v>15</v>
      </c>
      <c r="E273" s="2" t="s">
        <v>139</v>
      </c>
      <c r="F273" s="2" t="s">
        <v>93</v>
      </c>
      <c r="G273" s="2" t="s">
        <v>18</v>
      </c>
      <c r="H273" s="2" t="s">
        <v>88</v>
      </c>
      <c r="I273" s="3">
        <v>44691</v>
      </c>
      <c r="J273" s="3">
        <v>45113</v>
      </c>
      <c r="K273" s="3">
        <v>46573</v>
      </c>
      <c r="M273" s="2" t="s">
        <v>1089</v>
      </c>
    </row>
    <row r="274" spans="1:13" x14ac:dyDescent="0.35">
      <c r="A274" s="2" t="s">
        <v>1534</v>
      </c>
      <c r="B274" s="2" t="s">
        <v>1535</v>
      </c>
      <c r="C274" s="2" t="s">
        <v>4029</v>
      </c>
      <c r="D274" s="2" t="s">
        <v>15</v>
      </c>
      <c r="E274" s="2" t="s">
        <v>139</v>
      </c>
      <c r="F274" s="2" t="s">
        <v>712</v>
      </c>
      <c r="G274" s="2" t="s">
        <v>18</v>
      </c>
      <c r="H274" s="2" t="s">
        <v>88</v>
      </c>
      <c r="I274" s="3">
        <v>44837</v>
      </c>
      <c r="J274" s="3">
        <v>44956</v>
      </c>
      <c r="K274" s="3">
        <v>46416</v>
      </c>
      <c r="M274" s="2" t="s">
        <v>1536</v>
      </c>
    </row>
    <row r="275" spans="1:13" x14ac:dyDescent="0.35">
      <c r="A275" s="2" t="s">
        <v>1064</v>
      </c>
      <c r="B275" s="2" t="s">
        <v>1065</v>
      </c>
      <c r="C275" s="2" t="s">
        <v>1066</v>
      </c>
      <c r="D275" s="2" t="s">
        <v>15</v>
      </c>
      <c r="E275" s="2" t="s">
        <v>139</v>
      </c>
      <c r="F275" s="2" t="s">
        <v>93</v>
      </c>
      <c r="G275" s="2" t="s">
        <v>18</v>
      </c>
      <c r="H275" s="2" t="s">
        <v>177</v>
      </c>
      <c r="I275" s="3">
        <v>44998</v>
      </c>
      <c r="J275" s="3">
        <v>45195</v>
      </c>
      <c r="K275" s="3">
        <v>46655</v>
      </c>
      <c r="M275" s="2" t="s">
        <v>1067</v>
      </c>
    </row>
    <row r="276" spans="1:13" x14ac:dyDescent="0.35">
      <c r="A276" s="2" t="s">
        <v>473</v>
      </c>
      <c r="B276" s="2" t="s">
        <v>474</v>
      </c>
      <c r="C276" s="2" t="s">
        <v>3886</v>
      </c>
      <c r="D276" s="2" t="s">
        <v>15</v>
      </c>
      <c r="E276" s="2" t="s">
        <v>139</v>
      </c>
      <c r="F276" s="2" t="s">
        <v>93</v>
      </c>
      <c r="G276" s="2" t="s">
        <v>18</v>
      </c>
      <c r="H276" s="2" t="s">
        <v>88</v>
      </c>
      <c r="I276" s="3">
        <v>43308</v>
      </c>
      <c r="J276" s="3">
        <v>43543</v>
      </c>
      <c r="K276" s="3">
        <v>46100</v>
      </c>
      <c r="M276" s="2" t="s">
        <v>476</v>
      </c>
    </row>
    <row r="277" spans="1:13" x14ac:dyDescent="0.35">
      <c r="A277" s="2" t="s">
        <v>1749</v>
      </c>
      <c r="B277" s="2" t="s">
        <v>256</v>
      </c>
      <c r="C277" s="2" t="s">
        <v>4163</v>
      </c>
      <c r="D277" s="2" t="s">
        <v>15</v>
      </c>
      <c r="E277" s="2" t="s">
        <v>27</v>
      </c>
      <c r="F277" s="2" t="s">
        <v>60</v>
      </c>
      <c r="G277" s="2" t="s">
        <v>41</v>
      </c>
      <c r="H277" s="2" t="s">
        <v>19</v>
      </c>
      <c r="I277" s="3">
        <v>41603</v>
      </c>
      <c r="J277" s="3">
        <v>41816</v>
      </c>
      <c r="K277" s="3">
        <v>45468</v>
      </c>
      <c r="M277" s="2" t="s">
        <v>1751</v>
      </c>
    </row>
    <row r="278" spans="1:13" x14ac:dyDescent="0.35">
      <c r="A278" s="2" t="s">
        <v>69</v>
      </c>
      <c r="B278" s="2" t="s">
        <v>70</v>
      </c>
      <c r="C278" s="2" t="s">
        <v>71</v>
      </c>
      <c r="D278" s="2" t="s">
        <v>15</v>
      </c>
      <c r="E278" s="2" t="s">
        <v>16</v>
      </c>
      <c r="F278" s="2" t="s">
        <v>17</v>
      </c>
      <c r="G278" s="2" t="s">
        <v>18</v>
      </c>
      <c r="H278" s="2" t="s">
        <v>19</v>
      </c>
      <c r="I278" s="3">
        <v>35986</v>
      </c>
      <c r="J278" s="3">
        <v>40102</v>
      </c>
      <c r="K278" s="3">
        <v>45584</v>
      </c>
      <c r="M278" s="2" t="s">
        <v>72</v>
      </c>
    </row>
    <row r="279" spans="1:13" x14ac:dyDescent="0.35">
      <c r="A279" s="2" t="s">
        <v>73</v>
      </c>
      <c r="B279" s="2" t="s">
        <v>74</v>
      </c>
      <c r="C279" s="2" t="s">
        <v>71</v>
      </c>
      <c r="D279" s="2" t="s">
        <v>15</v>
      </c>
      <c r="E279" s="2" t="s">
        <v>16</v>
      </c>
      <c r="F279" s="2" t="s">
        <v>17</v>
      </c>
      <c r="G279" s="2" t="s">
        <v>41</v>
      </c>
      <c r="H279" s="2" t="s">
        <v>19</v>
      </c>
      <c r="I279" s="3">
        <v>35986</v>
      </c>
      <c r="J279" s="3">
        <v>36452</v>
      </c>
      <c r="K279" s="3">
        <v>45583</v>
      </c>
      <c r="M279" s="2" t="s">
        <v>75</v>
      </c>
    </row>
    <row r="280" spans="1:13" x14ac:dyDescent="0.35">
      <c r="A280" s="2" t="s">
        <v>568</v>
      </c>
      <c r="B280" s="2" t="s">
        <v>566</v>
      </c>
      <c r="C280" s="2" t="s">
        <v>3904</v>
      </c>
      <c r="D280" s="2" t="s">
        <v>15</v>
      </c>
      <c r="E280" s="2" t="s">
        <v>311</v>
      </c>
      <c r="F280" s="2" t="s">
        <v>149</v>
      </c>
      <c r="G280" s="2" t="s">
        <v>18</v>
      </c>
      <c r="H280" s="2" t="s">
        <v>19</v>
      </c>
      <c r="I280" s="3">
        <v>43845</v>
      </c>
      <c r="J280" s="3">
        <v>43879</v>
      </c>
      <c r="K280" s="3">
        <v>45705</v>
      </c>
      <c r="M280" s="2" t="s">
        <v>550</v>
      </c>
    </row>
    <row r="281" spans="1:13" x14ac:dyDescent="0.35">
      <c r="A281" s="2" t="s">
        <v>309</v>
      </c>
      <c r="B281" s="2" t="s">
        <v>146</v>
      </c>
      <c r="C281" s="2" t="s">
        <v>3851</v>
      </c>
      <c r="D281" s="2" t="s">
        <v>15</v>
      </c>
      <c r="E281" s="2" t="s">
        <v>311</v>
      </c>
      <c r="F281" s="2" t="s">
        <v>149</v>
      </c>
      <c r="G281" s="2" t="s">
        <v>41</v>
      </c>
      <c r="H281" s="2" t="s">
        <v>19</v>
      </c>
      <c r="I281" s="3">
        <v>42279</v>
      </c>
      <c r="J281" s="3">
        <v>42466</v>
      </c>
      <c r="K281" s="3">
        <v>44291</v>
      </c>
      <c r="M281" s="2" t="s">
        <v>312</v>
      </c>
    </row>
    <row r="282" spans="1:13" x14ac:dyDescent="0.35">
      <c r="A282" s="2" t="s">
        <v>1339</v>
      </c>
      <c r="C282" s="2" t="s">
        <v>4076</v>
      </c>
      <c r="D282" s="2" t="s">
        <v>15</v>
      </c>
      <c r="E282" s="2" t="s">
        <v>154</v>
      </c>
      <c r="F282" s="2" t="s">
        <v>93</v>
      </c>
      <c r="G282" s="2" t="s">
        <v>18</v>
      </c>
      <c r="H282" s="2" t="s">
        <v>88</v>
      </c>
      <c r="I282" s="3">
        <v>45296</v>
      </c>
      <c r="J282" s="3">
        <v>45342</v>
      </c>
      <c r="K282" s="3">
        <v>46437</v>
      </c>
      <c r="M282" s="2" t="s">
        <v>1341</v>
      </c>
    </row>
    <row r="283" spans="1:13" x14ac:dyDescent="0.35">
      <c r="A283" s="2" t="s">
        <v>1278</v>
      </c>
      <c r="C283" s="2" t="s">
        <v>4065</v>
      </c>
      <c r="D283" s="2" t="s">
        <v>15</v>
      </c>
      <c r="E283" s="2" t="s">
        <v>148</v>
      </c>
      <c r="F283" s="2" t="s">
        <v>93</v>
      </c>
      <c r="G283" s="2" t="s">
        <v>18</v>
      </c>
      <c r="H283" s="2" t="s">
        <v>88</v>
      </c>
      <c r="I283" s="3">
        <v>45294</v>
      </c>
      <c r="J283" s="3">
        <v>45308</v>
      </c>
      <c r="K283" s="3">
        <v>47134</v>
      </c>
      <c r="M283" s="2" t="s">
        <v>1280</v>
      </c>
    </row>
    <row r="284" spans="1:13" x14ac:dyDescent="0.35">
      <c r="A284" s="2" t="s">
        <v>1589</v>
      </c>
      <c r="C284" s="2" t="s">
        <v>1590</v>
      </c>
      <c r="D284" s="2" t="s">
        <v>15</v>
      </c>
      <c r="E284" s="2" t="s">
        <v>573</v>
      </c>
      <c r="F284" s="2" t="s">
        <v>395</v>
      </c>
      <c r="G284" s="2" t="s">
        <v>18</v>
      </c>
      <c r="H284" s="2" t="s">
        <v>19</v>
      </c>
      <c r="I284" s="5">
        <v>45940.499976851897</v>
      </c>
      <c r="J284" s="3">
        <v>46013</v>
      </c>
      <c r="K284" s="3">
        <v>46377</v>
      </c>
      <c r="M284" s="2" t="s">
        <v>1591</v>
      </c>
    </row>
    <row r="285" spans="1:13" x14ac:dyDescent="0.35">
      <c r="A285" s="2" t="s">
        <v>1592</v>
      </c>
      <c r="C285" s="2" t="s">
        <v>4132</v>
      </c>
      <c r="D285" s="2" t="s">
        <v>15</v>
      </c>
      <c r="E285" s="2" t="s">
        <v>573</v>
      </c>
      <c r="F285" s="2" t="s">
        <v>395</v>
      </c>
      <c r="G285" s="2" t="s">
        <v>18</v>
      </c>
      <c r="H285" s="2" t="s">
        <v>19</v>
      </c>
      <c r="I285" s="5">
        <v>45940.557187500002</v>
      </c>
      <c r="J285" s="3">
        <v>46013</v>
      </c>
      <c r="K285" s="3">
        <v>46377</v>
      </c>
      <c r="M285" s="2" t="s">
        <v>1594</v>
      </c>
    </row>
    <row r="286" spans="1:13" x14ac:dyDescent="0.35">
      <c r="A286" s="2" t="s">
        <v>1595</v>
      </c>
      <c r="C286" s="2" t="s">
        <v>4132</v>
      </c>
      <c r="D286" s="2" t="s">
        <v>15</v>
      </c>
      <c r="E286" s="2" t="s">
        <v>573</v>
      </c>
      <c r="F286" s="2" t="s">
        <v>395</v>
      </c>
      <c r="G286" s="2" t="s">
        <v>18</v>
      </c>
      <c r="H286" s="2" t="s">
        <v>19</v>
      </c>
      <c r="I286" s="5">
        <v>45940.580578703702</v>
      </c>
      <c r="J286" s="3">
        <v>46013</v>
      </c>
      <c r="K286" s="3">
        <v>46377</v>
      </c>
      <c r="M286" s="2" t="s">
        <v>1596</v>
      </c>
    </row>
    <row r="287" spans="1:13" x14ac:dyDescent="0.35">
      <c r="A287" s="2" t="s">
        <v>1597</v>
      </c>
      <c r="C287" s="2" t="s">
        <v>4132</v>
      </c>
      <c r="D287" s="2" t="s">
        <v>15</v>
      </c>
      <c r="E287" s="2" t="s">
        <v>573</v>
      </c>
      <c r="F287" s="2" t="s">
        <v>395</v>
      </c>
      <c r="G287" s="2" t="s">
        <v>18</v>
      </c>
      <c r="H287" s="2" t="s">
        <v>19</v>
      </c>
      <c r="I287" s="5">
        <v>45940.635891203703</v>
      </c>
      <c r="J287" s="3">
        <v>45978</v>
      </c>
      <c r="K287" s="3">
        <v>46342</v>
      </c>
      <c r="M287" s="2" t="s">
        <v>1598</v>
      </c>
    </row>
    <row r="288" spans="1:13" x14ac:dyDescent="0.35">
      <c r="A288" s="2" t="s">
        <v>1599</v>
      </c>
      <c r="C288" s="2" t="s">
        <v>4132</v>
      </c>
      <c r="D288" s="2" t="s">
        <v>15</v>
      </c>
      <c r="E288" s="2" t="s">
        <v>573</v>
      </c>
      <c r="F288" s="2" t="s">
        <v>1218</v>
      </c>
      <c r="G288" s="2" t="s">
        <v>18</v>
      </c>
      <c r="H288" s="2" t="s">
        <v>101</v>
      </c>
      <c r="I288" s="5">
        <v>45940.651875000003</v>
      </c>
      <c r="J288" s="3">
        <v>45978</v>
      </c>
      <c r="K288" s="3">
        <v>46342</v>
      </c>
      <c r="M288" s="2" t="s">
        <v>1600</v>
      </c>
    </row>
    <row r="289" spans="1:13" x14ac:dyDescent="0.35">
      <c r="A289" s="2" t="s">
        <v>1102</v>
      </c>
      <c r="C289" s="2" t="s">
        <v>4032</v>
      </c>
      <c r="D289" s="2" t="s">
        <v>15</v>
      </c>
      <c r="E289" s="2" t="s">
        <v>311</v>
      </c>
      <c r="F289" s="2" t="s">
        <v>149</v>
      </c>
      <c r="G289" s="2" t="s">
        <v>18</v>
      </c>
      <c r="H289" s="2" t="s">
        <v>19</v>
      </c>
      <c r="I289" s="3">
        <v>45102</v>
      </c>
      <c r="J289" s="3">
        <v>45117</v>
      </c>
      <c r="K289" s="3">
        <v>46943</v>
      </c>
    </row>
    <row r="290" spans="1:13" x14ac:dyDescent="0.35">
      <c r="A290" s="2" t="s">
        <v>1242</v>
      </c>
      <c r="B290" s="2" t="s">
        <v>1243</v>
      </c>
      <c r="C290" s="2" t="s">
        <v>4060</v>
      </c>
      <c r="D290" s="2" t="s">
        <v>15</v>
      </c>
      <c r="E290" s="2" t="s">
        <v>148</v>
      </c>
      <c r="F290" s="2" t="s">
        <v>17</v>
      </c>
      <c r="G290" s="2" t="s">
        <v>18</v>
      </c>
      <c r="H290" s="2" t="s">
        <v>163</v>
      </c>
      <c r="I290" s="3">
        <v>45287</v>
      </c>
      <c r="J290" s="3">
        <v>45294</v>
      </c>
      <c r="K290" s="3">
        <v>47120</v>
      </c>
      <c r="M290" s="2" t="s">
        <v>1245</v>
      </c>
    </row>
    <row r="291" spans="1:13" x14ac:dyDescent="0.35">
      <c r="A291" s="2" t="s">
        <v>1246</v>
      </c>
      <c r="B291" s="2" t="s">
        <v>1247</v>
      </c>
      <c r="C291" s="2" t="s">
        <v>4060</v>
      </c>
      <c r="D291" s="2" t="s">
        <v>15</v>
      </c>
      <c r="E291" s="2" t="s">
        <v>148</v>
      </c>
      <c r="F291" s="2" t="s">
        <v>17</v>
      </c>
      <c r="G291" s="2" t="s">
        <v>18</v>
      </c>
      <c r="H291" s="2" t="s">
        <v>163</v>
      </c>
      <c r="I291" s="3">
        <v>45287</v>
      </c>
      <c r="J291" s="3">
        <v>45294</v>
      </c>
      <c r="K291" s="3">
        <v>47120</v>
      </c>
      <c r="M291" s="2" t="s">
        <v>1248</v>
      </c>
    </row>
    <row r="292" spans="1:13" x14ac:dyDescent="0.35">
      <c r="A292" s="2" t="s">
        <v>1524</v>
      </c>
      <c r="B292" s="2" t="s">
        <v>1525</v>
      </c>
      <c r="C292" s="2" t="s">
        <v>4116</v>
      </c>
      <c r="D292" s="2" t="s">
        <v>15</v>
      </c>
      <c r="E292" s="2" t="s">
        <v>311</v>
      </c>
      <c r="F292" s="2" t="s">
        <v>149</v>
      </c>
      <c r="G292" s="2" t="s">
        <v>18</v>
      </c>
      <c r="H292" s="2" t="s">
        <v>19</v>
      </c>
      <c r="I292" s="3">
        <v>45439</v>
      </c>
      <c r="J292" s="3">
        <v>45057</v>
      </c>
      <c r="K292" s="3">
        <v>46883</v>
      </c>
    </row>
    <row r="293" spans="1:13" x14ac:dyDescent="0.35">
      <c r="A293" s="2" t="s">
        <v>459</v>
      </c>
      <c r="B293" s="2" t="s">
        <v>460</v>
      </c>
      <c r="C293" s="2" t="s">
        <v>3884</v>
      </c>
      <c r="D293" s="2" t="s">
        <v>15</v>
      </c>
      <c r="E293" s="2" t="s">
        <v>139</v>
      </c>
      <c r="F293" s="2" t="s">
        <v>113</v>
      </c>
      <c r="G293" s="2" t="s">
        <v>18</v>
      </c>
      <c r="H293" s="2" t="s">
        <v>19</v>
      </c>
      <c r="I293" s="3">
        <v>43256</v>
      </c>
      <c r="J293" s="3">
        <v>43390</v>
      </c>
      <c r="K293" s="3">
        <v>45946</v>
      </c>
      <c r="M293" s="2" t="s">
        <v>462</v>
      </c>
    </row>
    <row r="294" spans="1:13" x14ac:dyDescent="0.35">
      <c r="A294" s="2" t="s">
        <v>1022</v>
      </c>
      <c r="B294" s="2" t="s">
        <v>1023</v>
      </c>
      <c r="C294" s="2" t="s">
        <v>1024</v>
      </c>
      <c r="D294" s="2" t="s">
        <v>15</v>
      </c>
      <c r="E294" s="2" t="s">
        <v>139</v>
      </c>
      <c r="F294" s="2" t="s">
        <v>93</v>
      </c>
      <c r="G294" s="2" t="s">
        <v>18</v>
      </c>
      <c r="H294" s="2" t="s">
        <v>88</v>
      </c>
      <c r="I294" s="3">
        <v>44887</v>
      </c>
      <c r="J294" s="3">
        <v>45195</v>
      </c>
      <c r="K294" s="3">
        <v>46655</v>
      </c>
      <c r="M294" s="2" t="s">
        <v>1025</v>
      </c>
    </row>
    <row r="295" spans="1:13" x14ac:dyDescent="0.35">
      <c r="A295" s="2" t="s">
        <v>684</v>
      </c>
      <c r="B295" s="2" t="s">
        <v>197</v>
      </c>
      <c r="C295" s="2" t="s">
        <v>3934</v>
      </c>
      <c r="D295" s="2" t="s">
        <v>15</v>
      </c>
      <c r="E295" s="2" t="s">
        <v>154</v>
      </c>
      <c r="F295" s="2" t="s">
        <v>93</v>
      </c>
      <c r="G295" s="2" t="s">
        <v>18</v>
      </c>
      <c r="H295" s="2" t="s">
        <v>88</v>
      </c>
      <c r="I295" s="3">
        <v>44546</v>
      </c>
      <c r="J295" s="3">
        <v>44762</v>
      </c>
      <c r="K295" s="3">
        <v>45857</v>
      </c>
      <c r="M295" s="2" t="s">
        <v>686</v>
      </c>
    </row>
    <row r="296" spans="1:13" x14ac:dyDescent="0.35">
      <c r="A296" s="2" t="s">
        <v>1289</v>
      </c>
      <c r="C296" s="2" t="s">
        <v>4068</v>
      </c>
      <c r="D296" s="2" t="s">
        <v>15</v>
      </c>
      <c r="E296" s="2" t="s">
        <v>27</v>
      </c>
      <c r="F296" s="2" t="s">
        <v>28</v>
      </c>
      <c r="G296" s="2" t="s">
        <v>18</v>
      </c>
      <c r="H296" s="2" t="s">
        <v>19</v>
      </c>
      <c r="I296" s="3">
        <v>44887</v>
      </c>
      <c r="J296" s="3">
        <v>45000</v>
      </c>
      <c r="K296" s="3">
        <v>46826</v>
      </c>
      <c r="M296" s="2" t="s">
        <v>1291</v>
      </c>
    </row>
    <row r="297" spans="1:13" x14ac:dyDescent="0.35">
      <c r="A297" s="2" t="s">
        <v>847</v>
      </c>
      <c r="C297" s="2" t="s">
        <v>3978</v>
      </c>
      <c r="D297" s="2" t="s">
        <v>15</v>
      </c>
      <c r="E297" s="2" t="s">
        <v>154</v>
      </c>
      <c r="F297" s="2" t="s">
        <v>93</v>
      </c>
      <c r="G297" s="2" t="s">
        <v>18</v>
      </c>
      <c r="H297" s="2" t="s">
        <v>88</v>
      </c>
      <c r="I297" s="3">
        <v>44840</v>
      </c>
      <c r="J297" s="3">
        <v>45315</v>
      </c>
      <c r="K297" s="3">
        <v>46410</v>
      </c>
      <c r="M297" s="2" t="s">
        <v>849</v>
      </c>
    </row>
    <row r="298" spans="1:13" x14ac:dyDescent="0.35">
      <c r="A298" s="2" t="s">
        <v>767</v>
      </c>
      <c r="C298" s="2" t="s">
        <v>3955</v>
      </c>
      <c r="D298" s="2" t="s">
        <v>15</v>
      </c>
      <c r="E298" s="2" t="s">
        <v>148</v>
      </c>
      <c r="F298" s="2" t="s">
        <v>93</v>
      </c>
      <c r="G298" s="2" t="s">
        <v>18</v>
      </c>
      <c r="H298" s="2" t="s">
        <v>88</v>
      </c>
      <c r="I298" s="3">
        <v>44770</v>
      </c>
      <c r="J298" s="3">
        <v>44783</v>
      </c>
      <c r="K298" s="3">
        <v>46608</v>
      </c>
      <c r="M298" s="2" t="s">
        <v>769</v>
      </c>
    </row>
    <row r="299" spans="1:13" x14ac:dyDescent="0.35">
      <c r="A299" s="2" t="s">
        <v>1311</v>
      </c>
      <c r="C299" s="2" t="s">
        <v>1312</v>
      </c>
      <c r="D299" s="2" t="s">
        <v>15</v>
      </c>
      <c r="E299" s="2" t="s">
        <v>154</v>
      </c>
      <c r="F299" s="2" t="s">
        <v>93</v>
      </c>
      <c r="G299" s="2" t="s">
        <v>18</v>
      </c>
      <c r="H299" s="2" t="s">
        <v>88</v>
      </c>
      <c r="I299" s="3">
        <v>45302</v>
      </c>
      <c r="J299" s="3">
        <v>45315</v>
      </c>
      <c r="K299" s="3">
        <v>46410</v>
      </c>
      <c r="M299" s="2" t="s">
        <v>1313</v>
      </c>
    </row>
    <row r="300" spans="1:13" x14ac:dyDescent="0.35">
      <c r="A300" s="2" t="s">
        <v>1304</v>
      </c>
      <c r="B300" s="2" t="s">
        <v>734</v>
      </c>
      <c r="C300" s="2" t="s">
        <v>4071</v>
      </c>
      <c r="D300" s="2" t="s">
        <v>15</v>
      </c>
      <c r="E300" s="2" t="s">
        <v>154</v>
      </c>
      <c r="F300" s="2" t="s">
        <v>93</v>
      </c>
      <c r="G300" s="2" t="s">
        <v>18</v>
      </c>
      <c r="H300" s="2" t="s">
        <v>88</v>
      </c>
      <c r="I300" s="3">
        <v>45299</v>
      </c>
      <c r="J300" s="3">
        <v>45315</v>
      </c>
      <c r="K300" s="3">
        <v>46410</v>
      </c>
      <c r="M300" s="2" t="s">
        <v>1306</v>
      </c>
    </row>
    <row r="301" spans="1:13" x14ac:dyDescent="0.35">
      <c r="A301" s="2" t="s">
        <v>1307</v>
      </c>
      <c r="B301" s="2" t="s">
        <v>700</v>
      </c>
      <c r="C301" s="2" t="s">
        <v>4071</v>
      </c>
      <c r="D301" s="2" t="s">
        <v>15</v>
      </c>
      <c r="E301" s="2" t="s">
        <v>154</v>
      </c>
      <c r="F301" s="2" t="s">
        <v>93</v>
      </c>
      <c r="G301" s="2" t="s">
        <v>18</v>
      </c>
      <c r="H301" s="2" t="s">
        <v>88</v>
      </c>
      <c r="I301" s="3">
        <v>45299</v>
      </c>
      <c r="J301" s="3">
        <v>45315</v>
      </c>
      <c r="K301" s="3">
        <v>46410</v>
      </c>
      <c r="M301" s="2" t="s">
        <v>1308</v>
      </c>
    </row>
    <row r="302" spans="1:13" x14ac:dyDescent="0.35">
      <c r="A302" s="2" t="s">
        <v>1309</v>
      </c>
      <c r="B302" s="2" t="s">
        <v>704</v>
      </c>
      <c r="C302" s="2" t="s">
        <v>4071</v>
      </c>
      <c r="D302" s="2" t="s">
        <v>15</v>
      </c>
      <c r="E302" s="2" t="s">
        <v>154</v>
      </c>
      <c r="F302" s="2" t="s">
        <v>93</v>
      </c>
      <c r="G302" s="2" t="s">
        <v>18</v>
      </c>
      <c r="H302" s="2" t="s">
        <v>88</v>
      </c>
      <c r="I302" s="3">
        <v>45299</v>
      </c>
      <c r="J302" s="3">
        <v>45315</v>
      </c>
      <c r="K302" s="3">
        <v>46410</v>
      </c>
      <c r="M302" s="2" t="s">
        <v>1310</v>
      </c>
    </row>
    <row r="303" spans="1:13" x14ac:dyDescent="0.35">
      <c r="A303" s="2" t="s">
        <v>1314</v>
      </c>
      <c r="C303" s="2" t="s">
        <v>4071</v>
      </c>
      <c r="D303" s="2" t="s">
        <v>15</v>
      </c>
      <c r="E303" s="2" t="s">
        <v>154</v>
      </c>
      <c r="F303" s="2" t="s">
        <v>93</v>
      </c>
      <c r="G303" s="2" t="s">
        <v>18</v>
      </c>
      <c r="H303" s="2" t="s">
        <v>88</v>
      </c>
      <c r="I303" s="3">
        <v>45299</v>
      </c>
      <c r="J303" s="3">
        <v>45315</v>
      </c>
      <c r="K303" s="3">
        <v>46410</v>
      </c>
      <c r="M303" s="2" t="s">
        <v>1315</v>
      </c>
    </row>
    <row r="304" spans="1:13" x14ac:dyDescent="0.35">
      <c r="A304" s="2" t="s">
        <v>1453</v>
      </c>
      <c r="B304" s="2" t="s">
        <v>1454</v>
      </c>
      <c r="C304" s="2" t="s">
        <v>4100</v>
      </c>
      <c r="D304" s="2" t="s">
        <v>15</v>
      </c>
      <c r="E304" s="2" t="s">
        <v>139</v>
      </c>
      <c r="F304" s="2" t="s">
        <v>175</v>
      </c>
      <c r="G304" s="2" t="s">
        <v>18</v>
      </c>
      <c r="H304" s="2" t="s">
        <v>88</v>
      </c>
      <c r="I304" s="3">
        <v>45176</v>
      </c>
      <c r="J304" s="3">
        <v>45357</v>
      </c>
      <c r="K304" s="3">
        <v>46817</v>
      </c>
      <c r="M304" s="2" t="s">
        <v>1456</v>
      </c>
    </row>
    <row r="305" spans="1:13" x14ac:dyDescent="0.35">
      <c r="A305" s="2" t="s">
        <v>909</v>
      </c>
      <c r="C305" s="2" t="s">
        <v>3993</v>
      </c>
      <c r="D305" s="2" t="s">
        <v>15</v>
      </c>
      <c r="E305" s="2" t="s">
        <v>311</v>
      </c>
      <c r="F305" s="2" t="s">
        <v>149</v>
      </c>
      <c r="G305" s="2" t="s">
        <v>18</v>
      </c>
      <c r="H305" s="2" t="s">
        <v>19</v>
      </c>
      <c r="I305" s="3">
        <v>44911</v>
      </c>
      <c r="J305" s="3">
        <v>44918</v>
      </c>
      <c r="K305" s="3">
        <v>46743</v>
      </c>
    </row>
    <row r="306" spans="1:13" x14ac:dyDescent="0.35">
      <c r="A306" s="2" t="s">
        <v>1574</v>
      </c>
      <c r="B306" s="2" t="s">
        <v>1575</v>
      </c>
      <c r="C306" s="2" t="s">
        <v>4128</v>
      </c>
      <c r="D306" s="2" t="s">
        <v>15</v>
      </c>
      <c r="E306" s="2" t="s">
        <v>573</v>
      </c>
      <c r="F306" s="2" t="s">
        <v>82</v>
      </c>
      <c r="G306" s="2" t="s">
        <v>18</v>
      </c>
      <c r="H306" s="2" t="s">
        <v>1577</v>
      </c>
      <c r="I306" s="5">
        <v>45875.416666666701</v>
      </c>
      <c r="J306" s="3">
        <v>45995</v>
      </c>
      <c r="K306" s="3">
        <v>46359</v>
      </c>
      <c r="M306" s="2" t="s">
        <v>1578</v>
      </c>
    </row>
    <row r="307" spans="1:13" x14ac:dyDescent="0.35">
      <c r="A307" s="2" t="s">
        <v>305</v>
      </c>
      <c r="B307" s="2" t="s">
        <v>306</v>
      </c>
      <c r="C307" s="2" t="s">
        <v>3850</v>
      </c>
      <c r="D307" s="2" t="s">
        <v>15</v>
      </c>
      <c r="E307" s="2" t="s">
        <v>27</v>
      </c>
      <c r="F307" s="2" t="s">
        <v>60</v>
      </c>
      <c r="G307" s="2" t="s">
        <v>18</v>
      </c>
      <c r="H307" s="2" t="s">
        <v>19</v>
      </c>
      <c r="I307" s="3">
        <v>42268</v>
      </c>
      <c r="J307" s="3">
        <v>42460</v>
      </c>
      <c r="K307" s="3">
        <v>46110</v>
      </c>
      <c r="L307" s="3">
        <v>44286</v>
      </c>
      <c r="M307" s="2" t="s">
        <v>308</v>
      </c>
    </row>
    <row r="308" spans="1:13" x14ac:dyDescent="0.35">
      <c r="A308" s="2" t="s">
        <v>1705</v>
      </c>
      <c r="B308" s="2" t="s">
        <v>1706</v>
      </c>
      <c r="C308" s="2" t="s">
        <v>4152</v>
      </c>
      <c r="D308" s="2" t="s">
        <v>15</v>
      </c>
      <c r="E308" s="2" t="s">
        <v>573</v>
      </c>
      <c r="F308" s="2" t="s">
        <v>1218</v>
      </c>
      <c r="G308" s="2" t="s">
        <v>18</v>
      </c>
      <c r="H308" s="2" t="s">
        <v>19</v>
      </c>
      <c r="I308" s="5">
        <v>45891.609791666699</v>
      </c>
      <c r="J308" s="3">
        <v>45929</v>
      </c>
      <c r="K308" s="3">
        <v>46293</v>
      </c>
      <c r="M308" s="2" t="s">
        <v>1708</v>
      </c>
    </row>
    <row r="309" spans="1:13" x14ac:dyDescent="0.35">
      <c r="A309" s="2" t="s">
        <v>1220</v>
      </c>
      <c r="B309" s="2" t="s">
        <v>1211</v>
      </c>
      <c r="C309" s="2" t="s">
        <v>4055</v>
      </c>
      <c r="D309" s="2" t="s">
        <v>15</v>
      </c>
      <c r="E309" s="2" t="s">
        <v>311</v>
      </c>
      <c r="F309" s="2" t="s">
        <v>149</v>
      </c>
      <c r="G309" s="2" t="s">
        <v>18</v>
      </c>
      <c r="H309" s="2" t="s">
        <v>19</v>
      </c>
      <c r="I309" s="3">
        <v>45154</v>
      </c>
      <c r="J309" s="3">
        <v>45195</v>
      </c>
      <c r="K309" s="3">
        <v>47021</v>
      </c>
    </row>
    <row r="310" spans="1:13" x14ac:dyDescent="0.35">
      <c r="A310" s="2" t="s">
        <v>1258</v>
      </c>
      <c r="C310" s="2" t="s">
        <v>4062</v>
      </c>
      <c r="D310" s="2" t="s">
        <v>15</v>
      </c>
      <c r="E310" s="2" t="s">
        <v>27</v>
      </c>
      <c r="F310" s="2" t="s">
        <v>60</v>
      </c>
      <c r="G310" s="2" t="s">
        <v>18</v>
      </c>
      <c r="H310" s="2" t="s">
        <v>19</v>
      </c>
      <c r="I310" s="3">
        <v>44518</v>
      </c>
      <c r="J310" s="3">
        <v>44470</v>
      </c>
      <c r="K310" s="3">
        <v>46295</v>
      </c>
      <c r="M310" s="2" t="s">
        <v>1260</v>
      </c>
    </row>
    <row r="311" spans="1:13" x14ac:dyDescent="0.35">
      <c r="A311" s="2" t="s">
        <v>115</v>
      </c>
      <c r="B311" s="2" t="s">
        <v>116</v>
      </c>
      <c r="C311" s="2" t="s">
        <v>3832</v>
      </c>
      <c r="D311" s="2" t="s">
        <v>15</v>
      </c>
      <c r="E311" s="2" t="s">
        <v>27</v>
      </c>
      <c r="F311" s="2" t="s">
        <v>118</v>
      </c>
      <c r="G311" s="2" t="s">
        <v>41</v>
      </c>
      <c r="H311" s="2" t="s">
        <v>19</v>
      </c>
      <c r="I311" s="3">
        <v>38889</v>
      </c>
      <c r="J311" s="3">
        <v>39024</v>
      </c>
      <c r="K311" s="3">
        <v>44296</v>
      </c>
      <c r="M311" s="2" t="s">
        <v>119</v>
      </c>
    </row>
    <row r="312" spans="1:13" x14ac:dyDescent="0.35">
      <c r="A312" s="2" t="s">
        <v>270</v>
      </c>
      <c r="B312" s="2" t="s">
        <v>58</v>
      </c>
      <c r="C312" s="2" t="s">
        <v>3846</v>
      </c>
      <c r="D312" s="2" t="s">
        <v>15</v>
      </c>
      <c r="E312" s="2" t="s">
        <v>27</v>
      </c>
      <c r="F312" s="2" t="s">
        <v>60</v>
      </c>
      <c r="G312" s="2" t="s">
        <v>41</v>
      </c>
      <c r="H312" s="2" t="s">
        <v>19</v>
      </c>
      <c r="I312" s="3">
        <v>42009</v>
      </c>
      <c r="J312" s="3">
        <v>42054</v>
      </c>
      <c r="K312" s="3">
        <v>43879</v>
      </c>
      <c r="M312" s="2" t="s">
        <v>272</v>
      </c>
    </row>
    <row r="313" spans="1:13" x14ac:dyDescent="0.35">
      <c r="A313" s="2" t="s">
        <v>1718</v>
      </c>
      <c r="C313" s="2" t="s">
        <v>4156</v>
      </c>
      <c r="D313" s="2" t="s">
        <v>15</v>
      </c>
      <c r="E313" s="2" t="s">
        <v>1609</v>
      </c>
      <c r="F313" s="2" t="s">
        <v>786</v>
      </c>
      <c r="G313" s="2" t="s">
        <v>18</v>
      </c>
      <c r="H313" s="2" t="s">
        <v>19</v>
      </c>
      <c r="I313" s="5">
        <v>45986.4399305556</v>
      </c>
      <c r="J313" s="3">
        <v>46000</v>
      </c>
      <c r="K313" s="3">
        <v>46181</v>
      </c>
      <c r="M313" s="2" t="s">
        <v>1720</v>
      </c>
    </row>
    <row r="314" spans="1:13" x14ac:dyDescent="0.35">
      <c r="A314" s="2" t="s">
        <v>821</v>
      </c>
      <c r="C314" s="2" t="s">
        <v>3971</v>
      </c>
      <c r="D314" s="2" t="s">
        <v>15</v>
      </c>
      <c r="E314" s="2" t="s">
        <v>311</v>
      </c>
      <c r="F314" s="2" t="s">
        <v>149</v>
      </c>
      <c r="G314" s="2" t="s">
        <v>18</v>
      </c>
      <c r="H314" s="2" t="s">
        <v>19</v>
      </c>
      <c r="I314" s="3">
        <v>44752</v>
      </c>
      <c r="J314" s="3">
        <v>44778</v>
      </c>
      <c r="K314" s="3">
        <v>46603</v>
      </c>
    </row>
    <row r="315" spans="1:13" x14ac:dyDescent="0.35">
      <c r="A315" s="2" t="s">
        <v>512</v>
      </c>
      <c r="B315" s="2" t="s">
        <v>513</v>
      </c>
      <c r="C315" s="2" t="s">
        <v>3894</v>
      </c>
      <c r="D315" s="2" t="s">
        <v>15</v>
      </c>
      <c r="E315" s="2" t="s">
        <v>139</v>
      </c>
      <c r="F315" s="2" t="s">
        <v>175</v>
      </c>
      <c r="G315" s="2" t="s">
        <v>41</v>
      </c>
      <c r="H315" s="2" t="s">
        <v>177</v>
      </c>
      <c r="I315" s="3">
        <v>43790</v>
      </c>
      <c r="J315" s="3">
        <v>43978</v>
      </c>
      <c r="K315" s="3">
        <v>45438</v>
      </c>
      <c r="M315" s="2" t="s">
        <v>515</v>
      </c>
    </row>
    <row r="316" spans="1:13" x14ac:dyDescent="0.35">
      <c r="A316" s="2" t="s">
        <v>679</v>
      </c>
      <c r="C316" s="2" t="s">
        <v>3933</v>
      </c>
      <c r="D316" s="2" t="s">
        <v>15</v>
      </c>
      <c r="E316" s="2" t="s">
        <v>139</v>
      </c>
      <c r="F316" s="2" t="s">
        <v>17</v>
      </c>
      <c r="G316" s="2" t="s">
        <v>18</v>
      </c>
      <c r="H316" s="2" t="s">
        <v>190</v>
      </c>
      <c r="I316" s="3">
        <v>44459</v>
      </c>
      <c r="J316" s="3">
        <v>44615</v>
      </c>
      <c r="K316" s="3">
        <v>46075</v>
      </c>
      <c r="M316" s="2" t="s">
        <v>681</v>
      </c>
    </row>
    <row r="317" spans="1:13" x14ac:dyDescent="0.35">
      <c r="A317" s="2" t="s">
        <v>1618</v>
      </c>
      <c r="B317" s="2" t="s">
        <v>1619</v>
      </c>
      <c r="C317" s="2" t="s">
        <v>1620</v>
      </c>
      <c r="D317" s="2" t="s">
        <v>15</v>
      </c>
      <c r="E317" s="2" t="s">
        <v>1331</v>
      </c>
      <c r="F317" s="2" t="s">
        <v>395</v>
      </c>
      <c r="G317" s="2" t="s">
        <v>18</v>
      </c>
      <c r="H317" s="2" t="s">
        <v>190</v>
      </c>
      <c r="I317" s="5">
        <v>45978.556203703702</v>
      </c>
      <c r="J317" s="3">
        <v>46014</v>
      </c>
      <c r="K317" s="3">
        <v>46378</v>
      </c>
      <c r="M317" s="2" t="s">
        <v>1621</v>
      </c>
    </row>
    <row r="318" spans="1:13" x14ac:dyDescent="0.35">
      <c r="A318" s="2" t="s">
        <v>1654</v>
      </c>
      <c r="B318" s="2" t="s">
        <v>1655</v>
      </c>
      <c r="C318" s="2" t="s">
        <v>1620</v>
      </c>
      <c r="D318" s="2" t="s">
        <v>15</v>
      </c>
      <c r="E318" s="2" t="s">
        <v>1331</v>
      </c>
      <c r="F318" s="2" t="s">
        <v>395</v>
      </c>
      <c r="G318" s="2" t="s">
        <v>18</v>
      </c>
      <c r="H318" s="2" t="s">
        <v>190</v>
      </c>
      <c r="I318" s="5">
        <v>45978.571701388901</v>
      </c>
      <c r="J318" s="3">
        <v>46014</v>
      </c>
      <c r="K318" s="3">
        <v>46378</v>
      </c>
      <c r="M318" s="2" t="s">
        <v>1656</v>
      </c>
    </row>
    <row r="319" spans="1:13" x14ac:dyDescent="0.35">
      <c r="A319" s="2" t="s">
        <v>1670</v>
      </c>
      <c r="C319" s="2" t="s">
        <v>4144</v>
      </c>
      <c r="D319" s="2" t="s">
        <v>15</v>
      </c>
      <c r="E319" s="2" t="s">
        <v>1331</v>
      </c>
      <c r="F319" s="2" t="s">
        <v>395</v>
      </c>
      <c r="G319" s="2" t="s">
        <v>18</v>
      </c>
      <c r="H319" s="2" t="s">
        <v>1627</v>
      </c>
      <c r="I319" s="3">
        <v>45825</v>
      </c>
      <c r="J319" s="3">
        <v>45826</v>
      </c>
      <c r="K319" s="3">
        <v>46190</v>
      </c>
      <c r="M319" s="2" t="s">
        <v>1672</v>
      </c>
    </row>
    <row r="320" spans="1:13" x14ac:dyDescent="0.35">
      <c r="A320" s="2" t="s">
        <v>1646</v>
      </c>
      <c r="B320" s="2" t="s">
        <v>1647</v>
      </c>
      <c r="C320" s="2" t="s">
        <v>4140</v>
      </c>
      <c r="D320" s="2" t="s">
        <v>15</v>
      </c>
      <c r="E320" s="2" t="s">
        <v>1331</v>
      </c>
      <c r="F320" s="2" t="s">
        <v>395</v>
      </c>
      <c r="G320" s="2" t="s">
        <v>18</v>
      </c>
      <c r="H320" s="2" t="s">
        <v>1649</v>
      </c>
      <c r="I320" s="5">
        <v>45912.491759259297</v>
      </c>
      <c r="J320" s="3">
        <v>45946</v>
      </c>
      <c r="K320" s="3">
        <v>46310</v>
      </c>
      <c r="M320" s="2" t="s">
        <v>1650</v>
      </c>
    </row>
    <row r="321" spans="1:13" x14ac:dyDescent="0.35">
      <c r="A321" s="2" t="s">
        <v>1651</v>
      </c>
      <c r="B321" s="2" t="s">
        <v>1652</v>
      </c>
      <c r="C321" s="2" t="s">
        <v>4140</v>
      </c>
      <c r="D321" s="2" t="s">
        <v>15</v>
      </c>
      <c r="E321" s="2" t="s">
        <v>1331</v>
      </c>
      <c r="F321" s="2" t="s">
        <v>395</v>
      </c>
      <c r="G321" s="2" t="s">
        <v>18</v>
      </c>
      <c r="H321" s="2" t="s">
        <v>1649</v>
      </c>
      <c r="I321" s="5">
        <v>45912.587800925903</v>
      </c>
      <c r="J321" s="3">
        <v>45946</v>
      </c>
      <c r="K321" s="3">
        <v>46310</v>
      </c>
      <c r="M321" s="2" t="s">
        <v>1653</v>
      </c>
    </row>
    <row r="322" spans="1:13" x14ac:dyDescent="0.35">
      <c r="A322" s="2" t="s">
        <v>1785</v>
      </c>
      <c r="B322" s="2" t="s">
        <v>1786</v>
      </c>
      <c r="C322" s="2" t="s">
        <v>4171</v>
      </c>
      <c r="D322" s="2" t="s">
        <v>15</v>
      </c>
      <c r="E322" s="2" t="s">
        <v>1331</v>
      </c>
      <c r="F322" s="2" t="s">
        <v>1218</v>
      </c>
      <c r="G322" s="2" t="s">
        <v>18</v>
      </c>
      <c r="H322" s="2" t="s">
        <v>185</v>
      </c>
      <c r="I322" s="3">
        <v>45371</v>
      </c>
      <c r="J322" s="3">
        <v>45372</v>
      </c>
      <c r="K322" s="3">
        <v>45736</v>
      </c>
      <c r="M322" s="2" t="s">
        <v>1788</v>
      </c>
    </row>
    <row r="323" spans="1:13" x14ac:dyDescent="0.35">
      <c r="A323" s="2" t="s">
        <v>1781</v>
      </c>
      <c r="B323" s="2" t="s">
        <v>1782</v>
      </c>
      <c r="C323" s="2" t="s">
        <v>4170</v>
      </c>
      <c r="D323" s="2" t="s">
        <v>15</v>
      </c>
      <c r="E323" s="2" t="s">
        <v>1331</v>
      </c>
      <c r="F323" s="2" t="s">
        <v>1218</v>
      </c>
      <c r="G323" s="2" t="s">
        <v>18</v>
      </c>
      <c r="H323" s="2" t="s">
        <v>185</v>
      </c>
      <c r="I323" s="3">
        <v>45365</v>
      </c>
      <c r="J323" s="3">
        <v>45369</v>
      </c>
      <c r="K323" s="3">
        <v>45733</v>
      </c>
      <c r="M323" s="2" t="s">
        <v>1784</v>
      </c>
    </row>
    <row r="324" spans="1:13" x14ac:dyDescent="0.35">
      <c r="A324" s="2" t="s">
        <v>301</v>
      </c>
      <c r="B324" s="2" t="s">
        <v>302</v>
      </c>
      <c r="C324" s="2" t="s">
        <v>4184</v>
      </c>
      <c r="D324" s="2" t="s">
        <v>15</v>
      </c>
      <c r="E324" s="2" t="s">
        <v>294</v>
      </c>
      <c r="F324" s="2" t="s">
        <v>93</v>
      </c>
      <c r="G324" s="2" t="s">
        <v>18</v>
      </c>
      <c r="H324" s="2" t="s">
        <v>88</v>
      </c>
      <c r="I324" s="3">
        <v>42227</v>
      </c>
      <c r="J324" s="3">
        <v>42929</v>
      </c>
      <c r="K324" s="3">
        <v>46580</v>
      </c>
      <c r="M324" s="2" t="s">
        <v>304</v>
      </c>
    </row>
    <row r="325" spans="1:13" x14ac:dyDescent="0.35">
      <c r="A325" s="2" t="s">
        <v>1698</v>
      </c>
      <c r="C325" s="2" t="s">
        <v>4150</v>
      </c>
      <c r="D325" s="2" t="s">
        <v>15</v>
      </c>
      <c r="E325" s="2" t="s">
        <v>573</v>
      </c>
      <c r="F325" s="2" t="s">
        <v>395</v>
      </c>
      <c r="G325" s="2" t="s">
        <v>18</v>
      </c>
      <c r="H325" s="2" t="s">
        <v>1627</v>
      </c>
      <c r="I325" s="5">
        <v>46008.604363425897</v>
      </c>
      <c r="J325" s="3">
        <v>45988</v>
      </c>
      <c r="K325" s="3">
        <v>46352</v>
      </c>
      <c r="M325" s="2" t="s">
        <v>1700</v>
      </c>
    </row>
    <row r="326" spans="1:13" x14ac:dyDescent="0.35">
      <c r="A326" s="2" t="s">
        <v>401</v>
      </c>
      <c r="B326" s="2" t="s">
        <v>402</v>
      </c>
      <c r="C326" s="2" t="s">
        <v>3869</v>
      </c>
      <c r="D326" s="2" t="s">
        <v>15</v>
      </c>
      <c r="E326" s="2" t="s">
        <v>139</v>
      </c>
      <c r="F326" s="2" t="s">
        <v>404</v>
      </c>
      <c r="G326" s="2" t="s">
        <v>41</v>
      </c>
      <c r="H326" s="2" t="s">
        <v>88</v>
      </c>
      <c r="I326" s="3">
        <v>43006</v>
      </c>
      <c r="J326" s="3">
        <v>43256</v>
      </c>
      <c r="K326" s="3">
        <v>45813</v>
      </c>
      <c r="M326" s="2" t="s">
        <v>405</v>
      </c>
    </row>
    <row r="327" spans="1:13" x14ac:dyDescent="0.35">
      <c r="A327" s="2" t="s">
        <v>718</v>
      </c>
      <c r="B327" s="2" t="s">
        <v>719</v>
      </c>
      <c r="C327" s="2" t="s">
        <v>3941</v>
      </c>
      <c r="D327" s="2" t="s">
        <v>15</v>
      </c>
      <c r="E327" s="2" t="s">
        <v>154</v>
      </c>
      <c r="F327" s="2" t="s">
        <v>93</v>
      </c>
      <c r="G327" s="2" t="s">
        <v>18</v>
      </c>
      <c r="H327" s="2" t="s">
        <v>88</v>
      </c>
      <c r="I327" s="3">
        <v>44662</v>
      </c>
      <c r="J327" s="3">
        <v>44762</v>
      </c>
      <c r="K327" s="3">
        <v>45857</v>
      </c>
      <c r="M327" s="2" t="s">
        <v>721</v>
      </c>
    </row>
    <row r="328" spans="1:13" ht="43.5" x14ac:dyDescent="0.35">
      <c r="A328" s="2" t="s">
        <v>808</v>
      </c>
      <c r="B328" s="4" t="s">
        <v>809</v>
      </c>
      <c r="C328" s="2" t="s">
        <v>3941</v>
      </c>
      <c r="D328" s="2" t="s">
        <v>15</v>
      </c>
      <c r="E328" s="2" t="s">
        <v>139</v>
      </c>
      <c r="F328" s="2" t="s">
        <v>93</v>
      </c>
      <c r="G328" s="2" t="s">
        <v>18</v>
      </c>
      <c r="H328" s="2" t="s">
        <v>88</v>
      </c>
      <c r="I328" s="3">
        <v>44789</v>
      </c>
      <c r="J328" s="3">
        <v>45006</v>
      </c>
      <c r="K328" s="3">
        <v>46466</v>
      </c>
      <c r="M328" s="2" t="s">
        <v>810</v>
      </c>
    </row>
    <row r="329" spans="1:13" x14ac:dyDescent="0.35">
      <c r="A329" s="2" t="s">
        <v>958</v>
      </c>
      <c r="C329" s="2" t="s">
        <v>4001</v>
      </c>
      <c r="D329" s="2" t="s">
        <v>15</v>
      </c>
      <c r="E329" s="2" t="s">
        <v>311</v>
      </c>
      <c r="F329" s="2" t="s">
        <v>149</v>
      </c>
      <c r="G329" s="2" t="s">
        <v>18</v>
      </c>
      <c r="H329" s="2" t="s">
        <v>19</v>
      </c>
      <c r="I329" s="3">
        <v>43702</v>
      </c>
      <c r="J329" s="3">
        <v>43854</v>
      </c>
      <c r="K329" s="3">
        <v>45680</v>
      </c>
    </row>
    <row r="330" spans="1:13" x14ac:dyDescent="0.35">
      <c r="A330" s="2" t="s">
        <v>1210</v>
      </c>
      <c r="B330" s="2" t="s">
        <v>1211</v>
      </c>
      <c r="C330" s="2" t="s">
        <v>4052</v>
      </c>
      <c r="D330" s="2" t="s">
        <v>15</v>
      </c>
      <c r="E330" s="2" t="s">
        <v>311</v>
      </c>
      <c r="F330" s="2" t="s">
        <v>149</v>
      </c>
      <c r="G330" s="2" t="s">
        <v>18</v>
      </c>
      <c r="H330" s="2" t="s">
        <v>19</v>
      </c>
      <c r="I330" s="3">
        <v>45181</v>
      </c>
      <c r="J330" s="3">
        <v>45194</v>
      </c>
      <c r="K330" s="3">
        <v>47020</v>
      </c>
    </row>
    <row r="331" spans="1:13" x14ac:dyDescent="0.35">
      <c r="A331" s="2" t="s">
        <v>1100</v>
      </c>
      <c r="C331" s="2" t="s">
        <v>4031</v>
      </c>
      <c r="D331" s="2" t="s">
        <v>15</v>
      </c>
      <c r="E331" s="2" t="s">
        <v>311</v>
      </c>
      <c r="F331" s="2" t="s">
        <v>149</v>
      </c>
      <c r="G331" s="2" t="s">
        <v>18</v>
      </c>
      <c r="H331" s="2" t="s">
        <v>19</v>
      </c>
      <c r="I331" s="3">
        <v>45063</v>
      </c>
      <c r="J331" s="3">
        <v>45090</v>
      </c>
      <c r="K331" s="3">
        <v>46916</v>
      </c>
    </row>
    <row r="332" spans="1:13" x14ac:dyDescent="0.35">
      <c r="A332" s="2" t="s">
        <v>532</v>
      </c>
      <c r="B332" s="2" t="s">
        <v>533</v>
      </c>
      <c r="C332" s="2" t="s">
        <v>3897</v>
      </c>
      <c r="D332" s="2" t="s">
        <v>15</v>
      </c>
      <c r="E332" s="2" t="s">
        <v>139</v>
      </c>
      <c r="F332" s="2" t="s">
        <v>93</v>
      </c>
      <c r="G332" s="2" t="s">
        <v>41</v>
      </c>
      <c r="H332" s="2" t="s">
        <v>88</v>
      </c>
      <c r="I332" s="3">
        <v>43882</v>
      </c>
      <c r="J332" s="3">
        <v>43886</v>
      </c>
      <c r="K332" s="3">
        <v>45346</v>
      </c>
      <c r="M332" s="2" t="s">
        <v>535</v>
      </c>
    </row>
    <row r="333" spans="1:13" x14ac:dyDescent="0.35">
      <c r="A333" s="2" t="s">
        <v>907</v>
      </c>
      <c r="C333" s="2" t="s">
        <v>3992</v>
      </c>
      <c r="D333" s="2" t="s">
        <v>15</v>
      </c>
      <c r="E333" s="2" t="s">
        <v>311</v>
      </c>
      <c r="F333" s="2" t="s">
        <v>149</v>
      </c>
      <c r="G333" s="2" t="s">
        <v>18</v>
      </c>
      <c r="H333" s="2" t="s">
        <v>19</v>
      </c>
      <c r="I333" s="3">
        <v>44898</v>
      </c>
      <c r="J333" s="3">
        <v>44930</v>
      </c>
      <c r="K333" s="3">
        <v>46755</v>
      </c>
    </row>
    <row r="334" spans="1:13" x14ac:dyDescent="0.35">
      <c r="A334" s="2" t="s">
        <v>920</v>
      </c>
      <c r="C334" s="2" t="s">
        <v>3995</v>
      </c>
      <c r="D334" s="2" t="s">
        <v>15</v>
      </c>
      <c r="E334" s="2" t="s">
        <v>148</v>
      </c>
      <c r="F334" s="2" t="s">
        <v>93</v>
      </c>
      <c r="G334" s="2" t="s">
        <v>18</v>
      </c>
      <c r="H334" s="2" t="s">
        <v>88</v>
      </c>
      <c r="I334" s="3">
        <v>44817</v>
      </c>
      <c r="J334" s="3">
        <v>44820</v>
      </c>
      <c r="K334" s="3">
        <v>46645</v>
      </c>
      <c r="M334" s="2" t="s">
        <v>922</v>
      </c>
    </row>
    <row r="335" spans="1:13" x14ac:dyDescent="0.35">
      <c r="A335" s="2" t="s">
        <v>1397</v>
      </c>
      <c r="B335" s="2" t="s">
        <v>1398</v>
      </c>
      <c r="C335" s="2" t="s">
        <v>4089</v>
      </c>
      <c r="D335" s="2" t="s">
        <v>15</v>
      </c>
      <c r="E335" s="2" t="s">
        <v>573</v>
      </c>
      <c r="F335" s="2" t="s">
        <v>1218</v>
      </c>
      <c r="G335" s="2" t="s">
        <v>18</v>
      </c>
      <c r="H335" s="2" t="s">
        <v>101</v>
      </c>
      <c r="I335" s="3">
        <v>45337</v>
      </c>
      <c r="J335" s="3">
        <v>45348</v>
      </c>
      <c r="K335" s="3">
        <v>45713</v>
      </c>
      <c r="M335" s="2" t="s">
        <v>1400</v>
      </c>
    </row>
    <row r="336" spans="1:13" x14ac:dyDescent="0.35">
      <c r="A336" s="2" t="s">
        <v>1701</v>
      </c>
      <c r="C336" s="2" t="s">
        <v>4151</v>
      </c>
      <c r="D336" s="2" t="s">
        <v>15</v>
      </c>
      <c r="E336" s="2" t="s">
        <v>573</v>
      </c>
      <c r="F336" s="2" t="s">
        <v>82</v>
      </c>
      <c r="G336" s="2" t="s">
        <v>18</v>
      </c>
      <c r="H336" s="2" t="s">
        <v>101</v>
      </c>
      <c r="I336" s="5">
        <v>45989.631759259297</v>
      </c>
      <c r="J336" s="3">
        <v>46014</v>
      </c>
      <c r="K336" s="3">
        <v>46378</v>
      </c>
      <c r="M336" s="2" t="s">
        <v>1703</v>
      </c>
    </row>
    <row r="337" spans="1:13" x14ac:dyDescent="0.35">
      <c r="A337" s="2" t="s">
        <v>1704</v>
      </c>
      <c r="C337" s="2" t="s">
        <v>4151</v>
      </c>
      <c r="D337" s="2" t="s">
        <v>15</v>
      </c>
      <c r="E337" s="2" t="s">
        <v>573</v>
      </c>
      <c r="F337" s="2" t="s">
        <v>1218</v>
      </c>
      <c r="G337" s="2" t="s">
        <v>18</v>
      </c>
      <c r="H337" s="2" t="s">
        <v>101</v>
      </c>
      <c r="I337" s="5">
        <v>45989.625960648104</v>
      </c>
      <c r="J337" s="3">
        <v>46014</v>
      </c>
      <c r="K337" s="3">
        <v>46378</v>
      </c>
      <c r="M337" s="2" t="s">
        <v>1703</v>
      </c>
    </row>
    <row r="338" spans="1:13" x14ac:dyDescent="0.35">
      <c r="A338" s="2" t="s">
        <v>855</v>
      </c>
      <c r="C338" s="2" t="s">
        <v>3980</v>
      </c>
      <c r="D338" s="2" t="s">
        <v>15</v>
      </c>
      <c r="E338" s="2" t="s">
        <v>311</v>
      </c>
      <c r="F338" s="2" t="s">
        <v>149</v>
      </c>
      <c r="G338" s="2" t="s">
        <v>18</v>
      </c>
      <c r="H338" s="2" t="s">
        <v>19</v>
      </c>
      <c r="I338" s="3">
        <v>44814</v>
      </c>
      <c r="J338" s="3">
        <v>44872</v>
      </c>
      <c r="K338" s="3">
        <v>46697</v>
      </c>
    </row>
    <row r="339" spans="1:13" x14ac:dyDescent="0.35">
      <c r="A339" s="2" t="s">
        <v>1283</v>
      </c>
      <c r="C339" s="2" t="s">
        <v>4066</v>
      </c>
      <c r="D339" s="2" t="s">
        <v>15</v>
      </c>
      <c r="E339" s="2" t="s">
        <v>311</v>
      </c>
      <c r="F339" s="2" t="s">
        <v>149</v>
      </c>
      <c r="G339" s="2" t="s">
        <v>18</v>
      </c>
      <c r="H339" s="2" t="s">
        <v>19</v>
      </c>
      <c r="I339" s="3">
        <v>44809</v>
      </c>
      <c r="J339" s="3">
        <v>44872</v>
      </c>
      <c r="K339" s="3">
        <v>46697</v>
      </c>
    </row>
    <row r="340" spans="1:13" x14ac:dyDescent="0.35">
      <c r="A340" s="2" t="s">
        <v>725</v>
      </c>
      <c r="B340" s="2" t="s">
        <v>726</v>
      </c>
      <c r="C340" s="2" t="s">
        <v>3943</v>
      </c>
      <c r="D340" s="2" t="s">
        <v>15</v>
      </c>
      <c r="E340" s="2" t="s">
        <v>139</v>
      </c>
      <c r="F340" s="2" t="s">
        <v>93</v>
      </c>
      <c r="G340" s="2" t="s">
        <v>18</v>
      </c>
      <c r="H340" s="2" t="s">
        <v>88</v>
      </c>
      <c r="I340" s="3">
        <v>44642</v>
      </c>
      <c r="J340" s="3">
        <v>44719</v>
      </c>
      <c r="K340" s="3">
        <v>46179</v>
      </c>
      <c r="M340" s="2" t="s">
        <v>728</v>
      </c>
    </row>
    <row r="341" spans="1:13" x14ac:dyDescent="0.35">
      <c r="A341" s="2" t="s">
        <v>1771</v>
      </c>
      <c r="B341" s="2" t="s">
        <v>1772</v>
      </c>
      <c r="C341" s="2" t="s">
        <v>4167</v>
      </c>
      <c r="D341" s="2" t="s">
        <v>15</v>
      </c>
      <c r="E341" s="2" t="s">
        <v>311</v>
      </c>
      <c r="F341" s="2" t="s">
        <v>149</v>
      </c>
      <c r="G341" s="2" t="s">
        <v>18</v>
      </c>
      <c r="H341" s="2" t="s">
        <v>19</v>
      </c>
      <c r="I341" s="3">
        <v>44125</v>
      </c>
      <c r="J341" s="3">
        <v>44179</v>
      </c>
      <c r="K341" s="3">
        <v>46004</v>
      </c>
      <c r="M341" s="2" t="s">
        <v>1774</v>
      </c>
    </row>
    <row r="342" spans="1:13" x14ac:dyDescent="0.35">
      <c r="A342" s="2" t="s">
        <v>1625</v>
      </c>
      <c r="C342" s="2" t="s">
        <v>4137</v>
      </c>
      <c r="D342" s="2" t="s">
        <v>15</v>
      </c>
      <c r="E342" s="2" t="s">
        <v>573</v>
      </c>
      <c r="F342" s="2" t="s">
        <v>82</v>
      </c>
      <c r="G342" s="2" t="s">
        <v>18</v>
      </c>
      <c r="H342" s="2" t="s">
        <v>1627</v>
      </c>
      <c r="I342" s="5">
        <v>46010.428263888898</v>
      </c>
      <c r="J342" s="3">
        <v>46014</v>
      </c>
      <c r="K342" s="3">
        <v>46378</v>
      </c>
      <c r="M342" s="2" t="s">
        <v>1628</v>
      </c>
    </row>
    <row r="343" spans="1:13" x14ac:dyDescent="0.35">
      <c r="A343" s="2" t="s">
        <v>136</v>
      </c>
      <c r="B343" s="2" t="s">
        <v>137</v>
      </c>
      <c r="C343" s="2" t="s">
        <v>3834</v>
      </c>
      <c r="D343" s="2" t="s">
        <v>15</v>
      </c>
      <c r="E343" s="2" t="s">
        <v>139</v>
      </c>
      <c r="F343" s="2" t="s">
        <v>93</v>
      </c>
      <c r="G343" s="2" t="s">
        <v>41</v>
      </c>
      <c r="H343" s="2" t="s">
        <v>88</v>
      </c>
      <c r="I343" s="3">
        <v>40134</v>
      </c>
      <c r="J343" s="3">
        <v>43500</v>
      </c>
      <c r="K343" s="3">
        <v>44960</v>
      </c>
      <c r="M343" s="2" t="s">
        <v>140</v>
      </c>
    </row>
    <row r="344" spans="1:13" x14ac:dyDescent="0.35">
      <c r="A344" s="2" t="s">
        <v>273</v>
      </c>
      <c r="B344" s="2" t="s">
        <v>58</v>
      </c>
      <c r="C344" s="2" t="s">
        <v>3847</v>
      </c>
      <c r="D344" s="2" t="s">
        <v>15</v>
      </c>
      <c r="E344" s="2" t="s">
        <v>27</v>
      </c>
      <c r="F344" s="2" t="s">
        <v>60</v>
      </c>
      <c r="G344" s="2" t="s">
        <v>18</v>
      </c>
      <c r="H344" s="2" t="s">
        <v>19</v>
      </c>
      <c r="I344" s="3">
        <v>42010</v>
      </c>
      <c r="J344" s="3">
        <v>42054</v>
      </c>
      <c r="K344" s="3">
        <v>45706</v>
      </c>
      <c r="M344" s="2" t="s">
        <v>275</v>
      </c>
    </row>
    <row r="345" spans="1:13" x14ac:dyDescent="0.35">
      <c r="A345" s="2" t="s">
        <v>356</v>
      </c>
      <c r="B345" s="2" t="s">
        <v>328</v>
      </c>
      <c r="C345" s="2" t="s">
        <v>3861</v>
      </c>
      <c r="D345" s="2" t="s">
        <v>15</v>
      </c>
      <c r="E345" s="2" t="s">
        <v>311</v>
      </c>
      <c r="F345" s="2" t="s">
        <v>149</v>
      </c>
      <c r="G345" s="2" t="s">
        <v>18</v>
      </c>
      <c r="H345" s="2" t="s">
        <v>19</v>
      </c>
      <c r="I345" s="3">
        <v>42719</v>
      </c>
      <c r="J345" s="3">
        <v>43083</v>
      </c>
      <c r="K345" s="3">
        <v>46733</v>
      </c>
      <c r="L345" s="3">
        <v>44909</v>
      </c>
      <c r="M345" s="2" t="s">
        <v>358</v>
      </c>
    </row>
    <row r="346" spans="1:13" x14ac:dyDescent="0.35">
      <c r="A346" s="2" t="s">
        <v>1104</v>
      </c>
      <c r="B346" s="2" t="s">
        <v>1105</v>
      </c>
      <c r="C346" s="2" t="s">
        <v>4033</v>
      </c>
      <c r="D346" s="2" t="s">
        <v>15</v>
      </c>
      <c r="E346" s="2" t="s">
        <v>139</v>
      </c>
      <c r="F346" s="2" t="s">
        <v>1107</v>
      </c>
      <c r="G346" s="2" t="s">
        <v>18</v>
      </c>
      <c r="H346" s="2" t="s">
        <v>88</v>
      </c>
      <c r="I346" s="3">
        <v>44790</v>
      </c>
      <c r="J346" s="3">
        <v>45117</v>
      </c>
      <c r="K346" s="3">
        <v>46577</v>
      </c>
      <c r="M346" s="2" t="s">
        <v>1108</v>
      </c>
    </row>
    <row r="347" spans="1:13" x14ac:dyDescent="0.35">
      <c r="A347" s="2" t="s">
        <v>1430</v>
      </c>
      <c r="B347" s="2" t="s">
        <v>1431</v>
      </c>
      <c r="C347" s="2" t="s">
        <v>1432</v>
      </c>
      <c r="D347" s="2" t="s">
        <v>15</v>
      </c>
      <c r="E347" s="2" t="s">
        <v>311</v>
      </c>
      <c r="F347" s="2" t="s">
        <v>149</v>
      </c>
      <c r="G347" s="2" t="s">
        <v>18</v>
      </c>
      <c r="H347" s="2" t="s">
        <v>19</v>
      </c>
      <c r="I347" s="3">
        <v>45355</v>
      </c>
      <c r="J347" s="3">
        <v>45362</v>
      </c>
      <c r="K347" s="3">
        <v>45726</v>
      </c>
    </row>
    <row r="348" spans="1:13" x14ac:dyDescent="0.35">
      <c r="A348" s="2" t="s">
        <v>901</v>
      </c>
      <c r="B348" s="2" t="s">
        <v>566</v>
      </c>
      <c r="C348" s="2" t="s">
        <v>902</v>
      </c>
      <c r="D348" s="2" t="s">
        <v>15</v>
      </c>
      <c r="E348" s="2" t="s">
        <v>311</v>
      </c>
      <c r="F348" s="2" t="s">
        <v>149</v>
      </c>
      <c r="G348" s="2" t="s">
        <v>18</v>
      </c>
      <c r="H348" s="2" t="s">
        <v>19</v>
      </c>
      <c r="I348" s="3">
        <v>44715</v>
      </c>
      <c r="J348" s="3">
        <v>44879</v>
      </c>
      <c r="K348" s="3">
        <v>46704</v>
      </c>
    </row>
    <row r="349" spans="1:13" x14ac:dyDescent="0.35">
      <c r="A349" s="2" t="s">
        <v>740</v>
      </c>
      <c r="C349" s="2" t="s">
        <v>3947</v>
      </c>
      <c r="D349" s="2" t="s">
        <v>15</v>
      </c>
      <c r="E349" s="2" t="s">
        <v>154</v>
      </c>
      <c r="F349" s="2" t="s">
        <v>93</v>
      </c>
      <c r="G349" s="2" t="s">
        <v>18</v>
      </c>
      <c r="H349" s="2" t="s">
        <v>88</v>
      </c>
      <c r="I349" s="3">
        <v>44692</v>
      </c>
      <c r="J349" s="3">
        <v>45080</v>
      </c>
      <c r="K349" s="3">
        <v>46175</v>
      </c>
      <c r="M349" s="2" t="s">
        <v>742</v>
      </c>
    </row>
    <row r="350" spans="1:13" x14ac:dyDescent="0.35">
      <c r="A350" s="2" t="s">
        <v>926</v>
      </c>
      <c r="B350" s="2" t="s">
        <v>927</v>
      </c>
      <c r="C350" s="2" t="s">
        <v>3947</v>
      </c>
      <c r="D350" s="2" t="s">
        <v>15</v>
      </c>
      <c r="E350" s="2" t="s">
        <v>27</v>
      </c>
      <c r="F350" s="2" t="s">
        <v>28</v>
      </c>
      <c r="G350" s="2" t="s">
        <v>18</v>
      </c>
      <c r="H350" s="2" t="s">
        <v>88</v>
      </c>
      <c r="I350" s="3">
        <v>44715</v>
      </c>
      <c r="J350" s="3">
        <v>44904</v>
      </c>
      <c r="K350" s="3">
        <v>46729</v>
      </c>
      <c r="M350" s="2" t="s">
        <v>928</v>
      </c>
    </row>
    <row r="351" spans="1:13" x14ac:dyDescent="0.35">
      <c r="A351" s="2" t="s">
        <v>994</v>
      </c>
      <c r="C351" s="2" t="s">
        <v>3947</v>
      </c>
      <c r="D351" s="2" t="s">
        <v>15</v>
      </c>
      <c r="E351" s="2" t="s">
        <v>148</v>
      </c>
      <c r="F351" s="2" t="s">
        <v>93</v>
      </c>
      <c r="G351" s="2" t="s">
        <v>18</v>
      </c>
      <c r="H351" s="2" t="s">
        <v>88</v>
      </c>
      <c r="I351" s="3">
        <v>44767</v>
      </c>
      <c r="J351" s="3">
        <v>44789</v>
      </c>
      <c r="K351" s="3">
        <v>46614</v>
      </c>
      <c r="M351" s="2" t="s">
        <v>995</v>
      </c>
    </row>
    <row r="352" spans="1:13" x14ac:dyDescent="0.35">
      <c r="A352" s="2" t="s">
        <v>1497</v>
      </c>
      <c r="C352" s="2" t="s">
        <v>4109</v>
      </c>
      <c r="D352" s="2" t="s">
        <v>15</v>
      </c>
      <c r="E352" s="2" t="s">
        <v>148</v>
      </c>
      <c r="F352" s="2" t="s">
        <v>93</v>
      </c>
      <c r="G352" s="2" t="s">
        <v>18</v>
      </c>
      <c r="H352" s="2" t="s">
        <v>88</v>
      </c>
      <c r="I352" s="3">
        <v>44747</v>
      </c>
      <c r="J352" s="3">
        <v>44811</v>
      </c>
      <c r="K352" s="3">
        <v>46636</v>
      </c>
      <c r="M352" s="2" t="s">
        <v>1499</v>
      </c>
    </row>
    <row r="353" spans="1:13" x14ac:dyDescent="0.35">
      <c r="A353" s="2" t="s">
        <v>1521</v>
      </c>
      <c r="C353" s="2" t="s">
        <v>4115</v>
      </c>
      <c r="D353" s="2" t="s">
        <v>15</v>
      </c>
      <c r="E353" s="2" t="s">
        <v>27</v>
      </c>
      <c r="F353" s="2" t="s">
        <v>118</v>
      </c>
      <c r="G353" s="2" t="s">
        <v>18</v>
      </c>
      <c r="H353" s="2" t="s">
        <v>19</v>
      </c>
      <c r="I353" s="3">
        <v>45007</v>
      </c>
      <c r="J353" s="3">
        <v>45054</v>
      </c>
      <c r="K353" s="3">
        <v>46880</v>
      </c>
      <c r="M353" s="2" t="s">
        <v>1523</v>
      </c>
    </row>
    <row r="354" spans="1:13" x14ac:dyDescent="0.35">
      <c r="A354" s="2" t="s">
        <v>605</v>
      </c>
      <c r="B354" s="2" t="s">
        <v>606</v>
      </c>
      <c r="C354" s="2" t="s">
        <v>3914</v>
      </c>
      <c r="D354" s="2" t="s">
        <v>15</v>
      </c>
      <c r="E354" s="2" t="s">
        <v>154</v>
      </c>
      <c r="F354" s="2" t="s">
        <v>93</v>
      </c>
      <c r="G354" s="2" t="s">
        <v>41</v>
      </c>
      <c r="H354" s="2" t="s">
        <v>88</v>
      </c>
      <c r="I354" s="3">
        <v>44251</v>
      </c>
      <c r="J354" s="3">
        <v>44413</v>
      </c>
      <c r="K354" s="3">
        <v>45508</v>
      </c>
      <c r="M354" s="2" t="s">
        <v>608</v>
      </c>
    </row>
    <row r="355" spans="1:13" x14ac:dyDescent="0.35">
      <c r="A355" s="2" t="s">
        <v>466</v>
      </c>
      <c r="B355" s="2" t="s">
        <v>467</v>
      </c>
      <c r="C355" s="2" t="s">
        <v>3885</v>
      </c>
      <c r="D355" s="2" t="s">
        <v>15</v>
      </c>
      <c r="E355" s="2" t="s">
        <v>139</v>
      </c>
      <c r="F355" s="2" t="s">
        <v>93</v>
      </c>
      <c r="G355" s="2" t="s">
        <v>18</v>
      </c>
      <c r="H355" s="2" t="s">
        <v>88</v>
      </c>
      <c r="I355" s="3">
        <v>43297</v>
      </c>
      <c r="J355" s="3">
        <v>43501</v>
      </c>
      <c r="K355" s="3">
        <v>46058</v>
      </c>
      <c r="M355" s="2" t="s">
        <v>469</v>
      </c>
    </row>
    <row r="356" spans="1:13" x14ac:dyDescent="0.35">
      <c r="A356" s="2" t="s">
        <v>710</v>
      </c>
      <c r="B356" s="2" t="s">
        <v>711</v>
      </c>
      <c r="C356" s="2" t="s">
        <v>3885</v>
      </c>
      <c r="D356" s="2" t="s">
        <v>15</v>
      </c>
      <c r="E356" s="2" t="s">
        <v>139</v>
      </c>
      <c r="F356" s="2" t="s">
        <v>712</v>
      </c>
      <c r="G356" s="2" t="s">
        <v>18</v>
      </c>
      <c r="H356" s="2" t="s">
        <v>88</v>
      </c>
      <c r="I356" s="3">
        <v>43066</v>
      </c>
      <c r="J356" s="3">
        <v>43229</v>
      </c>
      <c r="K356" s="3">
        <v>45785</v>
      </c>
      <c r="M356" s="2" t="s">
        <v>713</v>
      </c>
    </row>
    <row r="357" spans="1:13" x14ac:dyDescent="0.35">
      <c r="A357" s="2" t="s">
        <v>933</v>
      </c>
      <c r="B357" s="2" t="s">
        <v>934</v>
      </c>
      <c r="C357" s="2" t="s">
        <v>3885</v>
      </c>
      <c r="D357" s="2" t="s">
        <v>15</v>
      </c>
      <c r="E357" s="2" t="s">
        <v>148</v>
      </c>
      <c r="F357" s="2" t="s">
        <v>712</v>
      </c>
      <c r="G357" s="2" t="s">
        <v>18</v>
      </c>
      <c r="H357" s="2" t="s">
        <v>88</v>
      </c>
      <c r="I357" s="3">
        <v>44796</v>
      </c>
      <c r="J357" s="3">
        <v>44797</v>
      </c>
      <c r="K357" s="3">
        <v>46622</v>
      </c>
      <c r="M357" s="2" t="s">
        <v>935</v>
      </c>
    </row>
    <row r="358" spans="1:13" x14ac:dyDescent="0.35">
      <c r="A358" s="2" t="s">
        <v>1408</v>
      </c>
      <c r="B358" s="2" t="s">
        <v>1293</v>
      </c>
      <c r="C358" s="2" t="s">
        <v>4090</v>
      </c>
      <c r="D358" s="2" t="s">
        <v>15</v>
      </c>
      <c r="E358" s="2" t="s">
        <v>573</v>
      </c>
      <c r="F358" s="2" t="s">
        <v>1218</v>
      </c>
      <c r="G358" s="2" t="s">
        <v>18</v>
      </c>
      <c r="H358" s="2" t="s">
        <v>19</v>
      </c>
      <c r="I358" s="3">
        <v>45358</v>
      </c>
      <c r="J358" s="3">
        <v>45385</v>
      </c>
      <c r="K358" s="3">
        <v>45749</v>
      </c>
      <c r="M358" s="2" t="s">
        <v>1410</v>
      </c>
    </row>
    <row r="359" spans="1:13" x14ac:dyDescent="0.35">
      <c r="A359" s="2" t="s">
        <v>1041</v>
      </c>
      <c r="C359" s="2" t="s">
        <v>4018</v>
      </c>
      <c r="D359" s="2" t="s">
        <v>15</v>
      </c>
      <c r="E359" s="2" t="s">
        <v>154</v>
      </c>
      <c r="F359" s="2" t="s">
        <v>93</v>
      </c>
      <c r="G359" s="2" t="s">
        <v>18</v>
      </c>
      <c r="H359" s="2" t="s">
        <v>88</v>
      </c>
      <c r="I359" s="3">
        <v>44960</v>
      </c>
      <c r="J359" s="3">
        <v>45041</v>
      </c>
      <c r="K359" s="3">
        <v>46136</v>
      </c>
      <c r="M359" s="2" t="s">
        <v>1043</v>
      </c>
    </row>
    <row r="360" spans="1:13" x14ac:dyDescent="0.35">
      <c r="A360" s="2" t="s">
        <v>1082</v>
      </c>
      <c r="B360" s="2" t="s">
        <v>1083</v>
      </c>
      <c r="C360" s="2" t="s">
        <v>4028</v>
      </c>
      <c r="D360" s="2" t="s">
        <v>15</v>
      </c>
      <c r="E360" s="2" t="s">
        <v>139</v>
      </c>
      <c r="F360" s="2" t="s">
        <v>93</v>
      </c>
      <c r="G360" s="2" t="s">
        <v>18</v>
      </c>
      <c r="H360" s="2" t="s">
        <v>88</v>
      </c>
      <c r="I360" s="3">
        <v>45083</v>
      </c>
      <c r="J360" s="3">
        <v>45112</v>
      </c>
      <c r="K360" s="3">
        <v>46572</v>
      </c>
      <c r="M360" s="2" t="s">
        <v>1085</v>
      </c>
    </row>
    <row r="361" spans="1:13" x14ac:dyDescent="0.35">
      <c r="A361" s="2" t="s">
        <v>1182</v>
      </c>
      <c r="B361" s="2" t="s">
        <v>1183</v>
      </c>
      <c r="C361" s="2" t="s">
        <v>4028</v>
      </c>
      <c r="D361" s="2" t="s">
        <v>15</v>
      </c>
      <c r="E361" s="2" t="s">
        <v>148</v>
      </c>
      <c r="F361" s="2" t="s">
        <v>93</v>
      </c>
      <c r="G361" s="2" t="s">
        <v>18</v>
      </c>
      <c r="H361" s="2" t="s">
        <v>88</v>
      </c>
      <c r="I361" s="3">
        <v>45210</v>
      </c>
      <c r="J361" s="3">
        <v>45224</v>
      </c>
      <c r="K361" s="3">
        <v>47050</v>
      </c>
      <c r="M361" s="2" t="s">
        <v>1184</v>
      </c>
    </row>
    <row r="362" spans="1:13" x14ac:dyDescent="0.35">
      <c r="A362" s="2" t="s">
        <v>1185</v>
      </c>
      <c r="B362" s="2" t="s">
        <v>1186</v>
      </c>
      <c r="C362" s="2" t="s">
        <v>4028</v>
      </c>
      <c r="D362" s="2" t="s">
        <v>15</v>
      </c>
      <c r="E362" s="2" t="s">
        <v>148</v>
      </c>
      <c r="F362" s="2" t="s">
        <v>93</v>
      </c>
      <c r="G362" s="2" t="s">
        <v>18</v>
      </c>
      <c r="H362" s="2" t="s">
        <v>88</v>
      </c>
      <c r="I362" s="3">
        <v>45218</v>
      </c>
      <c r="J362" s="3">
        <v>45226</v>
      </c>
      <c r="K362" s="3">
        <v>47052</v>
      </c>
      <c r="M362" s="2" t="s">
        <v>1187</v>
      </c>
    </row>
    <row r="363" spans="1:13" x14ac:dyDescent="0.35">
      <c r="A363" s="2" t="s">
        <v>746</v>
      </c>
      <c r="B363" s="2" t="s">
        <v>747</v>
      </c>
      <c r="C363" s="2" t="s">
        <v>3948</v>
      </c>
      <c r="D363" s="2" t="s">
        <v>15</v>
      </c>
      <c r="E363" s="2" t="s">
        <v>154</v>
      </c>
      <c r="F363" s="2" t="s">
        <v>93</v>
      </c>
      <c r="G363" s="2" t="s">
        <v>18</v>
      </c>
      <c r="H363" s="2" t="s">
        <v>88</v>
      </c>
      <c r="I363" s="3">
        <v>44509</v>
      </c>
      <c r="J363" s="3">
        <v>44704</v>
      </c>
      <c r="K363" s="3">
        <v>45799</v>
      </c>
      <c r="M363" s="2" t="s">
        <v>749</v>
      </c>
    </row>
    <row r="364" spans="1:13" x14ac:dyDescent="0.35">
      <c r="A364" s="2" t="s">
        <v>1371</v>
      </c>
      <c r="B364" s="2" t="s">
        <v>1372</v>
      </c>
      <c r="C364" s="2" t="s">
        <v>3948</v>
      </c>
      <c r="D364" s="2" t="s">
        <v>15</v>
      </c>
      <c r="E364" s="2" t="s">
        <v>148</v>
      </c>
      <c r="F364" s="2" t="s">
        <v>93</v>
      </c>
      <c r="G364" s="2" t="s">
        <v>18</v>
      </c>
      <c r="H364" s="2" t="s">
        <v>88</v>
      </c>
      <c r="I364" s="3">
        <v>45190</v>
      </c>
      <c r="J364" s="3">
        <v>45334</v>
      </c>
      <c r="K364" s="3">
        <v>47160</v>
      </c>
      <c r="M364" s="2" t="s">
        <v>1373</v>
      </c>
    </row>
    <row r="365" spans="1:13" x14ac:dyDescent="0.35">
      <c r="A365" s="2" t="s">
        <v>986</v>
      </c>
      <c r="B365" s="2" t="s">
        <v>987</v>
      </c>
      <c r="C365" s="2" t="s">
        <v>4007</v>
      </c>
      <c r="D365" s="2" t="s">
        <v>15</v>
      </c>
      <c r="E365" s="2" t="s">
        <v>154</v>
      </c>
      <c r="F365" s="2" t="s">
        <v>93</v>
      </c>
      <c r="G365" s="2" t="s">
        <v>18</v>
      </c>
      <c r="H365" s="2" t="s">
        <v>88</v>
      </c>
      <c r="I365" s="3">
        <v>45006</v>
      </c>
      <c r="J365" s="3">
        <v>45041</v>
      </c>
      <c r="K365" s="3">
        <v>46136</v>
      </c>
      <c r="M365" s="2" t="s">
        <v>989</v>
      </c>
    </row>
    <row r="366" spans="1:13" x14ac:dyDescent="0.35">
      <c r="A366" s="2" t="s">
        <v>313</v>
      </c>
      <c r="B366" s="2" t="s">
        <v>283</v>
      </c>
      <c r="C366" s="2" t="s">
        <v>314</v>
      </c>
      <c r="D366" s="2" t="s">
        <v>15</v>
      </c>
      <c r="E366" s="2" t="s">
        <v>16</v>
      </c>
      <c r="F366" s="2" t="s">
        <v>93</v>
      </c>
      <c r="G366" s="2" t="s">
        <v>18</v>
      </c>
      <c r="H366" s="2" t="s">
        <v>88</v>
      </c>
      <c r="I366" s="3">
        <v>42297</v>
      </c>
      <c r="J366" s="3">
        <v>42565</v>
      </c>
      <c r="K366" s="3">
        <v>48043</v>
      </c>
      <c r="M366" s="2" t="s">
        <v>315</v>
      </c>
    </row>
    <row r="367" spans="1:13" x14ac:dyDescent="0.35">
      <c r="A367" s="2" t="s">
        <v>410</v>
      </c>
      <c r="B367" s="2" t="s">
        <v>411</v>
      </c>
      <c r="C367" s="2" t="s">
        <v>3871</v>
      </c>
      <c r="D367" s="2" t="s">
        <v>15</v>
      </c>
      <c r="E367" s="2" t="s">
        <v>139</v>
      </c>
      <c r="F367" s="2" t="s">
        <v>413</v>
      </c>
      <c r="G367" s="2" t="s">
        <v>41</v>
      </c>
      <c r="H367" s="2" t="s">
        <v>19</v>
      </c>
      <c r="I367" s="3">
        <v>43034</v>
      </c>
      <c r="J367" s="3">
        <v>43210</v>
      </c>
      <c r="K367" s="3">
        <v>44671</v>
      </c>
      <c r="M367" s="2" t="s">
        <v>414</v>
      </c>
    </row>
    <row r="368" spans="1:13" x14ac:dyDescent="0.35">
      <c r="A368" s="2" t="s">
        <v>21</v>
      </c>
      <c r="C368" s="2" t="s">
        <v>22</v>
      </c>
      <c r="D368" s="2" t="s">
        <v>15</v>
      </c>
      <c r="E368" s="2" t="s">
        <v>16</v>
      </c>
      <c r="F368" s="2" t="s">
        <v>17</v>
      </c>
      <c r="G368" s="2" t="s">
        <v>18</v>
      </c>
      <c r="H368" s="2" t="s">
        <v>19</v>
      </c>
      <c r="I368" s="3">
        <v>28857</v>
      </c>
      <c r="J368" s="3">
        <v>42084</v>
      </c>
      <c r="K368" s="3">
        <v>55519</v>
      </c>
      <c r="M368" s="2" t="s">
        <v>23</v>
      </c>
    </row>
    <row r="369" spans="1:13" x14ac:dyDescent="0.35">
      <c r="A369" s="2" t="s">
        <v>456</v>
      </c>
      <c r="B369" s="2" t="s">
        <v>328</v>
      </c>
      <c r="C369" s="2" t="s">
        <v>3883</v>
      </c>
      <c r="D369" s="2" t="s">
        <v>15</v>
      </c>
      <c r="E369" s="2" t="s">
        <v>311</v>
      </c>
      <c r="F369" s="2" t="s">
        <v>149</v>
      </c>
      <c r="G369" s="2" t="s">
        <v>41</v>
      </c>
      <c r="H369" s="2" t="s">
        <v>19</v>
      </c>
      <c r="I369" s="3">
        <v>43251</v>
      </c>
      <c r="J369" s="3">
        <v>43307</v>
      </c>
      <c r="K369" s="3">
        <v>45132</v>
      </c>
      <c r="M369" s="2" t="s">
        <v>458</v>
      </c>
    </row>
    <row r="370" spans="1:13" x14ac:dyDescent="0.35">
      <c r="A370" s="2" t="s">
        <v>1387</v>
      </c>
      <c r="B370" s="2" t="s">
        <v>566</v>
      </c>
      <c r="C370" s="2" t="s">
        <v>4086</v>
      </c>
      <c r="D370" s="2" t="s">
        <v>15</v>
      </c>
      <c r="E370" s="2" t="s">
        <v>311</v>
      </c>
      <c r="F370" s="2" t="s">
        <v>149</v>
      </c>
      <c r="G370" s="2" t="s">
        <v>18</v>
      </c>
      <c r="H370" s="2" t="s">
        <v>19</v>
      </c>
      <c r="I370" s="3">
        <v>45320</v>
      </c>
      <c r="J370" s="3">
        <v>45324</v>
      </c>
      <c r="K370" s="3">
        <v>47150</v>
      </c>
    </row>
    <row r="371" spans="1:13" x14ac:dyDescent="0.35">
      <c r="A371" s="2" t="s">
        <v>528</v>
      </c>
      <c r="B371" s="2" t="s">
        <v>529</v>
      </c>
      <c r="C371" s="2" t="s">
        <v>530</v>
      </c>
      <c r="D371" s="2" t="s">
        <v>15</v>
      </c>
      <c r="E371" s="2" t="s">
        <v>139</v>
      </c>
      <c r="F371" s="2" t="s">
        <v>386</v>
      </c>
      <c r="G371" s="2" t="s">
        <v>41</v>
      </c>
      <c r="H371" s="2" t="s">
        <v>88</v>
      </c>
      <c r="I371" s="3">
        <v>43867</v>
      </c>
      <c r="J371" s="3">
        <v>44068</v>
      </c>
      <c r="K371" s="3">
        <v>46623</v>
      </c>
      <c r="M371" s="2" t="s">
        <v>531</v>
      </c>
    </row>
    <row r="372" spans="1:13" x14ac:dyDescent="0.35">
      <c r="A372" s="2" t="s">
        <v>659</v>
      </c>
      <c r="C372" s="2" t="s">
        <v>3929</v>
      </c>
      <c r="D372" s="2" t="s">
        <v>15</v>
      </c>
      <c r="E372" s="2" t="s">
        <v>311</v>
      </c>
      <c r="F372" s="2" t="s">
        <v>149</v>
      </c>
      <c r="G372" s="2" t="s">
        <v>41</v>
      </c>
      <c r="H372" s="2" t="s">
        <v>19</v>
      </c>
      <c r="I372" s="3">
        <v>44305</v>
      </c>
      <c r="J372" s="3">
        <v>44326</v>
      </c>
      <c r="K372" s="3">
        <v>46151</v>
      </c>
    </row>
    <row r="373" spans="1:13" x14ac:dyDescent="0.35">
      <c r="A373" s="2" t="s">
        <v>823</v>
      </c>
      <c r="B373" s="2" t="s">
        <v>824</v>
      </c>
      <c r="C373" s="2" t="s">
        <v>3972</v>
      </c>
      <c r="D373" s="2" t="s">
        <v>15</v>
      </c>
      <c r="E373" s="2" t="s">
        <v>27</v>
      </c>
      <c r="F373" s="2" t="s">
        <v>28</v>
      </c>
      <c r="G373" s="2" t="s">
        <v>18</v>
      </c>
      <c r="H373" s="2" t="s">
        <v>88</v>
      </c>
      <c r="I373" s="3">
        <v>44770</v>
      </c>
      <c r="J373" s="3">
        <v>44789</v>
      </c>
      <c r="K373" s="3">
        <v>46614</v>
      </c>
      <c r="M373" s="2" t="s">
        <v>826</v>
      </c>
    </row>
    <row r="374" spans="1:13" x14ac:dyDescent="0.35">
      <c r="A374" s="2" t="s">
        <v>453</v>
      </c>
      <c r="C374" s="2" t="s">
        <v>3882</v>
      </c>
      <c r="D374" s="2" t="s">
        <v>15</v>
      </c>
      <c r="E374" s="2" t="s">
        <v>311</v>
      </c>
      <c r="F374" s="2" t="s">
        <v>149</v>
      </c>
      <c r="G374" s="2" t="s">
        <v>41</v>
      </c>
      <c r="H374" s="2" t="s">
        <v>19</v>
      </c>
      <c r="I374" s="3">
        <v>43237</v>
      </c>
      <c r="J374" s="3">
        <v>43304</v>
      </c>
      <c r="K374" s="3">
        <v>45129</v>
      </c>
      <c r="M374" s="2" t="s">
        <v>455</v>
      </c>
    </row>
    <row r="375" spans="1:13" x14ac:dyDescent="0.35">
      <c r="A375" s="2" t="s">
        <v>1629</v>
      </c>
      <c r="C375" s="2" t="s">
        <v>1630</v>
      </c>
      <c r="D375" s="2" t="s">
        <v>15</v>
      </c>
      <c r="E375" s="2" t="s">
        <v>752</v>
      </c>
      <c r="F375" s="2" t="s">
        <v>93</v>
      </c>
      <c r="G375" s="2" t="s">
        <v>18</v>
      </c>
      <c r="H375" s="2" t="s">
        <v>88</v>
      </c>
      <c r="I375" s="5">
        <v>46034.473576388897</v>
      </c>
      <c r="J375" s="3">
        <v>46034</v>
      </c>
      <c r="K375" s="3">
        <v>47129</v>
      </c>
      <c r="M375" s="2" t="s">
        <v>1631</v>
      </c>
    </row>
    <row r="376" spans="1:13" x14ac:dyDescent="0.35">
      <c r="A376" s="2" t="s">
        <v>1657</v>
      </c>
      <c r="C376" s="2" t="s">
        <v>1630</v>
      </c>
      <c r="D376" s="2" t="s">
        <v>15</v>
      </c>
      <c r="E376" s="2" t="s">
        <v>752</v>
      </c>
      <c r="F376" s="2" t="s">
        <v>93</v>
      </c>
      <c r="G376" s="2" t="s">
        <v>18</v>
      </c>
      <c r="I376" s="5">
        <v>46055.838078703702</v>
      </c>
      <c r="J376" s="3">
        <v>46055</v>
      </c>
      <c r="K376" s="3">
        <v>47150</v>
      </c>
      <c r="M376" s="2" t="s">
        <v>1658</v>
      </c>
    </row>
    <row r="377" spans="1:13" x14ac:dyDescent="0.35">
      <c r="A377" s="2" t="s">
        <v>200</v>
      </c>
      <c r="B377" s="2" t="s">
        <v>201</v>
      </c>
      <c r="C377" s="2" t="s">
        <v>3843</v>
      </c>
      <c r="D377" s="2" t="s">
        <v>15</v>
      </c>
      <c r="E377" s="2" t="s">
        <v>203</v>
      </c>
      <c r="F377" s="2" t="s">
        <v>93</v>
      </c>
      <c r="G377" s="2" t="s">
        <v>18</v>
      </c>
      <c r="H377" s="2" t="s">
        <v>177</v>
      </c>
      <c r="I377" s="3">
        <v>41439</v>
      </c>
      <c r="J377" s="3">
        <v>41680</v>
      </c>
      <c r="M377" s="2" t="s">
        <v>204</v>
      </c>
    </row>
    <row r="378" spans="1:13" x14ac:dyDescent="0.35">
      <c r="A378" s="2" t="s">
        <v>205</v>
      </c>
      <c r="B378" s="2" t="s">
        <v>206</v>
      </c>
      <c r="C378" s="2" t="s">
        <v>3843</v>
      </c>
      <c r="D378" s="2" t="s">
        <v>15</v>
      </c>
      <c r="E378" s="2" t="s">
        <v>203</v>
      </c>
      <c r="F378" s="2" t="s">
        <v>93</v>
      </c>
      <c r="G378" s="2" t="s">
        <v>18</v>
      </c>
      <c r="H378" s="2" t="s">
        <v>177</v>
      </c>
      <c r="I378" s="3">
        <v>41439</v>
      </c>
      <c r="J378" s="3">
        <v>41680</v>
      </c>
      <c r="M378" s="2" t="s">
        <v>207</v>
      </c>
    </row>
    <row r="379" spans="1:13" x14ac:dyDescent="0.35">
      <c r="A379" s="2" t="s">
        <v>208</v>
      </c>
      <c r="B379" s="2" t="s">
        <v>209</v>
      </c>
      <c r="C379" s="2" t="s">
        <v>3843</v>
      </c>
      <c r="D379" s="2" t="s">
        <v>15</v>
      </c>
      <c r="E379" s="2" t="s">
        <v>203</v>
      </c>
      <c r="F379" s="2" t="s">
        <v>93</v>
      </c>
      <c r="G379" s="2" t="s">
        <v>18</v>
      </c>
      <c r="H379" s="2" t="s">
        <v>177</v>
      </c>
      <c r="I379" s="3">
        <v>41439</v>
      </c>
      <c r="J379" s="3">
        <v>41680</v>
      </c>
      <c r="M379" s="2" t="s">
        <v>210</v>
      </c>
    </row>
    <row r="380" spans="1:13" x14ac:dyDescent="0.35">
      <c r="A380" s="2" t="s">
        <v>211</v>
      </c>
      <c r="B380" s="2" t="s">
        <v>212</v>
      </c>
      <c r="C380" s="2" t="s">
        <v>3843</v>
      </c>
      <c r="D380" s="2" t="s">
        <v>15</v>
      </c>
      <c r="E380" s="2" t="s">
        <v>203</v>
      </c>
      <c r="F380" s="2" t="s">
        <v>93</v>
      </c>
      <c r="G380" s="2" t="s">
        <v>18</v>
      </c>
      <c r="H380" s="2" t="s">
        <v>88</v>
      </c>
      <c r="I380" s="3">
        <v>41439</v>
      </c>
      <c r="J380" s="3">
        <v>41680</v>
      </c>
      <c r="M380" s="2" t="s">
        <v>213</v>
      </c>
    </row>
    <row r="381" spans="1:13" x14ac:dyDescent="0.35">
      <c r="A381" s="2" t="s">
        <v>214</v>
      </c>
      <c r="B381" s="2" t="s">
        <v>215</v>
      </c>
      <c r="C381" s="2" t="s">
        <v>3843</v>
      </c>
      <c r="D381" s="2" t="s">
        <v>15</v>
      </c>
      <c r="E381" s="2" t="s">
        <v>203</v>
      </c>
      <c r="F381" s="2" t="s">
        <v>93</v>
      </c>
      <c r="G381" s="2" t="s">
        <v>18</v>
      </c>
      <c r="H381" s="2" t="s">
        <v>88</v>
      </c>
      <c r="I381" s="3">
        <v>41439</v>
      </c>
      <c r="J381" s="3">
        <v>41680</v>
      </c>
      <c r="M381" s="2" t="s">
        <v>216</v>
      </c>
    </row>
    <row r="382" spans="1:13" x14ac:dyDescent="0.35">
      <c r="A382" s="2" t="s">
        <v>217</v>
      </c>
      <c r="B382" s="2" t="s">
        <v>218</v>
      </c>
      <c r="C382" s="2" t="s">
        <v>3843</v>
      </c>
      <c r="D382" s="2" t="s">
        <v>15</v>
      </c>
      <c r="E382" s="2" t="s">
        <v>203</v>
      </c>
      <c r="F382" s="2" t="s">
        <v>93</v>
      </c>
      <c r="G382" s="2" t="s">
        <v>18</v>
      </c>
      <c r="H382" s="2" t="s">
        <v>88</v>
      </c>
      <c r="I382" s="3">
        <v>41439</v>
      </c>
      <c r="J382" s="3">
        <v>41680</v>
      </c>
      <c r="M382" s="2" t="s">
        <v>219</v>
      </c>
    </row>
    <row r="383" spans="1:13" x14ac:dyDescent="0.35">
      <c r="A383" s="2" t="s">
        <v>220</v>
      </c>
      <c r="B383" s="2" t="s">
        <v>221</v>
      </c>
      <c r="C383" s="2" t="s">
        <v>3843</v>
      </c>
      <c r="D383" s="2" t="s">
        <v>15</v>
      </c>
      <c r="E383" s="2" t="s">
        <v>203</v>
      </c>
      <c r="F383" s="2" t="s">
        <v>93</v>
      </c>
      <c r="G383" s="2" t="s">
        <v>18</v>
      </c>
      <c r="H383" s="2" t="s">
        <v>88</v>
      </c>
      <c r="I383" s="3">
        <v>41439</v>
      </c>
      <c r="J383" s="3">
        <v>41680</v>
      </c>
      <c r="M383" s="2" t="s">
        <v>219</v>
      </c>
    </row>
    <row r="384" spans="1:13" x14ac:dyDescent="0.35">
      <c r="A384" s="2" t="s">
        <v>222</v>
      </c>
      <c r="B384" s="2" t="s">
        <v>223</v>
      </c>
      <c r="C384" s="2" t="s">
        <v>3843</v>
      </c>
      <c r="D384" s="2" t="s">
        <v>15</v>
      </c>
      <c r="E384" s="2" t="s">
        <v>203</v>
      </c>
      <c r="F384" s="2" t="s">
        <v>93</v>
      </c>
      <c r="G384" s="2" t="s">
        <v>18</v>
      </c>
      <c r="H384" s="2" t="s">
        <v>88</v>
      </c>
      <c r="I384" s="3">
        <v>41439</v>
      </c>
      <c r="J384" s="3">
        <v>41680</v>
      </c>
      <c r="M384" s="2" t="s">
        <v>224</v>
      </c>
    </row>
    <row r="385" spans="1:13" x14ac:dyDescent="0.35">
      <c r="A385" s="2" t="s">
        <v>225</v>
      </c>
      <c r="B385" s="2" t="s">
        <v>226</v>
      </c>
      <c r="C385" s="2" t="s">
        <v>3843</v>
      </c>
      <c r="D385" s="2" t="s">
        <v>15</v>
      </c>
      <c r="E385" s="2" t="s">
        <v>203</v>
      </c>
      <c r="F385" s="2" t="s">
        <v>93</v>
      </c>
      <c r="G385" s="2" t="s">
        <v>18</v>
      </c>
      <c r="H385" s="2" t="s">
        <v>88</v>
      </c>
      <c r="I385" s="3">
        <v>41439</v>
      </c>
      <c r="J385" s="3">
        <v>41680</v>
      </c>
      <c r="M385" s="2" t="s">
        <v>227</v>
      </c>
    </row>
    <row r="386" spans="1:13" x14ac:dyDescent="0.35">
      <c r="A386" s="2" t="s">
        <v>228</v>
      </c>
      <c r="B386" s="2" t="s">
        <v>229</v>
      </c>
      <c r="C386" s="2" t="s">
        <v>3843</v>
      </c>
      <c r="D386" s="2" t="s">
        <v>15</v>
      </c>
      <c r="E386" s="2" t="s">
        <v>203</v>
      </c>
      <c r="F386" s="2" t="s">
        <v>93</v>
      </c>
      <c r="G386" s="2" t="s">
        <v>18</v>
      </c>
      <c r="H386" s="2" t="s">
        <v>88</v>
      </c>
      <c r="I386" s="3">
        <v>41439</v>
      </c>
      <c r="J386" s="3">
        <v>41680</v>
      </c>
      <c r="M386" s="2" t="s">
        <v>230</v>
      </c>
    </row>
    <row r="387" spans="1:13" x14ac:dyDescent="0.35">
      <c r="A387" s="2" t="s">
        <v>231</v>
      </c>
      <c r="B387" s="2" t="s">
        <v>232</v>
      </c>
      <c r="C387" s="2" t="s">
        <v>3843</v>
      </c>
      <c r="D387" s="2" t="s">
        <v>15</v>
      </c>
      <c r="E387" s="2" t="s">
        <v>203</v>
      </c>
      <c r="F387" s="2" t="s">
        <v>93</v>
      </c>
      <c r="G387" s="2" t="s">
        <v>18</v>
      </c>
      <c r="H387" s="2" t="s">
        <v>88</v>
      </c>
      <c r="I387" s="3">
        <v>41439</v>
      </c>
      <c r="J387" s="3">
        <v>41680</v>
      </c>
      <c r="M387" s="2" t="s">
        <v>233</v>
      </c>
    </row>
    <row r="388" spans="1:13" x14ac:dyDescent="0.35">
      <c r="A388" s="2" t="s">
        <v>234</v>
      </c>
      <c r="B388" s="2" t="s">
        <v>235</v>
      </c>
      <c r="C388" s="2" t="s">
        <v>3843</v>
      </c>
      <c r="D388" s="2" t="s">
        <v>15</v>
      </c>
      <c r="E388" s="2" t="s">
        <v>203</v>
      </c>
      <c r="F388" s="2" t="s">
        <v>93</v>
      </c>
      <c r="G388" s="2" t="s">
        <v>18</v>
      </c>
      <c r="H388" s="2" t="s">
        <v>88</v>
      </c>
      <c r="I388" s="3">
        <v>41439</v>
      </c>
      <c r="J388" s="3">
        <v>41680</v>
      </c>
      <c r="M388" s="2" t="s">
        <v>236</v>
      </c>
    </row>
    <row r="389" spans="1:13" x14ac:dyDescent="0.35">
      <c r="A389" s="2" t="s">
        <v>237</v>
      </c>
      <c r="B389" s="2" t="s">
        <v>238</v>
      </c>
      <c r="C389" s="2" t="s">
        <v>3843</v>
      </c>
      <c r="D389" s="2" t="s">
        <v>15</v>
      </c>
      <c r="E389" s="2" t="s">
        <v>203</v>
      </c>
      <c r="F389" s="2" t="s">
        <v>93</v>
      </c>
      <c r="G389" s="2" t="s">
        <v>18</v>
      </c>
      <c r="H389" s="2" t="s">
        <v>88</v>
      </c>
      <c r="I389" s="3">
        <v>41439</v>
      </c>
      <c r="J389" s="3">
        <v>41680</v>
      </c>
      <c r="M389" s="2" t="s">
        <v>239</v>
      </c>
    </row>
    <row r="390" spans="1:13" x14ac:dyDescent="0.35">
      <c r="A390" s="2" t="s">
        <v>240</v>
      </c>
      <c r="B390" s="2" t="s">
        <v>241</v>
      </c>
      <c r="C390" s="2" t="s">
        <v>3843</v>
      </c>
      <c r="D390" s="2" t="s">
        <v>15</v>
      </c>
      <c r="E390" s="2" t="s">
        <v>203</v>
      </c>
      <c r="F390" s="2" t="s">
        <v>93</v>
      </c>
      <c r="G390" s="2" t="s">
        <v>18</v>
      </c>
      <c r="H390" s="2" t="s">
        <v>88</v>
      </c>
      <c r="I390" s="3">
        <v>41439</v>
      </c>
      <c r="J390" s="3">
        <v>41680</v>
      </c>
      <c r="M390" s="2" t="s">
        <v>242</v>
      </c>
    </row>
    <row r="391" spans="1:13" x14ac:dyDescent="0.35">
      <c r="A391" s="2" t="s">
        <v>243</v>
      </c>
      <c r="B391" s="2" t="s">
        <v>244</v>
      </c>
      <c r="C391" s="2" t="s">
        <v>3843</v>
      </c>
      <c r="D391" s="2" t="s">
        <v>15</v>
      </c>
      <c r="E391" s="2" t="s">
        <v>203</v>
      </c>
      <c r="F391" s="2" t="s">
        <v>93</v>
      </c>
      <c r="G391" s="2" t="s">
        <v>18</v>
      </c>
      <c r="H391" s="2" t="s">
        <v>88</v>
      </c>
      <c r="I391" s="3">
        <v>41439</v>
      </c>
      <c r="J391" s="3">
        <v>41680</v>
      </c>
      <c r="M391" s="2" t="s">
        <v>245</v>
      </c>
    </row>
    <row r="392" spans="1:13" x14ac:dyDescent="0.35">
      <c r="A392" s="2" t="s">
        <v>246</v>
      </c>
      <c r="B392" s="2" t="s">
        <v>247</v>
      </c>
      <c r="C392" s="2" t="s">
        <v>3843</v>
      </c>
      <c r="D392" s="2" t="s">
        <v>15</v>
      </c>
      <c r="E392" s="2" t="s">
        <v>203</v>
      </c>
      <c r="F392" s="2" t="s">
        <v>93</v>
      </c>
      <c r="G392" s="2" t="s">
        <v>18</v>
      </c>
      <c r="H392" s="2" t="s">
        <v>88</v>
      </c>
      <c r="I392" s="3">
        <v>41439</v>
      </c>
      <c r="J392" s="3">
        <v>41680</v>
      </c>
      <c r="M392" s="2" t="s">
        <v>248</v>
      </c>
    </row>
    <row r="393" spans="1:13" x14ac:dyDescent="0.35">
      <c r="A393" s="2" t="s">
        <v>249</v>
      </c>
      <c r="B393" s="2" t="s">
        <v>250</v>
      </c>
      <c r="C393" s="2" t="s">
        <v>3843</v>
      </c>
      <c r="D393" s="2" t="s">
        <v>15</v>
      </c>
      <c r="E393" s="2" t="s">
        <v>203</v>
      </c>
      <c r="F393" s="2" t="s">
        <v>93</v>
      </c>
      <c r="G393" s="2" t="s">
        <v>18</v>
      </c>
      <c r="H393" s="2" t="s">
        <v>88</v>
      </c>
      <c r="I393" s="3">
        <v>41439</v>
      </c>
      <c r="J393" s="3">
        <v>41680</v>
      </c>
      <c r="M393" s="2" t="s">
        <v>251</v>
      </c>
    </row>
    <row r="394" spans="1:13" x14ac:dyDescent="0.35">
      <c r="A394" s="2" t="s">
        <v>1632</v>
      </c>
      <c r="B394" s="2" t="s">
        <v>380</v>
      </c>
      <c r="C394" s="2" t="s">
        <v>3843</v>
      </c>
      <c r="D394" s="2" t="s">
        <v>15</v>
      </c>
      <c r="E394" s="2" t="s">
        <v>752</v>
      </c>
      <c r="F394" s="2" t="s">
        <v>93</v>
      </c>
      <c r="G394" s="2" t="s">
        <v>18</v>
      </c>
      <c r="H394" s="2" t="s">
        <v>88</v>
      </c>
      <c r="I394" s="5">
        <v>46038.510289351798</v>
      </c>
      <c r="J394" s="3">
        <v>46038</v>
      </c>
      <c r="K394" s="3">
        <v>47133</v>
      </c>
      <c r="M394" s="2" t="s">
        <v>1633</v>
      </c>
    </row>
    <row r="395" spans="1:13" x14ac:dyDescent="0.35">
      <c r="A395" s="2" t="s">
        <v>1634</v>
      </c>
      <c r="C395" s="2" t="s">
        <v>3843</v>
      </c>
      <c r="D395" s="2" t="s">
        <v>15</v>
      </c>
      <c r="E395" s="2" t="s">
        <v>752</v>
      </c>
      <c r="F395" s="2" t="s">
        <v>93</v>
      </c>
      <c r="G395" s="2" t="s">
        <v>18</v>
      </c>
      <c r="H395" s="2" t="s">
        <v>88</v>
      </c>
      <c r="I395" s="5">
        <v>46044.502025463</v>
      </c>
      <c r="J395" s="3">
        <v>46044</v>
      </c>
      <c r="K395" s="3">
        <v>47139</v>
      </c>
      <c r="M395" s="2" t="s">
        <v>1635</v>
      </c>
    </row>
    <row r="396" spans="1:13" x14ac:dyDescent="0.35">
      <c r="A396" s="2" t="s">
        <v>1636</v>
      </c>
      <c r="C396" s="2" t="s">
        <v>3843</v>
      </c>
      <c r="D396" s="2" t="s">
        <v>15</v>
      </c>
      <c r="E396" s="2" t="s">
        <v>752</v>
      </c>
      <c r="F396" s="2" t="s">
        <v>93</v>
      </c>
      <c r="G396" s="2" t="s">
        <v>18</v>
      </c>
      <c r="H396" s="2" t="s">
        <v>88</v>
      </c>
      <c r="I396" s="5">
        <v>46045.644687499997</v>
      </c>
      <c r="J396" s="3">
        <v>46045</v>
      </c>
      <c r="K396" s="3">
        <v>47140</v>
      </c>
      <c r="M396" s="2" t="s">
        <v>1637</v>
      </c>
    </row>
    <row r="397" spans="1:13" x14ac:dyDescent="0.35">
      <c r="A397" s="2" t="s">
        <v>1662</v>
      </c>
      <c r="C397" s="2" t="s">
        <v>3843</v>
      </c>
      <c r="D397" s="2" t="s">
        <v>15</v>
      </c>
      <c r="E397" s="2" t="s">
        <v>752</v>
      </c>
      <c r="F397" s="2" t="s">
        <v>93</v>
      </c>
      <c r="G397" s="2" t="s">
        <v>18</v>
      </c>
      <c r="H397" s="2" t="s">
        <v>88</v>
      </c>
      <c r="I397" s="5">
        <v>46098.655624999999</v>
      </c>
      <c r="J397" s="3">
        <v>46098</v>
      </c>
      <c r="K397" s="3">
        <v>47193</v>
      </c>
      <c r="M397" s="2" t="s">
        <v>1663</v>
      </c>
    </row>
    <row r="398" spans="1:13" x14ac:dyDescent="0.35">
      <c r="A398" s="2" t="s">
        <v>1739</v>
      </c>
      <c r="B398" s="2" t="s">
        <v>1740</v>
      </c>
      <c r="C398" s="2" t="s">
        <v>3843</v>
      </c>
      <c r="D398" s="2" t="s">
        <v>15</v>
      </c>
      <c r="E398" s="2" t="s">
        <v>203</v>
      </c>
      <c r="F398" s="2" t="s">
        <v>93</v>
      </c>
      <c r="G398" s="2" t="s">
        <v>18</v>
      </c>
      <c r="H398" s="2" t="s">
        <v>88</v>
      </c>
      <c r="I398" s="3">
        <v>41439</v>
      </c>
      <c r="M398" s="2" t="s">
        <v>1741</v>
      </c>
    </row>
    <row r="399" spans="1:13" x14ac:dyDescent="0.35">
      <c r="A399" s="2" t="s">
        <v>1742</v>
      </c>
      <c r="B399" s="2" t="s">
        <v>1743</v>
      </c>
      <c r="C399" s="2" t="s">
        <v>3843</v>
      </c>
      <c r="D399" s="2" t="s">
        <v>15</v>
      </c>
      <c r="E399" s="2" t="s">
        <v>203</v>
      </c>
      <c r="F399" s="2" t="s">
        <v>93</v>
      </c>
      <c r="G399" s="2" t="s">
        <v>18</v>
      </c>
      <c r="H399" s="2" t="s">
        <v>88</v>
      </c>
      <c r="I399" s="3">
        <v>41439</v>
      </c>
      <c r="M399" s="2" t="s">
        <v>1744</v>
      </c>
    </row>
    <row r="400" spans="1:13" x14ac:dyDescent="0.35">
      <c r="A400" s="2" t="s">
        <v>1362</v>
      </c>
      <c r="C400" s="2" t="s">
        <v>4080</v>
      </c>
      <c r="D400" s="2" t="s">
        <v>15</v>
      </c>
      <c r="E400" s="2" t="s">
        <v>154</v>
      </c>
      <c r="F400" s="2" t="s">
        <v>93</v>
      </c>
      <c r="G400" s="2" t="s">
        <v>18</v>
      </c>
      <c r="H400" s="2" t="s">
        <v>88</v>
      </c>
      <c r="I400" s="3">
        <v>44865</v>
      </c>
      <c r="J400" s="3">
        <v>45324</v>
      </c>
      <c r="K400" s="3">
        <v>46419</v>
      </c>
      <c r="M400" s="2" t="s">
        <v>1364</v>
      </c>
    </row>
    <row r="401" spans="1:13" x14ac:dyDescent="0.35">
      <c r="A401" s="2" t="s">
        <v>1109</v>
      </c>
      <c r="C401" s="2" t="s">
        <v>4034</v>
      </c>
      <c r="D401" s="2" t="s">
        <v>15</v>
      </c>
      <c r="E401" s="2" t="s">
        <v>27</v>
      </c>
      <c r="F401" s="2" t="s">
        <v>60</v>
      </c>
      <c r="G401" s="2" t="s">
        <v>18</v>
      </c>
      <c r="H401" s="2" t="s">
        <v>19</v>
      </c>
      <c r="I401" s="3">
        <v>45092</v>
      </c>
      <c r="J401" s="3">
        <v>45103</v>
      </c>
      <c r="K401" s="3">
        <v>46929</v>
      </c>
      <c r="M401" s="2" t="s">
        <v>1111</v>
      </c>
    </row>
    <row r="402" spans="1:13" x14ac:dyDescent="0.35">
      <c r="A402" s="2" t="s">
        <v>609</v>
      </c>
      <c r="B402" s="2" t="s">
        <v>610</v>
      </c>
      <c r="C402" s="2" t="s">
        <v>3915</v>
      </c>
      <c r="D402" s="2" t="s">
        <v>15</v>
      </c>
      <c r="E402" s="2" t="s">
        <v>148</v>
      </c>
      <c r="F402" s="2" t="s">
        <v>93</v>
      </c>
      <c r="G402" s="2" t="s">
        <v>18</v>
      </c>
      <c r="H402" s="2" t="s">
        <v>88</v>
      </c>
      <c r="I402" s="3">
        <v>44198</v>
      </c>
      <c r="J402" s="3">
        <v>44384</v>
      </c>
      <c r="K402" s="3">
        <v>46209</v>
      </c>
      <c r="M402" s="2" t="s">
        <v>612</v>
      </c>
    </row>
    <row r="403" spans="1:13" x14ac:dyDescent="0.35">
      <c r="A403" s="2" t="s">
        <v>90</v>
      </c>
      <c r="B403" s="2" t="s">
        <v>91</v>
      </c>
      <c r="C403" s="2" t="s">
        <v>92</v>
      </c>
      <c r="D403" s="2" t="s">
        <v>15</v>
      </c>
      <c r="E403" s="2" t="s">
        <v>16</v>
      </c>
      <c r="F403" s="2" t="s">
        <v>93</v>
      </c>
      <c r="G403" s="2" t="s">
        <v>18</v>
      </c>
      <c r="H403" s="2" t="s">
        <v>88</v>
      </c>
      <c r="I403" s="3">
        <v>38434</v>
      </c>
      <c r="J403" s="3">
        <v>38512</v>
      </c>
      <c r="K403" s="3">
        <v>51247</v>
      </c>
      <c r="M403" s="2" t="s">
        <v>94</v>
      </c>
    </row>
    <row r="404" spans="1:13" x14ac:dyDescent="0.35">
      <c r="A404" s="2" t="s">
        <v>1690</v>
      </c>
      <c r="B404" s="2" t="s">
        <v>1691</v>
      </c>
      <c r="C404" s="2" t="s">
        <v>92</v>
      </c>
      <c r="D404" s="2" t="s">
        <v>15</v>
      </c>
      <c r="E404" s="2" t="s">
        <v>573</v>
      </c>
      <c r="F404" s="2" t="s">
        <v>1218</v>
      </c>
      <c r="G404" s="2" t="s">
        <v>18</v>
      </c>
      <c r="H404" s="2" t="s">
        <v>88</v>
      </c>
      <c r="I404" s="5">
        <v>45901.681145833303</v>
      </c>
      <c r="J404" s="3">
        <v>45929</v>
      </c>
      <c r="K404" s="3">
        <v>46293</v>
      </c>
      <c r="M404" s="2" t="s">
        <v>1692</v>
      </c>
    </row>
    <row r="405" spans="1:13" x14ac:dyDescent="0.35">
      <c r="A405" s="2" t="s">
        <v>1582</v>
      </c>
      <c r="C405" s="2" t="s">
        <v>4130</v>
      </c>
      <c r="D405" s="2" t="s">
        <v>15</v>
      </c>
      <c r="E405" s="2" t="s">
        <v>573</v>
      </c>
      <c r="F405" s="2" t="s">
        <v>1218</v>
      </c>
      <c r="G405" s="2" t="s">
        <v>18</v>
      </c>
      <c r="H405" s="2" t="s">
        <v>88</v>
      </c>
      <c r="I405" s="5">
        <v>45910.832534722198</v>
      </c>
      <c r="J405" s="3">
        <v>45929</v>
      </c>
      <c r="K405" s="3">
        <v>46293</v>
      </c>
      <c r="M405" s="2" t="s">
        <v>1584</v>
      </c>
    </row>
    <row r="406" spans="1:13" x14ac:dyDescent="0.35">
      <c r="A406" s="2" t="s">
        <v>1687</v>
      </c>
      <c r="B406" s="2" t="s">
        <v>1688</v>
      </c>
      <c r="C406" s="2" t="s">
        <v>4130</v>
      </c>
      <c r="D406" s="2" t="s">
        <v>15</v>
      </c>
      <c r="E406" s="2" t="s">
        <v>573</v>
      </c>
      <c r="F406" s="2" t="s">
        <v>1218</v>
      </c>
      <c r="G406" s="2" t="s">
        <v>18</v>
      </c>
      <c r="H406" s="2" t="s">
        <v>88</v>
      </c>
      <c r="I406" s="5">
        <v>45901.674872685202</v>
      </c>
      <c r="J406" s="3">
        <v>45929</v>
      </c>
      <c r="K406" s="3">
        <v>46293</v>
      </c>
      <c r="M406" s="2" t="s">
        <v>1689</v>
      </c>
    </row>
    <row r="407" spans="1:13" x14ac:dyDescent="0.35">
      <c r="A407" s="2" t="s">
        <v>383</v>
      </c>
      <c r="B407" s="2" t="s">
        <v>384</v>
      </c>
      <c r="C407" s="2" t="s">
        <v>3866</v>
      </c>
      <c r="D407" s="2" t="s">
        <v>15</v>
      </c>
      <c r="E407" s="2" t="s">
        <v>139</v>
      </c>
      <c r="F407" s="2" t="s">
        <v>386</v>
      </c>
      <c r="G407" s="2" t="s">
        <v>18</v>
      </c>
      <c r="H407" s="2" t="s">
        <v>88</v>
      </c>
      <c r="I407" s="3">
        <v>42936</v>
      </c>
      <c r="J407" s="3">
        <v>43210</v>
      </c>
      <c r="K407" s="3">
        <v>46863</v>
      </c>
      <c r="M407" s="2" t="s">
        <v>387</v>
      </c>
    </row>
    <row r="408" spans="1:13" x14ac:dyDescent="0.35">
      <c r="A408" s="2" t="s">
        <v>1222</v>
      </c>
      <c r="B408" s="2" t="s">
        <v>1223</v>
      </c>
      <c r="C408" s="2" t="s">
        <v>3866</v>
      </c>
      <c r="D408" s="2" t="s">
        <v>15</v>
      </c>
      <c r="E408" s="2" t="s">
        <v>139</v>
      </c>
      <c r="F408" s="2" t="s">
        <v>93</v>
      </c>
      <c r="G408" s="2" t="s">
        <v>18</v>
      </c>
      <c r="H408" s="2" t="s">
        <v>88</v>
      </c>
      <c r="I408" s="3">
        <v>45251</v>
      </c>
      <c r="J408" s="3">
        <v>45260</v>
      </c>
      <c r="K408" s="3">
        <v>46720</v>
      </c>
      <c r="M408" s="2" t="s">
        <v>1224</v>
      </c>
    </row>
    <row r="409" spans="1:13" x14ac:dyDescent="0.35">
      <c r="A409" s="2" t="s">
        <v>789</v>
      </c>
      <c r="C409" s="2" t="s">
        <v>3960</v>
      </c>
      <c r="D409" s="2" t="s">
        <v>15</v>
      </c>
      <c r="E409" s="2" t="s">
        <v>27</v>
      </c>
      <c r="F409" s="2" t="s">
        <v>28</v>
      </c>
      <c r="G409" s="2" t="s">
        <v>18</v>
      </c>
      <c r="H409" s="2" t="s">
        <v>177</v>
      </c>
      <c r="I409" s="3">
        <v>43517</v>
      </c>
      <c r="J409" s="3">
        <v>44594</v>
      </c>
      <c r="K409" s="3">
        <v>46419</v>
      </c>
      <c r="M409" s="2" t="s">
        <v>791</v>
      </c>
    </row>
    <row r="410" spans="1:13" x14ac:dyDescent="0.35">
      <c r="A410" s="2" t="s">
        <v>827</v>
      </c>
      <c r="C410" s="2" t="s">
        <v>3973</v>
      </c>
      <c r="D410" s="2" t="s">
        <v>15</v>
      </c>
      <c r="E410" s="2" t="s">
        <v>311</v>
      </c>
      <c r="F410" s="2" t="s">
        <v>149</v>
      </c>
      <c r="G410" s="2" t="s">
        <v>18</v>
      </c>
      <c r="H410" s="2" t="s">
        <v>19</v>
      </c>
      <c r="I410" s="3">
        <v>44750</v>
      </c>
      <c r="J410" s="3">
        <v>44747</v>
      </c>
      <c r="K410" s="3">
        <v>46572</v>
      </c>
    </row>
    <row r="411" spans="1:13" x14ac:dyDescent="0.35">
      <c r="A411" s="2" t="s">
        <v>829</v>
      </c>
      <c r="C411" s="2" t="s">
        <v>3974</v>
      </c>
      <c r="D411" s="2" t="s">
        <v>15</v>
      </c>
      <c r="E411" s="2" t="s">
        <v>311</v>
      </c>
      <c r="F411" s="2" t="s">
        <v>149</v>
      </c>
      <c r="G411" s="2" t="s">
        <v>18</v>
      </c>
      <c r="H411" s="2" t="s">
        <v>19</v>
      </c>
      <c r="I411" s="3">
        <v>44571</v>
      </c>
      <c r="J411" s="3">
        <v>44796</v>
      </c>
      <c r="K411" s="3">
        <v>46621</v>
      </c>
    </row>
    <row r="412" spans="1:13" x14ac:dyDescent="0.35">
      <c r="A412" s="2" t="s">
        <v>1044</v>
      </c>
      <c r="B412" s="2" t="s">
        <v>1005</v>
      </c>
      <c r="C412" s="2" t="s">
        <v>3974</v>
      </c>
      <c r="D412" s="2" t="s">
        <v>15</v>
      </c>
      <c r="E412" s="2" t="s">
        <v>154</v>
      </c>
      <c r="F412" s="2" t="s">
        <v>93</v>
      </c>
      <c r="G412" s="2" t="s">
        <v>18</v>
      </c>
      <c r="H412" s="2" t="s">
        <v>88</v>
      </c>
      <c r="I412" s="3">
        <v>45049</v>
      </c>
      <c r="J412" s="3">
        <v>45097</v>
      </c>
      <c r="K412" s="3">
        <v>46192</v>
      </c>
      <c r="M412" s="2" t="s">
        <v>1045</v>
      </c>
    </row>
    <row r="413" spans="1:13" x14ac:dyDescent="0.35">
      <c r="A413" s="2" t="s">
        <v>1381</v>
      </c>
      <c r="B413" s="2" t="s">
        <v>1382</v>
      </c>
      <c r="C413" s="2" t="s">
        <v>4084</v>
      </c>
      <c r="D413" s="2" t="s">
        <v>15</v>
      </c>
      <c r="E413" s="2" t="s">
        <v>573</v>
      </c>
      <c r="F413" s="2" t="s">
        <v>395</v>
      </c>
      <c r="G413" s="2" t="s">
        <v>18</v>
      </c>
      <c r="H413" s="2" t="s">
        <v>19</v>
      </c>
      <c r="I413" s="3">
        <v>45253</v>
      </c>
      <c r="J413" s="3">
        <v>45342</v>
      </c>
      <c r="K413" s="3">
        <v>45707</v>
      </c>
      <c r="M413" s="2" t="s">
        <v>1384</v>
      </c>
    </row>
    <row r="414" spans="1:13" x14ac:dyDescent="0.35">
      <c r="A414" s="2" t="s">
        <v>1404</v>
      </c>
      <c r="B414" s="2" t="s">
        <v>1405</v>
      </c>
      <c r="C414" s="2" t="s">
        <v>1406</v>
      </c>
      <c r="D414" s="2" t="s">
        <v>15</v>
      </c>
      <c r="E414" s="2" t="s">
        <v>573</v>
      </c>
      <c r="F414" s="2" t="s">
        <v>395</v>
      </c>
      <c r="G414" s="2" t="s">
        <v>18</v>
      </c>
      <c r="H414" s="2" t="s">
        <v>19</v>
      </c>
      <c r="I414" s="3">
        <v>45336</v>
      </c>
      <c r="J414" s="3">
        <v>45356</v>
      </c>
      <c r="K414" s="3">
        <v>45720</v>
      </c>
      <c r="M414" s="2" t="s">
        <v>1407</v>
      </c>
    </row>
    <row r="415" spans="1:13" x14ac:dyDescent="0.35">
      <c r="A415" s="2" t="s">
        <v>520</v>
      </c>
      <c r="B415" s="2" t="s">
        <v>521</v>
      </c>
      <c r="C415" s="2" t="s">
        <v>3895</v>
      </c>
      <c r="D415" s="2" t="s">
        <v>15</v>
      </c>
      <c r="E415" s="2" t="s">
        <v>139</v>
      </c>
      <c r="F415" s="2" t="s">
        <v>93</v>
      </c>
      <c r="G415" s="2" t="s">
        <v>41</v>
      </c>
      <c r="H415" s="2" t="s">
        <v>88</v>
      </c>
      <c r="I415" s="3">
        <v>43832</v>
      </c>
      <c r="J415" s="3">
        <v>44028</v>
      </c>
      <c r="K415" s="3">
        <v>45488</v>
      </c>
      <c r="M415" s="2" t="s">
        <v>523</v>
      </c>
    </row>
    <row r="416" spans="1:13" x14ac:dyDescent="0.35">
      <c r="A416" s="2" t="s">
        <v>968</v>
      </c>
      <c r="B416" s="2" t="s">
        <v>969</v>
      </c>
      <c r="C416" s="2" t="s">
        <v>3895</v>
      </c>
      <c r="D416" s="2" t="s">
        <v>15</v>
      </c>
      <c r="E416" s="2" t="s">
        <v>154</v>
      </c>
      <c r="F416" s="2" t="s">
        <v>93</v>
      </c>
      <c r="G416" s="2" t="s">
        <v>18</v>
      </c>
      <c r="H416" s="2" t="s">
        <v>88</v>
      </c>
      <c r="I416" s="3">
        <v>44938</v>
      </c>
      <c r="J416" s="3">
        <v>44991</v>
      </c>
      <c r="K416" s="3">
        <v>46086</v>
      </c>
      <c r="M416" s="2" t="s">
        <v>970</v>
      </c>
    </row>
    <row r="417" spans="1:13" x14ac:dyDescent="0.35">
      <c r="A417" s="2" t="s">
        <v>971</v>
      </c>
      <c r="B417" s="2" t="s">
        <v>972</v>
      </c>
      <c r="C417" s="2" t="s">
        <v>3895</v>
      </c>
      <c r="D417" s="2" t="s">
        <v>15</v>
      </c>
      <c r="E417" s="2" t="s">
        <v>154</v>
      </c>
      <c r="F417" s="2" t="s">
        <v>93</v>
      </c>
      <c r="G417" s="2" t="s">
        <v>18</v>
      </c>
      <c r="H417" s="2" t="s">
        <v>88</v>
      </c>
      <c r="I417" s="3">
        <v>44911</v>
      </c>
      <c r="J417" s="3">
        <v>44991</v>
      </c>
      <c r="K417" s="3">
        <v>46086</v>
      </c>
      <c r="M417" s="2" t="s">
        <v>973</v>
      </c>
    </row>
    <row r="418" spans="1:13" x14ac:dyDescent="0.35">
      <c r="A418" s="2" t="s">
        <v>1374</v>
      </c>
      <c r="B418" s="2" t="s">
        <v>1375</v>
      </c>
      <c r="C418" s="2" t="s">
        <v>4083</v>
      </c>
      <c r="D418" s="2" t="s">
        <v>15</v>
      </c>
      <c r="E418" s="2" t="s">
        <v>573</v>
      </c>
      <c r="F418" s="2" t="s">
        <v>82</v>
      </c>
      <c r="G418" s="2" t="s">
        <v>18</v>
      </c>
      <c r="H418" s="2" t="s">
        <v>19</v>
      </c>
      <c r="I418" s="3">
        <v>45259</v>
      </c>
      <c r="J418" s="3">
        <v>45309</v>
      </c>
      <c r="K418" s="3">
        <v>45674</v>
      </c>
      <c r="M418" s="2" t="s">
        <v>1377</v>
      </c>
    </row>
    <row r="419" spans="1:13" x14ac:dyDescent="0.35">
      <c r="A419" s="2" t="s">
        <v>1135</v>
      </c>
      <c r="C419" s="2" t="s">
        <v>4040</v>
      </c>
      <c r="D419" s="2" t="s">
        <v>15</v>
      </c>
      <c r="E419" s="2" t="s">
        <v>27</v>
      </c>
      <c r="F419" s="2" t="s">
        <v>28</v>
      </c>
      <c r="G419" s="2" t="s">
        <v>18</v>
      </c>
      <c r="H419" s="2" t="s">
        <v>19</v>
      </c>
      <c r="I419" s="3">
        <v>45061</v>
      </c>
      <c r="J419" s="3">
        <v>45169</v>
      </c>
      <c r="K419" s="3">
        <v>46995</v>
      </c>
      <c r="M419" s="2" t="s">
        <v>1137</v>
      </c>
    </row>
    <row r="420" spans="1:13" x14ac:dyDescent="0.35">
      <c r="A420" s="2" t="s">
        <v>805</v>
      </c>
      <c r="B420" s="2" t="s">
        <v>402</v>
      </c>
      <c r="C420" s="2" t="s">
        <v>3966</v>
      </c>
      <c r="D420" s="2" t="s">
        <v>15</v>
      </c>
      <c r="E420" s="2" t="s">
        <v>139</v>
      </c>
      <c r="F420" s="2" t="s">
        <v>712</v>
      </c>
      <c r="G420" s="2" t="s">
        <v>18</v>
      </c>
      <c r="H420" s="2" t="s">
        <v>88</v>
      </c>
      <c r="I420" s="3">
        <v>44763</v>
      </c>
      <c r="J420" s="3">
        <v>44956</v>
      </c>
      <c r="K420" s="3">
        <v>46416</v>
      </c>
      <c r="M420" s="2" t="s">
        <v>807</v>
      </c>
    </row>
    <row r="421" spans="1:13" x14ac:dyDescent="0.35">
      <c r="A421" s="2" t="s">
        <v>501</v>
      </c>
      <c r="C421" s="2" t="s">
        <v>3892</v>
      </c>
      <c r="D421" s="2" t="s">
        <v>15</v>
      </c>
      <c r="E421" s="2" t="s">
        <v>27</v>
      </c>
      <c r="F421" s="2" t="s">
        <v>28</v>
      </c>
      <c r="G421" s="2" t="s">
        <v>18</v>
      </c>
      <c r="H421" s="2" t="s">
        <v>88</v>
      </c>
      <c r="I421" s="3">
        <v>43658</v>
      </c>
      <c r="J421" s="3">
        <v>43794</v>
      </c>
      <c r="K421" s="3">
        <v>45620</v>
      </c>
      <c r="M421" s="2" t="s">
        <v>503</v>
      </c>
    </row>
    <row r="422" spans="1:13" x14ac:dyDescent="0.35">
      <c r="A422" s="2" t="s">
        <v>896</v>
      </c>
      <c r="C422" s="2" t="s">
        <v>3989</v>
      </c>
      <c r="D422" s="2" t="s">
        <v>15</v>
      </c>
      <c r="E422" s="2" t="s">
        <v>311</v>
      </c>
      <c r="F422" s="2" t="s">
        <v>149</v>
      </c>
      <c r="G422" s="2" t="s">
        <v>18</v>
      </c>
      <c r="H422" s="2" t="s">
        <v>19</v>
      </c>
      <c r="I422" s="3">
        <v>44800</v>
      </c>
      <c r="J422" s="3">
        <v>45055</v>
      </c>
      <c r="K422" s="3">
        <v>46881</v>
      </c>
    </row>
    <row r="423" spans="1:13" x14ac:dyDescent="0.35">
      <c r="A423" s="2" t="s">
        <v>196</v>
      </c>
      <c r="B423" s="2" t="s">
        <v>197</v>
      </c>
      <c r="C423" s="2" t="s">
        <v>3842</v>
      </c>
      <c r="D423" s="2" t="s">
        <v>15</v>
      </c>
      <c r="E423" s="2" t="s">
        <v>139</v>
      </c>
      <c r="F423" s="2" t="s">
        <v>93</v>
      </c>
      <c r="G423" s="2" t="s">
        <v>18</v>
      </c>
      <c r="H423" s="2" t="s">
        <v>88</v>
      </c>
      <c r="I423" s="3">
        <v>41430</v>
      </c>
      <c r="J423" s="3">
        <v>41599</v>
      </c>
      <c r="K423" s="3">
        <v>45982</v>
      </c>
      <c r="M423" s="2" t="s">
        <v>199</v>
      </c>
    </row>
    <row r="424" spans="1:13" x14ac:dyDescent="0.35">
      <c r="A424" s="2" t="s">
        <v>1029</v>
      </c>
      <c r="B424" s="2" t="s">
        <v>1030</v>
      </c>
      <c r="C424" s="2" t="s">
        <v>4015</v>
      </c>
      <c r="D424" s="2" t="s">
        <v>15</v>
      </c>
      <c r="E424" s="2" t="s">
        <v>139</v>
      </c>
      <c r="F424" s="2" t="s">
        <v>712</v>
      </c>
      <c r="G424" s="2" t="s">
        <v>18</v>
      </c>
      <c r="H424" s="2" t="s">
        <v>88</v>
      </c>
      <c r="I424" s="3">
        <v>45005</v>
      </c>
      <c r="J424" s="3">
        <v>45070</v>
      </c>
      <c r="K424" s="3">
        <v>46530</v>
      </c>
      <c r="M424" s="2" t="s">
        <v>1032</v>
      </c>
    </row>
    <row r="425" spans="1:13" x14ac:dyDescent="0.35">
      <c r="A425" s="2" t="s">
        <v>359</v>
      </c>
      <c r="B425" s="2" t="s">
        <v>360</v>
      </c>
      <c r="C425" s="2" t="s">
        <v>361</v>
      </c>
      <c r="D425" s="2" t="s">
        <v>15</v>
      </c>
      <c r="E425" s="2" t="s">
        <v>27</v>
      </c>
      <c r="F425" s="2" t="s">
        <v>362</v>
      </c>
      <c r="G425" s="2" t="s">
        <v>18</v>
      </c>
      <c r="H425" s="2" t="s">
        <v>88</v>
      </c>
      <c r="I425" s="3">
        <v>42741</v>
      </c>
      <c r="J425" s="3">
        <v>43139</v>
      </c>
      <c r="K425" s="3">
        <v>46789</v>
      </c>
      <c r="L425" s="3">
        <v>44965</v>
      </c>
      <c r="M425" s="2" t="s">
        <v>363</v>
      </c>
    </row>
    <row r="426" spans="1:13" x14ac:dyDescent="0.35">
      <c r="A426" s="2" t="s">
        <v>643</v>
      </c>
      <c r="B426" s="2" t="s">
        <v>644</v>
      </c>
      <c r="C426" s="2" t="s">
        <v>3925</v>
      </c>
      <c r="D426" s="2" t="s">
        <v>15</v>
      </c>
      <c r="E426" s="2" t="s">
        <v>311</v>
      </c>
      <c r="F426" s="2" t="s">
        <v>149</v>
      </c>
      <c r="G426" s="2" t="s">
        <v>18</v>
      </c>
      <c r="H426" s="2" t="s">
        <v>19</v>
      </c>
      <c r="I426" s="3">
        <v>44301</v>
      </c>
      <c r="J426" s="3">
        <v>44357</v>
      </c>
      <c r="K426" s="3">
        <v>46182</v>
      </c>
    </row>
    <row r="427" spans="1:13" x14ac:dyDescent="0.35">
      <c r="A427" s="2" t="s">
        <v>862</v>
      </c>
      <c r="C427" s="2" t="s">
        <v>3982</v>
      </c>
      <c r="D427" s="2" t="s">
        <v>15</v>
      </c>
      <c r="E427" s="2" t="s">
        <v>311</v>
      </c>
      <c r="F427" s="2" t="s">
        <v>149</v>
      </c>
      <c r="G427" s="2" t="s">
        <v>18</v>
      </c>
      <c r="H427" s="2" t="s">
        <v>19</v>
      </c>
      <c r="I427" s="3">
        <v>44868</v>
      </c>
      <c r="J427" s="3">
        <v>44868</v>
      </c>
      <c r="K427" s="3">
        <v>46693</v>
      </c>
    </row>
    <row r="428" spans="1:13" x14ac:dyDescent="0.35">
      <c r="A428" s="2" t="s">
        <v>1292</v>
      </c>
      <c r="B428" s="2" t="s">
        <v>1293</v>
      </c>
      <c r="C428" s="2" t="s">
        <v>4069</v>
      </c>
      <c r="D428" s="2" t="s">
        <v>15</v>
      </c>
      <c r="E428" s="2" t="s">
        <v>573</v>
      </c>
      <c r="F428" s="2" t="s">
        <v>1218</v>
      </c>
      <c r="G428" s="2" t="s">
        <v>18</v>
      </c>
      <c r="H428" s="2" t="s">
        <v>19</v>
      </c>
      <c r="I428" s="3">
        <v>45260</v>
      </c>
      <c r="J428" s="3">
        <v>45336</v>
      </c>
      <c r="K428" s="3">
        <v>45701</v>
      </c>
      <c r="M428" s="2" t="s">
        <v>1295</v>
      </c>
    </row>
    <row r="429" spans="1:13" x14ac:dyDescent="0.35">
      <c r="A429" s="2" t="s">
        <v>1585</v>
      </c>
      <c r="B429" s="2" t="s">
        <v>1586</v>
      </c>
      <c r="C429" s="2" t="s">
        <v>4131</v>
      </c>
      <c r="D429" s="2" t="s">
        <v>15</v>
      </c>
      <c r="E429" s="2" t="s">
        <v>573</v>
      </c>
      <c r="F429" s="2" t="s">
        <v>395</v>
      </c>
      <c r="G429" s="2" t="s">
        <v>18</v>
      </c>
      <c r="H429" s="2" t="s">
        <v>101</v>
      </c>
      <c r="I429" s="5">
        <v>45947.456886574102</v>
      </c>
      <c r="J429" s="3">
        <v>45959</v>
      </c>
      <c r="K429" s="3">
        <v>46323</v>
      </c>
      <c r="M429" s="2" t="s">
        <v>1588</v>
      </c>
    </row>
    <row r="430" spans="1:13" x14ac:dyDescent="0.35">
      <c r="A430" s="2" t="s">
        <v>64</v>
      </c>
      <c r="B430" s="2" t="s">
        <v>65</v>
      </c>
      <c r="C430" s="2" t="s">
        <v>66</v>
      </c>
      <c r="D430" s="2" t="s">
        <v>15</v>
      </c>
      <c r="E430" s="2" t="s">
        <v>16</v>
      </c>
      <c r="F430" s="2" t="s">
        <v>67</v>
      </c>
      <c r="G430" s="2" t="s">
        <v>55</v>
      </c>
      <c r="H430" s="2" t="s">
        <v>19</v>
      </c>
      <c r="I430" s="3">
        <v>35468</v>
      </c>
      <c r="J430" s="3">
        <v>32289</v>
      </c>
      <c r="K430" s="3">
        <v>41420</v>
      </c>
      <c r="M430" s="2" t="s">
        <v>68</v>
      </c>
    </row>
    <row r="431" spans="1:13" x14ac:dyDescent="0.35">
      <c r="A431" s="2" t="s">
        <v>765</v>
      </c>
      <c r="C431" s="2" t="s">
        <v>3954</v>
      </c>
      <c r="D431" s="2" t="s">
        <v>15</v>
      </c>
      <c r="E431" s="2" t="s">
        <v>311</v>
      </c>
      <c r="F431" s="2" t="s">
        <v>149</v>
      </c>
      <c r="G431" s="2" t="s">
        <v>18</v>
      </c>
      <c r="H431" s="2" t="s">
        <v>19</v>
      </c>
      <c r="I431" s="3">
        <v>44771</v>
      </c>
      <c r="J431" s="3">
        <v>44676</v>
      </c>
      <c r="K431" s="3">
        <v>46501</v>
      </c>
    </row>
    <row r="432" spans="1:13" x14ac:dyDescent="0.35">
      <c r="A432" s="2" t="s">
        <v>929</v>
      </c>
      <c r="C432" s="2" t="s">
        <v>3997</v>
      </c>
      <c r="D432" s="2" t="s">
        <v>15</v>
      </c>
      <c r="E432" s="2" t="s">
        <v>311</v>
      </c>
      <c r="F432" s="2" t="s">
        <v>395</v>
      </c>
      <c r="G432" s="2" t="s">
        <v>18</v>
      </c>
      <c r="H432" s="2" t="s">
        <v>19</v>
      </c>
      <c r="I432" s="3">
        <v>43738</v>
      </c>
      <c r="J432" s="3">
        <v>43812</v>
      </c>
      <c r="K432" s="3">
        <v>45638</v>
      </c>
    </row>
    <row r="433" spans="1:13" x14ac:dyDescent="0.35">
      <c r="A433" s="2" t="s">
        <v>1385</v>
      </c>
      <c r="B433" s="2" t="s">
        <v>566</v>
      </c>
      <c r="C433" s="2" t="s">
        <v>4085</v>
      </c>
      <c r="D433" s="2" t="s">
        <v>15</v>
      </c>
      <c r="E433" s="2" t="s">
        <v>311</v>
      </c>
      <c r="F433" s="2" t="s">
        <v>149</v>
      </c>
      <c r="G433" s="2" t="s">
        <v>18</v>
      </c>
      <c r="H433" s="2" t="s">
        <v>19</v>
      </c>
      <c r="I433" s="3">
        <v>45320</v>
      </c>
      <c r="J433" s="3">
        <v>45324</v>
      </c>
      <c r="K433" s="3">
        <v>47150</v>
      </c>
    </row>
    <row r="434" spans="1:13" x14ac:dyDescent="0.35">
      <c r="A434" s="2" t="s">
        <v>182</v>
      </c>
      <c r="B434" s="2" t="s">
        <v>183</v>
      </c>
      <c r="C434" s="2" t="s">
        <v>3839</v>
      </c>
      <c r="D434" s="2" t="s">
        <v>15</v>
      </c>
      <c r="E434" s="2" t="s">
        <v>148</v>
      </c>
      <c r="F434" s="2" t="s">
        <v>113</v>
      </c>
      <c r="G434" s="2" t="s">
        <v>18</v>
      </c>
      <c r="H434" s="2" t="s">
        <v>185</v>
      </c>
      <c r="I434" s="3">
        <v>40932</v>
      </c>
      <c r="J434" s="3">
        <v>43474</v>
      </c>
      <c r="K434" s="3">
        <v>47127</v>
      </c>
      <c r="M434" s="2" t="s">
        <v>186</v>
      </c>
    </row>
    <row r="435" spans="1:13" x14ac:dyDescent="0.35">
      <c r="A435" s="2" t="s">
        <v>1090</v>
      </c>
      <c r="C435" s="2" t="s">
        <v>3839</v>
      </c>
      <c r="D435" s="2" t="s">
        <v>15</v>
      </c>
      <c r="E435" s="2" t="s">
        <v>139</v>
      </c>
      <c r="F435" s="2" t="s">
        <v>113</v>
      </c>
      <c r="G435" s="2" t="s">
        <v>18</v>
      </c>
      <c r="H435" s="2" t="s">
        <v>185</v>
      </c>
      <c r="I435" s="3">
        <v>44831</v>
      </c>
      <c r="J435" s="3">
        <v>45112</v>
      </c>
      <c r="K435" s="3">
        <v>46572</v>
      </c>
      <c r="M435" s="2" t="s">
        <v>1091</v>
      </c>
    </row>
    <row r="436" spans="1:13" x14ac:dyDescent="0.35">
      <c r="A436" s="2" t="s">
        <v>1766</v>
      </c>
      <c r="B436" s="2" t="s">
        <v>1767</v>
      </c>
      <c r="C436" s="2" t="s">
        <v>4165</v>
      </c>
      <c r="D436" s="2" t="s">
        <v>15</v>
      </c>
      <c r="E436" s="2" t="s">
        <v>154</v>
      </c>
      <c r="F436" s="2" t="s">
        <v>93</v>
      </c>
      <c r="G436" s="2" t="s">
        <v>41</v>
      </c>
      <c r="H436" s="2" t="s">
        <v>88</v>
      </c>
      <c r="I436" s="3">
        <v>42585</v>
      </c>
      <c r="J436" s="3">
        <v>42705</v>
      </c>
      <c r="K436" s="3">
        <v>46390</v>
      </c>
      <c r="L436" s="3">
        <v>45295</v>
      </c>
      <c r="M436" s="2" t="s">
        <v>370</v>
      </c>
    </row>
    <row r="437" spans="1:13" x14ac:dyDescent="0.35">
      <c r="A437" s="2" t="s">
        <v>1261</v>
      </c>
      <c r="B437" s="2" t="s">
        <v>58</v>
      </c>
      <c r="C437" s="2" t="s">
        <v>4063</v>
      </c>
      <c r="D437" s="2" t="s">
        <v>15</v>
      </c>
      <c r="E437" s="2" t="s">
        <v>27</v>
      </c>
      <c r="F437" s="2" t="s">
        <v>60</v>
      </c>
      <c r="G437" s="2" t="s">
        <v>18</v>
      </c>
      <c r="H437" s="2" t="s">
        <v>19</v>
      </c>
      <c r="I437" s="3">
        <v>44550</v>
      </c>
      <c r="J437" s="3">
        <v>44602</v>
      </c>
      <c r="K437" s="3">
        <v>46427</v>
      </c>
      <c r="M437" s="2" t="s">
        <v>1263</v>
      </c>
    </row>
    <row r="438" spans="1:13" x14ac:dyDescent="0.35">
      <c r="A438" s="2" t="s">
        <v>165</v>
      </c>
      <c r="B438" s="2" t="s">
        <v>166</v>
      </c>
      <c r="C438" s="2" t="s">
        <v>167</v>
      </c>
      <c r="D438" s="2" t="s">
        <v>15</v>
      </c>
      <c r="E438" s="2" t="s">
        <v>148</v>
      </c>
      <c r="F438" s="2" t="s">
        <v>93</v>
      </c>
      <c r="G438" s="2" t="s">
        <v>18</v>
      </c>
      <c r="H438" s="2" t="s">
        <v>88</v>
      </c>
      <c r="I438" s="3">
        <v>40744</v>
      </c>
      <c r="J438" s="3">
        <v>40935</v>
      </c>
      <c r="K438" s="3">
        <v>46765</v>
      </c>
      <c r="M438" s="2" t="s">
        <v>168</v>
      </c>
    </row>
    <row r="439" spans="1:13" x14ac:dyDescent="0.35">
      <c r="A439" s="2" t="s">
        <v>602</v>
      </c>
      <c r="C439" s="2" t="s">
        <v>3913</v>
      </c>
      <c r="D439" s="2" t="s">
        <v>15</v>
      </c>
      <c r="E439" s="2" t="s">
        <v>518</v>
      </c>
      <c r="F439" s="2" t="s">
        <v>395</v>
      </c>
      <c r="G439" s="2" t="s">
        <v>18</v>
      </c>
      <c r="H439" s="2" t="s">
        <v>177</v>
      </c>
      <c r="I439" s="3">
        <v>44280</v>
      </c>
      <c r="J439" s="3">
        <v>44315</v>
      </c>
      <c r="K439" s="3">
        <v>46140</v>
      </c>
      <c r="M439" s="2" t="s">
        <v>604</v>
      </c>
    </row>
    <row r="440" spans="1:13" x14ac:dyDescent="0.35">
      <c r="A440" s="2" t="s">
        <v>714</v>
      </c>
      <c r="B440" s="2" t="s">
        <v>715</v>
      </c>
      <c r="C440" s="2" t="s">
        <v>3940</v>
      </c>
      <c r="D440" s="2" t="s">
        <v>15</v>
      </c>
      <c r="E440" s="2" t="s">
        <v>154</v>
      </c>
      <c r="F440" s="2" t="s">
        <v>93</v>
      </c>
      <c r="G440" s="2" t="s">
        <v>18</v>
      </c>
      <c r="H440" s="2" t="s">
        <v>88</v>
      </c>
      <c r="I440" s="3">
        <v>44697</v>
      </c>
      <c r="J440" s="3">
        <v>44714</v>
      </c>
      <c r="K440" s="3">
        <v>45809</v>
      </c>
      <c r="M440" s="2" t="s">
        <v>717</v>
      </c>
    </row>
    <row r="441" spans="1:13" x14ac:dyDescent="0.35">
      <c r="A441" s="2" t="s">
        <v>743</v>
      </c>
      <c r="B441" s="2" t="s">
        <v>744</v>
      </c>
      <c r="C441" s="2" t="s">
        <v>3940</v>
      </c>
      <c r="D441" s="2" t="s">
        <v>15</v>
      </c>
      <c r="E441" s="2" t="s">
        <v>154</v>
      </c>
      <c r="F441" s="2" t="s">
        <v>93</v>
      </c>
      <c r="G441" s="2" t="s">
        <v>18</v>
      </c>
      <c r="H441" s="2" t="s">
        <v>88</v>
      </c>
      <c r="I441" s="3">
        <v>44697</v>
      </c>
      <c r="J441" s="3">
        <v>44714</v>
      </c>
      <c r="K441" s="3">
        <v>45809</v>
      </c>
      <c r="M441" s="2" t="s">
        <v>745</v>
      </c>
    </row>
    <row r="442" spans="1:13" x14ac:dyDescent="0.35">
      <c r="A442" s="2" t="s">
        <v>1201</v>
      </c>
      <c r="B442" s="2" t="s">
        <v>1202</v>
      </c>
      <c r="C442" s="2" t="s">
        <v>3940</v>
      </c>
      <c r="D442" s="2" t="s">
        <v>15</v>
      </c>
      <c r="E442" s="2" t="s">
        <v>27</v>
      </c>
      <c r="F442" s="2" t="s">
        <v>118</v>
      </c>
      <c r="G442" s="2" t="s">
        <v>18</v>
      </c>
      <c r="H442" s="2" t="s">
        <v>19</v>
      </c>
      <c r="I442" s="3">
        <v>45253</v>
      </c>
      <c r="J442" s="3">
        <v>45289</v>
      </c>
      <c r="K442" s="3">
        <v>47115</v>
      </c>
      <c r="M442" s="2" t="s">
        <v>1203</v>
      </c>
    </row>
    <row r="443" spans="1:13" x14ac:dyDescent="0.35">
      <c r="A443" s="2" t="s">
        <v>634</v>
      </c>
      <c r="B443" s="2" t="s">
        <v>566</v>
      </c>
      <c r="C443" s="2" t="s">
        <v>3922</v>
      </c>
      <c r="D443" s="2" t="s">
        <v>15</v>
      </c>
      <c r="E443" s="2" t="s">
        <v>311</v>
      </c>
      <c r="F443" s="2" t="s">
        <v>149</v>
      </c>
      <c r="G443" s="2" t="s">
        <v>18</v>
      </c>
      <c r="H443" s="2" t="s">
        <v>19</v>
      </c>
      <c r="I443" s="3">
        <v>44348</v>
      </c>
      <c r="J443" s="3">
        <v>44476</v>
      </c>
      <c r="K443" s="3">
        <v>46301</v>
      </c>
    </row>
    <row r="444" spans="1:13" x14ac:dyDescent="0.35">
      <c r="A444" s="2" t="s">
        <v>1177</v>
      </c>
      <c r="B444" s="2" t="s">
        <v>700</v>
      </c>
      <c r="C444" s="2" t="s">
        <v>1178</v>
      </c>
      <c r="D444" s="2" t="s">
        <v>15</v>
      </c>
      <c r="E444" s="2" t="s">
        <v>154</v>
      </c>
      <c r="F444" s="2" t="s">
        <v>93</v>
      </c>
      <c r="G444" s="2" t="s">
        <v>18</v>
      </c>
      <c r="H444" s="2" t="s">
        <v>88</v>
      </c>
      <c r="I444" s="3">
        <v>45218</v>
      </c>
      <c r="J444" s="3">
        <v>45294</v>
      </c>
      <c r="K444" s="3">
        <v>46389</v>
      </c>
      <c r="M444" s="2" t="s">
        <v>1179</v>
      </c>
    </row>
    <row r="445" spans="1:13" x14ac:dyDescent="0.35">
      <c r="A445" s="2" t="s">
        <v>1180</v>
      </c>
      <c r="B445" s="2" t="s">
        <v>1160</v>
      </c>
      <c r="C445" s="2" t="s">
        <v>1178</v>
      </c>
      <c r="D445" s="2" t="s">
        <v>15</v>
      </c>
      <c r="E445" s="2" t="s">
        <v>154</v>
      </c>
      <c r="F445" s="2" t="s">
        <v>93</v>
      </c>
      <c r="G445" s="2" t="s">
        <v>18</v>
      </c>
      <c r="H445" s="2" t="s">
        <v>88</v>
      </c>
      <c r="I445" s="3">
        <v>45218</v>
      </c>
      <c r="J445" s="3">
        <v>45275</v>
      </c>
      <c r="K445" s="3">
        <v>46370</v>
      </c>
      <c r="M445" s="2" t="s">
        <v>1181</v>
      </c>
    </row>
    <row r="446" spans="1:13" x14ac:dyDescent="0.35">
      <c r="A446" s="2" t="s">
        <v>837</v>
      </c>
      <c r="B446" s="2" t="s">
        <v>838</v>
      </c>
      <c r="C446" s="2" t="s">
        <v>3976</v>
      </c>
      <c r="D446" s="2" t="s">
        <v>15</v>
      </c>
      <c r="E446" s="2" t="s">
        <v>139</v>
      </c>
      <c r="F446" s="2" t="s">
        <v>93</v>
      </c>
      <c r="G446" s="2" t="s">
        <v>18</v>
      </c>
      <c r="H446" s="2" t="s">
        <v>88</v>
      </c>
      <c r="I446" s="3">
        <v>44791</v>
      </c>
      <c r="J446" s="3">
        <v>44879</v>
      </c>
      <c r="K446" s="3">
        <v>46339</v>
      </c>
      <c r="M446" s="2" t="s">
        <v>840</v>
      </c>
    </row>
    <row r="447" spans="1:13" x14ac:dyDescent="0.35">
      <c r="A447" s="2" t="s">
        <v>864</v>
      </c>
      <c r="B447" s="2" t="s">
        <v>865</v>
      </c>
      <c r="C447" s="2" t="s">
        <v>3976</v>
      </c>
      <c r="D447" s="2" t="s">
        <v>15</v>
      </c>
      <c r="E447" s="2" t="s">
        <v>154</v>
      </c>
      <c r="F447" s="2" t="s">
        <v>93</v>
      </c>
      <c r="G447" s="2" t="s">
        <v>18</v>
      </c>
      <c r="H447" s="2" t="s">
        <v>88</v>
      </c>
      <c r="I447" s="3">
        <v>44874</v>
      </c>
      <c r="J447" s="3">
        <v>44890</v>
      </c>
      <c r="K447" s="3">
        <v>45985</v>
      </c>
      <c r="M447" s="2" t="s">
        <v>866</v>
      </c>
    </row>
    <row r="448" spans="1:13" x14ac:dyDescent="0.35">
      <c r="A448" s="2" t="s">
        <v>867</v>
      </c>
      <c r="B448" s="2" t="s">
        <v>868</v>
      </c>
      <c r="C448" s="2" t="s">
        <v>3976</v>
      </c>
      <c r="D448" s="2" t="s">
        <v>15</v>
      </c>
      <c r="E448" s="2" t="s">
        <v>154</v>
      </c>
      <c r="F448" s="2" t="s">
        <v>93</v>
      </c>
      <c r="G448" s="2" t="s">
        <v>18</v>
      </c>
      <c r="H448" s="2" t="s">
        <v>88</v>
      </c>
      <c r="I448" s="3">
        <v>44874</v>
      </c>
      <c r="J448" s="3">
        <v>44890</v>
      </c>
      <c r="K448" s="3">
        <v>45985</v>
      </c>
      <c r="M448" s="2" t="s">
        <v>869</v>
      </c>
    </row>
    <row r="449" spans="1:13" x14ac:dyDescent="0.35">
      <c r="A449" s="2" t="s">
        <v>941</v>
      </c>
      <c r="B449" s="2" t="s">
        <v>942</v>
      </c>
      <c r="C449" s="2" t="s">
        <v>3999</v>
      </c>
      <c r="D449" s="2" t="s">
        <v>15</v>
      </c>
      <c r="E449" s="2" t="s">
        <v>139</v>
      </c>
      <c r="F449" s="2" t="s">
        <v>712</v>
      </c>
      <c r="G449" s="2" t="s">
        <v>18</v>
      </c>
      <c r="H449" s="2" t="s">
        <v>88</v>
      </c>
      <c r="I449" s="3">
        <v>44915</v>
      </c>
      <c r="J449" s="3">
        <v>44950</v>
      </c>
      <c r="K449" s="3">
        <v>46410</v>
      </c>
      <c r="M449" s="2" t="s">
        <v>944</v>
      </c>
    </row>
    <row r="450" spans="1:13" x14ac:dyDescent="0.35">
      <c r="A450" s="2" t="s">
        <v>945</v>
      </c>
      <c r="B450" s="2" t="s">
        <v>946</v>
      </c>
      <c r="C450" s="2" t="s">
        <v>3999</v>
      </c>
      <c r="D450" s="2" t="s">
        <v>15</v>
      </c>
      <c r="E450" s="2" t="s">
        <v>139</v>
      </c>
      <c r="F450" s="2" t="s">
        <v>712</v>
      </c>
      <c r="G450" s="2" t="s">
        <v>18</v>
      </c>
      <c r="H450" s="2" t="s">
        <v>177</v>
      </c>
      <c r="I450" s="3">
        <v>44916</v>
      </c>
      <c r="J450" s="3">
        <v>44950</v>
      </c>
      <c r="K450" s="3">
        <v>46410</v>
      </c>
      <c r="M450" s="2" t="s">
        <v>947</v>
      </c>
    </row>
    <row r="451" spans="1:13" x14ac:dyDescent="0.35">
      <c r="A451" s="2" t="s">
        <v>1762</v>
      </c>
      <c r="B451" s="2" t="s">
        <v>1763</v>
      </c>
      <c r="C451" s="2" t="s">
        <v>1764</v>
      </c>
      <c r="D451" s="2" t="s">
        <v>15</v>
      </c>
      <c r="E451" s="2" t="s">
        <v>139</v>
      </c>
      <c r="F451" s="2" t="s">
        <v>93</v>
      </c>
      <c r="G451" s="2" t="s">
        <v>41</v>
      </c>
      <c r="H451" s="2" t="s">
        <v>88</v>
      </c>
      <c r="I451" s="3">
        <v>42644</v>
      </c>
      <c r="J451" s="3">
        <v>42969</v>
      </c>
      <c r="K451" s="3">
        <v>45524</v>
      </c>
      <c r="M451" s="2" t="s">
        <v>1765</v>
      </c>
    </row>
    <row r="452" spans="1:13" x14ac:dyDescent="0.35">
      <c r="A452" s="2" t="s">
        <v>286</v>
      </c>
      <c r="B452" s="2" t="s">
        <v>287</v>
      </c>
      <c r="C452" s="2" t="s">
        <v>288</v>
      </c>
      <c r="D452" s="2" t="s">
        <v>15</v>
      </c>
      <c r="E452" s="2" t="s">
        <v>16</v>
      </c>
      <c r="F452" s="2" t="s">
        <v>289</v>
      </c>
      <c r="G452" s="2" t="s">
        <v>18</v>
      </c>
      <c r="H452" s="2" t="s">
        <v>88</v>
      </c>
      <c r="I452" s="3">
        <v>42056</v>
      </c>
      <c r="J452" s="3">
        <v>42263</v>
      </c>
      <c r="K452" s="3">
        <v>51395</v>
      </c>
      <c r="M452" s="2" t="s">
        <v>290</v>
      </c>
    </row>
    <row r="453" spans="1:13" x14ac:dyDescent="0.35">
      <c r="A453" s="2" t="s">
        <v>884</v>
      </c>
      <c r="C453" s="2" t="s">
        <v>3986</v>
      </c>
      <c r="D453" s="2" t="s">
        <v>15</v>
      </c>
      <c r="E453" s="2" t="s">
        <v>27</v>
      </c>
      <c r="F453" s="2" t="s">
        <v>28</v>
      </c>
      <c r="G453" s="2" t="s">
        <v>18</v>
      </c>
      <c r="H453" s="2" t="s">
        <v>88</v>
      </c>
      <c r="I453" s="3">
        <v>43131</v>
      </c>
      <c r="J453" s="3">
        <v>44790</v>
      </c>
      <c r="K453" s="3">
        <v>46615</v>
      </c>
      <c r="M453" s="2" t="s">
        <v>886</v>
      </c>
    </row>
    <row r="454" spans="1:13" x14ac:dyDescent="0.35">
      <c r="A454" s="2" t="s">
        <v>1230</v>
      </c>
      <c r="B454" s="2" t="s">
        <v>566</v>
      </c>
      <c r="C454" s="2" t="s">
        <v>4057</v>
      </c>
      <c r="D454" s="2" t="s">
        <v>15</v>
      </c>
      <c r="E454" s="2" t="s">
        <v>311</v>
      </c>
      <c r="F454" s="2" t="s">
        <v>149</v>
      </c>
      <c r="G454" s="2" t="s">
        <v>18</v>
      </c>
      <c r="H454" s="2" t="s">
        <v>19</v>
      </c>
      <c r="I454" s="3">
        <v>45230</v>
      </c>
      <c r="J454" s="3">
        <v>45252</v>
      </c>
      <c r="K454" s="3">
        <v>47078</v>
      </c>
    </row>
    <row r="455" spans="1:13" x14ac:dyDescent="0.35">
      <c r="A455" s="2" t="s">
        <v>1463</v>
      </c>
      <c r="B455" s="2" t="s">
        <v>566</v>
      </c>
      <c r="C455" s="2" t="s">
        <v>1464</v>
      </c>
      <c r="D455" s="2" t="s">
        <v>15</v>
      </c>
      <c r="E455" s="2" t="s">
        <v>311</v>
      </c>
      <c r="F455" s="2" t="s">
        <v>149</v>
      </c>
      <c r="G455" s="2" t="s">
        <v>18</v>
      </c>
      <c r="H455" s="2" t="s">
        <v>19</v>
      </c>
      <c r="I455" s="3">
        <v>45362</v>
      </c>
      <c r="J455" s="3">
        <v>45366</v>
      </c>
      <c r="K455" s="3">
        <v>47191</v>
      </c>
    </row>
    <row r="456" spans="1:13" x14ac:dyDescent="0.35">
      <c r="A456" s="2" t="s">
        <v>1368</v>
      </c>
      <c r="C456" s="2" t="s">
        <v>4082</v>
      </c>
      <c r="D456" s="2" t="s">
        <v>15</v>
      </c>
      <c r="E456" s="2" t="s">
        <v>154</v>
      </c>
      <c r="F456" s="2" t="s">
        <v>93</v>
      </c>
      <c r="G456" s="2" t="s">
        <v>18</v>
      </c>
      <c r="H456" s="2" t="s">
        <v>88</v>
      </c>
      <c r="I456" s="3">
        <v>45313</v>
      </c>
      <c r="J456" s="3">
        <v>45324</v>
      </c>
      <c r="K456" s="3">
        <v>46419</v>
      </c>
      <c r="M456" s="2" t="s">
        <v>1370</v>
      </c>
    </row>
    <row r="457" spans="1:13" x14ac:dyDescent="0.35">
      <c r="A457" s="2" t="s">
        <v>320</v>
      </c>
      <c r="B457" s="2" t="s">
        <v>321</v>
      </c>
      <c r="C457" s="2" t="s">
        <v>3853</v>
      </c>
      <c r="D457" s="2" t="s">
        <v>15</v>
      </c>
      <c r="E457" s="2" t="s">
        <v>27</v>
      </c>
      <c r="F457" s="2" t="s">
        <v>28</v>
      </c>
      <c r="G457" s="2" t="s">
        <v>18</v>
      </c>
      <c r="H457" s="2" t="s">
        <v>19</v>
      </c>
      <c r="I457" s="3">
        <v>42395</v>
      </c>
      <c r="J457" s="3">
        <v>43307</v>
      </c>
      <c r="K457" s="3">
        <v>46614</v>
      </c>
      <c r="M457" s="2" t="s">
        <v>323</v>
      </c>
    </row>
    <row r="458" spans="1:13" x14ac:dyDescent="0.35">
      <c r="A458" s="2" t="s">
        <v>1579</v>
      </c>
      <c r="C458" s="2" t="s">
        <v>4129</v>
      </c>
      <c r="D458" s="2" t="s">
        <v>15</v>
      </c>
      <c r="E458" s="2" t="s">
        <v>573</v>
      </c>
      <c r="F458" s="2" t="s">
        <v>395</v>
      </c>
      <c r="G458" s="2" t="s">
        <v>18</v>
      </c>
      <c r="H458" s="2" t="s">
        <v>1577</v>
      </c>
      <c r="I458" s="5">
        <v>45909.636157407404</v>
      </c>
      <c r="J458" s="3">
        <v>45988</v>
      </c>
      <c r="K458" s="3">
        <v>46352</v>
      </c>
      <c r="M458" s="2" t="s">
        <v>1581</v>
      </c>
    </row>
    <row r="459" spans="1:13" x14ac:dyDescent="0.35">
      <c r="A459" s="2" t="s">
        <v>1696</v>
      </c>
      <c r="C459" s="2" t="s">
        <v>4129</v>
      </c>
      <c r="D459" s="2" t="s">
        <v>15</v>
      </c>
      <c r="E459" s="2" t="s">
        <v>573</v>
      </c>
      <c r="F459" s="2" t="s">
        <v>395</v>
      </c>
      <c r="G459" s="2" t="s">
        <v>18</v>
      </c>
      <c r="H459" s="2" t="s">
        <v>1577</v>
      </c>
      <c r="I459" s="5">
        <v>45953.526666666701</v>
      </c>
      <c r="J459" s="3">
        <v>45988</v>
      </c>
      <c r="K459" s="3">
        <v>46352</v>
      </c>
      <c r="M459" s="2" t="s">
        <v>1697</v>
      </c>
    </row>
    <row r="460" spans="1:13" x14ac:dyDescent="0.35">
      <c r="A460" s="2" t="s">
        <v>1296</v>
      </c>
      <c r="B460" s="2" t="s">
        <v>1297</v>
      </c>
      <c r="C460" s="2" t="s">
        <v>1298</v>
      </c>
      <c r="D460" s="2" t="s">
        <v>15</v>
      </c>
      <c r="E460" s="2" t="s">
        <v>148</v>
      </c>
      <c r="F460" s="2" t="s">
        <v>17</v>
      </c>
      <c r="G460" s="2" t="s">
        <v>18</v>
      </c>
      <c r="H460" s="2" t="s">
        <v>19</v>
      </c>
      <c r="I460" s="3">
        <v>45272</v>
      </c>
      <c r="J460" s="3">
        <v>45308</v>
      </c>
      <c r="K460" s="3">
        <v>47134</v>
      </c>
      <c r="M460" s="2" t="s">
        <v>1299</v>
      </c>
    </row>
    <row r="461" spans="1:13" x14ac:dyDescent="0.35">
      <c r="A461" s="2" t="s">
        <v>444</v>
      </c>
      <c r="B461" s="2" t="s">
        <v>393</v>
      </c>
      <c r="C461" s="2" t="s">
        <v>3879</v>
      </c>
      <c r="D461" s="2" t="s">
        <v>15</v>
      </c>
      <c r="E461" s="2" t="s">
        <v>311</v>
      </c>
      <c r="F461" s="2" t="s">
        <v>395</v>
      </c>
      <c r="G461" s="2" t="s">
        <v>41</v>
      </c>
      <c r="H461" s="2" t="s">
        <v>19</v>
      </c>
      <c r="I461" s="3">
        <v>43181</v>
      </c>
      <c r="J461" s="3">
        <v>43234</v>
      </c>
      <c r="K461" s="3">
        <v>45059</v>
      </c>
      <c r="M461" s="2" t="s">
        <v>446</v>
      </c>
    </row>
    <row r="462" spans="1:13" x14ac:dyDescent="0.35">
      <c r="A462" s="2" t="s">
        <v>489</v>
      </c>
      <c r="B462" s="2" t="s">
        <v>328</v>
      </c>
      <c r="C462" s="2" t="s">
        <v>3879</v>
      </c>
      <c r="D462" s="2" t="s">
        <v>15</v>
      </c>
      <c r="E462" s="2" t="s">
        <v>311</v>
      </c>
      <c r="F462" s="2" t="s">
        <v>149</v>
      </c>
      <c r="G462" s="2" t="s">
        <v>41</v>
      </c>
      <c r="H462" s="2" t="s">
        <v>19</v>
      </c>
      <c r="I462" s="3">
        <v>43388</v>
      </c>
      <c r="J462" s="3">
        <v>43474</v>
      </c>
      <c r="K462" s="3">
        <v>45299</v>
      </c>
      <c r="M462" s="2" t="s">
        <v>312</v>
      </c>
    </row>
    <row r="463" spans="1:13" x14ac:dyDescent="0.35">
      <c r="A463" s="2" t="s">
        <v>98</v>
      </c>
      <c r="B463" s="2" t="s">
        <v>99</v>
      </c>
      <c r="C463" s="2" t="s">
        <v>100</v>
      </c>
      <c r="D463" s="2" t="s">
        <v>15</v>
      </c>
      <c r="E463" s="2" t="s">
        <v>16</v>
      </c>
      <c r="F463" s="2" t="s">
        <v>60</v>
      </c>
      <c r="G463" s="2" t="s">
        <v>18</v>
      </c>
      <c r="H463" s="2" t="s">
        <v>101</v>
      </c>
      <c r="I463" s="3">
        <v>38751</v>
      </c>
      <c r="J463" s="3">
        <v>40102</v>
      </c>
      <c r="K463" s="3">
        <v>47957</v>
      </c>
      <c r="M463" s="2" t="s">
        <v>102</v>
      </c>
    </row>
    <row r="464" spans="1:13" x14ac:dyDescent="0.35">
      <c r="A464" s="2" t="s">
        <v>107</v>
      </c>
      <c r="B464" s="2" t="s">
        <v>108</v>
      </c>
      <c r="C464" s="2" t="s">
        <v>100</v>
      </c>
      <c r="D464" s="2" t="s">
        <v>15</v>
      </c>
      <c r="E464" s="2" t="s">
        <v>16</v>
      </c>
      <c r="F464" s="2" t="s">
        <v>60</v>
      </c>
      <c r="G464" s="2" t="s">
        <v>18</v>
      </c>
      <c r="H464" s="2" t="s">
        <v>19</v>
      </c>
      <c r="I464" s="3">
        <v>38751</v>
      </c>
      <c r="J464" s="3">
        <v>38826</v>
      </c>
      <c r="K464" s="3">
        <v>47956</v>
      </c>
      <c r="M464" s="2" t="s">
        <v>109</v>
      </c>
    </row>
    <row r="465" spans="1:13" x14ac:dyDescent="0.35">
      <c r="A465" s="2" t="s">
        <v>103</v>
      </c>
      <c r="B465" s="2" t="s">
        <v>104</v>
      </c>
      <c r="C465" s="2" t="s">
        <v>3831</v>
      </c>
      <c r="D465" s="2" t="s">
        <v>15</v>
      </c>
      <c r="E465" s="2" t="s">
        <v>16</v>
      </c>
      <c r="F465" s="2" t="s">
        <v>60</v>
      </c>
      <c r="G465" s="2" t="s">
        <v>18</v>
      </c>
      <c r="H465" s="2" t="s">
        <v>19</v>
      </c>
      <c r="I465" s="3">
        <v>38751</v>
      </c>
      <c r="J465" s="3">
        <v>38826</v>
      </c>
      <c r="K465" s="3">
        <v>48688</v>
      </c>
      <c r="M465" s="2" t="s">
        <v>106</v>
      </c>
    </row>
    <row r="466" spans="1:13" x14ac:dyDescent="0.35">
      <c r="A466" s="2" t="s">
        <v>337</v>
      </c>
      <c r="B466" s="2" t="s">
        <v>260</v>
      </c>
      <c r="C466" s="2" t="s">
        <v>3831</v>
      </c>
      <c r="D466" s="2" t="s">
        <v>15</v>
      </c>
      <c r="E466" s="2" t="s">
        <v>27</v>
      </c>
      <c r="F466" s="2" t="s">
        <v>60</v>
      </c>
      <c r="G466" s="2" t="s">
        <v>18</v>
      </c>
      <c r="H466" s="2" t="s">
        <v>19</v>
      </c>
      <c r="I466" s="3">
        <v>42426</v>
      </c>
      <c r="J466" s="3">
        <v>42438</v>
      </c>
      <c r="K466" s="3">
        <v>46089</v>
      </c>
      <c r="M466" s="2" t="s">
        <v>338</v>
      </c>
    </row>
    <row r="467" spans="1:13" x14ac:dyDescent="0.35">
      <c r="A467" s="2" t="s">
        <v>880</v>
      </c>
      <c r="C467" s="2" t="s">
        <v>3831</v>
      </c>
      <c r="D467" s="2" t="s">
        <v>15</v>
      </c>
      <c r="E467" s="2" t="s">
        <v>27</v>
      </c>
      <c r="F467" s="2" t="s">
        <v>60</v>
      </c>
      <c r="G467" s="2" t="s">
        <v>18</v>
      </c>
      <c r="H467" s="2" t="s">
        <v>19</v>
      </c>
      <c r="I467" s="3">
        <v>44361</v>
      </c>
      <c r="J467" s="3">
        <v>44383</v>
      </c>
      <c r="K467" s="3">
        <v>46208</v>
      </c>
      <c r="M467" s="2" t="s">
        <v>881</v>
      </c>
    </row>
    <row r="468" spans="1:13" x14ac:dyDescent="0.35">
      <c r="A468" s="2" t="s">
        <v>1256</v>
      </c>
      <c r="C468" s="2" t="s">
        <v>3831</v>
      </c>
      <c r="D468" s="2" t="s">
        <v>15</v>
      </c>
      <c r="E468" s="2" t="s">
        <v>27</v>
      </c>
      <c r="F468" s="2" t="s">
        <v>82</v>
      </c>
      <c r="G468" s="2" t="s">
        <v>18</v>
      </c>
      <c r="H468" s="2" t="s">
        <v>177</v>
      </c>
      <c r="I468" s="3">
        <v>44715</v>
      </c>
      <c r="J468" s="3">
        <v>44708</v>
      </c>
      <c r="K468" s="3">
        <v>46533</v>
      </c>
      <c r="M468" s="2" t="s">
        <v>1257</v>
      </c>
    </row>
    <row r="469" spans="1:13" x14ac:dyDescent="0.35">
      <c r="A469" s="2" t="s">
        <v>1269</v>
      </c>
      <c r="C469" s="2" t="s">
        <v>3831</v>
      </c>
      <c r="D469" s="2" t="s">
        <v>15</v>
      </c>
      <c r="E469" s="2" t="s">
        <v>27</v>
      </c>
      <c r="F469" s="2" t="s">
        <v>82</v>
      </c>
      <c r="G469" s="2" t="s">
        <v>18</v>
      </c>
      <c r="H469" s="2" t="s">
        <v>177</v>
      </c>
      <c r="I469" s="3">
        <v>44704</v>
      </c>
      <c r="J469" s="3">
        <v>44708</v>
      </c>
      <c r="K469" s="3">
        <v>46533</v>
      </c>
      <c r="M469" s="2" t="s">
        <v>1270</v>
      </c>
    </row>
    <row r="470" spans="1:13" x14ac:dyDescent="0.35">
      <c r="A470" s="2" t="s">
        <v>1316</v>
      </c>
      <c r="C470" s="2" t="s">
        <v>3831</v>
      </c>
      <c r="D470" s="2" t="s">
        <v>15</v>
      </c>
      <c r="E470" s="2" t="s">
        <v>27</v>
      </c>
      <c r="F470" s="2" t="s">
        <v>1218</v>
      </c>
      <c r="G470" s="2" t="s">
        <v>18</v>
      </c>
      <c r="H470" s="2" t="s">
        <v>19</v>
      </c>
      <c r="I470" s="3">
        <v>45016</v>
      </c>
      <c r="J470" s="3">
        <v>45034</v>
      </c>
      <c r="K470" s="3">
        <v>46860</v>
      </c>
      <c r="M470" s="2" t="s">
        <v>1317</v>
      </c>
    </row>
    <row r="471" spans="1:13" x14ac:dyDescent="0.35">
      <c r="A471" s="2" t="s">
        <v>1320</v>
      </c>
      <c r="C471" s="2" t="s">
        <v>3831</v>
      </c>
      <c r="D471" s="2" t="s">
        <v>15</v>
      </c>
      <c r="E471" s="2" t="s">
        <v>27</v>
      </c>
      <c r="F471" s="2" t="s">
        <v>60</v>
      </c>
      <c r="G471" s="2" t="s">
        <v>18</v>
      </c>
      <c r="H471" s="2" t="s">
        <v>19</v>
      </c>
      <c r="I471" s="3">
        <v>45000</v>
      </c>
      <c r="J471" s="3">
        <v>45034</v>
      </c>
      <c r="K471" s="3">
        <v>46860</v>
      </c>
      <c r="M471" s="2" t="s">
        <v>1321</v>
      </c>
    </row>
    <row r="472" spans="1:13" x14ac:dyDescent="0.35">
      <c r="A472" s="2" t="s">
        <v>1337</v>
      </c>
      <c r="C472" s="2" t="s">
        <v>3831</v>
      </c>
      <c r="D472" s="2" t="s">
        <v>15</v>
      </c>
      <c r="E472" s="2" t="s">
        <v>27</v>
      </c>
      <c r="F472" s="2" t="s">
        <v>60</v>
      </c>
      <c r="G472" s="2" t="s">
        <v>18</v>
      </c>
      <c r="H472" s="2" t="s">
        <v>19</v>
      </c>
      <c r="I472" s="3">
        <v>45016</v>
      </c>
      <c r="J472" s="3">
        <v>45040</v>
      </c>
      <c r="K472" s="3">
        <v>46866</v>
      </c>
      <c r="M472" s="2" t="s">
        <v>1338</v>
      </c>
    </row>
    <row r="473" spans="1:13" x14ac:dyDescent="0.35">
      <c r="A473" s="2" t="s">
        <v>377</v>
      </c>
      <c r="C473" s="2" t="s">
        <v>3865</v>
      </c>
      <c r="D473" s="2" t="s">
        <v>15</v>
      </c>
      <c r="E473" s="2" t="s">
        <v>311</v>
      </c>
      <c r="F473" s="2" t="s">
        <v>149</v>
      </c>
      <c r="G473" s="2" t="s">
        <v>18</v>
      </c>
      <c r="H473" s="2" t="s">
        <v>19</v>
      </c>
      <c r="I473" s="3">
        <v>42892</v>
      </c>
      <c r="J473" s="3">
        <v>42908</v>
      </c>
      <c r="K473" s="3">
        <v>46558</v>
      </c>
      <c r="L473" s="3">
        <v>44734</v>
      </c>
      <c r="M473" s="2" t="s">
        <v>330</v>
      </c>
    </row>
    <row r="474" spans="1:13" x14ac:dyDescent="0.35">
      <c r="A474" s="2" t="s">
        <v>597</v>
      </c>
      <c r="C474" s="2" t="s">
        <v>3911</v>
      </c>
      <c r="D474" s="2" t="s">
        <v>15</v>
      </c>
      <c r="E474" s="2" t="s">
        <v>27</v>
      </c>
      <c r="F474" s="2" t="s">
        <v>28</v>
      </c>
      <c r="G474" s="2" t="s">
        <v>18</v>
      </c>
      <c r="H474" s="2" t="s">
        <v>88</v>
      </c>
      <c r="I474" s="3">
        <v>43269</v>
      </c>
      <c r="J474" s="3">
        <v>44379</v>
      </c>
      <c r="K474" s="3">
        <v>46204</v>
      </c>
      <c r="M474" s="2" t="s">
        <v>599</v>
      </c>
    </row>
    <row r="475" spans="1:13" x14ac:dyDescent="0.35">
      <c r="A475" s="2" t="s">
        <v>1393</v>
      </c>
      <c r="B475" s="2" t="s">
        <v>1394</v>
      </c>
      <c r="C475" s="2" t="s">
        <v>4088</v>
      </c>
      <c r="D475" s="2" t="s">
        <v>15</v>
      </c>
      <c r="E475" s="2" t="s">
        <v>573</v>
      </c>
      <c r="F475" s="2" t="s">
        <v>1218</v>
      </c>
      <c r="G475" s="2" t="s">
        <v>18</v>
      </c>
      <c r="H475" s="2" t="s">
        <v>19</v>
      </c>
      <c r="I475" s="3">
        <v>45324</v>
      </c>
      <c r="J475" s="3">
        <v>45348</v>
      </c>
      <c r="K475" s="3">
        <v>45713</v>
      </c>
      <c r="M475" s="2" t="s">
        <v>1396</v>
      </c>
    </row>
    <row r="476" spans="1:13" x14ac:dyDescent="0.35">
      <c r="A476" s="2" t="s">
        <v>1440</v>
      </c>
      <c r="B476" s="2" t="s">
        <v>1441</v>
      </c>
      <c r="C476" s="2" t="s">
        <v>4097</v>
      </c>
      <c r="D476" s="2" t="s">
        <v>15</v>
      </c>
      <c r="E476" s="2" t="s">
        <v>573</v>
      </c>
      <c r="F476" s="2" t="s">
        <v>1218</v>
      </c>
      <c r="G476" s="2" t="s">
        <v>18</v>
      </c>
      <c r="H476" s="2" t="s">
        <v>19</v>
      </c>
      <c r="I476" s="3">
        <v>45315</v>
      </c>
      <c r="J476" s="3">
        <v>45369</v>
      </c>
      <c r="K476" s="3">
        <v>45733</v>
      </c>
      <c r="M476" s="2" t="s">
        <v>1443</v>
      </c>
    </row>
    <row r="477" spans="1:13" x14ac:dyDescent="0.35">
      <c r="A477" s="2" t="s">
        <v>84</v>
      </c>
      <c r="B477" s="2" t="s">
        <v>85</v>
      </c>
      <c r="C477" s="2" t="s">
        <v>86</v>
      </c>
      <c r="D477" s="2" t="s">
        <v>15</v>
      </c>
      <c r="E477" s="2" t="s">
        <v>16</v>
      </c>
      <c r="F477" s="2" t="s">
        <v>87</v>
      </c>
      <c r="G477" s="2" t="s">
        <v>41</v>
      </c>
      <c r="H477" s="2" t="s">
        <v>88</v>
      </c>
      <c r="I477" s="3">
        <v>37243</v>
      </c>
      <c r="J477" s="3">
        <v>39388</v>
      </c>
      <c r="K477" s="3">
        <v>43041</v>
      </c>
      <c r="M477" s="2" t="s">
        <v>89</v>
      </c>
    </row>
    <row r="478" spans="1:13" x14ac:dyDescent="0.35">
      <c r="A478" s="2" t="s">
        <v>279</v>
      </c>
      <c r="B478" s="2" t="s">
        <v>58</v>
      </c>
      <c r="C478" s="2" t="s">
        <v>3849</v>
      </c>
      <c r="D478" s="2" t="s">
        <v>15</v>
      </c>
      <c r="E478" s="2" t="s">
        <v>27</v>
      </c>
      <c r="F478" s="2" t="s">
        <v>60</v>
      </c>
      <c r="G478" s="2" t="s">
        <v>41</v>
      </c>
      <c r="H478" s="2" t="s">
        <v>19</v>
      </c>
      <c r="I478" s="3">
        <v>42019</v>
      </c>
      <c r="J478" s="3">
        <v>42886</v>
      </c>
      <c r="K478" s="3">
        <v>44711</v>
      </c>
      <c r="M478" s="2" t="s">
        <v>281</v>
      </c>
    </row>
    <row r="479" spans="1:13" x14ac:dyDescent="0.35">
      <c r="A479" s="2" t="s">
        <v>788</v>
      </c>
      <c r="C479" s="2" t="s">
        <v>3849</v>
      </c>
      <c r="D479" s="2" t="s">
        <v>15</v>
      </c>
      <c r="E479" s="2" t="s">
        <v>311</v>
      </c>
      <c r="F479" s="2" t="s">
        <v>149</v>
      </c>
      <c r="G479" s="2" t="s">
        <v>18</v>
      </c>
      <c r="H479" s="2" t="s">
        <v>19</v>
      </c>
      <c r="I479" s="3">
        <v>44789</v>
      </c>
      <c r="J479" s="3">
        <v>44650</v>
      </c>
      <c r="K479" s="3">
        <v>46475</v>
      </c>
    </row>
    <row r="480" spans="1:13" x14ac:dyDescent="0.35">
      <c r="A480" s="2" t="s">
        <v>1693</v>
      </c>
      <c r="C480" s="2" t="s">
        <v>4149</v>
      </c>
      <c r="D480" s="2" t="s">
        <v>15</v>
      </c>
      <c r="E480" s="2" t="s">
        <v>1609</v>
      </c>
      <c r="G480" s="2" t="s">
        <v>18</v>
      </c>
      <c r="H480" s="2" t="s">
        <v>177</v>
      </c>
      <c r="I480" s="5">
        <v>45939.371377314797</v>
      </c>
      <c r="J480" s="3">
        <v>45992</v>
      </c>
      <c r="K480" s="3">
        <v>46173</v>
      </c>
      <c r="M480" s="2" t="s">
        <v>1695</v>
      </c>
    </row>
    <row r="481" spans="1:13" x14ac:dyDescent="0.35">
      <c r="A481" s="2" t="s">
        <v>536</v>
      </c>
      <c r="B481" s="2" t="s">
        <v>537</v>
      </c>
      <c r="C481" s="2" t="s">
        <v>538</v>
      </c>
      <c r="D481" s="2" t="s">
        <v>15</v>
      </c>
      <c r="E481" s="2" t="s">
        <v>148</v>
      </c>
      <c r="F481" s="2" t="s">
        <v>93</v>
      </c>
      <c r="G481" s="2" t="s">
        <v>18</v>
      </c>
      <c r="H481" s="2" t="s">
        <v>88</v>
      </c>
      <c r="I481" s="3">
        <v>43902</v>
      </c>
      <c r="J481" s="3">
        <v>43887</v>
      </c>
      <c r="K481" s="3">
        <v>45713</v>
      </c>
      <c r="M481" s="2" t="s">
        <v>539</v>
      </c>
    </row>
    <row r="482" spans="1:13" x14ac:dyDescent="0.35">
      <c r="A482" s="2" t="s">
        <v>156</v>
      </c>
      <c r="B482" s="2" t="s">
        <v>157</v>
      </c>
      <c r="C482" s="2" t="s">
        <v>3837</v>
      </c>
      <c r="D482" s="2" t="s">
        <v>15</v>
      </c>
      <c r="E482" s="2" t="s">
        <v>139</v>
      </c>
      <c r="F482" s="2" t="s">
        <v>93</v>
      </c>
      <c r="G482" s="2" t="s">
        <v>41</v>
      </c>
      <c r="H482" s="2" t="s">
        <v>88</v>
      </c>
      <c r="I482" s="3">
        <v>40455</v>
      </c>
      <c r="J482" s="3">
        <v>40940</v>
      </c>
      <c r="K482" s="3">
        <v>44502</v>
      </c>
      <c r="M482" s="2" t="s">
        <v>159</v>
      </c>
    </row>
    <row r="483" spans="1:13" x14ac:dyDescent="0.35">
      <c r="A483" s="2" t="s">
        <v>169</v>
      </c>
      <c r="B483" s="2" t="s">
        <v>170</v>
      </c>
      <c r="C483" s="2" t="s">
        <v>3837</v>
      </c>
      <c r="D483" s="2" t="s">
        <v>15</v>
      </c>
      <c r="E483" s="2" t="s">
        <v>139</v>
      </c>
      <c r="F483" s="2" t="s">
        <v>93</v>
      </c>
      <c r="G483" s="2" t="s">
        <v>41</v>
      </c>
      <c r="H483" s="2" t="s">
        <v>88</v>
      </c>
      <c r="I483" s="3">
        <v>40865</v>
      </c>
      <c r="J483" s="3">
        <v>41051</v>
      </c>
      <c r="K483" s="3">
        <v>44502</v>
      </c>
      <c r="M483" s="2" t="s">
        <v>171</v>
      </c>
    </row>
    <row r="484" spans="1:13" x14ac:dyDescent="0.35">
      <c r="A484" s="2" t="s">
        <v>276</v>
      </c>
      <c r="B484" s="2" t="s">
        <v>58</v>
      </c>
      <c r="C484" s="2" t="s">
        <v>3848</v>
      </c>
      <c r="D484" s="2" t="s">
        <v>15</v>
      </c>
      <c r="E484" s="2" t="s">
        <v>27</v>
      </c>
      <c r="F484" s="2" t="s">
        <v>60</v>
      </c>
      <c r="G484" s="2" t="s">
        <v>41</v>
      </c>
      <c r="H484" s="2" t="s">
        <v>19</v>
      </c>
      <c r="I484" s="3">
        <v>42012</v>
      </c>
      <c r="J484" s="3">
        <v>42054</v>
      </c>
      <c r="K484" s="3">
        <v>43879</v>
      </c>
      <c r="M484" s="2" t="s">
        <v>278</v>
      </c>
    </row>
    <row r="485" spans="1:13" x14ac:dyDescent="0.35">
      <c r="A485" s="2" t="s">
        <v>160</v>
      </c>
      <c r="B485" s="2" t="s">
        <v>161</v>
      </c>
      <c r="C485" s="2" t="s">
        <v>162</v>
      </c>
      <c r="D485" s="2" t="s">
        <v>15</v>
      </c>
      <c r="E485" s="2" t="s">
        <v>16</v>
      </c>
      <c r="F485" s="2" t="s">
        <v>17</v>
      </c>
      <c r="G485" s="2" t="s">
        <v>18</v>
      </c>
      <c r="H485" s="2" t="s">
        <v>163</v>
      </c>
      <c r="I485" s="3">
        <v>40702</v>
      </c>
      <c r="J485" s="3">
        <v>40702</v>
      </c>
      <c r="K485" s="3">
        <v>49834</v>
      </c>
      <c r="M485" s="2" t="s">
        <v>164</v>
      </c>
    </row>
    <row r="486" spans="1:13" x14ac:dyDescent="0.35">
      <c r="A486" s="2" t="s">
        <v>1026</v>
      </c>
      <c r="C486" s="2" t="s">
        <v>4014</v>
      </c>
      <c r="D486" s="2" t="s">
        <v>15</v>
      </c>
      <c r="E486" s="2" t="s">
        <v>154</v>
      </c>
      <c r="F486" s="2" t="s">
        <v>93</v>
      </c>
      <c r="G486" s="2" t="s">
        <v>18</v>
      </c>
      <c r="H486" s="2" t="s">
        <v>88</v>
      </c>
      <c r="I486" s="3">
        <v>45029</v>
      </c>
      <c r="J486" s="3">
        <v>45055</v>
      </c>
      <c r="K486" s="3">
        <v>46150</v>
      </c>
      <c r="M486" s="2" t="s">
        <v>1028</v>
      </c>
    </row>
    <row r="487" spans="1:13" x14ac:dyDescent="0.35">
      <c r="A487" s="2" t="s">
        <v>1752</v>
      </c>
      <c r="B487" s="2" t="s">
        <v>1753</v>
      </c>
      <c r="C487" s="2" t="s">
        <v>4164</v>
      </c>
      <c r="D487" s="2" t="s">
        <v>15</v>
      </c>
      <c r="E487" s="2" t="s">
        <v>27</v>
      </c>
      <c r="F487" s="2" t="s">
        <v>118</v>
      </c>
      <c r="G487" s="2" t="s">
        <v>18</v>
      </c>
      <c r="H487" s="2" t="s">
        <v>19</v>
      </c>
      <c r="I487" s="3">
        <v>41072</v>
      </c>
      <c r="J487" s="3">
        <v>41481</v>
      </c>
      <c r="K487" s="3">
        <v>47206</v>
      </c>
      <c r="M487" s="2" t="s">
        <v>1755</v>
      </c>
    </row>
    <row r="488" spans="1:13" x14ac:dyDescent="0.35">
      <c r="A488" s="2" t="s">
        <v>1348</v>
      </c>
      <c r="B488" s="2" t="s">
        <v>566</v>
      </c>
      <c r="C488" s="2" t="s">
        <v>4078</v>
      </c>
      <c r="D488" s="2" t="s">
        <v>15</v>
      </c>
      <c r="E488" s="2" t="s">
        <v>311</v>
      </c>
      <c r="F488" s="2" t="s">
        <v>149</v>
      </c>
      <c r="G488" s="2" t="s">
        <v>18</v>
      </c>
      <c r="H488" s="2" t="s">
        <v>19</v>
      </c>
      <c r="I488" s="3">
        <v>45241</v>
      </c>
      <c r="J488" s="3">
        <v>45287</v>
      </c>
      <c r="K488" s="3">
        <v>47113</v>
      </c>
    </row>
    <row r="489" spans="1:13" x14ac:dyDescent="0.35">
      <c r="A489" s="2" t="s">
        <v>1285</v>
      </c>
      <c r="B489" s="2" t="s">
        <v>1286</v>
      </c>
      <c r="C489" s="2" t="s">
        <v>4067</v>
      </c>
      <c r="D489" s="2" t="s">
        <v>15</v>
      </c>
      <c r="E489" s="2" t="s">
        <v>573</v>
      </c>
      <c r="F489" s="2" t="s">
        <v>395</v>
      </c>
      <c r="G489" s="2" t="s">
        <v>18</v>
      </c>
      <c r="H489" s="2" t="s">
        <v>185</v>
      </c>
      <c r="I489" s="3">
        <v>44993</v>
      </c>
      <c r="J489" s="3">
        <v>45323</v>
      </c>
      <c r="K489" s="3">
        <v>45688</v>
      </c>
      <c r="M489" s="2" t="s">
        <v>1288</v>
      </c>
    </row>
    <row r="490" spans="1:13" x14ac:dyDescent="0.35">
      <c r="A490" s="2" t="s">
        <v>870</v>
      </c>
      <c r="C490" s="2" t="s">
        <v>3983</v>
      </c>
      <c r="D490" s="2" t="s">
        <v>15</v>
      </c>
      <c r="E490" s="2" t="s">
        <v>311</v>
      </c>
      <c r="F490" s="2" t="s">
        <v>149</v>
      </c>
      <c r="G490" s="2" t="s">
        <v>18</v>
      </c>
      <c r="H490" s="2" t="s">
        <v>19</v>
      </c>
      <c r="I490" s="3">
        <v>44880</v>
      </c>
      <c r="J490" s="3">
        <v>44879</v>
      </c>
      <c r="K490" s="3">
        <v>46704</v>
      </c>
    </row>
    <row r="491" spans="1:13" x14ac:dyDescent="0.35">
      <c r="A491" s="2" t="s">
        <v>259</v>
      </c>
      <c r="B491" s="2" t="s">
        <v>260</v>
      </c>
      <c r="C491" s="2" t="s">
        <v>3845</v>
      </c>
      <c r="D491" s="2" t="s">
        <v>15</v>
      </c>
      <c r="E491" s="2" t="s">
        <v>27</v>
      </c>
      <c r="F491" s="2" t="s">
        <v>60</v>
      </c>
      <c r="G491" s="2" t="s">
        <v>18</v>
      </c>
      <c r="H491" s="2" t="s">
        <v>19</v>
      </c>
      <c r="I491" s="3">
        <v>41939</v>
      </c>
      <c r="J491" s="3">
        <v>41919</v>
      </c>
      <c r="K491" s="3">
        <v>45788</v>
      </c>
      <c r="M491" s="2" t="s">
        <v>262</v>
      </c>
    </row>
    <row r="492" spans="1:13" x14ac:dyDescent="0.35">
      <c r="A492" s="2" t="s">
        <v>904</v>
      </c>
      <c r="C492" s="2" t="s">
        <v>3991</v>
      </c>
      <c r="D492" s="2" t="s">
        <v>15</v>
      </c>
      <c r="E492" s="2" t="s">
        <v>311</v>
      </c>
      <c r="F492" s="2" t="s">
        <v>149</v>
      </c>
      <c r="G492" s="2" t="s">
        <v>18</v>
      </c>
      <c r="H492" s="2" t="s">
        <v>19</v>
      </c>
      <c r="I492" s="3">
        <v>44905</v>
      </c>
      <c r="J492" s="3">
        <v>44918</v>
      </c>
      <c r="K492" s="3">
        <v>46743</v>
      </c>
    </row>
    <row r="493" spans="1:13" x14ac:dyDescent="0.35">
      <c r="A493" s="2" t="s">
        <v>1075</v>
      </c>
      <c r="B493" s="2" t="s">
        <v>1076</v>
      </c>
      <c r="C493" s="2" t="s">
        <v>4026</v>
      </c>
      <c r="D493" s="2" t="s">
        <v>15</v>
      </c>
      <c r="E493" s="2" t="s">
        <v>148</v>
      </c>
      <c r="F493" s="2" t="s">
        <v>17</v>
      </c>
      <c r="G493" s="2" t="s">
        <v>18</v>
      </c>
      <c r="H493" s="2" t="s">
        <v>163</v>
      </c>
      <c r="I493" s="3">
        <v>44392</v>
      </c>
      <c r="J493" s="3">
        <v>44594</v>
      </c>
      <c r="K493" s="3">
        <v>46419</v>
      </c>
      <c r="M493" s="2" t="s">
        <v>1078</v>
      </c>
    </row>
    <row r="494" spans="1:13" x14ac:dyDescent="0.35">
      <c r="A494" s="2" t="s">
        <v>1775</v>
      </c>
      <c r="C494" s="2" t="s">
        <v>4168</v>
      </c>
      <c r="D494" s="2" t="s">
        <v>15</v>
      </c>
      <c r="E494" s="2" t="s">
        <v>573</v>
      </c>
      <c r="F494" s="2" t="s">
        <v>585</v>
      </c>
      <c r="G494" s="2" t="s">
        <v>41</v>
      </c>
      <c r="H494" s="2" t="s">
        <v>88</v>
      </c>
      <c r="I494" s="3">
        <v>43822</v>
      </c>
      <c r="J494" s="3">
        <v>44861</v>
      </c>
      <c r="K494" s="3">
        <v>45604</v>
      </c>
      <c r="M494" s="2" t="s">
        <v>1777</v>
      </c>
    </row>
    <row r="495" spans="1:13" x14ac:dyDescent="0.35">
      <c r="A495" s="2" t="s">
        <v>477</v>
      </c>
      <c r="B495" s="2" t="s">
        <v>393</v>
      </c>
      <c r="C495" s="2" t="s">
        <v>3887</v>
      </c>
      <c r="D495" s="2" t="s">
        <v>15</v>
      </c>
      <c r="E495" s="2" t="s">
        <v>311</v>
      </c>
      <c r="F495" s="2" t="s">
        <v>149</v>
      </c>
      <c r="G495" s="2" t="s">
        <v>18</v>
      </c>
      <c r="H495" s="2" t="s">
        <v>19</v>
      </c>
      <c r="I495" s="3">
        <v>43326</v>
      </c>
      <c r="J495" s="3">
        <v>43370</v>
      </c>
      <c r="K495" s="3">
        <v>47022</v>
      </c>
      <c r="L495" s="3">
        <v>45196</v>
      </c>
      <c r="M495" s="2" t="s">
        <v>479</v>
      </c>
    </row>
    <row r="496" spans="1:13" x14ac:dyDescent="0.35">
      <c r="A496" s="2" t="s">
        <v>1300</v>
      </c>
      <c r="B496" s="2" t="s">
        <v>1301</v>
      </c>
      <c r="C496" s="2" t="s">
        <v>4070</v>
      </c>
      <c r="D496" s="2" t="s">
        <v>15</v>
      </c>
      <c r="E496" s="2" t="s">
        <v>154</v>
      </c>
      <c r="F496" s="2" t="s">
        <v>93</v>
      </c>
      <c r="G496" s="2" t="s">
        <v>18</v>
      </c>
      <c r="H496" s="2" t="s">
        <v>177</v>
      </c>
      <c r="I496" s="3">
        <v>45316</v>
      </c>
      <c r="J496" s="3">
        <v>45366</v>
      </c>
      <c r="K496" s="3">
        <v>46460</v>
      </c>
      <c r="M496" s="2" t="s">
        <v>1303</v>
      </c>
    </row>
    <row r="497" spans="1:13" x14ac:dyDescent="0.35">
      <c r="A497" s="2" t="s">
        <v>1355</v>
      </c>
      <c r="B497" s="2" t="s">
        <v>1356</v>
      </c>
      <c r="C497" s="2" t="s">
        <v>4070</v>
      </c>
      <c r="D497" s="2" t="s">
        <v>15</v>
      </c>
      <c r="E497" s="2" t="s">
        <v>154</v>
      </c>
      <c r="F497" s="2" t="s">
        <v>93</v>
      </c>
      <c r="G497" s="2" t="s">
        <v>18</v>
      </c>
      <c r="H497" s="2" t="s">
        <v>88</v>
      </c>
      <c r="I497" s="3">
        <v>45253</v>
      </c>
      <c r="J497" s="3">
        <v>45322</v>
      </c>
      <c r="K497" s="3">
        <v>46417</v>
      </c>
      <c r="M497" s="2" t="s">
        <v>1357</v>
      </c>
    </row>
    <row r="498" spans="1:13" x14ac:dyDescent="0.35">
      <c r="A498" s="2" t="s">
        <v>374</v>
      </c>
      <c r="B498" s="2" t="s">
        <v>328</v>
      </c>
      <c r="C498" s="2" t="s">
        <v>3864</v>
      </c>
      <c r="D498" s="2" t="s">
        <v>15</v>
      </c>
      <c r="E498" s="2" t="s">
        <v>311</v>
      </c>
      <c r="F498" s="2" t="s">
        <v>149</v>
      </c>
      <c r="G498" s="2" t="s">
        <v>18</v>
      </c>
      <c r="H498" s="2" t="s">
        <v>19</v>
      </c>
      <c r="I498" s="3">
        <v>42818</v>
      </c>
      <c r="J498" s="3">
        <v>42955</v>
      </c>
      <c r="K498" s="3">
        <v>46605</v>
      </c>
      <c r="L498" s="3">
        <v>44781</v>
      </c>
      <c r="M498" s="2" t="s">
        <v>376</v>
      </c>
    </row>
    <row r="499" spans="1:13" x14ac:dyDescent="0.35">
      <c r="A499" s="2" t="s">
        <v>831</v>
      </c>
      <c r="B499" s="2" t="s">
        <v>832</v>
      </c>
      <c r="C499" s="2" t="s">
        <v>3864</v>
      </c>
      <c r="D499" s="2" t="s">
        <v>15</v>
      </c>
      <c r="E499" s="2" t="s">
        <v>27</v>
      </c>
      <c r="F499" s="2" t="s">
        <v>28</v>
      </c>
      <c r="G499" s="2" t="s">
        <v>18</v>
      </c>
      <c r="H499" s="2" t="s">
        <v>88</v>
      </c>
      <c r="I499" s="3">
        <v>42667</v>
      </c>
      <c r="J499" s="3">
        <v>44747</v>
      </c>
      <c r="K499" s="3">
        <v>46572</v>
      </c>
      <c r="M499" s="2" t="s">
        <v>833</v>
      </c>
    </row>
    <row r="500" spans="1:13" x14ac:dyDescent="0.35">
      <c r="A500" s="2" t="s">
        <v>30</v>
      </c>
      <c r="B500" s="2" t="s">
        <v>31</v>
      </c>
      <c r="C500" s="2" t="s">
        <v>32</v>
      </c>
      <c r="D500" s="2" t="s">
        <v>15</v>
      </c>
      <c r="E500" s="2" t="s">
        <v>16</v>
      </c>
      <c r="F500" s="2" t="s">
        <v>33</v>
      </c>
      <c r="G500" s="2" t="s">
        <v>18</v>
      </c>
      <c r="H500" s="2" t="s">
        <v>19</v>
      </c>
      <c r="I500" s="3">
        <v>29461</v>
      </c>
      <c r="J500" s="3">
        <v>31156</v>
      </c>
      <c r="M500" s="2" t="s">
        <v>34</v>
      </c>
    </row>
    <row r="501" spans="1:13" x14ac:dyDescent="0.35">
      <c r="A501" s="2" t="s">
        <v>35</v>
      </c>
      <c r="B501" s="2" t="s">
        <v>36</v>
      </c>
      <c r="C501" s="2" t="s">
        <v>32</v>
      </c>
      <c r="D501" s="2" t="s">
        <v>15</v>
      </c>
      <c r="E501" s="2" t="s">
        <v>16</v>
      </c>
      <c r="F501" s="2" t="s">
        <v>37</v>
      </c>
      <c r="G501" s="2" t="s">
        <v>18</v>
      </c>
      <c r="H501" s="2" t="s">
        <v>19</v>
      </c>
      <c r="I501" s="3">
        <v>29461</v>
      </c>
      <c r="J501" s="3">
        <v>31156</v>
      </c>
      <c r="M501" s="2" t="s">
        <v>38</v>
      </c>
    </row>
    <row r="502" spans="1:13" x14ac:dyDescent="0.35">
      <c r="A502" s="2" t="s">
        <v>39</v>
      </c>
      <c r="B502" s="2" t="s">
        <v>40</v>
      </c>
      <c r="C502" s="2" t="s">
        <v>32</v>
      </c>
      <c r="D502" s="2" t="s">
        <v>15</v>
      </c>
      <c r="E502" s="2" t="s">
        <v>16</v>
      </c>
      <c r="F502" s="2" t="s">
        <v>33</v>
      </c>
      <c r="G502" s="2" t="s">
        <v>41</v>
      </c>
      <c r="H502" s="2" t="s">
        <v>19</v>
      </c>
      <c r="I502" s="3">
        <v>29461</v>
      </c>
      <c r="J502" s="3">
        <v>35807</v>
      </c>
      <c r="K502" s="3">
        <v>44937</v>
      </c>
      <c r="M502" s="2" t="s">
        <v>42</v>
      </c>
    </row>
    <row r="503" spans="1:13" x14ac:dyDescent="0.35">
      <c r="A503" s="2" t="s">
        <v>43</v>
      </c>
      <c r="B503" s="2" t="s">
        <v>44</v>
      </c>
      <c r="C503" s="2" t="s">
        <v>32</v>
      </c>
      <c r="D503" s="2" t="s">
        <v>15</v>
      </c>
      <c r="E503" s="2" t="s">
        <v>16</v>
      </c>
      <c r="F503" s="2" t="s">
        <v>37</v>
      </c>
      <c r="G503" s="2" t="s">
        <v>18</v>
      </c>
      <c r="H503" s="2" t="s">
        <v>19</v>
      </c>
      <c r="I503" s="3">
        <v>29461</v>
      </c>
      <c r="J503" s="3">
        <v>31156</v>
      </c>
      <c r="M503" s="2" t="s">
        <v>45</v>
      </c>
    </row>
    <row r="504" spans="1:13" x14ac:dyDescent="0.35">
      <c r="A504" s="2" t="s">
        <v>1188</v>
      </c>
      <c r="B504" s="2" t="s">
        <v>1189</v>
      </c>
      <c r="C504" s="2" t="s">
        <v>4048</v>
      </c>
      <c r="D504" s="2" t="s">
        <v>15</v>
      </c>
      <c r="E504" s="2" t="s">
        <v>148</v>
      </c>
      <c r="F504" s="2" t="s">
        <v>17</v>
      </c>
      <c r="G504" s="2" t="s">
        <v>18</v>
      </c>
      <c r="H504" s="2" t="s">
        <v>19</v>
      </c>
      <c r="I504" s="3">
        <v>45013</v>
      </c>
      <c r="J504" s="3">
        <v>45224</v>
      </c>
      <c r="K504" s="3">
        <v>47050</v>
      </c>
      <c r="M504" s="2" t="s">
        <v>1191</v>
      </c>
    </row>
    <row r="505" spans="1:13" x14ac:dyDescent="0.35">
      <c r="A505" s="2" t="s">
        <v>1333</v>
      </c>
      <c r="B505" s="2" t="s">
        <v>1334</v>
      </c>
      <c r="C505" s="2" t="s">
        <v>4075</v>
      </c>
      <c r="D505" s="2" t="s">
        <v>15</v>
      </c>
      <c r="E505" s="2" t="s">
        <v>573</v>
      </c>
      <c r="F505" s="2" t="s">
        <v>60</v>
      </c>
      <c r="G505" s="2" t="s">
        <v>18</v>
      </c>
      <c r="H505" s="2" t="s">
        <v>163</v>
      </c>
      <c r="I505" s="3">
        <v>45240</v>
      </c>
      <c r="J505" s="3">
        <v>45327</v>
      </c>
      <c r="K505" s="3">
        <v>45692</v>
      </c>
      <c r="M505" s="2" t="s">
        <v>1336</v>
      </c>
    </row>
    <row r="506" spans="1:13" x14ac:dyDescent="0.35">
      <c r="A506" s="2" t="s">
        <v>898</v>
      </c>
      <c r="C506" s="2" t="s">
        <v>3990</v>
      </c>
      <c r="D506" s="2" t="s">
        <v>15</v>
      </c>
      <c r="E506" s="2" t="s">
        <v>27</v>
      </c>
      <c r="F506" s="2" t="s">
        <v>28</v>
      </c>
      <c r="G506" s="2" t="s">
        <v>18</v>
      </c>
      <c r="H506" s="2" t="s">
        <v>88</v>
      </c>
      <c r="I506" s="3">
        <v>43552</v>
      </c>
      <c r="J506" s="3">
        <v>44789</v>
      </c>
      <c r="K506" s="3">
        <v>46614</v>
      </c>
      <c r="M506" s="2" t="s">
        <v>900</v>
      </c>
    </row>
    <row r="507" spans="1:13" x14ac:dyDescent="0.35">
      <c r="A507" s="2" t="s">
        <v>1151</v>
      </c>
      <c r="C507" s="2" t="s">
        <v>3990</v>
      </c>
      <c r="D507" s="2" t="s">
        <v>15</v>
      </c>
      <c r="E507" s="2" t="s">
        <v>311</v>
      </c>
      <c r="F507" s="2" t="s">
        <v>149</v>
      </c>
      <c r="G507" s="2" t="s">
        <v>18</v>
      </c>
      <c r="H507" s="2" t="s">
        <v>19</v>
      </c>
      <c r="I507" s="3">
        <v>45261</v>
      </c>
      <c r="J507" s="3">
        <v>45145</v>
      </c>
      <c r="K507" s="3">
        <v>46971</v>
      </c>
    </row>
    <row r="508" spans="1:13" x14ac:dyDescent="0.35">
      <c r="A508" s="2" t="s">
        <v>565</v>
      </c>
      <c r="B508" s="2" t="s">
        <v>566</v>
      </c>
      <c r="C508" s="2" t="s">
        <v>3903</v>
      </c>
      <c r="D508" s="2" t="s">
        <v>15</v>
      </c>
      <c r="E508" s="2" t="s">
        <v>311</v>
      </c>
      <c r="F508" s="2" t="s">
        <v>149</v>
      </c>
      <c r="G508" s="2" t="s">
        <v>18</v>
      </c>
      <c r="H508" s="2" t="s">
        <v>19</v>
      </c>
      <c r="I508" s="3">
        <v>43815</v>
      </c>
      <c r="J508" s="3">
        <v>43879</v>
      </c>
      <c r="K508" s="3">
        <v>45705</v>
      </c>
      <c r="M508" s="2" t="s">
        <v>550</v>
      </c>
    </row>
    <row r="509" spans="1:13" x14ac:dyDescent="0.35">
      <c r="A509" s="2" t="s">
        <v>620</v>
      </c>
      <c r="C509" s="2" t="s">
        <v>3918</v>
      </c>
      <c r="D509" s="2" t="s">
        <v>15</v>
      </c>
      <c r="E509" s="2" t="s">
        <v>27</v>
      </c>
      <c r="F509" s="2" t="s">
        <v>28</v>
      </c>
      <c r="G509" s="2" t="s">
        <v>18</v>
      </c>
      <c r="H509" s="2" t="s">
        <v>88</v>
      </c>
      <c r="I509" s="3">
        <v>44351</v>
      </c>
      <c r="J509" s="3">
        <v>44405</v>
      </c>
      <c r="K509" s="3">
        <v>46230</v>
      </c>
      <c r="M509" s="2" t="s">
        <v>622</v>
      </c>
    </row>
    <row r="510" spans="1:13" x14ac:dyDescent="0.35">
      <c r="A510" s="2" t="s">
        <v>918</v>
      </c>
      <c r="B510" s="2" t="s">
        <v>402</v>
      </c>
      <c r="C510" s="2" t="s">
        <v>3918</v>
      </c>
      <c r="D510" s="2" t="s">
        <v>15</v>
      </c>
      <c r="E510" s="2" t="s">
        <v>139</v>
      </c>
      <c r="F510" s="2" t="s">
        <v>93</v>
      </c>
      <c r="G510" s="2" t="s">
        <v>18</v>
      </c>
      <c r="H510" s="2" t="s">
        <v>88</v>
      </c>
      <c r="I510" s="3">
        <v>44833</v>
      </c>
      <c r="J510" s="3">
        <v>44958</v>
      </c>
      <c r="K510" s="3">
        <v>46418</v>
      </c>
      <c r="M510" s="2" t="s">
        <v>919</v>
      </c>
    </row>
    <row r="511" spans="1:13" x14ac:dyDescent="0.35">
      <c r="A511" s="2" t="s">
        <v>1350</v>
      </c>
      <c r="C511" s="2" t="s">
        <v>3918</v>
      </c>
      <c r="D511" s="2" t="s">
        <v>15</v>
      </c>
      <c r="E511" s="2" t="s">
        <v>27</v>
      </c>
      <c r="F511" s="2" t="s">
        <v>28</v>
      </c>
      <c r="G511" s="2" t="s">
        <v>18</v>
      </c>
      <c r="H511" s="2" t="s">
        <v>19</v>
      </c>
      <c r="I511" s="3">
        <v>45168</v>
      </c>
      <c r="J511" s="3">
        <v>45267</v>
      </c>
      <c r="K511" s="3">
        <v>47093</v>
      </c>
      <c r="M511" s="2" t="s">
        <v>1351</v>
      </c>
    </row>
    <row r="512" spans="1:13" x14ac:dyDescent="0.35">
      <c r="A512" s="2" t="s">
        <v>1125</v>
      </c>
      <c r="B512" s="2" t="s">
        <v>1126</v>
      </c>
      <c r="C512" s="2" t="s">
        <v>1127</v>
      </c>
      <c r="D512" s="2" t="s">
        <v>15</v>
      </c>
      <c r="E512" s="2" t="s">
        <v>154</v>
      </c>
      <c r="F512" s="2" t="s">
        <v>93</v>
      </c>
      <c r="G512" s="2" t="s">
        <v>18</v>
      </c>
      <c r="H512" s="2" t="s">
        <v>88</v>
      </c>
      <c r="I512" s="3">
        <v>45092</v>
      </c>
      <c r="J512" s="3">
        <v>45134</v>
      </c>
      <c r="K512" s="3">
        <v>46229</v>
      </c>
      <c r="M512" s="2" t="s">
        <v>1128</v>
      </c>
    </row>
    <row r="513" spans="1:13" x14ac:dyDescent="0.35">
      <c r="A513" s="2" t="s">
        <v>480</v>
      </c>
      <c r="C513" s="2" t="s">
        <v>3888</v>
      </c>
      <c r="D513" s="2" t="s">
        <v>15</v>
      </c>
      <c r="E513" s="2" t="s">
        <v>27</v>
      </c>
      <c r="F513" s="2" t="s">
        <v>118</v>
      </c>
      <c r="G513" s="2" t="s">
        <v>18</v>
      </c>
      <c r="H513" s="2" t="s">
        <v>19</v>
      </c>
      <c r="I513" s="3">
        <v>43328</v>
      </c>
      <c r="J513" s="3">
        <v>43825</v>
      </c>
      <c r="K513" s="3">
        <v>45651</v>
      </c>
      <c r="M513" s="2" t="s">
        <v>482</v>
      </c>
    </row>
    <row r="514" spans="1:13" x14ac:dyDescent="0.35">
      <c r="A514" s="2" t="s">
        <v>687</v>
      </c>
      <c r="B514" s="2" t="s">
        <v>688</v>
      </c>
      <c r="C514" s="2" t="s">
        <v>3935</v>
      </c>
      <c r="D514" s="2" t="s">
        <v>15</v>
      </c>
      <c r="E514" s="2" t="s">
        <v>148</v>
      </c>
      <c r="F514" s="2" t="s">
        <v>93</v>
      </c>
      <c r="G514" s="2" t="s">
        <v>18</v>
      </c>
      <c r="H514" s="2" t="s">
        <v>88</v>
      </c>
      <c r="I514" s="3">
        <v>44494</v>
      </c>
      <c r="J514" s="3">
        <v>44572</v>
      </c>
      <c r="K514" s="3">
        <v>46397</v>
      </c>
      <c r="M514" s="2" t="s">
        <v>690</v>
      </c>
    </row>
    <row r="515" spans="1:13" x14ac:dyDescent="0.35">
      <c r="A515" s="2" t="s">
        <v>1793</v>
      </c>
      <c r="C515" s="2" t="s">
        <v>1794</v>
      </c>
      <c r="D515" s="2" t="s">
        <v>15</v>
      </c>
      <c r="E515" s="2" t="s">
        <v>1795</v>
      </c>
      <c r="G515" s="2" t="s">
        <v>18</v>
      </c>
      <c r="I515" s="3">
        <v>45797</v>
      </c>
      <c r="J515" s="3">
        <v>45797</v>
      </c>
      <c r="K515" s="3">
        <v>45797</v>
      </c>
    </row>
    <row r="516" spans="1:13" x14ac:dyDescent="0.35">
      <c r="A516" s="2" t="s">
        <v>783</v>
      </c>
      <c r="B516" s="2" t="s">
        <v>784</v>
      </c>
      <c r="C516" s="2" t="s">
        <v>3959</v>
      </c>
      <c r="D516" s="2" t="s">
        <v>15</v>
      </c>
      <c r="E516" s="2" t="s">
        <v>27</v>
      </c>
      <c r="F516" s="2" t="s">
        <v>786</v>
      </c>
      <c r="G516" s="2" t="s">
        <v>18</v>
      </c>
      <c r="H516" s="2" t="s">
        <v>19</v>
      </c>
      <c r="I516" s="3">
        <v>42100</v>
      </c>
      <c r="J516" s="3">
        <v>42920</v>
      </c>
      <c r="K516" s="3">
        <v>46178</v>
      </c>
      <c r="M516" s="2" t="s">
        <v>787</v>
      </c>
    </row>
    <row r="517" spans="1:13" x14ac:dyDescent="0.35">
      <c r="A517" s="2" t="s">
        <v>1068</v>
      </c>
      <c r="C517" s="2" t="s">
        <v>4024</v>
      </c>
      <c r="D517" s="2" t="s">
        <v>15</v>
      </c>
      <c r="E517" s="2" t="s">
        <v>154</v>
      </c>
      <c r="F517" s="2" t="s">
        <v>93</v>
      </c>
      <c r="G517" s="2" t="s">
        <v>18</v>
      </c>
      <c r="H517" s="2" t="s">
        <v>88</v>
      </c>
      <c r="I517" s="3">
        <v>45062</v>
      </c>
      <c r="J517" s="3">
        <v>45070</v>
      </c>
      <c r="K517" s="3">
        <v>46165</v>
      </c>
      <c r="M517" s="2" t="s">
        <v>1070</v>
      </c>
    </row>
    <row r="518" spans="1:13" x14ac:dyDescent="0.35">
      <c r="A518" s="2" t="s">
        <v>976</v>
      </c>
      <c r="C518" s="2" t="s">
        <v>4005</v>
      </c>
      <c r="D518" s="2" t="s">
        <v>15</v>
      </c>
      <c r="E518" s="2" t="s">
        <v>154</v>
      </c>
      <c r="F518" s="2" t="s">
        <v>93</v>
      </c>
      <c r="G518" s="2" t="s">
        <v>18</v>
      </c>
      <c r="H518" s="2" t="s">
        <v>88</v>
      </c>
      <c r="I518" s="3">
        <v>44965</v>
      </c>
      <c r="J518" s="3">
        <v>45000</v>
      </c>
      <c r="K518" s="3">
        <v>46095</v>
      </c>
      <c r="M518" s="2" t="s">
        <v>978</v>
      </c>
    </row>
    <row r="519" spans="1:13" x14ac:dyDescent="0.35">
      <c r="A519" s="2" t="s">
        <v>504</v>
      </c>
      <c r="B519" s="2" t="s">
        <v>505</v>
      </c>
      <c r="C519" s="2" t="s">
        <v>506</v>
      </c>
      <c r="D519" s="2" t="s">
        <v>15</v>
      </c>
      <c r="E519" s="2" t="s">
        <v>139</v>
      </c>
      <c r="F519" s="2" t="s">
        <v>93</v>
      </c>
      <c r="G519" s="2" t="s">
        <v>18</v>
      </c>
      <c r="H519" s="2" t="s">
        <v>88</v>
      </c>
      <c r="I519" s="3">
        <v>43697</v>
      </c>
      <c r="J519" s="3">
        <v>43879</v>
      </c>
      <c r="K519" s="3">
        <v>46435</v>
      </c>
      <c r="M519" s="2" t="s">
        <v>507</v>
      </c>
    </row>
    <row r="520" spans="1:13" x14ac:dyDescent="0.35">
      <c r="A520" s="2" t="s">
        <v>331</v>
      </c>
      <c r="C520" s="2" t="s">
        <v>3856</v>
      </c>
      <c r="D520" s="2" t="s">
        <v>15</v>
      </c>
      <c r="E520" s="2" t="s">
        <v>311</v>
      </c>
      <c r="F520" s="2" t="s">
        <v>149</v>
      </c>
      <c r="G520" s="2" t="s">
        <v>18</v>
      </c>
      <c r="H520" s="2" t="s">
        <v>19</v>
      </c>
      <c r="I520" s="3">
        <v>42415</v>
      </c>
      <c r="J520" s="3">
        <v>42635</v>
      </c>
      <c r="K520" s="3">
        <v>46286</v>
      </c>
      <c r="L520" s="3">
        <v>44461</v>
      </c>
      <c r="M520" s="2" t="s">
        <v>333</v>
      </c>
    </row>
    <row r="521" spans="1:13" x14ac:dyDescent="0.35">
      <c r="A521" s="2" t="s">
        <v>141</v>
      </c>
      <c r="B521" s="2" t="s">
        <v>142</v>
      </c>
      <c r="C521" s="2" t="s">
        <v>3835</v>
      </c>
      <c r="D521" s="2" t="s">
        <v>15</v>
      </c>
      <c r="E521" s="2" t="s">
        <v>27</v>
      </c>
      <c r="F521" s="2" t="s">
        <v>118</v>
      </c>
      <c r="G521" s="2" t="s">
        <v>18</v>
      </c>
      <c r="H521" s="2" t="s">
        <v>101</v>
      </c>
      <c r="I521" s="3">
        <v>40151</v>
      </c>
      <c r="J521" s="3">
        <v>37427</v>
      </c>
      <c r="K521" s="3">
        <v>45830</v>
      </c>
      <c r="M521" s="2" t="s">
        <v>144</v>
      </c>
    </row>
    <row r="522" spans="1:13" x14ac:dyDescent="0.35">
      <c r="A522" s="2" t="s">
        <v>636</v>
      </c>
      <c r="C522" s="2" t="s">
        <v>3835</v>
      </c>
      <c r="D522" s="2" t="s">
        <v>15</v>
      </c>
      <c r="E522" s="2" t="s">
        <v>311</v>
      </c>
      <c r="F522" s="2" t="s">
        <v>149</v>
      </c>
      <c r="G522" s="2" t="s">
        <v>18</v>
      </c>
      <c r="H522" s="2" t="s">
        <v>19</v>
      </c>
      <c r="I522" s="3">
        <v>44354</v>
      </c>
      <c r="J522" s="3">
        <v>44476</v>
      </c>
      <c r="K522" s="3">
        <v>46301</v>
      </c>
    </row>
    <row r="523" spans="1:13" x14ac:dyDescent="0.35">
      <c r="A523" s="2" t="s">
        <v>1467</v>
      </c>
      <c r="B523" s="2" t="s">
        <v>566</v>
      </c>
      <c r="C523" s="2" t="s">
        <v>4103</v>
      </c>
      <c r="D523" s="2" t="s">
        <v>15</v>
      </c>
      <c r="E523" s="2" t="s">
        <v>311</v>
      </c>
      <c r="F523" s="2" t="s">
        <v>149</v>
      </c>
      <c r="G523" s="2" t="s">
        <v>18</v>
      </c>
      <c r="H523" s="2" t="s">
        <v>19</v>
      </c>
      <c r="I523" s="3">
        <v>45387</v>
      </c>
      <c r="J523" s="3">
        <v>45366</v>
      </c>
      <c r="K523" s="3">
        <v>47191</v>
      </c>
    </row>
    <row r="524" spans="1:13" x14ac:dyDescent="0.35">
      <c r="A524" s="2" t="s">
        <v>1000</v>
      </c>
      <c r="B524" s="2" t="s">
        <v>1001</v>
      </c>
      <c r="C524" s="2" t="s">
        <v>1002</v>
      </c>
      <c r="D524" s="2" t="s">
        <v>15</v>
      </c>
      <c r="E524" s="2" t="s">
        <v>154</v>
      </c>
      <c r="F524" s="2" t="s">
        <v>93</v>
      </c>
      <c r="G524" s="2" t="s">
        <v>41</v>
      </c>
      <c r="H524" s="2" t="s">
        <v>88</v>
      </c>
      <c r="I524" s="3">
        <v>42907</v>
      </c>
      <c r="J524" s="3">
        <v>43179</v>
      </c>
      <c r="K524" s="3">
        <v>44274</v>
      </c>
      <c r="M524" s="2" t="s">
        <v>1003</v>
      </c>
    </row>
    <row r="525" spans="1:13" x14ac:dyDescent="0.35">
      <c r="A525" s="2" t="s">
        <v>1140</v>
      </c>
      <c r="C525" s="2" t="s">
        <v>4041</v>
      </c>
      <c r="D525" s="2" t="s">
        <v>15</v>
      </c>
      <c r="E525" s="2" t="s">
        <v>27</v>
      </c>
      <c r="F525" s="2" t="s">
        <v>28</v>
      </c>
      <c r="G525" s="2" t="s">
        <v>18</v>
      </c>
      <c r="H525" s="2" t="s">
        <v>19</v>
      </c>
      <c r="I525" s="3">
        <v>45103</v>
      </c>
      <c r="J525" s="3">
        <v>45184</v>
      </c>
      <c r="K525" s="3">
        <v>47010</v>
      </c>
      <c r="M525" s="2" t="s">
        <v>1142</v>
      </c>
    </row>
    <row r="526" spans="1:13" x14ac:dyDescent="0.35">
      <c r="A526" s="2" t="s">
        <v>428</v>
      </c>
      <c r="B526" s="2" t="s">
        <v>328</v>
      </c>
      <c r="C526" s="2" t="s">
        <v>3875</v>
      </c>
      <c r="D526" s="2" t="s">
        <v>15</v>
      </c>
      <c r="E526" s="2" t="s">
        <v>311</v>
      </c>
      <c r="F526" s="2" t="s">
        <v>149</v>
      </c>
      <c r="G526" s="2" t="s">
        <v>18</v>
      </c>
      <c r="H526" s="2" t="s">
        <v>19</v>
      </c>
      <c r="I526" s="3">
        <v>43116</v>
      </c>
      <c r="J526" s="3">
        <v>43207</v>
      </c>
      <c r="K526" s="3">
        <v>46792</v>
      </c>
      <c r="L526" s="3">
        <v>44968</v>
      </c>
      <c r="M526" s="2" t="s">
        <v>430</v>
      </c>
    </row>
    <row r="527" spans="1:13" x14ac:dyDescent="0.35">
      <c r="A527" s="2" t="s">
        <v>590</v>
      </c>
      <c r="C527" s="2" t="s">
        <v>3909</v>
      </c>
      <c r="D527" s="2" t="s">
        <v>15</v>
      </c>
      <c r="E527" s="2" t="s">
        <v>27</v>
      </c>
      <c r="F527" s="2" t="s">
        <v>28</v>
      </c>
      <c r="G527" s="2" t="s">
        <v>18</v>
      </c>
      <c r="H527" s="2" t="s">
        <v>88</v>
      </c>
      <c r="I527" s="3">
        <v>44312</v>
      </c>
      <c r="J527" s="3">
        <v>44439</v>
      </c>
      <c r="K527" s="3">
        <v>46264</v>
      </c>
      <c r="M527" s="2" t="s">
        <v>592</v>
      </c>
    </row>
    <row r="528" spans="1:13" x14ac:dyDescent="0.35">
      <c r="A528" s="2" t="s">
        <v>954</v>
      </c>
      <c r="B528" s="2" t="s">
        <v>955</v>
      </c>
      <c r="C528" s="2" t="s">
        <v>4000</v>
      </c>
      <c r="D528" s="2" t="s">
        <v>15</v>
      </c>
      <c r="E528" s="2" t="s">
        <v>154</v>
      </c>
      <c r="F528" s="2" t="s">
        <v>93</v>
      </c>
      <c r="G528" s="2" t="s">
        <v>18</v>
      </c>
      <c r="H528" s="2" t="s">
        <v>88</v>
      </c>
      <c r="I528" s="3">
        <v>44529</v>
      </c>
      <c r="J528" s="3">
        <v>45041</v>
      </c>
      <c r="K528" s="3">
        <v>46136</v>
      </c>
      <c r="M528" s="2" t="s">
        <v>957</v>
      </c>
    </row>
    <row r="529" spans="1:13" x14ac:dyDescent="0.35">
      <c r="A529" s="2" t="s">
        <v>637</v>
      </c>
      <c r="B529" s="2" t="s">
        <v>566</v>
      </c>
      <c r="C529" s="2" t="s">
        <v>3923</v>
      </c>
      <c r="D529" s="2" t="s">
        <v>15</v>
      </c>
      <c r="E529" s="2" t="s">
        <v>311</v>
      </c>
      <c r="F529" s="2" t="s">
        <v>149</v>
      </c>
      <c r="G529" s="2" t="s">
        <v>18</v>
      </c>
      <c r="H529" s="2" t="s">
        <v>19</v>
      </c>
      <c r="I529" s="3">
        <v>44414</v>
      </c>
      <c r="J529" s="3">
        <v>44537</v>
      </c>
      <c r="K529" s="3">
        <v>46362</v>
      </c>
    </row>
    <row r="530" spans="1:13" x14ac:dyDescent="0.35">
      <c r="A530" s="2" t="s">
        <v>1736</v>
      </c>
      <c r="B530" s="2" t="s">
        <v>58</v>
      </c>
      <c r="C530" s="2" t="s">
        <v>4161</v>
      </c>
      <c r="D530" s="2" t="s">
        <v>15</v>
      </c>
      <c r="E530" s="2" t="s">
        <v>27</v>
      </c>
      <c r="F530" s="2" t="s">
        <v>60</v>
      </c>
      <c r="G530" s="2" t="s">
        <v>18</v>
      </c>
      <c r="H530" s="2" t="s">
        <v>19</v>
      </c>
      <c r="I530" s="3">
        <v>42011</v>
      </c>
      <c r="J530" s="3">
        <v>42054</v>
      </c>
      <c r="K530" s="3">
        <v>45706</v>
      </c>
      <c r="L530" s="3">
        <v>43880</v>
      </c>
      <c r="M530" s="2" t="s">
        <v>1738</v>
      </c>
    </row>
    <row r="531" spans="1:13" x14ac:dyDescent="0.35">
      <c r="A531" s="2" t="s">
        <v>776</v>
      </c>
      <c r="B531" s="2" t="s">
        <v>777</v>
      </c>
      <c r="C531" s="2" t="s">
        <v>3958</v>
      </c>
      <c r="D531" s="2" t="s">
        <v>15</v>
      </c>
      <c r="E531" s="2" t="s">
        <v>154</v>
      </c>
      <c r="F531" s="2" t="s">
        <v>93</v>
      </c>
      <c r="G531" s="2" t="s">
        <v>18</v>
      </c>
      <c r="H531" s="2" t="s">
        <v>88</v>
      </c>
      <c r="I531" s="3">
        <v>44778</v>
      </c>
      <c r="J531" s="3">
        <v>44803</v>
      </c>
      <c r="K531" s="3">
        <v>45898</v>
      </c>
      <c r="M531" s="2" t="s">
        <v>779</v>
      </c>
    </row>
    <row r="532" spans="1:13" x14ac:dyDescent="0.35">
      <c r="A532" s="2" t="s">
        <v>780</v>
      </c>
      <c r="B532" s="2" t="s">
        <v>781</v>
      </c>
      <c r="C532" s="2" t="s">
        <v>3958</v>
      </c>
      <c r="D532" s="2" t="s">
        <v>15</v>
      </c>
      <c r="E532" s="2" t="s">
        <v>154</v>
      </c>
      <c r="F532" s="2" t="s">
        <v>93</v>
      </c>
      <c r="G532" s="2" t="s">
        <v>18</v>
      </c>
      <c r="H532" s="2" t="s">
        <v>88</v>
      </c>
      <c r="I532" s="3">
        <v>44778</v>
      </c>
      <c r="J532" s="3">
        <v>44803</v>
      </c>
      <c r="K532" s="3">
        <v>45898</v>
      </c>
      <c r="M532" s="2" t="s">
        <v>782</v>
      </c>
    </row>
    <row r="533" spans="1:13" x14ac:dyDescent="0.35">
      <c r="A533" s="2" t="s">
        <v>906</v>
      </c>
      <c r="C533" s="2" t="s">
        <v>3958</v>
      </c>
      <c r="D533" s="2" t="s">
        <v>15</v>
      </c>
      <c r="E533" s="2" t="s">
        <v>311</v>
      </c>
      <c r="F533" s="2" t="s">
        <v>149</v>
      </c>
      <c r="G533" s="2" t="s">
        <v>18</v>
      </c>
      <c r="H533" s="2" t="s">
        <v>19</v>
      </c>
      <c r="I533" s="3">
        <v>44870</v>
      </c>
      <c r="J533" s="3">
        <v>44901</v>
      </c>
      <c r="K533" s="3">
        <v>46726</v>
      </c>
    </row>
    <row r="534" spans="1:13" x14ac:dyDescent="0.35">
      <c r="A534" s="2" t="s">
        <v>593</v>
      </c>
      <c r="B534" s="2" t="s">
        <v>594</v>
      </c>
      <c r="C534" s="2" t="s">
        <v>3910</v>
      </c>
      <c r="D534" s="2" t="s">
        <v>15</v>
      </c>
      <c r="E534" s="2" t="s">
        <v>154</v>
      </c>
      <c r="F534" s="2" t="s">
        <v>93</v>
      </c>
      <c r="G534" s="2" t="s">
        <v>18</v>
      </c>
      <c r="H534" s="2" t="s">
        <v>88</v>
      </c>
      <c r="I534" s="3">
        <v>44298</v>
      </c>
      <c r="J534" s="3">
        <v>44383</v>
      </c>
      <c r="K534" s="3">
        <v>45478</v>
      </c>
      <c r="M534" s="2" t="s">
        <v>596</v>
      </c>
    </row>
    <row r="535" spans="1:13" x14ac:dyDescent="0.35">
      <c r="A535" s="2" t="s">
        <v>1725</v>
      </c>
      <c r="C535" s="2" t="s">
        <v>4158</v>
      </c>
      <c r="D535" s="2" t="s">
        <v>15</v>
      </c>
      <c r="E535" s="2" t="s">
        <v>1609</v>
      </c>
      <c r="F535" s="2" t="s">
        <v>28</v>
      </c>
      <c r="G535" s="2" t="s">
        <v>18</v>
      </c>
      <c r="H535" s="2" t="s">
        <v>19</v>
      </c>
      <c r="I535" s="5">
        <v>46001.963807870401</v>
      </c>
      <c r="J535" s="3">
        <v>46048</v>
      </c>
      <c r="K535" s="3">
        <v>46228</v>
      </c>
      <c r="M535" s="2" t="s">
        <v>1727</v>
      </c>
    </row>
    <row r="536" spans="1:13" x14ac:dyDescent="0.35">
      <c r="A536" s="2" t="s">
        <v>1079</v>
      </c>
      <c r="C536" s="2" t="s">
        <v>4027</v>
      </c>
      <c r="D536" s="2" t="s">
        <v>15</v>
      </c>
      <c r="E536" s="2" t="s">
        <v>27</v>
      </c>
      <c r="F536" s="2" t="s">
        <v>28</v>
      </c>
      <c r="G536" s="2" t="s">
        <v>18</v>
      </c>
      <c r="H536" s="2" t="s">
        <v>19</v>
      </c>
      <c r="I536" s="3">
        <v>45055</v>
      </c>
      <c r="J536" s="3">
        <v>45065</v>
      </c>
      <c r="K536" s="3">
        <v>46891</v>
      </c>
      <c r="M536" s="2" t="s">
        <v>1081</v>
      </c>
    </row>
    <row r="537" spans="1:13" x14ac:dyDescent="0.35">
      <c r="A537" s="2" t="s">
        <v>1171</v>
      </c>
      <c r="B537" s="2" t="s">
        <v>1172</v>
      </c>
      <c r="C537" s="2" t="s">
        <v>1173</v>
      </c>
      <c r="D537" s="2" t="s">
        <v>15</v>
      </c>
      <c r="E537" s="2" t="s">
        <v>154</v>
      </c>
      <c r="F537" s="2" t="s">
        <v>93</v>
      </c>
      <c r="G537" s="2" t="s">
        <v>18</v>
      </c>
      <c r="H537" s="2" t="s">
        <v>88</v>
      </c>
      <c r="I537" s="3">
        <v>45098</v>
      </c>
      <c r="J537" s="3">
        <v>45189</v>
      </c>
      <c r="K537" s="3">
        <v>46284</v>
      </c>
      <c r="M537" s="2" t="s">
        <v>1174</v>
      </c>
    </row>
    <row r="538" spans="1:13" x14ac:dyDescent="0.35">
      <c r="A538" s="2" t="s">
        <v>388</v>
      </c>
      <c r="B538" s="2" t="s">
        <v>389</v>
      </c>
      <c r="C538" s="2" t="s">
        <v>3867</v>
      </c>
      <c r="D538" s="2" t="s">
        <v>15</v>
      </c>
      <c r="E538" s="2" t="s">
        <v>139</v>
      </c>
      <c r="F538" s="2" t="s">
        <v>386</v>
      </c>
      <c r="G538" s="2" t="s">
        <v>18</v>
      </c>
      <c r="H538" s="2" t="s">
        <v>88</v>
      </c>
      <c r="I538" s="3">
        <v>42942</v>
      </c>
      <c r="J538" s="3">
        <v>43179</v>
      </c>
      <c r="K538" s="3">
        <v>45736</v>
      </c>
      <c r="M538" s="2" t="s">
        <v>391</v>
      </c>
    </row>
    <row r="539" spans="1:13" x14ac:dyDescent="0.35">
      <c r="A539" s="2" t="s">
        <v>470</v>
      </c>
      <c r="B539" s="2" t="s">
        <v>471</v>
      </c>
      <c r="C539" s="2" t="s">
        <v>3867</v>
      </c>
      <c r="D539" s="2" t="s">
        <v>15</v>
      </c>
      <c r="E539" s="2" t="s">
        <v>139</v>
      </c>
      <c r="F539" s="2" t="s">
        <v>93</v>
      </c>
      <c r="G539" s="2" t="s">
        <v>18</v>
      </c>
      <c r="H539" s="2" t="s">
        <v>177</v>
      </c>
      <c r="I539" s="3">
        <v>43304</v>
      </c>
      <c r="J539" s="3">
        <v>43501</v>
      </c>
      <c r="K539" s="3">
        <v>46057</v>
      </c>
      <c r="M539" s="2" t="s">
        <v>472</v>
      </c>
    </row>
    <row r="540" spans="1:13" x14ac:dyDescent="0.35">
      <c r="A540" s="2" t="s">
        <v>327</v>
      </c>
      <c r="B540" s="2" t="s">
        <v>328</v>
      </c>
      <c r="C540" s="2" t="s">
        <v>3855</v>
      </c>
      <c r="D540" s="2" t="s">
        <v>15</v>
      </c>
      <c r="E540" s="2" t="s">
        <v>311</v>
      </c>
      <c r="F540" s="2" t="s">
        <v>149</v>
      </c>
      <c r="G540" s="2" t="s">
        <v>41</v>
      </c>
      <c r="H540" s="2" t="s">
        <v>19</v>
      </c>
      <c r="I540" s="3">
        <v>42403</v>
      </c>
      <c r="J540" s="3">
        <v>42415</v>
      </c>
      <c r="K540" s="3">
        <v>44241</v>
      </c>
      <c r="M540" s="2" t="s">
        <v>330</v>
      </c>
    </row>
    <row r="541" spans="1:13" x14ac:dyDescent="0.35">
      <c r="A541" s="2" t="s">
        <v>255</v>
      </c>
      <c r="B541" s="2" t="s">
        <v>256</v>
      </c>
      <c r="C541" s="2" t="s">
        <v>3844</v>
      </c>
      <c r="D541" s="2" t="s">
        <v>15</v>
      </c>
      <c r="E541" s="2" t="s">
        <v>27</v>
      </c>
      <c r="F541" s="2" t="s">
        <v>60</v>
      </c>
      <c r="G541" s="2" t="s">
        <v>18</v>
      </c>
      <c r="H541" s="2" t="s">
        <v>19</v>
      </c>
      <c r="I541" s="3">
        <v>41897</v>
      </c>
      <c r="J541" s="3">
        <v>42885</v>
      </c>
      <c r="K541" s="3">
        <v>46535</v>
      </c>
      <c r="M541" s="2" t="s">
        <v>258</v>
      </c>
    </row>
    <row r="542" spans="1:13" x14ac:dyDescent="0.35">
      <c r="A542" s="2" t="s">
        <v>1156</v>
      </c>
      <c r="C542" s="2" t="s">
        <v>4046</v>
      </c>
      <c r="D542" s="2" t="s">
        <v>15</v>
      </c>
      <c r="E542" s="2" t="s">
        <v>573</v>
      </c>
      <c r="F542" s="2" t="s">
        <v>118</v>
      </c>
      <c r="G542" s="2" t="s">
        <v>18</v>
      </c>
      <c r="H542" s="2" t="s">
        <v>88</v>
      </c>
      <c r="I542" s="3">
        <v>45051</v>
      </c>
      <c r="J542" s="3">
        <v>45187</v>
      </c>
      <c r="K542" s="3">
        <v>45917</v>
      </c>
      <c r="L542" s="3">
        <v>45553</v>
      </c>
      <c r="M542" s="2" t="s">
        <v>1158</v>
      </c>
    </row>
    <row r="543" spans="1:13" x14ac:dyDescent="0.35">
      <c r="A543" s="2" t="s">
        <v>1475</v>
      </c>
      <c r="B543" s="2" t="s">
        <v>1476</v>
      </c>
      <c r="C543" s="2" t="s">
        <v>4104</v>
      </c>
      <c r="D543" s="2" t="s">
        <v>15</v>
      </c>
      <c r="E543" s="2" t="s">
        <v>573</v>
      </c>
      <c r="F543" s="2" t="s">
        <v>1218</v>
      </c>
      <c r="G543" s="2" t="s">
        <v>18</v>
      </c>
      <c r="H543" s="2" t="s">
        <v>19</v>
      </c>
      <c r="I543" s="3">
        <v>45362</v>
      </c>
      <c r="J543" s="3">
        <v>45380</v>
      </c>
      <c r="K543" s="3">
        <v>45744</v>
      </c>
      <c r="M543" s="2" t="s">
        <v>1478</v>
      </c>
    </row>
    <row r="544" spans="1:13" x14ac:dyDescent="0.35">
      <c r="A544" s="2" t="s">
        <v>1422</v>
      </c>
      <c r="B544" s="2" t="s">
        <v>1423</v>
      </c>
      <c r="C544" s="2" t="s">
        <v>4093</v>
      </c>
      <c r="D544" s="2" t="s">
        <v>15</v>
      </c>
      <c r="E544" s="2" t="s">
        <v>573</v>
      </c>
      <c r="F544" s="2" t="s">
        <v>1218</v>
      </c>
      <c r="G544" s="2" t="s">
        <v>18</v>
      </c>
      <c r="H544" s="2" t="s">
        <v>19</v>
      </c>
      <c r="I544" s="3">
        <v>45356</v>
      </c>
      <c r="J544" s="3">
        <v>45359</v>
      </c>
      <c r="K544" s="3">
        <v>45723</v>
      </c>
      <c r="M544" s="2" t="s">
        <v>1425</v>
      </c>
    </row>
    <row r="545" spans="1:13" x14ac:dyDescent="0.35">
      <c r="A545" s="2" t="s">
        <v>348</v>
      </c>
      <c r="B545" s="2" t="s">
        <v>349</v>
      </c>
      <c r="C545" s="2" t="s">
        <v>3860</v>
      </c>
      <c r="D545" s="2" t="s">
        <v>15</v>
      </c>
      <c r="E545" s="2" t="s">
        <v>139</v>
      </c>
      <c r="F545" s="2" t="s">
        <v>93</v>
      </c>
      <c r="G545" s="2" t="s">
        <v>18</v>
      </c>
      <c r="H545" s="2" t="s">
        <v>88</v>
      </c>
      <c r="I545" s="3">
        <v>42688</v>
      </c>
      <c r="J545" s="3">
        <v>43179</v>
      </c>
      <c r="K545" s="3">
        <v>45736</v>
      </c>
      <c r="M545" s="2" t="s">
        <v>351</v>
      </c>
    </row>
    <row r="546" spans="1:13" x14ac:dyDescent="0.35">
      <c r="A546" s="2" t="s">
        <v>996</v>
      </c>
      <c r="B546" s="2" t="s">
        <v>997</v>
      </c>
      <c r="C546" s="2" t="s">
        <v>4009</v>
      </c>
      <c r="D546" s="2" t="s">
        <v>15</v>
      </c>
      <c r="E546" s="2" t="s">
        <v>139</v>
      </c>
      <c r="F546" s="2" t="s">
        <v>17</v>
      </c>
      <c r="G546" s="2" t="s">
        <v>18</v>
      </c>
      <c r="H546" s="2" t="s">
        <v>163</v>
      </c>
      <c r="I546" s="3">
        <v>44692</v>
      </c>
      <c r="J546" s="3">
        <v>44958</v>
      </c>
      <c r="K546" s="3">
        <v>46418</v>
      </c>
      <c r="M546" s="2" t="s">
        <v>999</v>
      </c>
    </row>
    <row r="547" spans="1:13" x14ac:dyDescent="0.35">
      <c r="A547" s="2" t="s">
        <v>1450</v>
      </c>
      <c r="B547" s="2" t="s">
        <v>1451</v>
      </c>
      <c r="C547" s="2" t="s">
        <v>4009</v>
      </c>
      <c r="D547" s="2" t="s">
        <v>15</v>
      </c>
      <c r="E547" s="2" t="s">
        <v>139</v>
      </c>
      <c r="F547" s="2" t="s">
        <v>17</v>
      </c>
      <c r="G547" s="2" t="s">
        <v>18</v>
      </c>
      <c r="H547" s="2" t="s">
        <v>88</v>
      </c>
      <c r="I547" s="3">
        <v>45140</v>
      </c>
      <c r="J547" s="3">
        <v>45357</v>
      </c>
      <c r="K547" s="3">
        <v>46817</v>
      </c>
      <c r="M547" s="2" t="s">
        <v>1452</v>
      </c>
    </row>
    <row r="548" spans="1:13" x14ac:dyDescent="0.35">
      <c r="A548" s="2" t="s">
        <v>1494</v>
      </c>
      <c r="B548" s="2" t="s">
        <v>1495</v>
      </c>
      <c r="C548" s="2" t="s">
        <v>4009</v>
      </c>
      <c r="D548" s="2" t="s">
        <v>15</v>
      </c>
      <c r="E548" s="2" t="s">
        <v>148</v>
      </c>
      <c r="F548" s="2" t="s">
        <v>17</v>
      </c>
      <c r="G548" s="2" t="s">
        <v>18</v>
      </c>
      <c r="H548" s="2" t="s">
        <v>163</v>
      </c>
      <c r="I548" s="3">
        <v>45345</v>
      </c>
      <c r="J548" s="3">
        <v>45378</v>
      </c>
      <c r="K548" s="3">
        <v>47203</v>
      </c>
      <c r="M548" s="2" t="s">
        <v>1496</v>
      </c>
    </row>
    <row r="549" spans="1:13" x14ac:dyDescent="0.35">
      <c r="A549" s="2" t="s">
        <v>1143</v>
      </c>
      <c r="B549" s="2" t="s">
        <v>1144</v>
      </c>
      <c r="C549" s="2" t="s">
        <v>4042</v>
      </c>
      <c r="D549" s="2" t="s">
        <v>15</v>
      </c>
      <c r="E549" s="2" t="s">
        <v>154</v>
      </c>
      <c r="F549" s="2" t="s">
        <v>93</v>
      </c>
      <c r="G549" s="2" t="s">
        <v>18</v>
      </c>
      <c r="H549" s="2" t="s">
        <v>88</v>
      </c>
      <c r="I549" s="3">
        <v>45058</v>
      </c>
      <c r="J549" s="3">
        <v>45083</v>
      </c>
      <c r="K549" s="3">
        <v>46178</v>
      </c>
      <c r="M549" s="2" t="s">
        <v>1146</v>
      </c>
    </row>
    <row r="550" spans="1:13" x14ac:dyDescent="0.35">
      <c r="A550" s="2" t="s">
        <v>1715</v>
      </c>
      <c r="C550" s="2" t="s">
        <v>4155</v>
      </c>
      <c r="D550" s="2" t="s">
        <v>15</v>
      </c>
      <c r="E550" s="2" t="s">
        <v>294</v>
      </c>
      <c r="F550" s="2" t="s">
        <v>60</v>
      </c>
      <c r="G550" s="2" t="s">
        <v>18</v>
      </c>
      <c r="H550" s="2" t="s">
        <v>19</v>
      </c>
      <c r="I550" s="3">
        <v>45279</v>
      </c>
      <c r="J550" s="3">
        <v>45336</v>
      </c>
      <c r="K550" s="3">
        <v>52640</v>
      </c>
      <c r="M550" s="2" t="s">
        <v>1717</v>
      </c>
    </row>
    <row r="551" spans="1:13" x14ac:dyDescent="0.35">
      <c r="A551" s="2" t="s">
        <v>911</v>
      </c>
      <c r="B551" s="2" t="s">
        <v>912</v>
      </c>
      <c r="C551" s="2" t="s">
        <v>3994</v>
      </c>
      <c r="D551" s="2" t="s">
        <v>15</v>
      </c>
      <c r="E551" s="2" t="s">
        <v>154</v>
      </c>
      <c r="F551" s="2" t="s">
        <v>93</v>
      </c>
      <c r="G551" s="2" t="s">
        <v>18</v>
      </c>
      <c r="H551" s="2" t="s">
        <v>88</v>
      </c>
      <c r="I551" s="3">
        <v>44942</v>
      </c>
      <c r="J551" s="3">
        <v>45041</v>
      </c>
      <c r="K551" s="3">
        <v>46136</v>
      </c>
      <c r="M551" s="2" t="s">
        <v>914</v>
      </c>
    </row>
    <row r="552" spans="1:13" x14ac:dyDescent="0.35">
      <c r="A552" s="2" t="s">
        <v>915</v>
      </c>
      <c r="B552" s="2" t="s">
        <v>916</v>
      </c>
      <c r="C552" s="2" t="s">
        <v>3994</v>
      </c>
      <c r="D552" s="2" t="s">
        <v>15</v>
      </c>
      <c r="E552" s="2" t="s">
        <v>154</v>
      </c>
      <c r="F552" s="2" t="s">
        <v>93</v>
      </c>
      <c r="G552" s="2" t="s">
        <v>18</v>
      </c>
      <c r="H552" s="2" t="s">
        <v>88</v>
      </c>
      <c r="I552" s="3">
        <v>44942</v>
      </c>
      <c r="J552" s="3">
        <v>44959</v>
      </c>
      <c r="K552" s="3">
        <v>46054</v>
      </c>
      <c r="M552" s="2" t="s">
        <v>917</v>
      </c>
    </row>
    <row r="553" spans="1:13" x14ac:dyDescent="0.35">
      <c r="A553" s="2" t="s">
        <v>962</v>
      </c>
      <c r="B553" s="2" t="s">
        <v>963</v>
      </c>
      <c r="C553" s="2" t="s">
        <v>4002</v>
      </c>
      <c r="D553" s="2" t="s">
        <v>15</v>
      </c>
      <c r="E553" s="2" t="s">
        <v>154</v>
      </c>
      <c r="F553" s="2" t="s">
        <v>93</v>
      </c>
      <c r="G553" s="2" t="s">
        <v>18</v>
      </c>
      <c r="H553" s="2" t="s">
        <v>88</v>
      </c>
      <c r="I553" s="3">
        <v>44005</v>
      </c>
      <c r="J553" s="3">
        <v>44719</v>
      </c>
      <c r="K553" s="3">
        <v>45814</v>
      </c>
      <c r="M553" s="2" t="s">
        <v>965</v>
      </c>
    </row>
    <row r="554" spans="1:13" x14ac:dyDescent="0.35">
      <c r="A554" s="2" t="s">
        <v>1227</v>
      </c>
      <c r="B554" s="2" t="s">
        <v>704</v>
      </c>
      <c r="C554" s="2" t="s">
        <v>4056</v>
      </c>
      <c r="D554" s="2" t="s">
        <v>15</v>
      </c>
      <c r="E554" s="2" t="s">
        <v>154</v>
      </c>
      <c r="F554" s="2" t="s">
        <v>93</v>
      </c>
      <c r="G554" s="2" t="s">
        <v>18</v>
      </c>
      <c r="H554" s="2" t="s">
        <v>177</v>
      </c>
      <c r="I554" s="3">
        <v>45217</v>
      </c>
      <c r="J554" s="3">
        <v>45230</v>
      </c>
      <c r="K554" s="3">
        <v>46325</v>
      </c>
      <c r="M554" s="2" t="s">
        <v>1229</v>
      </c>
    </row>
    <row r="555" spans="1:13" x14ac:dyDescent="0.35">
      <c r="A555" s="2" t="s">
        <v>763</v>
      </c>
      <c r="C555" s="2" t="s">
        <v>3953</v>
      </c>
      <c r="D555" s="2" t="s">
        <v>15</v>
      </c>
      <c r="E555" s="2" t="s">
        <v>311</v>
      </c>
      <c r="F555" s="2" t="s">
        <v>149</v>
      </c>
      <c r="G555" s="2" t="s">
        <v>18</v>
      </c>
      <c r="H555" s="2" t="s">
        <v>19</v>
      </c>
      <c r="I555" s="3">
        <v>44771</v>
      </c>
      <c r="J555" s="3">
        <v>44670</v>
      </c>
      <c r="K555" s="3">
        <v>46495</v>
      </c>
    </row>
    <row r="556" spans="1:13" s="19" customFormat="1" x14ac:dyDescent="0.35">
      <c r="A556" s="19" t="s">
        <v>516</v>
      </c>
      <c r="B556" s="19" t="s">
        <v>517</v>
      </c>
      <c r="D556" s="19" t="s">
        <v>15</v>
      </c>
      <c r="E556" s="19" t="s">
        <v>518</v>
      </c>
      <c r="F556" s="19" t="s">
        <v>395</v>
      </c>
      <c r="G556" s="19" t="s">
        <v>18</v>
      </c>
      <c r="H556" s="19" t="s">
        <v>185</v>
      </c>
      <c r="I556" s="36">
        <v>43832</v>
      </c>
      <c r="J556" s="36">
        <v>43879</v>
      </c>
      <c r="K556" s="36">
        <v>45706</v>
      </c>
      <c r="M556" s="19" t="s">
        <v>519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F71C-7625-4237-8922-B5314EE3B217}">
  <dimension ref="A1:E42"/>
  <sheetViews>
    <sheetView zoomScale="84" workbookViewId="0">
      <selection activeCell="A9" sqref="A9"/>
    </sheetView>
  </sheetViews>
  <sheetFormatPr baseColWidth="10" defaultRowHeight="15.5" x14ac:dyDescent="0.35"/>
  <cols>
    <col min="1" max="1" width="48.36328125" style="20" bestFit="1" customWidth="1"/>
    <col min="2" max="2" width="33.6328125" style="20" customWidth="1"/>
    <col min="3" max="3" width="22.7265625" style="20" customWidth="1"/>
    <col min="4" max="4" width="17.26953125" style="20" customWidth="1"/>
    <col min="5" max="16384" width="10.90625" style="20"/>
  </cols>
  <sheetData>
    <row r="1" spans="1:5" x14ac:dyDescent="0.35">
      <c r="A1" s="20" t="s">
        <v>1796</v>
      </c>
      <c r="B1" s="20" t="s">
        <v>4180</v>
      </c>
      <c r="C1" s="20" t="s">
        <v>1797</v>
      </c>
      <c r="D1" s="20" t="s">
        <v>1798</v>
      </c>
      <c r="E1" s="20" t="s">
        <v>1799</v>
      </c>
    </row>
    <row r="2" spans="1:5" x14ac:dyDescent="0.35">
      <c r="A2" s="20" t="s">
        <v>1800</v>
      </c>
      <c r="B2" s="20" t="str">
        <f>UPPER(Tableau3[[#This Row],[Entreprise]])</f>
        <v>CHEIKH FALL</v>
      </c>
      <c r="C2" s="20" t="s">
        <v>1801</v>
      </c>
      <c r="D2" s="20" t="s">
        <v>1802</v>
      </c>
      <c r="E2" s="20" t="s">
        <v>15</v>
      </c>
    </row>
    <row r="3" spans="1:5" x14ac:dyDescent="0.35">
      <c r="A3" s="20" t="s">
        <v>1803</v>
      </c>
      <c r="B3" s="20" t="str">
        <f>UPPER(Tableau3[[#This Row],[Entreprise]])</f>
        <v>FORADRILL-SENEGAL</v>
      </c>
      <c r="C3" s="20" t="s">
        <v>1804</v>
      </c>
      <c r="D3" s="20" t="s">
        <v>1802</v>
      </c>
      <c r="E3" s="20" t="s">
        <v>15</v>
      </c>
    </row>
    <row r="4" spans="1:5" x14ac:dyDescent="0.35">
      <c r="A4" s="20" t="s">
        <v>1805</v>
      </c>
      <c r="B4" s="20" t="str">
        <f>UPPER(Tableau3[[#This Row],[Entreprise]])</f>
        <v>AMS SENEGAL SUARL</v>
      </c>
      <c r="C4" s="20" t="s">
        <v>1806</v>
      </c>
      <c r="D4" s="20" t="s">
        <v>1802</v>
      </c>
      <c r="E4" s="20" t="s">
        <v>15</v>
      </c>
    </row>
    <row r="5" spans="1:5" x14ac:dyDescent="0.35">
      <c r="A5" s="20" t="s">
        <v>1807</v>
      </c>
      <c r="B5" s="20" t="str">
        <f>UPPER(Tableau3[[#This Row],[Entreprise]])</f>
        <v>AFRICAN UNDERGROUND MINING SERVICES SENEGAL SUARL</v>
      </c>
      <c r="C5" s="20" t="s">
        <v>1808</v>
      </c>
      <c r="D5" s="20" t="s">
        <v>1802</v>
      </c>
      <c r="E5" s="20" t="s">
        <v>15</v>
      </c>
    </row>
    <row r="6" spans="1:5" x14ac:dyDescent="0.35">
      <c r="A6" s="20" t="s">
        <v>1809</v>
      </c>
      <c r="B6" s="20" t="str">
        <f>UPPER(Tableau3[[#This Row],[Entreprise]])</f>
        <v xml:space="preserve">KEKENDO AFRICA ENGINEERING </v>
      </c>
      <c r="C6" s="20" t="s">
        <v>1810</v>
      </c>
      <c r="D6" s="20" t="s">
        <v>1802</v>
      </c>
      <c r="E6" s="20" t="s">
        <v>15</v>
      </c>
    </row>
    <row r="7" spans="1:5" x14ac:dyDescent="0.35">
      <c r="A7" s="20" t="s">
        <v>1811</v>
      </c>
      <c r="B7" s="20" t="str">
        <f>UPPER(Tableau3[[#This Row],[Entreprise]])</f>
        <v>CORICA MINING SERVICES SARL</v>
      </c>
      <c r="C7" s="20" t="s">
        <v>1812</v>
      </c>
      <c r="D7" s="20" t="s">
        <v>1802</v>
      </c>
      <c r="E7" s="20" t="s">
        <v>15</v>
      </c>
    </row>
    <row r="8" spans="1:5" x14ac:dyDescent="0.35">
      <c r="A8" s="20" t="s">
        <v>1813</v>
      </c>
      <c r="B8" s="20" t="str">
        <f>UPPER(Tableau3[[#This Row],[Entreprise]])</f>
        <v xml:space="preserve">CHALLENGE 2000 SARL </v>
      </c>
      <c r="C8" s="20" t="s">
        <v>1814</v>
      </c>
      <c r="D8" s="20" t="s">
        <v>1802</v>
      </c>
      <c r="E8" s="20" t="s">
        <v>15</v>
      </c>
    </row>
    <row r="9" spans="1:5" x14ac:dyDescent="0.35">
      <c r="A9" s="20" t="s">
        <v>1815</v>
      </c>
      <c r="B9" s="20" t="str">
        <f>UPPER(Tableau3[[#This Row],[Entreprise]])</f>
        <v>EIFFAGE SENEGAL SAS</v>
      </c>
      <c r="C9" s="20" t="s">
        <v>1816</v>
      </c>
      <c r="D9" s="20" t="s">
        <v>1802</v>
      </c>
      <c r="E9" s="20" t="s">
        <v>15</v>
      </c>
    </row>
    <row r="10" spans="1:5" x14ac:dyDescent="0.35">
      <c r="A10" s="20" t="s">
        <v>1817</v>
      </c>
      <c r="B10" s="20" t="str">
        <f>UPPER(Tableau3[[#This Row],[Entreprise]])</f>
        <v>GLOBAL AFRICINVEST</v>
      </c>
      <c r="C10" s="20" t="s">
        <v>1818</v>
      </c>
      <c r="D10" s="20" t="s">
        <v>1802</v>
      </c>
      <c r="E10" s="20" t="s">
        <v>15</v>
      </c>
    </row>
    <row r="11" spans="1:5" x14ac:dyDescent="0.35">
      <c r="A11" s="20" t="s">
        <v>1819</v>
      </c>
      <c r="B11" s="20" t="str">
        <f>UPPER(Tableau3[[#This Row],[Entreprise]])</f>
        <v>MCI SENEGAL SAS</v>
      </c>
      <c r="C11" s="20" t="s">
        <v>1820</v>
      </c>
      <c r="D11" s="20" t="s">
        <v>1802</v>
      </c>
      <c r="E11" s="20" t="s">
        <v>15</v>
      </c>
    </row>
    <row r="12" spans="1:5" x14ac:dyDescent="0.35">
      <c r="A12" s="20" t="s">
        <v>1821</v>
      </c>
      <c r="B12" s="20" t="str">
        <f>UPPER(Tableau3[[#This Row],[Entreprise]])</f>
        <v>AFRICA POWER SERVICES SENEGAL</v>
      </c>
      <c r="C12" s="20" t="s">
        <v>1822</v>
      </c>
      <c r="D12" s="20" t="s">
        <v>1802</v>
      </c>
      <c r="E12" s="20" t="s">
        <v>15</v>
      </c>
    </row>
    <row r="13" spans="1:5" x14ac:dyDescent="0.35">
      <c r="A13" s="20" t="s">
        <v>1823</v>
      </c>
      <c r="B13" s="20" t="str">
        <f>UPPER(Tableau3[[#This Row],[Entreprise]])</f>
        <v>LYCOPODIUM MINERALS CANADA LTD</v>
      </c>
      <c r="C13" s="20" t="s">
        <v>1824</v>
      </c>
      <c r="D13" s="20" t="s">
        <v>1802</v>
      </c>
      <c r="E13" s="20" t="s">
        <v>1825</v>
      </c>
    </row>
    <row r="14" spans="1:5" x14ac:dyDescent="0.35">
      <c r="A14" s="20" t="s">
        <v>1826</v>
      </c>
      <c r="B14" s="20" t="str">
        <f>UPPER(Tableau3[[#This Row],[Entreprise]])</f>
        <v>LES SPÉCIALISTES DE L'ENERGIE</v>
      </c>
      <c r="C14" s="20" t="s">
        <v>1827</v>
      </c>
      <c r="D14" s="20" t="s">
        <v>1802</v>
      </c>
      <c r="E14" s="20" t="s">
        <v>15</v>
      </c>
    </row>
    <row r="15" spans="1:5" x14ac:dyDescent="0.35">
      <c r="A15" s="20" t="s">
        <v>1828</v>
      </c>
      <c r="B15" s="20" t="str">
        <f>UPPER(Tableau3[[#This Row],[Entreprise]])</f>
        <v>INTER-MINING SERVICES SENEGAL</v>
      </c>
      <c r="C15" s="20" t="s">
        <v>1829</v>
      </c>
      <c r="D15" s="20" t="s">
        <v>1802</v>
      </c>
      <c r="E15" s="20" t="s">
        <v>15</v>
      </c>
    </row>
    <row r="16" spans="1:5" x14ac:dyDescent="0.35">
      <c r="A16" s="20" t="s">
        <v>1830</v>
      </c>
      <c r="B16" s="20" t="str">
        <f>UPPER(Tableau3[[#This Row],[Entreprise]])</f>
        <v>GEODRILL SENEGAL SARL</v>
      </c>
      <c r="C16" s="20" t="s">
        <v>1831</v>
      </c>
      <c r="D16" s="20" t="s">
        <v>1802</v>
      </c>
      <c r="E16" s="20" t="s">
        <v>15</v>
      </c>
    </row>
    <row r="17" spans="1:5" x14ac:dyDescent="0.35">
      <c r="A17" s="20" t="s">
        <v>1832</v>
      </c>
      <c r="B17" s="20" t="str">
        <f>UPPER(Tableau3[[#This Row],[Entreprise]])</f>
        <v>BOSFOR SARL</v>
      </c>
      <c r="C17" s="20" t="s">
        <v>1833</v>
      </c>
      <c r="D17" s="20" t="s">
        <v>1802</v>
      </c>
      <c r="E17" s="20" t="s">
        <v>15</v>
      </c>
    </row>
    <row r="18" spans="1:5" x14ac:dyDescent="0.35">
      <c r="A18" s="20" t="s">
        <v>1834</v>
      </c>
      <c r="B18" s="20" t="str">
        <f>UPPER(Tableau3[[#This Row],[Entreprise]])</f>
        <v>MOTA ENGIL SENEGAL MINING SUARL</v>
      </c>
      <c r="C18" s="20" t="s">
        <v>1835</v>
      </c>
      <c r="D18" s="20" t="s">
        <v>1802</v>
      </c>
      <c r="E18" s="20" t="s">
        <v>15</v>
      </c>
    </row>
    <row r="19" spans="1:5" x14ac:dyDescent="0.35">
      <c r="A19" s="20" t="s">
        <v>1836</v>
      </c>
      <c r="B19" s="20" t="str">
        <f>UPPER(Tableau3[[#This Row],[Entreprise]])</f>
        <v>LYCOPODIUM MARINE AND MODULAR (PTY) LTD</v>
      </c>
      <c r="C19" s="20" t="s">
        <v>1837</v>
      </c>
      <c r="D19" s="20" t="s">
        <v>1802</v>
      </c>
      <c r="E19" s="20" t="s">
        <v>15</v>
      </c>
    </row>
    <row r="20" spans="1:5" x14ac:dyDescent="0.35">
      <c r="A20" s="20" t="s">
        <v>1838</v>
      </c>
      <c r="B20" s="20" t="str">
        <f>UPPER(Tableau3[[#This Row],[Entreprise]])</f>
        <v xml:space="preserve">AECI SENEGAL </v>
      </c>
      <c r="C20" s="20" t="s">
        <v>1839</v>
      </c>
      <c r="D20" s="20" t="s">
        <v>1802</v>
      </c>
      <c r="E20" s="20" t="s">
        <v>15</v>
      </c>
    </row>
    <row r="21" spans="1:5" x14ac:dyDescent="0.35">
      <c r="A21" s="20" t="s">
        <v>1840</v>
      </c>
      <c r="B21" s="20" t="str">
        <f>UPPER(Tableau3[[#This Row],[Entreprise]])</f>
        <v>IDC</v>
      </c>
      <c r="C21" s="20" t="s">
        <v>1841</v>
      </c>
      <c r="D21" s="20" t="s">
        <v>1802</v>
      </c>
      <c r="E21" s="20" t="s">
        <v>15</v>
      </c>
    </row>
    <row r="22" spans="1:5" x14ac:dyDescent="0.35">
      <c r="A22" s="20" t="s">
        <v>1842</v>
      </c>
      <c r="B22" s="20" t="str">
        <f>UPPER(Tableau3[[#This Row],[Entreprise]])</f>
        <v>LYCOPODIUM SENEGAL SUARL</v>
      </c>
      <c r="C22" s="20" t="s">
        <v>1843</v>
      </c>
      <c r="D22" s="20" t="s">
        <v>1802</v>
      </c>
      <c r="E22" s="20" t="s">
        <v>15</v>
      </c>
    </row>
    <row r="23" spans="1:5" x14ac:dyDescent="0.35">
      <c r="A23" s="20" t="s">
        <v>1844</v>
      </c>
      <c r="B23" s="20" t="str">
        <f>UPPER(Tableau3[[#This Row],[Entreprise]])</f>
        <v>MCI SENEGAL</v>
      </c>
      <c r="C23" s="20" t="s">
        <v>1845</v>
      </c>
      <c r="D23" s="20" t="s">
        <v>1802</v>
      </c>
      <c r="E23" s="20" t="s">
        <v>15</v>
      </c>
    </row>
    <row r="24" spans="1:5" x14ac:dyDescent="0.35">
      <c r="A24" s="20" t="s">
        <v>1846</v>
      </c>
      <c r="B24" s="20" t="str">
        <f>UPPER(Tableau3[[#This Row],[Entreprise]])</f>
        <v xml:space="preserve">TRAORE ELECTRICITÉ BÂTIMENT ET INDUSTRIE </v>
      </c>
      <c r="C24" s="20" t="s">
        <v>1847</v>
      </c>
      <c r="D24" s="20" t="s">
        <v>1802</v>
      </c>
      <c r="E24" s="20" t="s">
        <v>15</v>
      </c>
    </row>
    <row r="25" spans="1:5" x14ac:dyDescent="0.35">
      <c r="A25" s="20" t="s">
        <v>1848</v>
      </c>
      <c r="B25" s="20" t="str">
        <f>UPPER(Tableau3[[#This Row],[Entreprise]])</f>
        <v>CADEX SENEGAL</v>
      </c>
      <c r="C25" s="20" t="s">
        <v>1849</v>
      </c>
      <c r="D25" s="20" t="s">
        <v>1802</v>
      </c>
      <c r="E25" s="20" t="s">
        <v>15</v>
      </c>
    </row>
    <row r="26" spans="1:5" x14ac:dyDescent="0.35">
      <c r="A26" s="20" t="s">
        <v>1850</v>
      </c>
      <c r="B26" s="20" t="str">
        <f>UPPER(Tableau3[[#This Row],[Entreprise]])</f>
        <v>SEA-INVEST SENEGAL</v>
      </c>
      <c r="C26" s="20" t="s">
        <v>1851</v>
      </c>
      <c r="D26" s="20" t="s">
        <v>1802</v>
      </c>
      <c r="E26" s="20" t="s">
        <v>15</v>
      </c>
    </row>
    <row r="27" spans="1:5" x14ac:dyDescent="0.35">
      <c r="A27" s="20" t="s">
        <v>1852</v>
      </c>
      <c r="B27" s="20" t="str">
        <f>UPPER(Tableau3[[#This Row],[Entreprise]])</f>
        <v>E G C 2 I  SARL</v>
      </c>
      <c r="C27" s="20" t="s">
        <v>1853</v>
      </c>
      <c r="D27" s="20" t="s">
        <v>1802</v>
      </c>
      <c r="E27" s="20" t="s">
        <v>15</v>
      </c>
    </row>
    <row r="28" spans="1:5" x14ac:dyDescent="0.35">
      <c r="A28" s="20" t="s">
        <v>1854</v>
      </c>
      <c r="B28" s="20" t="str">
        <f>UPPER(Tableau3[[#This Row],[Entreprise]])</f>
        <v>PARAMOUNT MINING SERVICES SUARL</v>
      </c>
      <c r="C28" s="20" t="s">
        <v>1855</v>
      </c>
      <c r="D28" s="20" t="s">
        <v>1802</v>
      </c>
      <c r="E28" s="20" t="s">
        <v>15</v>
      </c>
    </row>
    <row r="29" spans="1:5" x14ac:dyDescent="0.35">
      <c r="A29" s="20" t="s">
        <v>1856</v>
      </c>
      <c r="B29" s="20" t="str">
        <f>UPPER(Tableau3[[#This Row],[Entreprise]])</f>
        <v>EPC MINEEX SA</v>
      </c>
      <c r="C29" s="20" t="s">
        <v>1857</v>
      </c>
      <c r="D29" s="20" t="s">
        <v>1802</v>
      </c>
      <c r="E29" s="20" t="s">
        <v>15</v>
      </c>
    </row>
    <row r="30" spans="1:5" x14ac:dyDescent="0.35">
      <c r="A30" s="20" t="s">
        <v>1858</v>
      </c>
      <c r="B30" s="20" t="str">
        <f>UPPER(Tableau3[[#This Row],[Entreprise]])</f>
        <v>ENIKON SENEGAL SARL</v>
      </c>
      <c r="C30" s="20" t="s">
        <v>1859</v>
      </c>
      <c r="D30" s="20" t="s">
        <v>1802</v>
      </c>
      <c r="E30" s="20" t="s">
        <v>15</v>
      </c>
    </row>
    <row r="31" spans="1:5" x14ac:dyDescent="0.35">
      <c r="A31" s="20" t="s">
        <v>1860</v>
      </c>
      <c r="B31" s="20" t="str">
        <f>UPPER(Tableau3[[#This Row],[Entreprise]])</f>
        <v>DRILLEEX</v>
      </c>
      <c r="C31" s="20" t="s">
        <v>1861</v>
      </c>
      <c r="D31" s="20" t="s">
        <v>1802</v>
      </c>
      <c r="E31" s="20" t="s">
        <v>15</v>
      </c>
    </row>
    <row r="32" spans="1:5" x14ac:dyDescent="0.35">
      <c r="A32" s="20" t="s">
        <v>1862</v>
      </c>
      <c r="B32" s="20" t="str">
        <f>UPPER(Tableau3[[#This Row],[Entreprise]])</f>
        <v>FORAGE FTE SÉNÉGAL</v>
      </c>
      <c r="C32" s="20" t="s">
        <v>1863</v>
      </c>
      <c r="D32" s="20" t="s">
        <v>1802</v>
      </c>
      <c r="E32" s="20" t="s">
        <v>15</v>
      </c>
    </row>
    <row r="33" spans="1:5" x14ac:dyDescent="0.35">
      <c r="A33" s="20" t="s">
        <v>1864</v>
      </c>
      <c r="B33" s="20" t="str">
        <f>UPPER(Tableau3[[#This Row],[Entreprise]])</f>
        <v>WINDE-BAT</v>
      </c>
      <c r="C33" s="20" t="s">
        <v>1865</v>
      </c>
      <c r="D33" s="20" t="s">
        <v>1802</v>
      </c>
      <c r="E33" s="20" t="s">
        <v>15</v>
      </c>
    </row>
    <row r="34" spans="1:5" x14ac:dyDescent="0.35">
      <c r="A34" s="20" t="s">
        <v>1866</v>
      </c>
      <c r="B34" s="20" t="str">
        <f>UPPER(Tableau3[[#This Row],[Entreprise]])</f>
        <v>TRANSPORTSDIEYE</v>
      </c>
      <c r="C34" s="20" t="s">
        <v>1867</v>
      </c>
      <c r="D34" s="20" t="s">
        <v>1802</v>
      </c>
      <c r="E34" s="20" t="s">
        <v>15</v>
      </c>
    </row>
    <row r="35" spans="1:5" x14ac:dyDescent="0.35">
      <c r="A35" s="20" t="s">
        <v>1868</v>
      </c>
      <c r="B35" s="20" t="str">
        <f>UPPER(Tableau3[[#This Row],[Entreprise]])</f>
        <v>GISMAF SUARL</v>
      </c>
      <c r="C35" s="20" t="s">
        <v>1869</v>
      </c>
      <c r="D35" s="20" t="s">
        <v>1802</v>
      </c>
      <c r="E35" s="20" t="s">
        <v>15</v>
      </c>
    </row>
    <row r="36" spans="1:5" x14ac:dyDescent="0.35">
      <c r="A36" s="20" t="s">
        <v>1870</v>
      </c>
      <c r="B36" s="20" t="str">
        <f>UPPER(Tableau3[[#This Row],[Entreprise]])</f>
        <v>INTERNATIONAL DRILLING COMPANY</v>
      </c>
      <c r="C36" s="20" t="s">
        <v>1871</v>
      </c>
      <c r="D36" s="20" t="s">
        <v>1802</v>
      </c>
      <c r="E36" s="20" t="s">
        <v>15</v>
      </c>
    </row>
    <row r="37" spans="1:5" x14ac:dyDescent="0.35">
      <c r="A37" s="20" t="s">
        <v>1872</v>
      </c>
      <c r="B37" s="20" t="str">
        <f>UPPER(Tableau3[[#This Row],[Entreprise]])</f>
        <v>REDPATH AFRICA LIMITED</v>
      </c>
      <c r="C37" s="20" t="s">
        <v>1873</v>
      </c>
      <c r="D37" s="20" t="s">
        <v>1802</v>
      </c>
      <c r="E37" s="20" t="s">
        <v>1874</v>
      </c>
    </row>
    <row r="38" spans="1:5" x14ac:dyDescent="0.35">
      <c r="A38" s="20" t="s">
        <v>1875</v>
      </c>
      <c r="B38" s="20" t="str">
        <f>UPPER(Tableau3[[#This Row],[Entreprise]])</f>
        <v>FIVES FCB SÉNÉGAL SARL</v>
      </c>
      <c r="C38" s="20" t="s">
        <v>1876</v>
      </c>
      <c r="D38" s="20" t="s">
        <v>1802</v>
      </c>
      <c r="E38" s="20" t="s">
        <v>1877</v>
      </c>
    </row>
    <row r="39" spans="1:5" x14ac:dyDescent="0.35">
      <c r="A39" s="20" t="s">
        <v>1878</v>
      </c>
      <c r="B39" s="20" t="str">
        <f>UPPER(Tableau3[[#This Row],[Entreprise]])</f>
        <v>BAUER</v>
      </c>
      <c r="C39" s="20" t="s">
        <v>1879</v>
      </c>
      <c r="D39" s="20" t="s">
        <v>1802</v>
      </c>
      <c r="E39" s="20" t="s">
        <v>15</v>
      </c>
    </row>
    <row r="40" spans="1:5" x14ac:dyDescent="0.35">
      <c r="A40" s="20" t="s">
        <v>1880</v>
      </c>
      <c r="B40" s="20" t="str">
        <f>UPPER(Tableau3[[#This Row],[Entreprise]])</f>
        <v xml:space="preserve">GRANDS TRAVAUX ET SERVICES SARL </v>
      </c>
      <c r="C40" s="20" t="s">
        <v>1881</v>
      </c>
      <c r="D40" s="20" t="s">
        <v>1802</v>
      </c>
      <c r="E40" s="20" t="s">
        <v>15</v>
      </c>
    </row>
    <row r="41" spans="1:5" x14ac:dyDescent="0.35">
      <c r="A41" s="20" t="s">
        <v>1882</v>
      </c>
      <c r="B41" s="20" t="str">
        <f>UPPER(Tableau3[[#This Row],[Entreprise]])</f>
        <v>NRG EXPLORATION CC</v>
      </c>
      <c r="C41" s="20" t="s">
        <v>1883</v>
      </c>
      <c r="D41" s="20" t="s">
        <v>1802</v>
      </c>
      <c r="E41" s="20" t="s">
        <v>1884</v>
      </c>
    </row>
    <row r="42" spans="1:5" x14ac:dyDescent="0.35">
      <c r="A42" s="20" t="s">
        <v>1885</v>
      </c>
      <c r="B42" s="20" t="str">
        <f>UPPER(Tableau3[[#This Row],[Entreprise]])</f>
        <v>CJ ICM LOGISTICS BELGIUM BV</v>
      </c>
      <c r="C42" s="20" t="s">
        <v>1886</v>
      </c>
      <c r="D42" s="20" t="s">
        <v>1802</v>
      </c>
      <c r="E42" s="20" t="s">
        <v>1887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0DCB-DD5E-4600-BD00-CF93C1479493}">
  <dimension ref="A1:P597"/>
  <sheetViews>
    <sheetView topLeftCell="A79" zoomScale="141" workbookViewId="0">
      <selection activeCell="C11" sqref="C11"/>
    </sheetView>
  </sheetViews>
  <sheetFormatPr baseColWidth="10" defaultColWidth="14" defaultRowHeight="14.5" x14ac:dyDescent="0.35"/>
  <cols>
    <col min="1" max="2" width="14" style="2"/>
    <col min="3" max="3" width="90" style="2" bestFit="1" customWidth="1"/>
    <col min="4" max="4" width="90" style="2" customWidth="1"/>
    <col min="5" max="11" width="14" style="2"/>
    <col min="12" max="12" width="16.90625" style="2" bestFit="1" customWidth="1"/>
    <col min="13" max="15" width="14.08984375" style="2" bestFit="1" customWidth="1"/>
    <col min="16" max="16384" width="14" style="2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3168</v>
      </c>
      <c r="E1" s="1" t="s">
        <v>1798</v>
      </c>
      <c r="F1" s="1" t="s">
        <v>3</v>
      </c>
      <c r="G1" s="1" t="s">
        <v>3164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5">
      <c r="A2" s="2" t="s">
        <v>439</v>
      </c>
      <c r="B2" s="2" t="s">
        <v>328</v>
      </c>
      <c r="C2" s="2" t="s">
        <v>3169</v>
      </c>
      <c r="D2" s="2" t="str">
        <f>IF(COUNTIF(RBE!$C$1:$C$629,A2)&gt;0,"Existe","Absent")</f>
        <v>Absent</v>
      </c>
      <c r="E2" s="2" t="s">
        <v>3163</v>
      </c>
      <c r="F2" s="2" t="s">
        <v>15</v>
      </c>
      <c r="H2" s="2" t="s">
        <v>311</v>
      </c>
      <c r="I2" s="2" t="s">
        <v>149</v>
      </c>
      <c r="J2" s="2" t="s">
        <v>18</v>
      </c>
      <c r="K2" s="2" t="s">
        <v>19</v>
      </c>
      <c r="L2" s="3">
        <v>43165</v>
      </c>
      <c r="M2" s="3">
        <v>43229</v>
      </c>
      <c r="N2" s="3">
        <v>46881</v>
      </c>
      <c r="O2" s="3">
        <v>45055</v>
      </c>
      <c r="P2" s="2" t="s">
        <v>441</v>
      </c>
    </row>
    <row r="3" spans="1:16" x14ac:dyDescent="0.35">
      <c r="A3" s="2" t="s">
        <v>859</v>
      </c>
      <c r="B3" s="2" t="s">
        <v>860</v>
      </c>
      <c r="C3" s="2" t="s">
        <v>440</v>
      </c>
      <c r="D3" s="2" t="str">
        <f>IF(COUNTIF(RBE!$C$1:$C$629,A3)&gt;0,"Existe","Absent")</f>
        <v>Absent</v>
      </c>
      <c r="E3" s="2" t="s">
        <v>3163</v>
      </c>
      <c r="F3" s="2" t="s">
        <v>15</v>
      </c>
      <c r="H3" s="2" t="s">
        <v>27</v>
      </c>
      <c r="I3" s="2" t="s">
        <v>28</v>
      </c>
      <c r="J3" s="2" t="s">
        <v>18</v>
      </c>
      <c r="K3" s="2" t="s">
        <v>177</v>
      </c>
      <c r="L3" s="3">
        <v>44215</v>
      </c>
      <c r="M3" s="3">
        <v>44862</v>
      </c>
      <c r="N3" s="3">
        <v>46687</v>
      </c>
      <c r="P3" s="2" t="s">
        <v>861</v>
      </c>
    </row>
    <row r="4" spans="1:16" x14ac:dyDescent="0.35">
      <c r="A4" s="2" t="s">
        <v>1092</v>
      </c>
      <c r="C4" s="2" t="s">
        <v>440</v>
      </c>
      <c r="D4" s="2" t="str">
        <f>IF(COUNTIF(RBE!$C$1:$C$629,A4)&gt;0,"Existe","Absent")</f>
        <v>Absent</v>
      </c>
      <c r="E4" s="2" t="s">
        <v>3163</v>
      </c>
      <c r="F4" s="2" t="s">
        <v>15</v>
      </c>
      <c r="H4" s="2" t="s">
        <v>27</v>
      </c>
      <c r="I4" s="2" t="s">
        <v>28</v>
      </c>
      <c r="J4" s="2" t="s">
        <v>18</v>
      </c>
      <c r="K4" s="2" t="s">
        <v>19</v>
      </c>
      <c r="L4" s="3">
        <v>45085</v>
      </c>
      <c r="M4" s="3">
        <v>45184</v>
      </c>
      <c r="N4" s="3">
        <v>47010</v>
      </c>
      <c r="P4" s="2" t="s">
        <v>1093</v>
      </c>
    </row>
    <row r="5" spans="1:16" x14ac:dyDescent="0.35">
      <c r="A5" s="2" t="s">
        <v>1352</v>
      </c>
      <c r="C5" s="2" t="s">
        <v>1353</v>
      </c>
      <c r="D5" s="2" t="str">
        <f>IF(COUNTIF(RBE!$C$1:$C$629,A5)&gt;0,"Existe","Absent")</f>
        <v>Absent</v>
      </c>
      <c r="E5" s="2" t="s">
        <v>3163</v>
      </c>
      <c r="F5" s="2" t="s">
        <v>15</v>
      </c>
      <c r="H5" s="2" t="s">
        <v>154</v>
      </c>
      <c r="I5" s="2" t="s">
        <v>93</v>
      </c>
      <c r="J5" s="2" t="s">
        <v>18</v>
      </c>
      <c r="K5" s="2" t="s">
        <v>88</v>
      </c>
      <c r="L5" s="3">
        <v>45316</v>
      </c>
      <c r="M5" s="3">
        <v>45329</v>
      </c>
      <c r="N5" s="3">
        <v>46424</v>
      </c>
      <c r="P5" s="2" t="s">
        <v>1354</v>
      </c>
    </row>
    <row r="6" spans="1:16" x14ac:dyDescent="0.35">
      <c r="A6" s="2" t="s">
        <v>1061</v>
      </c>
      <c r="C6" s="2" t="s">
        <v>1062</v>
      </c>
      <c r="D6" s="2" t="str">
        <f>IF(COUNTIF(RBE!$C$1:$C$629,A6)&gt;0,"Existe","Absent")</f>
        <v>Absent</v>
      </c>
      <c r="E6" s="2" t="s">
        <v>3163</v>
      </c>
      <c r="F6" s="2" t="s">
        <v>15</v>
      </c>
      <c r="H6" s="2" t="s">
        <v>154</v>
      </c>
      <c r="I6" s="2" t="s">
        <v>93</v>
      </c>
      <c r="J6" s="2" t="s">
        <v>18</v>
      </c>
      <c r="K6" s="2" t="s">
        <v>88</v>
      </c>
      <c r="L6" s="3">
        <v>45083</v>
      </c>
      <c r="M6" s="3">
        <v>45090</v>
      </c>
      <c r="N6" s="3">
        <v>46185</v>
      </c>
      <c r="P6" s="2" t="s">
        <v>1063</v>
      </c>
    </row>
    <row r="7" spans="1:16" x14ac:dyDescent="0.35">
      <c r="A7" s="2" t="s">
        <v>887</v>
      </c>
      <c r="B7" s="2" t="s">
        <v>888</v>
      </c>
      <c r="C7" s="2" t="s">
        <v>889</v>
      </c>
      <c r="D7" s="2" t="str">
        <f>IF(COUNTIF(RBE!$C$1:$C$629,A7)&gt;0,"Existe","Absent")</f>
        <v>Absent</v>
      </c>
      <c r="E7" s="2" t="s">
        <v>3163</v>
      </c>
      <c r="F7" s="2" t="s">
        <v>15</v>
      </c>
      <c r="H7" s="2" t="s">
        <v>139</v>
      </c>
      <c r="I7" s="2" t="s">
        <v>890</v>
      </c>
      <c r="J7" s="2" t="s">
        <v>18</v>
      </c>
      <c r="K7" s="2" t="s">
        <v>177</v>
      </c>
      <c r="L7" s="3">
        <v>44127</v>
      </c>
      <c r="M7" s="3">
        <v>44747</v>
      </c>
      <c r="N7" s="3">
        <v>46208</v>
      </c>
      <c r="P7" s="2" t="s">
        <v>891</v>
      </c>
    </row>
    <row r="8" spans="1:16" x14ac:dyDescent="0.35">
      <c r="A8" s="2" t="s">
        <v>665</v>
      </c>
      <c r="B8" s="2" t="s">
        <v>666</v>
      </c>
      <c r="C8" s="2" t="s">
        <v>667</v>
      </c>
      <c r="D8" s="2" t="str">
        <f>IF(COUNTIF(RBE!$C$1:$C$629,A8)&gt;0,"Existe","Absent")</f>
        <v>Absent</v>
      </c>
      <c r="E8" s="2" t="s">
        <v>3163</v>
      </c>
      <c r="F8" s="2" t="s">
        <v>15</v>
      </c>
      <c r="H8" s="2" t="s">
        <v>311</v>
      </c>
      <c r="I8" s="2" t="s">
        <v>149</v>
      </c>
      <c r="J8" s="2" t="s">
        <v>18</v>
      </c>
      <c r="K8" s="2" t="s">
        <v>19</v>
      </c>
      <c r="L8" s="3">
        <v>44455</v>
      </c>
      <c r="M8" s="3">
        <v>44476</v>
      </c>
      <c r="N8" s="3">
        <v>46301</v>
      </c>
    </row>
    <row r="9" spans="1:16" x14ac:dyDescent="0.35">
      <c r="A9" s="2" t="s">
        <v>803</v>
      </c>
      <c r="B9" s="2" t="s">
        <v>566</v>
      </c>
      <c r="C9" s="2" t="s">
        <v>804</v>
      </c>
      <c r="D9" s="2" t="str">
        <f>IF(COUNTIF(RBE!$C$1:$C$629,A9)&gt;0,"Existe","Absent")</f>
        <v>Absent</v>
      </c>
      <c r="E9" s="2" t="s">
        <v>3163</v>
      </c>
      <c r="F9" s="2" t="s">
        <v>15</v>
      </c>
      <c r="H9" s="2" t="s">
        <v>311</v>
      </c>
      <c r="I9" s="2" t="s">
        <v>149</v>
      </c>
      <c r="J9" s="2" t="s">
        <v>18</v>
      </c>
      <c r="K9" s="2" t="s">
        <v>19</v>
      </c>
      <c r="L9" s="3">
        <v>44781</v>
      </c>
      <c r="M9" s="3">
        <v>44811</v>
      </c>
      <c r="N9" s="3">
        <v>46636</v>
      </c>
    </row>
    <row r="10" spans="1:16" x14ac:dyDescent="0.35">
      <c r="A10" s="2" t="s">
        <v>1638</v>
      </c>
      <c r="C10" s="2" t="s">
        <v>804</v>
      </c>
      <c r="D10" s="2" t="str">
        <f>IF(COUNTIF(RBE!$C$1:$C$629,A10)&gt;0,"Existe","Absent")</f>
        <v>Absent</v>
      </c>
      <c r="E10" s="2" t="s">
        <v>3163</v>
      </c>
      <c r="F10" s="2" t="s">
        <v>15</v>
      </c>
      <c r="H10" s="2" t="s">
        <v>573</v>
      </c>
      <c r="I10" s="2" t="s">
        <v>395</v>
      </c>
      <c r="J10" s="2" t="s">
        <v>18</v>
      </c>
      <c r="K10" s="2" t="s">
        <v>19</v>
      </c>
      <c r="L10" s="5">
        <v>45850.397592592599</v>
      </c>
      <c r="M10" s="3">
        <v>45957</v>
      </c>
      <c r="N10" s="3">
        <v>46321</v>
      </c>
      <c r="P10" s="2" t="s">
        <v>1639</v>
      </c>
    </row>
    <row r="11" spans="1:16" x14ac:dyDescent="0.35">
      <c r="A11" s="2" t="s">
        <v>1510</v>
      </c>
      <c r="B11" s="2" t="s">
        <v>1511</v>
      </c>
      <c r="C11" s="2" t="s">
        <v>1512</v>
      </c>
      <c r="D11" s="2" t="str">
        <f>IF(COUNTIF(RBE!$C$1:$C$629,A11)&gt;0,"Existe","Absent")</f>
        <v>Absent</v>
      </c>
      <c r="E11" s="2" t="s">
        <v>3163</v>
      </c>
      <c r="F11" s="2" t="s">
        <v>15</v>
      </c>
      <c r="H11" s="2" t="s">
        <v>139</v>
      </c>
      <c r="I11" s="2" t="s">
        <v>712</v>
      </c>
      <c r="J11" s="2" t="s">
        <v>18</v>
      </c>
      <c r="K11" s="2" t="s">
        <v>88</v>
      </c>
      <c r="L11" s="3">
        <v>44841</v>
      </c>
      <c r="M11" s="3">
        <v>44959</v>
      </c>
      <c r="N11" s="3">
        <v>46419</v>
      </c>
      <c r="P11" s="2" t="s">
        <v>1513</v>
      </c>
    </row>
    <row r="12" spans="1:16" x14ac:dyDescent="0.35">
      <c r="A12" s="2" t="s">
        <v>1275</v>
      </c>
      <c r="C12" s="2" t="s">
        <v>1276</v>
      </c>
      <c r="D12" s="2" t="str">
        <f>IF(COUNTIF(RBE!$C$1:$C$629,A12)&gt;0,"Existe","Absent")</f>
        <v>Absent</v>
      </c>
      <c r="E12" s="2" t="s">
        <v>3163</v>
      </c>
      <c r="F12" s="2" t="s">
        <v>15</v>
      </c>
      <c r="H12" s="2" t="s">
        <v>154</v>
      </c>
      <c r="I12" s="2" t="s">
        <v>93</v>
      </c>
      <c r="J12" s="2" t="s">
        <v>18</v>
      </c>
      <c r="K12" s="2" t="s">
        <v>88</v>
      </c>
      <c r="L12" s="3">
        <v>45098</v>
      </c>
      <c r="M12" s="3">
        <v>45289</v>
      </c>
      <c r="N12" s="3">
        <v>46384</v>
      </c>
      <c r="P12" s="2" t="s">
        <v>1277</v>
      </c>
    </row>
    <row r="13" spans="1:16" x14ac:dyDescent="0.35">
      <c r="A13" s="2" t="s">
        <v>1554</v>
      </c>
      <c r="C13" s="2" t="s">
        <v>1555</v>
      </c>
      <c r="D13" s="2" t="str">
        <f>IF(COUNTIF(RBE!$C$1:$C$629,A13)&gt;0,"Existe","Absent")</f>
        <v>Absent</v>
      </c>
      <c r="E13" s="2" t="s">
        <v>3163</v>
      </c>
      <c r="F13" s="2" t="s">
        <v>15</v>
      </c>
      <c r="H13" s="2" t="s">
        <v>573</v>
      </c>
      <c r="I13" s="2" t="s">
        <v>395</v>
      </c>
      <c r="J13" s="2" t="s">
        <v>18</v>
      </c>
      <c r="K13" s="2" t="s">
        <v>101</v>
      </c>
      <c r="L13" s="3">
        <v>45805</v>
      </c>
      <c r="M13" s="3">
        <v>45807</v>
      </c>
      <c r="N13" s="3">
        <v>46171</v>
      </c>
      <c r="P13" s="2" t="s">
        <v>1556</v>
      </c>
    </row>
    <row r="14" spans="1:16" x14ac:dyDescent="0.35">
      <c r="A14" s="2" t="s">
        <v>1605</v>
      </c>
      <c r="C14" s="2" t="s">
        <v>1555</v>
      </c>
      <c r="D14" s="2" t="str">
        <f>IF(COUNTIF(RBE!$C$1:$C$629,A14)&gt;0,"Existe","Absent")</f>
        <v>Absent</v>
      </c>
      <c r="E14" s="2" t="s">
        <v>3163</v>
      </c>
      <c r="F14" s="2" t="s">
        <v>15</v>
      </c>
      <c r="H14" s="2" t="s">
        <v>573</v>
      </c>
      <c r="I14" s="2" t="s">
        <v>395</v>
      </c>
      <c r="J14" s="2" t="s">
        <v>18</v>
      </c>
      <c r="K14" s="2" t="s">
        <v>101</v>
      </c>
      <c r="L14" s="5">
        <v>45972.6425578704</v>
      </c>
      <c r="M14" s="3">
        <v>45989</v>
      </c>
      <c r="N14" s="3">
        <v>46353</v>
      </c>
      <c r="P14" s="2" t="s">
        <v>1606</v>
      </c>
    </row>
    <row r="15" spans="1:16" x14ac:dyDescent="0.35">
      <c r="A15" s="2" t="s">
        <v>815</v>
      </c>
      <c r="C15" s="2" t="s">
        <v>816</v>
      </c>
      <c r="D15" s="2" t="str">
        <f>IF(COUNTIF(RBE!$C$1:$C$629,A15)&gt;0,"Existe","Absent")</f>
        <v>Absent</v>
      </c>
      <c r="E15" s="2" t="s">
        <v>3163</v>
      </c>
      <c r="F15" s="2" t="s">
        <v>15</v>
      </c>
      <c r="H15" s="2" t="s">
        <v>311</v>
      </c>
      <c r="I15" s="2" t="s">
        <v>149</v>
      </c>
      <c r="J15" s="2" t="s">
        <v>18</v>
      </c>
      <c r="K15" s="2" t="s">
        <v>19</v>
      </c>
      <c r="L15" s="3">
        <v>44447</v>
      </c>
      <c r="M15" s="3">
        <v>44608</v>
      </c>
      <c r="N15" s="3">
        <v>46433</v>
      </c>
    </row>
    <row r="16" spans="1:16" x14ac:dyDescent="0.35">
      <c r="A16" s="2" t="s">
        <v>1527</v>
      </c>
      <c r="C16" s="2" t="s">
        <v>1528</v>
      </c>
      <c r="D16" s="2" t="str">
        <f>IF(COUNTIF(RBE!$C$1:$C$629,A16)&gt;0,"Existe","Absent")</f>
        <v>Absent</v>
      </c>
      <c r="E16" s="2" t="s">
        <v>3163</v>
      </c>
      <c r="F16" s="2" t="s">
        <v>15</v>
      </c>
      <c r="H16" s="2" t="s">
        <v>27</v>
      </c>
      <c r="I16" s="2" t="s">
        <v>641</v>
      </c>
      <c r="J16" s="2" t="s">
        <v>18</v>
      </c>
      <c r="K16" s="2" t="s">
        <v>19</v>
      </c>
      <c r="L16" s="3">
        <v>45047</v>
      </c>
      <c r="M16" s="3">
        <v>45090</v>
      </c>
      <c r="N16" s="3">
        <v>46916</v>
      </c>
      <c r="P16" s="2" t="s">
        <v>1529</v>
      </c>
    </row>
    <row r="17" spans="1:16" x14ac:dyDescent="0.35">
      <c r="A17" s="2" t="s">
        <v>291</v>
      </c>
      <c r="B17" s="2" t="s">
        <v>292</v>
      </c>
      <c r="C17" s="2" t="s">
        <v>293</v>
      </c>
      <c r="D17" s="2" t="str">
        <f>IF(COUNTIF(RBE!$C$1:$C$629,A17)&gt;0,"Existe","Absent")</f>
        <v>Absent</v>
      </c>
      <c r="E17" s="2" t="s">
        <v>3163</v>
      </c>
      <c r="F17" s="2" t="s">
        <v>15</v>
      </c>
      <c r="H17" s="2" t="s">
        <v>294</v>
      </c>
      <c r="I17" s="2" t="s">
        <v>93</v>
      </c>
      <c r="J17" s="2" t="s">
        <v>18</v>
      </c>
      <c r="K17" s="2" t="s">
        <v>88</v>
      </c>
      <c r="L17" s="3">
        <v>42097</v>
      </c>
      <c r="M17" s="3">
        <v>44228</v>
      </c>
      <c r="N17" s="3">
        <v>46053</v>
      </c>
      <c r="P17" s="2" t="s">
        <v>295</v>
      </c>
    </row>
    <row r="18" spans="1:16" x14ac:dyDescent="0.35">
      <c r="A18" s="2" t="s">
        <v>1115</v>
      </c>
      <c r="B18" s="2" t="s">
        <v>1116</v>
      </c>
      <c r="C18" s="2" t="s">
        <v>1117</v>
      </c>
      <c r="D18" s="2" t="str">
        <f>IF(COUNTIF(RBE!$C$1:$C$629,A18)&gt;0,"Existe","Absent")</f>
        <v>Absent</v>
      </c>
      <c r="E18" s="2" t="s">
        <v>3163</v>
      </c>
      <c r="F18" s="2" t="s">
        <v>15</v>
      </c>
      <c r="H18" s="2" t="s">
        <v>148</v>
      </c>
      <c r="I18" s="2" t="s">
        <v>93</v>
      </c>
      <c r="J18" s="2" t="s">
        <v>18</v>
      </c>
      <c r="K18" s="2" t="s">
        <v>177</v>
      </c>
      <c r="L18" s="3">
        <v>45098</v>
      </c>
      <c r="M18" s="3">
        <v>45145</v>
      </c>
      <c r="N18" s="3">
        <v>46971</v>
      </c>
      <c r="P18" s="2" t="s">
        <v>1118</v>
      </c>
    </row>
    <row r="19" spans="1:16" x14ac:dyDescent="0.35">
      <c r="A19" s="2" t="s">
        <v>1281</v>
      </c>
      <c r="C19" s="2" t="s">
        <v>1117</v>
      </c>
      <c r="D19" s="2" t="str">
        <f>IF(COUNTIF(RBE!$C$1:$C$629,A19)&gt;0,"Existe","Absent")</f>
        <v>Absent</v>
      </c>
      <c r="E19" s="2" t="s">
        <v>3163</v>
      </c>
      <c r="F19" s="2" t="s">
        <v>15</v>
      </c>
      <c r="H19" s="2" t="s">
        <v>148</v>
      </c>
      <c r="I19" s="2" t="s">
        <v>175</v>
      </c>
      <c r="J19" s="2" t="s">
        <v>18</v>
      </c>
      <c r="K19" s="2" t="s">
        <v>177</v>
      </c>
      <c r="L19" s="3">
        <v>45099</v>
      </c>
      <c r="M19" s="3">
        <v>45308</v>
      </c>
      <c r="N19" s="3">
        <v>47134</v>
      </c>
      <c r="P19" s="2" t="s">
        <v>1282</v>
      </c>
    </row>
    <row r="20" spans="1:16" x14ac:dyDescent="0.35">
      <c r="A20" s="2" t="s">
        <v>1502</v>
      </c>
      <c r="B20" s="2" t="s">
        <v>1503</v>
      </c>
      <c r="C20" s="2" t="s">
        <v>1504</v>
      </c>
      <c r="D20" s="2" t="str">
        <f>IF(COUNTIF(RBE!$C$1:$C$629,A20)&gt;0,"Existe","Absent")</f>
        <v>Absent</v>
      </c>
      <c r="E20" s="2" t="s">
        <v>3163</v>
      </c>
      <c r="F20" s="2" t="s">
        <v>15</v>
      </c>
      <c r="H20" s="2" t="s">
        <v>154</v>
      </c>
      <c r="I20" s="2" t="s">
        <v>93</v>
      </c>
      <c r="J20" s="2" t="s">
        <v>18</v>
      </c>
      <c r="K20" s="2" t="s">
        <v>88</v>
      </c>
      <c r="L20" s="3">
        <v>44998</v>
      </c>
      <c r="M20" s="3">
        <v>45099</v>
      </c>
      <c r="N20" s="3">
        <v>46194</v>
      </c>
      <c r="P20" s="2" t="s">
        <v>1505</v>
      </c>
    </row>
    <row r="21" spans="1:16" x14ac:dyDescent="0.35">
      <c r="A21" s="2" t="s">
        <v>415</v>
      </c>
      <c r="B21" s="2" t="s">
        <v>416</v>
      </c>
      <c r="C21" s="2" t="s">
        <v>417</v>
      </c>
      <c r="D21" s="2" t="str">
        <f>IF(COUNTIF(RBE!$C$1:$C$629,A21)&gt;0,"Existe","Absent")</f>
        <v>Absent</v>
      </c>
      <c r="E21" s="2" t="s">
        <v>3163</v>
      </c>
      <c r="F21" s="2" t="s">
        <v>15</v>
      </c>
      <c r="H21" s="2" t="s">
        <v>139</v>
      </c>
      <c r="I21" s="2" t="s">
        <v>386</v>
      </c>
      <c r="J21" s="2" t="s">
        <v>18</v>
      </c>
      <c r="K21" s="2" t="s">
        <v>88</v>
      </c>
      <c r="L21" s="3">
        <v>43038</v>
      </c>
      <c r="M21" s="3">
        <v>43256</v>
      </c>
      <c r="N21" s="3">
        <v>45813</v>
      </c>
      <c r="P21" s="2" t="s">
        <v>418</v>
      </c>
    </row>
    <row r="22" spans="1:16" x14ac:dyDescent="0.35">
      <c r="A22" s="2" t="s">
        <v>1789</v>
      </c>
      <c r="B22" s="2" t="s">
        <v>1790</v>
      </c>
      <c r="C22" s="2" t="s">
        <v>1791</v>
      </c>
      <c r="D22" s="2" t="str">
        <f>IF(COUNTIF(RBE!$C$1:$C$629,A22)&gt;0,"Existe","Absent")</f>
        <v>Absent</v>
      </c>
      <c r="E22" s="2" t="s">
        <v>3163</v>
      </c>
      <c r="F22" s="2" t="s">
        <v>15</v>
      </c>
      <c r="H22" s="2" t="s">
        <v>139</v>
      </c>
      <c r="I22" s="2" t="s">
        <v>93</v>
      </c>
      <c r="J22" s="2" t="s">
        <v>18</v>
      </c>
      <c r="K22" s="2" t="s">
        <v>88</v>
      </c>
      <c r="L22" s="3">
        <v>44252</v>
      </c>
      <c r="M22" s="3">
        <v>44405</v>
      </c>
      <c r="N22" s="3">
        <v>45865</v>
      </c>
      <c r="P22" s="2" t="s">
        <v>1792</v>
      </c>
    </row>
    <row r="23" spans="1:16" x14ac:dyDescent="0.35">
      <c r="A23" s="2" t="s">
        <v>334</v>
      </c>
      <c r="B23" s="2" t="s">
        <v>260</v>
      </c>
      <c r="C23" s="2" t="s">
        <v>335</v>
      </c>
      <c r="D23" s="2" t="str">
        <f>IF(COUNTIF(RBE!$C$1:$C$629,A23)&gt;0,"Existe","Absent")</f>
        <v>Absent</v>
      </c>
      <c r="E23" s="2" t="s">
        <v>3163</v>
      </c>
      <c r="F23" s="2" t="s">
        <v>15</v>
      </c>
      <c r="H23" s="2" t="s">
        <v>27</v>
      </c>
      <c r="I23" s="2" t="s">
        <v>28</v>
      </c>
      <c r="J23" s="2" t="s">
        <v>18</v>
      </c>
      <c r="K23" s="2" t="s">
        <v>19</v>
      </c>
      <c r="L23" s="3">
        <v>42422</v>
      </c>
      <c r="M23" s="3">
        <v>43362</v>
      </c>
      <c r="N23" s="3">
        <v>46643</v>
      </c>
      <c r="O23" s="3">
        <v>44818</v>
      </c>
      <c r="P23" s="2" t="s">
        <v>336</v>
      </c>
    </row>
    <row r="24" spans="1:16" x14ac:dyDescent="0.35">
      <c r="A24" s="2" t="s">
        <v>483</v>
      </c>
      <c r="B24" s="2" t="s">
        <v>484</v>
      </c>
      <c r="C24" s="2" t="s">
        <v>335</v>
      </c>
      <c r="D24" s="2" t="str">
        <f>IF(COUNTIF(RBE!$C$1:$C$629,A24)&gt;0,"Existe","Absent")</f>
        <v>Absent</v>
      </c>
      <c r="E24" s="2" t="s">
        <v>3163</v>
      </c>
      <c r="F24" s="2" t="s">
        <v>15</v>
      </c>
      <c r="H24" s="2" t="s">
        <v>139</v>
      </c>
      <c r="I24" s="2" t="s">
        <v>17</v>
      </c>
      <c r="J24" s="2" t="s">
        <v>41</v>
      </c>
      <c r="K24" s="2" t="s">
        <v>299</v>
      </c>
      <c r="L24" s="3">
        <v>43357</v>
      </c>
      <c r="M24" s="3">
        <v>43496</v>
      </c>
      <c r="N24" s="3">
        <v>46053</v>
      </c>
      <c r="P24" s="2" t="s">
        <v>485</v>
      </c>
    </row>
    <row r="25" spans="1:16" x14ac:dyDescent="0.35">
      <c r="A25" s="2" t="s">
        <v>1530</v>
      </c>
      <c r="B25" s="2" t="s">
        <v>1531</v>
      </c>
      <c r="C25" s="2" t="s">
        <v>1532</v>
      </c>
      <c r="D25" s="2" t="str">
        <f>IF(COUNTIF(RBE!$C$1:$C$629,A25)&gt;0,"Existe","Absent")</f>
        <v>Absent</v>
      </c>
      <c r="E25" s="2" t="s">
        <v>3163</v>
      </c>
      <c r="F25" s="2" t="s">
        <v>15</v>
      </c>
      <c r="H25" s="2" t="s">
        <v>139</v>
      </c>
      <c r="I25" s="2" t="s">
        <v>93</v>
      </c>
      <c r="J25" s="2" t="s">
        <v>18</v>
      </c>
      <c r="K25" s="2" t="s">
        <v>88</v>
      </c>
      <c r="L25" s="3">
        <v>45369</v>
      </c>
      <c r="M25" s="3">
        <v>45380</v>
      </c>
      <c r="N25" s="3">
        <v>46840</v>
      </c>
      <c r="P25" s="2" t="s">
        <v>1533</v>
      </c>
    </row>
    <row r="26" spans="1:16" x14ac:dyDescent="0.35">
      <c r="A26" s="2" t="s">
        <v>966</v>
      </c>
      <c r="C26" s="2" t="s">
        <v>967</v>
      </c>
      <c r="D26" s="2" t="str">
        <f>IF(COUNTIF(RBE!$C$1:$C$629,A26)&gt;0,"Existe","Absent")</f>
        <v>Absent</v>
      </c>
      <c r="E26" s="2" t="s">
        <v>3163</v>
      </c>
      <c r="F26" s="2" t="s">
        <v>15</v>
      </c>
      <c r="H26" s="2" t="s">
        <v>311</v>
      </c>
      <c r="I26" s="2" t="s">
        <v>149</v>
      </c>
      <c r="J26" s="2" t="s">
        <v>18</v>
      </c>
      <c r="K26" s="2" t="s">
        <v>19</v>
      </c>
      <c r="L26" s="3">
        <v>44834</v>
      </c>
      <c r="M26" s="3">
        <v>44957</v>
      </c>
      <c r="N26" s="3">
        <v>46782</v>
      </c>
    </row>
    <row r="27" spans="1:16" x14ac:dyDescent="0.35">
      <c r="A27" s="2" t="s">
        <v>364</v>
      </c>
      <c r="C27" s="2" t="s">
        <v>365</v>
      </c>
      <c r="D27" s="2" t="str">
        <f>IF(COUNTIF(RBE!$C$1:$C$629,A27)&gt;0,"Existe","Absent")</f>
        <v>Absent</v>
      </c>
      <c r="E27" s="2" t="s">
        <v>3163</v>
      </c>
      <c r="F27" s="2" t="s">
        <v>15</v>
      </c>
      <c r="H27" s="2" t="s">
        <v>27</v>
      </c>
      <c r="I27" s="2" t="s">
        <v>60</v>
      </c>
      <c r="J27" s="2" t="s">
        <v>18</v>
      </c>
      <c r="K27" s="2" t="s">
        <v>19</v>
      </c>
      <c r="L27" s="3">
        <v>42786</v>
      </c>
      <c r="M27" s="3">
        <v>43304</v>
      </c>
      <c r="N27" s="3">
        <v>46957</v>
      </c>
      <c r="P27" s="2" t="s">
        <v>366</v>
      </c>
    </row>
    <row r="28" spans="1:16" x14ac:dyDescent="0.35">
      <c r="A28" s="2" t="s">
        <v>1122</v>
      </c>
      <c r="B28" s="2" t="s">
        <v>700</v>
      </c>
      <c r="C28" s="2" t="s">
        <v>1123</v>
      </c>
      <c r="D28" s="2" t="str">
        <f>IF(COUNTIF(RBE!$C$1:$C$629,A28)&gt;0,"Existe","Absent")</f>
        <v>Absent</v>
      </c>
      <c r="E28" s="2" t="s">
        <v>3163</v>
      </c>
      <c r="F28" s="2" t="s">
        <v>15</v>
      </c>
      <c r="H28" s="2" t="s">
        <v>154</v>
      </c>
      <c r="I28" s="2" t="s">
        <v>93</v>
      </c>
      <c r="J28" s="2" t="s">
        <v>18</v>
      </c>
      <c r="K28" s="2" t="s">
        <v>88</v>
      </c>
      <c r="L28" s="3">
        <v>45152</v>
      </c>
      <c r="M28" s="3">
        <v>45194</v>
      </c>
      <c r="N28" s="3">
        <v>46289</v>
      </c>
      <c r="P28" s="2" t="s">
        <v>1124</v>
      </c>
    </row>
    <row r="29" spans="1:16" x14ac:dyDescent="0.35">
      <c r="A29" s="2" t="s">
        <v>1318</v>
      </c>
      <c r="B29" s="2" t="s">
        <v>734</v>
      </c>
      <c r="C29" s="2" t="s">
        <v>1123</v>
      </c>
      <c r="D29" s="2" t="str">
        <f>IF(COUNTIF(RBE!$C$1:$C$629,A29)&gt;0,"Existe","Absent")</f>
        <v>Absent</v>
      </c>
      <c r="E29" s="2" t="s">
        <v>3163</v>
      </c>
      <c r="F29" s="2" t="s">
        <v>15</v>
      </c>
      <c r="H29" s="2" t="s">
        <v>154</v>
      </c>
      <c r="I29" s="2" t="s">
        <v>93</v>
      </c>
      <c r="J29" s="2" t="s">
        <v>18</v>
      </c>
      <c r="K29" s="2" t="s">
        <v>88</v>
      </c>
      <c r="L29" s="3">
        <v>45306</v>
      </c>
      <c r="M29" s="3">
        <v>45349</v>
      </c>
      <c r="N29" s="3">
        <v>46444</v>
      </c>
      <c r="P29" s="2" t="s">
        <v>1319</v>
      </c>
    </row>
    <row r="30" spans="1:16" x14ac:dyDescent="0.35">
      <c r="A30" s="2" t="s">
        <v>761</v>
      </c>
      <c r="B30" s="2" t="s">
        <v>566</v>
      </c>
      <c r="C30" s="2" t="s">
        <v>762</v>
      </c>
      <c r="D30" s="2" t="str">
        <f>IF(COUNTIF(RBE!$C$1:$C$629,A30)&gt;0,"Existe","Absent")</f>
        <v>Absent</v>
      </c>
      <c r="E30" s="2" t="s">
        <v>3163</v>
      </c>
      <c r="F30" s="2" t="s">
        <v>15</v>
      </c>
      <c r="H30" s="2" t="s">
        <v>311</v>
      </c>
      <c r="I30" s="2" t="s">
        <v>149</v>
      </c>
      <c r="J30" s="2" t="s">
        <v>18</v>
      </c>
      <c r="L30" s="3">
        <v>44357</v>
      </c>
      <c r="M30" s="3">
        <v>44614</v>
      </c>
      <c r="N30" s="3">
        <v>46439</v>
      </c>
    </row>
    <row r="31" spans="1:16" x14ac:dyDescent="0.35">
      <c r="A31" s="2" t="s">
        <v>1607</v>
      </c>
      <c r="C31" s="2" t="s">
        <v>1608</v>
      </c>
      <c r="D31" s="2" t="str">
        <f>IF(COUNTIF(RBE!$C$1:$C$629,A31)&gt;0,"Existe","Absent")</f>
        <v>Absent</v>
      </c>
      <c r="E31" s="2" t="s">
        <v>3163</v>
      </c>
      <c r="F31" s="2" t="s">
        <v>15</v>
      </c>
      <c r="H31" s="2" t="s">
        <v>1609</v>
      </c>
      <c r="I31" s="2" t="s">
        <v>17</v>
      </c>
      <c r="J31" s="2" t="s">
        <v>18</v>
      </c>
      <c r="K31" s="2" t="s">
        <v>163</v>
      </c>
      <c r="L31" s="5">
        <v>45973.532002314802</v>
      </c>
      <c r="M31" s="3">
        <v>46113</v>
      </c>
      <c r="N31" s="3">
        <v>46295</v>
      </c>
      <c r="P31" s="2" t="s">
        <v>1610</v>
      </c>
    </row>
    <row r="32" spans="1:16" x14ac:dyDescent="0.35">
      <c r="A32" s="2" t="s">
        <v>738</v>
      </c>
      <c r="B32" s="2" t="s">
        <v>566</v>
      </c>
      <c r="C32" s="2" t="s">
        <v>739</v>
      </c>
      <c r="D32" s="2" t="str">
        <f>IF(COUNTIF(RBE!$C$1:$C$629,A32)&gt;0,"Existe","Absent")</f>
        <v>Absent</v>
      </c>
      <c r="E32" s="2" t="s">
        <v>3163</v>
      </c>
      <c r="F32" s="2" t="s">
        <v>15</v>
      </c>
      <c r="H32" s="2" t="s">
        <v>311</v>
      </c>
      <c r="I32" s="2" t="s">
        <v>149</v>
      </c>
      <c r="J32" s="2" t="s">
        <v>18</v>
      </c>
      <c r="K32" s="2" t="s">
        <v>19</v>
      </c>
      <c r="L32" s="3">
        <v>44532</v>
      </c>
      <c r="M32" s="3">
        <v>44594</v>
      </c>
      <c r="N32" s="3">
        <v>46419</v>
      </c>
    </row>
    <row r="33" spans="1:16" x14ac:dyDescent="0.35">
      <c r="A33" s="2" t="s">
        <v>1168</v>
      </c>
      <c r="C33" s="2" t="s">
        <v>1169</v>
      </c>
      <c r="D33" s="2" t="str">
        <f>IF(COUNTIF(RBE!$C$1:$C$629,A33)&gt;0,"Existe","Absent")</f>
        <v>Absent</v>
      </c>
      <c r="E33" s="2" t="s">
        <v>3163</v>
      </c>
      <c r="F33" s="2" t="s">
        <v>15</v>
      </c>
      <c r="H33" s="2" t="s">
        <v>154</v>
      </c>
      <c r="I33" s="2" t="s">
        <v>93</v>
      </c>
      <c r="J33" s="2" t="s">
        <v>18</v>
      </c>
      <c r="K33" s="2" t="s">
        <v>177</v>
      </c>
      <c r="L33" s="3">
        <v>45117</v>
      </c>
      <c r="M33" s="3">
        <v>45121</v>
      </c>
      <c r="N33" s="3">
        <v>46216</v>
      </c>
      <c r="P33" s="2" t="s">
        <v>1170</v>
      </c>
    </row>
    <row r="34" spans="1:16" x14ac:dyDescent="0.35">
      <c r="A34" s="2" t="s">
        <v>1197</v>
      </c>
      <c r="B34" s="2" t="s">
        <v>700</v>
      </c>
      <c r="C34" s="2" t="s">
        <v>1169</v>
      </c>
      <c r="D34" s="2" t="str">
        <f>IF(COUNTIF(RBE!$C$1:$C$629,A34)&gt;0,"Existe","Absent")</f>
        <v>Absent</v>
      </c>
      <c r="E34" s="2" t="s">
        <v>3163</v>
      </c>
      <c r="F34" s="2" t="s">
        <v>15</v>
      </c>
      <c r="H34" s="2" t="s">
        <v>154</v>
      </c>
      <c r="I34" s="2" t="s">
        <v>93</v>
      </c>
      <c r="J34" s="2" t="s">
        <v>18</v>
      </c>
      <c r="K34" s="2" t="s">
        <v>177</v>
      </c>
      <c r="L34" s="3">
        <v>45117</v>
      </c>
      <c r="M34" s="3">
        <v>45121</v>
      </c>
      <c r="N34" s="3">
        <v>46216</v>
      </c>
      <c r="P34" s="2" t="s">
        <v>1198</v>
      </c>
    </row>
    <row r="35" spans="1:16" x14ac:dyDescent="0.35">
      <c r="A35" s="2" t="s">
        <v>1199</v>
      </c>
      <c r="B35" s="2" t="s">
        <v>1160</v>
      </c>
      <c r="C35" s="2" t="s">
        <v>1169</v>
      </c>
      <c r="D35" s="2" t="str">
        <f>IF(COUNTIF(RBE!$C$1:$C$629,A35)&gt;0,"Existe","Absent")</f>
        <v>Absent</v>
      </c>
      <c r="E35" s="2" t="s">
        <v>3163</v>
      </c>
      <c r="F35" s="2" t="s">
        <v>15</v>
      </c>
      <c r="H35" s="2" t="s">
        <v>154</v>
      </c>
      <c r="I35" s="2" t="s">
        <v>93</v>
      </c>
      <c r="J35" s="2" t="s">
        <v>18</v>
      </c>
      <c r="K35" s="2" t="s">
        <v>177</v>
      </c>
      <c r="L35" s="3">
        <v>45117</v>
      </c>
      <c r="M35" s="3">
        <v>45121</v>
      </c>
      <c r="N35" s="3">
        <v>46216</v>
      </c>
      <c r="P35" s="2" t="s">
        <v>1200</v>
      </c>
    </row>
    <row r="36" spans="1:16" x14ac:dyDescent="0.35">
      <c r="A36" s="2" t="s">
        <v>1038</v>
      </c>
      <c r="B36" s="2" t="s">
        <v>734</v>
      </c>
      <c r="C36" s="2" t="s">
        <v>1039</v>
      </c>
      <c r="D36" s="2" t="str">
        <f>IF(COUNTIF(RBE!$C$1:$C$629,A36)&gt;0,"Existe","Absent")</f>
        <v>Absent</v>
      </c>
      <c r="E36" s="2" t="s">
        <v>3163</v>
      </c>
      <c r="F36" s="2" t="s">
        <v>15</v>
      </c>
      <c r="H36" s="2" t="s">
        <v>154</v>
      </c>
      <c r="I36" s="2" t="s">
        <v>93</v>
      </c>
      <c r="J36" s="2" t="s">
        <v>18</v>
      </c>
      <c r="K36" s="2" t="s">
        <v>88</v>
      </c>
      <c r="L36" s="3">
        <v>45029</v>
      </c>
      <c r="M36" s="3">
        <v>45090</v>
      </c>
      <c r="N36" s="3">
        <v>46185</v>
      </c>
      <c r="P36" s="2" t="s">
        <v>1040</v>
      </c>
    </row>
    <row r="37" spans="1:16" x14ac:dyDescent="0.35">
      <c r="A37" s="2" t="s">
        <v>1159</v>
      </c>
      <c r="B37" s="2" t="s">
        <v>1160</v>
      </c>
      <c r="C37" s="2" t="s">
        <v>1161</v>
      </c>
      <c r="D37" s="2" t="str">
        <f>IF(COUNTIF(RBE!$C$1:$C$629,A37)&gt;0,"Existe","Absent")</f>
        <v>Absent</v>
      </c>
      <c r="E37" s="2" t="s">
        <v>3163</v>
      </c>
      <c r="F37" s="2" t="s">
        <v>15</v>
      </c>
      <c r="H37" s="2" t="s">
        <v>154</v>
      </c>
      <c r="I37" s="2" t="s">
        <v>93</v>
      </c>
      <c r="J37" s="2" t="s">
        <v>18</v>
      </c>
      <c r="K37" s="2" t="s">
        <v>88</v>
      </c>
      <c r="L37" s="3">
        <v>45190</v>
      </c>
      <c r="M37" s="3">
        <v>45196</v>
      </c>
      <c r="N37" s="3">
        <v>46291</v>
      </c>
      <c r="P37" s="2" t="s">
        <v>1162</v>
      </c>
    </row>
    <row r="38" spans="1:16" x14ac:dyDescent="0.35">
      <c r="A38" s="2" t="s">
        <v>1163</v>
      </c>
      <c r="B38" s="2" t="s">
        <v>734</v>
      </c>
      <c r="C38" s="2" t="s">
        <v>1161</v>
      </c>
      <c r="D38" s="2" t="str">
        <f>IF(COUNTIF(RBE!$C$1:$C$629,A38)&gt;0,"Existe","Absent")</f>
        <v>Absent</v>
      </c>
      <c r="E38" s="2" t="s">
        <v>3163</v>
      </c>
      <c r="F38" s="2" t="s">
        <v>15</v>
      </c>
      <c r="H38" s="2" t="s">
        <v>154</v>
      </c>
      <c r="I38" s="2" t="s">
        <v>93</v>
      </c>
      <c r="J38" s="2" t="s">
        <v>18</v>
      </c>
      <c r="K38" s="2" t="s">
        <v>88</v>
      </c>
      <c r="L38" s="3">
        <v>45190</v>
      </c>
      <c r="M38" s="3">
        <v>45196</v>
      </c>
      <c r="N38" s="3">
        <v>46291</v>
      </c>
      <c r="P38" s="2" t="s">
        <v>1164</v>
      </c>
    </row>
    <row r="39" spans="1:16" x14ac:dyDescent="0.35">
      <c r="A39" s="2" t="s">
        <v>623</v>
      </c>
      <c r="B39" s="2" t="s">
        <v>624</v>
      </c>
      <c r="C39" s="2" t="s">
        <v>625</v>
      </c>
      <c r="D39" s="2" t="str">
        <f>IF(COUNTIF(RBE!$C$1:$C$629,A39)&gt;0,"Existe","Absent")</f>
        <v>Absent</v>
      </c>
      <c r="E39" s="2" t="s">
        <v>3163</v>
      </c>
      <c r="F39" s="2" t="s">
        <v>15</v>
      </c>
      <c r="H39" s="2" t="s">
        <v>27</v>
      </c>
      <c r="I39" s="2" t="s">
        <v>626</v>
      </c>
      <c r="J39" s="2" t="s">
        <v>18</v>
      </c>
      <c r="K39" s="2" t="s">
        <v>19</v>
      </c>
      <c r="L39" s="3">
        <v>44379</v>
      </c>
      <c r="M39" s="3">
        <v>44439</v>
      </c>
      <c r="N39" s="3">
        <v>46264</v>
      </c>
      <c r="P39" s="2" t="s">
        <v>627</v>
      </c>
    </row>
    <row r="40" spans="1:16" x14ac:dyDescent="0.35">
      <c r="A40" s="2" t="s">
        <v>668</v>
      </c>
      <c r="B40" s="2" t="s">
        <v>666</v>
      </c>
      <c r="C40" s="2" t="s">
        <v>625</v>
      </c>
      <c r="D40" s="2" t="str">
        <f>IF(COUNTIF(RBE!$C$1:$C$629,A40)&gt;0,"Existe","Absent")</f>
        <v>Absent</v>
      </c>
      <c r="E40" s="2" t="s">
        <v>3163</v>
      </c>
      <c r="F40" s="2" t="s">
        <v>15</v>
      </c>
      <c r="H40" s="2" t="s">
        <v>311</v>
      </c>
      <c r="I40" s="2" t="s">
        <v>149</v>
      </c>
      <c r="J40" s="2" t="s">
        <v>18</v>
      </c>
      <c r="K40" s="2" t="s">
        <v>19</v>
      </c>
      <c r="L40" s="3">
        <v>44404</v>
      </c>
      <c r="M40" s="3">
        <v>44172</v>
      </c>
      <c r="N40" s="3">
        <v>45997</v>
      </c>
    </row>
    <row r="41" spans="1:16" x14ac:dyDescent="0.35">
      <c r="A41" s="2" t="s">
        <v>1194</v>
      </c>
      <c r="B41" s="2" t="s">
        <v>704</v>
      </c>
      <c r="C41" s="2" t="s">
        <v>1195</v>
      </c>
      <c r="D41" s="2" t="str">
        <f>IF(COUNTIF(RBE!$C$1:$C$629,A41)&gt;0,"Existe","Absent")</f>
        <v>Absent</v>
      </c>
      <c r="E41" s="2" t="s">
        <v>3163</v>
      </c>
      <c r="F41" s="2" t="s">
        <v>15</v>
      </c>
      <c r="H41" s="2" t="s">
        <v>154</v>
      </c>
      <c r="I41" s="2" t="s">
        <v>93</v>
      </c>
      <c r="J41" s="2" t="s">
        <v>18</v>
      </c>
      <c r="K41" s="2" t="s">
        <v>88</v>
      </c>
      <c r="L41" s="3">
        <v>45217</v>
      </c>
      <c r="M41" s="3">
        <v>45236</v>
      </c>
      <c r="N41" s="3">
        <v>46331</v>
      </c>
      <c r="P41" s="2" t="s">
        <v>1196</v>
      </c>
    </row>
    <row r="42" spans="1:16" x14ac:dyDescent="0.35">
      <c r="A42" s="2" t="s">
        <v>1232</v>
      </c>
      <c r="C42" s="2" t="s">
        <v>1195</v>
      </c>
      <c r="D42" s="2" t="str">
        <f>IF(COUNTIF(RBE!$C$1:$C$629,A42)&gt;0,"Existe","Absent")</f>
        <v>Absent</v>
      </c>
      <c r="E42" s="2" t="s">
        <v>3163</v>
      </c>
      <c r="F42" s="2" t="s">
        <v>15</v>
      </c>
      <c r="H42" s="2" t="s">
        <v>154</v>
      </c>
      <c r="I42" s="2" t="s">
        <v>93</v>
      </c>
      <c r="J42" s="2" t="s">
        <v>18</v>
      </c>
      <c r="K42" s="2" t="s">
        <v>88</v>
      </c>
      <c r="L42" s="3">
        <v>45240</v>
      </c>
      <c r="M42" s="3">
        <v>45267</v>
      </c>
      <c r="N42" s="3">
        <v>46362</v>
      </c>
      <c r="P42" s="2" t="s">
        <v>1233</v>
      </c>
    </row>
    <row r="43" spans="1:16" x14ac:dyDescent="0.35">
      <c r="A43" s="2" t="s">
        <v>1325</v>
      </c>
      <c r="B43" s="2" t="s">
        <v>1160</v>
      </c>
      <c r="C43" s="2" t="s">
        <v>1326</v>
      </c>
      <c r="D43" s="2" t="str">
        <f>IF(COUNTIF(RBE!$C$1:$C$629,A43)&gt;0,"Existe","Absent")</f>
        <v>Absent</v>
      </c>
      <c r="E43" s="2" t="s">
        <v>3163</v>
      </c>
      <c r="F43" s="2" t="s">
        <v>15</v>
      </c>
      <c r="H43" s="2" t="s">
        <v>154</v>
      </c>
      <c r="I43" s="2" t="s">
        <v>93</v>
      </c>
      <c r="J43" s="2" t="s">
        <v>18</v>
      </c>
      <c r="K43" s="2" t="s">
        <v>88</v>
      </c>
      <c r="L43" s="3">
        <v>45217</v>
      </c>
      <c r="M43" s="3">
        <v>45287</v>
      </c>
      <c r="N43" s="3">
        <v>46382</v>
      </c>
      <c r="P43" s="2" t="s">
        <v>1327</v>
      </c>
    </row>
    <row r="44" spans="1:16" x14ac:dyDescent="0.35">
      <c r="A44" s="2" t="s">
        <v>798</v>
      </c>
      <c r="B44" s="2" t="s">
        <v>58</v>
      </c>
      <c r="C44" s="2" t="s">
        <v>799</v>
      </c>
      <c r="D44" s="2" t="str">
        <f>IF(COUNTIF(RBE!$C$1:$C$629,A44)&gt;0,"Existe","Absent")</f>
        <v>Absent</v>
      </c>
      <c r="E44" s="2" t="s">
        <v>3163</v>
      </c>
      <c r="F44" s="2" t="s">
        <v>15</v>
      </c>
      <c r="H44" s="2" t="s">
        <v>27</v>
      </c>
      <c r="I44" s="2" t="s">
        <v>60</v>
      </c>
      <c r="J44" s="2" t="s">
        <v>18</v>
      </c>
      <c r="K44" s="2" t="s">
        <v>19</v>
      </c>
      <c r="L44" s="3">
        <v>40765</v>
      </c>
      <c r="M44" s="3">
        <v>41143</v>
      </c>
      <c r="N44" s="3">
        <v>46619</v>
      </c>
      <c r="O44" s="3">
        <v>44794</v>
      </c>
      <c r="P44" s="2" t="s">
        <v>800</v>
      </c>
    </row>
    <row r="45" spans="1:16" x14ac:dyDescent="0.35">
      <c r="A45" s="2" t="s">
        <v>524</v>
      </c>
      <c r="B45" s="2" t="s">
        <v>525</v>
      </c>
      <c r="C45" s="2" t="s">
        <v>526</v>
      </c>
      <c r="D45" s="2" t="str">
        <f>IF(COUNTIF(RBE!$C$1:$C$629,A45)&gt;0,"Existe","Absent")</f>
        <v>Absent</v>
      </c>
      <c r="E45" s="2" t="s">
        <v>3163</v>
      </c>
      <c r="F45" s="2" t="s">
        <v>15</v>
      </c>
      <c r="H45" s="2" t="s">
        <v>139</v>
      </c>
      <c r="I45" s="2" t="s">
        <v>93</v>
      </c>
      <c r="J45" s="2" t="s">
        <v>18</v>
      </c>
      <c r="K45" s="2" t="s">
        <v>88</v>
      </c>
      <c r="L45" s="3">
        <v>43833</v>
      </c>
      <c r="M45" s="3">
        <v>43510</v>
      </c>
      <c r="N45" s="3">
        <v>47162</v>
      </c>
      <c r="P45" s="2" t="s">
        <v>527</v>
      </c>
    </row>
    <row r="46" spans="1:16" x14ac:dyDescent="0.35">
      <c r="A46" s="2" t="s">
        <v>876</v>
      </c>
      <c r="B46" s="2" t="s">
        <v>877</v>
      </c>
      <c r="C46" s="2" t="s">
        <v>878</v>
      </c>
      <c r="D46" s="2" t="str">
        <f>IF(COUNTIF(RBE!$C$1:$C$629,A46)&gt;0,"Existe","Absent")</f>
        <v>Absent</v>
      </c>
      <c r="E46" s="2" t="s">
        <v>3163</v>
      </c>
      <c r="F46" s="2" t="s">
        <v>15</v>
      </c>
      <c r="H46" s="2" t="s">
        <v>27</v>
      </c>
      <c r="I46" s="2" t="s">
        <v>28</v>
      </c>
      <c r="J46" s="2" t="s">
        <v>18</v>
      </c>
      <c r="K46" s="2" t="s">
        <v>177</v>
      </c>
      <c r="L46" s="3">
        <v>44284</v>
      </c>
      <c r="M46" s="3">
        <v>44462</v>
      </c>
      <c r="N46" s="3">
        <v>46287</v>
      </c>
      <c r="P46" s="2" t="s">
        <v>879</v>
      </c>
    </row>
    <row r="47" spans="1:16" x14ac:dyDescent="0.35">
      <c r="A47" s="2" t="s">
        <v>587</v>
      </c>
      <c r="C47" s="2" t="s">
        <v>588</v>
      </c>
      <c r="D47" s="2" t="str">
        <f>IF(COUNTIF(RBE!$C$1:$C$629,A47)&gt;0,"Existe","Absent")</f>
        <v>Absent</v>
      </c>
      <c r="E47" s="2" t="s">
        <v>3163</v>
      </c>
      <c r="F47" s="2" t="s">
        <v>15</v>
      </c>
      <c r="H47" s="2" t="s">
        <v>27</v>
      </c>
      <c r="I47" s="2" t="s">
        <v>28</v>
      </c>
      <c r="J47" s="2" t="s">
        <v>18</v>
      </c>
      <c r="K47" s="2" t="s">
        <v>88</v>
      </c>
      <c r="L47" s="3">
        <v>43816</v>
      </c>
      <c r="M47" s="3">
        <v>44315</v>
      </c>
      <c r="N47" s="3">
        <v>46140</v>
      </c>
      <c r="P47" s="2" t="s">
        <v>589</v>
      </c>
    </row>
    <row r="48" spans="1:16" x14ac:dyDescent="0.35">
      <c r="A48" s="2" t="s">
        <v>1411</v>
      </c>
      <c r="B48" s="2" t="s">
        <v>1412</v>
      </c>
      <c r="C48" s="2" t="s">
        <v>1413</v>
      </c>
      <c r="D48" s="2" t="str">
        <f>IF(COUNTIF(RBE!$C$1:$C$629,A48)&gt;0,"Existe","Absent")</f>
        <v>Absent</v>
      </c>
      <c r="E48" s="2" t="s">
        <v>3163</v>
      </c>
      <c r="F48" s="2" t="s">
        <v>15</v>
      </c>
      <c r="H48" s="2" t="s">
        <v>573</v>
      </c>
      <c r="I48" s="2" t="s">
        <v>1218</v>
      </c>
      <c r="J48" s="2" t="s">
        <v>18</v>
      </c>
      <c r="K48" s="2" t="s">
        <v>19</v>
      </c>
      <c r="L48" s="3">
        <v>45357</v>
      </c>
      <c r="M48" s="3">
        <v>45358</v>
      </c>
      <c r="N48" s="3">
        <v>45722</v>
      </c>
      <c r="P48" s="2" t="s">
        <v>1414</v>
      </c>
    </row>
    <row r="49" spans="1:16" x14ac:dyDescent="0.35">
      <c r="A49" s="2" t="s">
        <v>447</v>
      </c>
      <c r="C49" s="2" t="s">
        <v>448</v>
      </c>
      <c r="D49" s="2" t="str">
        <f>IF(COUNTIF(RBE!$C$1:$C$629,A49)&gt;0,"Existe","Absent")</f>
        <v>Absent</v>
      </c>
      <c r="E49" s="2" t="s">
        <v>3163</v>
      </c>
      <c r="F49" s="2" t="s">
        <v>15</v>
      </c>
      <c r="H49" s="2" t="s">
        <v>311</v>
      </c>
      <c r="I49" s="2" t="s">
        <v>149</v>
      </c>
      <c r="J49" s="2" t="s">
        <v>18</v>
      </c>
      <c r="K49" s="2" t="s">
        <v>19</v>
      </c>
      <c r="L49" s="3">
        <v>43208</v>
      </c>
      <c r="M49" s="3">
        <v>43256</v>
      </c>
      <c r="N49" s="3">
        <v>46907</v>
      </c>
      <c r="O49" s="3">
        <v>45082</v>
      </c>
      <c r="P49" s="2" t="s">
        <v>449</v>
      </c>
    </row>
    <row r="50" spans="1:16" x14ac:dyDescent="0.35">
      <c r="A50" s="2" t="s">
        <v>423</v>
      </c>
      <c r="B50" s="2" t="s">
        <v>424</v>
      </c>
      <c r="C50" s="2" t="s">
        <v>425</v>
      </c>
      <c r="D50" s="2" t="str">
        <f>IF(COUNTIF(RBE!$C$1:$C$629,A50)&gt;0,"Existe","Absent")</f>
        <v>Absent</v>
      </c>
      <c r="E50" s="2" t="s">
        <v>3163</v>
      </c>
      <c r="F50" s="2" t="s">
        <v>15</v>
      </c>
      <c r="H50" s="2" t="s">
        <v>139</v>
      </c>
      <c r="I50" s="2" t="s">
        <v>426</v>
      </c>
      <c r="J50" s="2" t="s">
        <v>18</v>
      </c>
      <c r="K50" s="2" t="s">
        <v>88</v>
      </c>
      <c r="L50" s="3">
        <v>43102</v>
      </c>
      <c r="M50" s="3">
        <v>43256</v>
      </c>
      <c r="N50" s="3">
        <v>46908</v>
      </c>
      <c r="P50" s="2" t="s">
        <v>427</v>
      </c>
    </row>
    <row r="51" spans="1:16" x14ac:dyDescent="0.35">
      <c r="A51" s="2" t="s">
        <v>1358</v>
      </c>
      <c r="B51" s="2" t="s">
        <v>1359</v>
      </c>
      <c r="C51" s="2" t="s">
        <v>1360</v>
      </c>
      <c r="D51" s="2" t="str">
        <f>IF(COUNTIF(RBE!$C$1:$C$629,A51)&gt;0,"Existe","Absent")</f>
        <v>Absent</v>
      </c>
      <c r="E51" s="2" t="s">
        <v>3163</v>
      </c>
      <c r="F51" s="2" t="s">
        <v>15</v>
      </c>
      <c r="H51" s="2" t="s">
        <v>139</v>
      </c>
      <c r="I51" s="2" t="s">
        <v>93</v>
      </c>
      <c r="J51" s="2" t="s">
        <v>18</v>
      </c>
      <c r="K51" s="2" t="s">
        <v>88</v>
      </c>
      <c r="L51" s="3">
        <v>45048</v>
      </c>
      <c r="M51" s="3">
        <v>45324</v>
      </c>
      <c r="N51" s="3">
        <v>46784</v>
      </c>
      <c r="P51" s="2" t="s">
        <v>1361</v>
      </c>
    </row>
    <row r="52" spans="1:16" x14ac:dyDescent="0.35">
      <c r="A52" s="2" t="s">
        <v>497</v>
      </c>
      <c r="B52" s="2" t="s">
        <v>498</v>
      </c>
      <c r="C52" s="2" t="s">
        <v>499</v>
      </c>
      <c r="D52" s="2" t="str">
        <f>IF(COUNTIF(RBE!$C$1:$C$629,A52)&gt;0,"Existe","Absent")</f>
        <v>Absent</v>
      </c>
      <c r="E52" s="2" t="s">
        <v>3163</v>
      </c>
      <c r="F52" s="2" t="s">
        <v>15</v>
      </c>
      <c r="H52" s="2" t="s">
        <v>139</v>
      </c>
      <c r="I52" s="2" t="s">
        <v>93</v>
      </c>
      <c r="J52" s="2" t="s">
        <v>18</v>
      </c>
      <c r="K52" s="2" t="s">
        <v>88</v>
      </c>
      <c r="L52" s="3">
        <v>43455</v>
      </c>
      <c r="M52" s="3">
        <v>43623</v>
      </c>
      <c r="N52" s="3">
        <v>46180</v>
      </c>
      <c r="P52" s="2" t="s">
        <v>500</v>
      </c>
    </row>
    <row r="53" spans="1:16" x14ac:dyDescent="0.35">
      <c r="A53" s="2" t="s">
        <v>613</v>
      </c>
      <c r="C53" s="2" t="s">
        <v>614</v>
      </c>
      <c r="D53" s="2" t="str">
        <f>IF(COUNTIF(RBE!$C$1:$C$629,A53)&gt;0,"Existe","Absent")</f>
        <v>Absent</v>
      </c>
      <c r="E53" s="2" t="s">
        <v>3163</v>
      </c>
      <c r="F53" s="2" t="s">
        <v>15</v>
      </c>
      <c r="H53" s="2" t="s">
        <v>27</v>
      </c>
      <c r="I53" s="2" t="s">
        <v>118</v>
      </c>
      <c r="J53" s="2" t="s">
        <v>18</v>
      </c>
      <c r="K53" s="2" t="s">
        <v>88</v>
      </c>
      <c r="L53" s="3">
        <v>44070</v>
      </c>
      <c r="M53" s="3">
        <v>44357</v>
      </c>
      <c r="N53" s="3">
        <v>46182</v>
      </c>
      <c r="P53" s="2" t="s">
        <v>615</v>
      </c>
    </row>
    <row r="54" spans="1:16" x14ac:dyDescent="0.35">
      <c r="A54" s="2" t="s">
        <v>1551</v>
      </c>
      <c r="C54" s="2" t="s">
        <v>1552</v>
      </c>
      <c r="D54" s="2" t="str">
        <f>IF(COUNTIF(RBE!$C$1:$C$629,A54)&gt;0,"Existe","Absent")</f>
        <v>Absent</v>
      </c>
      <c r="E54" s="2" t="s">
        <v>3163</v>
      </c>
      <c r="F54" s="2" t="s">
        <v>15</v>
      </c>
      <c r="H54" s="2" t="s">
        <v>148</v>
      </c>
      <c r="I54" s="2" t="s">
        <v>17</v>
      </c>
      <c r="J54" s="2" t="s">
        <v>18</v>
      </c>
      <c r="K54" s="2" t="s">
        <v>163</v>
      </c>
      <c r="L54" s="3">
        <v>45377</v>
      </c>
      <c r="M54" s="3">
        <v>45378</v>
      </c>
      <c r="N54" s="3">
        <v>47203</v>
      </c>
      <c r="P54" s="2" t="s">
        <v>1553</v>
      </c>
    </row>
    <row r="55" spans="1:16" x14ac:dyDescent="0.35">
      <c r="A55" s="2" t="s">
        <v>296</v>
      </c>
      <c r="B55" s="2" t="s">
        <v>297</v>
      </c>
      <c r="C55" s="2" t="s">
        <v>298</v>
      </c>
      <c r="D55" s="2" t="str">
        <f>IF(COUNTIF(RBE!$C$1:$C$629,A55)&gt;0,"Existe","Absent")</f>
        <v>Absent</v>
      </c>
      <c r="E55" s="2" t="s">
        <v>3163</v>
      </c>
      <c r="F55" s="2" t="s">
        <v>15</v>
      </c>
      <c r="H55" s="2" t="s">
        <v>294</v>
      </c>
      <c r="I55" s="2" t="s">
        <v>17</v>
      </c>
      <c r="J55" s="2" t="s">
        <v>18</v>
      </c>
      <c r="K55" s="2" t="s">
        <v>299</v>
      </c>
      <c r="L55" s="3">
        <v>42116</v>
      </c>
      <c r="M55" s="3">
        <v>43370</v>
      </c>
      <c r="N55" s="3">
        <v>50674</v>
      </c>
      <c r="P55" s="2" t="s">
        <v>300</v>
      </c>
    </row>
    <row r="56" spans="1:16" x14ac:dyDescent="0.35">
      <c r="A56" s="2" t="s">
        <v>706</v>
      </c>
      <c r="B56" s="2" t="s">
        <v>707</v>
      </c>
      <c r="C56" s="2" t="s">
        <v>708</v>
      </c>
      <c r="D56" s="2" t="str">
        <f>IF(COUNTIF(RBE!$C$1:$C$629,A56)&gt;0,"Existe","Absent")</f>
        <v>Absent</v>
      </c>
      <c r="E56" s="2" t="s">
        <v>3163</v>
      </c>
      <c r="F56" s="2" t="s">
        <v>15</v>
      </c>
      <c r="H56" s="2" t="s">
        <v>139</v>
      </c>
      <c r="I56" s="2" t="s">
        <v>93</v>
      </c>
      <c r="J56" s="2" t="s">
        <v>18</v>
      </c>
      <c r="K56" s="2" t="s">
        <v>88</v>
      </c>
      <c r="L56" s="3">
        <v>44692</v>
      </c>
      <c r="M56" s="3">
        <v>44789</v>
      </c>
      <c r="N56" s="3">
        <v>46249</v>
      </c>
      <c r="P56" s="2" t="s">
        <v>709</v>
      </c>
    </row>
    <row r="57" spans="1:16" x14ac:dyDescent="0.35">
      <c r="A57" s="2" t="s">
        <v>1643</v>
      </c>
      <c r="C57" s="2" t="s">
        <v>1644</v>
      </c>
      <c r="D57" s="2" t="str">
        <f>IF(COUNTIF(RBE!$C$1:$C$629,A57)&gt;0,"Existe","Absent")</f>
        <v>Absent</v>
      </c>
      <c r="E57" s="2" t="s">
        <v>3163</v>
      </c>
      <c r="F57" s="2" t="s">
        <v>15</v>
      </c>
      <c r="H57" s="2" t="s">
        <v>1609</v>
      </c>
      <c r="I57" s="2" t="s">
        <v>93</v>
      </c>
      <c r="J57" s="2" t="s">
        <v>18</v>
      </c>
      <c r="K57" s="2" t="s">
        <v>88</v>
      </c>
      <c r="L57" s="5">
        <v>45834.778321759302</v>
      </c>
      <c r="M57" s="3">
        <v>45999</v>
      </c>
      <c r="N57" s="3">
        <v>46180</v>
      </c>
      <c r="P57" s="2" t="s">
        <v>1645</v>
      </c>
    </row>
    <row r="58" spans="1:16" x14ac:dyDescent="0.35">
      <c r="A58" s="2" t="s">
        <v>754</v>
      </c>
      <c r="B58" s="2" t="s">
        <v>666</v>
      </c>
      <c r="C58" s="2" t="s">
        <v>755</v>
      </c>
      <c r="D58" s="2" t="str">
        <f>IF(COUNTIF(RBE!$C$1:$C$629,A58)&gt;0,"Existe","Absent")</f>
        <v>Absent</v>
      </c>
      <c r="E58" s="2" t="s">
        <v>3163</v>
      </c>
      <c r="F58" s="2" t="s">
        <v>15</v>
      </c>
      <c r="H58" s="2" t="s">
        <v>311</v>
      </c>
      <c r="I58" s="2" t="s">
        <v>149</v>
      </c>
      <c r="J58" s="2" t="s">
        <v>18</v>
      </c>
      <c r="K58" s="2" t="s">
        <v>19</v>
      </c>
      <c r="L58" s="3">
        <v>44537</v>
      </c>
      <c r="M58" s="3">
        <v>44594</v>
      </c>
      <c r="N58" s="3">
        <v>46419</v>
      </c>
    </row>
    <row r="59" spans="1:16" x14ac:dyDescent="0.35">
      <c r="A59" s="2" t="s">
        <v>379</v>
      </c>
      <c r="B59" s="2" t="s">
        <v>380</v>
      </c>
      <c r="C59" s="2" t="s">
        <v>381</v>
      </c>
      <c r="D59" s="2" t="str">
        <f>IF(COUNTIF(RBE!$C$1:$C$629,A59)&gt;0,"Existe","Absent")</f>
        <v>Absent</v>
      </c>
      <c r="E59" s="2" t="s">
        <v>3163</v>
      </c>
      <c r="F59" s="2" t="s">
        <v>15</v>
      </c>
      <c r="H59" s="2" t="s">
        <v>139</v>
      </c>
      <c r="I59" s="2" t="s">
        <v>93</v>
      </c>
      <c r="J59" s="2" t="s">
        <v>18</v>
      </c>
      <c r="K59" s="2" t="s">
        <v>177</v>
      </c>
      <c r="L59" s="3">
        <v>42921</v>
      </c>
      <c r="M59" s="3">
        <v>43115</v>
      </c>
      <c r="N59" s="3">
        <v>45671</v>
      </c>
      <c r="P59" s="2" t="s">
        <v>382</v>
      </c>
    </row>
    <row r="60" spans="1:16" x14ac:dyDescent="0.35">
      <c r="A60" s="2" t="s">
        <v>616</v>
      </c>
      <c r="C60" s="2" t="s">
        <v>617</v>
      </c>
      <c r="D60" s="2" t="str">
        <f>IF(COUNTIF(RBE!$C$1:$C$629,A60)&gt;0,"Existe","Absent")</f>
        <v>Absent</v>
      </c>
      <c r="E60" s="2" t="s">
        <v>3163</v>
      </c>
      <c r="F60" s="2" t="s">
        <v>15</v>
      </c>
      <c r="H60" s="2" t="s">
        <v>139</v>
      </c>
      <c r="I60" s="2" t="s">
        <v>618</v>
      </c>
      <c r="J60" s="2" t="s">
        <v>18</v>
      </c>
      <c r="K60" s="2" t="s">
        <v>299</v>
      </c>
      <c r="L60" s="3">
        <v>43833</v>
      </c>
      <c r="M60" s="3">
        <v>44476</v>
      </c>
      <c r="N60" s="3">
        <v>45936</v>
      </c>
      <c r="P60" s="2" t="s">
        <v>619</v>
      </c>
    </row>
    <row r="61" spans="1:16" x14ac:dyDescent="0.35">
      <c r="A61" s="2" t="s">
        <v>540</v>
      </c>
      <c r="B61" s="2" t="s">
        <v>541</v>
      </c>
      <c r="C61" s="2" t="s">
        <v>542</v>
      </c>
      <c r="D61" s="2" t="str">
        <f>IF(COUNTIF(RBE!$C$1:$C$629,A61)&gt;0,"Existe","Absent")</f>
        <v>Absent</v>
      </c>
      <c r="E61" s="2" t="s">
        <v>3163</v>
      </c>
      <c r="F61" s="2" t="s">
        <v>15</v>
      </c>
      <c r="H61" s="2" t="s">
        <v>139</v>
      </c>
      <c r="I61" s="2" t="s">
        <v>93</v>
      </c>
      <c r="J61" s="2" t="s">
        <v>18</v>
      </c>
      <c r="K61" s="2" t="s">
        <v>177</v>
      </c>
      <c r="L61" s="3">
        <v>43969</v>
      </c>
      <c r="M61" s="3">
        <v>44292</v>
      </c>
      <c r="N61" s="3">
        <v>45752</v>
      </c>
      <c r="P61" s="2" t="s">
        <v>543</v>
      </c>
    </row>
    <row r="62" spans="1:16" x14ac:dyDescent="0.35">
      <c r="A62" s="2" t="s">
        <v>1033</v>
      </c>
      <c r="B62" s="2" t="s">
        <v>407</v>
      </c>
      <c r="C62" s="2" t="s">
        <v>542</v>
      </c>
      <c r="D62" s="2" t="str">
        <f>IF(COUNTIF(RBE!$C$1:$C$629,A62)&gt;0,"Existe","Absent")</f>
        <v>Absent</v>
      </c>
      <c r="E62" s="2" t="s">
        <v>3163</v>
      </c>
      <c r="F62" s="2" t="s">
        <v>15</v>
      </c>
      <c r="H62" s="2" t="s">
        <v>148</v>
      </c>
      <c r="I62" s="2" t="s">
        <v>93</v>
      </c>
      <c r="J62" s="2" t="s">
        <v>18</v>
      </c>
      <c r="K62" s="2" t="s">
        <v>177</v>
      </c>
      <c r="L62" s="3">
        <v>44795</v>
      </c>
      <c r="M62" s="3">
        <v>45028</v>
      </c>
      <c r="N62" s="3">
        <v>46854</v>
      </c>
      <c r="P62" s="2" t="s">
        <v>1034</v>
      </c>
    </row>
    <row r="63" spans="1:16" x14ac:dyDescent="0.35">
      <c r="A63" s="2" t="s">
        <v>979</v>
      </c>
      <c r="B63" s="2" t="s">
        <v>980</v>
      </c>
      <c r="C63" s="2" t="s">
        <v>981</v>
      </c>
      <c r="D63" s="2" t="str">
        <f>IF(COUNTIF(RBE!$C$1:$C$629,A63)&gt;0,"Existe","Absent")</f>
        <v>Absent</v>
      </c>
      <c r="E63" s="2" t="s">
        <v>3163</v>
      </c>
      <c r="F63" s="2" t="s">
        <v>15</v>
      </c>
      <c r="H63" s="2" t="s">
        <v>154</v>
      </c>
      <c r="I63" s="2" t="s">
        <v>93</v>
      </c>
      <c r="J63" s="2" t="s">
        <v>18</v>
      </c>
      <c r="K63" s="2" t="s">
        <v>88</v>
      </c>
      <c r="L63" s="3">
        <v>44019</v>
      </c>
      <c r="M63" s="3">
        <v>45103</v>
      </c>
      <c r="N63" s="3">
        <v>46198</v>
      </c>
      <c r="P63" s="2" t="s">
        <v>982</v>
      </c>
    </row>
    <row r="64" spans="1:16" x14ac:dyDescent="0.35">
      <c r="A64" s="2" t="s">
        <v>1365</v>
      </c>
      <c r="C64" s="2" t="s">
        <v>1366</v>
      </c>
      <c r="D64" s="2" t="str">
        <f>IF(COUNTIF(RBE!$C$1:$C$629,A64)&gt;0,"Existe","Absent")</f>
        <v>Absent</v>
      </c>
      <c r="E64" s="2" t="s">
        <v>3163</v>
      </c>
      <c r="F64" s="2" t="s">
        <v>15</v>
      </c>
      <c r="H64" s="2" t="s">
        <v>154</v>
      </c>
      <c r="I64" s="2" t="s">
        <v>93</v>
      </c>
      <c r="J64" s="2" t="s">
        <v>18</v>
      </c>
      <c r="K64" s="2" t="s">
        <v>88</v>
      </c>
      <c r="L64" s="3">
        <v>45316</v>
      </c>
      <c r="M64" s="3">
        <v>45324</v>
      </c>
      <c r="N64" s="3">
        <v>46419</v>
      </c>
      <c r="P64" s="2" t="s">
        <v>1367</v>
      </c>
    </row>
    <row r="65" spans="1:16" x14ac:dyDescent="0.35">
      <c r="A65" s="2" t="s">
        <v>1008</v>
      </c>
      <c r="B65" s="2" t="s">
        <v>1009</v>
      </c>
      <c r="C65" s="2" t="s">
        <v>1010</v>
      </c>
      <c r="D65" s="2" t="str">
        <f>IF(COUNTIF(RBE!$C$1:$C$629,A65)&gt;0,"Existe","Absent")</f>
        <v>Absent</v>
      </c>
      <c r="E65" s="2" t="s">
        <v>3163</v>
      </c>
      <c r="F65" s="2" t="s">
        <v>15</v>
      </c>
      <c r="H65" s="2" t="s">
        <v>139</v>
      </c>
      <c r="I65" s="2" t="s">
        <v>93</v>
      </c>
      <c r="J65" s="2" t="s">
        <v>18</v>
      </c>
      <c r="K65" s="2" t="s">
        <v>88</v>
      </c>
      <c r="L65" s="3">
        <v>44648</v>
      </c>
      <c r="M65" s="3">
        <v>44977</v>
      </c>
      <c r="N65" s="3">
        <v>46437</v>
      </c>
      <c r="P65" s="2" t="s">
        <v>1011</v>
      </c>
    </row>
    <row r="66" spans="1:16" x14ac:dyDescent="0.35">
      <c r="A66" s="2" t="s">
        <v>490</v>
      </c>
      <c r="B66" s="2" t="s">
        <v>491</v>
      </c>
      <c r="C66" s="2" t="s">
        <v>492</v>
      </c>
      <c r="D66" s="2" t="str">
        <f>IF(COUNTIF(RBE!$C$1:$C$629,A66)&gt;0,"Existe","Absent")</f>
        <v>Absent</v>
      </c>
      <c r="E66" s="2" t="s">
        <v>3163</v>
      </c>
      <c r="F66" s="2" t="s">
        <v>15</v>
      </c>
      <c r="H66" s="2" t="s">
        <v>294</v>
      </c>
      <c r="I66" s="2" t="s">
        <v>93</v>
      </c>
      <c r="J66" s="2" t="s">
        <v>18</v>
      </c>
      <c r="K66" s="2" t="s">
        <v>88</v>
      </c>
      <c r="L66" s="3">
        <v>43395</v>
      </c>
      <c r="M66" s="3">
        <v>43815</v>
      </c>
      <c r="N66" s="3">
        <v>51119</v>
      </c>
      <c r="P66" s="2" t="s">
        <v>493</v>
      </c>
    </row>
    <row r="67" spans="1:16" x14ac:dyDescent="0.35">
      <c r="A67" s="2" t="s">
        <v>817</v>
      </c>
      <c r="C67" s="2" t="s">
        <v>818</v>
      </c>
      <c r="D67" s="2" t="str">
        <f>IF(COUNTIF(RBE!$C$1:$C$629,A67)&gt;0,"Existe","Absent")</f>
        <v>Absent</v>
      </c>
      <c r="E67" s="2" t="s">
        <v>3163</v>
      </c>
      <c r="F67" s="2" t="s">
        <v>15</v>
      </c>
      <c r="H67" s="2" t="s">
        <v>311</v>
      </c>
      <c r="I67" s="2" t="s">
        <v>149</v>
      </c>
      <c r="J67" s="2" t="s">
        <v>18</v>
      </c>
      <c r="K67" s="2" t="s">
        <v>19</v>
      </c>
      <c r="L67" s="3">
        <v>44666</v>
      </c>
      <c r="M67" s="3">
        <v>44763</v>
      </c>
      <c r="N67" s="3">
        <v>46588</v>
      </c>
    </row>
    <row r="68" spans="1:16" x14ac:dyDescent="0.35">
      <c r="A68" s="2" t="s">
        <v>263</v>
      </c>
      <c r="B68" s="2" t="s">
        <v>264</v>
      </c>
      <c r="C68" s="2" t="s">
        <v>265</v>
      </c>
      <c r="D68" s="2" t="str">
        <f>IF(COUNTIF(RBE!$C$1:$C$629,A68)&gt;0,"Existe","Absent")</f>
        <v>Absent</v>
      </c>
      <c r="E68" s="2" t="s">
        <v>3163</v>
      </c>
      <c r="F68" s="2" t="s">
        <v>15</v>
      </c>
      <c r="H68" s="2" t="s">
        <v>139</v>
      </c>
      <c r="I68" s="2" t="s">
        <v>93</v>
      </c>
      <c r="J68" s="2" t="s">
        <v>18</v>
      </c>
      <c r="K68" s="2" t="s">
        <v>88</v>
      </c>
      <c r="L68" s="3">
        <v>41990</v>
      </c>
      <c r="M68" s="3">
        <v>42165</v>
      </c>
      <c r="N68" s="3">
        <v>46194</v>
      </c>
      <c r="P68" s="2" t="s">
        <v>266</v>
      </c>
    </row>
    <row r="69" spans="1:16" x14ac:dyDescent="0.35">
      <c r="A69" s="2" t="s">
        <v>339</v>
      </c>
      <c r="B69" s="2" t="s">
        <v>328</v>
      </c>
      <c r="C69" s="2" t="s">
        <v>340</v>
      </c>
      <c r="D69" s="2" t="str">
        <f>IF(COUNTIF(RBE!$C$1:$C$629,A69)&gt;0,"Existe","Absent")</f>
        <v>Absent</v>
      </c>
      <c r="E69" s="2" t="s">
        <v>3163</v>
      </c>
      <c r="F69" s="2" t="s">
        <v>15</v>
      </c>
      <c r="H69" s="2" t="s">
        <v>311</v>
      </c>
      <c r="I69" s="2" t="s">
        <v>149</v>
      </c>
      <c r="J69" s="2" t="s">
        <v>41</v>
      </c>
      <c r="K69" s="2" t="s">
        <v>19</v>
      </c>
      <c r="L69" s="3">
        <v>42461</v>
      </c>
      <c r="M69" s="3">
        <v>43115</v>
      </c>
      <c r="N69" s="3">
        <v>44940</v>
      </c>
      <c r="P69" s="2" t="s">
        <v>341</v>
      </c>
    </row>
    <row r="70" spans="1:16" x14ac:dyDescent="0.35">
      <c r="A70" s="2" t="s">
        <v>551</v>
      </c>
      <c r="B70" s="2" t="s">
        <v>552</v>
      </c>
      <c r="C70" s="2" t="s">
        <v>553</v>
      </c>
      <c r="D70" s="2" t="str">
        <f>IF(COUNTIF(RBE!$C$1:$C$629,A70)&gt;0,"Existe","Absent")</f>
        <v>Absent</v>
      </c>
      <c r="E70" s="2" t="s">
        <v>3163</v>
      </c>
      <c r="F70" s="2" t="s">
        <v>15</v>
      </c>
      <c r="H70" s="2" t="s">
        <v>139</v>
      </c>
      <c r="I70" s="2" t="s">
        <v>93</v>
      </c>
      <c r="J70" s="2" t="s">
        <v>41</v>
      </c>
      <c r="K70" s="2" t="s">
        <v>88</v>
      </c>
      <c r="L70" s="3">
        <v>44104</v>
      </c>
      <c r="M70" s="3">
        <v>44119</v>
      </c>
      <c r="N70" s="3">
        <v>45579</v>
      </c>
      <c r="P70" s="2" t="s">
        <v>554</v>
      </c>
    </row>
    <row r="71" spans="1:16" x14ac:dyDescent="0.35">
      <c r="A71" s="2" t="s">
        <v>128</v>
      </c>
      <c r="B71" s="2" t="s">
        <v>58</v>
      </c>
      <c r="C71" s="2" t="s">
        <v>129</v>
      </c>
      <c r="D71" s="2" t="str">
        <f>IF(COUNTIF(RBE!$C$1:$C$629,A71)&gt;0,"Existe","Absent")</f>
        <v>Absent</v>
      </c>
      <c r="E71" s="2" t="s">
        <v>3163</v>
      </c>
      <c r="F71" s="2" t="s">
        <v>15</v>
      </c>
      <c r="H71" s="2" t="s">
        <v>27</v>
      </c>
      <c r="I71" s="2" t="s">
        <v>60</v>
      </c>
      <c r="J71" s="2" t="s">
        <v>18</v>
      </c>
      <c r="K71" s="2" t="s">
        <v>19</v>
      </c>
      <c r="L71" s="3">
        <v>38679</v>
      </c>
      <c r="M71" s="3">
        <v>39044</v>
      </c>
      <c r="N71" s="3">
        <v>45928</v>
      </c>
      <c r="P71" s="2" t="s">
        <v>130</v>
      </c>
    </row>
    <row r="72" spans="1:16" x14ac:dyDescent="0.35">
      <c r="A72" s="2" t="s">
        <v>736</v>
      </c>
      <c r="B72" s="2" t="s">
        <v>566</v>
      </c>
      <c r="C72" s="2" t="s">
        <v>737</v>
      </c>
      <c r="D72" s="2" t="str">
        <f>IF(COUNTIF(RBE!$C$1:$C$629,A72)&gt;0,"Existe","Absent")</f>
        <v>Absent</v>
      </c>
      <c r="E72" s="2" t="s">
        <v>3163</v>
      </c>
      <c r="F72" s="2" t="s">
        <v>15</v>
      </c>
      <c r="H72" s="2" t="s">
        <v>311</v>
      </c>
      <c r="I72" s="2" t="s">
        <v>149</v>
      </c>
      <c r="J72" s="2" t="s">
        <v>18</v>
      </c>
      <c r="K72" s="2" t="s">
        <v>19</v>
      </c>
      <c r="L72" s="3">
        <v>44538</v>
      </c>
      <c r="M72" s="3">
        <v>44642</v>
      </c>
      <c r="N72" s="3">
        <v>46467</v>
      </c>
    </row>
    <row r="73" spans="1:16" x14ac:dyDescent="0.35">
      <c r="A73" s="2" t="s">
        <v>192</v>
      </c>
      <c r="B73" s="2" t="s">
        <v>193</v>
      </c>
      <c r="C73" s="2" t="s">
        <v>194</v>
      </c>
      <c r="D73" s="2" t="str">
        <f>IF(COUNTIF(RBE!$C$1:$C$629,A73)&gt;0,"Existe","Absent")</f>
        <v>Absent</v>
      </c>
      <c r="E73" s="2" t="s">
        <v>3163</v>
      </c>
      <c r="F73" s="2" t="s">
        <v>15</v>
      </c>
      <c r="H73" s="2" t="s">
        <v>139</v>
      </c>
      <c r="I73" s="2" t="s">
        <v>17</v>
      </c>
      <c r="J73" s="2" t="s">
        <v>18</v>
      </c>
      <c r="K73" s="2" t="s">
        <v>190</v>
      </c>
      <c r="L73" s="3">
        <v>41327</v>
      </c>
      <c r="M73" s="3">
        <v>41465</v>
      </c>
      <c r="N73" s="3">
        <v>45837</v>
      </c>
      <c r="P73" s="2" t="s">
        <v>195</v>
      </c>
    </row>
    <row r="74" spans="1:16" x14ac:dyDescent="0.35">
      <c r="A74" s="2" t="s">
        <v>1745</v>
      </c>
      <c r="B74" s="2" t="s">
        <v>1746</v>
      </c>
      <c r="C74" s="2" t="s">
        <v>1747</v>
      </c>
      <c r="D74" s="2" t="str">
        <f>IF(COUNTIF(RBE!$C$1:$C$629,A74)&gt;0,"Existe","Absent")</f>
        <v>Absent</v>
      </c>
      <c r="E74" s="2" t="s">
        <v>3163</v>
      </c>
      <c r="F74" s="2" t="s">
        <v>15</v>
      </c>
      <c r="H74" s="2" t="s">
        <v>27</v>
      </c>
      <c r="I74" s="2" t="s">
        <v>118</v>
      </c>
      <c r="J74" s="2" t="s">
        <v>18</v>
      </c>
      <c r="K74" s="2" t="s">
        <v>19</v>
      </c>
      <c r="L74" s="3">
        <v>38531</v>
      </c>
      <c r="M74" s="3">
        <v>39303</v>
      </c>
      <c r="N74" s="3">
        <v>46202</v>
      </c>
      <c r="P74" s="2" t="s">
        <v>1748</v>
      </c>
    </row>
    <row r="75" spans="1:16" x14ac:dyDescent="0.35">
      <c r="A75" s="2" t="s">
        <v>1437</v>
      </c>
      <c r="B75" s="2" t="s">
        <v>393</v>
      </c>
      <c r="C75" s="2" t="s">
        <v>1438</v>
      </c>
      <c r="D75" s="2" t="str">
        <f>IF(COUNTIF(RBE!$C$1:$C$629,A75)&gt;0,"Existe","Absent")</f>
        <v>Absent</v>
      </c>
      <c r="E75" s="2" t="s">
        <v>3163</v>
      </c>
      <c r="F75" s="2" t="s">
        <v>15</v>
      </c>
      <c r="H75" s="2" t="s">
        <v>311</v>
      </c>
      <c r="I75" s="2" t="s">
        <v>395</v>
      </c>
      <c r="J75" s="2" t="s">
        <v>18</v>
      </c>
      <c r="K75" s="2" t="s">
        <v>19</v>
      </c>
      <c r="L75" s="3">
        <v>43129</v>
      </c>
      <c r="M75" s="3">
        <v>45287</v>
      </c>
      <c r="N75" s="3">
        <v>47113</v>
      </c>
      <c r="P75" s="2" t="s">
        <v>1439</v>
      </c>
    </row>
    <row r="76" spans="1:16" x14ac:dyDescent="0.35">
      <c r="A76" s="2" t="s">
        <v>1733</v>
      </c>
      <c r="B76" s="2" t="s">
        <v>58</v>
      </c>
      <c r="C76" s="2" t="s">
        <v>1734</v>
      </c>
      <c r="D76" s="2" t="str">
        <f>IF(COUNTIF(RBE!$C$1:$C$629,A76)&gt;0,"Existe","Absent")</f>
        <v>Absent</v>
      </c>
      <c r="E76" s="2" t="s">
        <v>3163</v>
      </c>
      <c r="F76" s="2" t="s">
        <v>15</v>
      </c>
      <c r="H76" s="2" t="s">
        <v>27</v>
      </c>
      <c r="I76" s="2" t="s">
        <v>60</v>
      </c>
      <c r="J76" s="2" t="s">
        <v>41</v>
      </c>
      <c r="K76" s="2" t="s">
        <v>19</v>
      </c>
      <c r="L76" s="3">
        <v>42004</v>
      </c>
      <c r="M76" s="3">
        <v>42054</v>
      </c>
      <c r="N76" s="3">
        <v>45706</v>
      </c>
      <c r="O76" s="3">
        <v>43880</v>
      </c>
      <c r="P76" s="2" t="s">
        <v>1735</v>
      </c>
    </row>
    <row r="77" spans="1:16" x14ac:dyDescent="0.35">
      <c r="A77" s="2" t="s">
        <v>669</v>
      </c>
      <c r="B77" s="2" t="s">
        <v>670</v>
      </c>
      <c r="C77" s="2" t="s">
        <v>671</v>
      </c>
      <c r="D77" s="2" t="str">
        <f>IF(COUNTIF(RBE!$C$1:$C$629,A77)&gt;0,"Existe","Absent")</f>
        <v>Absent</v>
      </c>
      <c r="E77" s="2" t="s">
        <v>3163</v>
      </c>
      <c r="F77" s="2" t="s">
        <v>15</v>
      </c>
      <c r="H77" s="2" t="s">
        <v>139</v>
      </c>
      <c r="I77" s="2" t="s">
        <v>93</v>
      </c>
      <c r="J77" s="2" t="s">
        <v>18</v>
      </c>
      <c r="K77" s="2" t="s">
        <v>88</v>
      </c>
      <c r="L77" s="3">
        <v>43269</v>
      </c>
      <c r="M77" s="3">
        <v>44623</v>
      </c>
      <c r="N77" s="3">
        <v>46083</v>
      </c>
      <c r="P77" s="2" t="s">
        <v>672</v>
      </c>
    </row>
    <row r="78" spans="1:16" x14ac:dyDescent="0.35">
      <c r="A78" s="2" t="s">
        <v>673</v>
      </c>
      <c r="B78" s="2" t="s">
        <v>674</v>
      </c>
      <c r="C78" s="2" t="s">
        <v>671</v>
      </c>
      <c r="D78" s="2" t="str">
        <f>IF(COUNTIF(RBE!$C$1:$C$629,A78)&gt;0,"Existe","Absent")</f>
        <v>Absent</v>
      </c>
      <c r="E78" s="2" t="s">
        <v>3163</v>
      </c>
      <c r="F78" s="2" t="s">
        <v>15</v>
      </c>
      <c r="H78" s="2" t="s">
        <v>139</v>
      </c>
      <c r="I78" s="2" t="s">
        <v>93</v>
      </c>
      <c r="J78" s="2" t="s">
        <v>18</v>
      </c>
      <c r="K78" s="2" t="s">
        <v>177</v>
      </c>
      <c r="L78" s="3">
        <v>44431</v>
      </c>
      <c r="M78" s="3">
        <v>44623</v>
      </c>
      <c r="N78" s="3">
        <v>46083</v>
      </c>
      <c r="P78" s="2" t="s">
        <v>675</v>
      </c>
    </row>
    <row r="79" spans="1:16" x14ac:dyDescent="0.35">
      <c r="A79" s="2" t="s">
        <v>1611</v>
      </c>
      <c r="C79" s="2" t="s">
        <v>1612</v>
      </c>
      <c r="D79" s="2" t="str">
        <f>IF(COUNTIF(RBE!$C$1:$C$629,A79)&gt;0,"Existe","Absent")</f>
        <v>Absent</v>
      </c>
      <c r="E79" s="2" t="s">
        <v>3163</v>
      </c>
      <c r="F79" s="2" t="s">
        <v>15</v>
      </c>
      <c r="H79" s="2" t="s">
        <v>573</v>
      </c>
      <c r="I79" s="2" t="s">
        <v>1218</v>
      </c>
      <c r="J79" s="2" t="s">
        <v>18</v>
      </c>
      <c r="K79" s="2" t="s">
        <v>1613</v>
      </c>
      <c r="L79" s="5">
        <v>45974.450717592597</v>
      </c>
      <c r="M79" s="3">
        <v>46013</v>
      </c>
      <c r="N79" s="3">
        <v>46377</v>
      </c>
      <c r="P79" s="2" t="s">
        <v>1614</v>
      </c>
    </row>
    <row r="80" spans="1:16" x14ac:dyDescent="0.35">
      <c r="A80" s="2" t="s">
        <v>1537</v>
      </c>
      <c r="B80" s="2" t="s">
        <v>1538</v>
      </c>
      <c r="C80" s="2" t="s">
        <v>1539</v>
      </c>
      <c r="D80" s="2" t="str">
        <f>IF(COUNTIF(RBE!$C$1:$C$629,A80)&gt;0,"Existe","Absent")</f>
        <v>Absent</v>
      </c>
      <c r="E80" s="2" t="s">
        <v>3163</v>
      </c>
      <c r="F80" s="2" t="s">
        <v>15</v>
      </c>
      <c r="H80" s="2" t="s">
        <v>573</v>
      </c>
      <c r="I80" s="2" t="s">
        <v>1218</v>
      </c>
      <c r="J80" s="2" t="s">
        <v>18</v>
      </c>
      <c r="K80" s="2" t="s">
        <v>185</v>
      </c>
      <c r="L80" s="3">
        <v>45433</v>
      </c>
      <c r="M80" s="3">
        <v>45431</v>
      </c>
      <c r="N80" s="3">
        <v>46293</v>
      </c>
      <c r="O80" s="3">
        <v>45796</v>
      </c>
      <c r="P80" s="2" t="s">
        <v>1540</v>
      </c>
    </row>
    <row r="81" spans="1:16" x14ac:dyDescent="0.35">
      <c r="A81" s="2" t="s">
        <v>1541</v>
      </c>
      <c r="B81" s="2" t="s">
        <v>1538</v>
      </c>
      <c r="C81" s="2" t="s">
        <v>1539</v>
      </c>
      <c r="D81" s="2" t="str">
        <f>IF(COUNTIF(RBE!$C$1:$C$629,A81)&gt;0,"Existe","Absent")</f>
        <v>Absent</v>
      </c>
      <c r="E81" s="2" t="s">
        <v>3163</v>
      </c>
      <c r="F81" s="2" t="s">
        <v>15</v>
      </c>
      <c r="H81" s="2" t="s">
        <v>573</v>
      </c>
      <c r="I81" s="2" t="s">
        <v>1218</v>
      </c>
      <c r="J81" s="2" t="s">
        <v>18</v>
      </c>
      <c r="K81" s="2" t="s">
        <v>185</v>
      </c>
      <c r="L81" s="3">
        <v>45456</v>
      </c>
      <c r="M81" s="3">
        <v>45431</v>
      </c>
      <c r="N81" s="3">
        <v>46293</v>
      </c>
      <c r="O81" s="3">
        <v>45796</v>
      </c>
      <c r="P81" s="2" t="s">
        <v>1542</v>
      </c>
    </row>
    <row r="82" spans="1:16" x14ac:dyDescent="0.35">
      <c r="A82" s="2" t="s">
        <v>1461</v>
      </c>
      <c r="B82" s="2" t="s">
        <v>566</v>
      </c>
      <c r="C82" s="2" t="s">
        <v>1462</v>
      </c>
      <c r="D82" s="2" t="str">
        <f>IF(COUNTIF(RBE!$C$1:$C$629,A82)&gt;0,"Existe","Absent")</f>
        <v>Absent</v>
      </c>
      <c r="E82" s="2" t="s">
        <v>3163</v>
      </c>
      <c r="F82" s="2" t="s">
        <v>15</v>
      </c>
      <c r="H82" s="2" t="s">
        <v>311</v>
      </c>
      <c r="I82" s="2" t="s">
        <v>149</v>
      </c>
      <c r="J82" s="2" t="s">
        <v>18</v>
      </c>
      <c r="K82" s="2" t="s">
        <v>19</v>
      </c>
      <c r="L82" s="3">
        <v>45306</v>
      </c>
      <c r="M82" s="3">
        <v>45366</v>
      </c>
      <c r="N82" s="3">
        <v>46095</v>
      </c>
    </row>
    <row r="83" spans="1:16" x14ac:dyDescent="0.35">
      <c r="A83" s="2" t="s">
        <v>1469</v>
      </c>
      <c r="B83" s="2" t="s">
        <v>1470</v>
      </c>
      <c r="C83" s="2" t="s">
        <v>1462</v>
      </c>
      <c r="D83" s="2" t="str">
        <f>IF(COUNTIF(RBE!$C$1:$C$629,A83)&gt;0,"Existe","Absent")</f>
        <v>Absent</v>
      </c>
      <c r="E83" s="2" t="s">
        <v>3163</v>
      </c>
      <c r="F83" s="2" t="s">
        <v>15</v>
      </c>
      <c r="H83" s="2" t="s">
        <v>27</v>
      </c>
      <c r="I83" s="2" t="s">
        <v>118</v>
      </c>
      <c r="J83" s="2" t="s">
        <v>18</v>
      </c>
      <c r="K83" s="2" t="s">
        <v>19</v>
      </c>
      <c r="L83" s="3">
        <v>45315</v>
      </c>
      <c r="M83" s="3">
        <v>45373</v>
      </c>
      <c r="N83" s="3">
        <v>47198</v>
      </c>
      <c r="P83" s="2" t="s">
        <v>1471</v>
      </c>
    </row>
    <row r="84" spans="1:16" x14ac:dyDescent="0.35">
      <c r="A84" s="2" t="s">
        <v>676</v>
      </c>
      <c r="C84" s="2" t="s">
        <v>677</v>
      </c>
      <c r="D84" s="2" t="str">
        <f>IF(COUNTIF(RBE!$C$1:$C$629,A84)&gt;0,"Existe","Absent")</f>
        <v>Absent</v>
      </c>
      <c r="E84" s="2" t="s">
        <v>3163</v>
      </c>
      <c r="F84" s="2" t="s">
        <v>15</v>
      </c>
      <c r="H84" s="2" t="s">
        <v>154</v>
      </c>
      <c r="I84" s="2" t="s">
        <v>93</v>
      </c>
      <c r="J84" s="2" t="s">
        <v>18</v>
      </c>
      <c r="K84" s="2" t="s">
        <v>88</v>
      </c>
      <c r="L84" s="3">
        <v>44609</v>
      </c>
      <c r="M84" s="3">
        <v>44614</v>
      </c>
      <c r="N84" s="3">
        <v>45709</v>
      </c>
      <c r="P84" s="2" t="s">
        <v>678</v>
      </c>
    </row>
    <row r="85" spans="1:16" x14ac:dyDescent="0.35">
      <c r="A85" s="2" t="s">
        <v>872</v>
      </c>
      <c r="C85" s="2" t="s">
        <v>677</v>
      </c>
      <c r="D85" s="2" t="str">
        <f>IF(COUNTIF(RBE!$C$1:$C$629,A85)&gt;0,"Existe","Absent")</f>
        <v>Absent</v>
      </c>
      <c r="E85" s="2" t="s">
        <v>3163</v>
      </c>
      <c r="F85" s="2" t="s">
        <v>15</v>
      </c>
      <c r="H85" s="2" t="s">
        <v>154</v>
      </c>
      <c r="I85" s="2" t="s">
        <v>93</v>
      </c>
      <c r="J85" s="2" t="s">
        <v>18</v>
      </c>
      <c r="K85" s="2" t="s">
        <v>88</v>
      </c>
      <c r="L85" s="3">
        <v>44902</v>
      </c>
      <c r="M85" s="3">
        <v>44922</v>
      </c>
      <c r="N85" s="3">
        <v>46017</v>
      </c>
      <c r="P85" s="2" t="s">
        <v>873</v>
      </c>
    </row>
    <row r="86" spans="1:16" x14ac:dyDescent="0.35">
      <c r="A86" s="2" t="s">
        <v>874</v>
      </c>
      <c r="C86" s="2" t="s">
        <v>677</v>
      </c>
      <c r="D86" s="2" t="str">
        <f>IF(COUNTIF(RBE!$C$1:$C$629,A86)&gt;0,"Existe","Absent")</f>
        <v>Absent</v>
      </c>
      <c r="E86" s="2" t="s">
        <v>3163</v>
      </c>
      <c r="F86" s="2" t="s">
        <v>15</v>
      </c>
      <c r="H86" s="2" t="s">
        <v>154</v>
      </c>
      <c r="I86" s="2" t="s">
        <v>93</v>
      </c>
      <c r="J86" s="2" t="s">
        <v>18</v>
      </c>
      <c r="K86" s="2" t="s">
        <v>88</v>
      </c>
      <c r="L86" s="3">
        <v>44902</v>
      </c>
      <c r="M86" s="3">
        <v>44908</v>
      </c>
      <c r="N86" s="3">
        <v>46003</v>
      </c>
      <c r="P86" s="2" t="s">
        <v>875</v>
      </c>
    </row>
    <row r="87" spans="1:16" x14ac:dyDescent="0.35">
      <c r="A87" s="2" t="s">
        <v>903</v>
      </c>
      <c r="C87" s="2" t="s">
        <v>677</v>
      </c>
      <c r="D87" s="2" t="str">
        <f>IF(COUNTIF(RBE!$C$1:$C$629,A87)&gt;0,"Existe","Absent")</f>
        <v>Absent</v>
      </c>
      <c r="E87" s="2" t="s">
        <v>3163</v>
      </c>
      <c r="F87" s="2" t="s">
        <v>15</v>
      </c>
      <c r="H87" s="2" t="s">
        <v>154</v>
      </c>
      <c r="I87" s="2" t="s">
        <v>93</v>
      </c>
      <c r="J87" s="2" t="s">
        <v>18</v>
      </c>
      <c r="K87" s="2" t="s">
        <v>88</v>
      </c>
      <c r="L87" s="3">
        <v>44902</v>
      </c>
      <c r="M87" s="3">
        <v>44908</v>
      </c>
      <c r="N87" s="3">
        <v>46003</v>
      </c>
      <c r="P87" s="2" t="s">
        <v>370</v>
      </c>
    </row>
    <row r="88" spans="1:16" x14ac:dyDescent="0.35">
      <c r="A88" s="2" t="s">
        <v>948</v>
      </c>
      <c r="B88" s="2" t="s">
        <v>949</v>
      </c>
      <c r="C88" s="2" t="s">
        <v>677</v>
      </c>
      <c r="D88" s="2" t="str">
        <f>IF(COUNTIF(RBE!$C$1:$C$629,A88)&gt;0,"Existe","Absent")</f>
        <v>Absent</v>
      </c>
      <c r="E88" s="2" t="s">
        <v>3163</v>
      </c>
      <c r="F88" s="2" t="s">
        <v>15</v>
      </c>
      <c r="H88" s="2" t="s">
        <v>154</v>
      </c>
      <c r="I88" s="2" t="s">
        <v>93</v>
      </c>
      <c r="J88" s="2" t="s">
        <v>18</v>
      </c>
      <c r="K88" s="2" t="s">
        <v>88</v>
      </c>
      <c r="L88" s="3">
        <v>44972</v>
      </c>
      <c r="M88" s="3">
        <v>45028</v>
      </c>
      <c r="N88" s="3">
        <v>46123</v>
      </c>
      <c r="P88" s="2" t="s">
        <v>950</v>
      </c>
    </row>
    <row r="89" spans="1:16" x14ac:dyDescent="0.35">
      <c r="A89" s="2" t="s">
        <v>951</v>
      </c>
      <c r="B89" s="2" t="s">
        <v>952</v>
      </c>
      <c r="C89" s="2" t="s">
        <v>677</v>
      </c>
      <c r="D89" s="2" t="str">
        <f>IF(COUNTIF(RBE!$C$1:$C$629,A89)&gt;0,"Existe","Absent")</f>
        <v>Absent</v>
      </c>
      <c r="E89" s="2" t="s">
        <v>3163</v>
      </c>
      <c r="F89" s="2" t="s">
        <v>15</v>
      </c>
      <c r="H89" s="2" t="s">
        <v>154</v>
      </c>
      <c r="I89" s="2" t="s">
        <v>93</v>
      </c>
      <c r="J89" s="2" t="s">
        <v>18</v>
      </c>
      <c r="K89" s="2" t="s">
        <v>88</v>
      </c>
      <c r="L89" s="3">
        <v>44972</v>
      </c>
      <c r="M89" s="3">
        <v>45028</v>
      </c>
      <c r="N89" s="3">
        <v>46123</v>
      </c>
      <c r="P89" s="2" t="s">
        <v>953</v>
      </c>
    </row>
    <row r="90" spans="1:16" x14ac:dyDescent="0.35">
      <c r="A90" s="2" t="s">
        <v>960</v>
      </c>
      <c r="B90" s="2" t="s">
        <v>704</v>
      </c>
      <c r="C90" s="2" t="s">
        <v>677</v>
      </c>
      <c r="D90" s="2" t="str">
        <f>IF(COUNTIF(RBE!$C$1:$C$629,A90)&gt;0,"Existe","Absent")</f>
        <v>Absent</v>
      </c>
      <c r="E90" s="2" t="s">
        <v>3163</v>
      </c>
      <c r="F90" s="2" t="s">
        <v>15</v>
      </c>
      <c r="H90" s="2" t="s">
        <v>154</v>
      </c>
      <c r="I90" s="2" t="s">
        <v>93</v>
      </c>
      <c r="J90" s="2" t="s">
        <v>18</v>
      </c>
      <c r="K90" s="2" t="s">
        <v>88</v>
      </c>
      <c r="L90" s="3">
        <v>44972</v>
      </c>
      <c r="M90" s="3">
        <v>45028</v>
      </c>
      <c r="N90" s="3">
        <v>46123</v>
      </c>
      <c r="P90" s="2" t="s">
        <v>961</v>
      </c>
    </row>
    <row r="91" spans="1:16" x14ac:dyDescent="0.35">
      <c r="A91" s="2" t="s">
        <v>699</v>
      </c>
      <c r="B91" s="2" t="s">
        <v>700</v>
      </c>
      <c r="C91" s="2" t="s">
        <v>701</v>
      </c>
      <c r="D91" s="2" t="str">
        <f>IF(COUNTIF(RBE!$C$1:$C$629,A91)&gt;0,"Existe","Absent")</f>
        <v>Absent</v>
      </c>
      <c r="E91" s="2" t="s">
        <v>3163</v>
      </c>
      <c r="F91" s="2" t="s">
        <v>15</v>
      </c>
      <c r="H91" s="2" t="s">
        <v>154</v>
      </c>
      <c r="I91" s="2" t="s">
        <v>93</v>
      </c>
      <c r="J91" s="2" t="s">
        <v>18</v>
      </c>
      <c r="K91" s="2" t="s">
        <v>88</v>
      </c>
      <c r="L91" s="3">
        <v>44662</v>
      </c>
      <c r="M91" s="3">
        <v>44736</v>
      </c>
      <c r="N91" s="3">
        <v>45831</v>
      </c>
      <c r="P91" s="2" t="s">
        <v>702</v>
      </c>
    </row>
    <row r="92" spans="1:16" x14ac:dyDescent="0.35">
      <c r="A92" s="2" t="s">
        <v>703</v>
      </c>
      <c r="B92" s="2" t="s">
        <v>704</v>
      </c>
      <c r="C92" s="2" t="s">
        <v>701</v>
      </c>
      <c r="D92" s="2" t="str">
        <f>IF(COUNTIF(RBE!$C$1:$C$629,A92)&gt;0,"Existe","Absent")</f>
        <v>Absent</v>
      </c>
      <c r="E92" s="2" t="s">
        <v>3163</v>
      </c>
      <c r="F92" s="2" t="s">
        <v>15</v>
      </c>
      <c r="H92" s="2" t="s">
        <v>154</v>
      </c>
      <c r="I92" s="2" t="s">
        <v>93</v>
      </c>
      <c r="J92" s="2" t="s">
        <v>18</v>
      </c>
      <c r="K92" s="2" t="s">
        <v>88</v>
      </c>
      <c r="L92" s="3">
        <v>44662</v>
      </c>
      <c r="M92" s="3">
        <v>44736</v>
      </c>
      <c r="N92" s="3">
        <v>45831</v>
      </c>
      <c r="P92" s="2" t="s">
        <v>705</v>
      </c>
    </row>
    <row r="93" spans="1:16" x14ac:dyDescent="0.35">
      <c r="A93" s="2" t="s">
        <v>733</v>
      </c>
      <c r="B93" s="2" t="s">
        <v>734</v>
      </c>
      <c r="C93" s="2" t="s">
        <v>701</v>
      </c>
      <c r="D93" s="2" t="str">
        <f>IF(COUNTIF(RBE!$C$1:$C$629,A93)&gt;0,"Existe","Absent")</f>
        <v>Absent</v>
      </c>
      <c r="E93" s="2" t="s">
        <v>3163</v>
      </c>
      <c r="F93" s="2" t="s">
        <v>15</v>
      </c>
      <c r="H93" s="2" t="s">
        <v>154</v>
      </c>
      <c r="I93" s="2" t="s">
        <v>93</v>
      </c>
      <c r="J93" s="2" t="s">
        <v>18</v>
      </c>
      <c r="K93" s="2" t="s">
        <v>88</v>
      </c>
      <c r="L93" s="3">
        <v>44662</v>
      </c>
      <c r="M93" s="3">
        <v>44736</v>
      </c>
      <c r="N93" s="3">
        <v>45831</v>
      </c>
      <c r="P93" s="2" t="s">
        <v>735</v>
      </c>
    </row>
    <row r="94" spans="1:16" x14ac:dyDescent="0.35">
      <c r="A94" s="2" t="s">
        <v>558</v>
      </c>
      <c r="B94" s="2" t="s">
        <v>559</v>
      </c>
      <c r="C94" s="2" t="s">
        <v>560</v>
      </c>
      <c r="D94" s="2" t="str">
        <f>IF(COUNTIF(RBE!$C$1:$C$629,A94)&gt;0,"Existe","Absent")</f>
        <v>Absent</v>
      </c>
      <c r="E94" s="2" t="s">
        <v>3163</v>
      </c>
      <c r="F94" s="2" t="s">
        <v>15</v>
      </c>
      <c r="H94" s="2" t="s">
        <v>27</v>
      </c>
      <c r="I94" s="2" t="s">
        <v>60</v>
      </c>
      <c r="J94" s="2" t="s">
        <v>18</v>
      </c>
      <c r="K94" s="2" t="s">
        <v>19</v>
      </c>
      <c r="L94" s="3">
        <v>44106</v>
      </c>
      <c r="M94" s="3">
        <v>44279</v>
      </c>
      <c r="N94" s="3">
        <v>46104</v>
      </c>
      <c r="P94" s="2" t="s">
        <v>561</v>
      </c>
    </row>
    <row r="95" spans="1:16" x14ac:dyDescent="0.35">
      <c r="A95" s="2" t="s">
        <v>1094</v>
      </c>
      <c r="B95" s="2" t="s">
        <v>559</v>
      </c>
      <c r="C95" s="2" t="s">
        <v>1095</v>
      </c>
      <c r="D95" s="2" t="str">
        <f>IF(COUNTIF(RBE!$C$1:$C$629,A95)&gt;0,"Existe","Absent")</f>
        <v>Absent</v>
      </c>
      <c r="E95" s="2" t="s">
        <v>3163</v>
      </c>
      <c r="F95" s="2" t="s">
        <v>15</v>
      </c>
      <c r="H95" s="2" t="s">
        <v>294</v>
      </c>
      <c r="I95" s="2" t="s">
        <v>1096</v>
      </c>
      <c r="J95" s="2" t="s">
        <v>18</v>
      </c>
      <c r="K95" s="2" t="s">
        <v>19</v>
      </c>
      <c r="L95" s="3">
        <v>44640</v>
      </c>
      <c r="M95" s="3">
        <v>44712</v>
      </c>
      <c r="N95" s="3">
        <v>52016</v>
      </c>
      <c r="P95" s="2" t="s">
        <v>1097</v>
      </c>
    </row>
    <row r="96" spans="1:16" x14ac:dyDescent="0.35">
      <c r="A96" s="2" t="s">
        <v>76</v>
      </c>
      <c r="B96" s="2" t="s">
        <v>77</v>
      </c>
      <c r="C96" s="2" t="s">
        <v>78</v>
      </c>
      <c r="D96" s="2" t="str">
        <f>IF(COUNTIF(RBE!$C$1:$C$629,A96)&gt;0,"Existe","Absent")</f>
        <v>Absent</v>
      </c>
      <c r="E96" s="2" t="s">
        <v>3163</v>
      </c>
      <c r="F96" s="2" t="s">
        <v>15</v>
      </c>
      <c r="H96" s="2" t="s">
        <v>16</v>
      </c>
      <c r="I96" s="2" t="s">
        <v>60</v>
      </c>
      <c r="J96" s="2" t="s">
        <v>18</v>
      </c>
      <c r="K96" s="2" t="s">
        <v>19</v>
      </c>
      <c r="L96" s="3">
        <v>36285</v>
      </c>
      <c r="M96" s="3">
        <v>36578</v>
      </c>
      <c r="N96" s="3">
        <v>45709</v>
      </c>
      <c r="P96" s="2" t="s">
        <v>79</v>
      </c>
    </row>
    <row r="97" spans="1:16" x14ac:dyDescent="0.35">
      <c r="A97" s="2" t="s">
        <v>80</v>
      </c>
      <c r="B97" s="2" t="s">
        <v>81</v>
      </c>
      <c r="C97" s="2" t="s">
        <v>78</v>
      </c>
      <c r="D97" s="2" t="str">
        <f>IF(COUNTIF(RBE!$C$1:$C$629,A97)&gt;0,"Existe","Absent")</f>
        <v>Absent</v>
      </c>
      <c r="E97" s="2" t="s">
        <v>3163</v>
      </c>
      <c r="F97" s="2" t="s">
        <v>15</v>
      </c>
      <c r="H97" s="2" t="s">
        <v>16</v>
      </c>
      <c r="I97" s="2" t="s">
        <v>82</v>
      </c>
      <c r="J97" s="2" t="s">
        <v>18</v>
      </c>
      <c r="K97" s="2" t="s">
        <v>19</v>
      </c>
      <c r="L97" s="3">
        <v>36285</v>
      </c>
      <c r="M97" s="3">
        <v>40102</v>
      </c>
      <c r="N97" s="3">
        <v>45710</v>
      </c>
      <c r="P97" s="2" t="s">
        <v>83</v>
      </c>
    </row>
    <row r="98" spans="1:16" x14ac:dyDescent="0.35">
      <c r="A98" s="2" t="s">
        <v>1547</v>
      </c>
      <c r="B98" s="2" t="s">
        <v>1548</v>
      </c>
      <c r="C98" s="2" t="s">
        <v>1549</v>
      </c>
      <c r="D98" s="2" t="str">
        <f>IF(COUNTIF(RBE!$C$1:$C$629,A98)&gt;0,"Existe","Absent")</f>
        <v>Absent</v>
      </c>
      <c r="E98" s="2" t="s">
        <v>3163</v>
      </c>
      <c r="F98" s="2" t="s">
        <v>15</v>
      </c>
      <c r="H98" s="2" t="s">
        <v>27</v>
      </c>
      <c r="I98" s="2" t="s">
        <v>28</v>
      </c>
      <c r="J98" s="2" t="s">
        <v>18</v>
      </c>
      <c r="K98" s="2" t="s">
        <v>19</v>
      </c>
      <c r="L98" s="3">
        <v>44636</v>
      </c>
      <c r="M98" s="3">
        <v>45334</v>
      </c>
      <c r="N98" s="3">
        <v>47160</v>
      </c>
      <c r="P98" s="2" t="s">
        <v>1550</v>
      </c>
    </row>
    <row r="99" spans="1:16" x14ac:dyDescent="0.35">
      <c r="A99" s="2" t="s">
        <v>1769</v>
      </c>
      <c r="B99" s="2" t="s">
        <v>146</v>
      </c>
      <c r="C99" s="2" t="s">
        <v>1770</v>
      </c>
      <c r="D99" s="2" t="str">
        <f>IF(COUNTIF(RBE!$C$1:$C$629,A99)&gt;0,"Existe","Absent")</f>
        <v>Absent</v>
      </c>
      <c r="E99" s="2" t="s">
        <v>3163</v>
      </c>
      <c r="F99" s="2" t="s">
        <v>15</v>
      </c>
      <c r="H99" s="2" t="s">
        <v>311</v>
      </c>
      <c r="I99" s="2" t="s">
        <v>149</v>
      </c>
      <c r="J99" s="2" t="s">
        <v>18</v>
      </c>
      <c r="K99" s="2" t="s">
        <v>19</v>
      </c>
      <c r="L99" s="3">
        <v>42368</v>
      </c>
      <c r="M99" s="3">
        <v>44762</v>
      </c>
      <c r="N99" s="3">
        <v>46587</v>
      </c>
      <c r="P99" s="2" t="s">
        <v>347</v>
      </c>
    </row>
    <row r="100" spans="1:16" x14ac:dyDescent="0.35">
      <c r="A100" s="2" t="s">
        <v>1568</v>
      </c>
      <c r="C100" s="2" t="s">
        <v>1569</v>
      </c>
      <c r="D100" s="2" t="str">
        <f>IF(COUNTIF(RBE!$C$1:$C$629,A100)&gt;0,"Existe","Absent")</f>
        <v>Absent</v>
      </c>
      <c r="E100" s="2" t="s">
        <v>3163</v>
      </c>
      <c r="F100" s="2" t="s">
        <v>15</v>
      </c>
      <c r="H100" s="2" t="s">
        <v>1331</v>
      </c>
      <c r="J100" s="2" t="s">
        <v>18</v>
      </c>
      <c r="K100" s="2" t="s">
        <v>185</v>
      </c>
      <c r="L100" s="3">
        <v>45688</v>
      </c>
      <c r="M100" s="3">
        <v>45737</v>
      </c>
      <c r="N100" s="3">
        <v>46101</v>
      </c>
      <c r="P100" s="2" t="s">
        <v>1570</v>
      </c>
    </row>
    <row r="101" spans="1:16" x14ac:dyDescent="0.35">
      <c r="A101" s="2" t="s">
        <v>1709</v>
      </c>
      <c r="C101" s="2" t="s">
        <v>1710</v>
      </c>
      <c r="D101" s="2" t="str">
        <f>IF(COUNTIF(RBE!$C$1:$C$629,A101)&gt;0,"Existe","Absent")</f>
        <v>Absent</v>
      </c>
      <c r="E101" s="2" t="s">
        <v>3163</v>
      </c>
      <c r="F101" s="2" t="s">
        <v>15</v>
      </c>
      <c r="H101" s="2" t="s">
        <v>1331</v>
      </c>
      <c r="I101" s="2" t="s">
        <v>395</v>
      </c>
      <c r="J101" s="2" t="s">
        <v>18</v>
      </c>
      <c r="K101" s="2" t="s">
        <v>1627</v>
      </c>
      <c r="L101" s="5">
        <v>46122.7331597222</v>
      </c>
      <c r="M101" s="3">
        <v>45908</v>
      </c>
      <c r="N101" s="3">
        <v>46272</v>
      </c>
      <c r="P101" s="2" t="s">
        <v>1711</v>
      </c>
    </row>
    <row r="102" spans="1:16" x14ac:dyDescent="0.35">
      <c r="A102" s="2" t="s">
        <v>1731</v>
      </c>
      <c r="C102" s="2" t="s">
        <v>1710</v>
      </c>
      <c r="D102" s="2" t="str">
        <f>IF(COUNTIF(RBE!$C$1:$C$629,A102)&gt;0,"Existe","Absent")</f>
        <v>Absent</v>
      </c>
      <c r="E102" s="2" t="s">
        <v>3163</v>
      </c>
      <c r="F102" s="2" t="s">
        <v>15</v>
      </c>
      <c r="H102" s="2" t="s">
        <v>1331</v>
      </c>
      <c r="I102" s="2" t="s">
        <v>395</v>
      </c>
      <c r="J102" s="2" t="s">
        <v>18</v>
      </c>
      <c r="K102" s="2" t="s">
        <v>1627</v>
      </c>
      <c r="L102" s="5">
        <v>46128.616770833301</v>
      </c>
      <c r="M102" s="3">
        <v>46132</v>
      </c>
      <c r="N102" s="3">
        <v>46496</v>
      </c>
      <c r="P102" s="2" t="s">
        <v>1732</v>
      </c>
    </row>
    <row r="103" spans="1:16" x14ac:dyDescent="0.35">
      <c r="A103" s="2" t="s">
        <v>1659</v>
      </c>
      <c r="C103" s="2" t="s">
        <v>1660</v>
      </c>
      <c r="D103" s="2" t="str">
        <f>IF(COUNTIF(RBE!$C$1:$C$629,A103)&gt;0,"Existe","Absent")</f>
        <v>Absent</v>
      </c>
      <c r="E103" s="2" t="s">
        <v>3163</v>
      </c>
      <c r="F103" s="2" t="s">
        <v>15</v>
      </c>
      <c r="H103" s="2" t="s">
        <v>1331</v>
      </c>
      <c r="I103" s="2" t="s">
        <v>395</v>
      </c>
      <c r="J103" s="2" t="s">
        <v>18</v>
      </c>
      <c r="K103" s="2" t="s">
        <v>190</v>
      </c>
      <c r="L103" s="5">
        <v>46069.381053240701</v>
      </c>
      <c r="M103" s="3">
        <v>45929</v>
      </c>
      <c r="N103" s="3">
        <v>46293</v>
      </c>
      <c r="P103" s="2" t="s">
        <v>1661</v>
      </c>
    </row>
    <row r="104" spans="1:16" x14ac:dyDescent="0.35">
      <c r="A104" s="2" t="s">
        <v>1571</v>
      </c>
      <c r="C104" s="2" t="s">
        <v>1572</v>
      </c>
      <c r="D104" s="2" t="str">
        <f>IF(COUNTIF(RBE!$C$1:$C$629,A104)&gt;0,"Existe","Absent")</f>
        <v>Absent</v>
      </c>
      <c r="E104" s="2" t="s">
        <v>3163</v>
      </c>
      <c r="F104" s="2" t="s">
        <v>15</v>
      </c>
      <c r="H104" s="2" t="s">
        <v>1331</v>
      </c>
      <c r="I104" s="2" t="s">
        <v>395</v>
      </c>
      <c r="J104" s="2" t="s">
        <v>18</v>
      </c>
      <c r="K104" s="2" t="s">
        <v>19</v>
      </c>
      <c r="L104" s="5">
        <v>45859.711261574099</v>
      </c>
      <c r="M104" s="3">
        <v>45957</v>
      </c>
      <c r="N104" s="3">
        <v>46321</v>
      </c>
      <c r="P104" s="2" t="s">
        <v>1573</v>
      </c>
    </row>
    <row r="105" spans="1:16" x14ac:dyDescent="0.35">
      <c r="A105" s="2" t="s">
        <v>1328</v>
      </c>
      <c r="B105" s="2" t="s">
        <v>1329</v>
      </c>
      <c r="C105" s="2" t="s">
        <v>1330</v>
      </c>
      <c r="D105" s="2" t="str">
        <f>IF(COUNTIF(RBE!$C$1:$C$629,A105)&gt;0,"Existe","Absent")</f>
        <v>Absent</v>
      </c>
      <c r="E105" s="2" t="s">
        <v>3163</v>
      </c>
      <c r="F105" s="2" t="s">
        <v>15</v>
      </c>
      <c r="H105" s="2" t="s">
        <v>1331</v>
      </c>
      <c r="I105" s="2" t="s">
        <v>395</v>
      </c>
      <c r="J105" s="2" t="s">
        <v>18</v>
      </c>
      <c r="K105" s="2" t="s">
        <v>185</v>
      </c>
      <c r="L105" s="3">
        <v>45183</v>
      </c>
      <c r="M105" s="3">
        <v>45336</v>
      </c>
      <c r="N105" s="3">
        <v>45701</v>
      </c>
      <c r="P105" s="2" t="s">
        <v>1332</v>
      </c>
    </row>
    <row r="106" spans="1:16" x14ac:dyDescent="0.35">
      <c r="A106" s="2" t="s">
        <v>1562</v>
      </c>
      <c r="C106" s="2" t="s">
        <v>1563</v>
      </c>
      <c r="D106" s="2" t="str">
        <f>IF(COUNTIF(RBE!$C$1:$C$629,A106)&gt;0,"Existe","Absent")</f>
        <v>Absent</v>
      </c>
      <c r="E106" s="2" t="s">
        <v>3163</v>
      </c>
      <c r="F106" s="2" t="s">
        <v>15</v>
      </c>
      <c r="H106" s="2" t="s">
        <v>1331</v>
      </c>
      <c r="J106" s="2" t="s">
        <v>18</v>
      </c>
      <c r="K106" s="2" t="s">
        <v>185</v>
      </c>
      <c r="L106" s="3">
        <v>45800</v>
      </c>
      <c r="M106" s="3">
        <v>45803</v>
      </c>
      <c r="N106" s="3">
        <v>46167</v>
      </c>
      <c r="P106" s="2" t="s">
        <v>1564</v>
      </c>
    </row>
    <row r="107" spans="1:16" x14ac:dyDescent="0.35">
      <c r="A107" s="2" t="s">
        <v>13</v>
      </c>
      <c r="C107" s="2" t="s">
        <v>14</v>
      </c>
      <c r="D107" s="2" t="str">
        <f>IF(COUNTIF(RBE!$C$1:$C$629,A107)&gt;0,"Existe","Absent")</f>
        <v>Absent</v>
      </c>
      <c r="E107" s="2" t="s">
        <v>3163</v>
      </c>
      <c r="F107" s="2" t="s">
        <v>15</v>
      </c>
      <c r="H107" s="2" t="s">
        <v>16</v>
      </c>
      <c r="I107" s="2" t="s">
        <v>17</v>
      </c>
      <c r="J107" s="2" t="s">
        <v>18</v>
      </c>
      <c r="K107" s="2" t="s">
        <v>19</v>
      </c>
      <c r="L107" s="3">
        <v>21177</v>
      </c>
      <c r="M107" s="3">
        <v>21551</v>
      </c>
      <c r="N107" s="3">
        <v>48945</v>
      </c>
      <c r="P107" s="2" t="s">
        <v>20</v>
      </c>
    </row>
    <row r="108" spans="1:16" x14ac:dyDescent="0.35">
      <c r="A108" s="2" t="s">
        <v>434</v>
      </c>
      <c r="B108" s="2" t="s">
        <v>328</v>
      </c>
      <c r="C108" s="2" t="s">
        <v>435</v>
      </c>
      <c r="D108" s="2" t="str">
        <f>IF(COUNTIF(RBE!$C$1:$C$629,A108)&gt;0,"Existe","Absent")</f>
        <v>Absent</v>
      </c>
      <c r="E108" s="2" t="s">
        <v>3163</v>
      </c>
      <c r="F108" s="2" t="s">
        <v>15</v>
      </c>
      <c r="H108" s="2" t="s">
        <v>311</v>
      </c>
      <c r="I108" s="2" t="s">
        <v>149</v>
      </c>
      <c r="J108" s="2" t="s">
        <v>41</v>
      </c>
      <c r="K108" s="2" t="s">
        <v>19</v>
      </c>
      <c r="L108" s="3">
        <v>43151</v>
      </c>
      <c r="M108" s="3">
        <v>43210</v>
      </c>
      <c r="N108" s="3">
        <v>45035</v>
      </c>
      <c r="P108" s="2" t="s">
        <v>436</v>
      </c>
    </row>
    <row r="109" spans="1:16" x14ac:dyDescent="0.35">
      <c r="A109" s="2" t="s">
        <v>437</v>
      </c>
      <c r="B109" s="2" t="s">
        <v>393</v>
      </c>
      <c r="C109" s="2" t="s">
        <v>435</v>
      </c>
      <c r="D109" s="2" t="str">
        <f>IF(COUNTIF(RBE!$C$1:$C$629,A109)&gt;0,"Existe","Absent")</f>
        <v>Absent</v>
      </c>
      <c r="E109" s="2" t="s">
        <v>3163</v>
      </c>
      <c r="F109" s="2" t="s">
        <v>15</v>
      </c>
      <c r="H109" s="2" t="s">
        <v>311</v>
      </c>
      <c r="I109" s="2" t="s">
        <v>395</v>
      </c>
      <c r="J109" s="2" t="s">
        <v>41</v>
      </c>
      <c r="K109" s="2" t="s">
        <v>19</v>
      </c>
      <c r="L109" s="3">
        <v>43151</v>
      </c>
      <c r="M109" s="3">
        <v>43210</v>
      </c>
      <c r="N109" s="3">
        <v>45035</v>
      </c>
      <c r="P109" s="2" t="s">
        <v>438</v>
      </c>
    </row>
    <row r="110" spans="1:16" x14ac:dyDescent="0.35">
      <c r="A110" s="2" t="s">
        <v>46</v>
      </c>
      <c r="C110" s="2" t="s">
        <v>47</v>
      </c>
      <c r="D110" s="2" t="str">
        <f>IF(COUNTIF(RBE!$C$1:$C$629,A110)&gt;0,"Existe","Absent")</f>
        <v>Absent</v>
      </c>
      <c r="E110" s="2" t="s">
        <v>3163</v>
      </c>
      <c r="F110" s="2" t="s">
        <v>15</v>
      </c>
      <c r="H110" s="2" t="s">
        <v>27</v>
      </c>
      <c r="I110" s="2" t="s">
        <v>28</v>
      </c>
      <c r="J110" s="2" t="s">
        <v>18</v>
      </c>
      <c r="K110" s="2" t="s">
        <v>19</v>
      </c>
      <c r="L110" s="3">
        <v>30365</v>
      </c>
      <c r="M110" s="3">
        <v>30466</v>
      </c>
      <c r="N110" s="3">
        <v>46285</v>
      </c>
      <c r="P110" s="2" t="s">
        <v>48</v>
      </c>
    </row>
    <row r="111" spans="1:16" x14ac:dyDescent="0.35">
      <c r="A111" s="2" t="s">
        <v>62</v>
      </c>
      <c r="B111" s="2" t="s">
        <v>58</v>
      </c>
      <c r="C111" s="2" t="s">
        <v>47</v>
      </c>
      <c r="D111" s="2" t="str">
        <f>IF(COUNTIF(RBE!$C$1:$C$629,A111)&gt;0,"Existe","Absent")</f>
        <v>Absent</v>
      </c>
      <c r="E111" s="2" t="s">
        <v>3163</v>
      </c>
      <c r="F111" s="2" t="s">
        <v>15</v>
      </c>
      <c r="H111" s="2" t="s">
        <v>27</v>
      </c>
      <c r="I111" s="2" t="s">
        <v>60</v>
      </c>
      <c r="J111" s="2" t="s">
        <v>18</v>
      </c>
      <c r="K111" s="2" t="s">
        <v>19</v>
      </c>
      <c r="L111" s="3">
        <v>35192</v>
      </c>
      <c r="M111" s="3">
        <v>35384</v>
      </c>
      <c r="N111" s="3">
        <v>46121</v>
      </c>
      <c r="P111" s="2" t="s">
        <v>63</v>
      </c>
    </row>
    <row r="112" spans="1:16" x14ac:dyDescent="0.35">
      <c r="A112" s="2" t="s">
        <v>125</v>
      </c>
      <c r="B112" s="2" t="s">
        <v>126</v>
      </c>
      <c r="C112" s="2" t="s">
        <v>47</v>
      </c>
      <c r="D112" s="2" t="str">
        <f>IF(COUNTIF(RBE!$C$1:$C$629,A112)&gt;0,"Existe","Absent")</f>
        <v>Absent</v>
      </c>
      <c r="E112" s="2" t="s">
        <v>3163</v>
      </c>
      <c r="F112" s="2" t="s">
        <v>15</v>
      </c>
      <c r="H112" s="2" t="s">
        <v>27</v>
      </c>
      <c r="I112" s="2" t="s">
        <v>28</v>
      </c>
      <c r="J112" s="2" t="s">
        <v>18</v>
      </c>
      <c r="K112" s="2" t="s">
        <v>19</v>
      </c>
      <c r="L112" s="3">
        <v>39384</v>
      </c>
      <c r="M112" s="3">
        <v>39629</v>
      </c>
      <c r="N112" s="3">
        <v>46128</v>
      </c>
      <c r="P112" s="2" t="s">
        <v>127</v>
      </c>
    </row>
    <row r="113" spans="1:16" x14ac:dyDescent="0.35">
      <c r="A113" s="2" t="s">
        <v>131</v>
      </c>
      <c r="B113" s="2" t="s">
        <v>132</v>
      </c>
      <c r="C113" s="2" t="s">
        <v>47</v>
      </c>
      <c r="D113" s="2" t="str">
        <f>IF(COUNTIF(RBE!$C$1:$C$629,A113)&gt;0,"Existe","Absent")</f>
        <v>Absent</v>
      </c>
      <c r="E113" s="2" t="s">
        <v>3163</v>
      </c>
      <c r="F113" s="2" t="s">
        <v>15</v>
      </c>
      <c r="H113" s="2" t="s">
        <v>27</v>
      </c>
      <c r="I113" s="2" t="s">
        <v>28</v>
      </c>
      <c r="J113" s="2" t="s">
        <v>18</v>
      </c>
      <c r="K113" s="2" t="s">
        <v>19</v>
      </c>
      <c r="L113" s="3">
        <v>39496</v>
      </c>
      <c r="M113" s="3">
        <v>40032</v>
      </c>
      <c r="N113" s="3">
        <v>46339</v>
      </c>
      <c r="P113" s="2" t="s">
        <v>133</v>
      </c>
    </row>
    <row r="114" spans="1:16" x14ac:dyDescent="0.35">
      <c r="A114" s="2" t="s">
        <v>134</v>
      </c>
      <c r="B114" s="2" t="s">
        <v>58</v>
      </c>
      <c r="C114" s="2" t="s">
        <v>47</v>
      </c>
      <c r="D114" s="2" t="str">
        <f>IF(COUNTIF(RBE!$C$1:$C$629,A114)&gt;0,"Existe","Absent")</f>
        <v>Absent</v>
      </c>
      <c r="E114" s="2" t="s">
        <v>3163</v>
      </c>
      <c r="F114" s="2" t="s">
        <v>15</v>
      </c>
      <c r="H114" s="2" t="s">
        <v>27</v>
      </c>
      <c r="I114" s="2" t="s">
        <v>60</v>
      </c>
      <c r="J114" s="2" t="s">
        <v>18</v>
      </c>
      <c r="K114" s="2" t="s">
        <v>19</v>
      </c>
      <c r="L114" s="3">
        <v>39694</v>
      </c>
      <c r="M114" s="3">
        <v>40032</v>
      </c>
      <c r="N114" s="3">
        <v>46119</v>
      </c>
      <c r="P114" s="2" t="s">
        <v>135</v>
      </c>
    </row>
    <row r="115" spans="1:16" x14ac:dyDescent="0.35">
      <c r="A115" s="2" t="s">
        <v>252</v>
      </c>
      <c r="B115" s="2" t="s">
        <v>253</v>
      </c>
      <c r="C115" s="2" t="s">
        <v>47</v>
      </c>
      <c r="D115" s="2" t="str">
        <f>IF(COUNTIF(RBE!$C$1:$C$629,A115)&gt;0,"Existe","Absent")</f>
        <v>Absent</v>
      </c>
      <c r="E115" s="2" t="s">
        <v>3163</v>
      </c>
      <c r="F115" s="2" t="s">
        <v>15</v>
      </c>
      <c r="H115" s="2" t="s">
        <v>27</v>
      </c>
      <c r="I115" s="2" t="s">
        <v>28</v>
      </c>
      <c r="J115" s="2" t="s">
        <v>18</v>
      </c>
      <c r="K115" s="2" t="s">
        <v>19</v>
      </c>
      <c r="L115" s="3">
        <v>41729</v>
      </c>
      <c r="M115" s="3">
        <v>42688</v>
      </c>
      <c r="N115" s="3">
        <v>46339</v>
      </c>
      <c r="P115" s="2" t="s">
        <v>254</v>
      </c>
    </row>
    <row r="116" spans="1:16" x14ac:dyDescent="0.35">
      <c r="A116" s="2" t="s">
        <v>442</v>
      </c>
      <c r="C116" s="2" t="s">
        <v>47</v>
      </c>
      <c r="D116" s="2" t="str">
        <f>IF(COUNTIF(RBE!$C$1:$C$629,A116)&gt;0,"Existe","Absent")</f>
        <v>Absent</v>
      </c>
      <c r="E116" s="2" t="s">
        <v>3163</v>
      </c>
      <c r="F116" s="2" t="s">
        <v>15</v>
      </c>
      <c r="H116" s="2" t="s">
        <v>27</v>
      </c>
      <c r="I116" s="2" t="s">
        <v>28</v>
      </c>
      <c r="J116" s="2" t="s">
        <v>18</v>
      </c>
      <c r="K116" s="2" t="s">
        <v>19</v>
      </c>
      <c r="L116" s="3">
        <v>43178</v>
      </c>
      <c r="M116" s="3">
        <v>43493</v>
      </c>
      <c r="N116" s="3">
        <v>46779</v>
      </c>
      <c r="P116" s="2" t="s">
        <v>443</v>
      </c>
    </row>
    <row r="117" spans="1:16" x14ac:dyDescent="0.35">
      <c r="A117" s="2" t="s">
        <v>463</v>
      </c>
      <c r="B117" s="2" t="s">
        <v>464</v>
      </c>
      <c r="C117" s="2" t="s">
        <v>47</v>
      </c>
      <c r="D117" s="2" t="str">
        <f>IF(COUNTIF(RBE!$C$1:$C$629,A117)&gt;0,"Existe","Absent")</f>
        <v>Absent</v>
      </c>
      <c r="E117" s="2" t="s">
        <v>3163</v>
      </c>
      <c r="F117" s="2" t="s">
        <v>15</v>
      </c>
      <c r="H117" s="2" t="s">
        <v>27</v>
      </c>
      <c r="I117" s="2" t="s">
        <v>28</v>
      </c>
      <c r="J117" s="2" t="s">
        <v>18</v>
      </c>
      <c r="K117" s="2" t="s">
        <v>88</v>
      </c>
      <c r="L117" s="3">
        <v>43291</v>
      </c>
      <c r="M117" s="3">
        <v>43510</v>
      </c>
      <c r="N117" s="3">
        <v>47162</v>
      </c>
      <c r="P117" s="2" t="s">
        <v>465</v>
      </c>
    </row>
    <row r="118" spans="1:16" x14ac:dyDescent="0.35">
      <c r="A118" s="2" t="s">
        <v>1264</v>
      </c>
      <c r="C118" s="2" t="s">
        <v>47</v>
      </c>
      <c r="D118" s="2" t="str">
        <f>IF(COUNTIF(RBE!$C$1:$C$629,A118)&gt;0,"Existe","Absent")</f>
        <v>Absent</v>
      </c>
      <c r="E118" s="2" t="s">
        <v>3163</v>
      </c>
      <c r="F118" s="2" t="s">
        <v>15</v>
      </c>
      <c r="H118" s="2" t="s">
        <v>27</v>
      </c>
      <c r="I118" s="2" t="s">
        <v>28</v>
      </c>
      <c r="J118" s="2" t="s">
        <v>18</v>
      </c>
      <c r="K118" s="2" t="s">
        <v>19</v>
      </c>
      <c r="L118" s="3">
        <v>39629</v>
      </c>
      <c r="M118" s="3">
        <v>43280</v>
      </c>
      <c r="N118" s="3">
        <v>46931</v>
      </c>
      <c r="P118" s="2" t="s">
        <v>1265</v>
      </c>
    </row>
    <row r="119" spans="1:16" x14ac:dyDescent="0.35">
      <c r="A119" s="2" t="s">
        <v>53</v>
      </c>
      <c r="B119" s="2" t="s">
        <v>25</v>
      </c>
      <c r="C119" s="2" t="s">
        <v>54</v>
      </c>
      <c r="D119" s="2" t="str">
        <f>IF(COUNTIF(RBE!$C$1:$C$629,A119)&gt;0,"Existe","Absent")</f>
        <v>Absent</v>
      </c>
      <c r="E119" s="2" t="s">
        <v>3163</v>
      </c>
      <c r="F119" s="2" t="s">
        <v>15</v>
      </c>
      <c r="H119" s="2" t="s">
        <v>27</v>
      </c>
      <c r="I119" s="2" t="s">
        <v>28</v>
      </c>
      <c r="J119" s="2" t="s">
        <v>55</v>
      </c>
      <c r="K119" s="2" t="s">
        <v>19</v>
      </c>
      <c r="L119" s="3">
        <v>34432</v>
      </c>
      <c r="M119" s="3">
        <v>34990</v>
      </c>
      <c r="N119" s="3">
        <v>45670</v>
      </c>
      <c r="P119" s="2" t="s">
        <v>56</v>
      </c>
    </row>
    <row r="120" spans="1:16" x14ac:dyDescent="0.35">
      <c r="A120" s="2" t="s">
        <v>661</v>
      </c>
      <c r="B120" s="2" t="s">
        <v>662</v>
      </c>
      <c r="C120" s="2" t="s">
        <v>54</v>
      </c>
      <c r="D120" s="2" t="str">
        <f>IF(COUNTIF(RBE!$C$1:$C$629,A120)&gt;0,"Existe","Absent")</f>
        <v>Absent</v>
      </c>
      <c r="E120" s="2" t="s">
        <v>3163</v>
      </c>
      <c r="F120" s="2" t="s">
        <v>15</v>
      </c>
      <c r="H120" s="2" t="s">
        <v>27</v>
      </c>
      <c r="I120" s="2" t="s">
        <v>663</v>
      </c>
      <c r="J120" s="2" t="s">
        <v>18</v>
      </c>
      <c r="K120" s="2" t="s">
        <v>177</v>
      </c>
      <c r="L120" s="3">
        <v>43754</v>
      </c>
      <c r="M120" s="3">
        <v>44114</v>
      </c>
      <c r="N120" s="3">
        <v>45939</v>
      </c>
      <c r="P120" s="2" t="s">
        <v>664</v>
      </c>
    </row>
    <row r="121" spans="1:16" x14ac:dyDescent="0.35">
      <c r="A121" s="2" t="s">
        <v>1640</v>
      </c>
      <c r="C121" s="2" t="s">
        <v>1641</v>
      </c>
      <c r="D121" s="2" t="str">
        <f>IF(COUNTIF(RBE!$C$1:$C$629,A121)&gt;0,"Existe","Absent")</f>
        <v>Absent</v>
      </c>
      <c r="E121" s="2" t="s">
        <v>3163</v>
      </c>
      <c r="F121" s="2" t="s">
        <v>15</v>
      </c>
      <c r="H121" s="2" t="s">
        <v>573</v>
      </c>
      <c r="I121" s="2" t="s">
        <v>395</v>
      </c>
      <c r="J121" s="2" t="s">
        <v>18</v>
      </c>
      <c r="K121" s="2" t="s">
        <v>19</v>
      </c>
      <c r="L121" s="5">
        <v>45821.470891203702</v>
      </c>
      <c r="M121" s="3">
        <v>45957</v>
      </c>
      <c r="N121" s="3">
        <v>46321</v>
      </c>
      <c r="P121" s="2" t="s">
        <v>1642</v>
      </c>
    </row>
    <row r="122" spans="1:16" x14ac:dyDescent="0.35">
      <c r="A122" s="2" t="s">
        <v>857</v>
      </c>
      <c r="C122" s="2" t="s">
        <v>858</v>
      </c>
      <c r="D122" s="2" t="str">
        <f>IF(COUNTIF(RBE!$C$1:$C$629,A122)&gt;0,"Existe","Absent")</f>
        <v>Absent</v>
      </c>
      <c r="E122" s="2" t="s">
        <v>3163</v>
      </c>
      <c r="F122" s="2" t="s">
        <v>15</v>
      </c>
      <c r="H122" s="2" t="s">
        <v>311</v>
      </c>
      <c r="I122" s="2" t="s">
        <v>149</v>
      </c>
      <c r="J122" s="2" t="s">
        <v>18</v>
      </c>
      <c r="K122" s="2" t="s">
        <v>19</v>
      </c>
      <c r="L122" s="3">
        <v>44814</v>
      </c>
      <c r="M122" s="3">
        <v>44873</v>
      </c>
      <c r="N122" s="3">
        <v>46698</v>
      </c>
    </row>
    <row r="123" spans="1:16" x14ac:dyDescent="0.35">
      <c r="A123" s="2" t="s">
        <v>1004</v>
      </c>
      <c r="B123" s="2" t="s">
        <v>1005</v>
      </c>
      <c r="C123" s="2" t="s">
        <v>1006</v>
      </c>
      <c r="D123" s="2" t="str">
        <f>IF(COUNTIF(RBE!$C$1:$C$629,A123)&gt;0,"Existe","Absent")</f>
        <v>Absent</v>
      </c>
      <c r="E123" s="2" t="s">
        <v>3163</v>
      </c>
      <c r="F123" s="2" t="s">
        <v>15</v>
      </c>
      <c r="H123" s="2" t="s">
        <v>154</v>
      </c>
      <c r="I123" s="2" t="s">
        <v>93</v>
      </c>
      <c r="J123" s="2" t="s">
        <v>18</v>
      </c>
      <c r="K123" s="2" t="s">
        <v>88</v>
      </c>
      <c r="L123" s="3">
        <v>44999</v>
      </c>
      <c r="M123" s="3">
        <v>45070</v>
      </c>
      <c r="N123" s="3">
        <v>46165</v>
      </c>
      <c r="P123" s="2" t="s">
        <v>1007</v>
      </c>
    </row>
    <row r="124" spans="1:16" x14ac:dyDescent="0.35">
      <c r="A124" s="2" t="s">
        <v>187</v>
      </c>
      <c r="B124" s="2" t="s">
        <v>188</v>
      </c>
      <c r="C124" s="2" t="s">
        <v>189</v>
      </c>
      <c r="D124" s="2" t="str">
        <f>IF(COUNTIF(RBE!$C$1:$C$629,A124)&gt;0,"Existe","Absent")</f>
        <v>Absent</v>
      </c>
      <c r="E124" s="2" t="s">
        <v>3163</v>
      </c>
      <c r="F124" s="2" t="s">
        <v>15</v>
      </c>
      <c r="H124" s="2" t="s">
        <v>27</v>
      </c>
      <c r="I124" s="2" t="s">
        <v>60</v>
      </c>
      <c r="J124" s="2" t="s">
        <v>41</v>
      </c>
      <c r="K124" s="2" t="s">
        <v>190</v>
      </c>
      <c r="L124" s="3">
        <v>41085</v>
      </c>
      <c r="M124" s="3">
        <v>43139</v>
      </c>
      <c r="N124" s="3">
        <v>44964</v>
      </c>
      <c r="P124" s="2" t="s">
        <v>191</v>
      </c>
    </row>
    <row r="125" spans="1:16" x14ac:dyDescent="0.35">
      <c r="A125" s="2" t="s">
        <v>1759</v>
      </c>
      <c r="B125" s="2" t="s">
        <v>1760</v>
      </c>
      <c r="C125" s="2" t="s">
        <v>1761</v>
      </c>
      <c r="D125" s="2" t="str">
        <f>IF(COUNTIF(RBE!$C$1:$C$629,A125)&gt;0,"Existe","Absent")</f>
        <v>Absent</v>
      </c>
      <c r="E125" s="2" t="s">
        <v>3163</v>
      </c>
      <c r="F125" s="2" t="s">
        <v>15</v>
      </c>
      <c r="H125" s="2" t="s">
        <v>154</v>
      </c>
      <c r="I125" s="2" t="s">
        <v>93</v>
      </c>
      <c r="J125" s="2" t="s">
        <v>18</v>
      </c>
      <c r="K125" s="2" t="s">
        <v>88</v>
      </c>
      <c r="L125" s="3">
        <v>41270</v>
      </c>
      <c r="M125" s="3">
        <v>41516</v>
      </c>
      <c r="N125" s="3">
        <v>45479</v>
      </c>
      <c r="O125" s="3">
        <v>42977</v>
      </c>
      <c r="P125" s="2" t="s">
        <v>370</v>
      </c>
    </row>
    <row r="126" spans="1:16" x14ac:dyDescent="0.35">
      <c r="A126" s="2" t="s">
        <v>282</v>
      </c>
      <c r="B126" s="2" t="s">
        <v>283</v>
      </c>
      <c r="C126" s="2" t="s">
        <v>284</v>
      </c>
      <c r="D126" s="2" t="str">
        <f>IF(COUNTIF(RBE!$C$1:$C$629,A126)&gt;0,"Existe","Absent")</f>
        <v>Absent</v>
      </c>
      <c r="E126" s="2" t="s">
        <v>3163</v>
      </c>
      <c r="F126" s="2" t="s">
        <v>15</v>
      </c>
      <c r="H126" s="2" t="s">
        <v>27</v>
      </c>
      <c r="I126" s="2" t="s">
        <v>28</v>
      </c>
      <c r="J126" s="2" t="s">
        <v>18</v>
      </c>
      <c r="K126" s="2" t="s">
        <v>88</v>
      </c>
      <c r="L126" s="3">
        <v>42048</v>
      </c>
      <c r="M126" s="3">
        <v>42479</v>
      </c>
      <c r="N126" s="3">
        <v>46130</v>
      </c>
      <c r="O126" s="3">
        <v>44305</v>
      </c>
      <c r="P126" s="2" t="s">
        <v>285</v>
      </c>
    </row>
    <row r="127" spans="1:16" x14ac:dyDescent="0.35">
      <c r="A127" s="2" t="s">
        <v>1147</v>
      </c>
      <c r="C127" s="2" t="s">
        <v>1148</v>
      </c>
      <c r="D127" s="2" t="str">
        <f>IF(COUNTIF(RBE!$C$1:$C$629,A127)&gt;0,"Existe","Absent")</f>
        <v>Absent</v>
      </c>
      <c r="E127" s="2" t="s">
        <v>3163</v>
      </c>
      <c r="F127" s="2" t="s">
        <v>15</v>
      </c>
      <c r="H127" s="2" t="s">
        <v>311</v>
      </c>
      <c r="I127" s="2" t="s">
        <v>149</v>
      </c>
      <c r="J127" s="2" t="s">
        <v>18</v>
      </c>
      <c r="K127" s="2" t="s">
        <v>19</v>
      </c>
      <c r="L127" s="3">
        <v>45124</v>
      </c>
      <c r="M127" s="3">
        <v>45169</v>
      </c>
      <c r="N127" s="3">
        <v>46995</v>
      </c>
    </row>
    <row r="128" spans="1:16" x14ac:dyDescent="0.35">
      <c r="A128" s="2" t="s">
        <v>1673</v>
      </c>
      <c r="C128" s="2" t="s">
        <v>1674</v>
      </c>
      <c r="D128" s="2" t="str">
        <f>IF(COUNTIF(RBE!$C$1:$C$629,A128)&gt;0,"Existe","Absent")</f>
        <v>Absent</v>
      </c>
      <c r="E128" s="2" t="s">
        <v>3163</v>
      </c>
      <c r="F128" s="2" t="s">
        <v>15</v>
      </c>
      <c r="H128" s="2" t="s">
        <v>573</v>
      </c>
      <c r="I128" s="2" t="s">
        <v>395</v>
      </c>
      <c r="J128" s="2" t="s">
        <v>18</v>
      </c>
      <c r="K128" s="2" t="s">
        <v>19</v>
      </c>
      <c r="L128" s="5">
        <v>45971.6219444444</v>
      </c>
      <c r="M128" s="3">
        <v>45987</v>
      </c>
      <c r="N128" s="3">
        <v>46351</v>
      </c>
      <c r="P128" s="2" t="s">
        <v>1675</v>
      </c>
    </row>
    <row r="129" spans="1:16" x14ac:dyDescent="0.35">
      <c r="A129" s="2" t="s">
        <v>1215</v>
      </c>
      <c r="B129" s="2" t="s">
        <v>1216</v>
      </c>
      <c r="C129" s="2" t="s">
        <v>1217</v>
      </c>
      <c r="D129" s="2" t="str">
        <f>IF(COUNTIF(RBE!$C$1:$C$629,A129)&gt;0,"Existe","Absent")</f>
        <v>Absent</v>
      </c>
      <c r="E129" s="2" t="s">
        <v>3163</v>
      </c>
      <c r="F129" s="2" t="s">
        <v>15</v>
      </c>
      <c r="H129" s="2" t="s">
        <v>573</v>
      </c>
      <c r="I129" s="2" t="s">
        <v>1218</v>
      </c>
      <c r="J129" s="2" t="s">
        <v>18</v>
      </c>
      <c r="K129" s="2" t="s">
        <v>19</v>
      </c>
      <c r="L129" s="3">
        <v>45132</v>
      </c>
      <c r="M129" s="3">
        <v>45271</v>
      </c>
      <c r="N129" s="3">
        <v>45636</v>
      </c>
      <c r="P129" s="2" t="s">
        <v>1219</v>
      </c>
    </row>
    <row r="130" spans="1:16" x14ac:dyDescent="0.35">
      <c r="A130" s="2" t="s">
        <v>570</v>
      </c>
      <c r="B130" s="2" t="s">
        <v>571</v>
      </c>
      <c r="C130" s="2" t="s">
        <v>572</v>
      </c>
      <c r="D130" s="2" t="str">
        <f>IF(COUNTIF(RBE!$C$1:$C$629,A130)&gt;0,"Existe","Absent")</f>
        <v>Absent</v>
      </c>
      <c r="E130" s="2" t="s">
        <v>3163</v>
      </c>
      <c r="F130" s="2" t="s">
        <v>15</v>
      </c>
      <c r="H130" s="2" t="s">
        <v>573</v>
      </c>
      <c r="I130" s="2" t="s">
        <v>395</v>
      </c>
      <c r="J130" s="2" t="s">
        <v>574</v>
      </c>
      <c r="K130" s="2" t="s">
        <v>101</v>
      </c>
      <c r="L130" s="3">
        <v>44225</v>
      </c>
      <c r="M130" s="3">
        <v>44256</v>
      </c>
      <c r="N130" s="3">
        <v>44441</v>
      </c>
      <c r="P130" s="2" t="s">
        <v>575</v>
      </c>
    </row>
    <row r="131" spans="1:16" x14ac:dyDescent="0.35">
      <c r="A131" s="2" t="s">
        <v>1728</v>
      </c>
      <c r="C131" s="2" t="s">
        <v>1729</v>
      </c>
      <c r="D131" s="2" t="str">
        <f>IF(COUNTIF(RBE!$C$1:$C$629,A131)&gt;0,"Existe","Absent")</f>
        <v>Absent</v>
      </c>
      <c r="E131" s="2" t="s">
        <v>3163</v>
      </c>
      <c r="F131" s="2" t="s">
        <v>15</v>
      </c>
      <c r="H131" s="2" t="s">
        <v>1609</v>
      </c>
      <c r="I131" s="2" t="s">
        <v>82</v>
      </c>
      <c r="J131" s="2" t="s">
        <v>18</v>
      </c>
      <c r="K131" s="2" t="s">
        <v>177</v>
      </c>
      <c r="L131" s="3">
        <v>45418</v>
      </c>
      <c r="M131" s="3">
        <v>46076</v>
      </c>
      <c r="N131" s="3">
        <v>46256</v>
      </c>
      <c r="P131" s="2" t="s">
        <v>1730</v>
      </c>
    </row>
    <row r="132" spans="1:16" x14ac:dyDescent="0.35">
      <c r="A132" s="2" t="s">
        <v>120</v>
      </c>
      <c r="B132" s="2" t="s">
        <v>121</v>
      </c>
      <c r="C132" s="2" t="s">
        <v>122</v>
      </c>
      <c r="D132" s="2" t="str">
        <f>IF(COUNTIF(RBE!$C$1:$C$629,A132)&gt;0,"Existe","Absent")</f>
        <v>Absent</v>
      </c>
      <c r="E132" s="2" t="s">
        <v>3163</v>
      </c>
      <c r="F132" s="2" t="s">
        <v>15</v>
      </c>
      <c r="H132" s="2" t="s">
        <v>16</v>
      </c>
      <c r="I132" s="2" t="s">
        <v>123</v>
      </c>
      <c r="J132" s="2" t="s">
        <v>18</v>
      </c>
      <c r="K132" s="2" t="s">
        <v>19</v>
      </c>
      <c r="L132" s="3">
        <v>39310</v>
      </c>
      <c r="M132" s="3">
        <v>39794</v>
      </c>
      <c r="N132" s="3">
        <v>48924</v>
      </c>
      <c r="P132" s="2" t="s">
        <v>124</v>
      </c>
    </row>
    <row r="133" spans="1:16" x14ac:dyDescent="0.35">
      <c r="A133" s="2" t="s">
        <v>1506</v>
      </c>
      <c r="B133" s="2" t="s">
        <v>1507</v>
      </c>
      <c r="C133" s="2" t="s">
        <v>1508</v>
      </c>
      <c r="D133" s="2" t="str">
        <f>IF(COUNTIF(RBE!$C$1:$C$629,A133)&gt;0,"Existe","Absent")</f>
        <v>Absent</v>
      </c>
      <c r="E133" s="2" t="s">
        <v>3163</v>
      </c>
      <c r="F133" s="2" t="s">
        <v>15</v>
      </c>
      <c r="H133" s="2" t="s">
        <v>139</v>
      </c>
      <c r="I133" s="2" t="s">
        <v>175</v>
      </c>
      <c r="J133" s="2" t="s">
        <v>18</v>
      </c>
      <c r="K133" s="2" t="s">
        <v>177</v>
      </c>
      <c r="L133" s="3">
        <v>45307</v>
      </c>
      <c r="M133" s="3">
        <v>45365</v>
      </c>
      <c r="N133" s="3">
        <v>46825</v>
      </c>
      <c r="P133" s="2" t="s">
        <v>1509</v>
      </c>
    </row>
    <row r="134" spans="1:16" x14ac:dyDescent="0.35">
      <c r="A134" s="2" t="s">
        <v>1601</v>
      </c>
      <c r="B134" s="2" t="s">
        <v>1602</v>
      </c>
      <c r="C134" s="2" t="s">
        <v>1603</v>
      </c>
      <c r="D134" s="2" t="str">
        <f>IF(COUNTIF(RBE!$C$1:$C$629,A134)&gt;0,"Existe","Absent")</f>
        <v>Absent</v>
      </c>
      <c r="E134" s="2" t="s">
        <v>3163</v>
      </c>
      <c r="F134" s="2" t="s">
        <v>15</v>
      </c>
      <c r="H134" s="2" t="s">
        <v>573</v>
      </c>
      <c r="I134" s="2" t="s">
        <v>395</v>
      </c>
      <c r="J134" s="2" t="s">
        <v>18</v>
      </c>
      <c r="K134" s="2" t="s">
        <v>853</v>
      </c>
      <c r="L134" s="5">
        <v>45960.42</v>
      </c>
      <c r="M134" s="3">
        <v>45985</v>
      </c>
      <c r="N134" s="3">
        <v>46349</v>
      </c>
      <c r="P134" s="2" t="s">
        <v>1604</v>
      </c>
    </row>
    <row r="135" spans="1:16" x14ac:dyDescent="0.35">
      <c r="A135" s="2" t="s">
        <v>1676</v>
      </c>
      <c r="C135" s="2" t="s">
        <v>1677</v>
      </c>
      <c r="D135" s="2" t="str">
        <f>IF(COUNTIF(RBE!$C$1:$C$629,A135)&gt;0,"Existe","Absent")</f>
        <v>Absent</v>
      </c>
      <c r="E135" s="2" t="s">
        <v>3163</v>
      </c>
      <c r="F135" s="2" t="s">
        <v>15</v>
      </c>
      <c r="H135" s="2" t="s">
        <v>573</v>
      </c>
      <c r="I135" s="2" t="s">
        <v>395</v>
      </c>
      <c r="J135" s="2" t="s">
        <v>18</v>
      </c>
      <c r="K135" s="2" t="s">
        <v>299</v>
      </c>
      <c r="L135" s="5">
        <v>45999.676689814798</v>
      </c>
      <c r="M135" s="3">
        <v>46014</v>
      </c>
      <c r="N135" s="3">
        <v>46378</v>
      </c>
      <c r="P135" s="2" t="s">
        <v>1678</v>
      </c>
    </row>
    <row r="136" spans="1:16" x14ac:dyDescent="0.35">
      <c r="A136" s="2" t="s">
        <v>1342</v>
      </c>
      <c r="B136" s="2" t="s">
        <v>1293</v>
      </c>
      <c r="C136" s="2" t="s">
        <v>1343</v>
      </c>
      <c r="D136" s="2" t="str">
        <f>IF(COUNTIF(RBE!$C$1:$C$629,A136)&gt;0,"Existe","Absent")</f>
        <v>Absent</v>
      </c>
      <c r="E136" s="2" t="s">
        <v>3163</v>
      </c>
      <c r="F136" s="2" t="s">
        <v>15</v>
      </c>
      <c r="H136" s="2" t="s">
        <v>27</v>
      </c>
      <c r="I136" s="2" t="s">
        <v>118</v>
      </c>
      <c r="J136" s="2" t="s">
        <v>18</v>
      </c>
      <c r="K136" s="2" t="s">
        <v>19</v>
      </c>
      <c r="L136" s="3">
        <v>45233</v>
      </c>
      <c r="M136" s="3">
        <v>45294</v>
      </c>
      <c r="N136" s="3">
        <v>47120</v>
      </c>
      <c r="P136" s="2" t="s">
        <v>1344</v>
      </c>
    </row>
    <row r="137" spans="1:16" x14ac:dyDescent="0.35">
      <c r="A137" s="2" t="s">
        <v>1712</v>
      </c>
      <c r="C137" s="2" t="s">
        <v>1713</v>
      </c>
      <c r="D137" s="2" t="str">
        <f>IF(COUNTIF(RBE!$C$1:$C$629,A137)&gt;0,"Existe","Absent")</f>
        <v>Absent</v>
      </c>
      <c r="E137" s="2" t="s">
        <v>3163</v>
      </c>
      <c r="F137" s="2" t="s">
        <v>15</v>
      </c>
      <c r="H137" s="2" t="s">
        <v>573</v>
      </c>
      <c r="I137" s="2" t="s">
        <v>1218</v>
      </c>
      <c r="J137" s="2" t="s">
        <v>18</v>
      </c>
      <c r="K137" s="2" t="s">
        <v>19</v>
      </c>
      <c r="L137" s="3">
        <v>45828</v>
      </c>
      <c r="M137" s="3">
        <v>45845</v>
      </c>
      <c r="N137" s="3">
        <v>46209</v>
      </c>
      <c r="P137" s="2" t="s">
        <v>1714</v>
      </c>
    </row>
    <row r="138" spans="1:16" x14ac:dyDescent="0.35">
      <c r="A138" s="2" t="s">
        <v>1721</v>
      </c>
      <c r="B138" s="2" t="s">
        <v>1722</v>
      </c>
      <c r="C138" s="2" t="s">
        <v>1723</v>
      </c>
      <c r="D138" s="2" t="str">
        <f>IF(COUNTIF(RBE!$C$1:$C$629,A138)&gt;0,"Existe","Absent")</f>
        <v>Absent</v>
      </c>
      <c r="E138" s="2" t="s">
        <v>3163</v>
      </c>
      <c r="F138" s="2" t="s">
        <v>15</v>
      </c>
      <c r="H138" s="2" t="s">
        <v>573</v>
      </c>
      <c r="I138" s="2" t="s">
        <v>395</v>
      </c>
      <c r="J138" s="2" t="s">
        <v>18</v>
      </c>
      <c r="K138" s="2" t="s">
        <v>19</v>
      </c>
      <c r="L138" s="5">
        <v>45875.416666666701</v>
      </c>
      <c r="M138" s="3">
        <v>46013</v>
      </c>
      <c r="N138" s="3">
        <v>46377</v>
      </c>
      <c r="P138" s="2" t="s">
        <v>1724</v>
      </c>
    </row>
    <row r="139" spans="1:16" x14ac:dyDescent="0.35">
      <c r="A139" s="2" t="s">
        <v>1271</v>
      </c>
      <c r="B139" s="2" t="s">
        <v>1272</v>
      </c>
      <c r="C139" s="2" t="s">
        <v>1273</v>
      </c>
      <c r="D139" s="2" t="str">
        <f>IF(COUNTIF(RBE!$C$1:$C$629,A139)&gt;0,"Existe","Absent")</f>
        <v>Absent</v>
      </c>
      <c r="E139" s="2" t="s">
        <v>3163</v>
      </c>
      <c r="F139" s="2" t="s">
        <v>15</v>
      </c>
      <c r="H139" s="2" t="s">
        <v>573</v>
      </c>
      <c r="I139" s="2" t="s">
        <v>395</v>
      </c>
      <c r="J139" s="2" t="s">
        <v>18</v>
      </c>
      <c r="K139" s="2" t="s">
        <v>19</v>
      </c>
      <c r="L139" s="3">
        <v>45287</v>
      </c>
      <c r="M139" s="3">
        <v>45317</v>
      </c>
      <c r="N139" s="3">
        <v>45682</v>
      </c>
      <c r="P139" s="2" t="s">
        <v>1274</v>
      </c>
    </row>
    <row r="140" spans="1:16" x14ac:dyDescent="0.35">
      <c r="A140" s="2" t="s">
        <v>770</v>
      </c>
      <c r="C140" s="2" t="s">
        <v>771</v>
      </c>
      <c r="D140" s="2" t="str">
        <f>IF(COUNTIF(RBE!$C$1:$C$629,A140)&gt;0,"Existe","Absent")</f>
        <v>Absent</v>
      </c>
      <c r="E140" s="2" t="s">
        <v>3163</v>
      </c>
      <c r="F140" s="2" t="s">
        <v>15</v>
      </c>
      <c r="H140" s="2" t="s">
        <v>311</v>
      </c>
      <c r="I140" s="2" t="s">
        <v>149</v>
      </c>
      <c r="J140" s="2" t="s">
        <v>18</v>
      </c>
      <c r="K140" s="2" t="s">
        <v>19</v>
      </c>
      <c r="L140" s="3">
        <v>44778</v>
      </c>
      <c r="M140" s="3">
        <v>44659</v>
      </c>
      <c r="N140" s="3">
        <v>46484</v>
      </c>
    </row>
    <row r="141" spans="1:16" x14ac:dyDescent="0.35">
      <c r="A141" s="2" t="s">
        <v>151</v>
      </c>
      <c r="B141" s="2" t="s">
        <v>152</v>
      </c>
      <c r="C141" s="2" t="s">
        <v>153</v>
      </c>
      <c r="D141" s="2" t="str">
        <f>IF(COUNTIF(RBE!$C$1:$C$629,A141)&gt;0,"Existe","Absent")</f>
        <v>Absent</v>
      </c>
      <c r="E141" s="2" t="s">
        <v>3163</v>
      </c>
      <c r="F141" s="2" t="s">
        <v>15</v>
      </c>
      <c r="H141" s="2" t="s">
        <v>154</v>
      </c>
      <c r="I141" s="2" t="s">
        <v>93</v>
      </c>
      <c r="J141" s="2" t="s">
        <v>55</v>
      </c>
      <c r="K141" s="2" t="s">
        <v>88</v>
      </c>
      <c r="L141" s="3">
        <v>40311</v>
      </c>
      <c r="M141" s="3">
        <v>40388</v>
      </c>
      <c r="N141" s="3">
        <v>45353</v>
      </c>
      <c r="P141" s="2" t="s">
        <v>155</v>
      </c>
    </row>
    <row r="142" spans="1:16" x14ac:dyDescent="0.35">
      <c r="A142" s="2" t="s">
        <v>682</v>
      </c>
      <c r="B142" s="2" t="s">
        <v>566</v>
      </c>
      <c r="C142" s="2" t="s">
        <v>683</v>
      </c>
      <c r="D142" s="2" t="str">
        <f>IF(COUNTIF(RBE!$C$1:$C$629,A142)&gt;0,"Existe","Absent")</f>
        <v>Absent</v>
      </c>
      <c r="E142" s="2" t="s">
        <v>3163</v>
      </c>
      <c r="F142" s="2" t="s">
        <v>15</v>
      </c>
      <c r="H142" s="2" t="s">
        <v>311</v>
      </c>
      <c r="I142" s="2" t="s">
        <v>149</v>
      </c>
      <c r="J142" s="2" t="s">
        <v>18</v>
      </c>
      <c r="K142" s="2" t="s">
        <v>19</v>
      </c>
      <c r="L142" s="3">
        <v>44404</v>
      </c>
      <c r="M142" s="3">
        <v>44642</v>
      </c>
      <c r="N142" s="3">
        <v>46467</v>
      </c>
    </row>
    <row r="143" spans="1:16" x14ac:dyDescent="0.35">
      <c r="A143" s="2" t="s">
        <v>1149</v>
      </c>
      <c r="C143" s="2" t="s">
        <v>1150</v>
      </c>
      <c r="D143" s="2" t="str">
        <f>IF(COUNTIF(RBE!$C$1:$C$629,A143)&gt;0,"Existe","Absent")</f>
        <v>Absent</v>
      </c>
      <c r="E143" s="2" t="s">
        <v>3163</v>
      </c>
      <c r="F143" s="2" t="s">
        <v>15</v>
      </c>
      <c r="H143" s="2" t="s">
        <v>311</v>
      </c>
      <c r="I143" s="2" t="s">
        <v>149</v>
      </c>
      <c r="J143" s="2" t="s">
        <v>18</v>
      </c>
      <c r="K143" s="2" t="s">
        <v>19</v>
      </c>
      <c r="L143" s="3">
        <v>45097</v>
      </c>
      <c r="M143" s="3">
        <v>45145</v>
      </c>
      <c r="N143" s="3">
        <v>46971</v>
      </c>
    </row>
    <row r="144" spans="1:16" x14ac:dyDescent="0.35">
      <c r="A144" s="2" t="s">
        <v>1514</v>
      </c>
      <c r="C144" s="2" t="s">
        <v>1515</v>
      </c>
      <c r="D144" s="2" t="str">
        <f>IF(COUNTIF(RBE!$C$1:$C$629,A144)&gt;0,"Existe","Absent")</f>
        <v>Absent</v>
      </c>
      <c r="E144" s="2" t="s">
        <v>3163</v>
      </c>
      <c r="F144" s="2" t="s">
        <v>15</v>
      </c>
      <c r="H144" s="2" t="s">
        <v>154</v>
      </c>
      <c r="I144" s="2" t="s">
        <v>93</v>
      </c>
      <c r="J144" s="2" t="s">
        <v>18</v>
      </c>
      <c r="K144" s="2" t="s">
        <v>177</v>
      </c>
      <c r="L144" s="3">
        <v>45338</v>
      </c>
      <c r="M144" s="3">
        <v>45373</v>
      </c>
      <c r="N144" s="3">
        <v>46467</v>
      </c>
      <c r="P144" s="2" t="s">
        <v>1516</v>
      </c>
    </row>
    <row r="145" spans="1:16" x14ac:dyDescent="0.35">
      <c r="A145" s="2" t="s">
        <v>882</v>
      </c>
      <c r="C145" s="2" t="s">
        <v>883</v>
      </c>
      <c r="D145" s="2" t="str">
        <f>IF(COUNTIF(RBE!$C$1:$C$629,A145)&gt;0,"Existe","Absent")</f>
        <v>Absent</v>
      </c>
      <c r="E145" s="2" t="s">
        <v>3163</v>
      </c>
      <c r="F145" s="2" t="s">
        <v>15</v>
      </c>
      <c r="H145" s="2" t="s">
        <v>311</v>
      </c>
      <c r="I145" s="2" t="s">
        <v>149</v>
      </c>
      <c r="J145" s="2" t="s">
        <v>18</v>
      </c>
      <c r="K145" s="2" t="s">
        <v>19</v>
      </c>
      <c r="L145" s="3">
        <v>44382</v>
      </c>
      <c r="M145" s="3">
        <v>44778</v>
      </c>
      <c r="N145" s="3">
        <v>46603</v>
      </c>
    </row>
    <row r="146" spans="1:16" x14ac:dyDescent="0.35">
      <c r="A146" s="2" t="s">
        <v>1046</v>
      </c>
      <c r="C146" s="2" t="s">
        <v>1047</v>
      </c>
      <c r="D146" s="2" t="str">
        <f>IF(COUNTIF(RBE!$C$1:$C$629,A146)&gt;0,"Existe","Absent")</f>
        <v>Absent</v>
      </c>
      <c r="E146" s="2" t="s">
        <v>3163</v>
      </c>
      <c r="F146" s="2" t="s">
        <v>15</v>
      </c>
      <c r="H146" s="2" t="s">
        <v>148</v>
      </c>
      <c r="I146" s="2" t="s">
        <v>93</v>
      </c>
      <c r="J146" s="2" t="s">
        <v>18</v>
      </c>
      <c r="K146" s="2" t="s">
        <v>88</v>
      </c>
      <c r="L146" s="3">
        <v>45043</v>
      </c>
      <c r="M146" s="3">
        <v>45431</v>
      </c>
      <c r="N146" s="3">
        <v>47256</v>
      </c>
      <c r="P146" s="2" t="s">
        <v>1048</v>
      </c>
    </row>
    <row r="147" spans="1:16" x14ac:dyDescent="0.35">
      <c r="A147" s="2" t="s">
        <v>631</v>
      </c>
      <c r="C147" s="2" t="s">
        <v>632</v>
      </c>
      <c r="D147" s="2" t="str">
        <f>IF(COUNTIF(RBE!$C$1:$C$629,A147)&gt;0,"Existe","Absent")</f>
        <v>Absent</v>
      </c>
      <c r="E147" s="2" t="s">
        <v>3163</v>
      </c>
      <c r="F147" s="2" t="s">
        <v>15</v>
      </c>
      <c r="H147" s="2" t="s">
        <v>154</v>
      </c>
      <c r="I147" s="2" t="s">
        <v>93</v>
      </c>
      <c r="J147" s="2" t="s">
        <v>18</v>
      </c>
      <c r="K147" s="2" t="s">
        <v>88</v>
      </c>
      <c r="L147" s="3">
        <v>44033</v>
      </c>
      <c r="M147" s="3">
        <v>44623</v>
      </c>
      <c r="N147" s="3">
        <v>45718</v>
      </c>
      <c r="P147" s="2" t="s">
        <v>633</v>
      </c>
    </row>
    <row r="148" spans="1:16" x14ac:dyDescent="0.35">
      <c r="A148" s="2" t="s">
        <v>494</v>
      </c>
      <c r="B148" s="2" t="s">
        <v>393</v>
      </c>
      <c r="C148" s="2" t="s">
        <v>495</v>
      </c>
      <c r="D148" s="2" t="str">
        <f>IF(COUNTIF(RBE!$C$1:$C$629,A148)&gt;0,"Existe","Absent")</f>
        <v>Absent</v>
      </c>
      <c r="E148" s="2" t="s">
        <v>3163</v>
      </c>
      <c r="F148" s="2" t="s">
        <v>15</v>
      </c>
      <c r="H148" s="2" t="s">
        <v>311</v>
      </c>
      <c r="I148" s="2" t="s">
        <v>149</v>
      </c>
      <c r="J148" s="2" t="s">
        <v>18</v>
      </c>
      <c r="K148" s="2" t="s">
        <v>19</v>
      </c>
      <c r="L148" s="3">
        <v>43398</v>
      </c>
      <c r="M148" s="3">
        <v>43448</v>
      </c>
      <c r="N148" s="3">
        <v>46881</v>
      </c>
      <c r="O148" s="3">
        <v>45055</v>
      </c>
      <c r="P148" s="2" t="s">
        <v>496</v>
      </c>
    </row>
    <row r="149" spans="1:16" x14ac:dyDescent="0.35">
      <c r="A149" s="2" t="s">
        <v>1557</v>
      </c>
      <c r="C149" s="2" t="s">
        <v>1558</v>
      </c>
      <c r="D149" s="2" t="str">
        <f>IF(COUNTIF(RBE!$C$1:$C$629,A149)&gt;0,"Existe","Absent")</f>
        <v>Absent</v>
      </c>
      <c r="E149" s="2" t="s">
        <v>3163</v>
      </c>
      <c r="F149" s="2" t="s">
        <v>15</v>
      </c>
      <c r="H149" s="2" t="s">
        <v>573</v>
      </c>
      <c r="I149" s="2" t="s">
        <v>395</v>
      </c>
      <c r="J149" s="2" t="s">
        <v>18</v>
      </c>
      <c r="K149" s="2" t="s">
        <v>19</v>
      </c>
      <c r="L149" s="5">
        <v>45835.575891203698</v>
      </c>
      <c r="M149" s="3">
        <v>45835</v>
      </c>
      <c r="N149" s="3">
        <v>46199</v>
      </c>
      <c r="P149" s="2" t="s">
        <v>1559</v>
      </c>
    </row>
    <row r="150" spans="1:16" x14ac:dyDescent="0.35">
      <c r="A150" s="2" t="s">
        <v>576</v>
      </c>
      <c r="B150" s="2" t="s">
        <v>577</v>
      </c>
      <c r="C150" s="2" t="s">
        <v>578</v>
      </c>
      <c r="D150" s="2" t="str">
        <f>IF(COUNTIF(RBE!$C$1:$C$629,A150)&gt;0,"Existe","Absent")</f>
        <v>Absent</v>
      </c>
      <c r="E150" s="2" t="s">
        <v>3163</v>
      </c>
      <c r="F150" s="2" t="s">
        <v>15</v>
      </c>
      <c r="H150" s="2" t="s">
        <v>139</v>
      </c>
      <c r="I150" s="2" t="s">
        <v>93</v>
      </c>
      <c r="J150" s="2" t="s">
        <v>41</v>
      </c>
      <c r="K150" s="2" t="s">
        <v>88</v>
      </c>
      <c r="L150" s="3">
        <v>43356</v>
      </c>
      <c r="M150" s="3">
        <v>44281</v>
      </c>
      <c r="N150" s="3">
        <v>45741</v>
      </c>
      <c r="P150" s="2" t="s">
        <v>579</v>
      </c>
    </row>
    <row r="151" spans="1:16" x14ac:dyDescent="0.35">
      <c r="A151" s="2" t="s">
        <v>1479</v>
      </c>
      <c r="B151" s="2" t="s">
        <v>1480</v>
      </c>
      <c r="C151" s="2" t="s">
        <v>1481</v>
      </c>
      <c r="D151" s="2" t="str">
        <f>IF(COUNTIF(RBE!$C$1:$C$629,A151)&gt;0,"Existe","Absent")</f>
        <v>Absent</v>
      </c>
      <c r="E151" s="2" t="s">
        <v>3163</v>
      </c>
      <c r="F151" s="2" t="s">
        <v>15</v>
      </c>
      <c r="H151" s="2" t="s">
        <v>27</v>
      </c>
      <c r="I151" s="2" t="s">
        <v>28</v>
      </c>
      <c r="J151" s="2" t="s">
        <v>18</v>
      </c>
      <c r="K151" s="2" t="s">
        <v>177</v>
      </c>
      <c r="L151" s="3">
        <v>44762</v>
      </c>
      <c r="M151" s="3">
        <v>45380</v>
      </c>
      <c r="N151" s="3">
        <v>47205</v>
      </c>
      <c r="P151" s="2" t="s">
        <v>1482</v>
      </c>
    </row>
    <row r="152" spans="1:16" x14ac:dyDescent="0.35">
      <c r="A152" s="2" t="s">
        <v>1483</v>
      </c>
      <c r="B152" s="2" t="s">
        <v>1484</v>
      </c>
      <c r="C152" s="2" t="s">
        <v>1481</v>
      </c>
      <c r="D152" s="2" t="str">
        <f>IF(COUNTIF(RBE!$C$1:$C$629,A152)&gt;0,"Existe","Absent")</f>
        <v>Absent</v>
      </c>
      <c r="E152" s="2" t="s">
        <v>3163</v>
      </c>
      <c r="F152" s="2" t="s">
        <v>15</v>
      </c>
      <c r="H152" s="2" t="s">
        <v>27</v>
      </c>
      <c r="I152" s="2" t="s">
        <v>28</v>
      </c>
      <c r="J152" s="2" t="s">
        <v>18</v>
      </c>
      <c r="K152" s="2" t="s">
        <v>177</v>
      </c>
      <c r="L152" s="3">
        <v>44762</v>
      </c>
      <c r="M152" s="3">
        <v>45380</v>
      </c>
      <c r="N152" s="3">
        <v>47205</v>
      </c>
      <c r="P152" s="2" t="s">
        <v>1485</v>
      </c>
    </row>
    <row r="153" spans="1:16" x14ac:dyDescent="0.35">
      <c r="A153" s="2" t="s">
        <v>792</v>
      </c>
      <c r="C153" s="2" t="s">
        <v>793</v>
      </c>
      <c r="D153" s="2" t="str">
        <f>IF(COUNTIF(RBE!$C$1:$C$629,A153)&gt;0,"Existe","Absent")</f>
        <v>Absent</v>
      </c>
      <c r="E153" s="2" t="s">
        <v>3163</v>
      </c>
      <c r="F153" s="2" t="s">
        <v>15</v>
      </c>
      <c r="H153" s="2" t="s">
        <v>311</v>
      </c>
      <c r="I153" s="2" t="s">
        <v>149</v>
      </c>
      <c r="J153" s="2" t="s">
        <v>18</v>
      </c>
      <c r="K153" s="2" t="s">
        <v>19</v>
      </c>
      <c r="L153" s="3">
        <v>44789</v>
      </c>
      <c r="M153" s="3">
        <v>44054</v>
      </c>
      <c r="N153" s="3">
        <v>45879</v>
      </c>
    </row>
    <row r="154" spans="1:16" x14ac:dyDescent="0.35">
      <c r="A154" s="2" t="s">
        <v>646</v>
      </c>
      <c r="B154" s="2" t="s">
        <v>260</v>
      </c>
      <c r="C154" s="2" t="s">
        <v>647</v>
      </c>
      <c r="D154" s="2" t="str">
        <f>IF(COUNTIF(RBE!$C$1:$C$629,A154)&gt;0,"Existe","Absent")</f>
        <v>Absent</v>
      </c>
      <c r="E154" s="2" t="s">
        <v>3163</v>
      </c>
      <c r="F154" s="2" t="s">
        <v>15</v>
      </c>
      <c r="H154" s="2" t="s">
        <v>27</v>
      </c>
      <c r="I154" s="2" t="s">
        <v>28</v>
      </c>
      <c r="J154" s="2" t="s">
        <v>18</v>
      </c>
      <c r="K154" s="2" t="s">
        <v>19</v>
      </c>
      <c r="L154" s="3">
        <v>44540</v>
      </c>
      <c r="M154" s="3">
        <v>44572</v>
      </c>
      <c r="N154" s="3">
        <v>46397</v>
      </c>
      <c r="P154" s="2" t="s">
        <v>648</v>
      </c>
    </row>
    <row r="155" spans="1:16" x14ac:dyDescent="0.35">
      <c r="A155" s="2" t="s">
        <v>931</v>
      </c>
      <c r="C155" s="2" t="s">
        <v>647</v>
      </c>
      <c r="D155" s="2" t="str">
        <f>IF(COUNTIF(RBE!$C$1:$C$629,A155)&gt;0,"Existe","Absent")</f>
        <v>Absent</v>
      </c>
      <c r="E155" s="2" t="s">
        <v>3163</v>
      </c>
      <c r="F155" s="2" t="s">
        <v>15</v>
      </c>
      <c r="H155" s="2" t="s">
        <v>27</v>
      </c>
      <c r="I155" s="2" t="s">
        <v>28</v>
      </c>
      <c r="J155" s="2" t="s">
        <v>18</v>
      </c>
      <c r="K155" s="2" t="s">
        <v>19</v>
      </c>
      <c r="L155" s="3">
        <v>44882</v>
      </c>
      <c r="M155" s="3">
        <v>44890</v>
      </c>
      <c r="N155" s="3">
        <v>46715</v>
      </c>
      <c r="P155" s="2" t="s">
        <v>932</v>
      </c>
    </row>
    <row r="156" spans="1:16" x14ac:dyDescent="0.35">
      <c r="A156" s="2" t="s">
        <v>1138</v>
      </c>
      <c r="C156" s="2" t="s">
        <v>647</v>
      </c>
      <c r="D156" s="2" t="str">
        <f>IF(COUNTIF(RBE!$C$1:$C$629,A156)&gt;0,"Existe","Absent")</f>
        <v>Absent</v>
      </c>
      <c r="E156" s="2" t="s">
        <v>3163</v>
      </c>
      <c r="F156" s="2" t="s">
        <v>15</v>
      </c>
      <c r="H156" s="2" t="s">
        <v>27</v>
      </c>
      <c r="I156" s="2" t="s">
        <v>28</v>
      </c>
      <c r="J156" s="2" t="s">
        <v>18</v>
      </c>
      <c r="K156" s="2" t="s">
        <v>19</v>
      </c>
      <c r="L156" s="3">
        <v>45154</v>
      </c>
      <c r="M156" s="3">
        <v>45184</v>
      </c>
      <c r="N156" s="3">
        <v>47010</v>
      </c>
      <c r="P156" s="2" t="s">
        <v>1139</v>
      </c>
    </row>
    <row r="157" spans="1:16" x14ac:dyDescent="0.35">
      <c r="A157" s="2" t="s">
        <v>1098</v>
      </c>
      <c r="C157" s="2" t="s">
        <v>1099</v>
      </c>
      <c r="D157" s="2" t="str">
        <f>IF(COUNTIF(RBE!$C$1:$C$629,A157)&gt;0,"Existe","Absent")</f>
        <v>Absent</v>
      </c>
      <c r="E157" s="2" t="s">
        <v>3163</v>
      </c>
      <c r="F157" s="2" t="s">
        <v>15</v>
      </c>
      <c r="H157" s="2" t="s">
        <v>311</v>
      </c>
      <c r="I157" s="2" t="s">
        <v>149</v>
      </c>
      <c r="J157" s="2" t="s">
        <v>18</v>
      </c>
      <c r="K157" s="2" t="s">
        <v>19</v>
      </c>
      <c r="L157" s="3">
        <v>45061</v>
      </c>
      <c r="M157" s="3">
        <v>45090</v>
      </c>
      <c r="N157" s="3">
        <v>46916</v>
      </c>
    </row>
    <row r="158" spans="1:16" x14ac:dyDescent="0.35">
      <c r="A158" s="2" t="s">
        <v>729</v>
      </c>
      <c r="B158" s="2" t="s">
        <v>730</v>
      </c>
      <c r="C158" s="2" t="s">
        <v>731</v>
      </c>
      <c r="D158" s="2" t="str">
        <f>IF(COUNTIF(RBE!$C$1:$C$629,A158)&gt;0,"Existe","Absent")</f>
        <v>Absent</v>
      </c>
      <c r="E158" s="2" t="s">
        <v>3163</v>
      </c>
      <c r="F158" s="2" t="s">
        <v>15</v>
      </c>
      <c r="H158" s="2" t="s">
        <v>139</v>
      </c>
      <c r="I158" s="2" t="s">
        <v>17</v>
      </c>
      <c r="J158" s="2" t="s">
        <v>18</v>
      </c>
      <c r="K158" s="2" t="s">
        <v>19</v>
      </c>
      <c r="L158" s="3">
        <v>44636</v>
      </c>
      <c r="M158" s="3">
        <v>44719</v>
      </c>
      <c r="N158" s="3">
        <v>46179</v>
      </c>
      <c r="P158" s="2" t="s">
        <v>732</v>
      </c>
    </row>
    <row r="159" spans="1:16" x14ac:dyDescent="0.35">
      <c r="A159" s="2" t="s">
        <v>1500</v>
      </c>
      <c r="C159" s="2" t="s">
        <v>731</v>
      </c>
      <c r="D159" s="2" t="str">
        <f>IF(COUNTIF(RBE!$C$1:$C$629,A159)&gt;0,"Existe","Absent")</f>
        <v>Absent</v>
      </c>
      <c r="E159" s="2" t="s">
        <v>3163</v>
      </c>
      <c r="F159" s="2" t="s">
        <v>15</v>
      </c>
      <c r="H159" s="2" t="s">
        <v>148</v>
      </c>
      <c r="I159" s="2" t="s">
        <v>17</v>
      </c>
      <c r="J159" s="2" t="s">
        <v>18</v>
      </c>
      <c r="K159" s="2" t="s">
        <v>19</v>
      </c>
      <c r="L159" s="3">
        <v>45377</v>
      </c>
      <c r="M159" s="3">
        <v>45378</v>
      </c>
      <c r="N159" s="3">
        <v>47203</v>
      </c>
      <c r="P159" s="2" t="s">
        <v>1501</v>
      </c>
    </row>
    <row r="160" spans="1:16" x14ac:dyDescent="0.35">
      <c r="A160" s="2" t="s">
        <v>1447</v>
      </c>
      <c r="C160" s="2" t="s">
        <v>1448</v>
      </c>
      <c r="D160" s="2" t="str">
        <f>IF(COUNTIF(RBE!$C$1:$C$629,A160)&gt;0,"Existe","Absent")</f>
        <v>Absent</v>
      </c>
      <c r="E160" s="2" t="s">
        <v>3163</v>
      </c>
      <c r="F160" s="2" t="s">
        <v>15</v>
      </c>
      <c r="H160" s="2" t="s">
        <v>573</v>
      </c>
      <c r="I160" s="2" t="s">
        <v>395</v>
      </c>
      <c r="J160" s="2" t="s">
        <v>18</v>
      </c>
      <c r="K160" s="2" t="s">
        <v>19</v>
      </c>
      <c r="L160" s="3">
        <v>45358</v>
      </c>
      <c r="M160" s="3">
        <v>45372</v>
      </c>
      <c r="N160" s="3">
        <v>45736</v>
      </c>
      <c r="P160" s="2" t="s">
        <v>1449</v>
      </c>
    </row>
    <row r="161" spans="1:16" x14ac:dyDescent="0.35">
      <c r="A161" s="2" t="s">
        <v>1457</v>
      </c>
      <c r="B161" s="2" t="s">
        <v>1458</v>
      </c>
      <c r="C161" s="2" t="s">
        <v>1459</v>
      </c>
      <c r="D161" s="2" t="str">
        <f>IF(COUNTIF(RBE!$C$1:$C$629,A161)&gt;0,"Existe","Absent")</f>
        <v>Absent</v>
      </c>
      <c r="E161" s="2" t="s">
        <v>3163</v>
      </c>
      <c r="F161" s="2" t="s">
        <v>15</v>
      </c>
      <c r="H161" s="2" t="s">
        <v>573</v>
      </c>
      <c r="I161" s="2" t="s">
        <v>395</v>
      </c>
      <c r="J161" s="2" t="s">
        <v>18</v>
      </c>
      <c r="K161" s="2" t="s">
        <v>853</v>
      </c>
      <c r="L161" s="3">
        <v>45379</v>
      </c>
      <c r="M161" s="3">
        <v>45385</v>
      </c>
      <c r="N161" s="3">
        <v>45749</v>
      </c>
      <c r="P161" s="2" t="s">
        <v>1460</v>
      </c>
    </row>
    <row r="162" spans="1:16" x14ac:dyDescent="0.35">
      <c r="A162" s="2" t="s">
        <v>850</v>
      </c>
      <c r="B162" s="2" t="s">
        <v>851</v>
      </c>
      <c r="C162" s="2" t="s">
        <v>852</v>
      </c>
      <c r="D162" s="2" t="str">
        <f>IF(COUNTIF(RBE!$C$1:$C$629,A162)&gt;0,"Existe","Absent")</f>
        <v>Absent</v>
      </c>
      <c r="E162" s="2" t="s">
        <v>3163</v>
      </c>
      <c r="F162" s="2" t="s">
        <v>15</v>
      </c>
      <c r="H162" s="2" t="s">
        <v>573</v>
      </c>
      <c r="I162" s="2" t="s">
        <v>395</v>
      </c>
      <c r="J162" s="2" t="s">
        <v>18</v>
      </c>
      <c r="K162" s="2" t="s">
        <v>853</v>
      </c>
      <c r="L162" s="3">
        <v>44882</v>
      </c>
      <c r="M162" s="3">
        <v>44908</v>
      </c>
      <c r="N162" s="3">
        <v>45638</v>
      </c>
      <c r="O162" s="3">
        <v>45273</v>
      </c>
      <c r="P162" s="2" t="s">
        <v>854</v>
      </c>
    </row>
    <row r="163" spans="1:16" x14ac:dyDescent="0.35">
      <c r="A163" s="2" t="s">
        <v>1667</v>
      </c>
      <c r="C163" s="2" t="s">
        <v>1668</v>
      </c>
      <c r="D163" s="2" t="str">
        <f>IF(COUNTIF(RBE!$C$1:$C$629,A163)&gt;0,"Existe","Absent")</f>
        <v>Absent</v>
      </c>
      <c r="E163" s="2" t="s">
        <v>3163</v>
      </c>
      <c r="F163" s="2" t="s">
        <v>15</v>
      </c>
      <c r="H163" s="2" t="s">
        <v>573</v>
      </c>
      <c r="I163" s="2" t="s">
        <v>395</v>
      </c>
      <c r="J163" s="2" t="s">
        <v>18</v>
      </c>
      <c r="K163" s="2" t="s">
        <v>299</v>
      </c>
      <c r="L163" s="3">
        <v>45825</v>
      </c>
      <c r="M163" s="3">
        <v>45826</v>
      </c>
      <c r="N163" s="3">
        <v>46190</v>
      </c>
      <c r="P163" s="2" t="s">
        <v>1669</v>
      </c>
    </row>
    <row r="164" spans="1:16" x14ac:dyDescent="0.35">
      <c r="A164" s="2" t="s">
        <v>24</v>
      </c>
      <c r="B164" s="2" t="s">
        <v>25</v>
      </c>
      <c r="C164" s="2" t="s">
        <v>26</v>
      </c>
      <c r="D164" s="2" t="str">
        <f>IF(COUNTIF(RBE!$C$1:$C$629,A164)&gt;0,"Existe","Absent")</f>
        <v>Absent</v>
      </c>
      <c r="E164" s="2" t="s">
        <v>3163</v>
      </c>
      <c r="F164" s="2" t="s">
        <v>15</v>
      </c>
      <c r="H164" s="2" t="s">
        <v>27</v>
      </c>
      <c r="I164" s="2" t="s">
        <v>28</v>
      </c>
      <c r="J164" s="2" t="s">
        <v>18</v>
      </c>
      <c r="K164" s="2" t="s">
        <v>19</v>
      </c>
      <c r="L164" s="3">
        <v>28990</v>
      </c>
      <c r="M164" s="3">
        <v>43742</v>
      </c>
      <c r="N164" s="3">
        <v>47393</v>
      </c>
      <c r="P164" s="2" t="s">
        <v>29</v>
      </c>
    </row>
    <row r="165" spans="1:16" x14ac:dyDescent="0.35">
      <c r="A165" s="2" t="s">
        <v>1664</v>
      </c>
      <c r="C165" s="2" t="s">
        <v>1665</v>
      </c>
      <c r="D165" s="2" t="str">
        <f>IF(COUNTIF(RBE!$C$1:$C$629,A165)&gt;0,"Existe","Absent")</f>
        <v>Absent</v>
      </c>
      <c r="E165" s="2" t="s">
        <v>3163</v>
      </c>
      <c r="F165" s="2" t="s">
        <v>15</v>
      </c>
      <c r="H165" s="2" t="s">
        <v>573</v>
      </c>
      <c r="I165" s="2" t="s">
        <v>1218</v>
      </c>
      <c r="J165" s="2" t="s">
        <v>18</v>
      </c>
      <c r="K165" s="2" t="s">
        <v>19</v>
      </c>
      <c r="L165" s="3">
        <v>45650</v>
      </c>
      <c r="M165" s="3">
        <v>45835</v>
      </c>
      <c r="N165" s="3">
        <v>46199</v>
      </c>
      <c r="P165" s="2" t="s">
        <v>1666</v>
      </c>
    </row>
    <row r="166" spans="1:16" x14ac:dyDescent="0.35">
      <c r="A166" s="2" t="s">
        <v>1488</v>
      </c>
      <c r="B166" s="2" t="s">
        <v>566</v>
      </c>
      <c r="C166" s="2" t="s">
        <v>1489</v>
      </c>
      <c r="D166" s="2" t="str">
        <f>IF(COUNTIF(RBE!$C$1:$C$629,A166)&gt;0,"Existe","Absent")</f>
        <v>Absent</v>
      </c>
      <c r="E166" s="2" t="s">
        <v>3163</v>
      </c>
      <c r="F166" s="2" t="s">
        <v>15</v>
      </c>
      <c r="H166" s="2" t="s">
        <v>311</v>
      </c>
      <c r="I166" s="2" t="s">
        <v>149</v>
      </c>
      <c r="J166" s="2" t="s">
        <v>18</v>
      </c>
      <c r="K166" s="2" t="s">
        <v>19</v>
      </c>
      <c r="L166" s="3">
        <v>45405</v>
      </c>
      <c r="M166" s="3">
        <v>45380</v>
      </c>
      <c r="N166" s="3">
        <v>47205</v>
      </c>
    </row>
    <row r="167" spans="1:16" x14ac:dyDescent="0.35">
      <c r="A167" s="2" t="s">
        <v>1444</v>
      </c>
      <c r="B167" s="2" t="s">
        <v>1272</v>
      </c>
      <c r="C167" s="2" t="s">
        <v>1445</v>
      </c>
      <c r="D167" s="2" t="str">
        <f>IF(COUNTIF(RBE!$C$1:$C$629,A167)&gt;0,"Existe","Absent")</f>
        <v>Absent</v>
      </c>
      <c r="E167" s="2" t="s">
        <v>3163</v>
      </c>
      <c r="F167" s="2" t="s">
        <v>15</v>
      </c>
      <c r="H167" s="2" t="s">
        <v>573</v>
      </c>
      <c r="I167" s="2" t="s">
        <v>1218</v>
      </c>
      <c r="J167" s="2" t="s">
        <v>18</v>
      </c>
      <c r="K167" s="2" t="s">
        <v>19</v>
      </c>
      <c r="L167" s="3">
        <v>45254</v>
      </c>
      <c r="M167" s="3">
        <v>45372</v>
      </c>
      <c r="N167" s="3">
        <v>45736</v>
      </c>
      <c r="P167" s="2" t="s">
        <v>1446</v>
      </c>
    </row>
    <row r="168" spans="1:16" x14ac:dyDescent="0.35">
      <c r="A168" s="2" t="s">
        <v>1486</v>
      </c>
      <c r="B168" s="2" t="s">
        <v>566</v>
      </c>
      <c r="C168" s="2" t="s">
        <v>1487</v>
      </c>
      <c r="D168" s="2" t="str">
        <f>IF(COUNTIF(RBE!$C$1:$C$629,A168)&gt;0,"Existe","Absent")</f>
        <v>Absent</v>
      </c>
      <c r="E168" s="2" t="s">
        <v>3163</v>
      </c>
      <c r="F168" s="2" t="s">
        <v>15</v>
      </c>
      <c r="H168" s="2" t="s">
        <v>311</v>
      </c>
      <c r="I168" s="2" t="s">
        <v>149</v>
      </c>
      <c r="J168" s="2" t="s">
        <v>18</v>
      </c>
      <c r="K168" s="2" t="s">
        <v>19</v>
      </c>
      <c r="L168" s="3">
        <v>45370</v>
      </c>
      <c r="M168" s="3">
        <v>45380</v>
      </c>
      <c r="N168" s="3">
        <v>47205</v>
      </c>
    </row>
    <row r="169" spans="1:16" x14ac:dyDescent="0.35">
      <c r="A169" s="2" t="s">
        <v>1622</v>
      </c>
      <c r="B169" s="2" t="s">
        <v>1623</v>
      </c>
      <c r="C169" s="2" t="s">
        <v>1487</v>
      </c>
      <c r="D169" s="2" t="str">
        <f>IF(COUNTIF(RBE!$C$1:$C$629,A169)&gt;0,"Existe","Absent")</f>
        <v>Absent</v>
      </c>
      <c r="E169" s="2" t="s">
        <v>3163</v>
      </c>
      <c r="F169" s="2" t="s">
        <v>15</v>
      </c>
      <c r="H169" s="2" t="s">
        <v>573</v>
      </c>
      <c r="I169" s="2" t="s">
        <v>395</v>
      </c>
      <c r="J169" s="2" t="s">
        <v>18</v>
      </c>
      <c r="K169" s="2" t="s">
        <v>299</v>
      </c>
      <c r="L169" s="5">
        <v>45999.658217592601</v>
      </c>
      <c r="M169" s="3">
        <v>46014</v>
      </c>
      <c r="N169" s="3">
        <v>46378</v>
      </c>
      <c r="P169" s="2" t="s">
        <v>1624</v>
      </c>
    </row>
    <row r="170" spans="1:16" x14ac:dyDescent="0.35">
      <c r="A170" s="2" t="s">
        <v>392</v>
      </c>
      <c r="B170" s="2" t="s">
        <v>393</v>
      </c>
      <c r="C170" s="2" t="s">
        <v>394</v>
      </c>
      <c r="D170" s="2" t="str">
        <f>IF(COUNTIF(RBE!$C$1:$C$629,A170)&gt;0,"Existe","Absent")</f>
        <v>Absent</v>
      </c>
      <c r="E170" s="2" t="s">
        <v>3163</v>
      </c>
      <c r="F170" s="2" t="s">
        <v>15</v>
      </c>
      <c r="H170" s="2" t="s">
        <v>311</v>
      </c>
      <c r="I170" s="2" t="s">
        <v>395</v>
      </c>
      <c r="J170" s="2" t="s">
        <v>41</v>
      </c>
      <c r="K170" s="2" t="s">
        <v>19</v>
      </c>
      <c r="L170" s="3">
        <v>42953</v>
      </c>
      <c r="M170" s="3">
        <v>43210</v>
      </c>
      <c r="N170" s="3">
        <v>45035</v>
      </c>
      <c r="P170" s="2" t="s">
        <v>396</v>
      </c>
    </row>
    <row r="171" spans="1:16" x14ac:dyDescent="0.35">
      <c r="A171" s="2" t="s">
        <v>324</v>
      </c>
      <c r="B171" s="2" t="s">
        <v>260</v>
      </c>
      <c r="C171" s="2" t="s">
        <v>325</v>
      </c>
      <c r="D171" s="2" t="str">
        <f>IF(COUNTIF(RBE!$C$1:$C$629,A171)&gt;0,"Existe","Absent")</f>
        <v>Absent</v>
      </c>
      <c r="E171" s="2" t="s">
        <v>3163</v>
      </c>
      <c r="F171" s="2" t="s">
        <v>15</v>
      </c>
      <c r="H171" s="2" t="s">
        <v>27</v>
      </c>
      <c r="I171" s="2" t="s">
        <v>60</v>
      </c>
      <c r="J171" s="2" t="s">
        <v>18</v>
      </c>
      <c r="K171" s="2" t="s">
        <v>19</v>
      </c>
      <c r="L171" s="3">
        <v>42402</v>
      </c>
      <c r="M171" s="3">
        <v>42541</v>
      </c>
      <c r="N171" s="3">
        <v>46192</v>
      </c>
      <c r="P171" s="2" t="s">
        <v>326</v>
      </c>
    </row>
    <row r="172" spans="1:16" x14ac:dyDescent="0.35">
      <c r="A172" s="2" t="s">
        <v>722</v>
      </c>
      <c r="C172" s="2" t="s">
        <v>723</v>
      </c>
      <c r="D172" s="2" t="str">
        <f>IF(COUNTIF(RBE!$C$1:$C$629,A172)&gt;0,"Existe","Absent")</f>
        <v>Absent</v>
      </c>
      <c r="E172" s="2" t="s">
        <v>3163</v>
      </c>
      <c r="F172" s="2" t="s">
        <v>15</v>
      </c>
      <c r="H172" s="2" t="s">
        <v>154</v>
      </c>
      <c r="I172" s="2" t="s">
        <v>93</v>
      </c>
      <c r="J172" s="2" t="s">
        <v>18</v>
      </c>
      <c r="K172" s="2" t="s">
        <v>88</v>
      </c>
      <c r="L172" s="3">
        <v>44509</v>
      </c>
      <c r="M172" s="3">
        <v>44796</v>
      </c>
      <c r="N172" s="3">
        <v>45891</v>
      </c>
      <c r="P172" s="2" t="s">
        <v>724</v>
      </c>
    </row>
    <row r="173" spans="1:16" x14ac:dyDescent="0.35">
      <c r="A173" s="2" t="s">
        <v>1249</v>
      </c>
      <c r="B173" s="2" t="s">
        <v>1250</v>
      </c>
      <c r="C173" s="2" t="s">
        <v>1251</v>
      </c>
      <c r="D173" s="2" t="str">
        <f>IF(COUNTIF(RBE!$C$1:$C$629,A173)&gt;0,"Existe","Absent")</f>
        <v>Absent</v>
      </c>
      <c r="E173" s="2" t="s">
        <v>3163</v>
      </c>
      <c r="F173" s="2" t="s">
        <v>15</v>
      </c>
      <c r="H173" s="2" t="s">
        <v>573</v>
      </c>
      <c r="I173" s="2" t="s">
        <v>395</v>
      </c>
      <c r="J173" s="2" t="s">
        <v>18</v>
      </c>
      <c r="K173" s="2" t="s">
        <v>101</v>
      </c>
      <c r="L173" s="3">
        <v>45213</v>
      </c>
      <c r="M173" s="3">
        <v>45268</v>
      </c>
      <c r="N173" s="3">
        <v>45633</v>
      </c>
      <c r="P173" s="2" t="s">
        <v>1252</v>
      </c>
    </row>
    <row r="174" spans="1:16" x14ac:dyDescent="0.35">
      <c r="A174" s="2" t="s">
        <v>1253</v>
      </c>
      <c r="B174" s="2" t="s">
        <v>1254</v>
      </c>
      <c r="C174" s="2" t="s">
        <v>1251</v>
      </c>
      <c r="D174" s="2" t="str">
        <f>IF(COUNTIF(RBE!$C$1:$C$629,A174)&gt;0,"Existe","Absent")</f>
        <v>Absent</v>
      </c>
      <c r="E174" s="2" t="s">
        <v>3163</v>
      </c>
      <c r="F174" s="2" t="s">
        <v>15</v>
      </c>
      <c r="H174" s="2" t="s">
        <v>573</v>
      </c>
      <c r="I174" s="2" t="s">
        <v>395</v>
      </c>
      <c r="J174" s="2" t="s">
        <v>18</v>
      </c>
      <c r="K174" s="2" t="s">
        <v>101</v>
      </c>
      <c r="L174" s="3">
        <v>45167</v>
      </c>
      <c r="M174" s="3">
        <v>45268</v>
      </c>
      <c r="N174" s="3">
        <v>45633</v>
      </c>
      <c r="P174" s="2" t="s">
        <v>1255</v>
      </c>
    </row>
    <row r="175" spans="1:16" x14ac:dyDescent="0.35">
      <c r="A175" s="2" t="s">
        <v>1560</v>
      </c>
      <c r="C175" s="2" t="s">
        <v>1251</v>
      </c>
      <c r="D175" s="2" t="str">
        <f>IF(COUNTIF(RBE!$C$1:$C$629,A175)&gt;0,"Existe","Absent")</f>
        <v>Absent</v>
      </c>
      <c r="E175" s="2" t="s">
        <v>3163</v>
      </c>
      <c r="F175" s="2" t="s">
        <v>15</v>
      </c>
      <c r="H175" s="2" t="s">
        <v>573</v>
      </c>
      <c r="I175" s="2" t="s">
        <v>395</v>
      </c>
      <c r="J175" s="2" t="s">
        <v>18</v>
      </c>
      <c r="K175" s="2" t="s">
        <v>101</v>
      </c>
      <c r="L175" s="5">
        <v>45841.689768518503</v>
      </c>
      <c r="M175" s="3">
        <v>45845</v>
      </c>
      <c r="N175" s="3">
        <v>46209</v>
      </c>
      <c r="P175" s="2" t="s">
        <v>1561</v>
      </c>
    </row>
    <row r="176" spans="1:16" x14ac:dyDescent="0.35">
      <c r="A176" s="2" t="s">
        <v>145</v>
      </c>
      <c r="B176" s="2" t="s">
        <v>146</v>
      </c>
      <c r="C176" s="2" t="s">
        <v>147</v>
      </c>
      <c r="D176" s="2" t="str">
        <f>IF(COUNTIF(RBE!$C$1:$C$629,A176)&gt;0,"Existe","Absent")</f>
        <v>Absent</v>
      </c>
      <c r="E176" s="2" t="s">
        <v>3163</v>
      </c>
      <c r="F176" s="2" t="s">
        <v>15</v>
      </c>
      <c r="H176" s="2" t="s">
        <v>148</v>
      </c>
      <c r="I176" s="2" t="s">
        <v>149</v>
      </c>
      <c r="J176" s="2" t="s">
        <v>41</v>
      </c>
      <c r="K176" s="2" t="s">
        <v>19</v>
      </c>
      <c r="L176" s="3">
        <v>40262</v>
      </c>
      <c r="M176" s="3">
        <v>43283</v>
      </c>
      <c r="N176" s="3">
        <v>45108</v>
      </c>
      <c r="P176" s="2" t="s">
        <v>150</v>
      </c>
    </row>
    <row r="177" spans="1:16" x14ac:dyDescent="0.35">
      <c r="A177" s="2" t="s">
        <v>342</v>
      </c>
      <c r="B177" s="2" t="s">
        <v>343</v>
      </c>
      <c r="C177" s="2" t="s">
        <v>147</v>
      </c>
      <c r="D177" s="2" t="str">
        <f>IF(COUNTIF(RBE!$C$1:$C$629,A177)&gt;0,"Existe","Absent")</f>
        <v>Absent</v>
      </c>
      <c r="E177" s="2" t="s">
        <v>3163</v>
      </c>
      <c r="F177" s="2" t="s">
        <v>15</v>
      </c>
      <c r="H177" s="2" t="s">
        <v>139</v>
      </c>
      <c r="I177" s="2" t="s">
        <v>118</v>
      </c>
      <c r="J177" s="2" t="s">
        <v>41</v>
      </c>
      <c r="K177" s="2" t="s">
        <v>177</v>
      </c>
      <c r="L177" s="3">
        <v>42571</v>
      </c>
      <c r="M177" s="3">
        <v>42635</v>
      </c>
      <c r="N177" s="3">
        <v>44825</v>
      </c>
      <c r="P177" s="2" t="s">
        <v>344</v>
      </c>
    </row>
    <row r="178" spans="1:16" x14ac:dyDescent="0.35">
      <c r="A178" s="2" t="s">
        <v>844</v>
      </c>
      <c r="C178" s="2" t="s">
        <v>845</v>
      </c>
      <c r="D178" s="2" t="str">
        <f>IF(COUNTIF(RBE!$C$1:$C$629,A178)&gt;0,"Existe","Absent")</f>
        <v>Absent</v>
      </c>
      <c r="E178" s="2" t="s">
        <v>3163</v>
      </c>
      <c r="F178" s="2" t="s">
        <v>15</v>
      </c>
      <c r="H178" s="2" t="s">
        <v>27</v>
      </c>
      <c r="I178" s="2" t="s">
        <v>118</v>
      </c>
      <c r="J178" s="2" t="s">
        <v>18</v>
      </c>
      <c r="K178" s="2" t="s">
        <v>19</v>
      </c>
      <c r="L178" s="3">
        <v>44420</v>
      </c>
      <c r="M178" s="3">
        <v>44811</v>
      </c>
      <c r="N178" s="3">
        <v>46636</v>
      </c>
      <c r="P178" s="2" t="s">
        <v>846</v>
      </c>
    </row>
    <row r="179" spans="1:16" x14ac:dyDescent="0.35">
      <c r="A179" s="2" t="s">
        <v>759</v>
      </c>
      <c r="B179" s="2" t="s">
        <v>566</v>
      </c>
      <c r="C179" s="2" t="s">
        <v>760</v>
      </c>
      <c r="D179" s="2" t="str">
        <f>IF(COUNTIF(RBE!$C$1:$C$629,A179)&gt;0,"Existe","Absent")</f>
        <v>Absent</v>
      </c>
      <c r="E179" s="2" t="s">
        <v>3163</v>
      </c>
      <c r="F179" s="2" t="s">
        <v>15</v>
      </c>
      <c r="H179" s="2" t="s">
        <v>311</v>
      </c>
      <c r="I179" s="2" t="s">
        <v>149</v>
      </c>
      <c r="J179" s="2" t="s">
        <v>18</v>
      </c>
      <c r="K179" s="2" t="s">
        <v>19</v>
      </c>
      <c r="L179" s="3">
        <v>44757</v>
      </c>
      <c r="M179" s="3">
        <v>44763</v>
      </c>
      <c r="N179" s="3">
        <v>46588</v>
      </c>
    </row>
    <row r="180" spans="1:16" x14ac:dyDescent="0.35">
      <c r="A180" s="2" t="s">
        <v>1465</v>
      </c>
      <c r="B180" s="2" t="s">
        <v>566</v>
      </c>
      <c r="C180" s="2" t="s">
        <v>1466</v>
      </c>
      <c r="D180" s="2" t="str">
        <f>IF(COUNTIF(RBE!$C$1:$C$629,A180)&gt;0,"Existe","Absent")</f>
        <v>Absent</v>
      </c>
      <c r="E180" s="2" t="s">
        <v>3163</v>
      </c>
      <c r="F180" s="2" t="s">
        <v>15</v>
      </c>
      <c r="H180" s="2" t="s">
        <v>311</v>
      </c>
      <c r="I180" s="2" t="s">
        <v>149</v>
      </c>
      <c r="J180" s="2" t="s">
        <v>18</v>
      </c>
      <c r="K180" s="2" t="s">
        <v>19</v>
      </c>
      <c r="L180" s="3">
        <v>45362</v>
      </c>
      <c r="M180" s="3">
        <v>45366</v>
      </c>
      <c r="N180" s="3">
        <v>46095</v>
      </c>
    </row>
    <row r="181" spans="1:16" x14ac:dyDescent="0.35">
      <c r="A181" s="2" t="s">
        <v>600</v>
      </c>
      <c r="C181" s="2" t="s">
        <v>601</v>
      </c>
      <c r="D181" s="2" t="str">
        <f>IF(COUNTIF(RBE!$C$1:$C$629,A181)&gt;0,"Existe","Absent")</f>
        <v>Absent</v>
      </c>
      <c r="E181" s="2" t="s">
        <v>3163</v>
      </c>
      <c r="F181" s="2" t="s">
        <v>15</v>
      </c>
      <c r="H181" s="2" t="s">
        <v>311</v>
      </c>
      <c r="I181" s="2" t="s">
        <v>149</v>
      </c>
      <c r="J181" s="2" t="s">
        <v>18</v>
      </c>
      <c r="K181" s="2" t="s">
        <v>19</v>
      </c>
      <c r="L181" s="3">
        <v>44294</v>
      </c>
      <c r="M181" s="3">
        <v>44315</v>
      </c>
      <c r="N181" s="3">
        <v>46140</v>
      </c>
    </row>
    <row r="182" spans="1:16" x14ac:dyDescent="0.35">
      <c r="A182" s="2" t="s">
        <v>796</v>
      </c>
      <c r="B182" s="2" t="s">
        <v>58</v>
      </c>
      <c r="C182" s="2" t="s">
        <v>601</v>
      </c>
      <c r="D182" s="2" t="str">
        <f>IF(COUNTIF(RBE!$C$1:$C$629,A182)&gt;0,"Existe","Absent")</f>
        <v>Absent</v>
      </c>
      <c r="E182" s="2" t="s">
        <v>3163</v>
      </c>
      <c r="F182" s="2" t="s">
        <v>15</v>
      </c>
      <c r="H182" s="2" t="s">
        <v>27</v>
      </c>
      <c r="I182" s="2" t="s">
        <v>60</v>
      </c>
      <c r="J182" s="2" t="s">
        <v>18</v>
      </c>
      <c r="K182" s="2" t="s">
        <v>19</v>
      </c>
      <c r="L182" s="3">
        <v>44324</v>
      </c>
      <c r="M182" s="3">
        <v>44783</v>
      </c>
      <c r="N182" s="3">
        <v>46608</v>
      </c>
      <c r="P182" s="2" t="s">
        <v>797</v>
      </c>
    </row>
    <row r="183" spans="1:16" x14ac:dyDescent="0.35">
      <c r="A183" s="2" t="s">
        <v>431</v>
      </c>
      <c r="B183" s="2" t="s">
        <v>146</v>
      </c>
      <c r="C183" s="2" t="s">
        <v>432</v>
      </c>
      <c r="D183" s="2" t="str">
        <f>IF(COUNTIF(RBE!$C$1:$C$629,A183)&gt;0,"Existe","Absent")</f>
        <v>Absent</v>
      </c>
      <c r="E183" s="2" t="s">
        <v>3163</v>
      </c>
      <c r="F183" s="2" t="s">
        <v>15</v>
      </c>
      <c r="H183" s="2" t="s">
        <v>311</v>
      </c>
      <c r="I183" s="2" t="s">
        <v>149</v>
      </c>
      <c r="J183" s="2" t="s">
        <v>41</v>
      </c>
      <c r="K183" s="2" t="s">
        <v>19</v>
      </c>
      <c r="L183" s="3">
        <v>43130</v>
      </c>
      <c r="M183" s="3">
        <v>43271</v>
      </c>
      <c r="N183" s="3">
        <v>45096</v>
      </c>
      <c r="P183" s="2" t="s">
        <v>433</v>
      </c>
    </row>
    <row r="184" spans="1:16" x14ac:dyDescent="0.35">
      <c r="A184" s="2" t="s">
        <v>750</v>
      </c>
      <c r="C184" s="2" t="s">
        <v>751</v>
      </c>
      <c r="D184" s="2" t="str">
        <f>IF(COUNTIF(RBE!$C$1:$C$629,A184)&gt;0,"Existe","Absent")</f>
        <v>Absent</v>
      </c>
      <c r="E184" s="2" t="s">
        <v>3163</v>
      </c>
      <c r="F184" s="2" t="s">
        <v>15</v>
      </c>
      <c r="H184" s="2" t="s">
        <v>752</v>
      </c>
      <c r="I184" s="2" t="s">
        <v>93</v>
      </c>
      <c r="J184" s="2" t="s">
        <v>18</v>
      </c>
      <c r="K184" s="2" t="s">
        <v>88</v>
      </c>
      <c r="L184" s="3">
        <v>44735</v>
      </c>
      <c r="M184" s="3">
        <v>44735</v>
      </c>
      <c r="N184" s="3">
        <v>48387</v>
      </c>
      <c r="P184" s="2" t="s">
        <v>753</v>
      </c>
    </row>
    <row r="185" spans="1:16" x14ac:dyDescent="0.35">
      <c r="A185" s="2" t="s">
        <v>756</v>
      </c>
      <c r="C185" s="2" t="s">
        <v>751</v>
      </c>
      <c r="D185" s="2" t="str">
        <f>IF(COUNTIF(RBE!$C$1:$C$629,A185)&gt;0,"Existe","Absent")</f>
        <v>Absent</v>
      </c>
      <c r="E185" s="2" t="s">
        <v>3163</v>
      </c>
      <c r="F185" s="2" t="s">
        <v>15</v>
      </c>
      <c r="H185" s="2" t="s">
        <v>752</v>
      </c>
      <c r="I185" s="2" t="s">
        <v>757</v>
      </c>
      <c r="J185" s="2" t="s">
        <v>18</v>
      </c>
      <c r="K185" s="2" t="s">
        <v>19</v>
      </c>
      <c r="L185" s="3">
        <v>44557</v>
      </c>
      <c r="M185" s="3">
        <v>44742</v>
      </c>
      <c r="N185" s="3">
        <v>48394</v>
      </c>
      <c r="P185" s="2" t="s">
        <v>758</v>
      </c>
    </row>
    <row r="186" spans="1:16" x14ac:dyDescent="0.35">
      <c r="A186" s="2" t="s">
        <v>1129</v>
      </c>
      <c r="C186" s="2" t="s">
        <v>1130</v>
      </c>
      <c r="D186" s="2" t="str">
        <f>IF(COUNTIF(RBE!$C$1:$C$629,A186)&gt;0,"Existe","Absent")</f>
        <v>Absent</v>
      </c>
      <c r="E186" s="2" t="s">
        <v>3163</v>
      </c>
      <c r="F186" s="2" t="s">
        <v>15</v>
      </c>
      <c r="H186" s="2" t="s">
        <v>154</v>
      </c>
      <c r="I186" s="2" t="s">
        <v>93</v>
      </c>
      <c r="J186" s="2" t="s">
        <v>18</v>
      </c>
      <c r="K186" s="2" t="s">
        <v>177</v>
      </c>
      <c r="L186" s="3">
        <v>45120</v>
      </c>
      <c r="M186" s="3">
        <v>45169</v>
      </c>
      <c r="N186" s="3">
        <v>46264</v>
      </c>
      <c r="P186" s="2" t="s">
        <v>1131</v>
      </c>
    </row>
    <row r="187" spans="1:16" x14ac:dyDescent="0.35">
      <c r="A187" s="2" t="s">
        <v>406</v>
      </c>
      <c r="B187" s="2" t="s">
        <v>407</v>
      </c>
      <c r="C187" s="2" t="s">
        <v>408</v>
      </c>
      <c r="D187" s="2" t="str">
        <f>IF(COUNTIF(RBE!$C$1:$C$629,A187)&gt;0,"Existe","Absent")</f>
        <v>Absent</v>
      </c>
      <c r="E187" s="2" t="s">
        <v>3163</v>
      </c>
      <c r="F187" s="2" t="s">
        <v>15</v>
      </c>
      <c r="H187" s="2" t="s">
        <v>154</v>
      </c>
      <c r="I187" s="2" t="s">
        <v>93</v>
      </c>
      <c r="J187" s="2" t="s">
        <v>18</v>
      </c>
      <c r="K187" s="2" t="s">
        <v>88</v>
      </c>
      <c r="L187" s="3">
        <v>43026</v>
      </c>
      <c r="M187" s="3">
        <v>43210</v>
      </c>
      <c r="N187" s="3">
        <v>45401</v>
      </c>
      <c r="O187" s="3">
        <v>44306</v>
      </c>
      <c r="P187" s="2" t="s">
        <v>409</v>
      </c>
    </row>
    <row r="188" spans="1:16" x14ac:dyDescent="0.35">
      <c r="A188" s="2" t="s">
        <v>1234</v>
      </c>
      <c r="B188" s="2" t="s">
        <v>1235</v>
      </c>
      <c r="C188" s="2" t="s">
        <v>1236</v>
      </c>
      <c r="D188" s="2" t="str">
        <f>IF(COUNTIF(RBE!$C$1:$C$629,A188)&gt;0,"Existe","Absent")</f>
        <v>Absent</v>
      </c>
      <c r="E188" s="2" t="s">
        <v>3163</v>
      </c>
      <c r="F188" s="2" t="s">
        <v>15</v>
      </c>
      <c r="H188" s="2" t="s">
        <v>573</v>
      </c>
      <c r="I188" s="2" t="s">
        <v>395</v>
      </c>
      <c r="J188" s="2" t="s">
        <v>18</v>
      </c>
      <c r="K188" s="2" t="s">
        <v>19</v>
      </c>
      <c r="L188" s="3">
        <v>45130</v>
      </c>
      <c r="M188" s="3">
        <v>45267</v>
      </c>
      <c r="N188" s="3">
        <v>45632</v>
      </c>
      <c r="P188" s="2" t="s">
        <v>1237</v>
      </c>
    </row>
    <row r="189" spans="1:16" x14ac:dyDescent="0.35">
      <c r="A189" s="2" t="s">
        <v>267</v>
      </c>
      <c r="B189" s="2" t="s">
        <v>256</v>
      </c>
      <c r="C189" s="2" t="s">
        <v>268</v>
      </c>
      <c r="D189" s="2" t="str">
        <f>IF(COUNTIF(RBE!$C$1:$C$629,A189)&gt;0,"Existe","Absent")</f>
        <v>Absent</v>
      </c>
      <c r="E189" s="2" t="s">
        <v>3163</v>
      </c>
      <c r="F189" s="2" t="s">
        <v>15</v>
      </c>
      <c r="H189" s="2" t="s">
        <v>27</v>
      </c>
      <c r="I189" s="2" t="s">
        <v>60</v>
      </c>
      <c r="J189" s="2" t="s">
        <v>18</v>
      </c>
      <c r="K189" s="2" t="s">
        <v>19</v>
      </c>
      <c r="L189" s="3">
        <v>42004</v>
      </c>
      <c r="M189" s="3">
        <v>42478</v>
      </c>
      <c r="N189" s="3">
        <v>45771</v>
      </c>
      <c r="P189" s="2" t="s">
        <v>269</v>
      </c>
    </row>
    <row r="190" spans="1:16" x14ac:dyDescent="0.35">
      <c r="A190" s="2" t="s">
        <v>983</v>
      </c>
      <c r="B190" s="2" t="s">
        <v>58</v>
      </c>
      <c r="C190" s="2" t="s">
        <v>984</v>
      </c>
      <c r="D190" s="2" t="str">
        <f>IF(COUNTIF(RBE!$C$1:$C$629,A190)&gt;0,"Existe","Absent")</f>
        <v>Absent</v>
      </c>
      <c r="E190" s="2" t="s">
        <v>3163</v>
      </c>
      <c r="F190" s="2" t="s">
        <v>15</v>
      </c>
      <c r="H190" s="2" t="s">
        <v>139</v>
      </c>
      <c r="I190" s="2" t="s">
        <v>60</v>
      </c>
      <c r="J190" s="2" t="s">
        <v>18</v>
      </c>
      <c r="K190" s="2" t="s">
        <v>19</v>
      </c>
      <c r="L190" s="3">
        <v>44904</v>
      </c>
      <c r="M190" s="3">
        <v>44974</v>
      </c>
      <c r="N190" s="3">
        <v>46434</v>
      </c>
      <c r="P190" s="2" t="s">
        <v>985</v>
      </c>
    </row>
    <row r="191" spans="1:16" x14ac:dyDescent="0.35">
      <c r="A191" s="2" t="s">
        <v>1049</v>
      </c>
      <c r="B191" s="2" t="s">
        <v>1050</v>
      </c>
      <c r="C191" s="2" t="s">
        <v>1051</v>
      </c>
      <c r="D191" s="2" t="str">
        <f>IF(COUNTIF(RBE!$C$1:$C$629,A191)&gt;0,"Existe","Absent")</f>
        <v>Absent</v>
      </c>
      <c r="E191" s="2" t="s">
        <v>3163</v>
      </c>
      <c r="F191" s="2" t="s">
        <v>15</v>
      </c>
      <c r="H191" s="2" t="s">
        <v>154</v>
      </c>
      <c r="I191" s="2" t="s">
        <v>93</v>
      </c>
      <c r="J191" s="2" t="s">
        <v>18</v>
      </c>
      <c r="K191" s="2" t="s">
        <v>88</v>
      </c>
      <c r="L191" s="3">
        <v>45062</v>
      </c>
      <c r="M191" s="3">
        <v>45436</v>
      </c>
      <c r="N191" s="3">
        <v>46530</v>
      </c>
      <c r="P191" s="2" t="s">
        <v>370</v>
      </c>
    </row>
    <row r="192" spans="1:16" x14ac:dyDescent="0.35">
      <c r="A192" s="2" t="s">
        <v>974</v>
      </c>
      <c r="C192" s="2" t="s">
        <v>975</v>
      </c>
      <c r="D192" s="2" t="str">
        <f>IF(COUNTIF(RBE!$C$1:$C$629,A192)&gt;0,"Existe","Absent")</f>
        <v>Absent</v>
      </c>
      <c r="E192" s="2" t="s">
        <v>3163</v>
      </c>
      <c r="F192" s="2" t="s">
        <v>15</v>
      </c>
      <c r="H192" s="2" t="s">
        <v>311</v>
      </c>
      <c r="I192" s="2" t="s">
        <v>149</v>
      </c>
      <c r="J192" s="2" t="s">
        <v>18</v>
      </c>
      <c r="K192" s="2" t="s">
        <v>19</v>
      </c>
      <c r="L192" s="3">
        <v>44640</v>
      </c>
      <c r="M192" s="3">
        <v>44930</v>
      </c>
      <c r="N192" s="3">
        <v>46755</v>
      </c>
    </row>
    <row r="193" spans="1:16" x14ac:dyDescent="0.35">
      <c r="A193" s="2" t="s">
        <v>345</v>
      </c>
      <c r="C193" s="2" t="s">
        <v>346</v>
      </c>
      <c r="D193" s="2" t="str">
        <f>IF(COUNTIF(RBE!$C$1:$C$629,A193)&gt;0,"Existe","Absent")</f>
        <v>Absent</v>
      </c>
      <c r="E193" s="2" t="s">
        <v>3163</v>
      </c>
      <c r="F193" s="2" t="s">
        <v>15</v>
      </c>
      <c r="H193" s="2" t="s">
        <v>311</v>
      </c>
      <c r="I193" s="2" t="s">
        <v>149</v>
      </c>
      <c r="J193" s="2" t="s">
        <v>18</v>
      </c>
      <c r="K193" s="2" t="s">
        <v>19</v>
      </c>
      <c r="L193" s="3">
        <v>42640</v>
      </c>
      <c r="M193" s="3">
        <v>43179</v>
      </c>
      <c r="N193" s="3">
        <v>46830</v>
      </c>
      <c r="O193" s="3">
        <v>45005</v>
      </c>
      <c r="P193" s="2" t="s">
        <v>347</v>
      </c>
    </row>
    <row r="194" spans="1:16" x14ac:dyDescent="0.35">
      <c r="A194" s="2" t="s">
        <v>419</v>
      </c>
      <c r="B194" s="2" t="s">
        <v>420</v>
      </c>
      <c r="C194" s="2" t="s">
        <v>421</v>
      </c>
      <c r="D194" s="2" t="str">
        <f>IF(COUNTIF(RBE!$C$1:$C$629,A194)&gt;0,"Existe","Absent")</f>
        <v>Absent</v>
      </c>
      <c r="E194" s="2" t="s">
        <v>3163</v>
      </c>
      <c r="F194" s="2" t="s">
        <v>15</v>
      </c>
      <c r="H194" s="2" t="s">
        <v>27</v>
      </c>
      <c r="I194" s="2" t="s">
        <v>28</v>
      </c>
      <c r="J194" s="2" t="s">
        <v>18</v>
      </c>
      <c r="K194" s="2" t="s">
        <v>88</v>
      </c>
      <c r="L194" s="3">
        <v>43091</v>
      </c>
      <c r="M194" s="3">
        <v>44225</v>
      </c>
      <c r="N194" s="3">
        <v>46050</v>
      </c>
      <c r="P194" s="2" t="s">
        <v>422</v>
      </c>
    </row>
    <row r="195" spans="1:16" x14ac:dyDescent="0.35">
      <c r="A195" s="2" t="s">
        <v>352</v>
      </c>
      <c r="B195" s="2" t="s">
        <v>353</v>
      </c>
      <c r="C195" s="2" t="s">
        <v>354</v>
      </c>
      <c r="D195" s="2" t="str">
        <f>IF(COUNTIF(RBE!$C$1:$C$629,A195)&gt;0,"Existe","Absent")</f>
        <v>Absent</v>
      </c>
      <c r="E195" s="2" t="s">
        <v>3163</v>
      </c>
      <c r="F195" s="2" t="s">
        <v>15</v>
      </c>
      <c r="H195" s="2" t="s">
        <v>154</v>
      </c>
      <c r="I195" s="2" t="s">
        <v>93</v>
      </c>
      <c r="J195" s="2" t="s">
        <v>18</v>
      </c>
      <c r="K195" s="2" t="s">
        <v>88</v>
      </c>
      <c r="L195" s="3">
        <v>42719</v>
      </c>
      <c r="M195" s="3">
        <v>44292</v>
      </c>
      <c r="N195" s="3">
        <v>45387</v>
      </c>
      <c r="P195" s="2" t="s">
        <v>355</v>
      </c>
    </row>
    <row r="196" spans="1:16" x14ac:dyDescent="0.35">
      <c r="A196" s="2" t="s">
        <v>1684</v>
      </c>
      <c r="C196" s="2" t="s">
        <v>1685</v>
      </c>
      <c r="D196" s="2" t="str">
        <f>IF(COUNTIF(RBE!$C$1:$C$629,A196)&gt;0,"Existe","Absent")</f>
        <v>Absent</v>
      </c>
      <c r="E196" s="2" t="s">
        <v>3163</v>
      </c>
      <c r="F196" s="2" t="s">
        <v>15</v>
      </c>
      <c r="H196" s="2" t="s">
        <v>1609</v>
      </c>
      <c r="I196" s="2" t="s">
        <v>28</v>
      </c>
      <c r="J196" s="2" t="s">
        <v>18</v>
      </c>
      <c r="K196" s="2" t="s">
        <v>19</v>
      </c>
      <c r="L196" s="5">
        <v>45834.6475810185</v>
      </c>
      <c r="M196" s="3">
        <v>45835</v>
      </c>
      <c r="N196" s="3">
        <v>46017</v>
      </c>
      <c r="P196" s="2" t="s">
        <v>1686</v>
      </c>
    </row>
    <row r="197" spans="1:16" x14ac:dyDescent="0.35">
      <c r="A197" s="2" t="s">
        <v>1756</v>
      </c>
      <c r="B197" s="2" t="s">
        <v>1757</v>
      </c>
      <c r="C197" s="2" t="s">
        <v>1758</v>
      </c>
      <c r="D197" s="2" t="str">
        <f>IF(COUNTIF(RBE!$C$1:$C$629,A197)&gt;0,"Existe","Absent")</f>
        <v>Absent</v>
      </c>
      <c r="E197" s="2" t="s">
        <v>3163</v>
      </c>
      <c r="F197" s="2" t="s">
        <v>15</v>
      </c>
      <c r="H197" s="2" t="s">
        <v>154</v>
      </c>
      <c r="I197" s="2" t="s">
        <v>93</v>
      </c>
      <c r="J197" s="2" t="s">
        <v>41</v>
      </c>
      <c r="K197" s="2" t="s">
        <v>88</v>
      </c>
      <c r="L197" s="3">
        <v>42809</v>
      </c>
      <c r="M197" s="3">
        <v>42955</v>
      </c>
      <c r="N197" s="3">
        <v>44051</v>
      </c>
      <c r="P197" s="2" t="s">
        <v>370</v>
      </c>
    </row>
    <row r="198" spans="1:16" x14ac:dyDescent="0.35">
      <c r="A198" s="2" t="s">
        <v>1225</v>
      </c>
      <c r="C198" s="2" t="s">
        <v>1226</v>
      </c>
      <c r="D198" s="2" t="str">
        <f>IF(COUNTIF(RBE!$C$1:$C$629,A198)&gt;0,"Existe","Absent")</f>
        <v>Absent</v>
      </c>
      <c r="E198" s="2" t="s">
        <v>3163</v>
      </c>
      <c r="F198" s="2" t="s">
        <v>15</v>
      </c>
      <c r="H198" s="2" t="s">
        <v>154</v>
      </c>
      <c r="I198" s="2" t="s">
        <v>93</v>
      </c>
      <c r="J198" s="2" t="s">
        <v>18</v>
      </c>
      <c r="K198" s="2" t="s">
        <v>88</v>
      </c>
      <c r="L198" s="3">
        <v>45194</v>
      </c>
      <c r="M198" s="3">
        <v>45287</v>
      </c>
      <c r="N198" s="3">
        <v>46382</v>
      </c>
      <c r="P198" s="2" t="s">
        <v>370</v>
      </c>
    </row>
    <row r="199" spans="1:16" x14ac:dyDescent="0.35">
      <c r="A199" s="2" t="s">
        <v>1152</v>
      </c>
      <c r="B199" s="2" t="s">
        <v>1153</v>
      </c>
      <c r="C199" s="2" t="s">
        <v>1154</v>
      </c>
      <c r="D199" s="2" t="str">
        <f>IF(COUNTIF(RBE!$C$1:$C$629,A199)&gt;0,"Existe","Absent")</f>
        <v>Absent</v>
      </c>
      <c r="E199" s="2" t="s">
        <v>3163</v>
      </c>
      <c r="F199" s="2" t="s">
        <v>15</v>
      </c>
      <c r="H199" s="2" t="s">
        <v>154</v>
      </c>
      <c r="I199" s="2" t="s">
        <v>93</v>
      </c>
      <c r="J199" s="2" t="s">
        <v>18</v>
      </c>
      <c r="K199" s="2" t="s">
        <v>88</v>
      </c>
      <c r="L199" s="3">
        <v>45188</v>
      </c>
      <c r="M199" s="3">
        <v>45202</v>
      </c>
      <c r="N199" s="3">
        <v>46297</v>
      </c>
      <c r="P199" s="2" t="s">
        <v>1155</v>
      </c>
    </row>
    <row r="200" spans="1:16" x14ac:dyDescent="0.35">
      <c r="A200" s="2" t="s">
        <v>1165</v>
      </c>
      <c r="B200" s="2" t="s">
        <v>1166</v>
      </c>
      <c r="C200" s="2" t="s">
        <v>1154</v>
      </c>
      <c r="D200" s="2" t="str">
        <f>IF(COUNTIF(RBE!$C$1:$C$629,A200)&gt;0,"Existe","Absent")</f>
        <v>Absent</v>
      </c>
      <c r="E200" s="2" t="s">
        <v>3163</v>
      </c>
      <c r="F200" s="2" t="s">
        <v>15</v>
      </c>
      <c r="H200" s="2" t="s">
        <v>154</v>
      </c>
      <c r="I200" s="2" t="s">
        <v>93</v>
      </c>
      <c r="J200" s="2" t="s">
        <v>18</v>
      </c>
      <c r="K200" s="2" t="s">
        <v>88</v>
      </c>
      <c r="L200" s="3">
        <v>45190</v>
      </c>
      <c r="M200" s="3">
        <v>45202</v>
      </c>
      <c r="N200" s="3">
        <v>46297</v>
      </c>
      <c r="P200" s="2" t="s">
        <v>1167</v>
      </c>
    </row>
    <row r="201" spans="1:16" x14ac:dyDescent="0.35">
      <c r="A201" s="2" t="s">
        <v>1472</v>
      </c>
      <c r="B201" s="2" t="s">
        <v>1473</v>
      </c>
      <c r="C201" s="2" t="s">
        <v>1154</v>
      </c>
      <c r="D201" s="2" t="str">
        <f>IF(COUNTIF(RBE!$C$1:$C$629,A201)&gt;0,"Existe","Absent")</f>
        <v>Absent</v>
      </c>
      <c r="E201" s="2" t="s">
        <v>3163</v>
      </c>
      <c r="F201" s="2" t="s">
        <v>15</v>
      </c>
      <c r="H201" s="2" t="s">
        <v>154</v>
      </c>
      <c r="I201" s="2" t="s">
        <v>93</v>
      </c>
      <c r="J201" s="2" t="s">
        <v>18</v>
      </c>
      <c r="K201" s="2" t="s">
        <v>88</v>
      </c>
      <c r="L201" s="3">
        <v>45279</v>
      </c>
      <c r="M201" s="3">
        <v>45366</v>
      </c>
      <c r="N201" s="3">
        <v>46460</v>
      </c>
      <c r="P201" s="2" t="s">
        <v>1474</v>
      </c>
    </row>
    <row r="202" spans="1:16" x14ac:dyDescent="0.35">
      <c r="A202" s="2" t="s">
        <v>562</v>
      </c>
      <c r="C202" s="2" t="s">
        <v>563</v>
      </c>
      <c r="D202" s="2" t="str">
        <f>IF(COUNTIF(RBE!$C$1:$C$629,A202)&gt;0,"Existe","Absent")</f>
        <v>Absent</v>
      </c>
      <c r="E202" s="2" t="s">
        <v>3163</v>
      </c>
      <c r="F202" s="2" t="s">
        <v>15</v>
      </c>
      <c r="H202" s="2" t="s">
        <v>27</v>
      </c>
      <c r="I202" s="2" t="s">
        <v>28</v>
      </c>
      <c r="J202" s="2" t="s">
        <v>18</v>
      </c>
      <c r="K202" s="2" t="s">
        <v>19</v>
      </c>
      <c r="L202" s="3">
        <v>44160</v>
      </c>
      <c r="M202" s="3">
        <v>44225</v>
      </c>
      <c r="N202" s="3">
        <v>46050</v>
      </c>
      <c r="P202" s="2" t="s">
        <v>564</v>
      </c>
    </row>
    <row r="203" spans="1:16" x14ac:dyDescent="0.35">
      <c r="A203" s="2" t="s">
        <v>57</v>
      </c>
      <c r="B203" s="2" t="s">
        <v>58</v>
      </c>
      <c r="C203" s="2" t="s">
        <v>59</v>
      </c>
      <c r="D203" s="2" t="str">
        <f>IF(COUNTIF(RBE!$C$1:$C$629,A203)&gt;0,"Existe","Absent")</f>
        <v>Absent</v>
      </c>
      <c r="E203" s="2" t="s">
        <v>3163</v>
      </c>
      <c r="F203" s="2" t="s">
        <v>15</v>
      </c>
      <c r="H203" s="2" t="s">
        <v>27</v>
      </c>
      <c r="I203" s="2" t="s">
        <v>60</v>
      </c>
      <c r="J203" s="2" t="s">
        <v>18</v>
      </c>
      <c r="K203" s="2" t="s">
        <v>19</v>
      </c>
      <c r="L203" s="3">
        <v>34983</v>
      </c>
      <c r="M203" s="3">
        <v>44476</v>
      </c>
      <c r="N203" s="3">
        <v>46301</v>
      </c>
      <c r="P203" s="2" t="s">
        <v>61</v>
      </c>
    </row>
    <row r="204" spans="1:16" x14ac:dyDescent="0.35">
      <c r="A204" s="2" t="s">
        <v>49</v>
      </c>
      <c r="B204" s="2" t="s">
        <v>50</v>
      </c>
      <c r="C204" s="2" t="s">
        <v>51</v>
      </c>
      <c r="D204" s="2" t="str">
        <f>IF(COUNTIF(RBE!$C$1:$C$629,A204)&gt;0,"Existe","Absent")</f>
        <v>Absent</v>
      </c>
      <c r="E204" s="2" t="s">
        <v>3163</v>
      </c>
      <c r="F204" s="2" t="s">
        <v>15</v>
      </c>
      <c r="H204" s="2" t="s">
        <v>27</v>
      </c>
      <c r="I204" s="2" t="s">
        <v>28</v>
      </c>
      <c r="J204" s="2" t="s">
        <v>18</v>
      </c>
      <c r="K204" s="2" t="s">
        <v>19</v>
      </c>
      <c r="L204" s="3">
        <v>31882</v>
      </c>
      <c r="M204" s="3">
        <v>39986</v>
      </c>
      <c r="N204" s="3">
        <v>45829</v>
      </c>
      <c r="O204" s="3">
        <v>44004</v>
      </c>
      <c r="P204" s="2" t="s">
        <v>52</v>
      </c>
    </row>
    <row r="205" spans="1:16" x14ac:dyDescent="0.35">
      <c r="A205" s="2" t="s">
        <v>95</v>
      </c>
      <c r="B205" s="2" t="s">
        <v>96</v>
      </c>
      <c r="C205" s="2" t="s">
        <v>51</v>
      </c>
      <c r="D205" s="2" t="str">
        <f>IF(COUNTIF(RBE!$C$1:$C$629,A205)&gt;0,"Existe","Absent")</f>
        <v>Absent</v>
      </c>
      <c r="E205" s="2" t="s">
        <v>3163</v>
      </c>
      <c r="F205" s="2" t="s">
        <v>15</v>
      </c>
      <c r="H205" s="2" t="s">
        <v>27</v>
      </c>
      <c r="I205" s="2" t="s">
        <v>60</v>
      </c>
      <c r="J205" s="2" t="s">
        <v>18</v>
      </c>
      <c r="K205" s="2" t="s">
        <v>19</v>
      </c>
      <c r="L205" s="3">
        <v>38734</v>
      </c>
      <c r="M205" s="3">
        <v>40430</v>
      </c>
      <c r="N205" s="3">
        <v>46154</v>
      </c>
      <c r="P205" s="2" t="s">
        <v>97</v>
      </c>
    </row>
    <row r="206" spans="1:16" x14ac:dyDescent="0.35">
      <c r="A206" s="2" t="s">
        <v>1266</v>
      </c>
      <c r="B206" s="2" t="s">
        <v>1267</v>
      </c>
      <c r="C206" s="2" t="s">
        <v>51</v>
      </c>
      <c r="D206" s="2" t="str">
        <f>IF(COUNTIF(RBE!$C$1:$C$629,A206)&gt;0,"Existe","Absent")</f>
        <v>Absent</v>
      </c>
      <c r="E206" s="2" t="s">
        <v>3163</v>
      </c>
      <c r="F206" s="2" t="s">
        <v>15</v>
      </c>
      <c r="H206" s="2" t="s">
        <v>27</v>
      </c>
      <c r="I206" s="2" t="s">
        <v>28</v>
      </c>
      <c r="J206" s="2" t="s">
        <v>18</v>
      </c>
      <c r="K206" s="2" t="s">
        <v>19</v>
      </c>
      <c r="L206" s="3">
        <v>39876</v>
      </c>
      <c r="M206" s="3">
        <v>44879</v>
      </c>
      <c r="N206" s="3">
        <v>46704</v>
      </c>
      <c r="P206" s="2" t="s">
        <v>1268</v>
      </c>
    </row>
    <row r="207" spans="1:16" x14ac:dyDescent="0.35">
      <c r="A207" s="2" t="s">
        <v>841</v>
      </c>
      <c r="C207" s="2" t="s">
        <v>842</v>
      </c>
      <c r="D207" s="2" t="str">
        <f>IF(COUNTIF(RBE!$C$1:$C$629,A207)&gt;0,"Existe","Absent")</f>
        <v>Absent</v>
      </c>
      <c r="E207" s="2" t="s">
        <v>3163</v>
      </c>
      <c r="F207" s="2" t="s">
        <v>15</v>
      </c>
      <c r="H207" s="2" t="s">
        <v>154</v>
      </c>
      <c r="I207" s="2" t="s">
        <v>93</v>
      </c>
      <c r="J207" s="2" t="s">
        <v>18</v>
      </c>
      <c r="K207" s="2" t="s">
        <v>88</v>
      </c>
      <c r="L207" s="3">
        <v>44812</v>
      </c>
      <c r="M207" s="3">
        <v>44904</v>
      </c>
      <c r="N207" s="3">
        <v>45999</v>
      </c>
      <c r="P207" s="2" t="s">
        <v>843</v>
      </c>
    </row>
    <row r="208" spans="1:16" x14ac:dyDescent="0.35">
      <c r="A208" s="2" t="s">
        <v>580</v>
      </c>
      <c r="C208" s="2" t="s">
        <v>581</v>
      </c>
      <c r="D208" s="2" t="str">
        <f>IF(COUNTIF(RBE!$C$1:$C$629,A208)&gt;0,"Existe","Absent")</f>
        <v>Absent</v>
      </c>
      <c r="E208" s="2" t="s">
        <v>3163</v>
      </c>
      <c r="F208" s="2" t="s">
        <v>15</v>
      </c>
      <c r="H208" s="2" t="s">
        <v>27</v>
      </c>
      <c r="I208" s="2" t="s">
        <v>582</v>
      </c>
      <c r="J208" s="2" t="s">
        <v>18</v>
      </c>
      <c r="K208" s="2" t="s">
        <v>177</v>
      </c>
      <c r="L208" s="3">
        <v>44238</v>
      </c>
      <c r="M208" s="3">
        <v>44305</v>
      </c>
      <c r="N208" s="3">
        <v>46130</v>
      </c>
      <c r="P208" s="2" t="s">
        <v>583</v>
      </c>
    </row>
    <row r="209" spans="1:16" x14ac:dyDescent="0.35">
      <c r="A209" s="2" t="s">
        <v>584</v>
      </c>
      <c r="C209" s="2" t="s">
        <v>581</v>
      </c>
      <c r="D209" s="2" t="str">
        <f>IF(COUNTIF(RBE!$C$1:$C$629,A209)&gt;0,"Existe","Absent")</f>
        <v>Absent</v>
      </c>
      <c r="E209" s="2" t="s">
        <v>3163</v>
      </c>
      <c r="F209" s="2" t="s">
        <v>15</v>
      </c>
      <c r="H209" s="2" t="s">
        <v>27</v>
      </c>
      <c r="I209" s="2" t="s">
        <v>585</v>
      </c>
      <c r="J209" s="2" t="s">
        <v>18</v>
      </c>
      <c r="K209" s="2" t="s">
        <v>88</v>
      </c>
      <c r="L209" s="3">
        <v>44238</v>
      </c>
      <c r="M209" s="3">
        <v>44315</v>
      </c>
      <c r="N209" s="3">
        <v>46140</v>
      </c>
      <c r="P209" s="2" t="s">
        <v>586</v>
      </c>
    </row>
    <row r="210" spans="1:16" x14ac:dyDescent="0.35">
      <c r="A210" s="2" t="s">
        <v>1204</v>
      </c>
      <c r="B210" s="2" t="s">
        <v>666</v>
      </c>
      <c r="C210" s="2" t="s">
        <v>1205</v>
      </c>
      <c r="D210" s="2" t="str">
        <f>IF(COUNTIF(RBE!$C$1:$C$629,A210)&gt;0,"Existe","Absent")</f>
        <v>Absent</v>
      </c>
      <c r="E210" s="2" t="s">
        <v>3163</v>
      </c>
      <c r="F210" s="2" t="s">
        <v>15</v>
      </c>
      <c r="H210" s="2" t="s">
        <v>311</v>
      </c>
      <c r="I210" s="2" t="s">
        <v>149</v>
      </c>
      <c r="J210" s="2" t="s">
        <v>18</v>
      </c>
      <c r="K210" s="2" t="s">
        <v>19</v>
      </c>
      <c r="L210" s="3">
        <v>45233</v>
      </c>
      <c r="M210" s="3">
        <v>45259</v>
      </c>
      <c r="N210" s="3">
        <v>47085</v>
      </c>
    </row>
    <row r="211" spans="1:16" x14ac:dyDescent="0.35">
      <c r="A211" s="2" t="s">
        <v>794</v>
      </c>
      <c r="C211" s="2" t="s">
        <v>795</v>
      </c>
      <c r="D211" s="2" t="str">
        <f>IF(COUNTIF(RBE!$C$1:$C$629,A211)&gt;0,"Existe","Absent")</f>
        <v>Absent</v>
      </c>
      <c r="E211" s="2" t="s">
        <v>3163</v>
      </c>
      <c r="F211" s="2" t="s">
        <v>15</v>
      </c>
      <c r="H211" s="2" t="s">
        <v>311</v>
      </c>
      <c r="I211" s="2" t="s">
        <v>149</v>
      </c>
      <c r="J211" s="2" t="s">
        <v>18</v>
      </c>
      <c r="K211" s="2" t="s">
        <v>19</v>
      </c>
      <c r="L211" s="3">
        <v>44529</v>
      </c>
      <c r="M211" s="3">
        <v>44594</v>
      </c>
      <c r="N211" s="3">
        <v>46419</v>
      </c>
    </row>
    <row r="212" spans="1:16" x14ac:dyDescent="0.35">
      <c r="A212" s="2" t="s">
        <v>652</v>
      </c>
      <c r="B212" s="2" t="s">
        <v>653</v>
      </c>
      <c r="C212" s="2" t="s">
        <v>654</v>
      </c>
      <c r="D212" s="2" t="str">
        <f>IF(COUNTIF(RBE!$C$1:$C$629,A212)&gt;0,"Existe","Absent")</f>
        <v>Absent</v>
      </c>
      <c r="E212" s="2" t="s">
        <v>3163</v>
      </c>
      <c r="F212" s="2" t="s">
        <v>15</v>
      </c>
      <c r="H212" s="2" t="s">
        <v>311</v>
      </c>
      <c r="I212" s="2" t="s">
        <v>149</v>
      </c>
      <c r="J212" s="2" t="s">
        <v>18</v>
      </c>
      <c r="K212" s="2" t="s">
        <v>19</v>
      </c>
      <c r="L212" s="3">
        <v>44385</v>
      </c>
      <c r="M212" s="3">
        <v>44890</v>
      </c>
      <c r="N212" s="3">
        <v>46715</v>
      </c>
    </row>
    <row r="213" spans="1:16" x14ac:dyDescent="0.35">
      <c r="A213" s="2" t="s">
        <v>892</v>
      </c>
      <c r="B213" s="2" t="s">
        <v>893</v>
      </c>
      <c r="C213" s="2" t="s">
        <v>894</v>
      </c>
      <c r="D213" s="2" t="str">
        <f>IF(COUNTIF(RBE!$C$1:$C$629,A213)&gt;0,"Existe","Absent")</f>
        <v>Absent</v>
      </c>
      <c r="E213" s="2" t="s">
        <v>3163</v>
      </c>
      <c r="F213" s="2" t="s">
        <v>15</v>
      </c>
      <c r="H213" s="2" t="s">
        <v>139</v>
      </c>
      <c r="I213" s="2" t="s">
        <v>93</v>
      </c>
      <c r="J213" s="2" t="s">
        <v>18</v>
      </c>
      <c r="K213" s="2" t="s">
        <v>88</v>
      </c>
      <c r="L213" s="3">
        <v>43377</v>
      </c>
      <c r="M213" s="3">
        <v>43500</v>
      </c>
      <c r="N213" s="3">
        <v>46056</v>
      </c>
      <c r="P213" s="2" t="s">
        <v>895</v>
      </c>
    </row>
    <row r="214" spans="1:16" x14ac:dyDescent="0.35">
      <c r="A214" s="2" t="s">
        <v>1389</v>
      </c>
      <c r="B214" s="2" t="s">
        <v>1390</v>
      </c>
      <c r="C214" s="2" t="s">
        <v>1391</v>
      </c>
      <c r="D214" s="2" t="str">
        <f>IF(COUNTIF(RBE!$C$1:$C$629,A214)&gt;0,"Existe","Absent")</f>
        <v>Absent</v>
      </c>
      <c r="E214" s="2" t="s">
        <v>3163</v>
      </c>
      <c r="F214" s="2" t="s">
        <v>15</v>
      </c>
      <c r="H214" s="2" t="s">
        <v>573</v>
      </c>
      <c r="I214" s="2" t="s">
        <v>1218</v>
      </c>
      <c r="J214" s="2" t="s">
        <v>18</v>
      </c>
      <c r="K214" s="2" t="s">
        <v>19</v>
      </c>
      <c r="L214" s="3">
        <v>45334</v>
      </c>
      <c r="M214" s="3">
        <v>45344</v>
      </c>
      <c r="N214" s="3">
        <v>45709</v>
      </c>
      <c r="P214" s="2" t="s">
        <v>1392</v>
      </c>
    </row>
    <row r="215" spans="1:16" x14ac:dyDescent="0.35">
      <c r="A215" s="2" t="s">
        <v>172</v>
      </c>
      <c r="B215" s="2" t="s">
        <v>173</v>
      </c>
      <c r="C215" s="2" t="s">
        <v>174</v>
      </c>
      <c r="D215" s="2" t="str">
        <f>IF(COUNTIF(RBE!$C$1:$C$629,A215)&gt;0,"Existe","Absent")</f>
        <v>Absent</v>
      </c>
      <c r="E215" s="2" t="s">
        <v>3163</v>
      </c>
      <c r="F215" s="2" t="s">
        <v>15</v>
      </c>
      <c r="H215" s="2" t="s">
        <v>139</v>
      </c>
      <c r="I215" s="2" t="s">
        <v>175</v>
      </c>
      <c r="J215" s="2" t="s">
        <v>176</v>
      </c>
      <c r="K215" s="2" t="s">
        <v>177</v>
      </c>
      <c r="L215" s="3">
        <v>40904</v>
      </c>
      <c r="M215" s="3">
        <v>40918</v>
      </c>
      <c r="N215" s="3">
        <v>44223</v>
      </c>
      <c r="P215" s="2" t="s">
        <v>178</v>
      </c>
    </row>
    <row r="216" spans="1:16" x14ac:dyDescent="0.35">
      <c r="A216" s="2" t="s">
        <v>179</v>
      </c>
      <c r="B216" s="2" t="s">
        <v>180</v>
      </c>
      <c r="C216" s="2" t="s">
        <v>174</v>
      </c>
      <c r="D216" s="2" t="str">
        <f>IF(COUNTIF(RBE!$C$1:$C$629,A216)&gt;0,"Existe","Absent")</f>
        <v>Absent</v>
      </c>
      <c r="E216" s="2" t="s">
        <v>3163</v>
      </c>
      <c r="F216" s="2" t="s">
        <v>15</v>
      </c>
      <c r="H216" s="2" t="s">
        <v>148</v>
      </c>
      <c r="I216" s="2" t="s">
        <v>175</v>
      </c>
      <c r="J216" s="2" t="s">
        <v>41</v>
      </c>
      <c r="K216" s="2" t="s">
        <v>177</v>
      </c>
      <c r="L216" s="3">
        <v>40924</v>
      </c>
      <c r="M216" s="3">
        <v>40940</v>
      </c>
      <c r="N216" s="3">
        <v>44957</v>
      </c>
      <c r="P216" s="2" t="s">
        <v>181</v>
      </c>
    </row>
    <row r="217" spans="1:16" x14ac:dyDescent="0.35">
      <c r="A217" s="2" t="s">
        <v>990</v>
      </c>
      <c r="B217" s="2" t="s">
        <v>991</v>
      </c>
      <c r="C217" s="2" t="s">
        <v>992</v>
      </c>
      <c r="D217" s="2" t="str">
        <f>IF(COUNTIF(RBE!$C$1:$C$629,A217)&gt;0,"Existe","Absent")</f>
        <v>Absent</v>
      </c>
      <c r="E217" s="2" t="s">
        <v>3163</v>
      </c>
      <c r="F217" s="2" t="s">
        <v>15</v>
      </c>
      <c r="H217" s="2" t="s">
        <v>154</v>
      </c>
      <c r="I217" s="2" t="s">
        <v>93</v>
      </c>
      <c r="J217" s="2" t="s">
        <v>18</v>
      </c>
      <c r="K217" s="2" t="s">
        <v>88</v>
      </c>
      <c r="L217" s="3">
        <v>45006</v>
      </c>
      <c r="M217" s="3">
        <v>45041</v>
      </c>
      <c r="N217" s="3">
        <v>46136</v>
      </c>
      <c r="P217" s="2" t="s">
        <v>993</v>
      </c>
    </row>
    <row r="218" spans="1:16" x14ac:dyDescent="0.35">
      <c r="A218" s="2" t="s">
        <v>1192</v>
      </c>
      <c r="C218" s="2" t="s">
        <v>1193</v>
      </c>
      <c r="D218" s="2" t="str">
        <f>IF(COUNTIF(RBE!$C$1:$C$629,A218)&gt;0,"Existe","Absent")</f>
        <v>Absent</v>
      </c>
      <c r="E218" s="2" t="s">
        <v>3163</v>
      </c>
      <c r="F218" s="2" t="s">
        <v>15</v>
      </c>
      <c r="H218" s="2" t="s">
        <v>154</v>
      </c>
      <c r="I218" s="2" t="s">
        <v>93</v>
      </c>
      <c r="J218" s="2" t="s">
        <v>18</v>
      </c>
      <c r="K218" s="2" t="s">
        <v>177</v>
      </c>
      <c r="L218" s="3">
        <v>45233</v>
      </c>
      <c r="M218" s="3">
        <v>45366</v>
      </c>
      <c r="N218" s="3">
        <v>46460</v>
      </c>
      <c r="P218" s="2" t="s">
        <v>814</v>
      </c>
    </row>
    <row r="219" spans="1:16" x14ac:dyDescent="0.35">
      <c r="A219" s="2" t="s">
        <v>1778</v>
      </c>
      <c r="C219" s="2" t="s">
        <v>1779</v>
      </c>
      <c r="D219" s="2" t="str">
        <f>IF(COUNTIF(RBE!$C$1:$C$629,A219)&gt;0,"Existe","Absent")</f>
        <v>Absent</v>
      </c>
      <c r="E219" s="2" t="s">
        <v>3163</v>
      </c>
      <c r="F219" s="2" t="s">
        <v>15</v>
      </c>
      <c r="H219" s="2" t="s">
        <v>154</v>
      </c>
      <c r="I219" s="2" t="s">
        <v>93</v>
      </c>
      <c r="J219" s="2" t="s">
        <v>41</v>
      </c>
      <c r="K219" s="2" t="s">
        <v>88</v>
      </c>
      <c r="L219" s="3">
        <v>44193</v>
      </c>
      <c r="M219" s="3">
        <v>44404</v>
      </c>
      <c r="N219" s="3">
        <v>45499</v>
      </c>
      <c r="P219" s="2" t="s">
        <v>1780</v>
      </c>
    </row>
    <row r="220" spans="1:16" x14ac:dyDescent="0.35">
      <c r="A220" s="2" t="s">
        <v>1119</v>
      </c>
      <c r="C220" s="2" t="s">
        <v>1120</v>
      </c>
      <c r="D220" s="2" t="str">
        <f>IF(COUNTIF(RBE!$C$1:$C$629,A220)&gt;0,"Existe","Absent")</f>
        <v>Absent</v>
      </c>
      <c r="E220" s="2" t="s">
        <v>3163</v>
      </c>
      <c r="F220" s="2" t="s">
        <v>15</v>
      </c>
      <c r="H220" s="2" t="s">
        <v>154</v>
      </c>
      <c r="I220" s="2" t="s">
        <v>93</v>
      </c>
      <c r="J220" s="2" t="s">
        <v>18</v>
      </c>
      <c r="K220" s="2" t="s">
        <v>88</v>
      </c>
      <c r="L220" s="3">
        <v>45126</v>
      </c>
      <c r="M220" s="3">
        <v>45329</v>
      </c>
      <c r="N220" s="3">
        <v>46424</v>
      </c>
      <c r="P220" s="2" t="s">
        <v>1121</v>
      </c>
    </row>
    <row r="221" spans="1:16" x14ac:dyDescent="0.35">
      <c r="A221" s="2" t="s">
        <v>801</v>
      </c>
      <c r="B221" s="2" t="s">
        <v>566</v>
      </c>
      <c r="C221" s="2" t="s">
        <v>802</v>
      </c>
      <c r="D221" s="2" t="str">
        <f>IF(COUNTIF(RBE!$C$1:$C$629,A221)&gt;0,"Existe","Absent")</f>
        <v>Absent</v>
      </c>
      <c r="E221" s="2" t="s">
        <v>3163</v>
      </c>
      <c r="F221" s="2" t="s">
        <v>15</v>
      </c>
      <c r="H221" s="2" t="s">
        <v>311</v>
      </c>
      <c r="I221" s="2" t="s">
        <v>149</v>
      </c>
      <c r="J221" s="2" t="s">
        <v>18</v>
      </c>
      <c r="K221" s="2" t="s">
        <v>19</v>
      </c>
      <c r="L221" s="3">
        <v>44799</v>
      </c>
      <c r="M221" s="3">
        <v>44817</v>
      </c>
      <c r="N221" s="3">
        <v>46642</v>
      </c>
    </row>
    <row r="222" spans="1:16" x14ac:dyDescent="0.35">
      <c r="A222" s="2" t="s">
        <v>1035</v>
      </c>
      <c r="C222" s="2" t="s">
        <v>1036</v>
      </c>
      <c r="D222" s="2" t="str">
        <f>IF(COUNTIF(RBE!$C$1:$C$629,A222)&gt;0,"Existe","Absent")</f>
        <v>Absent</v>
      </c>
      <c r="E222" s="2" t="s">
        <v>3163</v>
      </c>
      <c r="F222" s="2" t="s">
        <v>15</v>
      </c>
      <c r="H222" s="2" t="s">
        <v>154</v>
      </c>
      <c r="I222" s="2" t="s">
        <v>93</v>
      </c>
      <c r="J222" s="2" t="s">
        <v>18</v>
      </c>
      <c r="K222" s="2" t="s">
        <v>88</v>
      </c>
      <c r="L222" s="3">
        <v>44986</v>
      </c>
      <c r="M222" s="3">
        <v>45103</v>
      </c>
      <c r="N222" s="3">
        <v>46198</v>
      </c>
      <c r="P222" s="2" t="s">
        <v>1037</v>
      </c>
    </row>
    <row r="223" spans="1:16" x14ac:dyDescent="0.35">
      <c r="A223" s="2" t="s">
        <v>508</v>
      </c>
      <c r="B223" s="2" t="s">
        <v>509</v>
      </c>
      <c r="C223" s="2" t="s">
        <v>510</v>
      </c>
      <c r="D223" s="2" t="str">
        <f>IF(COUNTIF(RBE!$C$1:$C$629,A223)&gt;0,"Existe","Absent")</f>
        <v>Absent</v>
      </c>
      <c r="E223" s="2" t="s">
        <v>3163</v>
      </c>
      <c r="F223" s="2" t="s">
        <v>15</v>
      </c>
      <c r="H223" s="2" t="s">
        <v>154</v>
      </c>
      <c r="I223" s="2" t="s">
        <v>93</v>
      </c>
      <c r="J223" s="2" t="s">
        <v>18</v>
      </c>
      <c r="K223" s="2" t="s">
        <v>88</v>
      </c>
      <c r="L223" s="3">
        <v>43749</v>
      </c>
      <c r="M223" s="3">
        <v>43878</v>
      </c>
      <c r="N223" s="3">
        <v>46069</v>
      </c>
      <c r="O223" s="3">
        <v>44974</v>
      </c>
      <c r="P223" s="2" t="s">
        <v>511</v>
      </c>
    </row>
    <row r="224" spans="1:16" x14ac:dyDescent="0.35">
      <c r="A224" s="2" t="s">
        <v>1132</v>
      </c>
      <c r="C224" s="2" t="s">
        <v>1133</v>
      </c>
      <c r="D224" s="2" t="str">
        <f>IF(COUNTIF(RBE!$C$1:$C$629,A224)&gt;0,"Existe","Absent")</f>
        <v>Absent</v>
      </c>
      <c r="E224" s="2" t="s">
        <v>3163</v>
      </c>
      <c r="F224" s="2" t="s">
        <v>15</v>
      </c>
      <c r="H224" s="2" t="s">
        <v>154</v>
      </c>
      <c r="I224" s="2" t="s">
        <v>93</v>
      </c>
      <c r="J224" s="2" t="s">
        <v>18</v>
      </c>
      <c r="K224" s="2" t="s">
        <v>88</v>
      </c>
      <c r="L224" s="3">
        <v>45183</v>
      </c>
      <c r="M224" s="3">
        <v>45299</v>
      </c>
      <c r="N224" s="3">
        <v>46394</v>
      </c>
      <c r="P224" s="2" t="s">
        <v>1134</v>
      </c>
    </row>
    <row r="225" spans="1:16" x14ac:dyDescent="0.35">
      <c r="A225" s="2" t="s">
        <v>1490</v>
      </c>
      <c r="B225" s="2" t="s">
        <v>1491</v>
      </c>
      <c r="C225" s="2" t="s">
        <v>1492</v>
      </c>
      <c r="D225" s="2" t="str">
        <f>IF(COUNTIF(RBE!$C$1:$C$629,A225)&gt;0,"Existe","Absent")</f>
        <v>Absent</v>
      </c>
      <c r="E225" s="2" t="s">
        <v>3163</v>
      </c>
      <c r="F225" s="2" t="s">
        <v>15</v>
      </c>
      <c r="H225" s="2" t="s">
        <v>573</v>
      </c>
      <c r="I225" s="2" t="s">
        <v>1218</v>
      </c>
      <c r="J225" s="2" t="s">
        <v>18</v>
      </c>
      <c r="K225" s="2" t="s">
        <v>19</v>
      </c>
      <c r="L225" s="3">
        <v>45343</v>
      </c>
      <c r="M225" s="3">
        <v>45350</v>
      </c>
      <c r="N225" s="3">
        <v>45715</v>
      </c>
      <c r="P225" s="2" t="s">
        <v>1493</v>
      </c>
    </row>
    <row r="226" spans="1:16" x14ac:dyDescent="0.35">
      <c r="A226" s="2" t="s">
        <v>819</v>
      </c>
      <c r="C226" s="2" t="s">
        <v>820</v>
      </c>
      <c r="D226" s="2" t="str">
        <f>IF(COUNTIF(RBE!$C$1:$C$629,A226)&gt;0,"Existe","Absent")</f>
        <v>Absent</v>
      </c>
      <c r="E226" s="2" t="s">
        <v>3163</v>
      </c>
      <c r="F226" s="2" t="s">
        <v>15</v>
      </c>
      <c r="H226" s="2" t="s">
        <v>311</v>
      </c>
      <c r="I226" s="2" t="s">
        <v>149</v>
      </c>
      <c r="J226" s="2" t="s">
        <v>18</v>
      </c>
      <c r="K226" s="2" t="s">
        <v>19</v>
      </c>
      <c r="L226" s="3">
        <v>44423</v>
      </c>
      <c r="M226" s="3">
        <v>44704</v>
      </c>
      <c r="N226" s="3">
        <v>46529</v>
      </c>
    </row>
    <row r="227" spans="1:16" x14ac:dyDescent="0.35">
      <c r="A227" s="2" t="s">
        <v>1401</v>
      </c>
      <c r="B227" s="2" t="s">
        <v>1402</v>
      </c>
      <c r="C227" s="2" t="s">
        <v>820</v>
      </c>
      <c r="D227" s="2" t="str">
        <f>IF(COUNTIF(RBE!$C$1:$C$629,A227)&gt;0,"Existe","Absent")</f>
        <v>Absent</v>
      </c>
      <c r="E227" s="2" t="s">
        <v>3163</v>
      </c>
      <c r="F227" s="2" t="s">
        <v>15</v>
      </c>
      <c r="H227" s="2" t="s">
        <v>27</v>
      </c>
      <c r="I227" s="2" t="s">
        <v>28</v>
      </c>
      <c r="J227" s="2" t="s">
        <v>18</v>
      </c>
      <c r="K227" s="2" t="s">
        <v>88</v>
      </c>
      <c r="L227" s="3">
        <v>45257</v>
      </c>
      <c r="M227" s="3">
        <v>44612</v>
      </c>
      <c r="N227" s="3">
        <v>46437</v>
      </c>
      <c r="P227" s="2" t="s">
        <v>1403</v>
      </c>
    </row>
    <row r="228" spans="1:16" x14ac:dyDescent="0.35">
      <c r="A228" s="2" t="s">
        <v>1565</v>
      </c>
      <c r="C228" s="2" t="s">
        <v>1566</v>
      </c>
      <c r="D228" s="2" t="str">
        <f>IF(COUNTIF(RBE!$C$1:$C$629,A228)&gt;0,"Existe","Absent")</f>
        <v>Absent</v>
      </c>
      <c r="E228" s="2" t="s">
        <v>3163</v>
      </c>
      <c r="F228" s="2" t="s">
        <v>15</v>
      </c>
      <c r="H228" s="2" t="s">
        <v>573</v>
      </c>
      <c r="I228" s="2" t="s">
        <v>395</v>
      </c>
      <c r="J228" s="2" t="s">
        <v>18</v>
      </c>
      <c r="K228" s="2" t="s">
        <v>19</v>
      </c>
      <c r="L228" s="5">
        <v>45863.4227777778</v>
      </c>
      <c r="M228" s="3">
        <v>45870</v>
      </c>
      <c r="N228" s="3">
        <v>46234</v>
      </c>
      <c r="P228" s="2" t="s">
        <v>1567</v>
      </c>
    </row>
    <row r="229" spans="1:16" x14ac:dyDescent="0.35">
      <c r="A229" s="2" t="s">
        <v>1213</v>
      </c>
      <c r="B229" s="2" t="s">
        <v>566</v>
      </c>
      <c r="C229" s="2" t="s">
        <v>1214</v>
      </c>
      <c r="D229" s="2" t="str">
        <f>IF(COUNTIF(RBE!$C$1:$C$629,A229)&gt;0,"Existe","Absent")</f>
        <v>Absent</v>
      </c>
      <c r="E229" s="2" t="s">
        <v>3163</v>
      </c>
      <c r="F229" s="2" t="s">
        <v>15</v>
      </c>
      <c r="H229" s="2" t="s">
        <v>311</v>
      </c>
      <c r="I229" s="2" t="s">
        <v>149</v>
      </c>
      <c r="J229" s="2" t="s">
        <v>18</v>
      </c>
      <c r="K229" s="2" t="s">
        <v>19</v>
      </c>
      <c r="L229" s="3">
        <v>45194</v>
      </c>
      <c r="M229" s="3">
        <v>45202</v>
      </c>
      <c r="N229" s="3">
        <v>47028</v>
      </c>
    </row>
    <row r="230" spans="1:16" x14ac:dyDescent="0.35">
      <c r="A230" s="2" t="s">
        <v>691</v>
      </c>
      <c r="B230" s="2" t="s">
        <v>692</v>
      </c>
      <c r="C230" s="2" t="s">
        <v>693</v>
      </c>
      <c r="D230" s="2" t="str">
        <f>IF(COUNTIF(RBE!$C$1:$C$629,A230)&gt;0,"Existe","Absent")</f>
        <v>Absent</v>
      </c>
      <c r="E230" s="2" t="s">
        <v>3163</v>
      </c>
      <c r="F230" s="2" t="s">
        <v>15</v>
      </c>
      <c r="H230" s="2" t="s">
        <v>154</v>
      </c>
      <c r="I230" s="2" t="s">
        <v>93</v>
      </c>
      <c r="J230" s="2" t="s">
        <v>18</v>
      </c>
      <c r="K230" s="2" t="s">
        <v>88</v>
      </c>
      <c r="L230" s="3">
        <v>44384</v>
      </c>
      <c r="M230" s="3">
        <v>44642</v>
      </c>
      <c r="N230" s="3">
        <v>45737</v>
      </c>
      <c r="P230" s="2" t="s">
        <v>694</v>
      </c>
    </row>
    <row r="231" spans="1:16" x14ac:dyDescent="0.35">
      <c r="A231" s="2" t="s">
        <v>1415</v>
      </c>
      <c r="B231" s="2" t="s">
        <v>1416</v>
      </c>
      <c r="C231" s="2" t="s">
        <v>1417</v>
      </c>
      <c r="D231" s="2" t="str">
        <f>IF(COUNTIF(RBE!$C$1:$C$629,A231)&gt;0,"Existe","Absent")</f>
        <v>Absent</v>
      </c>
      <c r="E231" s="2" t="s">
        <v>3163</v>
      </c>
      <c r="F231" s="2" t="s">
        <v>15</v>
      </c>
      <c r="H231" s="2" t="s">
        <v>573</v>
      </c>
      <c r="I231" s="2" t="s">
        <v>395</v>
      </c>
      <c r="J231" s="2" t="s">
        <v>18</v>
      </c>
      <c r="K231" s="2" t="s">
        <v>19</v>
      </c>
      <c r="L231" s="3">
        <v>45357</v>
      </c>
      <c r="M231" s="3">
        <v>45359</v>
      </c>
      <c r="N231" s="3">
        <v>45723</v>
      </c>
      <c r="P231" s="2" t="s">
        <v>1418</v>
      </c>
    </row>
    <row r="232" spans="1:16" x14ac:dyDescent="0.35">
      <c r="A232" s="2" t="s">
        <v>1419</v>
      </c>
      <c r="B232" s="2" t="s">
        <v>1420</v>
      </c>
      <c r="C232" s="2" t="s">
        <v>1417</v>
      </c>
      <c r="D232" s="2" t="str">
        <f>IF(COUNTIF(RBE!$C$1:$C$629,A232)&gt;0,"Existe","Absent")</f>
        <v>Absent</v>
      </c>
      <c r="E232" s="2" t="s">
        <v>3163</v>
      </c>
      <c r="F232" s="2" t="s">
        <v>15</v>
      </c>
      <c r="H232" s="2" t="s">
        <v>573</v>
      </c>
      <c r="I232" s="2" t="s">
        <v>395</v>
      </c>
      <c r="J232" s="2" t="s">
        <v>18</v>
      </c>
      <c r="K232" s="2" t="s">
        <v>19</v>
      </c>
      <c r="L232" s="3">
        <v>45355</v>
      </c>
      <c r="M232" s="3">
        <v>45359</v>
      </c>
      <c r="N232" s="3">
        <v>45723</v>
      </c>
      <c r="P232" s="2" t="s">
        <v>1421</v>
      </c>
    </row>
    <row r="233" spans="1:16" x14ac:dyDescent="0.35">
      <c r="A233" s="2" t="s">
        <v>1015</v>
      </c>
      <c r="B233" s="2" t="s">
        <v>1016</v>
      </c>
      <c r="C233" s="2" t="s">
        <v>1017</v>
      </c>
      <c r="D233" s="2" t="str">
        <f>IF(COUNTIF(RBE!$C$1:$C$629,A233)&gt;0,"Existe","Absent")</f>
        <v>Absent</v>
      </c>
      <c r="E233" s="2" t="s">
        <v>3163</v>
      </c>
      <c r="F233" s="2" t="s">
        <v>15</v>
      </c>
      <c r="H233" s="2" t="s">
        <v>154</v>
      </c>
      <c r="I233" s="2" t="s">
        <v>93</v>
      </c>
      <c r="J233" s="2" t="s">
        <v>18</v>
      </c>
      <c r="K233" s="2" t="s">
        <v>88</v>
      </c>
      <c r="L233" s="3">
        <v>44867</v>
      </c>
      <c r="M233" s="3">
        <v>45357</v>
      </c>
      <c r="N233" s="3">
        <v>46451</v>
      </c>
      <c r="P233" s="2" t="s">
        <v>370</v>
      </c>
    </row>
    <row r="234" spans="1:16" x14ac:dyDescent="0.35">
      <c r="A234" s="2" t="s">
        <v>1057</v>
      </c>
      <c r="B234" s="2" t="s">
        <v>1058</v>
      </c>
      <c r="C234" s="2" t="s">
        <v>1059</v>
      </c>
      <c r="D234" s="2" t="str">
        <f>IF(COUNTIF(RBE!$C$1:$C$629,A234)&gt;0,"Existe","Absent")</f>
        <v>Absent</v>
      </c>
      <c r="E234" s="2" t="s">
        <v>3163</v>
      </c>
      <c r="F234" s="2" t="s">
        <v>15</v>
      </c>
      <c r="H234" s="2" t="s">
        <v>154</v>
      </c>
      <c r="I234" s="2" t="s">
        <v>93</v>
      </c>
      <c r="J234" s="2" t="s">
        <v>18</v>
      </c>
      <c r="K234" s="2" t="s">
        <v>177</v>
      </c>
      <c r="L234" s="3">
        <v>45071</v>
      </c>
      <c r="M234" s="3">
        <v>45117</v>
      </c>
      <c r="N234" s="3">
        <v>46212</v>
      </c>
      <c r="P234" s="2" t="s">
        <v>1060</v>
      </c>
    </row>
    <row r="235" spans="1:16" x14ac:dyDescent="0.35">
      <c r="A235" s="2" t="s">
        <v>371</v>
      </c>
      <c r="B235" s="2" t="s">
        <v>372</v>
      </c>
      <c r="C235" s="2" t="s">
        <v>373</v>
      </c>
      <c r="D235" s="2" t="str">
        <f>IF(COUNTIF(RBE!$C$1:$C$629,A235)&gt;0,"Existe","Absent")</f>
        <v>Absent</v>
      </c>
      <c r="E235" s="2" t="s">
        <v>3163</v>
      </c>
      <c r="F235" s="2" t="s">
        <v>15</v>
      </c>
      <c r="H235" s="2" t="s">
        <v>154</v>
      </c>
      <c r="I235" s="2" t="s">
        <v>93</v>
      </c>
      <c r="J235" s="2" t="s">
        <v>41</v>
      </c>
      <c r="K235" s="2" t="s">
        <v>88</v>
      </c>
      <c r="L235" s="3">
        <v>42808</v>
      </c>
      <c r="M235" s="3">
        <v>44249</v>
      </c>
      <c r="N235" s="3">
        <v>45306</v>
      </c>
      <c r="P235" s="2" t="s">
        <v>370</v>
      </c>
    </row>
    <row r="236" spans="1:16" x14ac:dyDescent="0.35">
      <c r="A236" s="2" t="s">
        <v>1322</v>
      </c>
      <c r="B236" s="2" t="s">
        <v>1323</v>
      </c>
      <c r="C236" s="2" t="s">
        <v>1324</v>
      </c>
      <c r="D236" s="2" t="str">
        <f>IF(COUNTIF(RBE!$C$1:$C$629,A236)&gt;0,"Existe","Absent")</f>
        <v>Absent</v>
      </c>
      <c r="E236" s="2" t="s">
        <v>3163</v>
      </c>
      <c r="F236" s="2" t="s">
        <v>15</v>
      </c>
      <c r="H236" s="2" t="s">
        <v>154</v>
      </c>
      <c r="I236" s="2" t="s">
        <v>93</v>
      </c>
      <c r="J236" s="2" t="s">
        <v>18</v>
      </c>
      <c r="K236" s="2" t="s">
        <v>88</v>
      </c>
      <c r="L236" s="3">
        <v>45012</v>
      </c>
      <c r="M236" s="3">
        <v>45294</v>
      </c>
      <c r="N236" s="3">
        <v>46389</v>
      </c>
      <c r="P236" s="2" t="s">
        <v>370</v>
      </c>
    </row>
    <row r="237" spans="1:16" x14ac:dyDescent="0.35">
      <c r="A237" s="2" t="s">
        <v>1433</v>
      </c>
      <c r="B237" s="2" t="s">
        <v>1434</v>
      </c>
      <c r="C237" s="2" t="s">
        <v>1435</v>
      </c>
      <c r="D237" s="2" t="str">
        <f>IF(COUNTIF(RBE!$C$1:$C$629,A237)&gt;0,"Existe","Absent")</f>
        <v>Absent</v>
      </c>
      <c r="E237" s="2" t="s">
        <v>3163</v>
      </c>
      <c r="F237" s="2" t="s">
        <v>15</v>
      </c>
      <c r="H237" s="2" t="s">
        <v>154</v>
      </c>
      <c r="I237" s="2" t="s">
        <v>93</v>
      </c>
      <c r="J237" s="2" t="s">
        <v>18</v>
      </c>
      <c r="K237" s="2" t="s">
        <v>88</v>
      </c>
      <c r="L237" s="3">
        <v>45119</v>
      </c>
      <c r="M237" s="3">
        <v>45357</v>
      </c>
      <c r="N237" s="3">
        <v>46451</v>
      </c>
      <c r="P237" s="2" t="s">
        <v>1436</v>
      </c>
    </row>
    <row r="238" spans="1:16" x14ac:dyDescent="0.35">
      <c r="A238" s="2" t="s">
        <v>1615</v>
      </c>
      <c r="C238" s="2" t="s">
        <v>1616</v>
      </c>
      <c r="D238" s="2" t="str">
        <f>IF(COUNTIF(RBE!$C$1:$C$629,A238)&gt;0,"Existe","Absent")</f>
        <v>Absent</v>
      </c>
      <c r="E238" s="2" t="s">
        <v>3163</v>
      </c>
      <c r="F238" s="2" t="s">
        <v>15</v>
      </c>
      <c r="H238" s="2" t="s">
        <v>573</v>
      </c>
      <c r="I238" s="2" t="s">
        <v>395</v>
      </c>
      <c r="J238" s="2" t="s">
        <v>18</v>
      </c>
      <c r="K238" s="2" t="s">
        <v>19</v>
      </c>
      <c r="L238" s="5">
        <v>45973.574976851902</v>
      </c>
      <c r="M238" s="3">
        <v>46013</v>
      </c>
      <c r="N238" s="3">
        <v>46377</v>
      </c>
      <c r="P238" s="2" t="s">
        <v>1617</v>
      </c>
    </row>
    <row r="239" spans="1:16" x14ac:dyDescent="0.35">
      <c r="A239" s="2" t="s">
        <v>486</v>
      </c>
      <c r="C239" s="2" t="s">
        <v>487</v>
      </c>
      <c r="D239" s="2" t="str">
        <f>IF(COUNTIF(RBE!$C$1:$C$629,A239)&gt;0,"Existe","Absent")</f>
        <v>Absent</v>
      </c>
      <c r="E239" s="2" t="s">
        <v>3163</v>
      </c>
      <c r="F239" s="2" t="s">
        <v>15</v>
      </c>
      <c r="H239" s="2" t="s">
        <v>27</v>
      </c>
      <c r="I239" s="2" t="s">
        <v>28</v>
      </c>
      <c r="J239" s="2" t="s">
        <v>41</v>
      </c>
      <c r="K239" s="2" t="s">
        <v>19</v>
      </c>
      <c r="L239" s="3">
        <v>43360</v>
      </c>
      <c r="M239" s="3">
        <v>43543</v>
      </c>
      <c r="N239" s="3">
        <v>45369</v>
      </c>
      <c r="P239" s="2" t="s">
        <v>488</v>
      </c>
    </row>
    <row r="240" spans="1:16" x14ac:dyDescent="0.35">
      <c r="A240" s="2" t="s">
        <v>1426</v>
      </c>
      <c r="B240" s="2" t="s">
        <v>1427</v>
      </c>
      <c r="C240" s="2" t="s">
        <v>1428</v>
      </c>
      <c r="D240" s="2" t="str">
        <f>IF(COUNTIF(RBE!$C$1:$C$629,A240)&gt;0,"Existe","Absent")</f>
        <v>Absent</v>
      </c>
      <c r="E240" s="2" t="s">
        <v>3163</v>
      </c>
      <c r="F240" s="2" t="s">
        <v>15</v>
      </c>
      <c r="H240" s="2" t="s">
        <v>573</v>
      </c>
      <c r="I240" s="2" t="s">
        <v>395</v>
      </c>
      <c r="J240" s="2" t="s">
        <v>18</v>
      </c>
      <c r="K240" s="2" t="s">
        <v>19</v>
      </c>
      <c r="L240" s="3">
        <v>45358</v>
      </c>
      <c r="M240" s="3">
        <v>45363</v>
      </c>
      <c r="N240" s="3">
        <v>45727</v>
      </c>
      <c r="P240" s="2" t="s">
        <v>1429</v>
      </c>
    </row>
    <row r="241" spans="1:16" x14ac:dyDescent="0.35">
      <c r="A241" s="2" t="s">
        <v>367</v>
      </c>
      <c r="B241" s="2" t="s">
        <v>368</v>
      </c>
      <c r="C241" s="2" t="s">
        <v>369</v>
      </c>
      <c r="D241" s="2" t="str">
        <f>IF(COUNTIF(RBE!$C$1:$C$629,A241)&gt;0,"Existe","Absent")</f>
        <v>Absent</v>
      </c>
      <c r="E241" s="2" t="s">
        <v>3163</v>
      </c>
      <c r="F241" s="2" t="s">
        <v>15</v>
      </c>
      <c r="H241" s="2" t="s">
        <v>154</v>
      </c>
      <c r="I241" s="2" t="s">
        <v>93</v>
      </c>
      <c r="J241" s="2" t="s">
        <v>41</v>
      </c>
      <c r="K241" s="2" t="s">
        <v>88</v>
      </c>
      <c r="L241" s="3">
        <v>42787</v>
      </c>
      <c r="M241" s="3">
        <v>44258</v>
      </c>
      <c r="N241" s="3">
        <v>45353</v>
      </c>
      <c r="P241" s="2" t="s">
        <v>370</v>
      </c>
    </row>
    <row r="242" spans="1:16" x14ac:dyDescent="0.35">
      <c r="A242" s="2" t="s">
        <v>316</v>
      </c>
      <c r="B242" s="2" t="s">
        <v>317</v>
      </c>
      <c r="C242" s="2" t="s">
        <v>318</v>
      </c>
      <c r="D242" s="2" t="str">
        <f>IF(COUNTIF(RBE!$C$1:$C$629,A242)&gt;0,"Existe","Absent")</f>
        <v>Absent</v>
      </c>
      <c r="E242" s="2" t="s">
        <v>3163</v>
      </c>
      <c r="F242" s="2" t="s">
        <v>15</v>
      </c>
      <c r="H242" s="2" t="s">
        <v>154</v>
      </c>
      <c r="I242" s="2" t="s">
        <v>93</v>
      </c>
      <c r="J242" s="2" t="s">
        <v>18</v>
      </c>
      <c r="K242" s="2" t="s">
        <v>88</v>
      </c>
      <c r="L242" s="3">
        <v>42381</v>
      </c>
      <c r="M242" s="3">
        <v>40190</v>
      </c>
      <c r="N242" s="3">
        <v>45421</v>
      </c>
      <c r="O242" s="3">
        <v>43707</v>
      </c>
      <c r="P242" s="2" t="s">
        <v>319</v>
      </c>
    </row>
    <row r="243" spans="1:16" x14ac:dyDescent="0.35">
      <c r="A243" s="2" t="s">
        <v>544</v>
      </c>
      <c r="B243" s="2" t="s">
        <v>545</v>
      </c>
      <c r="C243" s="2" t="s">
        <v>546</v>
      </c>
      <c r="D243" s="2" t="str">
        <f>IF(COUNTIF(RBE!$C$1:$C$629,A243)&gt;0,"Existe","Absent")</f>
        <v>Absent</v>
      </c>
      <c r="E243" s="2" t="s">
        <v>3163</v>
      </c>
      <c r="F243" s="2" t="s">
        <v>15</v>
      </c>
      <c r="H243" s="2" t="s">
        <v>154</v>
      </c>
      <c r="I243" s="2" t="s">
        <v>93</v>
      </c>
      <c r="J243" s="2" t="s">
        <v>41</v>
      </c>
      <c r="K243" s="2" t="s">
        <v>88</v>
      </c>
      <c r="L243" s="3">
        <v>44032</v>
      </c>
      <c r="M243" s="3">
        <v>42537</v>
      </c>
      <c r="N243" s="3">
        <v>43633</v>
      </c>
      <c r="P243" s="2" t="s">
        <v>547</v>
      </c>
    </row>
    <row r="244" spans="1:16" x14ac:dyDescent="0.35">
      <c r="A244" s="2" t="s">
        <v>811</v>
      </c>
      <c r="B244" s="2" t="s">
        <v>812</v>
      </c>
      <c r="C244" s="2" t="s">
        <v>813</v>
      </c>
      <c r="D244" s="2" t="str">
        <f>IF(COUNTIF(RBE!$C$1:$C$629,A244)&gt;0,"Existe","Absent")</f>
        <v>Absent</v>
      </c>
      <c r="E244" s="2" t="s">
        <v>3163</v>
      </c>
      <c r="F244" s="2" t="s">
        <v>15</v>
      </c>
      <c r="H244" s="2" t="s">
        <v>154</v>
      </c>
      <c r="I244" s="2" t="s">
        <v>93</v>
      </c>
      <c r="J244" s="2" t="s">
        <v>18</v>
      </c>
      <c r="K244" s="2" t="s">
        <v>88</v>
      </c>
      <c r="L244" s="3">
        <v>44796</v>
      </c>
      <c r="M244" s="3">
        <v>45000</v>
      </c>
      <c r="N244" s="3">
        <v>46095</v>
      </c>
      <c r="P244" s="2" t="s">
        <v>814</v>
      </c>
    </row>
    <row r="245" spans="1:16" x14ac:dyDescent="0.35">
      <c r="A245" s="2" t="s">
        <v>1679</v>
      </c>
      <c r="C245" s="2" t="s">
        <v>1680</v>
      </c>
      <c r="D245" s="2" t="str">
        <f>IF(COUNTIF(RBE!$C$1:$C$629,A245)&gt;0,"Existe","Absent")</f>
        <v>Absent</v>
      </c>
      <c r="E245" s="2" t="s">
        <v>3163</v>
      </c>
      <c r="F245" s="2" t="s">
        <v>15</v>
      </c>
      <c r="H245" s="2" t="s">
        <v>573</v>
      </c>
      <c r="I245" s="2" t="s">
        <v>1218</v>
      </c>
      <c r="J245" s="2" t="s">
        <v>18</v>
      </c>
      <c r="K245" s="2" t="s">
        <v>19</v>
      </c>
      <c r="L245" s="5">
        <v>45960.553506944401</v>
      </c>
      <c r="M245" s="3">
        <v>46002</v>
      </c>
      <c r="N245" s="3">
        <v>46366</v>
      </c>
      <c r="P245" s="2" t="s">
        <v>1681</v>
      </c>
    </row>
    <row r="246" spans="1:16" x14ac:dyDescent="0.35">
      <c r="A246" s="2" t="s">
        <v>1682</v>
      </c>
      <c r="C246" s="2" t="s">
        <v>1680</v>
      </c>
      <c r="D246" s="2" t="str">
        <f>IF(COUNTIF(RBE!$C$1:$C$629,A246)&gt;0,"Existe","Absent")</f>
        <v>Absent</v>
      </c>
      <c r="E246" s="2" t="s">
        <v>3163</v>
      </c>
      <c r="F246" s="2" t="s">
        <v>15</v>
      </c>
      <c r="H246" s="2" t="s">
        <v>573</v>
      </c>
      <c r="I246" s="2" t="s">
        <v>1218</v>
      </c>
      <c r="J246" s="2" t="s">
        <v>18</v>
      </c>
      <c r="K246" s="2" t="s">
        <v>19</v>
      </c>
      <c r="L246" s="5">
        <v>45960.493518518502</v>
      </c>
      <c r="M246" s="3">
        <v>46002</v>
      </c>
      <c r="N246" s="3">
        <v>46366</v>
      </c>
      <c r="P246" s="2" t="s">
        <v>1683</v>
      </c>
    </row>
    <row r="247" spans="1:16" x14ac:dyDescent="0.35">
      <c r="A247" s="2" t="s">
        <v>450</v>
      </c>
      <c r="B247" s="2" t="s">
        <v>328</v>
      </c>
      <c r="C247" s="2" t="s">
        <v>451</v>
      </c>
      <c r="D247" s="2" t="str">
        <f>IF(COUNTIF(RBE!$C$1:$C$629,A247)&gt;0,"Existe","Absent")</f>
        <v>Absent</v>
      </c>
      <c r="E247" s="2" t="s">
        <v>3163</v>
      </c>
      <c r="F247" s="2" t="s">
        <v>15</v>
      </c>
      <c r="H247" s="2" t="s">
        <v>311</v>
      </c>
      <c r="I247" s="2" t="s">
        <v>149</v>
      </c>
      <c r="J247" s="2" t="s">
        <v>18</v>
      </c>
      <c r="K247" s="2" t="s">
        <v>19</v>
      </c>
      <c r="L247" s="3">
        <v>43225</v>
      </c>
      <c r="M247" s="3">
        <v>43273</v>
      </c>
      <c r="N247" s="3">
        <v>46880</v>
      </c>
      <c r="O247" s="3">
        <v>45055</v>
      </c>
      <c r="P247" s="2" t="s">
        <v>452</v>
      </c>
    </row>
    <row r="248" spans="1:16" x14ac:dyDescent="0.35">
      <c r="A248" s="2" t="s">
        <v>1018</v>
      </c>
      <c r="B248" s="2" t="s">
        <v>1019</v>
      </c>
      <c r="C248" s="2" t="s">
        <v>1020</v>
      </c>
      <c r="D248" s="2" t="str">
        <f>IF(COUNTIF(RBE!$C$1:$C$629,A248)&gt;0,"Existe","Absent")</f>
        <v>Absent</v>
      </c>
      <c r="E248" s="2" t="s">
        <v>3163</v>
      </c>
      <c r="F248" s="2" t="s">
        <v>15</v>
      </c>
      <c r="H248" s="2" t="s">
        <v>139</v>
      </c>
      <c r="I248" s="2" t="s">
        <v>93</v>
      </c>
      <c r="J248" s="2" t="s">
        <v>18</v>
      </c>
      <c r="K248" s="2" t="s">
        <v>88</v>
      </c>
      <c r="L248" s="3">
        <v>44831</v>
      </c>
      <c r="M248" s="3">
        <v>44959</v>
      </c>
      <c r="N248" s="3">
        <v>46419</v>
      </c>
      <c r="P248" s="2" t="s">
        <v>1021</v>
      </c>
    </row>
    <row r="249" spans="1:16" x14ac:dyDescent="0.35">
      <c r="A249" s="2" t="s">
        <v>655</v>
      </c>
      <c r="B249" s="2" t="s">
        <v>656</v>
      </c>
      <c r="C249" s="2" t="s">
        <v>657</v>
      </c>
      <c r="D249" s="2" t="str">
        <f>IF(COUNTIF(RBE!$C$1:$C$629,A249)&gt;0,"Existe","Absent")</f>
        <v>Absent</v>
      </c>
      <c r="E249" s="2" t="s">
        <v>3163</v>
      </c>
      <c r="F249" s="2" t="s">
        <v>15</v>
      </c>
      <c r="H249" s="2" t="s">
        <v>139</v>
      </c>
      <c r="I249" s="2" t="s">
        <v>93</v>
      </c>
      <c r="J249" s="2" t="s">
        <v>18</v>
      </c>
      <c r="K249" s="2" t="s">
        <v>88</v>
      </c>
      <c r="L249" s="3">
        <v>44529</v>
      </c>
      <c r="M249" s="3">
        <v>45357</v>
      </c>
      <c r="N249" s="3">
        <v>46817</v>
      </c>
      <c r="P249" s="2" t="s">
        <v>658</v>
      </c>
    </row>
    <row r="250" spans="1:16" x14ac:dyDescent="0.35">
      <c r="A250" s="2" t="s">
        <v>1543</v>
      </c>
      <c r="B250" s="2" t="s">
        <v>1544</v>
      </c>
      <c r="C250" s="2" t="s">
        <v>1545</v>
      </c>
      <c r="D250" s="2" t="str">
        <f>IF(COUNTIF(RBE!$C$1:$C$629,A250)&gt;0,"Existe","Absent")</f>
        <v>Absent</v>
      </c>
      <c r="E250" s="2" t="s">
        <v>3163</v>
      </c>
      <c r="F250" s="2" t="s">
        <v>15</v>
      </c>
      <c r="H250" s="2" t="s">
        <v>139</v>
      </c>
      <c r="I250" s="2" t="s">
        <v>93</v>
      </c>
      <c r="J250" s="2" t="s">
        <v>18</v>
      </c>
      <c r="K250" s="2" t="s">
        <v>88</v>
      </c>
      <c r="L250" s="3">
        <v>44217</v>
      </c>
      <c r="M250" s="3">
        <v>44413</v>
      </c>
      <c r="N250" s="3">
        <v>45873</v>
      </c>
      <c r="P250" s="2" t="s">
        <v>1546</v>
      </c>
    </row>
    <row r="251" spans="1:16" x14ac:dyDescent="0.35">
      <c r="A251" s="2" t="s">
        <v>923</v>
      </c>
      <c r="C251" s="2" t="s">
        <v>924</v>
      </c>
      <c r="D251" s="2" t="str">
        <f>IF(COUNTIF(RBE!$C$1:$C$629,A251)&gt;0,"Existe","Absent")</f>
        <v>Absent</v>
      </c>
      <c r="E251" s="2" t="s">
        <v>3163</v>
      </c>
      <c r="F251" s="2" t="s">
        <v>15</v>
      </c>
      <c r="H251" s="2" t="s">
        <v>154</v>
      </c>
      <c r="I251" s="2" t="s">
        <v>93</v>
      </c>
      <c r="J251" s="2" t="s">
        <v>18</v>
      </c>
      <c r="K251" s="2" t="s">
        <v>88</v>
      </c>
      <c r="L251" s="3">
        <v>44861</v>
      </c>
      <c r="M251" s="3">
        <v>45006</v>
      </c>
      <c r="N251" s="3">
        <v>46101</v>
      </c>
      <c r="P251" s="2" t="s">
        <v>925</v>
      </c>
    </row>
    <row r="252" spans="1:16" x14ac:dyDescent="0.35">
      <c r="A252" s="2" t="s">
        <v>695</v>
      </c>
      <c r="B252" s="2" t="s">
        <v>696</v>
      </c>
      <c r="C252" s="2" t="s">
        <v>697</v>
      </c>
      <c r="D252" s="2" t="str">
        <f>IF(COUNTIF(RBE!$C$1:$C$629,A252)&gt;0,"Existe","Absent")</f>
        <v>Absent</v>
      </c>
      <c r="E252" s="2" t="s">
        <v>3163</v>
      </c>
      <c r="F252" s="2" t="s">
        <v>15</v>
      </c>
      <c r="H252" s="2" t="s">
        <v>154</v>
      </c>
      <c r="I252" s="2" t="s">
        <v>93</v>
      </c>
      <c r="J252" s="2" t="s">
        <v>41</v>
      </c>
      <c r="K252" s="2" t="s">
        <v>88</v>
      </c>
      <c r="L252" s="3">
        <v>40045</v>
      </c>
      <c r="M252" s="3">
        <v>40119</v>
      </c>
      <c r="N252" s="3">
        <v>44136</v>
      </c>
      <c r="O252" s="3">
        <v>43041</v>
      </c>
      <c r="P252" s="2" t="s">
        <v>698</v>
      </c>
    </row>
    <row r="253" spans="1:16" x14ac:dyDescent="0.35">
      <c r="A253" s="2" t="s">
        <v>397</v>
      </c>
      <c r="B253" s="2" t="s">
        <v>398</v>
      </c>
      <c r="C253" s="2" t="s">
        <v>399</v>
      </c>
      <c r="D253" s="2" t="str">
        <f>IF(COUNTIF(RBE!$C$1:$C$629,A253)&gt;0,"Existe","Absent")</f>
        <v>Absent</v>
      </c>
      <c r="E253" s="2" t="s">
        <v>3163</v>
      </c>
      <c r="F253" s="2" t="s">
        <v>15</v>
      </c>
      <c r="H253" s="2" t="s">
        <v>294</v>
      </c>
      <c r="I253" s="2" t="s">
        <v>17</v>
      </c>
      <c r="J253" s="2" t="s">
        <v>18</v>
      </c>
      <c r="K253" s="2" t="s">
        <v>19</v>
      </c>
      <c r="L253" s="3">
        <v>43000</v>
      </c>
      <c r="M253" s="3">
        <v>43481</v>
      </c>
      <c r="N253" s="3">
        <v>52612</v>
      </c>
      <c r="P253" s="2" t="s">
        <v>400</v>
      </c>
    </row>
    <row r="254" spans="1:16" x14ac:dyDescent="0.35">
      <c r="A254" s="2" t="s">
        <v>1238</v>
      </c>
      <c r="B254" s="2" t="s">
        <v>1239</v>
      </c>
      <c r="C254" s="2" t="s">
        <v>1240</v>
      </c>
      <c r="D254" s="2" t="str">
        <f>IF(COUNTIF(RBE!$C$1:$C$629,A254)&gt;0,"Existe","Absent")</f>
        <v>Absent</v>
      </c>
      <c r="E254" s="2" t="s">
        <v>3163</v>
      </c>
      <c r="F254" s="2" t="s">
        <v>15</v>
      </c>
      <c r="H254" s="2" t="s">
        <v>139</v>
      </c>
      <c r="I254" s="2" t="s">
        <v>93</v>
      </c>
      <c r="J254" s="2" t="s">
        <v>18</v>
      </c>
      <c r="K254" s="2" t="s">
        <v>88</v>
      </c>
      <c r="L254" s="3">
        <v>45126</v>
      </c>
      <c r="M254" s="3">
        <v>45259</v>
      </c>
      <c r="N254" s="3">
        <v>46719</v>
      </c>
      <c r="P254" s="2" t="s">
        <v>1241</v>
      </c>
    </row>
    <row r="255" spans="1:16" x14ac:dyDescent="0.35">
      <c r="A255" s="2" t="s">
        <v>110</v>
      </c>
      <c r="B255" s="2" t="s">
        <v>111</v>
      </c>
      <c r="C255" s="2" t="s">
        <v>112</v>
      </c>
      <c r="D255" s="2" t="str">
        <f>IF(COUNTIF(RBE!$C$1:$C$629,A255)&gt;0,"Existe","Absent")</f>
        <v>Absent</v>
      </c>
      <c r="E255" s="2" t="s">
        <v>3163</v>
      </c>
      <c r="F255" s="2" t="s">
        <v>15</v>
      </c>
      <c r="H255" s="2" t="s">
        <v>16</v>
      </c>
      <c r="I255" s="2" t="s">
        <v>113</v>
      </c>
      <c r="J255" s="2" t="s">
        <v>18</v>
      </c>
      <c r="K255" s="2" t="s">
        <v>19</v>
      </c>
      <c r="L255" s="3">
        <v>38826</v>
      </c>
      <c r="M255" s="3">
        <v>40102</v>
      </c>
      <c r="N255" s="3">
        <v>48520</v>
      </c>
      <c r="P255" s="2" t="s">
        <v>114</v>
      </c>
    </row>
    <row r="256" spans="1:16" x14ac:dyDescent="0.35">
      <c r="A256" s="2" t="s">
        <v>1052</v>
      </c>
      <c r="B256" s="2" t="s">
        <v>1053</v>
      </c>
      <c r="C256" s="2" t="s">
        <v>1054</v>
      </c>
      <c r="D256" s="2" t="str">
        <f>IF(COUNTIF(RBE!$C$1:$C$629,A256)&gt;0,"Existe","Absent")</f>
        <v>Absent</v>
      </c>
      <c r="E256" s="2" t="s">
        <v>3163</v>
      </c>
      <c r="F256" s="2" t="s">
        <v>15</v>
      </c>
      <c r="H256" s="2" t="s">
        <v>139</v>
      </c>
      <c r="I256" s="2" t="s">
        <v>1055</v>
      </c>
      <c r="J256" s="2" t="s">
        <v>18</v>
      </c>
      <c r="K256" s="2" t="s">
        <v>19</v>
      </c>
      <c r="L256" s="3">
        <v>44421</v>
      </c>
      <c r="M256" s="3">
        <v>44433</v>
      </c>
      <c r="N256" s="3">
        <v>45893</v>
      </c>
      <c r="P256" s="2" t="s">
        <v>1056</v>
      </c>
    </row>
    <row r="257" spans="1:16" x14ac:dyDescent="0.35">
      <c r="A257" s="2" t="s">
        <v>639</v>
      </c>
      <c r="C257" s="2" t="s">
        <v>640</v>
      </c>
      <c r="D257" s="2" t="str">
        <f>IF(COUNTIF(RBE!$C$1:$C$629,A257)&gt;0,"Existe","Absent")</f>
        <v>Absent</v>
      </c>
      <c r="E257" s="2" t="s">
        <v>3163</v>
      </c>
      <c r="F257" s="2" t="s">
        <v>15</v>
      </c>
      <c r="H257" s="2" t="s">
        <v>27</v>
      </c>
      <c r="I257" s="2" t="s">
        <v>641</v>
      </c>
      <c r="J257" s="2" t="s">
        <v>18</v>
      </c>
      <c r="K257" s="2" t="s">
        <v>19</v>
      </c>
      <c r="L257" s="3">
        <v>44320</v>
      </c>
      <c r="M257" s="3">
        <v>44392</v>
      </c>
      <c r="N257" s="3">
        <v>46217</v>
      </c>
      <c r="P257" s="2" t="s">
        <v>642</v>
      </c>
    </row>
    <row r="258" spans="1:16" x14ac:dyDescent="0.35">
      <c r="A258" s="2" t="s">
        <v>1517</v>
      </c>
      <c r="B258" s="2" t="s">
        <v>1518</v>
      </c>
      <c r="C258" s="2" t="s">
        <v>1519</v>
      </c>
      <c r="D258" s="2" t="str">
        <f>IF(COUNTIF(RBE!$C$1:$C$629,A258)&gt;0,"Existe","Absent")</f>
        <v>Absent</v>
      </c>
      <c r="E258" s="2" t="s">
        <v>3163</v>
      </c>
      <c r="F258" s="2" t="s">
        <v>15</v>
      </c>
      <c r="H258" s="2" t="s">
        <v>139</v>
      </c>
      <c r="I258" s="2" t="s">
        <v>93</v>
      </c>
      <c r="J258" s="2" t="s">
        <v>18</v>
      </c>
      <c r="K258" s="2" t="s">
        <v>88</v>
      </c>
      <c r="L258" s="3">
        <v>45306</v>
      </c>
      <c r="M258" s="3">
        <v>45380</v>
      </c>
      <c r="N258" s="3">
        <v>46840</v>
      </c>
      <c r="P258" s="2" t="s">
        <v>1520</v>
      </c>
    </row>
    <row r="259" spans="1:16" x14ac:dyDescent="0.35">
      <c r="A259" s="2" t="s">
        <v>649</v>
      </c>
      <c r="B259" s="2" t="s">
        <v>650</v>
      </c>
      <c r="C259" s="2" t="s">
        <v>651</v>
      </c>
      <c r="D259" s="2" t="str">
        <f>IF(COUNTIF(RBE!$C$1:$C$629,A259)&gt;0,"Existe","Absent")</f>
        <v>Absent</v>
      </c>
      <c r="E259" s="2" t="s">
        <v>3163</v>
      </c>
      <c r="F259" s="2" t="s">
        <v>15</v>
      </c>
      <c r="H259" s="2" t="s">
        <v>311</v>
      </c>
      <c r="I259" s="2" t="s">
        <v>149</v>
      </c>
      <c r="J259" s="2" t="s">
        <v>18</v>
      </c>
      <c r="K259" s="2" t="s">
        <v>19</v>
      </c>
      <c r="L259" s="3">
        <v>44425</v>
      </c>
      <c r="M259" s="3">
        <v>44462</v>
      </c>
      <c r="N259" s="3">
        <v>46287</v>
      </c>
    </row>
    <row r="260" spans="1:16" x14ac:dyDescent="0.35">
      <c r="A260" s="2" t="s">
        <v>936</v>
      </c>
      <c r="B260" s="2" t="s">
        <v>937</v>
      </c>
      <c r="C260" s="2" t="s">
        <v>938</v>
      </c>
      <c r="D260" s="2" t="str">
        <f>IF(COUNTIF(RBE!$C$1:$C$629,A260)&gt;0,"Existe","Absent")</f>
        <v>Absent</v>
      </c>
      <c r="E260" s="2" t="s">
        <v>3163</v>
      </c>
      <c r="F260" s="2" t="s">
        <v>15</v>
      </c>
      <c r="H260" s="2" t="s">
        <v>148</v>
      </c>
      <c r="I260" s="2" t="s">
        <v>113</v>
      </c>
      <c r="J260" s="2" t="s">
        <v>18</v>
      </c>
      <c r="K260" s="2" t="s">
        <v>939</v>
      </c>
      <c r="L260" s="3">
        <v>44970</v>
      </c>
      <c r="M260" s="3">
        <v>44977</v>
      </c>
      <c r="N260" s="3">
        <v>46802</v>
      </c>
      <c r="P260" s="2" t="s">
        <v>940</v>
      </c>
    </row>
    <row r="261" spans="1:16" x14ac:dyDescent="0.35">
      <c r="A261" s="2" t="s">
        <v>1206</v>
      </c>
      <c r="B261" s="2" t="s">
        <v>1207</v>
      </c>
      <c r="C261" s="2" t="s">
        <v>1208</v>
      </c>
      <c r="D261" s="2" t="str">
        <f>IF(COUNTIF(RBE!$C$1:$C$629,A261)&gt;0,"Existe","Absent")</f>
        <v>Absent</v>
      </c>
      <c r="E261" s="2" t="s">
        <v>3163</v>
      </c>
      <c r="F261" s="2" t="s">
        <v>15</v>
      </c>
      <c r="H261" s="2" t="s">
        <v>573</v>
      </c>
      <c r="I261" s="2" t="s">
        <v>395</v>
      </c>
      <c r="J261" s="2" t="s">
        <v>18</v>
      </c>
      <c r="K261" s="2" t="s">
        <v>19</v>
      </c>
      <c r="L261" s="3">
        <v>45055</v>
      </c>
      <c r="M261" s="3">
        <v>45286</v>
      </c>
      <c r="N261" s="3">
        <v>45651</v>
      </c>
      <c r="P261" s="2" t="s">
        <v>1209</v>
      </c>
    </row>
    <row r="262" spans="1:16" x14ac:dyDescent="0.35">
      <c r="A262" s="2" t="s">
        <v>1378</v>
      </c>
      <c r="B262" s="2" t="s">
        <v>1379</v>
      </c>
      <c r="C262" s="2" t="s">
        <v>1208</v>
      </c>
      <c r="D262" s="2" t="str">
        <f>IF(COUNTIF(RBE!$C$1:$C$629,A262)&gt;0,"Existe","Absent")</f>
        <v>Absent</v>
      </c>
      <c r="E262" s="2" t="s">
        <v>3163</v>
      </c>
      <c r="F262" s="2" t="s">
        <v>15</v>
      </c>
      <c r="H262" s="2" t="s">
        <v>573</v>
      </c>
      <c r="I262" s="2" t="s">
        <v>395</v>
      </c>
      <c r="J262" s="2" t="s">
        <v>18</v>
      </c>
      <c r="K262" s="2" t="s">
        <v>19</v>
      </c>
      <c r="L262" s="3">
        <v>44517</v>
      </c>
      <c r="M262" s="3">
        <v>45343</v>
      </c>
      <c r="N262" s="3">
        <v>45708</v>
      </c>
      <c r="P262" s="2" t="s">
        <v>1380</v>
      </c>
    </row>
    <row r="263" spans="1:16" x14ac:dyDescent="0.35">
      <c r="A263" s="2" t="s">
        <v>834</v>
      </c>
      <c r="B263" s="2" t="s">
        <v>321</v>
      </c>
      <c r="C263" s="2" t="s">
        <v>835</v>
      </c>
      <c r="D263" s="2" t="str">
        <f>IF(COUNTIF(RBE!$C$1:$C$629,A263)&gt;0,"Existe","Absent")</f>
        <v>Absent</v>
      </c>
      <c r="E263" s="2" t="s">
        <v>3163</v>
      </c>
      <c r="F263" s="2" t="s">
        <v>15</v>
      </c>
      <c r="H263" s="2" t="s">
        <v>573</v>
      </c>
      <c r="I263" s="2" t="s">
        <v>395</v>
      </c>
      <c r="J263" s="2" t="s">
        <v>41</v>
      </c>
      <c r="K263" s="2" t="s">
        <v>19</v>
      </c>
      <c r="L263" s="3">
        <v>44614</v>
      </c>
      <c r="M263" s="3">
        <v>44971</v>
      </c>
      <c r="N263" s="3">
        <v>45335</v>
      </c>
      <c r="P263" s="2" t="s">
        <v>836</v>
      </c>
    </row>
    <row r="264" spans="1:16" x14ac:dyDescent="0.35">
      <c r="A264" s="2" t="s">
        <v>1112</v>
      </c>
      <c r="C264" s="2" t="s">
        <v>1113</v>
      </c>
      <c r="D264" s="2" t="str">
        <f>IF(COUNTIF(RBE!$C$1:$C$629,A264)&gt;0,"Existe","Absent")</f>
        <v>Absent</v>
      </c>
      <c r="E264" s="2" t="s">
        <v>3163</v>
      </c>
      <c r="F264" s="2" t="s">
        <v>15</v>
      </c>
      <c r="H264" s="2" t="s">
        <v>27</v>
      </c>
      <c r="I264" s="2" t="s">
        <v>60</v>
      </c>
      <c r="J264" s="2" t="s">
        <v>18</v>
      </c>
      <c r="K264" s="2" t="s">
        <v>19</v>
      </c>
      <c r="L264" s="3">
        <v>45041</v>
      </c>
      <c r="M264" s="3">
        <v>45104</v>
      </c>
      <c r="N264" s="3">
        <v>46930</v>
      </c>
      <c r="P264" s="2" t="s">
        <v>1114</v>
      </c>
    </row>
    <row r="265" spans="1:16" x14ac:dyDescent="0.35">
      <c r="A265" s="2" t="s">
        <v>1175</v>
      </c>
      <c r="C265" s="2" t="s">
        <v>1113</v>
      </c>
      <c r="D265" s="2" t="str">
        <f>IF(COUNTIF(RBE!$C$1:$C$629,A265)&gt;0,"Existe","Absent")</f>
        <v>Absent</v>
      </c>
      <c r="E265" s="2" t="s">
        <v>3163</v>
      </c>
      <c r="F265" s="2" t="s">
        <v>15</v>
      </c>
      <c r="H265" s="2" t="s">
        <v>27</v>
      </c>
      <c r="I265" s="2" t="s">
        <v>60</v>
      </c>
      <c r="J265" s="2" t="s">
        <v>18</v>
      </c>
      <c r="K265" s="2" t="s">
        <v>19</v>
      </c>
      <c r="L265" s="3">
        <v>45047</v>
      </c>
      <c r="M265" s="3">
        <v>45196</v>
      </c>
      <c r="N265" s="3">
        <v>47022</v>
      </c>
      <c r="P265" s="2" t="s">
        <v>1176</v>
      </c>
    </row>
    <row r="266" spans="1:16" x14ac:dyDescent="0.35">
      <c r="A266" s="2" t="s">
        <v>1012</v>
      </c>
      <c r="B266" s="2" t="s">
        <v>700</v>
      </c>
      <c r="C266" s="2" t="s">
        <v>1013</v>
      </c>
      <c r="D266" s="2" t="str">
        <f>IF(COUNTIF(RBE!$C$1:$C$629,A266)&gt;0,"Existe","Absent")</f>
        <v>Absent</v>
      </c>
      <c r="E266" s="2" t="s">
        <v>3163</v>
      </c>
      <c r="F266" s="2" t="s">
        <v>15</v>
      </c>
      <c r="H266" s="2" t="s">
        <v>154</v>
      </c>
      <c r="I266" s="2" t="s">
        <v>93</v>
      </c>
      <c r="J266" s="2" t="s">
        <v>18</v>
      </c>
      <c r="K266" s="2" t="s">
        <v>88</v>
      </c>
      <c r="L266" s="3">
        <v>45013</v>
      </c>
      <c r="M266" s="3">
        <v>45030</v>
      </c>
      <c r="N266" s="3">
        <v>46125</v>
      </c>
      <c r="P266" s="2" t="s">
        <v>1014</v>
      </c>
    </row>
    <row r="267" spans="1:16" x14ac:dyDescent="0.35">
      <c r="A267" s="2" t="s">
        <v>772</v>
      </c>
      <c r="B267" s="2" t="s">
        <v>773</v>
      </c>
      <c r="C267" s="2" t="s">
        <v>774</v>
      </c>
      <c r="D267" s="2" t="str">
        <f>IF(COUNTIF(RBE!$C$1:$C$629,A267)&gt;0,"Existe","Absent")</f>
        <v>Absent</v>
      </c>
      <c r="E267" s="2" t="s">
        <v>3163</v>
      </c>
      <c r="F267" s="2" t="s">
        <v>15</v>
      </c>
      <c r="H267" s="2" t="s">
        <v>139</v>
      </c>
      <c r="I267" s="2" t="s">
        <v>93</v>
      </c>
      <c r="J267" s="2" t="s">
        <v>18</v>
      </c>
      <c r="K267" s="2" t="s">
        <v>88</v>
      </c>
      <c r="L267" s="3">
        <v>44642</v>
      </c>
      <c r="M267" s="3">
        <v>44792</v>
      </c>
      <c r="N267" s="3">
        <v>46252</v>
      </c>
      <c r="P267" s="2" t="s">
        <v>775</v>
      </c>
    </row>
    <row r="268" spans="1:16" x14ac:dyDescent="0.35">
      <c r="A268" s="2" t="s">
        <v>628</v>
      </c>
      <c r="B268" s="2" t="s">
        <v>629</v>
      </c>
      <c r="C268" s="2" t="s">
        <v>630</v>
      </c>
      <c r="D268" s="2" t="str">
        <f>IF(COUNTIF(RBE!$C$1:$C$629,A268)&gt;0,"Existe","Absent")</f>
        <v>Absent</v>
      </c>
      <c r="E268" s="2" t="s">
        <v>3163</v>
      </c>
      <c r="F268" s="2" t="s">
        <v>15</v>
      </c>
      <c r="H268" s="2" t="s">
        <v>311</v>
      </c>
      <c r="I268" s="2" t="s">
        <v>149</v>
      </c>
      <c r="J268" s="2" t="s">
        <v>18</v>
      </c>
      <c r="K268" s="2" t="s">
        <v>19</v>
      </c>
      <c r="L268" s="3">
        <v>44417</v>
      </c>
      <c r="M268" s="3">
        <v>44481</v>
      </c>
      <c r="N268" s="3">
        <v>46306</v>
      </c>
    </row>
    <row r="269" spans="1:16" x14ac:dyDescent="0.35">
      <c r="A269" s="2" t="s">
        <v>1345</v>
      </c>
      <c r="B269" s="2" t="s">
        <v>1346</v>
      </c>
      <c r="C269" s="2" t="s">
        <v>630</v>
      </c>
      <c r="D269" s="2" t="str">
        <f>IF(COUNTIF(RBE!$C$1:$C$629,A269)&gt;0,"Existe","Absent")</f>
        <v>Absent</v>
      </c>
      <c r="E269" s="2" t="s">
        <v>3163</v>
      </c>
      <c r="F269" s="2" t="s">
        <v>15</v>
      </c>
      <c r="H269" s="2" t="s">
        <v>27</v>
      </c>
      <c r="I269" s="2" t="s">
        <v>28</v>
      </c>
      <c r="J269" s="2" t="s">
        <v>18</v>
      </c>
      <c r="K269" s="2" t="s">
        <v>19</v>
      </c>
      <c r="L269" s="3">
        <v>45222</v>
      </c>
      <c r="M269" s="3">
        <v>45287</v>
      </c>
      <c r="N269" s="3">
        <v>47113</v>
      </c>
      <c r="P269" s="2" t="s">
        <v>1347</v>
      </c>
    </row>
    <row r="270" spans="1:16" x14ac:dyDescent="0.35">
      <c r="A270" s="2" t="s">
        <v>1071</v>
      </c>
      <c r="B270" s="2" t="s">
        <v>1072</v>
      </c>
      <c r="C270" s="2" t="s">
        <v>1073</v>
      </c>
      <c r="D270" s="2" t="str">
        <f>IF(COUNTIF(RBE!$C$1:$C$629,A270)&gt;0,"Existe","Absent")</f>
        <v>Absent</v>
      </c>
      <c r="E270" s="2" t="s">
        <v>3163</v>
      </c>
      <c r="F270" s="2" t="s">
        <v>15</v>
      </c>
      <c r="H270" s="2" t="s">
        <v>139</v>
      </c>
      <c r="I270" s="2" t="s">
        <v>712</v>
      </c>
      <c r="J270" s="2" t="s">
        <v>18</v>
      </c>
      <c r="K270" s="2" t="s">
        <v>88</v>
      </c>
      <c r="L270" s="3">
        <v>45033</v>
      </c>
      <c r="M270" s="3">
        <v>45070</v>
      </c>
      <c r="N270" s="3">
        <v>46530</v>
      </c>
      <c r="P270" s="2" t="s">
        <v>1074</v>
      </c>
    </row>
    <row r="271" spans="1:16" x14ac:dyDescent="0.35">
      <c r="A271" s="2" t="s">
        <v>548</v>
      </c>
      <c r="B271" s="2" t="s">
        <v>328</v>
      </c>
      <c r="C271" s="2" t="s">
        <v>549</v>
      </c>
      <c r="D271" s="2" t="str">
        <f>IF(COUNTIF(RBE!$C$1:$C$629,A271)&gt;0,"Existe","Absent")</f>
        <v>Absent</v>
      </c>
      <c r="E271" s="2" t="s">
        <v>3163</v>
      </c>
      <c r="F271" s="2" t="s">
        <v>15</v>
      </c>
      <c r="H271" s="2" t="s">
        <v>311</v>
      </c>
      <c r="I271" s="2" t="s">
        <v>149</v>
      </c>
      <c r="J271" s="2" t="s">
        <v>18</v>
      </c>
      <c r="K271" s="2" t="s">
        <v>19</v>
      </c>
      <c r="L271" s="3">
        <v>44069</v>
      </c>
      <c r="M271" s="3">
        <v>44116</v>
      </c>
      <c r="N271" s="3">
        <v>45941</v>
      </c>
      <c r="P271" s="2" t="s">
        <v>550</v>
      </c>
    </row>
    <row r="272" spans="1:16" x14ac:dyDescent="0.35">
      <c r="A272" s="2" t="s">
        <v>555</v>
      </c>
      <c r="B272" s="2" t="s">
        <v>556</v>
      </c>
      <c r="C272" s="2" t="s">
        <v>549</v>
      </c>
      <c r="D272" s="2" t="str">
        <f>IF(COUNTIF(RBE!$C$1:$C$629,A272)&gt;0,"Existe","Absent")</f>
        <v>Absent</v>
      </c>
      <c r="E272" s="2" t="s">
        <v>3163</v>
      </c>
      <c r="F272" s="2" t="s">
        <v>15</v>
      </c>
      <c r="H272" s="2" t="s">
        <v>139</v>
      </c>
      <c r="I272" s="2" t="s">
        <v>17</v>
      </c>
      <c r="J272" s="2" t="s">
        <v>41</v>
      </c>
      <c r="K272" s="2" t="s">
        <v>299</v>
      </c>
      <c r="L272" s="3">
        <v>44105</v>
      </c>
      <c r="M272" s="3">
        <v>44132</v>
      </c>
      <c r="N272" s="3">
        <v>45592</v>
      </c>
      <c r="P272" s="2" t="s">
        <v>557</v>
      </c>
    </row>
    <row r="273" spans="1:16" x14ac:dyDescent="0.35">
      <c r="A273" s="2" t="s">
        <v>1086</v>
      </c>
      <c r="B273" s="2" t="s">
        <v>1087</v>
      </c>
      <c r="C273" s="2" t="s">
        <v>1088</v>
      </c>
      <c r="D273" s="2" t="str">
        <f>IF(COUNTIF(RBE!$C$1:$C$629,A273)&gt;0,"Existe","Absent")</f>
        <v>Absent</v>
      </c>
      <c r="E273" s="2" t="s">
        <v>3163</v>
      </c>
      <c r="F273" s="2" t="s">
        <v>15</v>
      </c>
      <c r="H273" s="2" t="s">
        <v>139</v>
      </c>
      <c r="I273" s="2" t="s">
        <v>93</v>
      </c>
      <c r="J273" s="2" t="s">
        <v>18</v>
      </c>
      <c r="K273" s="2" t="s">
        <v>88</v>
      </c>
      <c r="L273" s="3">
        <v>44691</v>
      </c>
      <c r="M273" s="3">
        <v>45113</v>
      </c>
      <c r="N273" s="3">
        <v>46573</v>
      </c>
      <c r="P273" s="2" t="s">
        <v>1089</v>
      </c>
    </row>
    <row r="274" spans="1:16" x14ac:dyDescent="0.35">
      <c r="A274" s="2" t="s">
        <v>1534</v>
      </c>
      <c r="B274" s="2" t="s">
        <v>1535</v>
      </c>
      <c r="C274" s="2" t="s">
        <v>1088</v>
      </c>
      <c r="D274" s="2" t="str">
        <f>IF(COUNTIF(RBE!$C$1:$C$629,A274)&gt;0,"Existe","Absent")</f>
        <v>Absent</v>
      </c>
      <c r="E274" s="2" t="s">
        <v>3163</v>
      </c>
      <c r="F274" s="2" t="s">
        <v>15</v>
      </c>
      <c r="H274" s="2" t="s">
        <v>139</v>
      </c>
      <c r="I274" s="2" t="s">
        <v>712</v>
      </c>
      <c r="J274" s="2" t="s">
        <v>18</v>
      </c>
      <c r="K274" s="2" t="s">
        <v>88</v>
      </c>
      <c r="L274" s="3">
        <v>44837</v>
      </c>
      <c r="M274" s="3">
        <v>44956</v>
      </c>
      <c r="N274" s="3">
        <v>46416</v>
      </c>
      <c r="P274" s="2" t="s">
        <v>1536</v>
      </c>
    </row>
    <row r="275" spans="1:16" x14ac:dyDescent="0.35">
      <c r="A275" s="2" t="s">
        <v>1064</v>
      </c>
      <c r="B275" s="2" t="s">
        <v>1065</v>
      </c>
      <c r="C275" s="2" t="s">
        <v>1066</v>
      </c>
      <c r="D275" s="2" t="str">
        <f>IF(COUNTIF(RBE!$C$1:$C$629,A275)&gt;0,"Existe","Absent")</f>
        <v>Absent</v>
      </c>
      <c r="E275" s="2" t="s">
        <v>3163</v>
      </c>
      <c r="F275" s="2" t="s">
        <v>15</v>
      </c>
      <c r="H275" s="2" t="s">
        <v>139</v>
      </c>
      <c r="I275" s="2" t="s">
        <v>93</v>
      </c>
      <c r="J275" s="2" t="s">
        <v>18</v>
      </c>
      <c r="K275" s="2" t="s">
        <v>177</v>
      </c>
      <c r="L275" s="3">
        <v>44998</v>
      </c>
      <c r="M275" s="3">
        <v>45195</v>
      </c>
      <c r="N275" s="3">
        <v>46655</v>
      </c>
      <c r="P275" s="2" t="s">
        <v>1067</v>
      </c>
    </row>
    <row r="276" spans="1:16" x14ac:dyDescent="0.35">
      <c r="A276" s="2" t="s">
        <v>473</v>
      </c>
      <c r="B276" s="2" t="s">
        <v>474</v>
      </c>
      <c r="C276" s="2" t="s">
        <v>475</v>
      </c>
      <c r="D276" s="2" t="str">
        <f>IF(COUNTIF(RBE!$C$1:$C$629,A276)&gt;0,"Existe","Absent")</f>
        <v>Absent</v>
      </c>
      <c r="E276" s="2" t="s">
        <v>3163</v>
      </c>
      <c r="F276" s="2" t="s">
        <v>15</v>
      </c>
      <c r="H276" s="2" t="s">
        <v>139</v>
      </c>
      <c r="I276" s="2" t="s">
        <v>93</v>
      </c>
      <c r="J276" s="2" t="s">
        <v>18</v>
      </c>
      <c r="K276" s="2" t="s">
        <v>88</v>
      </c>
      <c r="L276" s="3">
        <v>43308</v>
      </c>
      <c r="M276" s="3">
        <v>43543</v>
      </c>
      <c r="N276" s="3">
        <v>46100</v>
      </c>
      <c r="P276" s="2" t="s">
        <v>476</v>
      </c>
    </row>
    <row r="277" spans="1:16" x14ac:dyDescent="0.35">
      <c r="A277" s="2" t="s">
        <v>1749</v>
      </c>
      <c r="B277" s="2" t="s">
        <v>256</v>
      </c>
      <c r="C277" s="2" t="s">
        <v>1750</v>
      </c>
      <c r="D277" s="2" t="str">
        <f>IF(COUNTIF(RBE!$C$1:$C$629,A277)&gt;0,"Existe","Absent")</f>
        <v>Absent</v>
      </c>
      <c r="E277" s="2" t="s">
        <v>3163</v>
      </c>
      <c r="F277" s="2" t="s">
        <v>15</v>
      </c>
      <c r="H277" s="2" t="s">
        <v>27</v>
      </c>
      <c r="I277" s="2" t="s">
        <v>60</v>
      </c>
      <c r="J277" s="2" t="s">
        <v>41</v>
      </c>
      <c r="K277" s="2" t="s">
        <v>19</v>
      </c>
      <c r="L277" s="3">
        <v>41603</v>
      </c>
      <c r="M277" s="3">
        <v>41816</v>
      </c>
      <c r="N277" s="3">
        <v>45468</v>
      </c>
      <c r="P277" s="2" t="s">
        <v>1751</v>
      </c>
    </row>
    <row r="278" spans="1:16" x14ac:dyDescent="0.35">
      <c r="A278" s="2" t="s">
        <v>69</v>
      </c>
      <c r="B278" s="2" t="s">
        <v>70</v>
      </c>
      <c r="C278" s="2" t="s">
        <v>71</v>
      </c>
      <c r="D278" s="2" t="str">
        <f>IF(COUNTIF(RBE!$C$1:$C$629,A278)&gt;0,"Existe","Absent")</f>
        <v>Absent</v>
      </c>
      <c r="E278" s="2" t="s">
        <v>3163</v>
      </c>
      <c r="F278" s="2" t="s">
        <v>15</v>
      </c>
      <c r="H278" s="2" t="s">
        <v>16</v>
      </c>
      <c r="I278" s="2" t="s">
        <v>17</v>
      </c>
      <c r="J278" s="2" t="s">
        <v>18</v>
      </c>
      <c r="K278" s="2" t="s">
        <v>19</v>
      </c>
      <c r="L278" s="3">
        <v>35986</v>
      </c>
      <c r="M278" s="3">
        <v>40102</v>
      </c>
      <c r="N278" s="3">
        <v>45584</v>
      </c>
      <c r="P278" s="2" t="s">
        <v>72</v>
      </c>
    </row>
    <row r="279" spans="1:16" x14ac:dyDescent="0.35">
      <c r="A279" s="2" t="s">
        <v>73</v>
      </c>
      <c r="B279" s="2" t="s">
        <v>74</v>
      </c>
      <c r="C279" s="2" t="s">
        <v>71</v>
      </c>
      <c r="D279" s="2" t="str">
        <f>IF(COUNTIF(RBE!$C$1:$C$629,A279)&gt;0,"Existe","Absent")</f>
        <v>Absent</v>
      </c>
      <c r="E279" s="2" t="s">
        <v>3163</v>
      </c>
      <c r="F279" s="2" t="s">
        <v>15</v>
      </c>
      <c r="H279" s="2" t="s">
        <v>16</v>
      </c>
      <c r="I279" s="2" t="s">
        <v>17</v>
      </c>
      <c r="J279" s="2" t="s">
        <v>41</v>
      </c>
      <c r="K279" s="2" t="s">
        <v>19</v>
      </c>
      <c r="L279" s="3">
        <v>35986</v>
      </c>
      <c r="M279" s="3">
        <v>36452</v>
      </c>
      <c r="N279" s="3">
        <v>45583</v>
      </c>
      <c r="P279" s="2" t="s">
        <v>75</v>
      </c>
    </row>
    <row r="280" spans="1:16" x14ac:dyDescent="0.35">
      <c r="A280" s="2" t="s">
        <v>568</v>
      </c>
      <c r="B280" s="2" t="s">
        <v>566</v>
      </c>
      <c r="C280" s="2" t="s">
        <v>569</v>
      </c>
      <c r="D280" s="2" t="str">
        <f>IF(COUNTIF(RBE!$C$1:$C$629,A280)&gt;0,"Existe","Absent")</f>
        <v>Absent</v>
      </c>
      <c r="E280" s="2" t="s">
        <v>3163</v>
      </c>
      <c r="F280" s="2" t="s">
        <v>15</v>
      </c>
      <c r="H280" s="2" t="s">
        <v>311</v>
      </c>
      <c r="I280" s="2" t="s">
        <v>149</v>
      </c>
      <c r="J280" s="2" t="s">
        <v>18</v>
      </c>
      <c r="K280" s="2" t="s">
        <v>19</v>
      </c>
      <c r="L280" s="3">
        <v>43845</v>
      </c>
      <c r="M280" s="3">
        <v>43879</v>
      </c>
      <c r="N280" s="3">
        <v>45705</v>
      </c>
      <c r="P280" s="2" t="s">
        <v>550</v>
      </c>
    </row>
    <row r="281" spans="1:16" x14ac:dyDescent="0.35">
      <c r="A281" s="2" t="s">
        <v>309</v>
      </c>
      <c r="B281" s="2" t="s">
        <v>146</v>
      </c>
      <c r="C281" s="2" t="s">
        <v>310</v>
      </c>
      <c r="D281" s="2" t="str">
        <f>IF(COUNTIF(RBE!$C$1:$C$629,A281)&gt;0,"Existe","Absent")</f>
        <v>Absent</v>
      </c>
      <c r="E281" s="2" t="s">
        <v>3163</v>
      </c>
      <c r="F281" s="2" t="s">
        <v>15</v>
      </c>
      <c r="H281" s="2" t="s">
        <v>311</v>
      </c>
      <c r="I281" s="2" t="s">
        <v>149</v>
      </c>
      <c r="J281" s="2" t="s">
        <v>41</v>
      </c>
      <c r="K281" s="2" t="s">
        <v>19</v>
      </c>
      <c r="L281" s="3">
        <v>42279</v>
      </c>
      <c r="M281" s="3">
        <v>42466</v>
      </c>
      <c r="N281" s="3">
        <v>44291</v>
      </c>
      <c r="P281" s="2" t="s">
        <v>312</v>
      </c>
    </row>
    <row r="282" spans="1:16" x14ac:dyDescent="0.35">
      <c r="A282" s="2" t="s">
        <v>1339</v>
      </c>
      <c r="C282" s="2" t="s">
        <v>1340</v>
      </c>
      <c r="D282" s="2" t="str">
        <f>IF(COUNTIF(RBE!$C$1:$C$629,A282)&gt;0,"Existe","Absent")</f>
        <v>Absent</v>
      </c>
      <c r="E282" s="2" t="s">
        <v>3163</v>
      </c>
      <c r="F282" s="2" t="s">
        <v>15</v>
      </c>
      <c r="H282" s="2" t="s">
        <v>154</v>
      </c>
      <c r="I282" s="2" t="s">
        <v>93</v>
      </c>
      <c r="J282" s="2" t="s">
        <v>18</v>
      </c>
      <c r="K282" s="2" t="s">
        <v>88</v>
      </c>
      <c r="L282" s="3">
        <v>45296</v>
      </c>
      <c r="M282" s="3">
        <v>45342</v>
      </c>
      <c r="N282" s="3">
        <v>46437</v>
      </c>
      <c r="P282" s="2" t="s">
        <v>1341</v>
      </c>
    </row>
    <row r="283" spans="1:16" x14ac:dyDescent="0.35">
      <c r="A283" s="2" t="s">
        <v>1278</v>
      </c>
      <c r="C283" s="2" t="s">
        <v>1279</v>
      </c>
      <c r="D283" s="2" t="str">
        <f>IF(COUNTIF(RBE!$C$1:$C$629,A283)&gt;0,"Existe","Absent")</f>
        <v>Absent</v>
      </c>
      <c r="E283" s="2" t="s">
        <v>3163</v>
      </c>
      <c r="F283" s="2" t="s">
        <v>15</v>
      </c>
      <c r="H283" s="2" t="s">
        <v>148</v>
      </c>
      <c r="I283" s="2" t="s">
        <v>93</v>
      </c>
      <c r="J283" s="2" t="s">
        <v>18</v>
      </c>
      <c r="K283" s="2" t="s">
        <v>88</v>
      </c>
      <c r="L283" s="3">
        <v>45294</v>
      </c>
      <c r="M283" s="3">
        <v>45308</v>
      </c>
      <c r="N283" s="3">
        <v>47134</v>
      </c>
      <c r="P283" s="2" t="s">
        <v>1280</v>
      </c>
    </row>
    <row r="284" spans="1:16" x14ac:dyDescent="0.35">
      <c r="A284" s="2" t="s">
        <v>1589</v>
      </c>
      <c r="C284" s="2" t="s">
        <v>1590</v>
      </c>
      <c r="D284" s="2" t="str">
        <f>IF(COUNTIF(RBE!$C$1:$C$629,A284)&gt;0,"Existe","Absent")</f>
        <v>Absent</v>
      </c>
      <c r="E284" s="2" t="s">
        <v>3163</v>
      </c>
      <c r="F284" s="2" t="s">
        <v>15</v>
      </c>
      <c r="H284" s="2" t="s">
        <v>573</v>
      </c>
      <c r="I284" s="2" t="s">
        <v>395</v>
      </c>
      <c r="J284" s="2" t="s">
        <v>18</v>
      </c>
      <c r="K284" s="2" t="s">
        <v>19</v>
      </c>
      <c r="L284" s="5">
        <v>45940.499976851897</v>
      </c>
      <c r="M284" s="3">
        <v>46013</v>
      </c>
      <c r="N284" s="3">
        <v>46377</v>
      </c>
      <c r="P284" s="2" t="s">
        <v>1591</v>
      </c>
    </row>
    <row r="285" spans="1:16" x14ac:dyDescent="0.35">
      <c r="A285" s="2" t="s">
        <v>1592</v>
      </c>
      <c r="C285" s="2" t="s">
        <v>1593</v>
      </c>
      <c r="D285" s="2" t="str">
        <f>IF(COUNTIF(RBE!$C$1:$C$629,A285)&gt;0,"Existe","Absent")</f>
        <v>Absent</v>
      </c>
      <c r="E285" s="2" t="s">
        <v>3163</v>
      </c>
      <c r="F285" s="2" t="s">
        <v>15</v>
      </c>
      <c r="H285" s="2" t="s">
        <v>573</v>
      </c>
      <c r="I285" s="2" t="s">
        <v>395</v>
      </c>
      <c r="J285" s="2" t="s">
        <v>18</v>
      </c>
      <c r="K285" s="2" t="s">
        <v>19</v>
      </c>
      <c r="L285" s="5">
        <v>45940.557187500002</v>
      </c>
      <c r="M285" s="3">
        <v>46013</v>
      </c>
      <c r="N285" s="3">
        <v>46377</v>
      </c>
      <c r="P285" s="2" t="s">
        <v>1594</v>
      </c>
    </row>
    <row r="286" spans="1:16" x14ac:dyDescent="0.35">
      <c r="A286" s="2" t="s">
        <v>1595</v>
      </c>
      <c r="C286" s="2" t="s">
        <v>1593</v>
      </c>
      <c r="D286" s="2" t="str">
        <f>IF(COUNTIF(RBE!$C$1:$C$629,A286)&gt;0,"Existe","Absent")</f>
        <v>Absent</v>
      </c>
      <c r="E286" s="2" t="s">
        <v>3163</v>
      </c>
      <c r="F286" s="2" t="s">
        <v>15</v>
      </c>
      <c r="H286" s="2" t="s">
        <v>573</v>
      </c>
      <c r="I286" s="2" t="s">
        <v>395</v>
      </c>
      <c r="J286" s="2" t="s">
        <v>18</v>
      </c>
      <c r="K286" s="2" t="s">
        <v>19</v>
      </c>
      <c r="L286" s="5">
        <v>45940.580578703702</v>
      </c>
      <c r="M286" s="3">
        <v>46013</v>
      </c>
      <c r="N286" s="3">
        <v>46377</v>
      </c>
      <c r="P286" s="2" t="s">
        <v>1596</v>
      </c>
    </row>
    <row r="287" spans="1:16" x14ac:dyDescent="0.35">
      <c r="A287" s="2" t="s">
        <v>1597</v>
      </c>
      <c r="C287" s="2" t="s">
        <v>1593</v>
      </c>
      <c r="D287" s="2" t="str">
        <f>IF(COUNTIF(RBE!$C$1:$C$629,A287)&gt;0,"Existe","Absent")</f>
        <v>Absent</v>
      </c>
      <c r="E287" s="2" t="s">
        <v>3163</v>
      </c>
      <c r="F287" s="2" t="s">
        <v>15</v>
      </c>
      <c r="H287" s="2" t="s">
        <v>573</v>
      </c>
      <c r="I287" s="2" t="s">
        <v>395</v>
      </c>
      <c r="J287" s="2" t="s">
        <v>18</v>
      </c>
      <c r="K287" s="2" t="s">
        <v>19</v>
      </c>
      <c r="L287" s="5">
        <v>45940.635891203703</v>
      </c>
      <c r="M287" s="3">
        <v>45978</v>
      </c>
      <c r="N287" s="3">
        <v>46342</v>
      </c>
      <c r="P287" s="2" t="s">
        <v>1598</v>
      </c>
    </row>
    <row r="288" spans="1:16" x14ac:dyDescent="0.35">
      <c r="A288" s="2" t="s">
        <v>1599</v>
      </c>
      <c r="C288" s="2" t="s">
        <v>1593</v>
      </c>
      <c r="D288" s="2" t="str">
        <f>IF(COUNTIF(RBE!$C$1:$C$629,A288)&gt;0,"Existe","Absent")</f>
        <v>Absent</v>
      </c>
      <c r="E288" s="2" t="s">
        <v>3163</v>
      </c>
      <c r="F288" s="2" t="s">
        <v>15</v>
      </c>
      <c r="H288" s="2" t="s">
        <v>573</v>
      </c>
      <c r="I288" s="2" t="s">
        <v>1218</v>
      </c>
      <c r="J288" s="2" t="s">
        <v>18</v>
      </c>
      <c r="K288" s="2" t="s">
        <v>101</v>
      </c>
      <c r="L288" s="5">
        <v>45940.651875000003</v>
      </c>
      <c r="M288" s="3">
        <v>45978</v>
      </c>
      <c r="N288" s="3">
        <v>46342</v>
      </c>
      <c r="P288" s="2" t="s">
        <v>1600</v>
      </c>
    </row>
    <row r="289" spans="1:16" x14ac:dyDescent="0.35">
      <c r="A289" s="2" t="s">
        <v>1102</v>
      </c>
      <c r="C289" s="2" t="s">
        <v>1103</v>
      </c>
      <c r="D289" s="2" t="str">
        <f>IF(COUNTIF(RBE!$C$1:$C$629,A289)&gt;0,"Existe","Absent")</f>
        <v>Absent</v>
      </c>
      <c r="E289" s="2" t="s">
        <v>3163</v>
      </c>
      <c r="F289" s="2" t="s">
        <v>15</v>
      </c>
      <c r="H289" s="2" t="s">
        <v>311</v>
      </c>
      <c r="I289" s="2" t="s">
        <v>149</v>
      </c>
      <c r="J289" s="2" t="s">
        <v>18</v>
      </c>
      <c r="K289" s="2" t="s">
        <v>19</v>
      </c>
      <c r="L289" s="3">
        <v>45102</v>
      </c>
      <c r="M289" s="3">
        <v>45117</v>
      </c>
      <c r="N289" s="3">
        <v>46943</v>
      </c>
    </row>
    <row r="290" spans="1:16" x14ac:dyDescent="0.35">
      <c r="A290" s="2" t="s">
        <v>1242</v>
      </c>
      <c r="B290" s="2" t="s">
        <v>1243</v>
      </c>
      <c r="C290" s="2" t="s">
        <v>1244</v>
      </c>
      <c r="D290" s="2" t="str">
        <f>IF(COUNTIF(RBE!$C$1:$C$629,A290)&gt;0,"Existe","Absent")</f>
        <v>Absent</v>
      </c>
      <c r="E290" s="2" t="s">
        <v>3163</v>
      </c>
      <c r="F290" s="2" t="s">
        <v>15</v>
      </c>
      <c r="H290" s="2" t="s">
        <v>148</v>
      </c>
      <c r="I290" s="2" t="s">
        <v>17</v>
      </c>
      <c r="J290" s="2" t="s">
        <v>18</v>
      </c>
      <c r="K290" s="2" t="s">
        <v>163</v>
      </c>
      <c r="L290" s="3">
        <v>45287</v>
      </c>
      <c r="M290" s="3">
        <v>45294</v>
      </c>
      <c r="N290" s="3">
        <v>47120</v>
      </c>
      <c r="P290" s="2" t="s">
        <v>1245</v>
      </c>
    </row>
    <row r="291" spans="1:16" x14ac:dyDescent="0.35">
      <c r="A291" s="2" t="s">
        <v>1246</v>
      </c>
      <c r="B291" s="2" t="s">
        <v>1247</v>
      </c>
      <c r="C291" s="2" t="s">
        <v>1244</v>
      </c>
      <c r="D291" s="2" t="str">
        <f>IF(COUNTIF(RBE!$C$1:$C$629,A291)&gt;0,"Existe","Absent")</f>
        <v>Absent</v>
      </c>
      <c r="E291" s="2" t="s">
        <v>3163</v>
      </c>
      <c r="F291" s="2" t="s">
        <v>15</v>
      </c>
      <c r="H291" s="2" t="s">
        <v>148</v>
      </c>
      <c r="I291" s="2" t="s">
        <v>17</v>
      </c>
      <c r="J291" s="2" t="s">
        <v>18</v>
      </c>
      <c r="K291" s="2" t="s">
        <v>163</v>
      </c>
      <c r="L291" s="3">
        <v>45287</v>
      </c>
      <c r="M291" s="3">
        <v>45294</v>
      </c>
      <c r="N291" s="3">
        <v>47120</v>
      </c>
      <c r="P291" s="2" t="s">
        <v>1248</v>
      </c>
    </row>
    <row r="292" spans="1:16" x14ac:dyDescent="0.35">
      <c r="A292" s="2" t="s">
        <v>1524</v>
      </c>
      <c r="B292" s="2" t="s">
        <v>1525</v>
      </c>
      <c r="C292" s="2" t="s">
        <v>1526</v>
      </c>
      <c r="D292" s="2" t="str">
        <f>IF(COUNTIF(RBE!$C$1:$C$629,A292)&gt;0,"Existe","Absent")</f>
        <v>Absent</v>
      </c>
      <c r="E292" s="2" t="s">
        <v>3163</v>
      </c>
      <c r="F292" s="2" t="s">
        <v>15</v>
      </c>
      <c r="H292" s="2" t="s">
        <v>311</v>
      </c>
      <c r="I292" s="2" t="s">
        <v>149</v>
      </c>
      <c r="J292" s="2" t="s">
        <v>18</v>
      </c>
      <c r="K292" s="2" t="s">
        <v>19</v>
      </c>
      <c r="L292" s="3">
        <v>45439</v>
      </c>
      <c r="M292" s="3">
        <v>45057</v>
      </c>
      <c r="N292" s="3">
        <v>46883</v>
      </c>
    </row>
    <row r="293" spans="1:16" x14ac:dyDescent="0.35">
      <c r="A293" s="2" t="s">
        <v>459</v>
      </c>
      <c r="B293" s="2" t="s">
        <v>460</v>
      </c>
      <c r="C293" s="2" t="s">
        <v>461</v>
      </c>
      <c r="D293" s="2" t="str">
        <f>IF(COUNTIF(RBE!$C$1:$C$629,A293)&gt;0,"Existe","Absent")</f>
        <v>Absent</v>
      </c>
      <c r="E293" s="2" t="s">
        <v>3163</v>
      </c>
      <c r="F293" s="2" t="s">
        <v>15</v>
      </c>
      <c r="H293" s="2" t="s">
        <v>139</v>
      </c>
      <c r="I293" s="2" t="s">
        <v>113</v>
      </c>
      <c r="J293" s="2" t="s">
        <v>18</v>
      </c>
      <c r="K293" s="2" t="s">
        <v>19</v>
      </c>
      <c r="L293" s="3">
        <v>43256</v>
      </c>
      <c r="M293" s="3">
        <v>43390</v>
      </c>
      <c r="N293" s="3">
        <v>45946</v>
      </c>
      <c r="P293" s="2" t="s">
        <v>462</v>
      </c>
    </row>
    <row r="294" spans="1:16" x14ac:dyDescent="0.35">
      <c r="A294" s="2" t="s">
        <v>1022</v>
      </c>
      <c r="B294" s="2" t="s">
        <v>1023</v>
      </c>
      <c r="C294" s="2" t="s">
        <v>1024</v>
      </c>
      <c r="D294" s="2" t="str">
        <f>IF(COUNTIF(RBE!$C$1:$C$629,A294)&gt;0,"Existe","Absent")</f>
        <v>Absent</v>
      </c>
      <c r="E294" s="2" t="s">
        <v>3163</v>
      </c>
      <c r="F294" s="2" t="s">
        <v>15</v>
      </c>
      <c r="H294" s="2" t="s">
        <v>139</v>
      </c>
      <c r="I294" s="2" t="s">
        <v>93</v>
      </c>
      <c r="J294" s="2" t="s">
        <v>18</v>
      </c>
      <c r="K294" s="2" t="s">
        <v>88</v>
      </c>
      <c r="L294" s="3">
        <v>44887</v>
      </c>
      <c r="M294" s="3">
        <v>45195</v>
      </c>
      <c r="N294" s="3">
        <v>46655</v>
      </c>
      <c r="P294" s="2" t="s">
        <v>1025</v>
      </c>
    </row>
    <row r="295" spans="1:16" x14ac:dyDescent="0.35">
      <c r="A295" s="2" t="s">
        <v>684</v>
      </c>
      <c r="B295" s="2" t="s">
        <v>197</v>
      </c>
      <c r="C295" s="2" t="s">
        <v>685</v>
      </c>
      <c r="D295" s="2" t="str">
        <f>IF(COUNTIF(RBE!$C$1:$C$629,A295)&gt;0,"Existe","Absent")</f>
        <v>Absent</v>
      </c>
      <c r="E295" s="2" t="s">
        <v>3163</v>
      </c>
      <c r="F295" s="2" t="s">
        <v>15</v>
      </c>
      <c r="H295" s="2" t="s">
        <v>154</v>
      </c>
      <c r="I295" s="2" t="s">
        <v>93</v>
      </c>
      <c r="J295" s="2" t="s">
        <v>18</v>
      </c>
      <c r="K295" s="2" t="s">
        <v>88</v>
      </c>
      <c r="L295" s="3">
        <v>44546</v>
      </c>
      <c r="M295" s="3">
        <v>44762</v>
      </c>
      <c r="N295" s="3">
        <v>45857</v>
      </c>
      <c r="P295" s="2" t="s">
        <v>686</v>
      </c>
    </row>
    <row r="296" spans="1:16" x14ac:dyDescent="0.35">
      <c r="A296" s="2" t="s">
        <v>1289</v>
      </c>
      <c r="C296" s="2" t="s">
        <v>1290</v>
      </c>
      <c r="D296" s="2" t="str">
        <f>IF(COUNTIF(RBE!$C$1:$C$629,A296)&gt;0,"Existe","Absent")</f>
        <v>Absent</v>
      </c>
      <c r="E296" s="2" t="s">
        <v>3163</v>
      </c>
      <c r="F296" s="2" t="s">
        <v>15</v>
      </c>
      <c r="H296" s="2" t="s">
        <v>27</v>
      </c>
      <c r="I296" s="2" t="s">
        <v>28</v>
      </c>
      <c r="J296" s="2" t="s">
        <v>18</v>
      </c>
      <c r="K296" s="2" t="s">
        <v>19</v>
      </c>
      <c r="L296" s="3">
        <v>44887</v>
      </c>
      <c r="M296" s="3">
        <v>45000</v>
      </c>
      <c r="N296" s="3">
        <v>46826</v>
      </c>
      <c r="P296" s="2" t="s">
        <v>1291</v>
      </c>
    </row>
    <row r="297" spans="1:16" x14ac:dyDescent="0.35">
      <c r="A297" s="2" t="s">
        <v>847</v>
      </c>
      <c r="C297" s="2" t="s">
        <v>848</v>
      </c>
      <c r="D297" s="2" t="str">
        <f>IF(COUNTIF(RBE!$C$1:$C$629,A297)&gt;0,"Existe","Absent")</f>
        <v>Absent</v>
      </c>
      <c r="E297" s="2" t="s">
        <v>3163</v>
      </c>
      <c r="F297" s="2" t="s">
        <v>15</v>
      </c>
      <c r="H297" s="2" t="s">
        <v>154</v>
      </c>
      <c r="I297" s="2" t="s">
        <v>93</v>
      </c>
      <c r="J297" s="2" t="s">
        <v>18</v>
      </c>
      <c r="K297" s="2" t="s">
        <v>88</v>
      </c>
      <c r="L297" s="3">
        <v>44840</v>
      </c>
      <c r="M297" s="3">
        <v>45315</v>
      </c>
      <c r="N297" s="3">
        <v>46410</v>
      </c>
      <c r="P297" s="2" t="s">
        <v>849</v>
      </c>
    </row>
    <row r="298" spans="1:16" x14ac:dyDescent="0.35">
      <c r="A298" s="2" t="s">
        <v>767</v>
      </c>
      <c r="C298" s="2" t="s">
        <v>768</v>
      </c>
      <c r="D298" s="2" t="str">
        <f>IF(COUNTIF(RBE!$C$1:$C$629,A298)&gt;0,"Existe","Absent")</f>
        <v>Absent</v>
      </c>
      <c r="E298" s="2" t="s">
        <v>3163</v>
      </c>
      <c r="F298" s="2" t="s">
        <v>15</v>
      </c>
      <c r="H298" s="2" t="s">
        <v>148</v>
      </c>
      <c r="I298" s="2" t="s">
        <v>93</v>
      </c>
      <c r="J298" s="2" t="s">
        <v>18</v>
      </c>
      <c r="K298" s="2" t="s">
        <v>88</v>
      </c>
      <c r="L298" s="3">
        <v>44770</v>
      </c>
      <c r="M298" s="3">
        <v>44783</v>
      </c>
      <c r="N298" s="3">
        <v>46608</v>
      </c>
      <c r="P298" s="2" t="s">
        <v>769</v>
      </c>
    </row>
    <row r="299" spans="1:16" x14ac:dyDescent="0.35">
      <c r="A299" s="2" t="s">
        <v>1311</v>
      </c>
      <c r="C299" s="2" t="s">
        <v>1312</v>
      </c>
      <c r="D299" s="2" t="str">
        <f>IF(COUNTIF(RBE!$C$1:$C$629,A299)&gt;0,"Existe","Absent")</f>
        <v>Absent</v>
      </c>
      <c r="E299" s="2" t="s">
        <v>3163</v>
      </c>
      <c r="F299" s="2" t="s">
        <v>15</v>
      </c>
      <c r="H299" s="2" t="s">
        <v>154</v>
      </c>
      <c r="I299" s="2" t="s">
        <v>93</v>
      </c>
      <c r="J299" s="2" t="s">
        <v>18</v>
      </c>
      <c r="K299" s="2" t="s">
        <v>88</v>
      </c>
      <c r="L299" s="3">
        <v>45302</v>
      </c>
      <c r="M299" s="3">
        <v>45315</v>
      </c>
      <c r="N299" s="3">
        <v>46410</v>
      </c>
      <c r="P299" s="2" t="s">
        <v>1313</v>
      </c>
    </row>
    <row r="300" spans="1:16" x14ac:dyDescent="0.35">
      <c r="A300" s="2" t="s">
        <v>1304</v>
      </c>
      <c r="B300" s="2" t="s">
        <v>734</v>
      </c>
      <c r="C300" s="2" t="s">
        <v>1305</v>
      </c>
      <c r="D300" s="2" t="str">
        <f>IF(COUNTIF(RBE!$C$1:$C$629,A300)&gt;0,"Existe","Absent")</f>
        <v>Absent</v>
      </c>
      <c r="E300" s="2" t="s">
        <v>3163</v>
      </c>
      <c r="F300" s="2" t="s">
        <v>15</v>
      </c>
      <c r="H300" s="2" t="s">
        <v>154</v>
      </c>
      <c r="I300" s="2" t="s">
        <v>93</v>
      </c>
      <c r="J300" s="2" t="s">
        <v>18</v>
      </c>
      <c r="K300" s="2" t="s">
        <v>88</v>
      </c>
      <c r="L300" s="3">
        <v>45299</v>
      </c>
      <c r="M300" s="3">
        <v>45315</v>
      </c>
      <c r="N300" s="3">
        <v>46410</v>
      </c>
      <c r="P300" s="2" t="s">
        <v>1306</v>
      </c>
    </row>
    <row r="301" spans="1:16" x14ac:dyDescent="0.35">
      <c r="A301" s="2" t="s">
        <v>1307</v>
      </c>
      <c r="B301" s="2" t="s">
        <v>700</v>
      </c>
      <c r="C301" s="2" t="s">
        <v>1305</v>
      </c>
      <c r="D301" s="2" t="str">
        <f>IF(COUNTIF(RBE!$C$1:$C$629,A301)&gt;0,"Existe","Absent")</f>
        <v>Absent</v>
      </c>
      <c r="E301" s="2" t="s">
        <v>3163</v>
      </c>
      <c r="F301" s="2" t="s">
        <v>15</v>
      </c>
      <c r="H301" s="2" t="s">
        <v>154</v>
      </c>
      <c r="I301" s="2" t="s">
        <v>93</v>
      </c>
      <c r="J301" s="2" t="s">
        <v>18</v>
      </c>
      <c r="K301" s="2" t="s">
        <v>88</v>
      </c>
      <c r="L301" s="3">
        <v>45299</v>
      </c>
      <c r="M301" s="3">
        <v>45315</v>
      </c>
      <c r="N301" s="3">
        <v>46410</v>
      </c>
      <c r="P301" s="2" t="s">
        <v>1308</v>
      </c>
    </row>
    <row r="302" spans="1:16" x14ac:dyDescent="0.35">
      <c r="A302" s="2" t="s">
        <v>1309</v>
      </c>
      <c r="B302" s="2" t="s">
        <v>704</v>
      </c>
      <c r="C302" s="2" t="s">
        <v>1305</v>
      </c>
      <c r="D302" s="2" t="str">
        <f>IF(COUNTIF(RBE!$C$1:$C$629,A302)&gt;0,"Existe","Absent")</f>
        <v>Absent</v>
      </c>
      <c r="E302" s="2" t="s">
        <v>3163</v>
      </c>
      <c r="F302" s="2" t="s">
        <v>15</v>
      </c>
      <c r="H302" s="2" t="s">
        <v>154</v>
      </c>
      <c r="I302" s="2" t="s">
        <v>93</v>
      </c>
      <c r="J302" s="2" t="s">
        <v>18</v>
      </c>
      <c r="K302" s="2" t="s">
        <v>88</v>
      </c>
      <c r="L302" s="3">
        <v>45299</v>
      </c>
      <c r="M302" s="3">
        <v>45315</v>
      </c>
      <c r="N302" s="3">
        <v>46410</v>
      </c>
      <c r="P302" s="2" t="s">
        <v>1310</v>
      </c>
    </row>
    <row r="303" spans="1:16" x14ac:dyDescent="0.35">
      <c r="A303" s="2" t="s">
        <v>1314</v>
      </c>
      <c r="C303" s="2" t="s">
        <v>1305</v>
      </c>
      <c r="D303" s="2" t="str">
        <f>IF(COUNTIF(RBE!$C$1:$C$629,A303)&gt;0,"Existe","Absent")</f>
        <v>Absent</v>
      </c>
      <c r="E303" s="2" t="s">
        <v>3163</v>
      </c>
      <c r="F303" s="2" t="s">
        <v>15</v>
      </c>
      <c r="H303" s="2" t="s">
        <v>154</v>
      </c>
      <c r="I303" s="2" t="s">
        <v>93</v>
      </c>
      <c r="J303" s="2" t="s">
        <v>18</v>
      </c>
      <c r="K303" s="2" t="s">
        <v>88</v>
      </c>
      <c r="L303" s="3">
        <v>45299</v>
      </c>
      <c r="M303" s="3">
        <v>45315</v>
      </c>
      <c r="N303" s="3">
        <v>46410</v>
      </c>
      <c r="P303" s="2" t="s">
        <v>1315</v>
      </c>
    </row>
    <row r="304" spans="1:16" x14ac:dyDescent="0.35">
      <c r="A304" s="2" t="s">
        <v>1453</v>
      </c>
      <c r="B304" s="2" t="s">
        <v>1454</v>
      </c>
      <c r="C304" s="2" t="s">
        <v>1455</v>
      </c>
      <c r="D304" s="2" t="str">
        <f>IF(COUNTIF(RBE!$C$1:$C$629,A304)&gt;0,"Existe","Absent")</f>
        <v>Absent</v>
      </c>
      <c r="E304" s="2" t="s">
        <v>3163</v>
      </c>
      <c r="F304" s="2" t="s">
        <v>15</v>
      </c>
      <c r="H304" s="2" t="s">
        <v>139</v>
      </c>
      <c r="I304" s="2" t="s">
        <v>175</v>
      </c>
      <c r="J304" s="2" t="s">
        <v>18</v>
      </c>
      <c r="K304" s="2" t="s">
        <v>88</v>
      </c>
      <c r="L304" s="3">
        <v>45176</v>
      </c>
      <c r="M304" s="3">
        <v>45357</v>
      </c>
      <c r="N304" s="3">
        <v>46817</v>
      </c>
      <c r="P304" s="2" t="s">
        <v>1456</v>
      </c>
    </row>
    <row r="305" spans="1:16" x14ac:dyDescent="0.35">
      <c r="A305" s="2" t="s">
        <v>909</v>
      </c>
      <c r="C305" s="2" t="s">
        <v>910</v>
      </c>
      <c r="D305" s="2" t="str">
        <f>IF(COUNTIF(RBE!$C$1:$C$629,A305)&gt;0,"Existe","Absent")</f>
        <v>Absent</v>
      </c>
      <c r="E305" s="2" t="s">
        <v>3163</v>
      </c>
      <c r="F305" s="2" t="s">
        <v>15</v>
      </c>
      <c r="H305" s="2" t="s">
        <v>311</v>
      </c>
      <c r="I305" s="2" t="s">
        <v>149</v>
      </c>
      <c r="J305" s="2" t="s">
        <v>18</v>
      </c>
      <c r="K305" s="2" t="s">
        <v>19</v>
      </c>
      <c r="L305" s="3">
        <v>44911</v>
      </c>
      <c r="M305" s="3">
        <v>44918</v>
      </c>
      <c r="N305" s="3">
        <v>46743</v>
      </c>
    </row>
    <row r="306" spans="1:16" x14ac:dyDescent="0.35">
      <c r="A306" s="2" t="s">
        <v>1574</v>
      </c>
      <c r="B306" s="2" t="s">
        <v>1575</v>
      </c>
      <c r="C306" s="2" t="s">
        <v>1576</v>
      </c>
      <c r="D306" s="2" t="str">
        <f>IF(COUNTIF(RBE!$C$1:$C$629,A306)&gt;0,"Existe","Absent")</f>
        <v>Absent</v>
      </c>
      <c r="E306" s="2" t="s">
        <v>3163</v>
      </c>
      <c r="F306" s="2" t="s">
        <v>15</v>
      </c>
      <c r="H306" s="2" t="s">
        <v>573</v>
      </c>
      <c r="I306" s="2" t="s">
        <v>82</v>
      </c>
      <c r="J306" s="2" t="s">
        <v>18</v>
      </c>
      <c r="K306" s="2" t="s">
        <v>1577</v>
      </c>
      <c r="L306" s="5">
        <v>45875.416666666701</v>
      </c>
      <c r="M306" s="3">
        <v>45995</v>
      </c>
      <c r="N306" s="3">
        <v>46359</v>
      </c>
      <c r="P306" s="2" t="s">
        <v>1578</v>
      </c>
    </row>
    <row r="307" spans="1:16" x14ac:dyDescent="0.35">
      <c r="A307" s="2" t="s">
        <v>305</v>
      </c>
      <c r="B307" s="2" t="s">
        <v>306</v>
      </c>
      <c r="C307" s="2" t="s">
        <v>307</v>
      </c>
      <c r="D307" s="2" t="str">
        <f>IF(COUNTIF(RBE!$C$1:$C$629,A307)&gt;0,"Existe","Absent")</f>
        <v>Absent</v>
      </c>
      <c r="E307" s="2" t="s">
        <v>3163</v>
      </c>
      <c r="F307" s="2" t="s">
        <v>15</v>
      </c>
      <c r="H307" s="2" t="s">
        <v>27</v>
      </c>
      <c r="I307" s="2" t="s">
        <v>60</v>
      </c>
      <c r="J307" s="2" t="s">
        <v>18</v>
      </c>
      <c r="K307" s="2" t="s">
        <v>19</v>
      </c>
      <c r="L307" s="3">
        <v>42268</v>
      </c>
      <c r="M307" s="3">
        <v>42460</v>
      </c>
      <c r="N307" s="3">
        <v>46110</v>
      </c>
      <c r="O307" s="3">
        <v>44286</v>
      </c>
      <c r="P307" s="2" t="s">
        <v>308</v>
      </c>
    </row>
    <row r="308" spans="1:16" x14ac:dyDescent="0.35">
      <c r="A308" s="2" t="s">
        <v>1705</v>
      </c>
      <c r="B308" s="2" t="s">
        <v>1706</v>
      </c>
      <c r="C308" s="2" t="s">
        <v>1707</v>
      </c>
      <c r="D308" s="2" t="str">
        <f>IF(COUNTIF(RBE!$C$1:$C$629,A308)&gt;0,"Existe","Absent")</f>
        <v>Absent</v>
      </c>
      <c r="E308" s="2" t="s">
        <v>3163</v>
      </c>
      <c r="F308" s="2" t="s">
        <v>15</v>
      </c>
      <c r="H308" s="2" t="s">
        <v>573</v>
      </c>
      <c r="I308" s="2" t="s">
        <v>1218</v>
      </c>
      <c r="J308" s="2" t="s">
        <v>18</v>
      </c>
      <c r="K308" s="2" t="s">
        <v>19</v>
      </c>
      <c r="L308" s="5">
        <v>45891.609791666699</v>
      </c>
      <c r="M308" s="3">
        <v>45929</v>
      </c>
      <c r="N308" s="3">
        <v>46293</v>
      </c>
      <c r="P308" s="2" t="s">
        <v>1708</v>
      </c>
    </row>
    <row r="309" spans="1:16" x14ac:dyDescent="0.35">
      <c r="A309" s="2" t="s">
        <v>1220</v>
      </c>
      <c r="B309" s="2" t="s">
        <v>1211</v>
      </c>
      <c r="C309" s="2" t="s">
        <v>1221</v>
      </c>
      <c r="D309" s="2" t="str">
        <f>IF(COUNTIF(RBE!$C$1:$C$629,A309)&gt;0,"Existe","Absent")</f>
        <v>Absent</v>
      </c>
      <c r="E309" s="2" t="s">
        <v>3163</v>
      </c>
      <c r="F309" s="2" t="s">
        <v>15</v>
      </c>
      <c r="H309" s="2" t="s">
        <v>311</v>
      </c>
      <c r="I309" s="2" t="s">
        <v>149</v>
      </c>
      <c r="J309" s="2" t="s">
        <v>18</v>
      </c>
      <c r="K309" s="2" t="s">
        <v>19</v>
      </c>
      <c r="L309" s="3">
        <v>45154</v>
      </c>
      <c r="M309" s="3">
        <v>45195</v>
      </c>
      <c r="N309" s="3">
        <v>47021</v>
      </c>
    </row>
    <row r="310" spans="1:16" x14ac:dyDescent="0.35">
      <c r="A310" s="2" t="s">
        <v>1258</v>
      </c>
      <c r="C310" s="2" t="s">
        <v>1259</v>
      </c>
      <c r="D310" s="2" t="str">
        <f>IF(COUNTIF(RBE!$C$1:$C$629,A310)&gt;0,"Existe","Absent")</f>
        <v>Absent</v>
      </c>
      <c r="E310" s="2" t="s">
        <v>3163</v>
      </c>
      <c r="F310" s="2" t="s">
        <v>15</v>
      </c>
      <c r="H310" s="2" t="s">
        <v>27</v>
      </c>
      <c r="I310" s="2" t="s">
        <v>60</v>
      </c>
      <c r="J310" s="2" t="s">
        <v>18</v>
      </c>
      <c r="K310" s="2" t="s">
        <v>19</v>
      </c>
      <c r="L310" s="3">
        <v>44518</v>
      </c>
      <c r="M310" s="3">
        <v>44470</v>
      </c>
      <c r="N310" s="3">
        <v>46295</v>
      </c>
      <c r="P310" s="2" t="s">
        <v>1260</v>
      </c>
    </row>
    <row r="311" spans="1:16" x14ac:dyDescent="0.35">
      <c r="A311" s="2" t="s">
        <v>115</v>
      </c>
      <c r="B311" s="2" t="s">
        <v>116</v>
      </c>
      <c r="C311" s="2" t="s">
        <v>117</v>
      </c>
      <c r="D311" s="2" t="str">
        <f>IF(COUNTIF(RBE!$C$1:$C$629,A311)&gt;0,"Existe","Absent")</f>
        <v>Absent</v>
      </c>
      <c r="E311" s="2" t="s">
        <v>3163</v>
      </c>
      <c r="F311" s="2" t="s">
        <v>15</v>
      </c>
      <c r="H311" s="2" t="s">
        <v>27</v>
      </c>
      <c r="I311" s="2" t="s">
        <v>118</v>
      </c>
      <c r="J311" s="2" t="s">
        <v>41</v>
      </c>
      <c r="K311" s="2" t="s">
        <v>19</v>
      </c>
      <c r="L311" s="3">
        <v>38889</v>
      </c>
      <c r="M311" s="3">
        <v>39024</v>
      </c>
      <c r="N311" s="3">
        <v>44296</v>
      </c>
      <c r="P311" s="2" t="s">
        <v>119</v>
      </c>
    </row>
    <row r="312" spans="1:16" x14ac:dyDescent="0.35">
      <c r="A312" s="2" t="s">
        <v>270</v>
      </c>
      <c r="B312" s="2" t="s">
        <v>58</v>
      </c>
      <c r="C312" s="2" t="s">
        <v>271</v>
      </c>
      <c r="D312" s="2" t="str">
        <f>IF(COUNTIF(RBE!$C$1:$C$629,A312)&gt;0,"Existe","Absent")</f>
        <v>Absent</v>
      </c>
      <c r="E312" s="2" t="s">
        <v>3163</v>
      </c>
      <c r="F312" s="2" t="s">
        <v>15</v>
      </c>
      <c r="H312" s="2" t="s">
        <v>27</v>
      </c>
      <c r="I312" s="2" t="s">
        <v>60</v>
      </c>
      <c r="J312" s="2" t="s">
        <v>41</v>
      </c>
      <c r="K312" s="2" t="s">
        <v>19</v>
      </c>
      <c r="L312" s="3">
        <v>42009</v>
      </c>
      <c r="M312" s="3">
        <v>42054</v>
      </c>
      <c r="N312" s="3">
        <v>43879</v>
      </c>
      <c r="P312" s="2" t="s">
        <v>272</v>
      </c>
    </row>
    <row r="313" spans="1:16" x14ac:dyDescent="0.35">
      <c r="A313" s="2" t="s">
        <v>1718</v>
      </c>
      <c r="C313" s="2" t="s">
        <v>1719</v>
      </c>
      <c r="D313" s="2" t="str">
        <f>IF(COUNTIF(RBE!$C$1:$C$629,A313)&gt;0,"Existe","Absent")</f>
        <v>Absent</v>
      </c>
      <c r="E313" s="2" t="s">
        <v>3163</v>
      </c>
      <c r="F313" s="2" t="s">
        <v>15</v>
      </c>
      <c r="H313" s="2" t="s">
        <v>1609</v>
      </c>
      <c r="I313" s="2" t="s">
        <v>786</v>
      </c>
      <c r="J313" s="2" t="s">
        <v>18</v>
      </c>
      <c r="K313" s="2" t="s">
        <v>19</v>
      </c>
      <c r="L313" s="5">
        <v>45986.4399305556</v>
      </c>
      <c r="M313" s="3">
        <v>46000</v>
      </c>
      <c r="N313" s="3">
        <v>46181</v>
      </c>
      <c r="P313" s="2" t="s">
        <v>1720</v>
      </c>
    </row>
    <row r="314" spans="1:16" x14ac:dyDescent="0.35">
      <c r="A314" s="2" t="s">
        <v>821</v>
      </c>
      <c r="C314" s="2" t="s">
        <v>822</v>
      </c>
      <c r="D314" s="2" t="str">
        <f>IF(COUNTIF(RBE!$C$1:$C$629,A314)&gt;0,"Existe","Absent")</f>
        <v>Absent</v>
      </c>
      <c r="E314" s="2" t="s">
        <v>3163</v>
      </c>
      <c r="F314" s="2" t="s">
        <v>15</v>
      </c>
      <c r="H314" s="2" t="s">
        <v>311</v>
      </c>
      <c r="I314" s="2" t="s">
        <v>149</v>
      </c>
      <c r="J314" s="2" t="s">
        <v>18</v>
      </c>
      <c r="K314" s="2" t="s">
        <v>19</v>
      </c>
      <c r="L314" s="3">
        <v>44752</v>
      </c>
      <c r="M314" s="3">
        <v>44778</v>
      </c>
      <c r="N314" s="3">
        <v>46603</v>
      </c>
    </row>
    <row r="315" spans="1:16" x14ac:dyDescent="0.35">
      <c r="A315" s="2" t="s">
        <v>512</v>
      </c>
      <c r="B315" s="2" t="s">
        <v>513</v>
      </c>
      <c r="C315" s="2" t="s">
        <v>514</v>
      </c>
      <c r="D315" s="2" t="str">
        <f>IF(COUNTIF(RBE!$C$1:$C$629,A315)&gt;0,"Existe","Absent")</f>
        <v>Absent</v>
      </c>
      <c r="E315" s="2" t="s">
        <v>3163</v>
      </c>
      <c r="F315" s="2" t="s">
        <v>15</v>
      </c>
      <c r="H315" s="2" t="s">
        <v>139</v>
      </c>
      <c r="I315" s="2" t="s">
        <v>175</v>
      </c>
      <c r="J315" s="2" t="s">
        <v>41</v>
      </c>
      <c r="K315" s="2" t="s">
        <v>177</v>
      </c>
      <c r="L315" s="3">
        <v>43790</v>
      </c>
      <c r="M315" s="3">
        <v>43978</v>
      </c>
      <c r="N315" s="3">
        <v>45438</v>
      </c>
      <c r="P315" s="2" t="s">
        <v>515</v>
      </c>
    </row>
    <row r="316" spans="1:16" x14ac:dyDescent="0.35">
      <c r="A316" s="2" t="s">
        <v>679</v>
      </c>
      <c r="C316" s="2" t="s">
        <v>680</v>
      </c>
      <c r="D316" s="2" t="str">
        <f>IF(COUNTIF(RBE!$C$1:$C$629,A316)&gt;0,"Existe","Absent")</f>
        <v>Absent</v>
      </c>
      <c r="E316" s="2" t="s">
        <v>3163</v>
      </c>
      <c r="F316" s="2" t="s">
        <v>15</v>
      </c>
      <c r="H316" s="2" t="s">
        <v>139</v>
      </c>
      <c r="I316" s="2" t="s">
        <v>17</v>
      </c>
      <c r="J316" s="2" t="s">
        <v>18</v>
      </c>
      <c r="K316" s="2" t="s">
        <v>190</v>
      </c>
      <c r="L316" s="3">
        <v>44459</v>
      </c>
      <c r="M316" s="3">
        <v>44615</v>
      </c>
      <c r="N316" s="3">
        <v>46075</v>
      </c>
      <c r="P316" s="2" t="s">
        <v>681</v>
      </c>
    </row>
    <row r="317" spans="1:16" x14ac:dyDescent="0.35">
      <c r="A317" s="2" t="s">
        <v>1618</v>
      </c>
      <c r="B317" s="2" t="s">
        <v>1619</v>
      </c>
      <c r="C317" s="2" t="s">
        <v>1620</v>
      </c>
      <c r="D317" s="2" t="str">
        <f>IF(COUNTIF(RBE!$C$1:$C$629,A317)&gt;0,"Existe","Absent")</f>
        <v>Absent</v>
      </c>
      <c r="E317" s="2" t="s">
        <v>3163</v>
      </c>
      <c r="F317" s="2" t="s">
        <v>15</v>
      </c>
      <c r="H317" s="2" t="s">
        <v>1331</v>
      </c>
      <c r="I317" s="2" t="s">
        <v>395</v>
      </c>
      <c r="J317" s="2" t="s">
        <v>18</v>
      </c>
      <c r="K317" s="2" t="s">
        <v>190</v>
      </c>
      <c r="L317" s="5">
        <v>45978.556203703702</v>
      </c>
      <c r="M317" s="3">
        <v>46014</v>
      </c>
      <c r="N317" s="3">
        <v>46378</v>
      </c>
      <c r="P317" s="2" t="s">
        <v>1621</v>
      </c>
    </row>
    <row r="318" spans="1:16" x14ac:dyDescent="0.35">
      <c r="A318" s="2" t="s">
        <v>1654</v>
      </c>
      <c r="B318" s="2" t="s">
        <v>1655</v>
      </c>
      <c r="C318" s="2" t="s">
        <v>1620</v>
      </c>
      <c r="D318" s="2" t="str">
        <f>IF(COUNTIF(RBE!$C$1:$C$629,A318)&gt;0,"Existe","Absent")</f>
        <v>Absent</v>
      </c>
      <c r="E318" s="2" t="s">
        <v>3163</v>
      </c>
      <c r="F318" s="2" t="s">
        <v>15</v>
      </c>
      <c r="H318" s="2" t="s">
        <v>1331</v>
      </c>
      <c r="I318" s="2" t="s">
        <v>395</v>
      </c>
      <c r="J318" s="2" t="s">
        <v>18</v>
      </c>
      <c r="K318" s="2" t="s">
        <v>190</v>
      </c>
      <c r="L318" s="5">
        <v>45978.571701388901</v>
      </c>
      <c r="M318" s="3">
        <v>46014</v>
      </c>
      <c r="N318" s="3">
        <v>46378</v>
      </c>
      <c r="P318" s="2" t="s">
        <v>1656</v>
      </c>
    </row>
    <row r="319" spans="1:16" x14ac:dyDescent="0.35">
      <c r="A319" s="2" t="s">
        <v>1670</v>
      </c>
      <c r="C319" s="2" t="s">
        <v>1671</v>
      </c>
      <c r="D319" s="2" t="str">
        <f>IF(COUNTIF(RBE!$C$1:$C$629,A319)&gt;0,"Existe","Absent")</f>
        <v>Absent</v>
      </c>
      <c r="E319" s="2" t="s">
        <v>3163</v>
      </c>
      <c r="F319" s="2" t="s">
        <v>15</v>
      </c>
      <c r="H319" s="2" t="s">
        <v>1331</v>
      </c>
      <c r="I319" s="2" t="s">
        <v>395</v>
      </c>
      <c r="J319" s="2" t="s">
        <v>18</v>
      </c>
      <c r="K319" s="2" t="s">
        <v>1627</v>
      </c>
      <c r="L319" s="3">
        <v>45825</v>
      </c>
      <c r="M319" s="3">
        <v>45826</v>
      </c>
      <c r="N319" s="3">
        <v>46190</v>
      </c>
      <c r="P319" s="2" t="s">
        <v>1672</v>
      </c>
    </row>
    <row r="320" spans="1:16" x14ac:dyDescent="0.35">
      <c r="A320" s="2" t="s">
        <v>1646</v>
      </c>
      <c r="B320" s="2" t="s">
        <v>1647</v>
      </c>
      <c r="C320" s="2" t="s">
        <v>1648</v>
      </c>
      <c r="D320" s="2" t="str">
        <f>IF(COUNTIF(RBE!$C$1:$C$629,A320)&gt;0,"Existe","Absent")</f>
        <v>Absent</v>
      </c>
      <c r="E320" s="2" t="s">
        <v>3163</v>
      </c>
      <c r="F320" s="2" t="s">
        <v>15</v>
      </c>
      <c r="H320" s="2" t="s">
        <v>1331</v>
      </c>
      <c r="I320" s="2" t="s">
        <v>395</v>
      </c>
      <c r="J320" s="2" t="s">
        <v>18</v>
      </c>
      <c r="K320" s="2" t="s">
        <v>1649</v>
      </c>
      <c r="L320" s="5">
        <v>45912.491759259297</v>
      </c>
      <c r="M320" s="3">
        <v>45946</v>
      </c>
      <c r="N320" s="3">
        <v>46310</v>
      </c>
      <c r="P320" s="2" t="s">
        <v>1650</v>
      </c>
    </row>
    <row r="321" spans="1:16" x14ac:dyDescent="0.35">
      <c r="A321" s="2" t="s">
        <v>1651</v>
      </c>
      <c r="B321" s="2" t="s">
        <v>1652</v>
      </c>
      <c r="C321" s="2" t="s">
        <v>1648</v>
      </c>
      <c r="D321" s="2" t="str">
        <f>IF(COUNTIF(RBE!$C$1:$C$629,A321)&gt;0,"Existe","Absent")</f>
        <v>Absent</v>
      </c>
      <c r="E321" s="2" t="s">
        <v>3163</v>
      </c>
      <c r="F321" s="2" t="s">
        <v>15</v>
      </c>
      <c r="H321" s="2" t="s">
        <v>1331</v>
      </c>
      <c r="I321" s="2" t="s">
        <v>395</v>
      </c>
      <c r="J321" s="2" t="s">
        <v>18</v>
      </c>
      <c r="K321" s="2" t="s">
        <v>1649</v>
      </c>
      <c r="L321" s="5">
        <v>45912.587800925903</v>
      </c>
      <c r="M321" s="3">
        <v>45946</v>
      </c>
      <c r="N321" s="3">
        <v>46310</v>
      </c>
      <c r="P321" s="2" t="s">
        <v>1653</v>
      </c>
    </row>
    <row r="322" spans="1:16" x14ac:dyDescent="0.35">
      <c r="A322" s="2" t="s">
        <v>1785</v>
      </c>
      <c r="B322" s="2" t="s">
        <v>1786</v>
      </c>
      <c r="C322" s="2" t="s">
        <v>1787</v>
      </c>
      <c r="D322" s="2" t="str">
        <f>IF(COUNTIF(RBE!$C$1:$C$629,A322)&gt;0,"Existe","Absent")</f>
        <v>Absent</v>
      </c>
      <c r="E322" s="2" t="s">
        <v>3163</v>
      </c>
      <c r="F322" s="2" t="s">
        <v>15</v>
      </c>
      <c r="H322" s="2" t="s">
        <v>1331</v>
      </c>
      <c r="I322" s="2" t="s">
        <v>1218</v>
      </c>
      <c r="J322" s="2" t="s">
        <v>18</v>
      </c>
      <c r="K322" s="2" t="s">
        <v>185</v>
      </c>
      <c r="L322" s="3">
        <v>45371</v>
      </c>
      <c r="M322" s="3">
        <v>45372</v>
      </c>
      <c r="N322" s="3">
        <v>45736</v>
      </c>
      <c r="P322" s="2" t="s">
        <v>1788</v>
      </c>
    </row>
    <row r="323" spans="1:16" x14ac:dyDescent="0.35">
      <c r="A323" s="2" t="s">
        <v>1781</v>
      </c>
      <c r="B323" s="2" t="s">
        <v>1782</v>
      </c>
      <c r="C323" s="2" t="s">
        <v>1783</v>
      </c>
      <c r="D323" s="2" t="str">
        <f>IF(COUNTIF(RBE!$C$1:$C$629,A323)&gt;0,"Existe","Absent")</f>
        <v>Absent</v>
      </c>
      <c r="E323" s="2" t="s">
        <v>3163</v>
      </c>
      <c r="F323" s="2" t="s">
        <v>15</v>
      </c>
      <c r="H323" s="2" t="s">
        <v>1331</v>
      </c>
      <c r="I323" s="2" t="s">
        <v>1218</v>
      </c>
      <c r="J323" s="2" t="s">
        <v>18</v>
      </c>
      <c r="K323" s="2" t="s">
        <v>185</v>
      </c>
      <c r="L323" s="3">
        <v>45365</v>
      </c>
      <c r="M323" s="3">
        <v>45369</v>
      </c>
      <c r="N323" s="3">
        <v>45733</v>
      </c>
      <c r="P323" s="2" t="s">
        <v>1784</v>
      </c>
    </row>
    <row r="324" spans="1:16" x14ac:dyDescent="0.35">
      <c r="A324" s="2" t="s">
        <v>301</v>
      </c>
      <c r="B324" s="2" t="s">
        <v>302</v>
      </c>
      <c r="C324" s="2" t="s">
        <v>303</v>
      </c>
      <c r="D324" s="2" t="str">
        <f>IF(COUNTIF(RBE!$C$1:$C$629,A324)&gt;0,"Existe","Absent")</f>
        <v>Absent</v>
      </c>
      <c r="E324" s="2" t="s">
        <v>3163</v>
      </c>
      <c r="F324" s="2" t="s">
        <v>15</v>
      </c>
      <c r="H324" s="2" t="s">
        <v>294</v>
      </c>
      <c r="I324" s="2" t="s">
        <v>93</v>
      </c>
      <c r="J324" s="2" t="s">
        <v>18</v>
      </c>
      <c r="K324" s="2" t="s">
        <v>88</v>
      </c>
      <c r="L324" s="3">
        <v>42227</v>
      </c>
      <c r="M324" s="3">
        <v>42929</v>
      </c>
      <c r="N324" s="3">
        <v>46580</v>
      </c>
      <c r="P324" s="2" t="s">
        <v>304</v>
      </c>
    </row>
    <row r="325" spans="1:16" x14ac:dyDescent="0.35">
      <c r="A325" s="2" t="s">
        <v>1698</v>
      </c>
      <c r="C325" s="2" t="s">
        <v>1699</v>
      </c>
      <c r="D325" s="2" t="str">
        <f>IF(COUNTIF(RBE!$C$1:$C$629,A325)&gt;0,"Existe","Absent")</f>
        <v>Absent</v>
      </c>
      <c r="E325" s="2" t="s">
        <v>3163</v>
      </c>
      <c r="F325" s="2" t="s">
        <v>15</v>
      </c>
      <c r="H325" s="2" t="s">
        <v>573</v>
      </c>
      <c r="I325" s="2" t="s">
        <v>395</v>
      </c>
      <c r="J325" s="2" t="s">
        <v>18</v>
      </c>
      <c r="K325" s="2" t="s">
        <v>1627</v>
      </c>
      <c r="L325" s="5">
        <v>46008.604363425897</v>
      </c>
      <c r="M325" s="3">
        <v>45988</v>
      </c>
      <c r="N325" s="3">
        <v>46352</v>
      </c>
      <c r="P325" s="2" t="s">
        <v>1700</v>
      </c>
    </row>
    <row r="326" spans="1:16" x14ac:dyDescent="0.35">
      <c r="A326" s="2" t="s">
        <v>401</v>
      </c>
      <c r="B326" s="2" t="s">
        <v>402</v>
      </c>
      <c r="C326" s="2" t="s">
        <v>403</v>
      </c>
      <c r="D326" s="2" t="str">
        <f>IF(COUNTIF(RBE!$C$1:$C$629,A326)&gt;0,"Existe","Absent")</f>
        <v>Absent</v>
      </c>
      <c r="E326" s="2" t="s">
        <v>3163</v>
      </c>
      <c r="F326" s="2" t="s">
        <v>15</v>
      </c>
      <c r="H326" s="2" t="s">
        <v>139</v>
      </c>
      <c r="I326" s="2" t="s">
        <v>404</v>
      </c>
      <c r="J326" s="2" t="s">
        <v>41</v>
      </c>
      <c r="K326" s="2" t="s">
        <v>88</v>
      </c>
      <c r="L326" s="3">
        <v>43006</v>
      </c>
      <c r="M326" s="3">
        <v>43256</v>
      </c>
      <c r="N326" s="3">
        <v>45813</v>
      </c>
      <c r="P326" s="2" t="s">
        <v>405</v>
      </c>
    </row>
    <row r="327" spans="1:16" x14ac:dyDescent="0.35">
      <c r="A327" s="2" t="s">
        <v>718</v>
      </c>
      <c r="B327" s="2" t="s">
        <v>719</v>
      </c>
      <c r="C327" s="2" t="s">
        <v>720</v>
      </c>
      <c r="D327" s="2" t="str">
        <f>IF(COUNTIF(RBE!$C$1:$C$629,A327)&gt;0,"Existe","Absent")</f>
        <v>Absent</v>
      </c>
      <c r="E327" s="2" t="s">
        <v>3163</v>
      </c>
      <c r="F327" s="2" t="s">
        <v>15</v>
      </c>
      <c r="H327" s="2" t="s">
        <v>154</v>
      </c>
      <c r="I327" s="2" t="s">
        <v>93</v>
      </c>
      <c r="J327" s="2" t="s">
        <v>18</v>
      </c>
      <c r="K327" s="2" t="s">
        <v>88</v>
      </c>
      <c r="L327" s="3">
        <v>44662</v>
      </c>
      <c r="M327" s="3">
        <v>44762</v>
      </c>
      <c r="N327" s="3">
        <v>45857</v>
      </c>
      <c r="P327" s="2" t="s">
        <v>721</v>
      </c>
    </row>
    <row r="328" spans="1:16" ht="43.5" x14ac:dyDescent="0.35">
      <c r="A328" s="2" t="s">
        <v>808</v>
      </c>
      <c r="B328" s="4" t="s">
        <v>809</v>
      </c>
      <c r="C328" s="2" t="s">
        <v>720</v>
      </c>
      <c r="D328" s="2" t="str">
        <f>IF(COUNTIF(RBE!$C$1:$C$629,A328)&gt;0,"Existe","Absent")</f>
        <v>Absent</v>
      </c>
      <c r="E328" s="2" t="s">
        <v>3163</v>
      </c>
      <c r="F328" s="2" t="s">
        <v>15</v>
      </c>
      <c r="H328" s="2" t="s">
        <v>139</v>
      </c>
      <c r="I328" s="2" t="s">
        <v>93</v>
      </c>
      <c r="J328" s="2" t="s">
        <v>18</v>
      </c>
      <c r="K328" s="2" t="s">
        <v>88</v>
      </c>
      <c r="L328" s="3">
        <v>44789</v>
      </c>
      <c r="M328" s="3">
        <v>45006</v>
      </c>
      <c r="N328" s="3">
        <v>46466</v>
      </c>
      <c r="P328" s="2" t="s">
        <v>810</v>
      </c>
    </row>
    <row r="329" spans="1:16" x14ac:dyDescent="0.35">
      <c r="A329" s="2" t="s">
        <v>958</v>
      </c>
      <c r="C329" s="2" t="s">
        <v>959</v>
      </c>
      <c r="D329" s="2" t="str">
        <f>IF(COUNTIF(RBE!$C$1:$C$629,A329)&gt;0,"Existe","Absent")</f>
        <v>Absent</v>
      </c>
      <c r="E329" s="2" t="s">
        <v>3163</v>
      </c>
      <c r="F329" s="2" t="s">
        <v>15</v>
      </c>
      <c r="H329" s="2" t="s">
        <v>311</v>
      </c>
      <c r="I329" s="2" t="s">
        <v>149</v>
      </c>
      <c r="J329" s="2" t="s">
        <v>18</v>
      </c>
      <c r="K329" s="2" t="s">
        <v>19</v>
      </c>
      <c r="L329" s="3">
        <v>43702</v>
      </c>
      <c r="M329" s="3">
        <v>43854</v>
      </c>
      <c r="N329" s="3">
        <v>45680</v>
      </c>
    </row>
    <row r="330" spans="1:16" x14ac:dyDescent="0.35">
      <c r="A330" s="2" t="s">
        <v>1210</v>
      </c>
      <c r="B330" s="2" t="s">
        <v>1211</v>
      </c>
      <c r="C330" s="2" t="s">
        <v>1212</v>
      </c>
      <c r="D330" s="2" t="str">
        <f>IF(COUNTIF(RBE!$C$1:$C$629,A330)&gt;0,"Existe","Absent")</f>
        <v>Absent</v>
      </c>
      <c r="E330" s="2" t="s">
        <v>3163</v>
      </c>
      <c r="F330" s="2" t="s">
        <v>15</v>
      </c>
      <c r="H330" s="2" t="s">
        <v>311</v>
      </c>
      <c r="I330" s="2" t="s">
        <v>149</v>
      </c>
      <c r="J330" s="2" t="s">
        <v>18</v>
      </c>
      <c r="K330" s="2" t="s">
        <v>19</v>
      </c>
      <c r="L330" s="3">
        <v>45181</v>
      </c>
      <c r="M330" s="3">
        <v>45194</v>
      </c>
      <c r="N330" s="3">
        <v>47020</v>
      </c>
    </row>
    <row r="331" spans="1:16" x14ac:dyDescent="0.35">
      <c r="A331" s="2" t="s">
        <v>1100</v>
      </c>
      <c r="C331" s="2" t="s">
        <v>1101</v>
      </c>
      <c r="D331" s="2" t="str">
        <f>IF(COUNTIF(RBE!$C$1:$C$629,A331)&gt;0,"Existe","Absent")</f>
        <v>Absent</v>
      </c>
      <c r="E331" s="2" t="s">
        <v>3163</v>
      </c>
      <c r="F331" s="2" t="s">
        <v>15</v>
      </c>
      <c r="H331" s="2" t="s">
        <v>311</v>
      </c>
      <c r="I331" s="2" t="s">
        <v>149</v>
      </c>
      <c r="J331" s="2" t="s">
        <v>18</v>
      </c>
      <c r="K331" s="2" t="s">
        <v>19</v>
      </c>
      <c r="L331" s="3">
        <v>45063</v>
      </c>
      <c r="M331" s="3">
        <v>45090</v>
      </c>
      <c r="N331" s="3">
        <v>46916</v>
      </c>
    </row>
    <row r="332" spans="1:16" x14ac:dyDescent="0.35">
      <c r="A332" s="2" t="s">
        <v>532</v>
      </c>
      <c r="B332" s="2" t="s">
        <v>533</v>
      </c>
      <c r="C332" s="2" t="s">
        <v>534</v>
      </c>
      <c r="D332" s="2" t="str">
        <f>IF(COUNTIF(RBE!$C$1:$C$629,A332)&gt;0,"Existe","Absent")</f>
        <v>Absent</v>
      </c>
      <c r="E332" s="2" t="s">
        <v>3163</v>
      </c>
      <c r="F332" s="2" t="s">
        <v>15</v>
      </c>
      <c r="H332" s="2" t="s">
        <v>139</v>
      </c>
      <c r="I332" s="2" t="s">
        <v>93</v>
      </c>
      <c r="J332" s="2" t="s">
        <v>41</v>
      </c>
      <c r="K332" s="2" t="s">
        <v>88</v>
      </c>
      <c r="L332" s="3">
        <v>43882</v>
      </c>
      <c r="M332" s="3">
        <v>43886</v>
      </c>
      <c r="N332" s="3">
        <v>45346</v>
      </c>
      <c r="P332" s="2" t="s">
        <v>535</v>
      </c>
    </row>
    <row r="333" spans="1:16" x14ac:dyDescent="0.35">
      <c r="A333" s="2" t="s">
        <v>907</v>
      </c>
      <c r="C333" s="2" t="s">
        <v>908</v>
      </c>
      <c r="D333" s="2" t="str">
        <f>IF(COUNTIF(RBE!$C$1:$C$629,A333)&gt;0,"Existe","Absent")</f>
        <v>Absent</v>
      </c>
      <c r="E333" s="2" t="s">
        <v>3163</v>
      </c>
      <c r="F333" s="2" t="s">
        <v>15</v>
      </c>
      <c r="H333" s="2" t="s">
        <v>311</v>
      </c>
      <c r="I333" s="2" t="s">
        <v>149</v>
      </c>
      <c r="J333" s="2" t="s">
        <v>18</v>
      </c>
      <c r="K333" s="2" t="s">
        <v>19</v>
      </c>
      <c r="L333" s="3">
        <v>44898</v>
      </c>
      <c r="M333" s="3">
        <v>44930</v>
      </c>
      <c r="N333" s="3">
        <v>46755</v>
      </c>
    </row>
    <row r="334" spans="1:16" x14ac:dyDescent="0.35">
      <c r="A334" s="2" t="s">
        <v>920</v>
      </c>
      <c r="C334" s="2" t="s">
        <v>921</v>
      </c>
      <c r="D334" s="2" t="str">
        <f>IF(COUNTIF(RBE!$C$1:$C$629,A334)&gt;0,"Existe","Absent")</f>
        <v>Absent</v>
      </c>
      <c r="E334" s="2" t="s">
        <v>3163</v>
      </c>
      <c r="F334" s="2" t="s">
        <v>15</v>
      </c>
      <c r="H334" s="2" t="s">
        <v>148</v>
      </c>
      <c r="I334" s="2" t="s">
        <v>93</v>
      </c>
      <c r="J334" s="2" t="s">
        <v>18</v>
      </c>
      <c r="K334" s="2" t="s">
        <v>88</v>
      </c>
      <c r="L334" s="3">
        <v>44817</v>
      </c>
      <c r="M334" s="3">
        <v>44820</v>
      </c>
      <c r="N334" s="3">
        <v>46645</v>
      </c>
      <c r="P334" s="2" t="s">
        <v>922</v>
      </c>
    </row>
    <row r="335" spans="1:16" x14ac:dyDescent="0.35">
      <c r="A335" s="2" t="s">
        <v>1397</v>
      </c>
      <c r="B335" s="2" t="s">
        <v>1398</v>
      </c>
      <c r="C335" s="2" t="s">
        <v>1399</v>
      </c>
      <c r="D335" s="2" t="str">
        <f>IF(COUNTIF(RBE!$C$1:$C$629,A335)&gt;0,"Existe","Absent")</f>
        <v>Absent</v>
      </c>
      <c r="E335" s="2" t="s">
        <v>3163</v>
      </c>
      <c r="F335" s="2" t="s">
        <v>15</v>
      </c>
      <c r="H335" s="2" t="s">
        <v>573</v>
      </c>
      <c r="I335" s="2" t="s">
        <v>1218</v>
      </c>
      <c r="J335" s="2" t="s">
        <v>18</v>
      </c>
      <c r="K335" s="2" t="s">
        <v>101</v>
      </c>
      <c r="L335" s="3">
        <v>45337</v>
      </c>
      <c r="M335" s="3">
        <v>45348</v>
      </c>
      <c r="N335" s="3">
        <v>45713</v>
      </c>
      <c r="P335" s="2" t="s">
        <v>1400</v>
      </c>
    </row>
    <row r="336" spans="1:16" x14ac:dyDescent="0.35">
      <c r="A336" s="2" t="s">
        <v>1701</v>
      </c>
      <c r="C336" s="2" t="s">
        <v>1702</v>
      </c>
      <c r="D336" s="2" t="str">
        <f>IF(COUNTIF(RBE!$C$1:$C$629,A336)&gt;0,"Existe","Absent")</f>
        <v>Absent</v>
      </c>
      <c r="E336" s="2" t="s">
        <v>3163</v>
      </c>
      <c r="F336" s="2" t="s">
        <v>15</v>
      </c>
      <c r="H336" s="2" t="s">
        <v>573</v>
      </c>
      <c r="I336" s="2" t="s">
        <v>82</v>
      </c>
      <c r="J336" s="2" t="s">
        <v>18</v>
      </c>
      <c r="K336" s="2" t="s">
        <v>101</v>
      </c>
      <c r="L336" s="5">
        <v>45989.631759259297</v>
      </c>
      <c r="M336" s="3">
        <v>46014</v>
      </c>
      <c r="N336" s="3">
        <v>46378</v>
      </c>
      <c r="P336" s="2" t="s">
        <v>1703</v>
      </c>
    </row>
    <row r="337" spans="1:16" x14ac:dyDescent="0.35">
      <c r="A337" s="2" t="s">
        <v>1704</v>
      </c>
      <c r="C337" s="2" t="s">
        <v>1702</v>
      </c>
      <c r="D337" s="2" t="str">
        <f>IF(COUNTIF(RBE!$C$1:$C$629,A337)&gt;0,"Existe","Absent")</f>
        <v>Absent</v>
      </c>
      <c r="E337" s="2" t="s">
        <v>3163</v>
      </c>
      <c r="F337" s="2" t="s">
        <v>15</v>
      </c>
      <c r="H337" s="2" t="s">
        <v>573</v>
      </c>
      <c r="I337" s="2" t="s">
        <v>1218</v>
      </c>
      <c r="J337" s="2" t="s">
        <v>18</v>
      </c>
      <c r="K337" s="2" t="s">
        <v>101</v>
      </c>
      <c r="L337" s="5">
        <v>45989.625960648104</v>
      </c>
      <c r="M337" s="3">
        <v>46014</v>
      </c>
      <c r="N337" s="3">
        <v>46378</v>
      </c>
      <c r="P337" s="2" t="s">
        <v>1703</v>
      </c>
    </row>
    <row r="338" spans="1:16" x14ac:dyDescent="0.35">
      <c r="A338" s="2" t="s">
        <v>855</v>
      </c>
      <c r="C338" s="2" t="s">
        <v>856</v>
      </c>
      <c r="D338" s="2" t="str">
        <f>IF(COUNTIF(RBE!$C$1:$C$629,A338)&gt;0,"Existe","Absent")</f>
        <v>Absent</v>
      </c>
      <c r="E338" s="2" t="s">
        <v>3163</v>
      </c>
      <c r="F338" s="2" t="s">
        <v>15</v>
      </c>
      <c r="H338" s="2" t="s">
        <v>311</v>
      </c>
      <c r="I338" s="2" t="s">
        <v>149</v>
      </c>
      <c r="J338" s="2" t="s">
        <v>18</v>
      </c>
      <c r="K338" s="2" t="s">
        <v>19</v>
      </c>
      <c r="L338" s="3">
        <v>44814</v>
      </c>
      <c r="M338" s="3">
        <v>44872</v>
      </c>
      <c r="N338" s="3">
        <v>46697</v>
      </c>
    </row>
    <row r="339" spans="1:16" x14ac:dyDescent="0.35">
      <c r="A339" s="2" t="s">
        <v>1283</v>
      </c>
      <c r="C339" s="2" t="s">
        <v>1284</v>
      </c>
      <c r="D339" s="2" t="str">
        <f>IF(COUNTIF(RBE!$C$1:$C$629,A339)&gt;0,"Existe","Absent")</f>
        <v>Absent</v>
      </c>
      <c r="E339" s="2" t="s">
        <v>3163</v>
      </c>
      <c r="F339" s="2" t="s">
        <v>15</v>
      </c>
      <c r="H339" s="2" t="s">
        <v>311</v>
      </c>
      <c r="I339" s="2" t="s">
        <v>149</v>
      </c>
      <c r="J339" s="2" t="s">
        <v>18</v>
      </c>
      <c r="K339" s="2" t="s">
        <v>19</v>
      </c>
      <c r="L339" s="3">
        <v>44809</v>
      </c>
      <c r="M339" s="3">
        <v>44872</v>
      </c>
      <c r="N339" s="3">
        <v>46697</v>
      </c>
    </row>
    <row r="340" spans="1:16" x14ac:dyDescent="0.35">
      <c r="A340" s="2" t="s">
        <v>725</v>
      </c>
      <c r="B340" s="2" t="s">
        <v>726</v>
      </c>
      <c r="C340" s="2" t="s">
        <v>727</v>
      </c>
      <c r="D340" s="2" t="str">
        <f>IF(COUNTIF(RBE!$C$1:$C$629,A340)&gt;0,"Existe","Absent")</f>
        <v>Absent</v>
      </c>
      <c r="E340" s="2" t="s">
        <v>3163</v>
      </c>
      <c r="F340" s="2" t="s">
        <v>15</v>
      </c>
      <c r="H340" s="2" t="s">
        <v>139</v>
      </c>
      <c r="I340" s="2" t="s">
        <v>93</v>
      </c>
      <c r="J340" s="2" t="s">
        <v>18</v>
      </c>
      <c r="K340" s="2" t="s">
        <v>88</v>
      </c>
      <c r="L340" s="3">
        <v>44642</v>
      </c>
      <c r="M340" s="3">
        <v>44719</v>
      </c>
      <c r="N340" s="3">
        <v>46179</v>
      </c>
      <c r="P340" s="2" t="s">
        <v>728</v>
      </c>
    </row>
    <row r="341" spans="1:16" x14ac:dyDescent="0.35">
      <c r="A341" s="2" t="s">
        <v>1771</v>
      </c>
      <c r="B341" s="2" t="s">
        <v>1772</v>
      </c>
      <c r="C341" s="2" t="s">
        <v>1773</v>
      </c>
      <c r="D341" s="2" t="str">
        <f>IF(COUNTIF(RBE!$C$1:$C$629,A341)&gt;0,"Existe","Absent")</f>
        <v>Absent</v>
      </c>
      <c r="E341" s="2" t="s">
        <v>3163</v>
      </c>
      <c r="F341" s="2" t="s">
        <v>15</v>
      </c>
      <c r="H341" s="2" t="s">
        <v>311</v>
      </c>
      <c r="I341" s="2" t="s">
        <v>149</v>
      </c>
      <c r="J341" s="2" t="s">
        <v>18</v>
      </c>
      <c r="K341" s="2" t="s">
        <v>19</v>
      </c>
      <c r="L341" s="3">
        <v>44125</v>
      </c>
      <c r="M341" s="3">
        <v>44179</v>
      </c>
      <c r="N341" s="3">
        <v>46004</v>
      </c>
      <c r="P341" s="2" t="s">
        <v>1774</v>
      </c>
    </row>
    <row r="342" spans="1:16" x14ac:dyDescent="0.35">
      <c r="A342" s="2" t="s">
        <v>1625</v>
      </c>
      <c r="C342" s="2" t="s">
        <v>1626</v>
      </c>
      <c r="D342" s="2" t="str">
        <f>IF(COUNTIF(RBE!$C$1:$C$629,A342)&gt;0,"Existe","Absent")</f>
        <v>Absent</v>
      </c>
      <c r="E342" s="2" t="s">
        <v>3163</v>
      </c>
      <c r="F342" s="2" t="s">
        <v>15</v>
      </c>
      <c r="H342" s="2" t="s">
        <v>573</v>
      </c>
      <c r="I342" s="2" t="s">
        <v>82</v>
      </c>
      <c r="J342" s="2" t="s">
        <v>18</v>
      </c>
      <c r="K342" s="2" t="s">
        <v>1627</v>
      </c>
      <c r="L342" s="5">
        <v>46010.428263888898</v>
      </c>
      <c r="M342" s="3">
        <v>46014</v>
      </c>
      <c r="N342" s="3">
        <v>46378</v>
      </c>
      <c r="P342" s="2" t="s">
        <v>1628</v>
      </c>
    </row>
    <row r="343" spans="1:16" x14ac:dyDescent="0.35">
      <c r="A343" s="2" t="s">
        <v>136</v>
      </c>
      <c r="B343" s="2" t="s">
        <v>137</v>
      </c>
      <c r="C343" s="2" t="s">
        <v>138</v>
      </c>
      <c r="D343" s="2" t="str">
        <f>IF(COUNTIF(RBE!$C$1:$C$629,A343)&gt;0,"Existe","Absent")</f>
        <v>Absent</v>
      </c>
      <c r="E343" s="2" t="s">
        <v>3163</v>
      </c>
      <c r="F343" s="2" t="s">
        <v>15</v>
      </c>
      <c r="H343" s="2" t="s">
        <v>139</v>
      </c>
      <c r="I343" s="2" t="s">
        <v>93</v>
      </c>
      <c r="J343" s="2" t="s">
        <v>41</v>
      </c>
      <c r="K343" s="2" t="s">
        <v>88</v>
      </c>
      <c r="L343" s="3">
        <v>40134</v>
      </c>
      <c r="M343" s="3">
        <v>43500</v>
      </c>
      <c r="N343" s="3">
        <v>44960</v>
      </c>
      <c r="P343" s="2" t="s">
        <v>140</v>
      </c>
    </row>
    <row r="344" spans="1:16" x14ac:dyDescent="0.35">
      <c r="A344" s="2" t="s">
        <v>273</v>
      </c>
      <c r="B344" s="2" t="s">
        <v>58</v>
      </c>
      <c r="C344" s="2" t="s">
        <v>274</v>
      </c>
      <c r="D344" s="2" t="str">
        <f>IF(COUNTIF(RBE!$C$1:$C$629,A344)&gt;0,"Existe","Absent")</f>
        <v>Absent</v>
      </c>
      <c r="E344" s="2" t="s">
        <v>3163</v>
      </c>
      <c r="F344" s="2" t="s">
        <v>15</v>
      </c>
      <c r="H344" s="2" t="s">
        <v>27</v>
      </c>
      <c r="I344" s="2" t="s">
        <v>60</v>
      </c>
      <c r="J344" s="2" t="s">
        <v>18</v>
      </c>
      <c r="K344" s="2" t="s">
        <v>19</v>
      </c>
      <c r="L344" s="3">
        <v>42010</v>
      </c>
      <c r="M344" s="3">
        <v>42054</v>
      </c>
      <c r="N344" s="3">
        <v>45706</v>
      </c>
      <c r="P344" s="2" t="s">
        <v>275</v>
      </c>
    </row>
    <row r="345" spans="1:16" x14ac:dyDescent="0.35">
      <c r="A345" s="2" t="s">
        <v>356</v>
      </c>
      <c r="B345" s="2" t="s">
        <v>328</v>
      </c>
      <c r="C345" s="2" t="s">
        <v>357</v>
      </c>
      <c r="D345" s="2" t="str">
        <f>IF(COUNTIF(RBE!$C$1:$C$629,A345)&gt;0,"Existe","Absent")</f>
        <v>Absent</v>
      </c>
      <c r="E345" s="2" t="s">
        <v>3163</v>
      </c>
      <c r="F345" s="2" t="s">
        <v>15</v>
      </c>
      <c r="H345" s="2" t="s">
        <v>311</v>
      </c>
      <c r="I345" s="2" t="s">
        <v>149</v>
      </c>
      <c r="J345" s="2" t="s">
        <v>18</v>
      </c>
      <c r="K345" s="2" t="s">
        <v>19</v>
      </c>
      <c r="L345" s="3">
        <v>42719</v>
      </c>
      <c r="M345" s="3">
        <v>43083</v>
      </c>
      <c r="N345" s="3">
        <v>46733</v>
      </c>
      <c r="O345" s="3">
        <v>44909</v>
      </c>
      <c r="P345" s="2" t="s">
        <v>358</v>
      </c>
    </row>
    <row r="346" spans="1:16" x14ac:dyDescent="0.35">
      <c r="A346" s="2" t="s">
        <v>1104</v>
      </c>
      <c r="B346" s="2" t="s">
        <v>1105</v>
      </c>
      <c r="C346" s="2" t="s">
        <v>1106</v>
      </c>
      <c r="D346" s="2" t="str">
        <f>IF(COUNTIF(RBE!$C$1:$C$629,A346)&gt;0,"Existe","Absent")</f>
        <v>Absent</v>
      </c>
      <c r="E346" s="2" t="s">
        <v>3163</v>
      </c>
      <c r="F346" s="2" t="s">
        <v>15</v>
      </c>
      <c r="H346" s="2" t="s">
        <v>139</v>
      </c>
      <c r="I346" s="2" t="s">
        <v>1107</v>
      </c>
      <c r="J346" s="2" t="s">
        <v>18</v>
      </c>
      <c r="K346" s="2" t="s">
        <v>88</v>
      </c>
      <c r="L346" s="3">
        <v>44790</v>
      </c>
      <c r="M346" s="3">
        <v>45117</v>
      </c>
      <c r="N346" s="3">
        <v>46577</v>
      </c>
      <c r="P346" s="2" t="s">
        <v>1108</v>
      </c>
    </row>
    <row r="347" spans="1:16" x14ac:dyDescent="0.35">
      <c r="A347" s="2" t="s">
        <v>1430</v>
      </c>
      <c r="B347" s="2" t="s">
        <v>1431</v>
      </c>
      <c r="C347" s="2" t="s">
        <v>1432</v>
      </c>
      <c r="D347" s="2" t="str">
        <f>IF(COUNTIF(RBE!$C$1:$C$629,A347)&gt;0,"Existe","Absent")</f>
        <v>Absent</v>
      </c>
      <c r="E347" s="2" t="s">
        <v>3163</v>
      </c>
      <c r="F347" s="2" t="s">
        <v>15</v>
      </c>
      <c r="H347" s="2" t="s">
        <v>311</v>
      </c>
      <c r="I347" s="2" t="s">
        <v>149</v>
      </c>
      <c r="J347" s="2" t="s">
        <v>18</v>
      </c>
      <c r="K347" s="2" t="s">
        <v>19</v>
      </c>
      <c r="L347" s="3">
        <v>45355</v>
      </c>
      <c r="M347" s="3">
        <v>45362</v>
      </c>
      <c r="N347" s="3">
        <v>45726</v>
      </c>
    </row>
    <row r="348" spans="1:16" x14ac:dyDescent="0.35">
      <c r="A348" s="2" t="s">
        <v>901</v>
      </c>
      <c r="B348" s="2" t="s">
        <v>566</v>
      </c>
      <c r="C348" s="2" t="s">
        <v>902</v>
      </c>
      <c r="D348" s="2" t="str">
        <f>IF(COUNTIF(RBE!$C$1:$C$629,A348)&gt;0,"Existe","Absent")</f>
        <v>Absent</v>
      </c>
      <c r="E348" s="2" t="s">
        <v>3163</v>
      </c>
      <c r="F348" s="2" t="s">
        <v>15</v>
      </c>
      <c r="H348" s="2" t="s">
        <v>311</v>
      </c>
      <c r="I348" s="2" t="s">
        <v>149</v>
      </c>
      <c r="J348" s="2" t="s">
        <v>18</v>
      </c>
      <c r="K348" s="2" t="s">
        <v>19</v>
      </c>
      <c r="L348" s="3">
        <v>44715</v>
      </c>
      <c r="M348" s="3">
        <v>44879</v>
      </c>
      <c r="N348" s="3">
        <v>46704</v>
      </c>
    </row>
    <row r="349" spans="1:16" x14ac:dyDescent="0.35">
      <c r="A349" s="2" t="s">
        <v>740</v>
      </c>
      <c r="C349" s="2" t="s">
        <v>741</v>
      </c>
      <c r="D349" s="2" t="str">
        <f>IF(COUNTIF(RBE!$C$1:$C$629,A349)&gt;0,"Existe","Absent")</f>
        <v>Absent</v>
      </c>
      <c r="E349" s="2" t="s">
        <v>3163</v>
      </c>
      <c r="F349" s="2" t="s">
        <v>15</v>
      </c>
      <c r="H349" s="2" t="s">
        <v>154</v>
      </c>
      <c r="I349" s="2" t="s">
        <v>93</v>
      </c>
      <c r="J349" s="2" t="s">
        <v>18</v>
      </c>
      <c r="K349" s="2" t="s">
        <v>88</v>
      </c>
      <c r="L349" s="3">
        <v>44692</v>
      </c>
      <c r="M349" s="3">
        <v>45080</v>
      </c>
      <c r="N349" s="3">
        <v>46175</v>
      </c>
      <c r="P349" s="2" t="s">
        <v>742</v>
      </c>
    </row>
    <row r="350" spans="1:16" x14ac:dyDescent="0.35">
      <c r="A350" s="2" t="s">
        <v>926</v>
      </c>
      <c r="B350" s="2" t="s">
        <v>927</v>
      </c>
      <c r="C350" s="2" t="s">
        <v>741</v>
      </c>
      <c r="D350" s="2" t="str">
        <f>IF(COUNTIF(RBE!$C$1:$C$629,A350)&gt;0,"Existe","Absent")</f>
        <v>Absent</v>
      </c>
      <c r="E350" s="2" t="s">
        <v>3163</v>
      </c>
      <c r="F350" s="2" t="s">
        <v>15</v>
      </c>
      <c r="H350" s="2" t="s">
        <v>27</v>
      </c>
      <c r="I350" s="2" t="s">
        <v>28</v>
      </c>
      <c r="J350" s="2" t="s">
        <v>18</v>
      </c>
      <c r="K350" s="2" t="s">
        <v>88</v>
      </c>
      <c r="L350" s="3">
        <v>44715</v>
      </c>
      <c r="M350" s="3">
        <v>44904</v>
      </c>
      <c r="N350" s="3">
        <v>46729</v>
      </c>
      <c r="P350" s="2" t="s">
        <v>928</v>
      </c>
    </row>
    <row r="351" spans="1:16" x14ac:dyDescent="0.35">
      <c r="A351" s="2" t="s">
        <v>994</v>
      </c>
      <c r="C351" s="2" t="s">
        <v>741</v>
      </c>
      <c r="D351" s="2" t="str">
        <f>IF(COUNTIF(RBE!$C$1:$C$629,A351)&gt;0,"Existe","Absent")</f>
        <v>Absent</v>
      </c>
      <c r="E351" s="2" t="s">
        <v>3163</v>
      </c>
      <c r="F351" s="2" t="s">
        <v>15</v>
      </c>
      <c r="H351" s="2" t="s">
        <v>148</v>
      </c>
      <c r="I351" s="2" t="s">
        <v>93</v>
      </c>
      <c r="J351" s="2" t="s">
        <v>18</v>
      </c>
      <c r="K351" s="2" t="s">
        <v>88</v>
      </c>
      <c r="L351" s="3">
        <v>44767</v>
      </c>
      <c r="M351" s="3">
        <v>44789</v>
      </c>
      <c r="N351" s="3">
        <v>46614</v>
      </c>
      <c r="P351" s="2" t="s">
        <v>995</v>
      </c>
    </row>
    <row r="352" spans="1:16" x14ac:dyDescent="0.35">
      <c r="A352" s="2" t="s">
        <v>1497</v>
      </c>
      <c r="C352" s="2" t="s">
        <v>1498</v>
      </c>
      <c r="D352" s="2" t="str">
        <f>IF(COUNTIF(RBE!$C$1:$C$629,A352)&gt;0,"Existe","Absent")</f>
        <v>Absent</v>
      </c>
      <c r="E352" s="2" t="s">
        <v>3163</v>
      </c>
      <c r="F352" s="2" t="s">
        <v>15</v>
      </c>
      <c r="H352" s="2" t="s">
        <v>148</v>
      </c>
      <c r="I352" s="2" t="s">
        <v>93</v>
      </c>
      <c r="J352" s="2" t="s">
        <v>18</v>
      </c>
      <c r="K352" s="2" t="s">
        <v>88</v>
      </c>
      <c r="L352" s="3">
        <v>44747</v>
      </c>
      <c r="M352" s="3">
        <v>44811</v>
      </c>
      <c r="N352" s="3">
        <v>46636</v>
      </c>
      <c r="P352" s="2" t="s">
        <v>1499</v>
      </c>
    </row>
    <row r="353" spans="1:16" x14ac:dyDescent="0.35">
      <c r="A353" s="2" t="s">
        <v>1521</v>
      </c>
      <c r="C353" s="2" t="s">
        <v>1522</v>
      </c>
      <c r="D353" s="2" t="str">
        <f>IF(COUNTIF(RBE!$C$1:$C$629,A353)&gt;0,"Existe","Absent")</f>
        <v>Absent</v>
      </c>
      <c r="E353" s="2" t="s">
        <v>3163</v>
      </c>
      <c r="F353" s="2" t="s">
        <v>15</v>
      </c>
      <c r="H353" s="2" t="s">
        <v>27</v>
      </c>
      <c r="I353" s="2" t="s">
        <v>118</v>
      </c>
      <c r="J353" s="2" t="s">
        <v>18</v>
      </c>
      <c r="K353" s="2" t="s">
        <v>19</v>
      </c>
      <c r="L353" s="3">
        <v>45007</v>
      </c>
      <c r="M353" s="3">
        <v>45054</v>
      </c>
      <c r="N353" s="3">
        <v>46880</v>
      </c>
      <c r="P353" s="2" t="s">
        <v>1523</v>
      </c>
    </row>
    <row r="354" spans="1:16" x14ac:dyDescent="0.35">
      <c r="A354" s="2" t="s">
        <v>605</v>
      </c>
      <c r="B354" s="2" t="s">
        <v>606</v>
      </c>
      <c r="C354" s="2" t="s">
        <v>607</v>
      </c>
      <c r="D354" s="2" t="str">
        <f>IF(COUNTIF(RBE!$C$1:$C$629,A354)&gt;0,"Existe","Absent")</f>
        <v>Absent</v>
      </c>
      <c r="E354" s="2" t="s">
        <v>3163</v>
      </c>
      <c r="F354" s="2" t="s">
        <v>15</v>
      </c>
      <c r="H354" s="2" t="s">
        <v>154</v>
      </c>
      <c r="I354" s="2" t="s">
        <v>93</v>
      </c>
      <c r="J354" s="2" t="s">
        <v>41</v>
      </c>
      <c r="K354" s="2" t="s">
        <v>88</v>
      </c>
      <c r="L354" s="3">
        <v>44251</v>
      </c>
      <c r="M354" s="3">
        <v>44413</v>
      </c>
      <c r="N354" s="3">
        <v>45508</v>
      </c>
      <c r="P354" s="2" t="s">
        <v>608</v>
      </c>
    </row>
    <row r="355" spans="1:16" x14ac:dyDescent="0.35">
      <c r="A355" s="2" t="s">
        <v>466</v>
      </c>
      <c r="B355" s="2" t="s">
        <v>467</v>
      </c>
      <c r="C355" s="2" t="s">
        <v>468</v>
      </c>
      <c r="D355" s="2" t="str">
        <f>IF(COUNTIF(RBE!$C$1:$C$629,A355)&gt;0,"Existe","Absent")</f>
        <v>Absent</v>
      </c>
      <c r="E355" s="2" t="s">
        <v>3163</v>
      </c>
      <c r="F355" s="2" t="s">
        <v>15</v>
      </c>
      <c r="H355" s="2" t="s">
        <v>139</v>
      </c>
      <c r="I355" s="2" t="s">
        <v>93</v>
      </c>
      <c r="J355" s="2" t="s">
        <v>18</v>
      </c>
      <c r="K355" s="2" t="s">
        <v>88</v>
      </c>
      <c r="L355" s="3">
        <v>43297</v>
      </c>
      <c r="M355" s="3">
        <v>43501</v>
      </c>
      <c r="N355" s="3">
        <v>46058</v>
      </c>
      <c r="P355" s="2" t="s">
        <v>469</v>
      </c>
    </row>
    <row r="356" spans="1:16" x14ac:dyDescent="0.35">
      <c r="A356" s="2" t="s">
        <v>710</v>
      </c>
      <c r="B356" s="2" t="s">
        <v>711</v>
      </c>
      <c r="C356" s="2" t="s">
        <v>468</v>
      </c>
      <c r="D356" s="2" t="str">
        <f>IF(COUNTIF(RBE!$C$1:$C$629,A356)&gt;0,"Existe","Absent")</f>
        <v>Absent</v>
      </c>
      <c r="E356" s="2" t="s">
        <v>3163</v>
      </c>
      <c r="F356" s="2" t="s">
        <v>15</v>
      </c>
      <c r="H356" s="2" t="s">
        <v>139</v>
      </c>
      <c r="I356" s="2" t="s">
        <v>712</v>
      </c>
      <c r="J356" s="2" t="s">
        <v>18</v>
      </c>
      <c r="K356" s="2" t="s">
        <v>88</v>
      </c>
      <c r="L356" s="3">
        <v>43066</v>
      </c>
      <c r="M356" s="3">
        <v>43229</v>
      </c>
      <c r="N356" s="3">
        <v>45785</v>
      </c>
      <c r="P356" s="2" t="s">
        <v>713</v>
      </c>
    </row>
    <row r="357" spans="1:16" x14ac:dyDescent="0.35">
      <c r="A357" s="2" t="s">
        <v>933</v>
      </c>
      <c r="B357" s="2" t="s">
        <v>934</v>
      </c>
      <c r="C357" s="2" t="s">
        <v>468</v>
      </c>
      <c r="D357" s="2" t="str">
        <f>IF(COUNTIF(RBE!$C$1:$C$629,A357)&gt;0,"Existe","Absent")</f>
        <v>Absent</v>
      </c>
      <c r="E357" s="2" t="s">
        <v>3163</v>
      </c>
      <c r="F357" s="2" t="s">
        <v>15</v>
      </c>
      <c r="H357" s="2" t="s">
        <v>148</v>
      </c>
      <c r="I357" s="2" t="s">
        <v>712</v>
      </c>
      <c r="J357" s="2" t="s">
        <v>18</v>
      </c>
      <c r="K357" s="2" t="s">
        <v>88</v>
      </c>
      <c r="L357" s="3">
        <v>44796</v>
      </c>
      <c r="M357" s="3">
        <v>44797</v>
      </c>
      <c r="N357" s="3">
        <v>46622</v>
      </c>
      <c r="P357" s="2" t="s">
        <v>935</v>
      </c>
    </row>
    <row r="358" spans="1:16" x14ac:dyDescent="0.35">
      <c r="A358" s="2" t="s">
        <v>1408</v>
      </c>
      <c r="B358" s="2" t="s">
        <v>1293</v>
      </c>
      <c r="C358" s="2" t="s">
        <v>1409</v>
      </c>
      <c r="D358" s="2" t="str">
        <f>IF(COUNTIF(RBE!$C$1:$C$629,A358)&gt;0,"Existe","Absent")</f>
        <v>Absent</v>
      </c>
      <c r="E358" s="2" t="s">
        <v>3163</v>
      </c>
      <c r="F358" s="2" t="s">
        <v>15</v>
      </c>
      <c r="H358" s="2" t="s">
        <v>573</v>
      </c>
      <c r="I358" s="2" t="s">
        <v>1218</v>
      </c>
      <c r="J358" s="2" t="s">
        <v>18</v>
      </c>
      <c r="K358" s="2" t="s">
        <v>19</v>
      </c>
      <c r="L358" s="3">
        <v>45358</v>
      </c>
      <c r="M358" s="3">
        <v>45385</v>
      </c>
      <c r="N358" s="3">
        <v>45749</v>
      </c>
      <c r="P358" s="2" t="s">
        <v>1410</v>
      </c>
    </row>
    <row r="359" spans="1:16" x14ac:dyDescent="0.35">
      <c r="A359" s="2" t="s">
        <v>1041</v>
      </c>
      <c r="C359" s="2" t="s">
        <v>1042</v>
      </c>
      <c r="D359" s="2" t="str">
        <f>IF(COUNTIF(RBE!$C$1:$C$629,A359)&gt;0,"Existe","Absent")</f>
        <v>Absent</v>
      </c>
      <c r="E359" s="2" t="s">
        <v>3163</v>
      </c>
      <c r="F359" s="2" t="s">
        <v>15</v>
      </c>
      <c r="H359" s="2" t="s">
        <v>154</v>
      </c>
      <c r="I359" s="2" t="s">
        <v>93</v>
      </c>
      <c r="J359" s="2" t="s">
        <v>18</v>
      </c>
      <c r="K359" s="2" t="s">
        <v>88</v>
      </c>
      <c r="L359" s="3">
        <v>44960</v>
      </c>
      <c r="M359" s="3">
        <v>45041</v>
      </c>
      <c r="N359" s="3">
        <v>46136</v>
      </c>
      <c r="P359" s="2" t="s">
        <v>1043</v>
      </c>
    </row>
    <row r="360" spans="1:16" x14ac:dyDescent="0.35">
      <c r="A360" s="2" t="s">
        <v>1082</v>
      </c>
      <c r="B360" s="2" t="s">
        <v>1083</v>
      </c>
      <c r="C360" s="2" t="s">
        <v>1084</v>
      </c>
      <c r="D360" s="2" t="str">
        <f>IF(COUNTIF(RBE!$C$1:$C$629,A360)&gt;0,"Existe","Absent")</f>
        <v>Absent</v>
      </c>
      <c r="E360" s="2" t="s">
        <v>3163</v>
      </c>
      <c r="F360" s="2" t="s">
        <v>15</v>
      </c>
      <c r="H360" s="2" t="s">
        <v>139</v>
      </c>
      <c r="I360" s="2" t="s">
        <v>93</v>
      </c>
      <c r="J360" s="2" t="s">
        <v>18</v>
      </c>
      <c r="K360" s="2" t="s">
        <v>88</v>
      </c>
      <c r="L360" s="3">
        <v>45083</v>
      </c>
      <c r="M360" s="3">
        <v>45112</v>
      </c>
      <c r="N360" s="3">
        <v>46572</v>
      </c>
      <c r="P360" s="2" t="s">
        <v>1085</v>
      </c>
    </row>
    <row r="361" spans="1:16" x14ac:dyDescent="0.35">
      <c r="A361" s="2" t="s">
        <v>1182</v>
      </c>
      <c r="B361" s="2" t="s">
        <v>1183</v>
      </c>
      <c r="C361" s="2" t="s">
        <v>1084</v>
      </c>
      <c r="D361" s="2" t="str">
        <f>IF(COUNTIF(RBE!$C$1:$C$629,A361)&gt;0,"Existe","Absent")</f>
        <v>Absent</v>
      </c>
      <c r="E361" s="2" t="s">
        <v>3163</v>
      </c>
      <c r="F361" s="2" t="s">
        <v>15</v>
      </c>
      <c r="H361" s="2" t="s">
        <v>148</v>
      </c>
      <c r="I361" s="2" t="s">
        <v>93</v>
      </c>
      <c r="J361" s="2" t="s">
        <v>18</v>
      </c>
      <c r="K361" s="2" t="s">
        <v>88</v>
      </c>
      <c r="L361" s="3">
        <v>45210</v>
      </c>
      <c r="M361" s="3">
        <v>45224</v>
      </c>
      <c r="N361" s="3">
        <v>47050</v>
      </c>
      <c r="P361" s="2" t="s">
        <v>1184</v>
      </c>
    </row>
    <row r="362" spans="1:16" x14ac:dyDescent="0.35">
      <c r="A362" s="2" t="s">
        <v>1185</v>
      </c>
      <c r="B362" s="2" t="s">
        <v>1186</v>
      </c>
      <c r="C362" s="2" t="s">
        <v>1084</v>
      </c>
      <c r="D362" s="2" t="str">
        <f>IF(COUNTIF(RBE!$C$1:$C$629,A362)&gt;0,"Existe","Absent")</f>
        <v>Absent</v>
      </c>
      <c r="E362" s="2" t="s">
        <v>3163</v>
      </c>
      <c r="F362" s="2" t="s">
        <v>15</v>
      </c>
      <c r="H362" s="2" t="s">
        <v>148</v>
      </c>
      <c r="I362" s="2" t="s">
        <v>93</v>
      </c>
      <c r="J362" s="2" t="s">
        <v>18</v>
      </c>
      <c r="K362" s="2" t="s">
        <v>88</v>
      </c>
      <c r="L362" s="3">
        <v>45218</v>
      </c>
      <c r="M362" s="3">
        <v>45226</v>
      </c>
      <c r="N362" s="3">
        <v>47052</v>
      </c>
      <c r="P362" s="2" t="s">
        <v>1187</v>
      </c>
    </row>
    <row r="363" spans="1:16" x14ac:dyDescent="0.35">
      <c r="A363" s="2" t="s">
        <v>746</v>
      </c>
      <c r="B363" s="2" t="s">
        <v>747</v>
      </c>
      <c r="C363" s="2" t="s">
        <v>748</v>
      </c>
      <c r="D363" s="2" t="str">
        <f>IF(COUNTIF(RBE!$C$1:$C$629,A363)&gt;0,"Existe","Absent")</f>
        <v>Absent</v>
      </c>
      <c r="E363" s="2" t="s">
        <v>3163</v>
      </c>
      <c r="F363" s="2" t="s">
        <v>15</v>
      </c>
      <c r="H363" s="2" t="s">
        <v>154</v>
      </c>
      <c r="I363" s="2" t="s">
        <v>93</v>
      </c>
      <c r="J363" s="2" t="s">
        <v>18</v>
      </c>
      <c r="K363" s="2" t="s">
        <v>88</v>
      </c>
      <c r="L363" s="3">
        <v>44509</v>
      </c>
      <c r="M363" s="3">
        <v>44704</v>
      </c>
      <c r="N363" s="3">
        <v>45799</v>
      </c>
      <c r="P363" s="2" t="s">
        <v>749</v>
      </c>
    </row>
    <row r="364" spans="1:16" x14ac:dyDescent="0.35">
      <c r="A364" s="2" t="s">
        <v>1371</v>
      </c>
      <c r="B364" s="2" t="s">
        <v>1372</v>
      </c>
      <c r="C364" s="2" t="s">
        <v>748</v>
      </c>
      <c r="D364" s="2" t="str">
        <f>IF(COUNTIF(RBE!$C$1:$C$629,A364)&gt;0,"Existe","Absent")</f>
        <v>Absent</v>
      </c>
      <c r="E364" s="2" t="s">
        <v>3163</v>
      </c>
      <c r="F364" s="2" t="s">
        <v>15</v>
      </c>
      <c r="H364" s="2" t="s">
        <v>148</v>
      </c>
      <c r="I364" s="2" t="s">
        <v>93</v>
      </c>
      <c r="J364" s="2" t="s">
        <v>18</v>
      </c>
      <c r="K364" s="2" t="s">
        <v>88</v>
      </c>
      <c r="L364" s="3">
        <v>45190</v>
      </c>
      <c r="M364" s="3">
        <v>45334</v>
      </c>
      <c r="N364" s="3">
        <v>47160</v>
      </c>
      <c r="P364" s="2" t="s">
        <v>1373</v>
      </c>
    </row>
    <row r="365" spans="1:16" x14ac:dyDescent="0.35">
      <c r="A365" s="2" t="s">
        <v>986</v>
      </c>
      <c r="B365" s="2" t="s">
        <v>987</v>
      </c>
      <c r="C365" s="2" t="s">
        <v>988</v>
      </c>
      <c r="D365" s="2" t="str">
        <f>IF(COUNTIF(RBE!$C$1:$C$629,A365)&gt;0,"Existe","Absent")</f>
        <v>Absent</v>
      </c>
      <c r="E365" s="2" t="s">
        <v>3163</v>
      </c>
      <c r="F365" s="2" t="s">
        <v>15</v>
      </c>
      <c r="H365" s="2" t="s">
        <v>154</v>
      </c>
      <c r="I365" s="2" t="s">
        <v>93</v>
      </c>
      <c r="J365" s="2" t="s">
        <v>18</v>
      </c>
      <c r="K365" s="2" t="s">
        <v>88</v>
      </c>
      <c r="L365" s="3">
        <v>45006</v>
      </c>
      <c r="M365" s="3">
        <v>45041</v>
      </c>
      <c r="N365" s="3">
        <v>46136</v>
      </c>
      <c r="P365" s="2" t="s">
        <v>989</v>
      </c>
    </row>
    <row r="366" spans="1:16" x14ac:dyDescent="0.35">
      <c r="A366" s="2" t="s">
        <v>313</v>
      </c>
      <c r="B366" s="2" t="s">
        <v>283</v>
      </c>
      <c r="C366" s="2" t="s">
        <v>314</v>
      </c>
      <c r="D366" s="2" t="str">
        <f>IF(COUNTIF(RBE!$C$1:$C$629,A366)&gt;0,"Existe","Absent")</f>
        <v>Absent</v>
      </c>
      <c r="E366" s="2" t="s">
        <v>3163</v>
      </c>
      <c r="F366" s="2" t="s">
        <v>15</v>
      </c>
      <c r="H366" s="2" t="s">
        <v>16</v>
      </c>
      <c r="I366" s="2" t="s">
        <v>93</v>
      </c>
      <c r="J366" s="2" t="s">
        <v>18</v>
      </c>
      <c r="K366" s="2" t="s">
        <v>88</v>
      </c>
      <c r="L366" s="3">
        <v>42297</v>
      </c>
      <c r="M366" s="3">
        <v>42565</v>
      </c>
      <c r="N366" s="3">
        <v>48043</v>
      </c>
      <c r="P366" s="2" t="s">
        <v>315</v>
      </c>
    </row>
    <row r="367" spans="1:16" x14ac:dyDescent="0.35">
      <c r="A367" s="2" t="s">
        <v>410</v>
      </c>
      <c r="B367" s="2" t="s">
        <v>411</v>
      </c>
      <c r="C367" s="2" t="s">
        <v>412</v>
      </c>
      <c r="D367" s="2" t="str">
        <f>IF(COUNTIF(RBE!$C$1:$C$629,A367)&gt;0,"Existe","Absent")</f>
        <v>Absent</v>
      </c>
      <c r="E367" s="2" t="s">
        <v>3163</v>
      </c>
      <c r="F367" s="2" t="s">
        <v>15</v>
      </c>
      <c r="H367" s="2" t="s">
        <v>139</v>
      </c>
      <c r="I367" s="2" t="s">
        <v>413</v>
      </c>
      <c r="J367" s="2" t="s">
        <v>41</v>
      </c>
      <c r="K367" s="2" t="s">
        <v>19</v>
      </c>
      <c r="L367" s="3">
        <v>43034</v>
      </c>
      <c r="M367" s="3">
        <v>43210</v>
      </c>
      <c r="N367" s="3">
        <v>44671</v>
      </c>
      <c r="P367" s="2" t="s">
        <v>414</v>
      </c>
    </row>
    <row r="368" spans="1:16" x14ac:dyDescent="0.35">
      <c r="A368" s="2" t="s">
        <v>21</v>
      </c>
      <c r="C368" s="2" t="s">
        <v>22</v>
      </c>
      <c r="D368" s="2" t="str">
        <f>IF(COUNTIF(RBE!$C$1:$C$629,A368)&gt;0,"Existe","Absent")</f>
        <v>Absent</v>
      </c>
      <c r="E368" s="2" t="s">
        <v>3163</v>
      </c>
      <c r="F368" s="2" t="s">
        <v>15</v>
      </c>
      <c r="H368" s="2" t="s">
        <v>16</v>
      </c>
      <c r="I368" s="2" t="s">
        <v>17</v>
      </c>
      <c r="J368" s="2" t="s">
        <v>18</v>
      </c>
      <c r="K368" s="2" t="s">
        <v>19</v>
      </c>
      <c r="L368" s="3">
        <v>28857</v>
      </c>
      <c r="M368" s="3">
        <v>42084</v>
      </c>
      <c r="N368" s="3">
        <v>55519</v>
      </c>
      <c r="P368" s="2" t="s">
        <v>23</v>
      </c>
    </row>
    <row r="369" spans="1:16" x14ac:dyDescent="0.35">
      <c r="A369" s="2" t="s">
        <v>456</v>
      </c>
      <c r="B369" s="2" t="s">
        <v>328</v>
      </c>
      <c r="C369" s="2" t="s">
        <v>457</v>
      </c>
      <c r="D369" s="2" t="str">
        <f>IF(COUNTIF(RBE!$C$1:$C$629,A369)&gt;0,"Existe","Absent")</f>
        <v>Absent</v>
      </c>
      <c r="E369" s="2" t="s">
        <v>3163</v>
      </c>
      <c r="F369" s="2" t="s">
        <v>15</v>
      </c>
      <c r="H369" s="2" t="s">
        <v>311</v>
      </c>
      <c r="I369" s="2" t="s">
        <v>149</v>
      </c>
      <c r="J369" s="2" t="s">
        <v>41</v>
      </c>
      <c r="K369" s="2" t="s">
        <v>19</v>
      </c>
      <c r="L369" s="3">
        <v>43251</v>
      </c>
      <c r="M369" s="3">
        <v>43307</v>
      </c>
      <c r="N369" s="3">
        <v>45132</v>
      </c>
      <c r="P369" s="2" t="s">
        <v>458</v>
      </c>
    </row>
    <row r="370" spans="1:16" x14ac:dyDescent="0.35">
      <c r="A370" s="2" t="s">
        <v>1387</v>
      </c>
      <c r="B370" s="2" t="s">
        <v>566</v>
      </c>
      <c r="C370" s="2" t="s">
        <v>1388</v>
      </c>
      <c r="D370" s="2" t="str">
        <f>IF(COUNTIF(RBE!$C$1:$C$629,A370)&gt;0,"Existe","Absent")</f>
        <v>Absent</v>
      </c>
      <c r="E370" s="2" t="s">
        <v>3163</v>
      </c>
      <c r="F370" s="2" t="s">
        <v>15</v>
      </c>
      <c r="H370" s="2" t="s">
        <v>311</v>
      </c>
      <c r="I370" s="2" t="s">
        <v>149</v>
      </c>
      <c r="J370" s="2" t="s">
        <v>18</v>
      </c>
      <c r="K370" s="2" t="s">
        <v>19</v>
      </c>
      <c r="L370" s="3">
        <v>45320</v>
      </c>
      <c r="M370" s="3">
        <v>45324</v>
      </c>
      <c r="N370" s="3">
        <v>47150</v>
      </c>
    </row>
    <row r="371" spans="1:16" x14ac:dyDescent="0.35">
      <c r="A371" s="2" t="s">
        <v>528</v>
      </c>
      <c r="B371" s="2" t="s">
        <v>529</v>
      </c>
      <c r="C371" s="2" t="s">
        <v>530</v>
      </c>
      <c r="D371" s="2" t="str">
        <f>IF(COUNTIF(RBE!$C$1:$C$629,A371)&gt;0,"Existe","Absent")</f>
        <v>Absent</v>
      </c>
      <c r="E371" s="2" t="s">
        <v>3163</v>
      </c>
      <c r="F371" s="2" t="s">
        <v>15</v>
      </c>
      <c r="H371" s="2" t="s">
        <v>139</v>
      </c>
      <c r="I371" s="2" t="s">
        <v>386</v>
      </c>
      <c r="J371" s="2" t="s">
        <v>41</v>
      </c>
      <c r="K371" s="2" t="s">
        <v>88</v>
      </c>
      <c r="L371" s="3">
        <v>43867</v>
      </c>
      <c r="M371" s="3">
        <v>44068</v>
      </c>
      <c r="N371" s="3">
        <v>46623</v>
      </c>
      <c r="P371" s="2" t="s">
        <v>531</v>
      </c>
    </row>
    <row r="372" spans="1:16" x14ac:dyDescent="0.35">
      <c r="A372" s="2" t="s">
        <v>659</v>
      </c>
      <c r="C372" s="2" t="s">
        <v>660</v>
      </c>
      <c r="D372" s="2" t="str">
        <f>IF(COUNTIF(RBE!$C$1:$C$629,A372)&gt;0,"Existe","Absent")</f>
        <v>Absent</v>
      </c>
      <c r="E372" s="2" t="s">
        <v>3163</v>
      </c>
      <c r="F372" s="2" t="s">
        <v>15</v>
      </c>
      <c r="H372" s="2" t="s">
        <v>311</v>
      </c>
      <c r="I372" s="2" t="s">
        <v>149</v>
      </c>
      <c r="J372" s="2" t="s">
        <v>41</v>
      </c>
      <c r="K372" s="2" t="s">
        <v>19</v>
      </c>
      <c r="L372" s="3">
        <v>44305</v>
      </c>
      <c r="M372" s="3">
        <v>44326</v>
      </c>
      <c r="N372" s="3">
        <v>46151</v>
      </c>
    </row>
    <row r="373" spans="1:16" x14ac:dyDescent="0.35">
      <c r="A373" s="2" t="s">
        <v>823</v>
      </c>
      <c r="B373" s="2" t="s">
        <v>824</v>
      </c>
      <c r="C373" s="2" t="s">
        <v>825</v>
      </c>
      <c r="D373" s="2" t="str">
        <f>IF(COUNTIF(RBE!$C$1:$C$629,A373)&gt;0,"Existe","Absent")</f>
        <v>Absent</v>
      </c>
      <c r="E373" s="2" t="s">
        <v>3163</v>
      </c>
      <c r="F373" s="2" t="s">
        <v>15</v>
      </c>
      <c r="H373" s="2" t="s">
        <v>27</v>
      </c>
      <c r="I373" s="2" t="s">
        <v>28</v>
      </c>
      <c r="J373" s="2" t="s">
        <v>18</v>
      </c>
      <c r="K373" s="2" t="s">
        <v>88</v>
      </c>
      <c r="L373" s="3">
        <v>44770</v>
      </c>
      <c r="M373" s="3">
        <v>44789</v>
      </c>
      <c r="N373" s="3">
        <v>46614</v>
      </c>
      <c r="P373" s="2" t="s">
        <v>826</v>
      </c>
    </row>
    <row r="374" spans="1:16" x14ac:dyDescent="0.35">
      <c r="A374" s="2" t="s">
        <v>453</v>
      </c>
      <c r="C374" s="2" t="s">
        <v>454</v>
      </c>
      <c r="D374" s="2" t="str">
        <f>IF(COUNTIF(RBE!$C$1:$C$629,A374)&gt;0,"Existe","Absent")</f>
        <v>Absent</v>
      </c>
      <c r="E374" s="2" t="s">
        <v>3163</v>
      </c>
      <c r="F374" s="2" t="s">
        <v>15</v>
      </c>
      <c r="H374" s="2" t="s">
        <v>311</v>
      </c>
      <c r="I374" s="2" t="s">
        <v>149</v>
      </c>
      <c r="J374" s="2" t="s">
        <v>41</v>
      </c>
      <c r="K374" s="2" t="s">
        <v>19</v>
      </c>
      <c r="L374" s="3">
        <v>43237</v>
      </c>
      <c r="M374" s="3">
        <v>43304</v>
      </c>
      <c r="N374" s="3">
        <v>45129</v>
      </c>
      <c r="P374" s="2" t="s">
        <v>455</v>
      </c>
    </row>
    <row r="375" spans="1:16" x14ac:dyDescent="0.35">
      <c r="A375" s="2" t="s">
        <v>1629</v>
      </c>
      <c r="C375" s="2" t="s">
        <v>1630</v>
      </c>
      <c r="D375" s="2" t="str">
        <f>IF(COUNTIF(RBE!$C$1:$C$629,A375)&gt;0,"Existe","Absent")</f>
        <v>Absent</v>
      </c>
      <c r="E375" s="2" t="s">
        <v>3163</v>
      </c>
      <c r="F375" s="2" t="s">
        <v>15</v>
      </c>
      <c r="H375" s="2" t="s">
        <v>752</v>
      </c>
      <c r="I375" s="2" t="s">
        <v>93</v>
      </c>
      <c r="J375" s="2" t="s">
        <v>18</v>
      </c>
      <c r="K375" s="2" t="s">
        <v>88</v>
      </c>
      <c r="L375" s="5">
        <v>46034.473576388897</v>
      </c>
      <c r="M375" s="3">
        <v>46034</v>
      </c>
      <c r="N375" s="3">
        <v>47129</v>
      </c>
      <c r="P375" s="2" t="s">
        <v>1631</v>
      </c>
    </row>
    <row r="376" spans="1:16" x14ac:dyDescent="0.35">
      <c r="A376" s="2" t="s">
        <v>1657</v>
      </c>
      <c r="C376" s="2" t="s">
        <v>1630</v>
      </c>
      <c r="D376" s="2" t="str">
        <f>IF(COUNTIF(RBE!$C$1:$C$629,A376)&gt;0,"Existe","Absent")</f>
        <v>Absent</v>
      </c>
      <c r="E376" s="2" t="s">
        <v>3163</v>
      </c>
      <c r="F376" s="2" t="s">
        <v>15</v>
      </c>
      <c r="H376" s="2" t="s">
        <v>752</v>
      </c>
      <c r="I376" s="2" t="s">
        <v>93</v>
      </c>
      <c r="J376" s="2" t="s">
        <v>18</v>
      </c>
      <c r="L376" s="5">
        <v>46055.838078703702</v>
      </c>
      <c r="M376" s="3">
        <v>46055</v>
      </c>
      <c r="N376" s="3">
        <v>47150</v>
      </c>
      <c r="P376" s="2" t="s">
        <v>1658</v>
      </c>
    </row>
    <row r="377" spans="1:16" x14ac:dyDescent="0.35">
      <c r="A377" s="2" t="s">
        <v>200</v>
      </c>
      <c r="B377" s="2" t="s">
        <v>201</v>
      </c>
      <c r="C377" s="2" t="s">
        <v>202</v>
      </c>
      <c r="D377" s="2" t="str">
        <f>IF(COUNTIF(RBE!$C$1:$C$629,A377)&gt;0,"Existe","Absent")</f>
        <v>Absent</v>
      </c>
      <c r="E377" s="2" t="s">
        <v>3163</v>
      </c>
      <c r="F377" s="2" t="s">
        <v>15</v>
      </c>
      <c r="H377" s="2" t="s">
        <v>203</v>
      </c>
      <c r="I377" s="2" t="s">
        <v>93</v>
      </c>
      <c r="J377" s="2" t="s">
        <v>18</v>
      </c>
      <c r="K377" s="2" t="s">
        <v>177</v>
      </c>
      <c r="L377" s="3">
        <v>41439</v>
      </c>
      <c r="M377" s="3">
        <v>41680</v>
      </c>
      <c r="P377" s="2" t="s">
        <v>204</v>
      </c>
    </row>
    <row r="378" spans="1:16" x14ac:dyDescent="0.35">
      <c r="A378" s="2" t="s">
        <v>205</v>
      </c>
      <c r="B378" s="2" t="s">
        <v>206</v>
      </c>
      <c r="C378" s="2" t="s">
        <v>202</v>
      </c>
      <c r="D378" s="2" t="str">
        <f>IF(COUNTIF(RBE!$C$1:$C$629,A378)&gt;0,"Existe","Absent")</f>
        <v>Absent</v>
      </c>
      <c r="E378" s="2" t="s">
        <v>3163</v>
      </c>
      <c r="F378" s="2" t="s">
        <v>15</v>
      </c>
      <c r="H378" s="2" t="s">
        <v>203</v>
      </c>
      <c r="I378" s="2" t="s">
        <v>93</v>
      </c>
      <c r="J378" s="2" t="s">
        <v>18</v>
      </c>
      <c r="K378" s="2" t="s">
        <v>177</v>
      </c>
      <c r="L378" s="3">
        <v>41439</v>
      </c>
      <c r="M378" s="3">
        <v>41680</v>
      </c>
      <c r="P378" s="2" t="s">
        <v>207</v>
      </c>
    </row>
    <row r="379" spans="1:16" x14ac:dyDescent="0.35">
      <c r="A379" s="2" t="s">
        <v>208</v>
      </c>
      <c r="B379" s="2" t="s">
        <v>209</v>
      </c>
      <c r="C379" s="2" t="s">
        <v>202</v>
      </c>
      <c r="D379" s="2" t="str">
        <f>IF(COUNTIF(RBE!$C$1:$C$629,A379)&gt;0,"Existe","Absent")</f>
        <v>Absent</v>
      </c>
      <c r="E379" s="2" t="s">
        <v>3163</v>
      </c>
      <c r="F379" s="2" t="s">
        <v>15</v>
      </c>
      <c r="H379" s="2" t="s">
        <v>203</v>
      </c>
      <c r="I379" s="2" t="s">
        <v>93</v>
      </c>
      <c r="J379" s="2" t="s">
        <v>18</v>
      </c>
      <c r="K379" s="2" t="s">
        <v>177</v>
      </c>
      <c r="L379" s="3">
        <v>41439</v>
      </c>
      <c r="M379" s="3">
        <v>41680</v>
      </c>
      <c r="P379" s="2" t="s">
        <v>210</v>
      </c>
    </row>
    <row r="380" spans="1:16" x14ac:dyDescent="0.35">
      <c r="A380" s="2" t="s">
        <v>211</v>
      </c>
      <c r="B380" s="2" t="s">
        <v>212</v>
      </c>
      <c r="C380" s="2" t="s">
        <v>202</v>
      </c>
      <c r="D380" s="2" t="str">
        <f>IF(COUNTIF(RBE!$C$1:$C$629,A380)&gt;0,"Existe","Absent")</f>
        <v>Absent</v>
      </c>
      <c r="E380" s="2" t="s">
        <v>3163</v>
      </c>
      <c r="F380" s="2" t="s">
        <v>15</v>
      </c>
      <c r="H380" s="2" t="s">
        <v>203</v>
      </c>
      <c r="I380" s="2" t="s">
        <v>93</v>
      </c>
      <c r="J380" s="2" t="s">
        <v>18</v>
      </c>
      <c r="K380" s="2" t="s">
        <v>88</v>
      </c>
      <c r="L380" s="3">
        <v>41439</v>
      </c>
      <c r="M380" s="3">
        <v>41680</v>
      </c>
      <c r="P380" s="2" t="s">
        <v>213</v>
      </c>
    </row>
    <row r="381" spans="1:16" x14ac:dyDescent="0.35">
      <c r="A381" s="2" t="s">
        <v>214</v>
      </c>
      <c r="B381" s="2" t="s">
        <v>215</v>
      </c>
      <c r="C381" s="2" t="s">
        <v>202</v>
      </c>
      <c r="D381" s="2" t="str">
        <f>IF(COUNTIF(RBE!$C$1:$C$629,A381)&gt;0,"Existe","Absent")</f>
        <v>Absent</v>
      </c>
      <c r="E381" s="2" t="s">
        <v>3163</v>
      </c>
      <c r="F381" s="2" t="s">
        <v>15</v>
      </c>
      <c r="H381" s="2" t="s">
        <v>203</v>
      </c>
      <c r="I381" s="2" t="s">
        <v>93</v>
      </c>
      <c r="J381" s="2" t="s">
        <v>18</v>
      </c>
      <c r="K381" s="2" t="s">
        <v>88</v>
      </c>
      <c r="L381" s="3">
        <v>41439</v>
      </c>
      <c r="M381" s="3">
        <v>41680</v>
      </c>
      <c r="P381" s="2" t="s">
        <v>216</v>
      </c>
    </row>
    <row r="382" spans="1:16" x14ac:dyDescent="0.35">
      <c r="A382" s="2" t="s">
        <v>217</v>
      </c>
      <c r="B382" s="2" t="s">
        <v>218</v>
      </c>
      <c r="C382" s="2" t="s">
        <v>202</v>
      </c>
      <c r="D382" s="2" t="str">
        <f>IF(COUNTIF(RBE!$C$1:$C$629,A382)&gt;0,"Existe","Absent")</f>
        <v>Absent</v>
      </c>
      <c r="E382" s="2" t="s">
        <v>3163</v>
      </c>
      <c r="F382" s="2" t="s">
        <v>15</v>
      </c>
      <c r="H382" s="2" t="s">
        <v>203</v>
      </c>
      <c r="I382" s="2" t="s">
        <v>93</v>
      </c>
      <c r="J382" s="2" t="s">
        <v>18</v>
      </c>
      <c r="K382" s="2" t="s">
        <v>88</v>
      </c>
      <c r="L382" s="3">
        <v>41439</v>
      </c>
      <c r="M382" s="3">
        <v>41680</v>
      </c>
      <c r="P382" s="2" t="s">
        <v>219</v>
      </c>
    </row>
    <row r="383" spans="1:16" x14ac:dyDescent="0.35">
      <c r="A383" s="2" t="s">
        <v>220</v>
      </c>
      <c r="B383" s="2" t="s">
        <v>221</v>
      </c>
      <c r="C383" s="2" t="s">
        <v>202</v>
      </c>
      <c r="D383" s="2" t="str">
        <f>IF(COUNTIF(RBE!$C$1:$C$629,A383)&gt;0,"Existe","Absent")</f>
        <v>Absent</v>
      </c>
      <c r="E383" s="2" t="s">
        <v>3163</v>
      </c>
      <c r="F383" s="2" t="s">
        <v>15</v>
      </c>
      <c r="H383" s="2" t="s">
        <v>203</v>
      </c>
      <c r="I383" s="2" t="s">
        <v>93</v>
      </c>
      <c r="J383" s="2" t="s">
        <v>18</v>
      </c>
      <c r="K383" s="2" t="s">
        <v>88</v>
      </c>
      <c r="L383" s="3">
        <v>41439</v>
      </c>
      <c r="M383" s="3">
        <v>41680</v>
      </c>
      <c r="P383" s="2" t="s">
        <v>219</v>
      </c>
    </row>
    <row r="384" spans="1:16" x14ac:dyDescent="0.35">
      <c r="A384" s="2" t="s">
        <v>222</v>
      </c>
      <c r="B384" s="2" t="s">
        <v>223</v>
      </c>
      <c r="C384" s="2" t="s">
        <v>202</v>
      </c>
      <c r="D384" s="2" t="str">
        <f>IF(COUNTIF(RBE!$C$1:$C$629,A384)&gt;0,"Existe","Absent")</f>
        <v>Absent</v>
      </c>
      <c r="E384" s="2" t="s">
        <v>3163</v>
      </c>
      <c r="F384" s="2" t="s">
        <v>15</v>
      </c>
      <c r="H384" s="2" t="s">
        <v>203</v>
      </c>
      <c r="I384" s="2" t="s">
        <v>93</v>
      </c>
      <c r="J384" s="2" t="s">
        <v>18</v>
      </c>
      <c r="K384" s="2" t="s">
        <v>88</v>
      </c>
      <c r="L384" s="3">
        <v>41439</v>
      </c>
      <c r="M384" s="3">
        <v>41680</v>
      </c>
      <c r="P384" s="2" t="s">
        <v>224</v>
      </c>
    </row>
    <row r="385" spans="1:16" x14ac:dyDescent="0.35">
      <c r="A385" s="2" t="s">
        <v>225</v>
      </c>
      <c r="B385" s="2" t="s">
        <v>226</v>
      </c>
      <c r="C385" s="2" t="s">
        <v>202</v>
      </c>
      <c r="D385" s="2" t="str">
        <f>IF(COUNTIF(RBE!$C$1:$C$629,A385)&gt;0,"Existe","Absent")</f>
        <v>Absent</v>
      </c>
      <c r="E385" s="2" t="s">
        <v>3163</v>
      </c>
      <c r="F385" s="2" t="s">
        <v>15</v>
      </c>
      <c r="H385" s="2" t="s">
        <v>203</v>
      </c>
      <c r="I385" s="2" t="s">
        <v>93</v>
      </c>
      <c r="J385" s="2" t="s">
        <v>18</v>
      </c>
      <c r="K385" s="2" t="s">
        <v>88</v>
      </c>
      <c r="L385" s="3">
        <v>41439</v>
      </c>
      <c r="M385" s="3">
        <v>41680</v>
      </c>
      <c r="P385" s="2" t="s">
        <v>227</v>
      </c>
    </row>
    <row r="386" spans="1:16" x14ac:dyDescent="0.35">
      <c r="A386" s="2" t="s">
        <v>228</v>
      </c>
      <c r="B386" s="2" t="s">
        <v>229</v>
      </c>
      <c r="C386" s="2" t="s">
        <v>202</v>
      </c>
      <c r="D386" s="2" t="str">
        <f>IF(COUNTIF(RBE!$C$1:$C$629,A386)&gt;0,"Existe","Absent")</f>
        <v>Absent</v>
      </c>
      <c r="E386" s="2" t="s">
        <v>3163</v>
      </c>
      <c r="F386" s="2" t="s">
        <v>15</v>
      </c>
      <c r="H386" s="2" t="s">
        <v>203</v>
      </c>
      <c r="I386" s="2" t="s">
        <v>93</v>
      </c>
      <c r="J386" s="2" t="s">
        <v>18</v>
      </c>
      <c r="K386" s="2" t="s">
        <v>88</v>
      </c>
      <c r="L386" s="3">
        <v>41439</v>
      </c>
      <c r="M386" s="3">
        <v>41680</v>
      </c>
      <c r="P386" s="2" t="s">
        <v>230</v>
      </c>
    </row>
    <row r="387" spans="1:16" x14ac:dyDescent="0.35">
      <c r="A387" s="2" t="s">
        <v>231</v>
      </c>
      <c r="B387" s="2" t="s">
        <v>232</v>
      </c>
      <c r="C387" s="2" t="s">
        <v>202</v>
      </c>
      <c r="D387" s="2" t="str">
        <f>IF(COUNTIF(RBE!$C$1:$C$629,A387)&gt;0,"Existe","Absent")</f>
        <v>Absent</v>
      </c>
      <c r="E387" s="2" t="s">
        <v>3163</v>
      </c>
      <c r="F387" s="2" t="s">
        <v>15</v>
      </c>
      <c r="H387" s="2" t="s">
        <v>203</v>
      </c>
      <c r="I387" s="2" t="s">
        <v>93</v>
      </c>
      <c r="J387" s="2" t="s">
        <v>18</v>
      </c>
      <c r="K387" s="2" t="s">
        <v>88</v>
      </c>
      <c r="L387" s="3">
        <v>41439</v>
      </c>
      <c r="M387" s="3">
        <v>41680</v>
      </c>
      <c r="P387" s="2" t="s">
        <v>233</v>
      </c>
    </row>
    <row r="388" spans="1:16" x14ac:dyDescent="0.35">
      <c r="A388" s="2" t="s">
        <v>234</v>
      </c>
      <c r="B388" s="2" t="s">
        <v>235</v>
      </c>
      <c r="C388" s="2" t="s">
        <v>202</v>
      </c>
      <c r="D388" s="2" t="str">
        <f>IF(COUNTIF(RBE!$C$1:$C$629,A388)&gt;0,"Existe","Absent")</f>
        <v>Absent</v>
      </c>
      <c r="E388" s="2" t="s">
        <v>3163</v>
      </c>
      <c r="F388" s="2" t="s">
        <v>15</v>
      </c>
      <c r="H388" s="2" t="s">
        <v>203</v>
      </c>
      <c r="I388" s="2" t="s">
        <v>93</v>
      </c>
      <c r="J388" s="2" t="s">
        <v>18</v>
      </c>
      <c r="K388" s="2" t="s">
        <v>88</v>
      </c>
      <c r="L388" s="3">
        <v>41439</v>
      </c>
      <c r="M388" s="3">
        <v>41680</v>
      </c>
      <c r="P388" s="2" t="s">
        <v>236</v>
      </c>
    </row>
    <row r="389" spans="1:16" x14ac:dyDescent="0.35">
      <c r="A389" s="2" t="s">
        <v>237</v>
      </c>
      <c r="B389" s="2" t="s">
        <v>238</v>
      </c>
      <c r="C389" s="2" t="s">
        <v>202</v>
      </c>
      <c r="D389" s="2" t="str">
        <f>IF(COUNTIF(RBE!$C$1:$C$629,A389)&gt;0,"Existe","Absent")</f>
        <v>Absent</v>
      </c>
      <c r="E389" s="2" t="s">
        <v>3163</v>
      </c>
      <c r="F389" s="2" t="s">
        <v>15</v>
      </c>
      <c r="H389" s="2" t="s">
        <v>203</v>
      </c>
      <c r="I389" s="2" t="s">
        <v>93</v>
      </c>
      <c r="J389" s="2" t="s">
        <v>18</v>
      </c>
      <c r="K389" s="2" t="s">
        <v>88</v>
      </c>
      <c r="L389" s="3">
        <v>41439</v>
      </c>
      <c r="M389" s="3">
        <v>41680</v>
      </c>
      <c r="P389" s="2" t="s">
        <v>239</v>
      </c>
    </row>
    <row r="390" spans="1:16" x14ac:dyDescent="0.35">
      <c r="A390" s="2" t="s">
        <v>240</v>
      </c>
      <c r="B390" s="2" t="s">
        <v>241</v>
      </c>
      <c r="C390" s="2" t="s">
        <v>202</v>
      </c>
      <c r="D390" s="2" t="str">
        <f>IF(COUNTIF(RBE!$C$1:$C$629,A390)&gt;0,"Existe","Absent")</f>
        <v>Absent</v>
      </c>
      <c r="E390" s="2" t="s">
        <v>3163</v>
      </c>
      <c r="F390" s="2" t="s">
        <v>15</v>
      </c>
      <c r="H390" s="2" t="s">
        <v>203</v>
      </c>
      <c r="I390" s="2" t="s">
        <v>93</v>
      </c>
      <c r="J390" s="2" t="s">
        <v>18</v>
      </c>
      <c r="K390" s="2" t="s">
        <v>88</v>
      </c>
      <c r="L390" s="3">
        <v>41439</v>
      </c>
      <c r="M390" s="3">
        <v>41680</v>
      </c>
      <c r="P390" s="2" t="s">
        <v>242</v>
      </c>
    </row>
    <row r="391" spans="1:16" x14ac:dyDescent="0.35">
      <c r="A391" s="2" t="s">
        <v>243</v>
      </c>
      <c r="B391" s="2" t="s">
        <v>244</v>
      </c>
      <c r="C391" s="2" t="s">
        <v>202</v>
      </c>
      <c r="D391" s="2" t="str">
        <f>IF(COUNTIF(RBE!$C$1:$C$629,A391)&gt;0,"Existe","Absent")</f>
        <v>Absent</v>
      </c>
      <c r="E391" s="2" t="s">
        <v>3163</v>
      </c>
      <c r="F391" s="2" t="s">
        <v>15</v>
      </c>
      <c r="H391" s="2" t="s">
        <v>203</v>
      </c>
      <c r="I391" s="2" t="s">
        <v>93</v>
      </c>
      <c r="J391" s="2" t="s">
        <v>18</v>
      </c>
      <c r="K391" s="2" t="s">
        <v>88</v>
      </c>
      <c r="L391" s="3">
        <v>41439</v>
      </c>
      <c r="M391" s="3">
        <v>41680</v>
      </c>
      <c r="P391" s="2" t="s">
        <v>245</v>
      </c>
    </row>
    <row r="392" spans="1:16" x14ac:dyDescent="0.35">
      <c r="A392" s="2" t="s">
        <v>246</v>
      </c>
      <c r="B392" s="2" t="s">
        <v>247</v>
      </c>
      <c r="C392" s="2" t="s">
        <v>202</v>
      </c>
      <c r="D392" s="2" t="str">
        <f>IF(COUNTIF(RBE!$C$1:$C$629,A392)&gt;0,"Existe","Absent")</f>
        <v>Absent</v>
      </c>
      <c r="E392" s="2" t="s">
        <v>3163</v>
      </c>
      <c r="F392" s="2" t="s">
        <v>15</v>
      </c>
      <c r="H392" s="2" t="s">
        <v>203</v>
      </c>
      <c r="I392" s="2" t="s">
        <v>93</v>
      </c>
      <c r="J392" s="2" t="s">
        <v>18</v>
      </c>
      <c r="K392" s="2" t="s">
        <v>88</v>
      </c>
      <c r="L392" s="3">
        <v>41439</v>
      </c>
      <c r="M392" s="3">
        <v>41680</v>
      </c>
      <c r="P392" s="2" t="s">
        <v>248</v>
      </c>
    </row>
    <row r="393" spans="1:16" x14ac:dyDescent="0.35">
      <c r="A393" s="2" t="s">
        <v>249</v>
      </c>
      <c r="B393" s="2" t="s">
        <v>250</v>
      </c>
      <c r="C393" s="2" t="s">
        <v>202</v>
      </c>
      <c r="D393" s="2" t="str">
        <f>IF(COUNTIF(RBE!$C$1:$C$629,A393)&gt;0,"Existe","Absent")</f>
        <v>Absent</v>
      </c>
      <c r="E393" s="2" t="s">
        <v>3163</v>
      </c>
      <c r="F393" s="2" t="s">
        <v>15</v>
      </c>
      <c r="H393" s="2" t="s">
        <v>203</v>
      </c>
      <c r="I393" s="2" t="s">
        <v>93</v>
      </c>
      <c r="J393" s="2" t="s">
        <v>18</v>
      </c>
      <c r="K393" s="2" t="s">
        <v>88</v>
      </c>
      <c r="L393" s="3">
        <v>41439</v>
      </c>
      <c r="M393" s="3">
        <v>41680</v>
      </c>
      <c r="P393" s="2" t="s">
        <v>251</v>
      </c>
    </row>
    <row r="394" spans="1:16" x14ac:dyDescent="0.35">
      <c r="A394" s="2" t="s">
        <v>1632</v>
      </c>
      <c r="B394" s="2" t="s">
        <v>380</v>
      </c>
      <c r="C394" s="2" t="s">
        <v>202</v>
      </c>
      <c r="D394" s="2" t="str">
        <f>IF(COUNTIF(RBE!$C$1:$C$629,A394)&gt;0,"Existe","Absent")</f>
        <v>Absent</v>
      </c>
      <c r="E394" s="2" t="s">
        <v>3163</v>
      </c>
      <c r="F394" s="2" t="s">
        <v>15</v>
      </c>
      <c r="H394" s="2" t="s">
        <v>752</v>
      </c>
      <c r="I394" s="2" t="s">
        <v>93</v>
      </c>
      <c r="J394" s="2" t="s">
        <v>18</v>
      </c>
      <c r="K394" s="2" t="s">
        <v>88</v>
      </c>
      <c r="L394" s="5">
        <v>46038.510289351798</v>
      </c>
      <c r="M394" s="3">
        <v>46038</v>
      </c>
      <c r="N394" s="3">
        <v>47133</v>
      </c>
      <c r="P394" s="2" t="s">
        <v>1633</v>
      </c>
    </row>
    <row r="395" spans="1:16" x14ac:dyDescent="0.35">
      <c r="A395" s="2" t="s">
        <v>1634</v>
      </c>
      <c r="C395" s="2" t="s">
        <v>202</v>
      </c>
      <c r="D395" s="2" t="str">
        <f>IF(COUNTIF(RBE!$C$1:$C$629,A395)&gt;0,"Existe","Absent")</f>
        <v>Absent</v>
      </c>
      <c r="E395" s="2" t="s">
        <v>3163</v>
      </c>
      <c r="F395" s="2" t="s">
        <v>15</v>
      </c>
      <c r="H395" s="2" t="s">
        <v>752</v>
      </c>
      <c r="I395" s="2" t="s">
        <v>93</v>
      </c>
      <c r="J395" s="2" t="s">
        <v>18</v>
      </c>
      <c r="K395" s="2" t="s">
        <v>88</v>
      </c>
      <c r="L395" s="5">
        <v>46044.502025463</v>
      </c>
      <c r="M395" s="3">
        <v>46044</v>
      </c>
      <c r="N395" s="3">
        <v>47139</v>
      </c>
      <c r="P395" s="2" t="s">
        <v>1635</v>
      </c>
    </row>
    <row r="396" spans="1:16" x14ac:dyDescent="0.35">
      <c r="A396" s="2" t="s">
        <v>1636</v>
      </c>
      <c r="C396" s="2" t="s">
        <v>202</v>
      </c>
      <c r="D396" s="2" t="str">
        <f>IF(COUNTIF(RBE!$C$1:$C$629,A396)&gt;0,"Existe","Absent")</f>
        <v>Absent</v>
      </c>
      <c r="E396" s="2" t="s">
        <v>3163</v>
      </c>
      <c r="F396" s="2" t="s">
        <v>15</v>
      </c>
      <c r="H396" s="2" t="s">
        <v>752</v>
      </c>
      <c r="I396" s="2" t="s">
        <v>93</v>
      </c>
      <c r="J396" s="2" t="s">
        <v>18</v>
      </c>
      <c r="K396" s="2" t="s">
        <v>88</v>
      </c>
      <c r="L396" s="5">
        <v>46045.644687499997</v>
      </c>
      <c r="M396" s="3">
        <v>46045</v>
      </c>
      <c r="N396" s="3">
        <v>47140</v>
      </c>
      <c r="P396" s="2" t="s">
        <v>1637</v>
      </c>
    </row>
    <row r="397" spans="1:16" x14ac:dyDescent="0.35">
      <c r="A397" s="2" t="s">
        <v>1662</v>
      </c>
      <c r="C397" s="2" t="s">
        <v>202</v>
      </c>
      <c r="D397" s="2" t="str">
        <f>IF(COUNTIF(RBE!$C$1:$C$629,A397)&gt;0,"Existe","Absent")</f>
        <v>Absent</v>
      </c>
      <c r="E397" s="2" t="s">
        <v>3163</v>
      </c>
      <c r="F397" s="2" t="s">
        <v>15</v>
      </c>
      <c r="H397" s="2" t="s">
        <v>752</v>
      </c>
      <c r="I397" s="2" t="s">
        <v>93</v>
      </c>
      <c r="J397" s="2" t="s">
        <v>18</v>
      </c>
      <c r="K397" s="2" t="s">
        <v>88</v>
      </c>
      <c r="L397" s="5">
        <v>46098.655624999999</v>
      </c>
      <c r="M397" s="3">
        <v>46098</v>
      </c>
      <c r="N397" s="3">
        <v>47193</v>
      </c>
      <c r="P397" s="2" t="s">
        <v>1663</v>
      </c>
    </row>
    <row r="398" spans="1:16" x14ac:dyDescent="0.35">
      <c r="A398" s="2" t="s">
        <v>1739</v>
      </c>
      <c r="B398" s="2" t="s">
        <v>1740</v>
      </c>
      <c r="C398" s="2" t="s">
        <v>202</v>
      </c>
      <c r="D398" s="2" t="str">
        <f>IF(COUNTIF(RBE!$C$1:$C$629,A398)&gt;0,"Existe","Absent")</f>
        <v>Absent</v>
      </c>
      <c r="E398" s="2" t="s">
        <v>3163</v>
      </c>
      <c r="F398" s="2" t="s">
        <v>15</v>
      </c>
      <c r="H398" s="2" t="s">
        <v>203</v>
      </c>
      <c r="I398" s="2" t="s">
        <v>93</v>
      </c>
      <c r="J398" s="2" t="s">
        <v>18</v>
      </c>
      <c r="K398" s="2" t="s">
        <v>88</v>
      </c>
      <c r="L398" s="3">
        <v>41439</v>
      </c>
      <c r="P398" s="2" t="s">
        <v>1741</v>
      </c>
    </row>
    <row r="399" spans="1:16" x14ac:dyDescent="0.35">
      <c r="A399" s="2" t="s">
        <v>1742</v>
      </c>
      <c r="B399" s="2" t="s">
        <v>1743</v>
      </c>
      <c r="C399" s="2" t="s">
        <v>202</v>
      </c>
      <c r="D399" s="2" t="str">
        <f>IF(COUNTIF(RBE!$C$1:$C$629,A399)&gt;0,"Existe","Absent")</f>
        <v>Absent</v>
      </c>
      <c r="E399" s="2" t="s">
        <v>3163</v>
      </c>
      <c r="F399" s="2" t="s">
        <v>15</v>
      </c>
      <c r="H399" s="2" t="s">
        <v>203</v>
      </c>
      <c r="I399" s="2" t="s">
        <v>93</v>
      </c>
      <c r="J399" s="2" t="s">
        <v>18</v>
      </c>
      <c r="K399" s="2" t="s">
        <v>88</v>
      </c>
      <c r="L399" s="3">
        <v>41439</v>
      </c>
      <c r="P399" s="2" t="s">
        <v>1744</v>
      </c>
    </row>
    <row r="400" spans="1:16" x14ac:dyDescent="0.35">
      <c r="A400" s="2" t="s">
        <v>1362</v>
      </c>
      <c r="C400" s="2" t="s">
        <v>1363</v>
      </c>
      <c r="D400" s="2" t="str">
        <f>IF(COUNTIF(RBE!$C$1:$C$629,A400)&gt;0,"Existe","Absent")</f>
        <v>Absent</v>
      </c>
      <c r="E400" s="2" t="s">
        <v>3163</v>
      </c>
      <c r="F400" s="2" t="s">
        <v>15</v>
      </c>
      <c r="H400" s="2" t="s">
        <v>154</v>
      </c>
      <c r="I400" s="2" t="s">
        <v>93</v>
      </c>
      <c r="J400" s="2" t="s">
        <v>18</v>
      </c>
      <c r="K400" s="2" t="s">
        <v>88</v>
      </c>
      <c r="L400" s="3">
        <v>44865</v>
      </c>
      <c r="M400" s="3">
        <v>45324</v>
      </c>
      <c r="N400" s="3">
        <v>46419</v>
      </c>
      <c r="P400" s="2" t="s">
        <v>1364</v>
      </c>
    </row>
    <row r="401" spans="1:16" x14ac:dyDescent="0.35">
      <c r="A401" s="2" t="s">
        <v>1109</v>
      </c>
      <c r="C401" s="2" t="s">
        <v>1110</v>
      </c>
      <c r="D401" s="2" t="str">
        <f>IF(COUNTIF(RBE!$C$1:$C$629,A401)&gt;0,"Existe","Absent")</f>
        <v>Absent</v>
      </c>
      <c r="E401" s="2" t="s">
        <v>3163</v>
      </c>
      <c r="F401" s="2" t="s">
        <v>15</v>
      </c>
      <c r="H401" s="2" t="s">
        <v>27</v>
      </c>
      <c r="I401" s="2" t="s">
        <v>60</v>
      </c>
      <c r="J401" s="2" t="s">
        <v>18</v>
      </c>
      <c r="K401" s="2" t="s">
        <v>19</v>
      </c>
      <c r="L401" s="3">
        <v>45092</v>
      </c>
      <c r="M401" s="3">
        <v>45103</v>
      </c>
      <c r="N401" s="3">
        <v>46929</v>
      </c>
      <c r="P401" s="2" t="s">
        <v>1111</v>
      </c>
    </row>
    <row r="402" spans="1:16" x14ac:dyDescent="0.35">
      <c r="A402" s="2" t="s">
        <v>609</v>
      </c>
      <c r="B402" s="2" t="s">
        <v>610</v>
      </c>
      <c r="C402" s="2" t="s">
        <v>611</v>
      </c>
      <c r="D402" s="2" t="str">
        <f>IF(COUNTIF(RBE!$C$1:$C$629,A402)&gt;0,"Existe","Absent")</f>
        <v>Absent</v>
      </c>
      <c r="E402" s="2" t="s">
        <v>3163</v>
      </c>
      <c r="F402" s="2" t="s">
        <v>15</v>
      </c>
      <c r="H402" s="2" t="s">
        <v>148</v>
      </c>
      <c r="I402" s="2" t="s">
        <v>93</v>
      </c>
      <c r="J402" s="2" t="s">
        <v>18</v>
      </c>
      <c r="K402" s="2" t="s">
        <v>88</v>
      </c>
      <c r="L402" s="3">
        <v>44198</v>
      </c>
      <c r="M402" s="3">
        <v>44384</v>
      </c>
      <c r="N402" s="3">
        <v>46209</v>
      </c>
      <c r="P402" s="2" t="s">
        <v>612</v>
      </c>
    </row>
    <row r="403" spans="1:16" x14ac:dyDescent="0.35">
      <c r="A403" s="2" t="s">
        <v>90</v>
      </c>
      <c r="B403" s="2" t="s">
        <v>91</v>
      </c>
      <c r="C403" s="2" t="s">
        <v>92</v>
      </c>
      <c r="D403" s="2" t="str">
        <f>IF(COUNTIF(RBE!$C$1:$C$629,A403)&gt;0,"Existe","Absent")</f>
        <v>Absent</v>
      </c>
      <c r="E403" s="2" t="s">
        <v>3163</v>
      </c>
      <c r="F403" s="2" t="s">
        <v>15</v>
      </c>
      <c r="H403" s="2" t="s">
        <v>16</v>
      </c>
      <c r="I403" s="2" t="s">
        <v>93</v>
      </c>
      <c r="J403" s="2" t="s">
        <v>18</v>
      </c>
      <c r="K403" s="2" t="s">
        <v>88</v>
      </c>
      <c r="L403" s="3">
        <v>38434</v>
      </c>
      <c r="M403" s="3">
        <v>38512</v>
      </c>
      <c r="N403" s="3">
        <v>51247</v>
      </c>
      <c r="P403" s="2" t="s">
        <v>94</v>
      </c>
    </row>
    <row r="404" spans="1:16" x14ac:dyDescent="0.35">
      <c r="A404" s="2" t="s">
        <v>1690</v>
      </c>
      <c r="B404" s="2" t="s">
        <v>1691</v>
      </c>
      <c r="C404" s="2" t="s">
        <v>92</v>
      </c>
      <c r="D404" s="2" t="str">
        <f>IF(COUNTIF(RBE!$C$1:$C$629,A404)&gt;0,"Existe","Absent")</f>
        <v>Absent</v>
      </c>
      <c r="E404" s="2" t="s">
        <v>3163</v>
      </c>
      <c r="F404" s="2" t="s">
        <v>15</v>
      </c>
      <c r="H404" s="2" t="s">
        <v>573</v>
      </c>
      <c r="I404" s="2" t="s">
        <v>1218</v>
      </c>
      <c r="J404" s="2" t="s">
        <v>18</v>
      </c>
      <c r="K404" s="2" t="s">
        <v>88</v>
      </c>
      <c r="L404" s="5">
        <v>45901.681145833303</v>
      </c>
      <c r="M404" s="3">
        <v>45929</v>
      </c>
      <c r="N404" s="3">
        <v>46293</v>
      </c>
      <c r="P404" s="2" t="s">
        <v>1692</v>
      </c>
    </row>
    <row r="405" spans="1:16" x14ac:dyDescent="0.35">
      <c r="A405" s="2" t="s">
        <v>1582</v>
      </c>
      <c r="C405" s="2" t="s">
        <v>1583</v>
      </c>
      <c r="D405" s="2" t="str">
        <f>IF(COUNTIF(RBE!$C$1:$C$629,A405)&gt;0,"Existe","Absent")</f>
        <v>Absent</v>
      </c>
      <c r="E405" s="2" t="s">
        <v>3163</v>
      </c>
      <c r="F405" s="2" t="s">
        <v>15</v>
      </c>
      <c r="H405" s="2" t="s">
        <v>573</v>
      </c>
      <c r="I405" s="2" t="s">
        <v>1218</v>
      </c>
      <c r="J405" s="2" t="s">
        <v>18</v>
      </c>
      <c r="K405" s="2" t="s">
        <v>88</v>
      </c>
      <c r="L405" s="5">
        <v>45910.832534722198</v>
      </c>
      <c r="M405" s="3">
        <v>45929</v>
      </c>
      <c r="N405" s="3">
        <v>46293</v>
      </c>
      <c r="P405" s="2" t="s">
        <v>1584</v>
      </c>
    </row>
    <row r="406" spans="1:16" x14ac:dyDescent="0.35">
      <c r="A406" s="2" t="s">
        <v>1687</v>
      </c>
      <c r="B406" s="2" t="s">
        <v>1688</v>
      </c>
      <c r="C406" s="2" t="s">
        <v>1583</v>
      </c>
      <c r="D406" s="2" t="str">
        <f>IF(COUNTIF(RBE!$C$1:$C$629,A406)&gt;0,"Existe","Absent")</f>
        <v>Absent</v>
      </c>
      <c r="E406" s="2" t="s">
        <v>3163</v>
      </c>
      <c r="F406" s="2" t="s">
        <v>15</v>
      </c>
      <c r="H406" s="2" t="s">
        <v>573</v>
      </c>
      <c r="I406" s="2" t="s">
        <v>1218</v>
      </c>
      <c r="J406" s="2" t="s">
        <v>18</v>
      </c>
      <c r="K406" s="2" t="s">
        <v>88</v>
      </c>
      <c r="L406" s="5">
        <v>45901.674872685202</v>
      </c>
      <c r="M406" s="3">
        <v>45929</v>
      </c>
      <c r="N406" s="3">
        <v>46293</v>
      </c>
      <c r="P406" s="2" t="s">
        <v>1689</v>
      </c>
    </row>
    <row r="407" spans="1:16" x14ac:dyDescent="0.35">
      <c r="A407" s="2" t="s">
        <v>383</v>
      </c>
      <c r="B407" s="2" t="s">
        <v>384</v>
      </c>
      <c r="C407" s="2" t="s">
        <v>385</v>
      </c>
      <c r="D407" s="2" t="str">
        <f>IF(COUNTIF(RBE!$C$1:$C$629,A407)&gt;0,"Existe","Absent")</f>
        <v>Absent</v>
      </c>
      <c r="E407" s="2" t="s">
        <v>3163</v>
      </c>
      <c r="F407" s="2" t="s">
        <v>15</v>
      </c>
      <c r="H407" s="2" t="s">
        <v>139</v>
      </c>
      <c r="I407" s="2" t="s">
        <v>386</v>
      </c>
      <c r="J407" s="2" t="s">
        <v>18</v>
      </c>
      <c r="K407" s="2" t="s">
        <v>88</v>
      </c>
      <c r="L407" s="3">
        <v>42936</v>
      </c>
      <c r="M407" s="3">
        <v>43210</v>
      </c>
      <c r="N407" s="3">
        <v>46863</v>
      </c>
      <c r="P407" s="2" t="s">
        <v>387</v>
      </c>
    </row>
    <row r="408" spans="1:16" x14ac:dyDescent="0.35">
      <c r="A408" s="2" t="s">
        <v>1222</v>
      </c>
      <c r="B408" s="2" t="s">
        <v>1223</v>
      </c>
      <c r="C408" s="2" t="s">
        <v>385</v>
      </c>
      <c r="D408" s="2" t="str">
        <f>IF(COUNTIF(RBE!$C$1:$C$629,A408)&gt;0,"Existe","Absent")</f>
        <v>Absent</v>
      </c>
      <c r="E408" s="2" t="s">
        <v>3163</v>
      </c>
      <c r="F408" s="2" t="s">
        <v>15</v>
      </c>
      <c r="H408" s="2" t="s">
        <v>139</v>
      </c>
      <c r="I408" s="2" t="s">
        <v>93</v>
      </c>
      <c r="J408" s="2" t="s">
        <v>18</v>
      </c>
      <c r="K408" s="2" t="s">
        <v>88</v>
      </c>
      <c r="L408" s="3">
        <v>45251</v>
      </c>
      <c r="M408" s="3">
        <v>45260</v>
      </c>
      <c r="N408" s="3">
        <v>46720</v>
      </c>
      <c r="P408" s="2" t="s">
        <v>1224</v>
      </c>
    </row>
    <row r="409" spans="1:16" x14ac:dyDescent="0.35">
      <c r="A409" s="2" t="s">
        <v>789</v>
      </c>
      <c r="C409" s="2" t="s">
        <v>790</v>
      </c>
      <c r="D409" s="2" t="str">
        <f>IF(COUNTIF(RBE!$C$1:$C$629,A409)&gt;0,"Existe","Absent")</f>
        <v>Absent</v>
      </c>
      <c r="E409" s="2" t="s">
        <v>3163</v>
      </c>
      <c r="F409" s="2" t="s">
        <v>15</v>
      </c>
      <c r="H409" s="2" t="s">
        <v>27</v>
      </c>
      <c r="I409" s="2" t="s">
        <v>28</v>
      </c>
      <c r="J409" s="2" t="s">
        <v>18</v>
      </c>
      <c r="K409" s="2" t="s">
        <v>177</v>
      </c>
      <c r="L409" s="3">
        <v>43517</v>
      </c>
      <c r="M409" s="3">
        <v>44594</v>
      </c>
      <c r="N409" s="3">
        <v>46419</v>
      </c>
      <c r="P409" s="2" t="s">
        <v>791</v>
      </c>
    </row>
    <row r="410" spans="1:16" x14ac:dyDescent="0.35">
      <c r="A410" s="2" t="s">
        <v>827</v>
      </c>
      <c r="C410" s="2" t="s">
        <v>828</v>
      </c>
      <c r="D410" s="2" t="str">
        <f>IF(COUNTIF(RBE!$C$1:$C$629,A410)&gt;0,"Existe","Absent")</f>
        <v>Absent</v>
      </c>
      <c r="E410" s="2" t="s">
        <v>3163</v>
      </c>
      <c r="F410" s="2" t="s">
        <v>15</v>
      </c>
      <c r="H410" s="2" t="s">
        <v>311</v>
      </c>
      <c r="I410" s="2" t="s">
        <v>149</v>
      </c>
      <c r="J410" s="2" t="s">
        <v>18</v>
      </c>
      <c r="K410" s="2" t="s">
        <v>19</v>
      </c>
      <c r="L410" s="3">
        <v>44750</v>
      </c>
      <c r="M410" s="3">
        <v>44747</v>
      </c>
      <c r="N410" s="3">
        <v>46572</v>
      </c>
    </row>
    <row r="411" spans="1:16" x14ac:dyDescent="0.35">
      <c r="A411" s="2" t="s">
        <v>829</v>
      </c>
      <c r="C411" s="2" t="s">
        <v>830</v>
      </c>
      <c r="D411" s="2" t="str">
        <f>IF(COUNTIF(RBE!$C$1:$C$629,A411)&gt;0,"Existe","Absent")</f>
        <v>Absent</v>
      </c>
      <c r="E411" s="2" t="s">
        <v>3163</v>
      </c>
      <c r="F411" s="2" t="s">
        <v>15</v>
      </c>
      <c r="H411" s="2" t="s">
        <v>311</v>
      </c>
      <c r="I411" s="2" t="s">
        <v>149</v>
      </c>
      <c r="J411" s="2" t="s">
        <v>18</v>
      </c>
      <c r="K411" s="2" t="s">
        <v>19</v>
      </c>
      <c r="L411" s="3">
        <v>44571</v>
      </c>
      <c r="M411" s="3">
        <v>44796</v>
      </c>
      <c r="N411" s="3">
        <v>46621</v>
      </c>
    </row>
    <row r="412" spans="1:16" x14ac:dyDescent="0.35">
      <c r="A412" s="2" t="s">
        <v>1044</v>
      </c>
      <c r="B412" s="2" t="s">
        <v>1005</v>
      </c>
      <c r="C412" s="2" t="s">
        <v>830</v>
      </c>
      <c r="D412" s="2" t="str">
        <f>IF(COUNTIF(RBE!$C$1:$C$629,A412)&gt;0,"Existe","Absent")</f>
        <v>Absent</v>
      </c>
      <c r="E412" s="2" t="s">
        <v>3163</v>
      </c>
      <c r="F412" s="2" t="s">
        <v>15</v>
      </c>
      <c r="H412" s="2" t="s">
        <v>154</v>
      </c>
      <c r="I412" s="2" t="s">
        <v>93</v>
      </c>
      <c r="J412" s="2" t="s">
        <v>18</v>
      </c>
      <c r="K412" s="2" t="s">
        <v>88</v>
      </c>
      <c r="L412" s="3">
        <v>45049</v>
      </c>
      <c r="M412" s="3">
        <v>45097</v>
      </c>
      <c r="N412" s="3">
        <v>46192</v>
      </c>
      <c r="P412" s="2" t="s">
        <v>1045</v>
      </c>
    </row>
    <row r="413" spans="1:16" x14ac:dyDescent="0.35">
      <c r="A413" s="2" t="s">
        <v>1381</v>
      </c>
      <c r="B413" s="2" t="s">
        <v>1382</v>
      </c>
      <c r="C413" s="2" t="s">
        <v>1383</v>
      </c>
      <c r="D413" s="2" t="str">
        <f>IF(COUNTIF(RBE!$C$1:$C$629,A413)&gt;0,"Existe","Absent")</f>
        <v>Absent</v>
      </c>
      <c r="E413" s="2" t="s">
        <v>3163</v>
      </c>
      <c r="F413" s="2" t="s">
        <v>15</v>
      </c>
      <c r="H413" s="2" t="s">
        <v>573</v>
      </c>
      <c r="I413" s="2" t="s">
        <v>395</v>
      </c>
      <c r="J413" s="2" t="s">
        <v>18</v>
      </c>
      <c r="K413" s="2" t="s">
        <v>19</v>
      </c>
      <c r="L413" s="3">
        <v>45253</v>
      </c>
      <c r="M413" s="3">
        <v>45342</v>
      </c>
      <c r="N413" s="3">
        <v>45707</v>
      </c>
      <c r="P413" s="2" t="s">
        <v>1384</v>
      </c>
    </row>
    <row r="414" spans="1:16" x14ac:dyDescent="0.35">
      <c r="A414" s="2" t="s">
        <v>1404</v>
      </c>
      <c r="B414" s="2" t="s">
        <v>1405</v>
      </c>
      <c r="C414" s="2" t="s">
        <v>1406</v>
      </c>
      <c r="D414" s="2" t="str">
        <f>IF(COUNTIF(RBE!$C$1:$C$629,A414)&gt;0,"Existe","Absent")</f>
        <v>Absent</v>
      </c>
      <c r="E414" s="2" t="s">
        <v>3163</v>
      </c>
      <c r="F414" s="2" t="s">
        <v>15</v>
      </c>
      <c r="H414" s="2" t="s">
        <v>573</v>
      </c>
      <c r="I414" s="2" t="s">
        <v>395</v>
      </c>
      <c r="J414" s="2" t="s">
        <v>18</v>
      </c>
      <c r="K414" s="2" t="s">
        <v>19</v>
      </c>
      <c r="L414" s="3">
        <v>45336</v>
      </c>
      <c r="M414" s="3">
        <v>45356</v>
      </c>
      <c r="N414" s="3">
        <v>45720</v>
      </c>
      <c r="P414" s="2" t="s">
        <v>1407</v>
      </c>
    </row>
    <row r="415" spans="1:16" x14ac:dyDescent="0.35">
      <c r="A415" s="2" t="s">
        <v>520</v>
      </c>
      <c r="B415" s="2" t="s">
        <v>521</v>
      </c>
      <c r="C415" s="2" t="s">
        <v>522</v>
      </c>
      <c r="D415" s="2" t="str">
        <f>IF(COUNTIF(RBE!$C$1:$C$629,A415)&gt;0,"Existe","Absent")</f>
        <v>Absent</v>
      </c>
      <c r="E415" s="2" t="s">
        <v>3163</v>
      </c>
      <c r="F415" s="2" t="s">
        <v>15</v>
      </c>
      <c r="H415" s="2" t="s">
        <v>139</v>
      </c>
      <c r="I415" s="2" t="s">
        <v>93</v>
      </c>
      <c r="J415" s="2" t="s">
        <v>41</v>
      </c>
      <c r="K415" s="2" t="s">
        <v>88</v>
      </c>
      <c r="L415" s="3">
        <v>43832</v>
      </c>
      <c r="M415" s="3">
        <v>44028</v>
      </c>
      <c r="N415" s="3">
        <v>45488</v>
      </c>
      <c r="P415" s="2" t="s">
        <v>523</v>
      </c>
    </row>
    <row r="416" spans="1:16" x14ac:dyDescent="0.35">
      <c r="A416" s="2" t="s">
        <v>968</v>
      </c>
      <c r="B416" s="2" t="s">
        <v>969</v>
      </c>
      <c r="C416" s="2" t="s">
        <v>522</v>
      </c>
      <c r="D416" s="2" t="str">
        <f>IF(COUNTIF(RBE!$C$1:$C$629,A416)&gt;0,"Existe","Absent")</f>
        <v>Absent</v>
      </c>
      <c r="E416" s="2" t="s">
        <v>3163</v>
      </c>
      <c r="F416" s="2" t="s">
        <v>15</v>
      </c>
      <c r="H416" s="2" t="s">
        <v>154</v>
      </c>
      <c r="I416" s="2" t="s">
        <v>93</v>
      </c>
      <c r="J416" s="2" t="s">
        <v>18</v>
      </c>
      <c r="K416" s="2" t="s">
        <v>88</v>
      </c>
      <c r="L416" s="3">
        <v>44938</v>
      </c>
      <c r="M416" s="3">
        <v>44991</v>
      </c>
      <c r="N416" s="3">
        <v>46086</v>
      </c>
      <c r="P416" s="2" t="s">
        <v>970</v>
      </c>
    </row>
    <row r="417" spans="1:16" x14ac:dyDescent="0.35">
      <c r="A417" s="2" t="s">
        <v>971</v>
      </c>
      <c r="B417" s="2" t="s">
        <v>972</v>
      </c>
      <c r="C417" s="2" t="s">
        <v>522</v>
      </c>
      <c r="D417" s="2" t="str">
        <f>IF(COUNTIF(RBE!$C$1:$C$629,A417)&gt;0,"Existe","Absent")</f>
        <v>Absent</v>
      </c>
      <c r="E417" s="2" t="s">
        <v>3163</v>
      </c>
      <c r="F417" s="2" t="s">
        <v>15</v>
      </c>
      <c r="H417" s="2" t="s">
        <v>154</v>
      </c>
      <c r="I417" s="2" t="s">
        <v>93</v>
      </c>
      <c r="J417" s="2" t="s">
        <v>18</v>
      </c>
      <c r="K417" s="2" t="s">
        <v>88</v>
      </c>
      <c r="L417" s="3">
        <v>44911</v>
      </c>
      <c r="M417" s="3">
        <v>44991</v>
      </c>
      <c r="N417" s="3">
        <v>46086</v>
      </c>
      <c r="P417" s="2" t="s">
        <v>973</v>
      </c>
    </row>
    <row r="418" spans="1:16" x14ac:dyDescent="0.35">
      <c r="A418" s="2" t="s">
        <v>1374</v>
      </c>
      <c r="B418" s="2" t="s">
        <v>1375</v>
      </c>
      <c r="C418" s="2" t="s">
        <v>1376</v>
      </c>
      <c r="D418" s="2" t="str">
        <f>IF(COUNTIF(RBE!$C$1:$C$629,A418)&gt;0,"Existe","Absent")</f>
        <v>Absent</v>
      </c>
      <c r="E418" s="2" t="s">
        <v>3163</v>
      </c>
      <c r="F418" s="2" t="s">
        <v>15</v>
      </c>
      <c r="H418" s="2" t="s">
        <v>573</v>
      </c>
      <c r="I418" s="2" t="s">
        <v>82</v>
      </c>
      <c r="J418" s="2" t="s">
        <v>18</v>
      </c>
      <c r="K418" s="2" t="s">
        <v>19</v>
      </c>
      <c r="L418" s="3">
        <v>45259</v>
      </c>
      <c r="M418" s="3">
        <v>45309</v>
      </c>
      <c r="N418" s="3">
        <v>45674</v>
      </c>
      <c r="P418" s="2" t="s">
        <v>1377</v>
      </c>
    </row>
    <row r="419" spans="1:16" x14ac:dyDescent="0.35">
      <c r="A419" s="2" t="s">
        <v>1135</v>
      </c>
      <c r="C419" s="2" t="s">
        <v>1136</v>
      </c>
      <c r="D419" s="2" t="str">
        <f>IF(COUNTIF(RBE!$C$1:$C$629,A419)&gt;0,"Existe","Absent")</f>
        <v>Absent</v>
      </c>
      <c r="E419" s="2" t="s">
        <v>3163</v>
      </c>
      <c r="F419" s="2" t="s">
        <v>15</v>
      </c>
      <c r="H419" s="2" t="s">
        <v>27</v>
      </c>
      <c r="I419" s="2" t="s">
        <v>28</v>
      </c>
      <c r="J419" s="2" t="s">
        <v>18</v>
      </c>
      <c r="K419" s="2" t="s">
        <v>19</v>
      </c>
      <c r="L419" s="3">
        <v>45061</v>
      </c>
      <c r="M419" s="3">
        <v>45169</v>
      </c>
      <c r="N419" s="3">
        <v>46995</v>
      </c>
      <c r="P419" s="2" t="s">
        <v>1137</v>
      </c>
    </row>
    <row r="420" spans="1:16" x14ac:dyDescent="0.35">
      <c r="A420" s="2" t="s">
        <v>805</v>
      </c>
      <c r="B420" s="2" t="s">
        <v>402</v>
      </c>
      <c r="C420" s="2" t="s">
        <v>806</v>
      </c>
      <c r="D420" s="2" t="str">
        <f>IF(COUNTIF(RBE!$C$1:$C$629,A420)&gt;0,"Existe","Absent")</f>
        <v>Absent</v>
      </c>
      <c r="E420" s="2" t="s">
        <v>3163</v>
      </c>
      <c r="F420" s="2" t="s">
        <v>15</v>
      </c>
      <c r="H420" s="2" t="s">
        <v>139</v>
      </c>
      <c r="I420" s="2" t="s">
        <v>712</v>
      </c>
      <c r="J420" s="2" t="s">
        <v>18</v>
      </c>
      <c r="K420" s="2" t="s">
        <v>88</v>
      </c>
      <c r="L420" s="3">
        <v>44763</v>
      </c>
      <c r="M420" s="3">
        <v>44956</v>
      </c>
      <c r="N420" s="3">
        <v>46416</v>
      </c>
      <c r="P420" s="2" t="s">
        <v>807</v>
      </c>
    </row>
    <row r="421" spans="1:16" x14ac:dyDescent="0.35">
      <c r="A421" s="2" t="s">
        <v>501</v>
      </c>
      <c r="C421" s="2" t="s">
        <v>502</v>
      </c>
      <c r="D421" s="2" t="str">
        <f>IF(COUNTIF(RBE!$C$1:$C$629,A421)&gt;0,"Existe","Absent")</f>
        <v>Absent</v>
      </c>
      <c r="E421" s="2" t="s">
        <v>3163</v>
      </c>
      <c r="F421" s="2" t="s">
        <v>15</v>
      </c>
      <c r="H421" s="2" t="s">
        <v>27</v>
      </c>
      <c r="I421" s="2" t="s">
        <v>28</v>
      </c>
      <c r="J421" s="2" t="s">
        <v>18</v>
      </c>
      <c r="K421" s="2" t="s">
        <v>88</v>
      </c>
      <c r="L421" s="3">
        <v>43658</v>
      </c>
      <c r="M421" s="3">
        <v>43794</v>
      </c>
      <c r="N421" s="3">
        <v>45620</v>
      </c>
      <c r="P421" s="2" t="s">
        <v>503</v>
      </c>
    </row>
    <row r="422" spans="1:16" x14ac:dyDescent="0.35">
      <c r="A422" s="2" t="s">
        <v>896</v>
      </c>
      <c r="C422" s="2" t="s">
        <v>897</v>
      </c>
      <c r="D422" s="2" t="str">
        <f>IF(COUNTIF(RBE!$C$1:$C$629,A422)&gt;0,"Existe","Absent")</f>
        <v>Absent</v>
      </c>
      <c r="E422" s="2" t="s">
        <v>3163</v>
      </c>
      <c r="F422" s="2" t="s">
        <v>15</v>
      </c>
      <c r="H422" s="2" t="s">
        <v>311</v>
      </c>
      <c r="I422" s="2" t="s">
        <v>149</v>
      </c>
      <c r="J422" s="2" t="s">
        <v>18</v>
      </c>
      <c r="K422" s="2" t="s">
        <v>19</v>
      </c>
      <c r="L422" s="3">
        <v>44800</v>
      </c>
      <c r="M422" s="3">
        <v>45055</v>
      </c>
      <c r="N422" s="3">
        <v>46881</v>
      </c>
    </row>
    <row r="423" spans="1:16" x14ac:dyDescent="0.35">
      <c r="A423" s="2" t="s">
        <v>196</v>
      </c>
      <c r="B423" s="2" t="s">
        <v>197</v>
      </c>
      <c r="C423" s="2" t="s">
        <v>198</v>
      </c>
      <c r="D423" s="2" t="str">
        <f>IF(COUNTIF(RBE!$C$1:$C$629,A423)&gt;0,"Existe","Absent")</f>
        <v>Absent</v>
      </c>
      <c r="E423" s="2" t="s">
        <v>3163</v>
      </c>
      <c r="F423" s="2" t="s">
        <v>15</v>
      </c>
      <c r="H423" s="2" t="s">
        <v>139</v>
      </c>
      <c r="I423" s="2" t="s">
        <v>93</v>
      </c>
      <c r="J423" s="2" t="s">
        <v>18</v>
      </c>
      <c r="K423" s="2" t="s">
        <v>88</v>
      </c>
      <c r="L423" s="3">
        <v>41430</v>
      </c>
      <c r="M423" s="3">
        <v>41599</v>
      </c>
      <c r="N423" s="3">
        <v>45982</v>
      </c>
      <c r="P423" s="2" t="s">
        <v>199</v>
      </c>
    </row>
    <row r="424" spans="1:16" x14ac:dyDescent="0.35">
      <c r="A424" s="2" t="s">
        <v>1029</v>
      </c>
      <c r="B424" s="2" t="s">
        <v>1030</v>
      </c>
      <c r="C424" s="2" t="s">
        <v>1031</v>
      </c>
      <c r="D424" s="2" t="str">
        <f>IF(COUNTIF(RBE!$C$1:$C$629,A424)&gt;0,"Existe","Absent")</f>
        <v>Absent</v>
      </c>
      <c r="E424" s="2" t="s">
        <v>3163</v>
      </c>
      <c r="F424" s="2" t="s">
        <v>15</v>
      </c>
      <c r="H424" s="2" t="s">
        <v>139</v>
      </c>
      <c r="I424" s="2" t="s">
        <v>712</v>
      </c>
      <c r="J424" s="2" t="s">
        <v>18</v>
      </c>
      <c r="K424" s="2" t="s">
        <v>88</v>
      </c>
      <c r="L424" s="3">
        <v>45005</v>
      </c>
      <c r="M424" s="3">
        <v>45070</v>
      </c>
      <c r="N424" s="3">
        <v>46530</v>
      </c>
      <c r="P424" s="2" t="s">
        <v>1032</v>
      </c>
    </row>
    <row r="425" spans="1:16" x14ac:dyDescent="0.35">
      <c r="A425" s="2" t="s">
        <v>359</v>
      </c>
      <c r="B425" s="2" t="s">
        <v>360</v>
      </c>
      <c r="C425" s="2" t="s">
        <v>361</v>
      </c>
      <c r="D425" s="2" t="str">
        <f>IF(COUNTIF(RBE!$C$1:$C$629,A425)&gt;0,"Existe","Absent")</f>
        <v>Absent</v>
      </c>
      <c r="E425" s="2" t="s">
        <v>3163</v>
      </c>
      <c r="F425" s="2" t="s">
        <v>15</v>
      </c>
      <c r="H425" s="2" t="s">
        <v>27</v>
      </c>
      <c r="I425" s="2" t="s">
        <v>362</v>
      </c>
      <c r="J425" s="2" t="s">
        <v>18</v>
      </c>
      <c r="K425" s="2" t="s">
        <v>88</v>
      </c>
      <c r="L425" s="3">
        <v>42741</v>
      </c>
      <c r="M425" s="3">
        <v>43139</v>
      </c>
      <c r="N425" s="3">
        <v>46789</v>
      </c>
      <c r="O425" s="3">
        <v>44965</v>
      </c>
      <c r="P425" s="2" t="s">
        <v>363</v>
      </c>
    </row>
    <row r="426" spans="1:16" x14ac:dyDescent="0.35">
      <c r="A426" s="2" t="s">
        <v>643</v>
      </c>
      <c r="B426" s="2" t="s">
        <v>644</v>
      </c>
      <c r="C426" s="2" t="s">
        <v>645</v>
      </c>
      <c r="D426" s="2" t="str">
        <f>IF(COUNTIF(RBE!$C$1:$C$629,A426)&gt;0,"Existe","Absent")</f>
        <v>Absent</v>
      </c>
      <c r="E426" s="2" t="s">
        <v>3163</v>
      </c>
      <c r="F426" s="2" t="s">
        <v>15</v>
      </c>
      <c r="H426" s="2" t="s">
        <v>311</v>
      </c>
      <c r="I426" s="2" t="s">
        <v>149</v>
      </c>
      <c r="J426" s="2" t="s">
        <v>18</v>
      </c>
      <c r="K426" s="2" t="s">
        <v>19</v>
      </c>
      <c r="L426" s="3">
        <v>44301</v>
      </c>
      <c r="M426" s="3">
        <v>44357</v>
      </c>
      <c r="N426" s="3">
        <v>46182</v>
      </c>
    </row>
    <row r="427" spans="1:16" x14ac:dyDescent="0.35">
      <c r="A427" s="2" t="s">
        <v>862</v>
      </c>
      <c r="C427" s="2" t="s">
        <v>863</v>
      </c>
      <c r="D427" s="2" t="str">
        <f>IF(COUNTIF(RBE!$C$1:$C$629,A427)&gt;0,"Existe","Absent")</f>
        <v>Absent</v>
      </c>
      <c r="E427" s="2" t="s">
        <v>3163</v>
      </c>
      <c r="F427" s="2" t="s">
        <v>15</v>
      </c>
      <c r="H427" s="2" t="s">
        <v>311</v>
      </c>
      <c r="I427" s="2" t="s">
        <v>149</v>
      </c>
      <c r="J427" s="2" t="s">
        <v>18</v>
      </c>
      <c r="K427" s="2" t="s">
        <v>19</v>
      </c>
      <c r="L427" s="3">
        <v>44868</v>
      </c>
      <c r="M427" s="3">
        <v>44868</v>
      </c>
      <c r="N427" s="3">
        <v>46693</v>
      </c>
    </row>
    <row r="428" spans="1:16" x14ac:dyDescent="0.35">
      <c r="A428" s="2" t="s">
        <v>1292</v>
      </c>
      <c r="B428" s="2" t="s">
        <v>1293</v>
      </c>
      <c r="C428" s="2" t="s">
        <v>1294</v>
      </c>
      <c r="D428" s="2" t="str">
        <f>IF(COUNTIF(RBE!$C$1:$C$629,A428)&gt;0,"Existe","Absent")</f>
        <v>Absent</v>
      </c>
      <c r="E428" s="2" t="s">
        <v>3163</v>
      </c>
      <c r="F428" s="2" t="s">
        <v>15</v>
      </c>
      <c r="H428" s="2" t="s">
        <v>573</v>
      </c>
      <c r="I428" s="2" t="s">
        <v>1218</v>
      </c>
      <c r="J428" s="2" t="s">
        <v>18</v>
      </c>
      <c r="K428" s="2" t="s">
        <v>19</v>
      </c>
      <c r="L428" s="3">
        <v>45260</v>
      </c>
      <c r="M428" s="3">
        <v>45336</v>
      </c>
      <c r="N428" s="3">
        <v>45701</v>
      </c>
      <c r="P428" s="2" t="s">
        <v>1295</v>
      </c>
    </row>
    <row r="429" spans="1:16" x14ac:dyDescent="0.35">
      <c r="A429" s="2" t="s">
        <v>1585</v>
      </c>
      <c r="B429" s="2" t="s">
        <v>1586</v>
      </c>
      <c r="C429" s="2" t="s">
        <v>1587</v>
      </c>
      <c r="D429" s="2" t="str">
        <f>IF(COUNTIF(RBE!$C$1:$C$629,A429)&gt;0,"Existe","Absent")</f>
        <v>Absent</v>
      </c>
      <c r="E429" s="2" t="s">
        <v>3163</v>
      </c>
      <c r="F429" s="2" t="s">
        <v>15</v>
      </c>
      <c r="H429" s="2" t="s">
        <v>573</v>
      </c>
      <c r="I429" s="2" t="s">
        <v>395</v>
      </c>
      <c r="J429" s="2" t="s">
        <v>18</v>
      </c>
      <c r="K429" s="2" t="s">
        <v>101</v>
      </c>
      <c r="L429" s="5">
        <v>45947.456886574102</v>
      </c>
      <c r="M429" s="3">
        <v>45959</v>
      </c>
      <c r="N429" s="3">
        <v>46323</v>
      </c>
      <c r="P429" s="2" t="s">
        <v>1588</v>
      </c>
    </row>
    <row r="430" spans="1:16" x14ac:dyDescent="0.35">
      <c r="A430" s="2" t="s">
        <v>64</v>
      </c>
      <c r="B430" s="2" t="s">
        <v>65</v>
      </c>
      <c r="C430" s="2" t="s">
        <v>66</v>
      </c>
      <c r="D430" s="2" t="str">
        <f>IF(COUNTIF(RBE!$C$1:$C$629,A430)&gt;0,"Existe","Absent")</f>
        <v>Absent</v>
      </c>
      <c r="E430" s="2" t="s">
        <v>3163</v>
      </c>
      <c r="F430" s="2" t="s">
        <v>15</v>
      </c>
      <c r="H430" s="2" t="s">
        <v>16</v>
      </c>
      <c r="I430" s="2" t="s">
        <v>67</v>
      </c>
      <c r="J430" s="2" t="s">
        <v>55</v>
      </c>
      <c r="K430" s="2" t="s">
        <v>19</v>
      </c>
      <c r="L430" s="3">
        <v>35468</v>
      </c>
      <c r="M430" s="3">
        <v>32289</v>
      </c>
      <c r="N430" s="3">
        <v>41420</v>
      </c>
      <c r="P430" s="2" t="s">
        <v>68</v>
      </c>
    </row>
    <row r="431" spans="1:16" x14ac:dyDescent="0.35">
      <c r="A431" s="2" t="s">
        <v>765</v>
      </c>
      <c r="C431" s="2" t="s">
        <v>766</v>
      </c>
      <c r="D431" s="2" t="str">
        <f>IF(COUNTIF(RBE!$C$1:$C$629,A431)&gt;0,"Existe","Absent")</f>
        <v>Absent</v>
      </c>
      <c r="E431" s="2" t="s">
        <v>3163</v>
      </c>
      <c r="F431" s="2" t="s">
        <v>15</v>
      </c>
      <c r="H431" s="2" t="s">
        <v>311</v>
      </c>
      <c r="I431" s="2" t="s">
        <v>149</v>
      </c>
      <c r="J431" s="2" t="s">
        <v>18</v>
      </c>
      <c r="K431" s="2" t="s">
        <v>19</v>
      </c>
      <c r="L431" s="3">
        <v>44771</v>
      </c>
      <c r="M431" s="3">
        <v>44676</v>
      </c>
      <c r="N431" s="3">
        <v>46501</v>
      </c>
    </row>
    <row r="432" spans="1:16" x14ac:dyDescent="0.35">
      <c r="A432" s="2" t="s">
        <v>929</v>
      </c>
      <c r="C432" s="2" t="s">
        <v>930</v>
      </c>
      <c r="D432" s="2" t="str">
        <f>IF(COUNTIF(RBE!$C$1:$C$629,A432)&gt;0,"Existe","Absent")</f>
        <v>Absent</v>
      </c>
      <c r="E432" s="2" t="s">
        <v>3163</v>
      </c>
      <c r="F432" s="2" t="s">
        <v>15</v>
      </c>
      <c r="H432" s="2" t="s">
        <v>311</v>
      </c>
      <c r="I432" s="2" t="s">
        <v>395</v>
      </c>
      <c r="J432" s="2" t="s">
        <v>18</v>
      </c>
      <c r="K432" s="2" t="s">
        <v>19</v>
      </c>
      <c r="L432" s="3">
        <v>43738</v>
      </c>
      <c r="M432" s="3">
        <v>43812</v>
      </c>
      <c r="N432" s="3">
        <v>45638</v>
      </c>
    </row>
    <row r="433" spans="1:16" x14ac:dyDescent="0.35">
      <c r="A433" s="2" t="s">
        <v>1385</v>
      </c>
      <c r="B433" s="2" t="s">
        <v>566</v>
      </c>
      <c r="C433" s="2" t="s">
        <v>1386</v>
      </c>
      <c r="D433" s="2" t="str">
        <f>IF(COUNTIF(RBE!$C$1:$C$629,A433)&gt;0,"Existe","Absent")</f>
        <v>Absent</v>
      </c>
      <c r="E433" s="2" t="s">
        <v>3163</v>
      </c>
      <c r="F433" s="2" t="s">
        <v>15</v>
      </c>
      <c r="H433" s="2" t="s">
        <v>311</v>
      </c>
      <c r="I433" s="2" t="s">
        <v>149</v>
      </c>
      <c r="J433" s="2" t="s">
        <v>18</v>
      </c>
      <c r="K433" s="2" t="s">
        <v>19</v>
      </c>
      <c r="L433" s="3">
        <v>45320</v>
      </c>
      <c r="M433" s="3">
        <v>45324</v>
      </c>
      <c r="N433" s="3">
        <v>47150</v>
      </c>
    </row>
    <row r="434" spans="1:16" x14ac:dyDescent="0.35">
      <c r="A434" s="2" t="s">
        <v>182</v>
      </c>
      <c r="B434" s="2" t="s">
        <v>183</v>
      </c>
      <c r="C434" s="2" t="s">
        <v>184</v>
      </c>
      <c r="D434" s="2" t="str">
        <f>IF(COUNTIF(RBE!$C$1:$C$629,A434)&gt;0,"Existe","Absent")</f>
        <v>Absent</v>
      </c>
      <c r="E434" s="2" t="s">
        <v>3163</v>
      </c>
      <c r="F434" s="2" t="s">
        <v>15</v>
      </c>
      <c r="H434" s="2" t="s">
        <v>148</v>
      </c>
      <c r="I434" s="2" t="s">
        <v>113</v>
      </c>
      <c r="J434" s="2" t="s">
        <v>18</v>
      </c>
      <c r="K434" s="2" t="s">
        <v>185</v>
      </c>
      <c r="L434" s="3">
        <v>40932</v>
      </c>
      <c r="M434" s="3">
        <v>43474</v>
      </c>
      <c r="N434" s="3">
        <v>47127</v>
      </c>
      <c r="P434" s="2" t="s">
        <v>186</v>
      </c>
    </row>
    <row r="435" spans="1:16" x14ac:dyDescent="0.35">
      <c r="A435" s="2" t="s">
        <v>1090</v>
      </c>
      <c r="C435" s="2" t="s">
        <v>184</v>
      </c>
      <c r="D435" s="2" t="str">
        <f>IF(COUNTIF(RBE!$C$1:$C$629,A435)&gt;0,"Existe","Absent")</f>
        <v>Absent</v>
      </c>
      <c r="E435" s="2" t="s">
        <v>3163</v>
      </c>
      <c r="F435" s="2" t="s">
        <v>15</v>
      </c>
      <c r="H435" s="2" t="s">
        <v>139</v>
      </c>
      <c r="I435" s="2" t="s">
        <v>113</v>
      </c>
      <c r="J435" s="2" t="s">
        <v>18</v>
      </c>
      <c r="K435" s="2" t="s">
        <v>185</v>
      </c>
      <c r="L435" s="3">
        <v>44831</v>
      </c>
      <c r="M435" s="3">
        <v>45112</v>
      </c>
      <c r="N435" s="3">
        <v>46572</v>
      </c>
      <c r="P435" s="2" t="s">
        <v>1091</v>
      </c>
    </row>
    <row r="436" spans="1:16" x14ac:dyDescent="0.35">
      <c r="A436" s="2" t="s">
        <v>1766</v>
      </c>
      <c r="B436" s="2" t="s">
        <v>1767</v>
      </c>
      <c r="C436" s="2" t="s">
        <v>1768</v>
      </c>
      <c r="D436" s="2" t="str">
        <f>IF(COUNTIF(RBE!$C$1:$C$629,A436)&gt;0,"Existe","Absent")</f>
        <v>Absent</v>
      </c>
      <c r="E436" s="2" t="s">
        <v>3163</v>
      </c>
      <c r="F436" s="2" t="s">
        <v>15</v>
      </c>
      <c r="H436" s="2" t="s">
        <v>154</v>
      </c>
      <c r="I436" s="2" t="s">
        <v>93</v>
      </c>
      <c r="J436" s="2" t="s">
        <v>41</v>
      </c>
      <c r="K436" s="2" t="s">
        <v>88</v>
      </c>
      <c r="L436" s="3">
        <v>42585</v>
      </c>
      <c r="M436" s="3">
        <v>42705</v>
      </c>
      <c r="N436" s="3">
        <v>46390</v>
      </c>
      <c r="O436" s="3">
        <v>45295</v>
      </c>
      <c r="P436" s="2" t="s">
        <v>370</v>
      </c>
    </row>
    <row r="437" spans="1:16" x14ac:dyDescent="0.35">
      <c r="A437" s="2" t="s">
        <v>1261</v>
      </c>
      <c r="B437" s="2" t="s">
        <v>58</v>
      </c>
      <c r="C437" s="2" t="s">
        <v>1262</v>
      </c>
      <c r="D437" s="2" t="str">
        <f>IF(COUNTIF(RBE!$C$1:$C$629,A437)&gt;0,"Existe","Absent")</f>
        <v>Absent</v>
      </c>
      <c r="E437" s="2" t="s">
        <v>3163</v>
      </c>
      <c r="F437" s="2" t="s">
        <v>15</v>
      </c>
      <c r="H437" s="2" t="s">
        <v>27</v>
      </c>
      <c r="I437" s="2" t="s">
        <v>60</v>
      </c>
      <c r="J437" s="2" t="s">
        <v>18</v>
      </c>
      <c r="K437" s="2" t="s">
        <v>19</v>
      </c>
      <c r="L437" s="3">
        <v>44550</v>
      </c>
      <c r="M437" s="3">
        <v>44602</v>
      </c>
      <c r="N437" s="3">
        <v>46427</v>
      </c>
      <c r="P437" s="2" t="s">
        <v>1263</v>
      </c>
    </row>
    <row r="438" spans="1:16" x14ac:dyDescent="0.35">
      <c r="A438" s="2" t="s">
        <v>165</v>
      </c>
      <c r="B438" s="2" t="s">
        <v>166</v>
      </c>
      <c r="C438" s="2" t="s">
        <v>167</v>
      </c>
      <c r="D438" s="2" t="str">
        <f>IF(COUNTIF(RBE!$C$1:$C$629,A438)&gt;0,"Existe","Absent")</f>
        <v>Absent</v>
      </c>
      <c r="E438" s="2" t="s">
        <v>3163</v>
      </c>
      <c r="F438" s="2" t="s">
        <v>15</v>
      </c>
      <c r="H438" s="2" t="s">
        <v>148</v>
      </c>
      <c r="I438" s="2" t="s">
        <v>93</v>
      </c>
      <c r="J438" s="2" t="s">
        <v>18</v>
      </c>
      <c r="K438" s="2" t="s">
        <v>88</v>
      </c>
      <c r="L438" s="3">
        <v>40744</v>
      </c>
      <c r="M438" s="3">
        <v>40935</v>
      </c>
      <c r="N438" s="3">
        <v>46765</v>
      </c>
      <c r="P438" s="2" t="s">
        <v>168</v>
      </c>
    </row>
    <row r="439" spans="1:16" x14ac:dyDescent="0.35">
      <c r="A439" s="2" t="s">
        <v>602</v>
      </c>
      <c r="C439" s="2" t="s">
        <v>603</v>
      </c>
      <c r="D439" s="2" t="str">
        <f>IF(COUNTIF(RBE!$C$1:$C$629,A439)&gt;0,"Existe","Absent")</f>
        <v>Absent</v>
      </c>
      <c r="E439" s="2" t="s">
        <v>3163</v>
      </c>
      <c r="F439" s="2" t="s">
        <v>15</v>
      </c>
      <c r="H439" s="2" t="s">
        <v>518</v>
      </c>
      <c r="I439" s="2" t="s">
        <v>395</v>
      </c>
      <c r="J439" s="2" t="s">
        <v>18</v>
      </c>
      <c r="K439" s="2" t="s">
        <v>177</v>
      </c>
      <c r="L439" s="3">
        <v>44280</v>
      </c>
      <c r="M439" s="3">
        <v>44315</v>
      </c>
      <c r="N439" s="3">
        <v>46140</v>
      </c>
      <c r="P439" s="2" t="s">
        <v>604</v>
      </c>
    </row>
    <row r="440" spans="1:16" x14ac:dyDescent="0.35">
      <c r="A440" s="2" t="s">
        <v>714</v>
      </c>
      <c r="B440" s="2" t="s">
        <v>715</v>
      </c>
      <c r="C440" s="2" t="s">
        <v>716</v>
      </c>
      <c r="D440" s="2" t="str">
        <f>IF(COUNTIF(RBE!$C$1:$C$629,A440)&gt;0,"Existe","Absent")</f>
        <v>Absent</v>
      </c>
      <c r="E440" s="2" t="s">
        <v>3163</v>
      </c>
      <c r="F440" s="2" t="s">
        <v>15</v>
      </c>
      <c r="H440" s="2" t="s">
        <v>154</v>
      </c>
      <c r="I440" s="2" t="s">
        <v>93</v>
      </c>
      <c r="J440" s="2" t="s">
        <v>18</v>
      </c>
      <c r="K440" s="2" t="s">
        <v>88</v>
      </c>
      <c r="L440" s="3">
        <v>44697</v>
      </c>
      <c r="M440" s="3">
        <v>44714</v>
      </c>
      <c r="N440" s="3">
        <v>45809</v>
      </c>
      <c r="P440" s="2" t="s">
        <v>717</v>
      </c>
    </row>
    <row r="441" spans="1:16" x14ac:dyDescent="0.35">
      <c r="A441" s="2" t="s">
        <v>743</v>
      </c>
      <c r="B441" s="2" t="s">
        <v>744</v>
      </c>
      <c r="C441" s="2" t="s">
        <v>716</v>
      </c>
      <c r="D441" s="2" t="str">
        <f>IF(COUNTIF(RBE!$C$1:$C$629,A441)&gt;0,"Existe","Absent")</f>
        <v>Absent</v>
      </c>
      <c r="E441" s="2" t="s">
        <v>3163</v>
      </c>
      <c r="F441" s="2" t="s">
        <v>15</v>
      </c>
      <c r="H441" s="2" t="s">
        <v>154</v>
      </c>
      <c r="I441" s="2" t="s">
        <v>93</v>
      </c>
      <c r="J441" s="2" t="s">
        <v>18</v>
      </c>
      <c r="K441" s="2" t="s">
        <v>88</v>
      </c>
      <c r="L441" s="3">
        <v>44697</v>
      </c>
      <c r="M441" s="3">
        <v>44714</v>
      </c>
      <c r="N441" s="3">
        <v>45809</v>
      </c>
      <c r="P441" s="2" t="s">
        <v>745</v>
      </c>
    </row>
    <row r="442" spans="1:16" x14ac:dyDescent="0.35">
      <c r="A442" s="2" t="s">
        <v>1201</v>
      </c>
      <c r="B442" s="2" t="s">
        <v>1202</v>
      </c>
      <c r="C442" s="2" t="s">
        <v>716</v>
      </c>
      <c r="D442" s="2" t="str">
        <f>IF(COUNTIF(RBE!$C$1:$C$629,A442)&gt;0,"Existe","Absent")</f>
        <v>Absent</v>
      </c>
      <c r="E442" s="2" t="s">
        <v>3163</v>
      </c>
      <c r="F442" s="2" t="s">
        <v>15</v>
      </c>
      <c r="H442" s="2" t="s">
        <v>27</v>
      </c>
      <c r="I442" s="2" t="s">
        <v>118</v>
      </c>
      <c r="J442" s="2" t="s">
        <v>18</v>
      </c>
      <c r="K442" s="2" t="s">
        <v>19</v>
      </c>
      <c r="L442" s="3">
        <v>45253</v>
      </c>
      <c r="M442" s="3">
        <v>45289</v>
      </c>
      <c r="N442" s="3">
        <v>47115</v>
      </c>
      <c r="P442" s="2" t="s">
        <v>1203</v>
      </c>
    </row>
    <row r="443" spans="1:16" x14ac:dyDescent="0.35">
      <c r="A443" s="2" t="s">
        <v>634</v>
      </c>
      <c r="B443" s="2" t="s">
        <v>566</v>
      </c>
      <c r="C443" s="2" t="s">
        <v>635</v>
      </c>
      <c r="D443" s="2" t="str">
        <f>IF(COUNTIF(RBE!$C$1:$C$629,A443)&gt;0,"Existe","Absent")</f>
        <v>Absent</v>
      </c>
      <c r="E443" s="2" t="s">
        <v>3163</v>
      </c>
      <c r="F443" s="2" t="s">
        <v>15</v>
      </c>
      <c r="H443" s="2" t="s">
        <v>311</v>
      </c>
      <c r="I443" s="2" t="s">
        <v>149</v>
      </c>
      <c r="J443" s="2" t="s">
        <v>18</v>
      </c>
      <c r="K443" s="2" t="s">
        <v>19</v>
      </c>
      <c r="L443" s="3">
        <v>44348</v>
      </c>
      <c r="M443" s="3">
        <v>44476</v>
      </c>
      <c r="N443" s="3">
        <v>46301</v>
      </c>
    </row>
    <row r="444" spans="1:16" x14ac:dyDescent="0.35">
      <c r="A444" s="2" t="s">
        <v>1177</v>
      </c>
      <c r="B444" s="2" t="s">
        <v>700</v>
      </c>
      <c r="C444" s="2" t="s">
        <v>1178</v>
      </c>
      <c r="D444" s="2" t="str">
        <f>IF(COUNTIF(RBE!$C$1:$C$629,A444)&gt;0,"Existe","Absent")</f>
        <v>Absent</v>
      </c>
      <c r="E444" s="2" t="s">
        <v>3163</v>
      </c>
      <c r="F444" s="2" t="s">
        <v>15</v>
      </c>
      <c r="H444" s="2" t="s">
        <v>154</v>
      </c>
      <c r="I444" s="2" t="s">
        <v>93</v>
      </c>
      <c r="J444" s="2" t="s">
        <v>18</v>
      </c>
      <c r="K444" s="2" t="s">
        <v>88</v>
      </c>
      <c r="L444" s="3">
        <v>45218</v>
      </c>
      <c r="M444" s="3">
        <v>45294</v>
      </c>
      <c r="N444" s="3">
        <v>46389</v>
      </c>
      <c r="P444" s="2" t="s">
        <v>1179</v>
      </c>
    </row>
    <row r="445" spans="1:16" x14ac:dyDescent="0.35">
      <c r="A445" s="2" t="s">
        <v>1180</v>
      </c>
      <c r="B445" s="2" t="s">
        <v>1160</v>
      </c>
      <c r="C445" s="2" t="s">
        <v>1178</v>
      </c>
      <c r="D445" s="2" t="str">
        <f>IF(COUNTIF(RBE!$C$1:$C$629,A445)&gt;0,"Existe","Absent")</f>
        <v>Absent</v>
      </c>
      <c r="E445" s="2" t="s">
        <v>3163</v>
      </c>
      <c r="F445" s="2" t="s">
        <v>15</v>
      </c>
      <c r="H445" s="2" t="s">
        <v>154</v>
      </c>
      <c r="I445" s="2" t="s">
        <v>93</v>
      </c>
      <c r="J445" s="2" t="s">
        <v>18</v>
      </c>
      <c r="K445" s="2" t="s">
        <v>88</v>
      </c>
      <c r="L445" s="3">
        <v>45218</v>
      </c>
      <c r="M445" s="3">
        <v>45275</v>
      </c>
      <c r="N445" s="3">
        <v>46370</v>
      </c>
      <c r="P445" s="2" t="s">
        <v>1181</v>
      </c>
    </row>
    <row r="446" spans="1:16" x14ac:dyDescent="0.35">
      <c r="A446" s="2" t="s">
        <v>837</v>
      </c>
      <c r="B446" s="2" t="s">
        <v>838</v>
      </c>
      <c r="C446" s="2" t="s">
        <v>839</v>
      </c>
      <c r="D446" s="2" t="str">
        <f>IF(COUNTIF(RBE!$C$1:$C$629,A446)&gt;0,"Existe","Absent")</f>
        <v>Absent</v>
      </c>
      <c r="E446" s="2" t="s">
        <v>3163</v>
      </c>
      <c r="F446" s="2" t="s">
        <v>15</v>
      </c>
      <c r="H446" s="2" t="s">
        <v>139</v>
      </c>
      <c r="I446" s="2" t="s">
        <v>93</v>
      </c>
      <c r="J446" s="2" t="s">
        <v>18</v>
      </c>
      <c r="K446" s="2" t="s">
        <v>88</v>
      </c>
      <c r="L446" s="3">
        <v>44791</v>
      </c>
      <c r="M446" s="3">
        <v>44879</v>
      </c>
      <c r="N446" s="3">
        <v>46339</v>
      </c>
      <c r="P446" s="2" t="s">
        <v>840</v>
      </c>
    </row>
    <row r="447" spans="1:16" x14ac:dyDescent="0.35">
      <c r="A447" s="2" t="s">
        <v>864</v>
      </c>
      <c r="B447" s="2" t="s">
        <v>865</v>
      </c>
      <c r="C447" s="2" t="s">
        <v>839</v>
      </c>
      <c r="D447" s="2" t="str">
        <f>IF(COUNTIF(RBE!$C$1:$C$629,A447)&gt;0,"Existe","Absent")</f>
        <v>Absent</v>
      </c>
      <c r="E447" s="2" t="s">
        <v>3163</v>
      </c>
      <c r="F447" s="2" t="s">
        <v>15</v>
      </c>
      <c r="H447" s="2" t="s">
        <v>154</v>
      </c>
      <c r="I447" s="2" t="s">
        <v>93</v>
      </c>
      <c r="J447" s="2" t="s">
        <v>18</v>
      </c>
      <c r="K447" s="2" t="s">
        <v>88</v>
      </c>
      <c r="L447" s="3">
        <v>44874</v>
      </c>
      <c r="M447" s="3">
        <v>44890</v>
      </c>
      <c r="N447" s="3">
        <v>45985</v>
      </c>
      <c r="P447" s="2" t="s">
        <v>866</v>
      </c>
    </row>
    <row r="448" spans="1:16" x14ac:dyDescent="0.35">
      <c r="A448" s="2" t="s">
        <v>867</v>
      </c>
      <c r="B448" s="2" t="s">
        <v>868</v>
      </c>
      <c r="C448" s="2" t="s">
        <v>839</v>
      </c>
      <c r="D448" s="2" t="str">
        <f>IF(COUNTIF(RBE!$C$1:$C$629,A448)&gt;0,"Existe","Absent")</f>
        <v>Absent</v>
      </c>
      <c r="E448" s="2" t="s">
        <v>3163</v>
      </c>
      <c r="F448" s="2" t="s">
        <v>15</v>
      </c>
      <c r="H448" s="2" t="s">
        <v>154</v>
      </c>
      <c r="I448" s="2" t="s">
        <v>93</v>
      </c>
      <c r="J448" s="2" t="s">
        <v>18</v>
      </c>
      <c r="K448" s="2" t="s">
        <v>88</v>
      </c>
      <c r="L448" s="3">
        <v>44874</v>
      </c>
      <c r="M448" s="3">
        <v>44890</v>
      </c>
      <c r="N448" s="3">
        <v>45985</v>
      </c>
      <c r="P448" s="2" t="s">
        <v>869</v>
      </c>
    </row>
    <row r="449" spans="1:16" x14ac:dyDescent="0.35">
      <c r="A449" s="2" t="s">
        <v>941</v>
      </c>
      <c r="B449" s="2" t="s">
        <v>942</v>
      </c>
      <c r="C449" s="2" t="s">
        <v>943</v>
      </c>
      <c r="D449" s="2" t="str">
        <f>IF(COUNTIF(RBE!$C$1:$C$629,A449)&gt;0,"Existe","Absent")</f>
        <v>Absent</v>
      </c>
      <c r="E449" s="2" t="s">
        <v>3163</v>
      </c>
      <c r="F449" s="2" t="s">
        <v>15</v>
      </c>
      <c r="H449" s="2" t="s">
        <v>139</v>
      </c>
      <c r="I449" s="2" t="s">
        <v>712</v>
      </c>
      <c r="J449" s="2" t="s">
        <v>18</v>
      </c>
      <c r="K449" s="2" t="s">
        <v>88</v>
      </c>
      <c r="L449" s="3">
        <v>44915</v>
      </c>
      <c r="M449" s="3">
        <v>44950</v>
      </c>
      <c r="N449" s="3">
        <v>46410</v>
      </c>
      <c r="P449" s="2" t="s">
        <v>944</v>
      </c>
    </row>
    <row r="450" spans="1:16" x14ac:dyDescent="0.35">
      <c r="A450" s="2" t="s">
        <v>945</v>
      </c>
      <c r="B450" s="2" t="s">
        <v>946</v>
      </c>
      <c r="C450" s="2" t="s">
        <v>943</v>
      </c>
      <c r="D450" s="2" t="str">
        <f>IF(COUNTIF(RBE!$C$1:$C$629,A450)&gt;0,"Existe","Absent")</f>
        <v>Absent</v>
      </c>
      <c r="E450" s="2" t="s">
        <v>3163</v>
      </c>
      <c r="F450" s="2" t="s">
        <v>15</v>
      </c>
      <c r="H450" s="2" t="s">
        <v>139</v>
      </c>
      <c r="I450" s="2" t="s">
        <v>712</v>
      </c>
      <c r="J450" s="2" t="s">
        <v>18</v>
      </c>
      <c r="K450" s="2" t="s">
        <v>177</v>
      </c>
      <c r="L450" s="3">
        <v>44916</v>
      </c>
      <c r="M450" s="3">
        <v>44950</v>
      </c>
      <c r="N450" s="3">
        <v>46410</v>
      </c>
      <c r="P450" s="2" t="s">
        <v>947</v>
      </c>
    </row>
    <row r="451" spans="1:16" x14ac:dyDescent="0.35">
      <c r="A451" s="2" t="s">
        <v>1762</v>
      </c>
      <c r="B451" s="2" t="s">
        <v>1763</v>
      </c>
      <c r="C451" s="2" t="s">
        <v>1764</v>
      </c>
      <c r="D451" s="2" t="str">
        <f>IF(COUNTIF(RBE!$C$1:$C$629,A451)&gt;0,"Existe","Absent")</f>
        <v>Absent</v>
      </c>
      <c r="E451" s="2" t="s">
        <v>3163</v>
      </c>
      <c r="F451" s="2" t="s">
        <v>15</v>
      </c>
      <c r="H451" s="2" t="s">
        <v>139</v>
      </c>
      <c r="I451" s="2" t="s">
        <v>93</v>
      </c>
      <c r="J451" s="2" t="s">
        <v>41</v>
      </c>
      <c r="K451" s="2" t="s">
        <v>88</v>
      </c>
      <c r="L451" s="3">
        <v>42644</v>
      </c>
      <c r="M451" s="3">
        <v>42969</v>
      </c>
      <c r="N451" s="3">
        <v>45524</v>
      </c>
      <c r="P451" s="2" t="s">
        <v>1765</v>
      </c>
    </row>
    <row r="452" spans="1:16" x14ac:dyDescent="0.35">
      <c r="A452" s="2" t="s">
        <v>286</v>
      </c>
      <c r="B452" s="2" t="s">
        <v>287</v>
      </c>
      <c r="C452" s="2" t="s">
        <v>288</v>
      </c>
      <c r="D452" s="2" t="str">
        <f>IF(COUNTIF(RBE!$C$1:$C$629,A452)&gt;0,"Existe","Absent")</f>
        <v>Absent</v>
      </c>
      <c r="E452" s="2" t="s">
        <v>3163</v>
      </c>
      <c r="F452" s="2" t="s">
        <v>15</v>
      </c>
      <c r="H452" s="2" t="s">
        <v>16</v>
      </c>
      <c r="I452" s="2" t="s">
        <v>289</v>
      </c>
      <c r="J452" s="2" t="s">
        <v>18</v>
      </c>
      <c r="K452" s="2" t="s">
        <v>88</v>
      </c>
      <c r="L452" s="3">
        <v>42056</v>
      </c>
      <c r="M452" s="3">
        <v>42263</v>
      </c>
      <c r="N452" s="3">
        <v>51395</v>
      </c>
      <c r="P452" s="2" t="s">
        <v>290</v>
      </c>
    </row>
    <row r="453" spans="1:16" x14ac:dyDescent="0.35">
      <c r="A453" s="2" t="s">
        <v>884</v>
      </c>
      <c r="C453" s="2" t="s">
        <v>885</v>
      </c>
      <c r="D453" s="2" t="str">
        <f>IF(COUNTIF(RBE!$C$1:$C$629,A453)&gt;0,"Existe","Absent")</f>
        <v>Absent</v>
      </c>
      <c r="E453" s="2" t="s">
        <v>3163</v>
      </c>
      <c r="F453" s="2" t="s">
        <v>15</v>
      </c>
      <c r="H453" s="2" t="s">
        <v>27</v>
      </c>
      <c r="I453" s="2" t="s">
        <v>28</v>
      </c>
      <c r="J453" s="2" t="s">
        <v>18</v>
      </c>
      <c r="K453" s="2" t="s">
        <v>88</v>
      </c>
      <c r="L453" s="3">
        <v>43131</v>
      </c>
      <c r="M453" s="3">
        <v>44790</v>
      </c>
      <c r="N453" s="3">
        <v>46615</v>
      </c>
      <c r="P453" s="2" t="s">
        <v>886</v>
      </c>
    </row>
    <row r="454" spans="1:16" x14ac:dyDescent="0.35">
      <c r="A454" s="2" t="s">
        <v>1230</v>
      </c>
      <c r="B454" s="2" t="s">
        <v>566</v>
      </c>
      <c r="C454" s="2" t="s">
        <v>1231</v>
      </c>
      <c r="D454" s="2" t="str">
        <f>IF(COUNTIF(RBE!$C$1:$C$629,A454)&gt;0,"Existe","Absent")</f>
        <v>Absent</v>
      </c>
      <c r="E454" s="2" t="s">
        <v>3163</v>
      </c>
      <c r="F454" s="2" t="s">
        <v>15</v>
      </c>
      <c r="H454" s="2" t="s">
        <v>311</v>
      </c>
      <c r="I454" s="2" t="s">
        <v>149</v>
      </c>
      <c r="J454" s="2" t="s">
        <v>18</v>
      </c>
      <c r="K454" s="2" t="s">
        <v>19</v>
      </c>
      <c r="L454" s="3">
        <v>45230</v>
      </c>
      <c r="M454" s="3">
        <v>45252</v>
      </c>
      <c r="N454" s="3">
        <v>47078</v>
      </c>
    </row>
    <row r="455" spans="1:16" x14ac:dyDescent="0.35">
      <c r="A455" s="2" t="s">
        <v>1463</v>
      </c>
      <c r="B455" s="2" t="s">
        <v>566</v>
      </c>
      <c r="C455" s="2" t="s">
        <v>1464</v>
      </c>
      <c r="D455" s="2" t="str">
        <f>IF(COUNTIF(RBE!$C$1:$C$629,A455)&gt;0,"Existe","Absent")</f>
        <v>Absent</v>
      </c>
      <c r="E455" s="2" t="s">
        <v>3163</v>
      </c>
      <c r="F455" s="2" t="s">
        <v>15</v>
      </c>
      <c r="H455" s="2" t="s">
        <v>311</v>
      </c>
      <c r="I455" s="2" t="s">
        <v>149</v>
      </c>
      <c r="J455" s="2" t="s">
        <v>18</v>
      </c>
      <c r="K455" s="2" t="s">
        <v>19</v>
      </c>
      <c r="L455" s="3">
        <v>45362</v>
      </c>
      <c r="M455" s="3">
        <v>45366</v>
      </c>
      <c r="N455" s="3">
        <v>47191</v>
      </c>
    </row>
    <row r="456" spans="1:16" x14ac:dyDescent="0.35">
      <c r="A456" s="2" t="s">
        <v>1368</v>
      </c>
      <c r="C456" s="2" t="s">
        <v>1369</v>
      </c>
      <c r="D456" s="2" t="str">
        <f>IF(COUNTIF(RBE!$C$1:$C$629,A456)&gt;0,"Existe","Absent")</f>
        <v>Absent</v>
      </c>
      <c r="E456" s="2" t="s">
        <v>3163</v>
      </c>
      <c r="F456" s="2" t="s">
        <v>15</v>
      </c>
      <c r="H456" s="2" t="s">
        <v>154</v>
      </c>
      <c r="I456" s="2" t="s">
        <v>93</v>
      </c>
      <c r="J456" s="2" t="s">
        <v>18</v>
      </c>
      <c r="K456" s="2" t="s">
        <v>88</v>
      </c>
      <c r="L456" s="3">
        <v>45313</v>
      </c>
      <c r="M456" s="3">
        <v>45324</v>
      </c>
      <c r="N456" s="3">
        <v>46419</v>
      </c>
      <c r="P456" s="2" t="s">
        <v>1370</v>
      </c>
    </row>
    <row r="457" spans="1:16" x14ac:dyDescent="0.35">
      <c r="A457" s="2" t="s">
        <v>320</v>
      </c>
      <c r="B457" s="2" t="s">
        <v>321</v>
      </c>
      <c r="C457" s="2" t="s">
        <v>322</v>
      </c>
      <c r="D457" s="2" t="str">
        <f>IF(COUNTIF(RBE!$C$1:$C$629,A457)&gt;0,"Existe","Absent")</f>
        <v>Absent</v>
      </c>
      <c r="E457" s="2" t="s">
        <v>3163</v>
      </c>
      <c r="F457" s="2" t="s">
        <v>15</v>
      </c>
      <c r="H457" s="2" t="s">
        <v>27</v>
      </c>
      <c r="I457" s="2" t="s">
        <v>28</v>
      </c>
      <c r="J457" s="2" t="s">
        <v>18</v>
      </c>
      <c r="K457" s="2" t="s">
        <v>19</v>
      </c>
      <c r="L457" s="3">
        <v>42395</v>
      </c>
      <c r="M457" s="3">
        <v>43307</v>
      </c>
      <c r="N457" s="3">
        <v>46614</v>
      </c>
      <c r="P457" s="2" t="s">
        <v>323</v>
      </c>
    </row>
    <row r="458" spans="1:16" x14ac:dyDescent="0.35">
      <c r="A458" s="2" t="s">
        <v>1579</v>
      </c>
      <c r="C458" s="2" t="s">
        <v>1580</v>
      </c>
      <c r="D458" s="2" t="str">
        <f>IF(COUNTIF(RBE!$C$1:$C$629,A458)&gt;0,"Existe","Absent")</f>
        <v>Absent</v>
      </c>
      <c r="E458" s="2" t="s">
        <v>3163</v>
      </c>
      <c r="F458" s="2" t="s">
        <v>15</v>
      </c>
      <c r="H458" s="2" t="s">
        <v>573</v>
      </c>
      <c r="I458" s="2" t="s">
        <v>395</v>
      </c>
      <c r="J458" s="2" t="s">
        <v>18</v>
      </c>
      <c r="K458" s="2" t="s">
        <v>1577</v>
      </c>
      <c r="L458" s="5">
        <v>45909.636157407404</v>
      </c>
      <c r="M458" s="3">
        <v>45988</v>
      </c>
      <c r="N458" s="3">
        <v>46352</v>
      </c>
      <c r="P458" s="2" t="s">
        <v>1581</v>
      </c>
    </row>
    <row r="459" spans="1:16" x14ac:dyDescent="0.35">
      <c r="A459" s="2" t="s">
        <v>1696</v>
      </c>
      <c r="C459" s="2" t="s">
        <v>1580</v>
      </c>
      <c r="D459" s="2" t="str">
        <f>IF(COUNTIF(RBE!$C$1:$C$629,A459)&gt;0,"Existe","Absent")</f>
        <v>Absent</v>
      </c>
      <c r="E459" s="2" t="s">
        <v>3163</v>
      </c>
      <c r="F459" s="2" t="s">
        <v>15</v>
      </c>
      <c r="H459" s="2" t="s">
        <v>573</v>
      </c>
      <c r="I459" s="2" t="s">
        <v>395</v>
      </c>
      <c r="J459" s="2" t="s">
        <v>18</v>
      </c>
      <c r="K459" s="2" t="s">
        <v>1577</v>
      </c>
      <c r="L459" s="5">
        <v>45953.526666666701</v>
      </c>
      <c r="M459" s="3">
        <v>45988</v>
      </c>
      <c r="N459" s="3">
        <v>46352</v>
      </c>
      <c r="P459" s="2" t="s">
        <v>1697</v>
      </c>
    </row>
    <row r="460" spans="1:16" x14ac:dyDescent="0.35">
      <c r="A460" s="2" t="s">
        <v>1296</v>
      </c>
      <c r="B460" s="2" t="s">
        <v>1297</v>
      </c>
      <c r="C460" s="2" t="s">
        <v>1298</v>
      </c>
      <c r="D460" s="2" t="str">
        <f>IF(COUNTIF(RBE!$C$1:$C$629,A460)&gt;0,"Existe","Absent")</f>
        <v>Absent</v>
      </c>
      <c r="E460" s="2" t="s">
        <v>3163</v>
      </c>
      <c r="F460" s="2" t="s">
        <v>15</v>
      </c>
      <c r="H460" s="2" t="s">
        <v>148</v>
      </c>
      <c r="I460" s="2" t="s">
        <v>17</v>
      </c>
      <c r="J460" s="2" t="s">
        <v>18</v>
      </c>
      <c r="K460" s="2" t="s">
        <v>19</v>
      </c>
      <c r="L460" s="3">
        <v>45272</v>
      </c>
      <c r="M460" s="3">
        <v>45308</v>
      </c>
      <c r="N460" s="3">
        <v>47134</v>
      </c>
      <c r="P460" s="2" t="s">
        <v>1299</v>
      </c>
    </row>
    <row r="461" spans="1:16" x14ac:dyDescent="0.35">
      <c r="A461" s="2" t="s">
        <v>444</v>
      </c>
      <c r="B461" s="2" t="s">
        <v>393</v>
      </c>
      <c r="C461" s="2" t="s">
        <v>445</v>
      </c>
      <c r="D461" s="2" t="str">
        <f>IF(COUNTIF(RBE!$C$1:$C$629,A461)&gt;0,"Existe","Absent")</f>
        <v>Absent</v>
      </c>
      <c r="E461" s="2" t="s">
        <v>3163</v>
      </c>
      <c r="F461" s="2" t="s">
        <v>15</v>
      </c>
      <c r="H461" s="2" t="s">
        <v>311</v>
      </c>
      <c r="I461" s="2" t="s">
        <v>395</v>
      </c>
      <c r="J461" s="2" t="s">
        <v>41</v>
      </c>
      <c r="K461" s="2" t="s">
        <v>19</v>
      </c>
      <c r="L461" s="3">
        <v>43181</v>
      </c>
      <c r="M461" s="3">
        <v>43234</v>
      </c>
      <c r="N461" s="3">
        <v>45059</v>
      </c>
      <c r="P461" s="2" t="s">
        <v>446</v>
      </c>
    </row>
    <row r="462" spans="1:16" x14ac:dyDescent="0.35">
      <c r="A462" s="2" t="s">
        <v>489</v>
      </c>
      <c r="B462" s="2" t="s">
        <v>328</v>
      </c>
      <c r="C462" s="2" t="s">
        <v>445</v>
      </c>
      <c r="D462" s="2" t="str">
        <f>IF(COUNTIF(RBE!$C$1:$C$629,A462)&gt;0,"Existe","Absent")</f>
        <v>Absent</v>
      </c>
      <c r="E462" s="2" t="s">
        <v>3163</v>
      </c>
      <c r="F462" s="2" t="s">
        <v>15</v>
      </c>
      <c r="H462" s="2" t="s">
        <v>311</v>
      </c>
      <c r="I462" s="2" t="s">
        <v>149</v>
      </c>
      <c r="J462" s="2" t="s">
        <v>41</v>
      </c>
      <c r="K462" s="2" t="s">
        <v>19</v>
      </c>
      <c r="L462" s="3">
        <v>43388</v>
      </c>
      <c r="M462" s="3">
        <v>43474</v>
      </c>
      <c r="N462" s="3">
        <v>45299</v>
      </c>
      <c r="P462" s="2" t="s">
        <v>312</v>
      </c>
    </row>
    <row r="463" spans="1:16" x14ac:dyDescent="0.35">
      <c r="A463" s="2" t="s">
        <v>98</v>
      </c>
      <c r="B463" s="2" t="s">
        <v>99</v>
      </c>
      <c r="C463" s="2" t="s">
        <v>100</v>
      </c>
      <c r="D463" s="2" t="str">
        <f>IF(COUNTIF(RBE!$C$1:$C$629,A463)&gt;0,"Existe","Absent")</f>
        <v>Absent</v>
      </c>
      <c r="E463" s="2" t="s">
        <v>3163</v>
      </c>
      <c r="F463" s="2" t="s">
        <v>15</v>
      </c>
      <c r="H463" s="2" t="s">
        <v>16</v>
      </c>
      <c r="I463" s="2" t="s">
        <v>60</v>
      </c>
      <c r="J463" s="2" t="s">
        <v>18</v>
      </c>
      <c r="K463" s="2" t="s">
        <v>101</v>
      </c>
      <c r="L463" s="3">
        <v>38751</v>
      </c>
      <c r="M463" s="3">
        <v>40102</v>
      </c>
      <c r="N463" s="3">
        <v>47957</v>
      </c>
      <c r="P463" s="2" t="s">
        <v>102</v>
      </c>
    </row>
    <row r="464" spans="1:16" x14ac:dyDescent="0.35">
      <c r="A464" s="2" t="s">
        <v>107</v>
      </c>
      <c r="B464" s="2" t="s">
        <v>108</v>
      </c>
      <c r="C464" s="2" t="s">
        <v>100</v>
      </c>
      <c r="D464" s="2" t="str">
        <f>IF(COUNTIF(RBE!$C$1:$C$629,A464)&gt;0,"Existe","Absent")</f>
        <v>Absent</v>
      </c>
      <c r="E464" s="2" t="s">
        <v>3163</v>
      </c>
      <c r="F464" s="2" t="s">
        <v>15</v>
      </c>
      <c r="H464" s="2" t="s">
        <v>16</v>
      </c>
      <c r="I464" s="2" t="s">
        <v>60</v>
      </c>
      <c r="J464" s="2" t="s">
        <v>18</v>
      </c>
      <c r="K464" s="2" t="s">
        <v>19</v>
      </c>
      <c r="L464" s="3">
        <v>38751</v>
      </c>
      <c r="M464" s="3">
        <v>38826</v>
      </c>
      <c r="N464" s="3">
        <v>47956</v>
      </c>
      <c r="P464" s="2" t="s">
        <v>109</v>
      </c>
    </row>
    <row r="465" spans="1:16" x14ac:dyDescent="0.35">
      <c r="A465" s="2" t="s">
        <v>103</v>
      </c>
      <c r="B465" s="2" t="s">
        <v>104</v>
      </c>
      <c r="C465" s="2" t="s">
        <v>105</v>
      </c>
      <c r="D465" s="2" t="str">
        <f>IF(COUNTIF(RBE!$C$1:$C$629,A465)&gt;0,"Existe","Absent")</f>
        <v>Absent</v>
      </c>
      <c r="E465" s="2" t="s">
        <v>3163</v>
      </c>
      <c r="F465" s="2" t="s">
        <v>15</v>
      </c>
      <c r="H465" s="2" t="s">
        <v>16</v>
      </c>
      <c r="I465" s="2" t="s">
        <v>60</v>
      </c>
      <c r="J465" s="2" t="s">
        <v>18</v>
      </c>
      <c r="K465" s="2" t="s">
        <v>19</v>
      </c>
      <c r="L465" s="3">
        <v>38751</v>
      </c>
      <c r="M465" s="3">
        <v>38826</v>
      </c>
      <c r="N465" s="3">
        <v>48688</v>
      </c>
      <c r="P465" s="2" t="s">
        <v>106</v>
      </c>
    </row>
    <row r="466" spans="1:16" x14ac:dyDescent="0.35">
      <c r="A466" s="2" t="s">
        <v>337</v>
      </c>
      <c r="B466" s="2" t="s">
        <v>260</v>
      </c>
      <c r="C466" s="2" t="s">
        <v>105</v>
      </c>
      <c r="D466" s="2" t="str">
        <f>IF(COUNTIF(RBE!$C$1:$C$629,A466)&gt;0,"Existe","Absent")</f>
        <v>Absent</v>
      </c>
      <c r="E466" s="2" t="s">
        <v>3163</v>
      </c>
      <c r="F466" s="2" t="s">
        <v>15</v>
      </c>
      <c r="H466" s="2" t="s">
        <v>27</v>
      </c>
      <c r="I466" s="2" t="s">
        <v>60</v>
      </c>
      <c r="J466" s="2" t="s">
        <v>18</v>
      </c>
      <c r="K466" s="2" t="s">
        <v>19</v>
      </c>
      <c r="L466" s="3">
        <v>42426</v>
      </c>
      <c r="M466" s="3">
        <v>42438</v>
      </c>
      <c r="N466" s="3">
        <v>46089</v>
      </c>
      <c r="P466" s="2" t="s">
        <v>338</v>
      </c>
    </row>
    <row r="467" spans="1:16" x14ac:dyDescent="0.35">
      <c r="A467" s="2" t="s">
        <v>880</v>
      </c>
      <c r="C467" s="2" t="s">
        <v>105</v>
      </c>
      <c r="D467" s="2" t="str">
        <f>IF(COUNTIF(RBE!$C$1:$C$629,A467)&gt;0,"Existe","Absent")</f>
        <v>Absent</v>
      </c>
      <c r="E467" s="2" t="s">
        <v>3163</v>
      </c>
      <c r="F467" s="2" t="s">
        <v>15</v>
      </c>
      <c r="H467" s="2" t="s">
        <v>27</v>
      </c>
      <c r="I467" s="2" t="s">
        <v>60</v>
      </c>
      <c r="J467" s="2" t="s">
        <v>18</v>
      </c>
      <c r="K467" s="2" t="s">
        <v>19</v>
      </c>
      <c r="L467" s="3">
        <v>44361</v>
      </c>
      <c r="M467" s="3">
        <v>44383</v>
      </c>
      <c r="N467" s="3">
        <v>46208</v>
      </c>
      <c r="P467" s="2" t="s">
        <v>881</v>
      </c>
    </row>
    <row r="468" spans="1:16" x14ac:dyDescent="0.35">
      <c r="A468" s="2" t="s">
        <v>1256</v>
      </c>
      <c r="C468" s="2" t="s">
        <v>105</v>
      </c>
      <c r="D468" s="2" t="str">
        <f>IF(COUNTIF(RBE!$C$1:$C$629,A468)&gt;0,"Existe","Absent")</f>
        <v>Absent</v>
      </c>
      <c r="E468" s="2" t="s">
        <v>3163</v>
      </c>
      <c r="F468" s="2" t="s">
        <v>15</v>
      </c>
      <c r="H468" s="2" t="s">
        <v>27</v>
      </c>
      <c r="I468" s="2" t="s">
        <v>82</v>
      </c>
      <c r="J468" s="2" t="s">
        <v>18</v>
      </c>
      <c r="K468" s="2" t="s">
        <v>177</v>
      </c>
      <c r="L468" s="3">
        <v>44715</v>
      </c>
      <c r="M468" s="3">
        <v>44708</v>
      </c>
      <c r="N468" s="3">
        <v>46533</v>
      </c>
      <c r="P468" s="2" t="s">
        <v>1257</v>
      </c>
    </row>
    <row r="469" spans="1:16" x14ac:dyDescent="0.35">
      <c r="A469" s="2" t="s">
        <v>1269</v>
      </c>
      <c r="C469" s="2" t="s">
        <v>105</v>
      </c>
      <c r="D469" s="2" t="str">
        <f>IF(COUNTIF(RBE!$C$1:$C$629,A469)&gt;0,"Existe","Absent")</f>
        <v>Absent</v>
      </c>
      <c r="E469" s="2" t="s">
        <v>3163</v>
      </c>
      <c r="F469" s="2" t="s">
        <v>15</v>
      </c>
      <c r="H469" s="2" t="s">
        <v>27</v>
      </c>
      <c r="I469" s="2" t="s">
        <v>82</v>
      </c>
      <c r="J469" s="2" t="s">
        <v>18</v>
      </c>
      <c r="K469" s="2" t="s">
        <v>177</v>
      </c>
      <c r="L469" s="3">
        <v>44704</v>
      </c>
      <c r="M469" s="3">
        <v>44708</v>
      </c>
      <c r="N469" s="3">
        <v>46533</v>
      </c>
      <c r="P469" s="2" t="s">
        <v>1270</v>
      </c>
    </row>
    <row r="470" spans="1:16" x14ac:dyDescent="0.35">
      <c r="A470" s="2" t="s">
        <v>1316</v>
      </c>
      <c r="C470" s="2" t="s">
        <v>105</v>
      </c>
      <c r="D470" s="2" t="str">
        <f>IF(COUNTIF(RBE!$C$1:$C$629,A470)&gt;0,"Existe","Absent")</f>
        <v>Absent</v>
      </c>
      <c r="E470" s="2" t="s">
        <v>3163</v>
      </c>
      <c r="F470" s="2" t="s">
        <v>15</v>
      </c>
      <c r="H470" s="2" t="s">
        <v>27</v>
      </c>
      <c r="I470" s="2" t="s">
        <v>1218</v>
      </c>
      <c r="J470" s="2" t="s">
        <v>18</v>
      </c>
      <c r="K470" s="2" t="s">
        <v>19</v>
      </c>
      <c r="L470" s="3">
        <v>45016</v>
      </c>
      <c r="M470" s="3">
        <v>45034</v>
      </c>
      <c r="N470" s="3">
        <v>46860</v>
      </c>
      <c r="P470" s="2" t="s">
        <v>1317</v>
      </c>
    </row>
    <row r="471" spans="1:16" x14ac:dyDescent="0.35">
      <c r="A471" s="2" t="s">
        <v>1320</v>
      </c>
      <c r="C471" s="2" t="s">
        <v>105</v>
      </c>
      <c r="D471" s="2" t="str">
        <f>IF(COUNTIF(RBE!$C$1:$C$629,A471)&gt;0,"Existe","Absent")</f>
        <v>Absent</v>
      </c>
      <c r="E471" s="2" t="s">
        <v>3163</v>
      </c>
      <c r="F471" s="2" t="s">
        <v>15</v>
      </c>
      <c r="H471" s="2" t="s">
        <v>27</v>
      </c>
      <c r="I471" s="2" t="s">
        <v>60</v>
      </c>
      <c r="J471" s="2" t="s">
        <v>18</v>
      </c>
      <c r="K471" s="2" t="s">
        <v>19</v>
      </c>
      <c r="L471" s="3">
        <v>45000</v>
      </c>
      <c r="M471" s="3">
        <v>45034</v>
      </c>
      <c r="N471" s="3">
        <v>46860</v>
      </c>
      <c r="P471" s="2" t="s">
        <v>1321</v>
      </c>
    </row>
    <row r="472" spans="1:16" x14ac:dyDescent="0.35">
      <c r="A472" s="2" t="s">
        <v>1337</v>
      </c>
      <c r="C472" s="2" t="s">
        <v>105</v>
      </c>
      <c r="D472" s="2" t="str">
        <f>IF(COUNTIF(RBE!$C$1:$C$629,A472)&gt;0,"Existe","Absent")</f>
        <v>Absent</v>
      </c>
      <c r="E472" s="2" t="s">
        <v>3163</v>
      </c>
      <c r="F472" s="2" t="s">
        <v>15</v>
      </c>
      <c r="H472" s="2" t="s">
        <v>27</v>
      </c>
      <c r="I472" s="2" t="s">
        <v>60</v>
      </c>
      <c r="J472" s="2" t="s">
        <v>18</v>
      </c>
      <c r="K472" s="2" t="s">
        <v>19</v>
      </c>
      <c r="L472" s="3">
        <v>45016</v>
      </c>
      <c r="M472" s="3">
        <v>45040</v>
      </c>
      <c r="N472" s="3">
        <v>46866</v>
      </c>
      <c r="P472" s="2" t="s">
        <v>1338</v>
      </c>
    </row>
    <row r="473" spans="1:16" x14ac:dyDescent="0.35">
      <c r="A473" s="2" t="s">
        <v>377</v>
      </c>
      <c r="C473" s="2" t="s">
        <v>378</v>
      </c>
      <c r="D473" s="2" t="str">
        <f>IF(COUNTIF(RBE!$C$1:$C$629,A473)&gt;0,"Existe","Absent")</f>
        <v>Absent</v>
      </c>
      <c r="E473" s="2" t="s">
        <v>3163</v>
      </c>
      <c r="F473" s="2" t="s">
        <v>15</v>
      </c>
      <c r="H473" s="2" t="s">
        <v>311</v>
      </c>
      <c r="I473" s="2" t="s">
        <v>149</v>
      </c>
      <c r="J473" s="2" t="s">
        <v>18</v>
      </c>
      <c r="K473" s="2" t="s">
        <v>19</v>
      </c>
      <c r="L473" s="3">
        <v>42892</v>
      </c>
      <c r="M473" s="3">
        <v>42908</v>
      </c>
      <c r="N473" s="3">
        <v>46558</v>
      </c>
      <c r="O473" s="3">
        <v>44734</v>
      </c>
      <c r="P473" s="2" t="s">
        <v>330</v>
      </c>
    </row>
    <row r="474" spans="1:16" x14ac:dyDescent="0.35">
      <c r="A474" s="2" t="s">
        <v>597</v>
      </c>
      <c r="C474" s="2" t="s">
        <v>598</v>
      </c>
      <c r="D474" s="2" t="str">
        <f>IF(COUNTIF(RBE!$C$1:$C$629,A474)&gt;0,"Existe","Absent")</f>
        <v>Absent</v>
      </c>
      <c r="E474" s="2" t="s">
        <v>3163</v>
      </c>
      <c r="F474" s="2" t="s">
        <v>15</v>
      </c>
      <c r="H474" s="2" t="s">
        <v>27</v>
      </c>
      <c r="I474" s="2" t="s">
        <v>28</v>
      </c>
      <c r="J474" s="2" t="s">
        <v>18</v>
      </c>
      <c r="K474" s="2" t="s">
        <v>88</v>
      </c>
      <c r="L474" s="3">
        <v>43269</v>
      </c>
      <c r="M474" s="3">
        <v>44379</v>
      </c>
      <c r="N474" s="3">
        <v>46204</v>
      </c>
      <c r="P474" s="2" t="s">
        <v>599</v>
      </c>
    </row>
    <row r="475" spans="1:16" x14ac:dyDescent="0.35">
      <c r="A475" s="2" t="s">
        <v>1393</v>
      </c>
      <c r="B475" s="2" t="s">
        <v>1394</v>
      </c>
      <c r="C475" s="2" t="s">
        <v>1395</v>
      </c>
      <c r="D475" s="2" t="str">
        <f>IF(COUNTIF(RBE!$C$1:$C$629,A475)&gt;0,"Existe","Absent")</f>
        <v>Absent</v>
      </c>
      <c r="E475" s="2" t="s">
        <v>3163</v>
      </c>
      <c r="F475" s="2" t="s">
        <v>15</v>
      </c>
      <c r="H475" s="2" t="s">
        <v>573</v>
      </c>
      <c r="I475" s="2" t="s">
        <v>1218</v>
      </c>
      <c r="J475" s="2" t="s">
        <v>18</v>
      </c>
      <c r="K475" s="2" t="s">
        <v>19</v>
      </c>
      <c r="L475" s="3">
        <v>45324</v>
      </c>
      <c r="M475" s="3">
        <v>45348</v>
      </c>
      <c r="N475" s="3">
        <v>45713</v>
      </c>
      <c r="P475" s="2" t="s">
        <v>1396</v>
      </c>
    </row>
    <row r="476" spans="1:16" x14ac:dyDescent="0.35">
      <c r="A476" s="2" t="s">
        <v>1440</v>
      </c>
      <c r="B476" s="2" t="s">
        <v>1441</v>
      </c>
      <c r="C476" s="2" t="s">
        <v>1442</v>
      </c>
      <c r="D476" s="2" t="str">
        <f>IF(COUNTIF(RBE!$C$1:$C$629,A476)&gt;0,"Existe","Absent")</f>
        <v>Absent</v>
      </c>
      <c r="E476" s="2" t="s">
        <v>3163</v>
      </c>
      <c r="F476" s="2" t="s">
        <v>15</v>
      </c>
      <c r="H476" s="2" t="s">
        <v>573</v>
      </c>
      <c r="I476" s="2" t="s">
        <v>1218</v>
      </c>
      <c r="J476" s="2" t="s">
        <v>18</v>
      </c>
      <c r="K476" s="2" t="s">
        <v>19</v>
      </c>
      <c r="L476" s="3">
        <v>45315</v>
      </c>
      <c r="M476" s="3">
        <v>45369</v>
      </c>
      <c r="N476" s="3">
        <v>45733</v>
      </c>
      <c r="P476" s="2" t="s">
        <v>1443</v>
      </c>
    </row>
    <row r="477" spans="1:16" x14ac:dyDescent="0.35">
      <c r="A477" s="2" t="s">
        <v>84</v>
      </c>
      <c r="B477" s="2" t="s">
        <v>85</v>
      </c>
      <c r="C477" s="2" t="s">
        <v>86</v>
      </c>
      <c r="D477" s="2" t="str">
        <f>IF(COUNTIF(RBE!$C$1:$C$629,A477)&gt;0,"Existe","Absent")</f>
        <v>Absent</v>
      </c>
      <c r="E477" s="2" t="s">
        <v>3163</v>
      </c>
      <c r="F477" s="2" t="s">
        <v>15</v>
      </c>
      <c r="H477" s="2" t="s">
        <v>16</v>
      </c>
      <c r="I477" s="2" t="s">
        <v>87</v>
      </c>
      <c r="J477" s="2" t="s">
        <v>41</v>
      </c>
      <c r="K477" s="2" t="s">
        <v>88</v>
      </c>
      <c r="L477" s="3">
        <v>37243</v>
      </c>
      <c r="M477" s="3">
        <v>39388</v>
      </c>
      <c r="N477" s="3">
        <v>43041</v>
      </c>
      <c r="P477" s="2" t="s">
        <v>89</v>
      </c>
    </row>
    <row r="478" spans="1:16" x14ac:dyDescent="0.35">
      <c r="A478" s="2" t="s">
        <v>279</v>
      </c>
      <c r="B478" s="2" t="s">
        <v>58</v>
      </c>
      <c r="C478" s="2" t="s">
        <v>280</v>
      </c>
      <c r="D478" s="2" t="str">
        <f>IF(COUNTIF(RBE!$C$1:$C$629,A478)&gt;0,"Existe","Absent")</f>
        <v>Absent</v>
      </c>
      <c r="E478" s="2" t="s">
        <v>3163</v>
      </c>
      <c r="F478" s="2" t="s">
        <v>15</v>
      </c>
      <c r="H478" s="2" t="s">
        <v>27</v>
      </c>
      <c r="I478" s="2" t="s">
        <v>60</v>
      </c>
      <c r="J478" s="2" t="s">
        <v>41</v>
      </c>
      <c r="K478" s="2" t="s">
        <v>19</v>
      </c>
      <c r="L478" s="3">
        <v>42019</v>
      </c>
      <c r="M478" s="3">
        <v>42886</v>
      </c>
      <c r="N478" s="3">
        <v>44711</v>
      </c>
      <c r="P478" s="2" t="s">
        <v>281</v>
      </c>
    </row>
    <row r="479" spans="1:16" x14ac:dyDescent="0.35">
      <c r="A479" s="2" t="s">
        <v>788</v>
      </c>
      <c r="C479" s="2" t="s">
        <v>280</v>
      </c>
      <c r="D479" s="2" t="str">
        <f>IF(COUNTIF(RBE!$C$1:$C$629,A479)&gt;0,"Existe","Absent")</f>
        <v>Absent</v>
      </c>
      <c r="E479" s="2" t="s">
        <v>3163</v>
      </c>
      <c r="F479" s="2" t="s">
        <v>15</v>
      </c>
      <c r="H479" s="2" t="s">
        <v>311</v>
      </c>
      <c r="I479" s="2" t="s">
        <v>149</v>
      </c>
      <c r="J479" s="2" t="s">
        <v>18</v>
      </c>
      <c r="K479" s="2" t="s">
        <v>19</v>
      </c>
      <c r="L479" s="3">
        <v>44789</v>
      </c>
      <c r="M479" s="3">
        <v>44650</v>
      </c>
      <c r="N479" s="3">
        <v>46475</v>
      </c>
    </row>
    <row r="480" spans="1:16" x14ac:dyDescent="0.35">
      <c r="A480" s="2" t="s">
        <v>1693</v>
      </c>
      <c r="C480" s="2" t="s">
        <v>1694</v>
      </c>
      <c r="D480" s="2" t="str">
        <f>IF(COUNTIF(RBE!$C$1:$C$629,A480)&gt;0,"Existe","Absent")</f>
        <v>Absent</v>
      </c>
      <c r="E480" s="2" t="s">
        <v>3163</v>
      </c>
      <c r="F480" s="2" t="s">
        <v>15</v>
      </c>
      <c r="H480" s="2" t="s">
        <v>1609</v>
      </c>
      <c r="J480" s="2" t="s">
        <v>18</v>
      </c>
      <c r="K480" s="2" t="s">
        <v>177</v>
      </c>
      <c r="L480" s="5">
        <v>45939.371377314797</v>
      </c>
      <c r="M480" s="3">
        <v>45992</v>
      </c>
      <c r="N480" s="3">
        <v>46173</v>
      </c>
      <c r="P480" s="2" t="s">
        <v>1695</v>
      </c>
    </row>
    <row r="481" spans="1:16" x14ac:dyDescent="0.35">
      <c r="A481" s="2" t="s">
        <v>536</v>
      </c>
      <c r="B481" s="2" t="s">
        <v>537</v>
      </c>
      <c r="C481" s="2" t="s">
        <v>538</v>
      </c>
      <c r="D481" s="2" t="str">
        <f>IF(COUNTIF(RBE!$C$1:$C$629,A481)&gt;0,"Existe","Absent")</f>
        <v>Absent</v>
      </c>
      <c r="E481" s="2" t="s">
        <v>3163</v>
      </c>
      <c r="F481" s="2" t="s">
        <v>15</v>
      </c>
      <c r="H481" s="2" t="s">
        <v>148</v>
      </c>
      <c r="I481" s="2" t="s">
        <v>93</v>
      </c>
      <c r="J481" s="2" t="s">
        <v>18</v>
      </c>
      <c r="K481" s="2" t="s">
        <v>88</v>
      </c>
      <c r="L481" s="3">
        <v>43902</v>
      </c>
      <c r="M481" s="3">
        <v>43887</v>
      </c>
      <c r="N481" s="3">
        <v>45713</v>
      </c>
      <c r="P481" s="2" t="s">
        <v>539</v>
      </c>
    </row>
    <row r="482" spans="1:16" x14ac:dyDescent="0.35">
      <c r="A482" s="2" t="s">
        <v>156</v>
      </c>
      <c r="B482" s="2" t="s">
        <v>157</v>
      </c>
      <c r="C482" s="2" t="s">
        <v>158</v>
      </c>
      <c r="D482" s="2" t="str">
        <f>IF(COUNTIF(RBE!$C$1:$C$629,A482)&gt;0,"Existe","Absent")</f>
        <v>Absent</v>
      </c>
      <c r="E482" s="2" t="s">
        <v>3163</v>
      </c>
      <c r="F482" s="2" t="s">
        <v>15</v>
      </c>
      <c r="H482" s="2" t="s">
        <v>139</v>
      </c>
      <c r="I482" s="2" t="s">
        <v>93</v>
      </c>
      <c r="J482" s="2" t="s">
        <v>41</v>
      </c>
      <c r="K482" s="2" t="s">
        <v>88</v>
      </c>
      <c r="L482" s="3">
        <v>40455</v>
      </c>
      <c r="M482" s="3">
        <v>40940</v>
      </c>
      <c r="N482" s="3">
        <v>44502</v>
      </c>
      <c r="P482" s="2" t="s">
        <v>159</v>
      </c>
    </row>
    <row r="483" spans="1:16" x14ac:dyDescent="0.35">
      <c r="A483" s="2" t="s">
        <v>169</v>
      </c>
      <c r="B483" s="2" t="s">
        <v>170</v>
      </c>
      <c r="C483" s="2" t="s">
        <v>158</v>
      </c>
      <c r="D483" s="2" t="str">
        <f>IF(COUNTIF(RBE!$C$1:$C$629,A483)&gt;0,"Existe","Absent")</f>
        <v>Absent</v>
      </c>
      <c r="E483" s="2" t="s">
        <v>3163</v>
      </c>
      <c r="F483" s="2" t="s">
        <v>15</v>
      </c>
      <c r="H483" s="2" t="s">
        <v>139</v>
      </c>
      <c r="I483" s="2" t="s">
        <v>93</v>
      </c>
      <c r="J483" s="2" t="s">
        <v>41</v>
      </c>
      <c r="K483" s="2" t="s">
        <v>88</v>
      </c>
      <c r="L483" s="3">
        <v>40865</v>
      </c>
      <c r="M483" s="3">
        <v>41051</v>
      </c>
      <c r="N483" s="3">
        <v>44502</v>
      </c>
      <c r="P483" s="2" t="s">
        <v>171</v>
      </c>
    </row>
    <row r="484" spans="1:16" x14ac:dyDescent="0.35">
      <c r="A484" s="2" t="s">
        <v>276</v>
      </c>
      <c r="B484" s="2" t="s">
        <v>58</v>
      </c>
      <c r="C484" s="2" t="s">
        <v>277</v>
      </c>
      <c r="D484" s="2" t="str">
        <f>IF(COUNTIF(RBE!$C$1:$C$629,A484)&gt;0,"Existe","Absent")</f>
        <v>Absent</v>
      </c>
      <c r="E484" s="2" t="s">
        <v>3163</v>
      </c>
      <c r="F484" s="2" t="s">
        <v>15</v>
      </c>
      <c r="H484" s="2" t="s">
        <v>27</v>
      </c>
      <c r="I484" s="2" t="s">
        <v>60</v>
      </c>
      <c r="J484" s="2" t="s">
        <v>41</v>
      </c>
      <c r="K484" s="2" t="s">
        <v>19</v>
      </c>
      <c r="L484" s="3">
        <v>42012</v>
      </c>
      <c r="M484" s="3">
        <v>42054</v>
      </c>
      <c r="N484" s="3">
        <v>43879</v>
      </c>
      <c r="P484" s="2" t="s">
        <v>278</v>
      </c>
    </row>
    <row r="485" spans="1:16" x14ac:dyDescent="0.35">
      <c r="A485" s="2" t="s">
        <v>160</v>
      </c>
      <c r="B485" s="2" t="s">
        <v>161</v>
      </c>
      <c r="C485" s="2" t="s">
        <v>162</v>
      </c>
      <c r="D485" s="2" t="str">
        <f>IF(COUNTIF(RBE!$C$1:$C$629,A485)&gt;0,"Existe","Absent")</f>
        <v>Absent</v>
      </c>
      <c r="E485" s="2" t="s">
        <v>3163</v>
      </c>
      <c r="F485" s="2" t="s">
        <v>15</v>
      </c>
      <c r="H485" s="2" t="s">
        <v>16</v>
      </c>
      <c r="I485" s="2" t="s">
        <v>17</v>
      </c>
      <c r="J485" s="2" t="s">
        <v>18</v>
      </c>
      <c r="K485" s="2" t="s">
        <v>163</v>
      </c>
      <c r="L485" s="3">
        <v>40702</v>
      </c>
      <c r="M485" s="3">
        <v>40702</v>
      </c>
      <c r="N485" s="3">
        <v>49834</v>
      </c>
      <c r="P485" s="2" t="s">
        <v>164</v>
      </c>
    </row>
    <row r="486" spans="1:16" x14ac:dyDescent="0.35">
      <c r="A486" s="2" t="s">
        <v>1026</v>
      </c>
      <c r="C486" s="2" t="s">
        <v>1027</v>
      </c>
      <c r="D486" s="2" t="str">
        <f>IF(COUNTIF(RBE!$C$1:$C$629,A486)&gt;0,"Existe","Absent")</f>
        <v>Absent</v>
      </c>
      <c r="E486" s="2" t="s">
        <v>3163</v>
      </c>
      <c r="F486" s="2" t="s">
        <v>15</v>
      </c>
      <c r="H486" s="2" t="s">
        <v>154</v>
      </c>
      <c r="I486" s="2" t="s">
        <v>93</v>
      </c>
      <c r="J486" s="2" t="s">
        <v>18</v>
      </c>
      <c r="K486" s="2" t="s">
        <v>88</v>
      </c>
      <c r="L486" s="3">
        <v>45029</v>
      </c>
      <c r="M486" s="3">
        <v>45055</v>
      </c>
      <c r="N486" s="3">
        <v>46150</v>
      </c>
      <c r="P486" s="2" t="s">
        <v>1028</v>
      </c>
    </row>
    <row r="487" spans="1:16" x14ac:dyDescent="0.35">
      <c r="A487" s="2" t="s">
        <v>1752</v>
      </c>
      <c r="B487" s="2" t="s">
        <v>1753</v>
      </c>
      <c r="C487" s="2" t="s">
        <v>1754</v>
      </c>
      <c r="D487" s="2" t="str">
        <f>IF(COUNTIF(RBE!$C$1:$C$629,A487)&gt;0,"Existe","Absent")</f>
        <v>Absent</v>
      </c>
      <c r="E487" s="2" t="s">
        <v>3163</v>
      </c>
      <c r="F487" s="2" t="s">
        <v>15</v>
      </c>
      <c r="H487" s="2" t="s">
        <v>27</v>
      </c>
      <c r="I487" s="2" t="s">
        <v>118</v>
      </c>
      <c r="J487" s="2" t="s">
        <v>18</v>
      </c>
      <c r="K487" s="2" t="s">
        <v>19</v>
      </c>
      <c r="L487" s="3">
        <v>41072</v>
      </c>
      <c r="M487" s="3">
        <v>41481</v>
      </c>
      <c r="N487" s="3">
        <v>47206</v>
      </c>
      <c r="P487" s="2" t="s">
        <v>1755</v>
      </c>
    </row>
    <row r="488" spans="1:16" x14ac:dyDescent="0.35">
      <c r="A488" s="2" t="s">
        <v>1348</v>
      </c>
      <c r="B488" s="2" t="s">
        <v>566</v>
      </c>
      <c r="C488" s="2" t="s">
        <v>1349</v>
      </c>
      <c r="D488" s="2" t="str">
        <f>IF(COUNTIF(RBE!$C$1:$C$629,A488)&gt;0,"Existe","Absent")</f>
        <v>Absent</v>
      </c>
      <c r="E488" s="2" t="s">
        <v>3163</v>
      </c>
      <c r="F488" s="2" t="s">
        <v>15</v>
      </c>
      <c r="H488" s="2" t="s">
        <v>311</v>
      </c>
      <c r="I488" s="2" t="s">
        <v>149</v>
      </c>
      <c r="J488" s="2" t="s">
        <v>18</v>
      </c>
      <c r="K488" s="2" t="s">
        <v>19</v>
      </c>
      <c r="L488" s="3">
        <v>45241</v>
      </c>
      <c r="M488" s="3">
        <v>45287</v>
      </c>
      <c r="N488" s="3">
        <v>47113</v>
      </c>
    </row>
    <row r="489" spans="1:16" x14ac:dyDescent="0.35">
      <c r="A489" s="2" t="s">
        <v>1285</v>
      </c>
      <c r="B489" s="2" t="s">
        <v>1286</v>
      </c>
      <c r="C489" s="2" t="s">
        <v>1287</v>
      </c>
      <c r="D489" s="2" t="str">
        <f>IF(COUNTIF(RBE!$C$1:$C$629,A489)&gt;0,"Existe","Absent")</f>
        <v>Absent</v>
      </c>
      <c r="E489" s="2" t="s">
        <v>3163</v>
      </c>
      <c r="F489" s="2" t="s">
        <v>15</v>
      </c>
      <c r="H489" s="2" t="s">
        <v>573</v>
      </c>
      <c r="I489" s="2" t="s">
        <v>395</v>
      </c>
      <c r="J489" s="2" t="s">
        <v>18</v>
      </c>
      <c r="K489" s="2" t="s">
        <v>185</v>
      </c>
      <c r="L489" s="3">
        <v>44993</v>
      </c>
      <c r="M489" s="3">
        <v>45323</v>
      </c>
      <c r="N489" s="3">
        <v>45688</v>
      </c>
      <c r="P489" s="2" t="s">
        <v>1288</v>
      </c>
    </row>
    <row r="490" spans="1:16" x14ac:dyDescent="0.35">
      <c r="A490" s="2" t="s">
        <v>870</v>
      </c>
      <c r="C490" s="2" t="s">
        <v>871</v>
      </c>
      <c r="D490" s="2" t="str">
        <f>IF(COUNTIF(RBE!$C$1:$C$629,A490)&gt;0,"Existe","Absent")</f>
        <v>Absent</v>
      </c>
      <c r="E490" s="2" t="s">
        <v>3163</v>
      </c>
      <c r="F490" s="2" t="s">
        <v>15</v>
      </c>
      <c r="H490" s="2" t="s">
        <v>311</v>
      </c>
      <c r="I490" s="2" t="s">
        <v>149</v>
      </c>
      <c r="J490" s="2" t="s">
        <v>18</v>
      </c>
      <c r="K490" s="2" t="s">
        <v>19</v>
      </c>
      <c r="L490" s="3">
        <v>44880</v>
      </c>
      <c r="M490" s="3">
        <v>44879</v>
      </c>
      <c r="N490" s="3">
        <v>46704</v>
      </c>
    </row>
    <row r="491" spans="1:16" x14ac:dyDescent="0.35">
      <c r="A491" s="2" t="s">
        <v>259</v>
      </c>
      <c r="B491" s="2" t="s">
        <v>260</v>
      </c>
      <c r="C491" s="2" t="s">
        <v>261</v>
      </c>
      <c r="D491" s="2" t="str">
        <f>IF(COUNTIF(RBE!$C$1:$C$629,A491)&gt;0,"Existe","Absent")</f>
        <v>Absent</v>
      </c>
      <c r="E491" s="2" t="s">
        <v>3163</v>
      </c>
      <c r="F491" s="2" t="s">
        <v>15</v>
      </c>
      <c r="H491" s="2" t="s">
        <v>27</v>
      </c>
      <c r="I491" s="2" t="s">
        <v>60</v>
      </c>
      <c r="J491" s="2" t="s">
        <v>18</v>
      </c>
      <c r="K491" s="2" t="s">
        <v>19</v>
      </c>
      <c r="L491" s="3">
        <v>41939</v>
      </c>
      <c r="M491" s="3">
        <v>41919</v>
      </c>
      <c r="N491" s="3">
        <v>45788</v>
      </c>
      <c r="P491" s="2" t="s">
        <v>262</v>
      </c>
    </row>
    <row r="492" spans="1:16" x14ac:dyDescent="0.35">
      <c r="A492" s="2" t="s">
        <v>904</v>
      </c>
      <c r="C492" s="2" t="s">
        <v>905</v>
      </c>
      <c r="D492" s="2" t="str">
        <f>IF(COUNTIF(RBE!$C$1:$C$629,A492)&gt;0,"Existe","Absent")</f>
        <v>Absent</v>
      </c>
      <c r="E492" s="2" t="s">
        <v>3163</v>
      </c>
      <c r="F492" s="2" t="s">
        <v>15</v>
      </c>
      <c r="H492" s="2" t="s">
        <v>311</v>
      </c>
      <c r="I492" s="2" t="s">
        <v>149</v>
      </c>
      <c r="J492" s="2" t="s">
        <v>18</v>
      </c>
      <c r="K492" s="2" t="s">
        <v>19</v>
      </c>
      <c r="L492" s="3">
        <v>44905</v>
      </c>
      <c r="M492" s="3">
        <v>44918</v>
      </c>
      <c r="N492" s="3">
        <v>46743</v>
      </c>
    </row>
    <row r="493" spans="1:16" x14ac:dyDescent="0.35">
      <c r="A493" s="2" t="s">
        <v>1075</v>
      </c>
      <c r="B493" s="2" t="s">
        <v>1076</v>
      </c>
      <c r="C493" s="2" t="s">
        <v>1077</v>
      </c>
      <c r="D493" s="2" t="str">
        <f>IF(COUNTIF(RBE!$C$1:$C$629,A493)&gt;0,"Existe","Absent")</f>
        <v>Absent</v>
      </c>
      <c r="E493" s="2" t="s">
        <v>3163</v>
      </c>
      <c r="F493" s="2" t="s">
        <v>15</v>
      </c>
      <c r="H493" s="2" t="s">
        <v>148</v>
      </c>
      <c r="I493" s="2" t="s">
        <v>17</v>
      </c>
      <c r="J493" s="2" t="s">
        <v>18</v>
      </c>
      <c r="K493" s="2" t="s">
        <v>163</v>
      </c>
      <c r="L493" s="3">
        <v>44392</v>
      </c>
      <c r="M493" s="3">
        <v>44594</v>
      </c>
      <c r="N493" s="3">
        <v>46419</v>
      </c>
      <c r="P493" s="2" t="s">
        <v>1078</v>
      </c>
    </row>
    <row r="494" spans="1:16" x14ac:dyDescent="0.35">
      <c r="A494" s="2" t="s">
        <v>1775</v>
      </c>
      <c r="C494" s="2" t="s">
        <v>1776</v>
      </c>
      <c r="D494" s="2" t="str">
        <f>IF(COUNTIF(RBE!$C$1:$C$629,A494)&gt;0,"Existe","Absent")</f>
        <v>Absent</v>
      </c>
      <c r="E494" s="2" t="s">
        <v>3163</v>
      </c>
      <c r="F494" s="2" t="s">
        <v>15</v>
      </c>
      <c r="H494" s="2" t="s">
        <v>573</v>
      </c>
      <c r="I494" s="2" t="s">
        <v>585</v>
      </c>
      <c r="J494" s="2" t="s">
        <v>41</v>
      </c>
      <c r="K494" s="2" t="s">
        <v>88</v>
      </c>
      <c r="L494" s="3">
        <v>43822</v>
      </c>
      <c r="M494" s="3">
        <v>44861</v>
      </c>
      <c r="N494" s="3">
        <v>45604</v>
      </c>
      <c r="P494" s="2" t="s">
        <v>1777</v>
      </c>
    </row>
    <row r="495" spans="1:16" x14ac:dyDescent="0.35">
      <c r="A495" s="2" t="s">
        <v>477</v>
      </c>
      <c r="B495" s="2" t="s">
        <v>393</v>
      </c>
      <c r="C495" s="2" t="s">
        <v>478</v>
      </c>
      <c r="D495" s="2" t="str">
        <f>IF(COUNTIF(RBE!$C$1:$C$629,A495)&gt;0,"Existe","Absent")</f>
        <v>Absent</v>
      </c>
      <c r="E495" s="2" t="s">
        <v>3163</v>
      </c>
      <c r="F495" s="2" t="s">
        <v>15</v>
      </c>
      <c r="H495" s="2" t="s">
        <v>311</v>
      </c>
      <c r="I495" s="2" t="s">
        <v>149</v>
      </c>
      <c r="J495" s="2" t="s">
        <v>18</v>
      </c>
      <c r="K495" s="2" t="s">
        <v>19</v>
      </c>
      <c r="L495" s="3">
        <v>43326</v>
      </c>
      <c r="M495" s="3">
        <v>43370</v>
      </c>
      <c r="N495" s="3">
        <v>47022</v>
      </c>
      <c r="O495" s="3">
        <v>45196</v>
      </c>
      <c r="P495" s="2" t="s">
        <v>479</v>
      </c>
    </row>
    <row r="496" spans="1:16" x14ac:dyDescent="0.35">
      <c r="A496" s="2" t="s">
        <v>1300</v>
      </c>
      <c r="B496" s="2" t="s">
        <v>1301</v>
      </c>
      <c r="C496" s="2" t="s">
        <v>1302</v>
      </c>
      <c r="D496" s="2" t="str">
        <f>IF(COUNTIF(RBE!$C$1:$C$629,A496)&gt;0,"Existe","Absent")</f>
        <v>Absent</v>
      </c>
      <c r="E496" s="2" t="s">
        <v>3163</v>
      </c>
      <c r="F496" s="2" t="s">
        <v>15</v>
      </c>
      <c r="H496" s="2" t="s">
        <v>154</v>
      </c>
      <c r="I496" s="2" t="s">
        <v>93</v>
      </c>
      <c r="J496" s="2" t="s">
        <v>18</v>
      </c>
      <c r="K496" s="2" t="s">
        <v>177</v>
      </c>
      <c r="L496" s="3">
        <v>45316</v>
      </c>
      <c r="M496" s="3">
        <v>45366</v>
      </c>
      <c r="N496" s="3">
        <v>46460</v>
      </c>
      <c r="P496" s="2" t="s">
        <v>1303</v>
      </c>
    </row>
    <row r="497" spans="1:16" x14ac:dyDescent="0.35">
      <c r="A497" s="2" t="s">
        <v>1355</v>
      </c>
      <c r="B497" s="2" t="s">
        <v>1356</v>
      </c>
      <c r="C497" s="2" t="s">
        <v>1302</v>
      </c>
      <c r="D497" s="2" t="str">
        <f>IF(COUNTIF(RBE!$C$1:$C$629,A497)&gt;0,"Existe","Absent")</f>
        <v>Absent</v>
      </c>
      <c r="E497" s="2" t="s">
        <v>3163</v>
      </c>
      <c r="F497" s="2" t="s">
        <v>15</v>
      </c>
      <c r="H497" s="2" t="s">
        <v>154</v>
      </c>
      <c r="I497" s="2" t="s">
        <v>93</v>
      </c>
      <c r="J497" s="2" t="s">
        <v>18</v>
      </c>
      <c r="K497" s="2" t="s">
        <v>88</v>
      </c>
      <c r="L497" s="3">
        <v>45253</v>
      </c>
      <c r="M497" s="3">
        <v>45322</v>
      </c>
      <c r="N497" s="3">
        <v>46417</v>
      </c>
      <c r="P497" s="2" t="s">
        <v>1357</v>
      </c>
    </row>
    <row r="498" spans="1:16" x14ac:dyDescent="0.35">
      <c r="A498" s="2" t="s">
        <v>374</v>
      </c>
      <c r="B498" s="2" t="s">
        <v>328</v>
      </c>
      <c r="C498" s="2" t="s">
        <v>375</v>
      </c>
      <c r="D498" s="2" t="str">
        <f>IF(COUNTIF(RBE!$C$1:$C$629,A498)&gt;0,"Existe","Absent")</f>
        <v>Absent</v>
      </c>
      <c r="E498" s="2" t="s">
        <v>3163</v>
      </c>
      <c r="F498" s="2" t="s">
        <v>15</v>
      </c>
      <c r="H498" s="2" t="s">
        <v>311</v>
      </c>
      <c r="I498" s="2" t="s">
        <v>149</v>
      </c>
      <c r="J498" s="2" t="s">
        <v>18</v>
      </c>
      <c r="K498" s="2" t="s">
        <v>19</v>
      </c>
      <c r="L498" s="3">
        <v>42818</v>
      </c>
      <c r="M498" s="3">
        <v>42955</v>
      </c>
      <c r="N498" s="3">
        <v>46605</v>
      </c>
      <c r="O498" s="3">
        <v>44781</v>
      </c>
      <c r="P498" s="2" t="s">
        <v>376</v>
      </c>
    </row>
    <row r="499" spans="1:16" x14ac:dyDescent="0.35">
      <c r="A499" s="2" t="s">
        <v>831</v>
      </c>
      <c r="B499" s="2" t="s">
        <v>832</v>
      </c>
      <c r="C499" s="2" t="s">
        <v>375</v>
      </c>
      <c r="D499" s="2" t="str">
        <f>IF(COUNTIF(RBE!$C$1:$C$629,A499)&gt;0,"Existe","Absent")</f>
        <v>Absent</v>
      </c>
      <c r="E499" s="2" t="s">
        <v>3163</v>
      </c>
      <c r="F499" s="2" t="s">
        <v>15</v>
      </c>
      <c r="H499" s="2" t="s">
        <v>27</v>
      </c>
      <c r="I499" s="2" t="s">
        <v>28</v>
      </c>
      <c r="J499" s="2" t="s">
        <v>18</v>
      </c>
      <c r="K499" s="2" t="s">
        <v>88</v>
      </c>
      <c r="L499" s="3">
        <v>42667</v>
      </c>
      <c r="M499" s="3">
        <v>44747</v>
      </c>
      <c r="N499" s="3">
        <v>46572</v>
      </c>
      <c r="P499" s="2" t="s">
        <v>833</v>
      </c>
    </row>
    <row r="500" spans="1:16" x14ac:dyDescent="0.35">
      <c r="A500" s="2" t="s">
        <v>30</v>
      </c>
      <c r="B500" s="2" t="s">
        <v>31</v>
      </c>
      <c r="C500" s="2" t="s">
        <v>32</v>
      </c>
      <c r="D500" s="2" t="str">
        <f>IF(COUNTIF(RBE!$C$1:$C$629,A500)&gt;0,"Existe","Absent")</f>
        <v>Absent</v>
      </c>
      <c r="E500" s="2" t="s">
        <v>3163</v>
      </c>
      <c r="F500" s="2" t="s">
        <v>15</v>
      </c>
      <c r="H500" s="2" t="s">
        <v>16</v>
      </c>
      <c r="I500" s="2" t="s">
        <v>33</v>
      </c>
      <c r="J500" s="2" t="s">
        <v>18</v>
      </c>
      <c r="K500" s="2" t="s">
        <v>19</v>
      </c>
      <c r="L500" s="3">
        <v>29461</v>
      </c>
      <c r="M500" s="3">
        <v>31156</v>
      </c>
      <c r="P500" s="2" t="s">
        <v>34</v>
      </c>
    </row>
    <row r="501" spans="1:16" x14ac:dyDescent="0.35">
      <c r="A501" s="2" t="s">
        <v>35</v>
      </c>
      <c r="B501" s="2" t="s">
        <v>36</v>
      </c>
      <c r="C501" s="2" t="s">
        <v>32</v>
      </c>
      <c r="D501" s="2" t="str">
        <f>IF(COUNTIF(RBE!$C$1:$C$629,A501)&gt;0,"Existe","Absent")</f>
        <v>Absent</v>
      </c>
      <c r="E501" s="2" t="s">
        <v>3163</v>
      </c>
      <c r="F501" s="2" t="s">
        <v>15</v>
      </c>
      <c r="H501" s="2" t="s">
        <v>16</v>
      </c>
      <c r="I501" s="2" t="s">
        <v>37</v>
      </c>
      <c r="J501" s="2" t="s">
        <v>18</v>
      </c>
      <c r="K501" s="2" t="s">
        <v>19</v>
      </c>
      <c r="L501" s="3">
        <v>29461</v>
      </c>
      <c r="M501" s="3">
        <v>31156</v>
      </c>
      <c r="P501" s="2" t="s">
        <v>38</v>
      </c>
    </row>
    <row r="502" spans="1:16" x14ac:dyDescent="0.35">
      <c r="A502" s="2" t="s">
        <v>39</v>
      </c>
      <c r="B502" s="2" t="s">
        <v>40</v>
      </c>
      <c r="C502" s="2" t="s">
        <v>32</v>
      </c>
      <c r="D502" s="2" t="str">
        <f>IF(COUNTIF(RBE!$C$1:$C$629,A502)&gt;0,"Existe","Absent")</f>
        <v>Absent</v>
      </c>
      <c r="E502" s="2" t="s">
        <v>3163</v>
      </c>
      <c r="F502" s="2" t="s">
        <v>15</v>
      </c>
      <c r="H502" s="2" t="s">
        <v>16</v>
      </c>
      <c r="I502" s="2" t="s">
        <v>33</v>
      </c>
      <c r="J502" s="2" t="s">
        <v>41</v>
      </c>
      <c r="K502" s="2" t="s">
        <v>19</v>
      </c>
      <c r="L502" s="3">
        <v>29461</v>
      </c>
      <c r="M502" s="3">
        <v>35807</v>
      </c>
      <c r="N502" s="3">
        <v>44937</v>
      </c>
      <c r="P502" s="2" t="s">
        <v>42</v>
      </c>
    </row>
    <row r="503" spans="1:16" x14ac:dyDescent="0.35">
      <c r="A503" s="2" t="s">
        <v>43</v>
      </c>
      <c r="B503" s="2" t="s">
        <v>44</v>
      </c>
      <c r="C503" s="2" t="s">
        <v>32</v>
      </c>
      <c r="D503" s="2" t="str">
        <f>IF(COUNTIF(RBE!$C$1:$C$629,A503)&gt;0,"Existe","Absent")</f>
        <v>Absent</v>
      </c>
      <c r="E503" s="2" t="s">
        <v>3163</v>
      </c>
      <c r="F503" s="2" t="s">
        <v>15</v>
      </c>
      <c r="H503" s="2" t="s">
        <v>16</v>
      </c>
      <c r="I503" s="2" t="s">
        <v>37</v>
      </c>
      <c r="J503" s="2" t="s">
        <v>18</v>
      </c>
      <c r="K503" s="2" t="s">
        <v>19</v>
      </c>
      <c r="L503" s="3">
        <v>29461</v>
      </c>
      <c r="M503" s="3">
        <v>31156</v>
      </c>
      <c r="P503" s="2" t="s">
        <v>45</v>
      </c>
    </row>
    <row r="504" spans="1:16" x14ac:dyDescent="0.35">
      <c r="A504" s="2" t="s">
        <v>1188</v>
      </c>
      <c r="B504" s="2" t="s">
        <v>1189</v>
      </c>
      <c r="C504" s="2" t="s">
        <v>1190</v>
      </c>
      <c r="D504" s="2" t="str">
        <f>IF(COUNTIF(RBE!$C$1:$C$629,A504)&gt;0,"Existe","Absent")</f>
        <v>Absent</v>
      </c>
      <c r="E504" s="2" t="s">
        <v>3163</v>
      </c>
      <c r="F504" s="2" t="s">
        <v>15</v>
      </c>
      <c r="H504" s="2" t="s">
        <v>148</v>
      </c>
      <c r="I504" s="2" t="s">
        <v>17</v>
      </c>
      <c r="J504" s="2" t="s">
        <v>18</v>
      </c>
      <c r="K504" s="2" t="s">
        <v>19</v>
      </c>
      <c r="L504" s="3">
        <v>45013</v>
      </c>
      <c r="M504" s="3">
        <v>45224</v>
      </c>
      <c r="N504" s="3">
        <v>47050</v>
      </c>
      <c r="P504" s="2" t="s">
        <v>1191</v>
      </c>
    </row>
    <row r="505" spans="1:16" x14ac:dyDescent="0.35">
      <c r="A505" s="2" t="s">
        <v>1333</v>
      </c>
      <c r="B505" s="2" t="s">
        <v>1334</v>
      </c>
      <c r="C505" s="2" t="s">
        <v>1335</v>
      </c>
      <c r="D505" s="2" t="str">
        <f>IF(COUNTIF(RBE!$C$1:$C$629,A505)&gt;0,"Existe","Absent")</f>
        <v>Absent</v>
      </c>
      <c r="E505" s="2" t="s">
        <v>3163</v>
      </c>
      <c r="F505" s="2" t="s">
        <v>15</v>
      </c>
      <c r="H505" s="2" t="s">
        <v>573</v>
      </c>
      <c r="I505" s="2" t="s">
        <v>60</v>
      </c>
      <c r="J505" s="2" t="s">
        <v>18</v>
      </c>
      <c r="K505" s="2" t="s">
        <v>163</v>
      </c>
      <c r="L505" s="3">
        <v>45240</v>
      </c>
      <c r="M505" s="3">
        <v>45327</v>
      </c>
      <c r="N505" s="3">
        <v>45692</v>
      </c>
      <c r="P505" s="2" t="s">
        <v>1336</v>
      </c>
    </row>
    <row r="506" spans="1:16" x14ac:dyDescent="0.35">
      <c r="A506" s="2" t="s">
        <v>898</v>
      </c>
      <c r="C506" s="2" t="s">
        <v>899</v>
      </c>
      <c r="D506" s="2" t="str">
        <f>IF(COUNTIF(RBE!$C$1:$C$629,A506)&gt;0,"Existe","Absent")</f>
        <v>Absent</v>
      </c>
      <c r="E506" s="2" t="s">
        <v>3163</v>
      </c>
      <c r="F506" s="2" t="s">
        <v>15</v>
      </c>
      <c r="H506" s="2" t="s">
        <v>27</v>
      </c>
      <c r="I506" s="2" t="s">
        <v>28</v>
      </c>
      <c r="J506" s="2" t="s">
        <v>18</v>
      </c>
      <c r="K506" s="2" t="s">
        <v>88</v>
      </c>
      <c r="L506" s="3">
        <v>43552</v>
      </c>
      <c r="M506" s="3">
        <v>44789</v>
      </c>
      <c r="N506" s="3">
        <v>46614</v>
      </c>
      <c r="P506" s="2" t="s">
        <v>900</v>
      </c>
    </row>
    <row r="507" spans="1:16" x14ac:dyDescent="0.35">
      <c r="A507" s="2" t="s">
        <v>1151</v>
      </c>
      <c r="C507" s="2" t="s">
        <v>899</v>
      </c>
      <c r="D507" s="2" t="str">
        <f>IF(COUNTIF(RBE!$C$1:$C$629,A507)&gt;0,"Existe","Absent")</f>
        <v>Absent</v>
      </c>
      <c r="E507" s="2" t="s">
        <v>3163</v>
      </c>
      <c r="F507" s="2" t="s">
        <v>15</v>
      </c>
      <c r="H507" s="2" t="s">
        <v>311</v>
      </c>
      <c r="I507" s="2" t="s">
        <v>149</v>
      </c>
      <c r="J507" s="2" t="s">
        <v>18</v>
      </c>
      <c r="K507" s="2" t="s">
        <v>19</v>
      </c>
      <c r="L507" s="3">
        <v>45261</v>
      </c>
      <c r="M507" s="3">
        <v>45145</v>
      </c>
      <c r="N507" s="3">
        <v>46971</v>
      </c>
    </row>
    <row r="508" spans="1:16" x14ac:dyDescent="0.35">
      <c r="A508" s="2" t="s">
        <v>565</v>
      </c>
      <c r="B508" s="2" t="s">
        <v>566</v>
      </c>
      <c r="C508" s="2" t="s">
        <v>567</v>
      </c>
      <c r="D508" s="2" t="str">
        <f>IF(COUNTIF(RBE!$C$1:$C$629,A508)&gt;0,"Existe","Absent")</f>
        <v>Absent</v>
      </c>
      <c r="E508" s="2" t="s">
        <v>3163</v>
      </c>
      <c r="F508" s="2" t="s">
        <v>15</v>
      </c>
      <c r="H508" s="2" t="s">
        <v>311</v>
      </c>
      <c r="I508" s="2" t="s">
        <v>149</v>
      </c>
      <c r="J508" s="2" t="s">
        <v>18</v>
      </c>
      <c r="K508" s="2" t="s">
        <v>19</v>
      </c>
      <c r="L508" s="3">
        <v>43815</v>
      </c>
      <c r="M508" s="3">
        <v>43879</v>
      </c>
      <c r="N508" s="3">
        <v>45705</v>
      </c>
      <c r="P508" s="2" t="s">
        <v>550</v>
      </c>
    </row>
    <row r="509" spans="1:16" x14ac:dyDescent="0.35">
      <c r="A509" s="2" t="s">
        <v>620</v>
      </c>
      <c r="C509" s="2" t="s">
        <v>621</v>
      </c>
      <c r="D509" s="2" t="str">
        <f>IF(COUNTIF(RBE!$C$1:$C$629,A509)&gt;0,"Existe","Absent")</f>
        <v>Absent</v>
      </c>
      <c r="E509" s="2" t="s">
        <v>3163</v>
      </c>
      <c r="F509" s="2" t="s">
        <v>15</v>
      </c>
      <c r="H509" s="2" t="s">
        <v>27</v>
      </c>
      <c r="I509" s="2" t="s">
        <v>28</v>
      </c>
      <c r="J509" s="2" t="s">
        <v>18</v>
      </c>
      <c r="K509" s="2" t="s">
        <v>88</v>
      </c>
      <c r="L509" s="3">
        <v>44351</v>
      </c>
      <c r="M509" s="3">
        <v>44405</v>
      </c>
      <c r="N509" s="3">
        <v>46230</v>
      </c>
      <c r="P509" s="2" t="s">
        <v>622</v>
      </c>
    </row>
    <row r="510" spans="1:16" x14ac:dyDescent="0.35">
      <c r="A510" s="2" t="s">
        <v>918</v>
      </c>
      <c r="B510" s="2" t="s">
        <v>402</v>
      </c>
      <c r="C510" s="2" t="s">
        <v>621</v>
      </c>
      <c r="D510" s="2" t="str">
        <f>IF(COUNTIF(RBE!$C$1:$C$629,A510)&gt;0,"Existe","Absent")</f>
        <v>Absent</v>
      </c>
      <c r="E510" s="2" t="s">
        <v>3163</v>
      </c>
      <c r="F510" s="2" t="s">
        <v>15</v>
      </c>
      <c r="H510" s="2" t="s">
        <v>139</v>
      </c>
      <c r="I510" s="2" t="s">
        <v>93</v>
      </c>
      <c r="J510" s="2" t="s">
        <v>18</v>
      </c>
      <c r="K510" s="2" t="s">
        <v>88</v>
      </c>
      <c r="L510" s="3">
        <v>44833</v>
      </c>
      <c r="M510" s="3">
        <v>44958</v>
      </c>
      <c r="N510" s="3">
        <v>46418</v>
      </c>
      <c r="P510" s="2" t="s">
        <v>919</v>
      </c>
    </row>
    <row r="511" spans="1:16" x14ac:dyDescent="0.35">
      <c r="A511" s="2" t="s">
        <v>1350</v>
      </c>
      <c r="C511" s="2" t="s">
        <v>621</v>
      </c>
      <c r="D511" s="2" t="str">
        <f>IF(COUNTIF(RBE!$C$1:$C$629,A511)&gt;0,"Existe","Absent")</f>
        <v>Absent</v>
      </c>
      <c r="E511" s="2" t="s">
        <v>3163</v>
      </c>
      <c r="F511" s="2" t="s">
        <v>15</v>
      </c>
      <c r="H511" s="2" t="s">
        <v>27</v>
      </c>
      <c r="I511" s="2" t="s">
        <v>28</v>
      </c>
      <c r="J511" s="2" t="s">
        <v>18</v>
      </c>
      <c r="K511" s="2" t="s">
        <v>19</v>
      </c>
      <c r="L511" s="3">
        <v>45168</v>
      </c>
      <c r="M511" s="3">
        <v>45267</v>
      </c>
      <c r="N511" s="3">
        <v>47093</v>
      </c>
      <c r="P511" s="2" t="s">
        <v>1351</v>
      </c>
    </row>
    <row r="512" spans="1:16" x14ac:dyDescent="0.35">
      <c r="A512" s="2" t="s">
        <v>1125</v>
      </c>
      <c r="B512" s="2" t="s">
        <v>1126</v>
      </c>
      <c r="C512" s="2" t="s">
        <v>1127</v>
      </c>
      <c r="D512" s="2" t="str">
        <f>IF(COUNTIF(RBE!$C$1:$C$629,A512)&gt;0,"Existe","Absent")</f>
        <v>Absent</v>
      </c>
      <c r="E512" s="2" t="s">
        <v>3163</v>
      </c>
      <c r="F512" s="2" t="s">
        <v>15</v>
      </c>
      <c r="H512" s="2" t="s">
        <v>154</v>
      </c>
      <c r="I512" s="2" t="s">
        <v>93</v>
      </c>
      <c r="J512" s="2" t="s">
        <v>18</v>
      </c>
      <c r="K512" s="2" t="s">
        <v>88</v>
      </c>
      <c r="L512" s="3">
        <v>45092</v>
      </c>
      <c r="M512" s="3">
        <v>45134</v>
      </c>
      <c r="N512" s="3">
        <v>46229</v>
      </c>
      <c r="P512" s="2" t="s">
        <v>1128</v>
      </c>
    </row>
    <row r="513" spans="1:16" x14ac:dyDescent="0.35">
      <c r="A513" s="2" t="s">
        <v>480</v>
      </c>
      <c r="C513" s="2" t="s">
        <v>481</v>
      </c>
      <c r="D513" s="2" t="str">
        <f>IF(COUNTIF(RBE!$C$1:$C$629,A513)&gt;0,"Existe","Absent")</f>
        <v>Absent</v>
      </c>
      <c r="E513" s="2" t="s">
        <v>3163</v>
      </c>
      <c r="F513" s="2" t="s">
        <v>15</v>
      </c>
      <c r="H513" s="2" t="s">
        <v>27</v>
      </c>
      <c r="I513" s="2" t="s">
        <v>118</v>
      </c>
      <c r="J513" s="2" t="s">
        <v>18</v>
      </c>
      <c r="K513" s="2" t="s">
        <v>19</v>
      </c>
      <c r="L513" s="3">
        <v>43328</v>
      </c>
      <c r="M513" s="3">
        <v>43825</v>
      </c>
      <c r="N513" s="3">
        <v>45651</v>
      </c>
      <c r="P513" s="2" t="s">
        <v>482</v>
      </c>
    </row>
    <row r="514" spans="1:16" x14ac:dyDescent="0.35">
      <c r="A514" s="2" t="s">
        <v>687</v>
      </c>
      <c r="B514" s="2" t="s">
        <v>688</v>
      </c>
      <c r="C514" s="2" t="s">
        <v>689</v>
      </c>
      <c r="D514" s="2" t="str">
        <f>IF(COUNTIF(RBE!$C$1:$C$629,A514)&gt;0,"Existe","Absent")</f>
        <v>Absent</v>
      </c>
      <c r="E514" s="2" t="s">
        <v>3163</v>
      </c>
      <c r="F514" s="2" t="s">
        <v>15</v>
      </c>
      <c r="H514" s="2" t="s">
        <v>148</v>
      </c>
      <c r="I514" s="2" t="s">
        <v>93</v>
      </c>
      <c r="J514" s="2" t="s">
        <v>18</v>
      </c>
      <c r="K514" s="2" t="s">
        <v>88</v>
      </c>
      <c r="L514" s="3">
        <v>44494</v>
      </c>
      <c r="M514" s="3">
        <v>44572</v>
      </c>
      <c r="N514" s="3">
        <v>46397</v>
      </c>
      <c r="P514" s="2" t="s">
        <v>690</v>
      </c>
    </row>
    <row r="515" spans="1:16" x14ac:dyDescent="0.35">
      <c r="A515" s="2" t="s">
        <v>1793</v>
      </c>
      <c r="C515" s="2" t="s">
        <v>1794</v>
      </c>
      <c r="D515" s="2" t="str">
        <f>IF(COUNTIF(RBE!$C$1:$C$629,A515)&gt;0,"Existe","Absent")</f>
        <v>Absent</v>
      </c>
      <c r="E515" s="2" t="s">
        <v>3163</v>
      </c>
      <c r="F515" s="2" t="s">
        <v>15</v>
      </c>
      <c r="H515" s="2" t="s">
        <v>1795</v>
      </c>
      <c r="J515" s="2" t="s">
        <v>18</v>
      </c>
      <c r="L515" s="3">
        <v>45797</v>
      </c>
      <c r="M515" s="3">
        <v>45797</v>
      </c>
      <c r="N515" s="3">
        <v>45797</v>
      </c>
    </row>
    <row r="516" spans="1:16" x14ac:dyDescent="0.35">
      <c r="A516" s="2" t="s">
        <v>783</v>
      </c>
      <c r="B516" s="2" t="s">
        <v>784</v>
      </c>
      <c r="C516" s="2" t="s">
        <v>785</v>
      </c>
      <c r="D516" s="2" t="str">
        <f>IF(COUNTIF(RBE!$C$1:$C$629,A516)&gt;0,"Existe","Absent")</f>
        <v>Absent</v>
      </c>
      <c r="E516" s="2" t="s">
        <v>3163</v>
      </c>
      <c r="F516" s="2" t="s">
        <v>15</v>
      </c>
      <c r="H516" s="2" t="s">
        <v>27</v>
      </c>
      <c r="I516" s="2" t="s">
        <v>786</v>
      </c>
      <c r="J516" s="2" t="s">
        <v>18</v>
      </c>
      <c r="K516" s="2" t="s">
        <v>19</v>
      </c>
      <c r="L516" s="3">
        <v>42100</v>
      </c>
      <c r="M516" s="3">
        <v>42920</v>
      </c>
      <c r="N516" s="3">
        <v>46178</v>
      </c>
      <c r="P516" s="2" t="s">
        <v>787</v>
      </c>
    </row>
    <row r="517" spans="1:16" x14ac:dyDescent="0.35">
      <c r="A517" s="2" t="s">
        <v>1068</v>
      </c>
      <c r="C517" s="2" t="s">
        <v>1069</v>
      </c>
      <c r="D517" s="2" t="str">
        <f>IF(COUNTIF(RBE!$C$1:$C$629,A517)&gt;0,"Existe","Absent")</f>
        <v>Absent</v>
      </c>
      <c r="E517" s="2" t="s">
        <v>3163</v>
      </c>
      <c r="F517" s="2" t="s">
        <v>15</v>
      </c>
      <c r="H517" s="2" t="s">
        <v>154</v>
      </c>
      <c r="I517" s="2" t="s">
        <v>93</v>
      </c>
      <c r="J517" s="2" t="s">
        <v>18</v>
      </c>
      <c r="K517" s="2" t="s">
        <v>88</v>
      </c>
      <c r="L517" s="3">
        <v>45062</v>
      </c>
      <c r="M517" s="3">
        <v>45070</v>
      </c>
      <c r="N517" s="3">
        <v>46165</v>
      </c>
      <c r="P517" s="2" t="s">
        <v>1070</v>
      </c>
    </row>
    <row r="518" spans="1:16" x14ac:dyDescent="0.35">
      <c r="A518" s="2" t="s">
        <v>976</v>
      </c>
      <c r="C518" s="2" t="s">
        <v>977</v>
      </c>
      <c r="D518" s="2" t="str">
        <f>IF(COUNTIF(RBE!$C$1:$C$629,A518)&gt;0,"Existe","Absent")</f>
        <v>Absent</v>
      </c>
      <c r="E518" s="2" t="s">
        <v>3163</v>
      </c>
      <c r="F518" s="2" t="s">
        <v>15</v>
      </c>
      <c r="H518" s="2" t="s">
        <v>154</v>
      </c>
      <c r="I518" s="2" t="s">
        <v>93</v>
      </c>
      <c r="J518" s="2" t="s">
        <v>18</v>
      </c>
      <c r="K518" s="2" t="s">
        <v>88</v>
      </c>
      <c r="L518" s="3">
        <v>44965</v>
      </c>
      <c r="M518" s="3">
        <v>45000</v>
      </c>
      <c r="N518" s="3">
        <v>46095</v>
      </c>
      <c r="P518" s="2" t="s">
        <v>978</v>
      </c>
    </row>
    <row r="519" spans="1:16" x14ac:dyDescent="0.35">
      <c r="A519" s="2" t="s">
        <v>504</v>
      </c>
      <c r="B519" s="2" t="s">
        <v>505</v>
      </c>
      <c r="C519" s="2" t="s">
        <v>506</v>
      </c>
      <c r="D519" s="2" t="str">
        <f>IF(COUNTIF(RBE!$C$1:$C$629,A519)&gt;0,"Existe","Absent")</f>
        <v>Absent</v>
      </c>
      <c r="E519" s="2" t="s">
        <v>3163</v>
      </c>
      <c r="F519" s="2" t="s">
        <v>15</v>
      </c>
      <c r="H519" s="2" t="s">
        <v>139</v>
      </c>
      <c r="I519" s="2" t="s">
        <v>93</v>
      </c>
      <c r="J519" s="2" t="s">
        <v>18</v>
      </c>
      <c r="K519" s="2" t="s">
        <v>88</v>
      </c>
      <c r="L519" s="3">
        <v>43697</v>
      </c>
      <c r="M519" s="3">
        <v>43879</v>
      </c>
      <c r="N519" s="3">
        <v>46435</v>
      </c>
      <c r="P519" s="2" t="s">
        <v>507</v>
      </c>
    </row>
    <row r="520" spans="1:16" x14ac:dyDescent="0.35">
      <c r="A520" s="2" t="s">
        <v>331</v>
      </c>
      <c r="C520" s="2" t="s">
        <v>332</v>
      </c>
      <c r="D520" s="2" t="str">
        <f>IF(COUNTIF(RBE!$C$1:$C$629,A520)&gt;0,"Existe","Absent")</f>
        <v>Absent</v>
      </c>
      <c r="E520" s="2" t="s">
        <v>3163</v>
      </c>
      <c r="F520" s="2" t="s">
        <v>15</v>
      </c>
      <c r="H520" s="2" t="s">
        <v>311</v>
      </c>
      <c r="I520" s="2" t="s">
        <v>149</v>
      </c>
      <c r="J520" s="2" t="s">
        <v>18</v>
      </c>
      <c r="K520" s="2" t="s">
        <v>19</v>
      </c>
      <c r="L520" s="3">
        <v>42415</v>
      </c>
      <c r="M520" s="3">
        <v>42635</v>
      </c>
      <c r="N520" s="3">
        <v>46286</v>
      </c>
      <c r="O520" s="3">
        <v>44461</v>
      </c>
      <c r="P520" s="2" t="s">
        <v>333</v>
      </c>
    </row>
    <row r="521" spans="1:16" x14ac:dyDescent="0.35">
      <c r="A521" s="2" t="s">
        <v>141</v>
      </c>
      <c r="B521" s="2" t="s">
        <v>142</v>
      </c>
      <c r="C521" s="2" t="s">
        <v>143</v>
      </c>
      <c r="D521" s="2" t="str">
        <f>IF(COUNTIF(RBE!$C$1:$C$629,A521)&gt;0,"Existe","Absent")</f>
        <v>Absent</v>
      </c>
      <c r="E521" s="2" t="s">
        <v>3163</v>
      </c>
      <c r="F521" s="2" t="s">
        <v>15</v>
      </c>
      <c r="H521" s="2" t="s">
        <v>27</v>
      </c>
      <c r="I521" s="2" t="s">
        <v>118</v>
      </c>
      <c r="J521" s="2" t="s">
        <v>18</v>
      </c>
      <c r="K521" s="2" t="s">
        <v>101</v>
      </c>
      <c r="L521" s="3">
        <v>40151</v>
      </c>
      <c r="M521" s="3">
        <v>37427</v>
      </c>
      <c r="N521" s="3">
        <v>45830</v>
      </c>
      <c r="P521" s="2" t="s">
        <v>144</v>
      </c>
    </row>
    <row r="522" spans="1:16" x14ac:dyDescent="0.35">
      <c r="A522" s="2" t="s">
        <v>636</v>
      </c>
      <c r="C522" s="2" t="s">
        <v>143</v>
      </c>
      <c r="D522" s="2" t="str">
        <f>IF(COUNTIF(RBE!$C$1:$C$629,A522)&gt;0,"Existe","Absent")</f>
        <v>Absent</v>
      </c>
      <c r="E522" s="2" t="s">
        <v>3163</v>
      </c>
      <c r="F522" s="2" t="s">
        <v>15</v>
      </c>
      <c r="H522" s="2" t="s">
        <v>311</v>
      </c>
      <c r="I522" s="2" t="s">
        <v>149</v>
      </c>
      <c r="J522" s="2" t="s">
        <v>18</v>
      </c>
      <c r="K522" s="2" t="s">
        <v>19</v>
      </c>
      <c r="L522" s="3">
        <v>44354</v>
      </c>
      <c r="M522" s="3">
        <v>44476</v>
      </c>
      <c r="N522" s="3">
        <v>46301</v>
      </c>
    </row>
    <row r="523" spans="1:16" x14ac:dyDescent="0.35">
      <c r="A523" s="2" t="s">
        <v>1467</v>
      </c>
      <c r="B523" s="2" t="s">
        <v>566</v>
      </c>
      <c r="C523" s="2" t="s">
        <v>1468</v>
      </c>
      <c r="D523" s="2" t="str">
        <f>IF(COUNTIF(RBE!$C$1:$C$629,A523)&gt;0,"Existe","Absent")</f>
        <v>Absent</v>
      </c>
      <c r="E523" s="2" t="s">
        <v>3163</v>
      </c>
      <c r="F523" s="2" t="s">
        <v>15</v>
      </c>
      <c r="H523" s="2" t="s">
        <v>311</v>
      </c>
      <c r="I523" s="2" t="s">
        <v>149</v>
      </c>
      <c r="J523" s="2" t="s">
        <v>18</v>
      </c>
      <c r="K523" s="2" t="s">
        <v>19</v>
      </c>
      <c r="L523" s="3">
        <v>45387</v>
      </c>
      <c r="M523" s="3">
        <v>45366</v>
      </c>
      <c r="N523" s="3">
        <v>47191</v>
      </c>
    </row>
    <row r="524" spans="1:16" x14ac:dyDescent="0.35">
      <c r="A524" s="2" t="s">
        <v>1000</v>
      </c>
      <c r="B524" s="2" t="s">
        <v>1001</v>
      </c>
      <c r="C524" s="2" t="s">
        <v>1002</v>
      </c>
      <c r="D524" s="2" t="str">
        <f>IF(COUNTIF(RBE!$C$1:$C$629,A524)&gt;0,"Existe","Absent")</f>
        <v>Absent</v>
      </c>
      <c r="E524" s="2" t="s">
        <v>3163</v>
      </c>
      <c r="F524" s="2" t="s">
        <v>15</v>
      </c>
      <c r="H524" s="2" t="s">
        <v>154</v>
      </c>
      <c r="I524" s="2" t="s">
        <v>93</v>
      </c>
      <c r="J524" s="2" t="s">
        <v>41</v>
      </c>
      <c r="K524" s="2" t="s">
        <v>88</v>
      </c>
      <c r="L524" s="3">
        <v>42907</v>
      </c>
      <c r="M524" s="3">
        <v>43179</v>
      </c>
      <c r="N524" s="3">
        <v>44274</v>
      </c>
      <c r="P524" s="2" t="s">
        <v>1003</v>
      </c>
    </row>
    <row r="525" spans="1:16" x14ac:dyDescent="0.35">
      <c r="A525" s="2" t="s">
        <v>1140</v>
      </c>
      <c r="C525" s="2" t="s">
        <v>1141</v>
      </c>
      <c r="D525" s="2" t="str">
        <f>IF(COUNTIF(RBE!$C$1:$C$629,A525)&gt;0,"Existe","Absent")</f>
        <v>Absent</v>
      </c>
      <c r="E525" s="2" t="s">
        <v>3163</v>
      </c>
      <c r="F525" s="2" t="s">
        <v>15</v>
      </c>
      <c r="H525" s="2" t="s">
        <v>27</v>
      </c>
      <c r="I525" s="2" t="s">
        <v>28</v>
      </c>
      <c r="J525" s="2" t="s">
        <v>18</v>
      </c>
      <c r="K525" s="2" t="s">
        <v>19</v>
      </c>
      <c r="L525" s="3">
        <v>45103</v>
      </c>
      <c r="M525" s="3">
        <v>45184</v>
      </c>
      <c r="N525" s="3">
        <v>47010</v>
      </c>
      <c r="P525" s="2" t="s">
        <v>1142</v>
      </c>
    </row>
    <row r="526" spans="1:16" x14ac:dyDescent="0.35">
      <c r="A526" s="2" t="s">
        <v>428</v>
      </c>
      <c r="B526" s="2" t="s">
        <v>328</v>
      </c>
      <c r="C526" s="2" t="s">
        <v>429</v>
      </c>
      <c r="D526" s="2" t="str">
        <f>IF(COUNTIF(RBE!$C$1:$C$629,A526)&gt;0,"Existe","Absent")</f>
        <v>Absent</v>
      </c>
      <c r="E526" s="2" t="s">
        <v>3163</v>
      </c>
      <c r="F526" s="2" t="s">
        <v>15</v>
      </c>
      <c r="H526" s="2" t="s">
        <v>311</v>
      </c>
      <c r="I526" s="2" t="s">
        <v>149</v>
      </c>
      <c r="J526" s="2" t="s">
        <v>18</v>
      </c>
      <c r="K526" s="2" t="s">
        <v>19</v>
      </c>
      <c r="L526" s="3">
        <v>43116</v>
      </c>
      <c r="M526" s="3">
        <v>43207</v>
      </c>
      <c r="N526" s="3">
        <v>46792</v>
      </c>
      <c r="O526" s="3">
        <v>44968</v>
      </c>
      <c r="P526" s="2" t="s">
        <v>430</v>
      </c>
    </row>
    <row r="527" spans="1:16" x14ac:dyDescent="0.35">
      <c r="A527" s="2" t="s">
        <v>590</v>
      </c>
      <c r="C527" s="2" t="s">
        <v>591</v>
      </c>
      <c r="D527" s="2" t="str">
        <f>IF(COUNTIF(RBE!$C$1:$C$629,A527)&gt;0,"Existe","Absent")</f>
        <v>Absent</v>
      </c>
      <c r="E527" s="2" t="s">
        <v>3163</v>
      </c>
      <c r="F527" s="2" t="s">
        <v>15</v>
      </c>
      <c r="H527" s="2" t="s">
        <v>27</v>
      </c>
      <c r="I527" s="2" t="s">
        <v>28</v>
      </c>
      <c r="J527" s="2" t="s">
        <v>18</v>
      </c>
      <c r="K527" s="2" t="s">
        <v>88</v>
      </c>
      <c r="L527" s="3">
        <v>44312</v>
      </c>
      <c r="M527" s="3">
        <v>44439</v>
      </c>
      <c r="N527" s="3">
        <v>46264</v>
      </c>
      <c r="P527" s="2" t="s">
        <v>592</v>
      </c>
    </row>
    <row r="528" spans="1:16" x14ac:dyDescent="0.35">
      <c r="A528" s="2" t="s">
        <v>954</v>
      </c>
      <c r="B528" s="2" t="s">
        <v>955</v>
      </c>
      <c r="C528" s="2" t="s">
        <v>956</v>
      </c>
      <c r="D528" s="2" t="str">
        <f>IF(COUNTIF(RBE!$C$1:$C$629,A528)&gt;0,"Existe","Absent")</f>
        <v>Absent</v>
      </c>
      <c r="E528" s="2" t="s">
        <v>3163</v>
      </c>
      <c r="F528" s="2" t="s">
        <v>15</v>
      </c>
      <c r="H528" s="2" t="s">
        <v>154</v>
      </c>
      <c r="I528" s="2" t="s">
        <v>93</v>
      </c>
      <c r="J528" s="2" t="s">
        <v>18</v>
      </c>
      <c r="K528" s="2" t="s">
        <v>88</v>
      </c>
      <c r="L528" s="3">
        <v>44529</v>
      </c>
      <c r="M528" s="3">
        <v>45041</v>
      </c>
      <c r="N528" s="3">
        <v>46136</v>
      </c>
      <c r="P528" s="2" t="s">
        <v>957</v>
      </c>
    </row>
    <row r="529" spans="1:16" x14ac:dyDescent="0.35">
      <c r="A529" s="2" t="s">
        <v>637</v>
      </c>
      <c r="B529" s="2" t="s">
        <v>566</v>
      </c>
      <c r="C529" s="2" t="s">
        <v>638</v>
      </c>
      <c r="D529" s="2" t="str">
        <f>IF(COUNTIF(RBE!$C$1:$C$629,A529)&gt;0,"Existe","Absent")</f>
        <v>Absent</v>
      </c>
      <c r="E529" s="2" t="s">
        <v>3163</v>
      </c>
      <c r="F529" s="2" t="s">
        <v>15</v>
      </c>
      <c r="H529" s="2" t="s">
        <v>311</v>
      </c>
      <c r="I529" s="2" t="s">
        <v>149</v>
      </c>
      <c r="J529" s="2" t="s">
        <v>18</v>
      </c>
      <c r="K529" s="2" t="s">
        <v>19</v>
      </c>
      <c r="L529" s="3">
        <v>44414</v>
      </c>
      <c r="M529" s="3">
        <v>44537</v>
      </c>
      <c r="N529" s="3">
        <v>46362</v>
      </c>
    </row>
    <row r="530" spans="1:16" x14ac:dyDescent="0.35">
      <c r="A530" s="2" t="s">
        <v>1736</v>
      </c>
      <c r="B530" s="2" t="s">
        <v>58</v>
      </c>
      <c r="C530" s="2" t="s">
        <v>1737</v>
      </c>
      <c r="D530" s="2" t="str">
        <f>IF(COUNTIF(RBE!$C$1:$C$629,A530)&gt;0,"Existe","Absent")</f>
        <v>Absent</v>
      </c>
      <c r="E530" s="2" t="s">
        <v>3163</v>
      </c>
      <c r="F530" s="2" t="s">
        <v>15</v>
      </c>
      <c r="H530" s="2" t="s">
        <v>27</v>
      </c>
      <c r="I530" s="2" t="s">
        <v>60</v>
      </c>
      <c r="J530" s="2" t="s">
        <v>18</v>
      </c>
      <c r="K530" s="2" t="s">
        <v>19</v>
      </c>
      <c r="L530" s="3">
        <v>42011</v>
      </c>
      <c r="M530" s="3">
        <v>42054</v>
      </c>
      <c r="N530" s="3">
        <v>45706</v>
      </c>
      <c r="O530" s="3">
        <v>43880</v>
      </c>
      <c r="P530" s="2" t="s">
        <v>1738</v>
      </c>
    </row>
    <row r="531" spans="1:16" x14ac:dyDescent="0.35">
      <c r="A531" s="2" t="s">
        <v>776</v>
      </c>
      <c r="B531" s="2" t="s">
        <v>777</v>
      </c>
      <c r="C531" s="2" t="s">
        <v>778</v>
      </c>
      <c r="D531" s="2" t="str">
        <f>IF(COUNTIF(RBE!$C$1:$C$629,A531)&gt;0,"Existe","Absent")</f>
        <v>Absent</v>
      </c>
      <c r="E531" s="2" t="s">
        <v>3163</v>
      </c>
      <c r="F531" s="2" t="s">
        <v>15</v>
      </c>
      <c r="H531" s="2" t="s">
        <v>154</v>
      </c>
      <c r="I531" s="2" t="s">
        <v>93</v>
      </c>
      <c r="J531" s="2" t="s">
        <v>18</v>
      </c>
      <c r="K531" s="2" t="s">
        <v>88</v>
      </c>
      <c r="L531" s="3">
        <v>44778</v>
      </c>
      <c r="M531" s="3">
        <v>44803</v>
      </c>
      <c r="N531" s="3">
        <v>45898</v>
      </c>
      <c r="P531" s="2" t="s">
        <v>779</v>
      </c>
    </row>
    <row r="532" spans="1:16" x14ac:dyDescent="0.35">
      <c r="A532" s="2" t="s">
        <v>780</v>
      </c>
      <c r="B532" s="2" t="s">
        <v>781</v>
      </c>
      <c r="C532" s="2" t="s">
        <v>778</v>
      </c>
      <c r="D532" s="2" t="str">
        <f>IF(COUNTIF(RBE!$C$1:$C$629,A532)&gt;0,"Existe","Absent")</f>
        <v>Absent</v>
      </c>
      <c r="E532" s="2" t="s">
        <v>3163</v>
      </c>
      <c r="F532" s="2" t="s">
        <v>15</v>
      </c>
      <c r="H532" s="2" t="s">
        <v>154</v>
      </c>
      <c r="I532" s="2" t="s">
        <v>93</v>
      </c>
      <c r="J532" s="2" t="s">
        <v>18</v>
      </c>
      <c r="K532" s="2" t="s">
        <v>88</v>
      </c>
      <c r="L532" s="3">
        <v>44778</v>
      </c>
      <c r="M532" s="3">
        <v>44803</v>
      </c>
      <c r="N532" s="3">
        <v>45898</v>
      </c>
      <c r="P532" s="2" t="s">
        <v>782</v>
      </c>
    </row>
    <row r="533" spans="1:16" x14ac:dyDescent="0.35">
      <c r="A533" s="2" t="s">
        <v>906</v>
      </c>
      <c r="C533" s="2" t="s">
        <v>778</v>
      </c>
      <c r="D533" s="2" t="str">
        <f>IF(COUNTIF(RBE!$C$1:$C$629,A533)&gt;0,"Existe","Absent")</f>
        <v>Absent</v>
      </c>
      <c r="E533" s="2" t="s">
        <v>3163</v>
      </c>
      <c r="F533" s="2" t="s">
        <v>15</v>
      </c>
      <c r="H533" s="2" t="s">
        <v>311</v>
      </c>
      <c r="I533" s="2" t="s">
        <v>149</v>
      </c>
      <c r="J533" s="2" t="s">
        <v>18</v>
      </c>
      <c r="K533" s="2" t="s">
        <v>19</v>
      </c>
      <c r="L533" s="3">
        <v>44870</v>
      </c>
      <c r="M533" s="3">
        <v>44901</v>
      </c>
      <c r="N533" s="3">
        <v>46726</v>
      </c>
    </row>
    <row r="534" spans="1:16" x14ac:dyDescent="0.35">
      <c r="A534" s="2" t="s">
        <v>593</v>
      </c>
      <c r="B534" s="2" t="s">
        <v>594</v>
      </c>
      <c r="C534" s="2" t="s">
        <v>595</v>
      </c>
      <c r="D534" s="2" t="str">
        <f>IF(COUNTIF(RBE!$C$1:$C$629,A534)&gt;0,"Existe","Absent")</f>
        <v>Absent</v>
      </c>
      <c r="E534" s="2" t="s">
        <v>3163</v>
      </c>
      <c r="F534" s="2" t="s">
        <v>15</v>
      </c>
      <c r="H534" s="2" t="s">
        <v>154</v>
      </c>
      <c r="I534" s="2" t="s">
        <v>93</v>
      </c>
      <c r="J534" s="2" t="s">
        <v>18</v>
      </c>
      <c r="K534" s="2" t="s">
        <v>88</v>
      </c>
      <c r="L534" s="3">
        <v>44298</v>
      </c>
      <c r="M534" s="3">
        <v>44383</v>
      </c>
      <c r="N534" s="3">
        <v>45478</v>
      </c>
      <c r="P534" s="2" t="s">
        <v>596</v>
      </c>
    </row>
    <row r="535" spans="1:16" x14ac:dyDescent="0.35">
      <c r="A535" s="2" t="s">
        <v>1725</v>
      </c>
      <c r="C535" s="2" t="s">
        <v>1726</v>
      </c>
      <c r="D535" s="2" t="str">
        <f>IF(COUNTIF(RBE!$C$1:$C$629,A535)&gt;0,"Existe","Absent")</f>
        <v>Absent</v>
      </c>
      <c r="E535" s="2" t="s">
        <v>3163</v>
      </c>
      <c r="F535" s="2" t="s">
        <v>15</v>
      </c>
      <c r="H535" s="2" t="s">
        <v>1609</v>
      </c>
      <c r="I535" s="2" t="s">
        <v>28</v>
      </c>
      <c r="J535" s="2" t="s">
        <v>18</v>
      </c>
      <c r="K535" s="2" t="s">
        <v>19</v>
      </c>
      <c r="L535" s="5">
        <v>46001.963807870401</v>
      </c>
      <c r="M535" s="3">
        <v>46048</v>
      </c>
      <c r="N535" s="3">
        <v>46228</v>
      </c>
      <c r="P535" s="2" t="s">
        <v>1727</v>
      </c>
    </row>
    <row r="536" spans="1:16" x14ac:dyDescent="0.35">
      <c r="A536" s="2" t="s">
        <v>1079</v>
      </c>
      <c r="C536" s="2" t="s">
        <v>1080</v>
      </c>
      <c r="D536" s="2" t="str">
        <f>IF(COUNTIF(RBE!$C$1:$C$629,A536)&gt;0,"Existe","Absent")</f>
        <v>Absent</v>
      </c>
      <c r="E536" s="2" t="s">
        <v>3163</v>
      </c>
      <c r="F536" s="2" t="s">
        <v>15</v>
      </c>
      <c r="H536" s="2" t="s">
        <v>27</v>
      </c>
      <c r="I536" s="2" t="s">
        <v>28</v>
      </c>
      <c r="J536" s="2" t="s">
        <v>18</v>
      </c>
      <c r="K536" s="2" t="s">
        <v>19</v>
      </c>
      <c r="L536" s="3">
        <v>45055</v>
      </c>
      <c r="M536" s="3">
        <v>45065</v>
      </c>
      <c r="N536" s="3">
        <v>46891</v>
      </c>
      <c r="P536" s="2" t="s">
        <v>1081</v>
      </c>
    </row>
    <row r="537" spans="1:16" x14ac:dyDescent="0.35">
      <c r="A537" s="2" t="s">
        <v>1171</v>
      </c>
      <c r="B537" s="2" t="s">
        <v>1172</v>
      </c>
      <c r="C537" s="2" t="s">
        <v>1173</v>
      </c>
      <c r="D537" s="2" t="str">
        <f>IF(COUNTIF(RBE!$C$1:$C$629,A537)&gt;0,"Existe","Absent")</f>
        <v>Absent</v>
      </c>
      <c r="E537" s="2" t="s">
        <v>3163</v>
      </c>
      <c r="F537" s="2" t="s">
        <v>15</v>
      </c>
      <c r="H537" s="2" t="s">
        <v>154</v>
      </c>
      <c r="I537" s="2" t="s">
        <v>93</v>
      </c>
      <c r="J537" s="2" t="s">
        <v>18</v>
      </c>
      <c r="K537" s="2" t="s">
        <v>88</v>
      </c>
      <c r="L537" s="3">
        <v>45098</v>
      </c>
      <c r="M537" s="3">
        <v>45189</v>
      </c>
      <c r="N537" s="3">
        <v>46284</v>
      </c>
      <c r="P537" s="2" t="s">
        <v>1174</v>
      </c>
    </row>
    <row r="538" spans="1:16" x14ac:dyDescent="0.35">
      <c r="A538" s="2" t="s">
        <v>388</v>
      </c>
      <c r="B538" s="2" t="s">
        <v>389</v>
      </c>
      <c r="C538" s="2" t="s">
        <v>390</v>
      </c>
      <c r="D538" s="2" t="str">
        <f>IF(COUNTIF(RBE!$C$1:$C$629,A538)&gt;0,"Existe","Absent")</f>
        <v>Absent</v>
      </c>
      <c r="E538" s="2" t="s">
        <v>3163</v>
      </c>
      <c r="F538" s="2" t="s">
        <v>15</v>
      </c>
      <c r="H538" s="2" t="s">
        <v>139</v>
      </c>
      <c r="I538" s="2" t="s">
        <v>386</v>
      </c>
      <c r="J538" s="2" t="s">
        <v>18</v>
      </c>
      <c r="K538" s="2" t="s">
        <v>88</v>
      </c>
      <c r="L538" s="3">
        <v>42942</v>
      </c>
      <c r="M538" s="3">
        <v>43179</v>
      </c>
      <c r="N538" s="3">
        <v>45736</v>
      </c>
      <c r="P538" s="2" t="s">
        <v>391</v>
      </c>
    </row>
    <row r="539" spans="1:16" x14ac:dyDescent="0.35">
      <c r="A539" s="2" t="s">
        <v>470</v>
      </c>
      <c r="B539" s="2" t="s">
        <v>471</v>
      </c>
      <c r="C539" s="2" t="s">
        <v>390</v>
      </c>
      <c r="D539" s="2" t="str">
        <f>IF(COUNTIF(RBE!$C$1:$C$629,A539)&gt;0,"Existe","Absent")</f>
        <v>Absent</v>
      </c>
      <c r="E539" s="2" t="s">
        <v>3163</v>
      </c>
      <c r="F539" s="2" t="s">
        <v>15</v>
      </c>
      <c r="H539" s="2" t="s">
        <v>139</v>
      </c>
      <c r="I539" s="2" t="s">
        <v>93</v>
      </c>
      <c r="J539" s="2" t="s">
        <v>18</v>
      </c>
      <c r="K539" s="2" t="s">
        <v>177</v>
      </c>
      <c r="L539" s="3">
        <v>43304</v>
      </c>
      <c r="M539" s="3">
        <v>43501</v>
      </c>
      <c r="N539" s="3">
        <v>46057</v>
      </c>
      <c r="P539" s="2" t="s">
        <v>472</v>
      </c>
    </row>
    <row r="540" spans="1:16" x14ac:dyDescent="0.35">
      <c r="A540" s="2" t="s">
        <v>327</v>
      </c>
      <c r="B540" s="2" t="s">
        <v>328</v>
      </c>
      <c r="C540" s="2" t="s">
        <v>329</v>
      </c>
      <c r="D540" s="2" t="str">
        <f>IF(COUNTIF(RBE!$C$1:$C$629,A540)&gt;0,"Existe","Absent")</f>
        <v>Absent</v>
      </c>
      <c r="E540" s="2" t="s">
        <v>3163</v>
      </c>
      <c r="F540" s="2" t="s">
        <v>15</v>
      </c>
      <c r="H540" s="2" t="s">
        <v>311</v>
      </c>
      <c r="I540" s="2" t="s">
        <v>149</v>
      </c>
      <c r="J540" s="2" t="s">
        <v>41</v>
      </c>
      <c r="K540" s="2" t="s">
        <v>19</v>
      </c>
      <c r="L540" s="3">
        <v>42403</v>
      </c>
      <c r="M540" s="3">
        <v>42415</v>
      </c>
      <c r="N540" s="3">
        <v>44241</v>
      </c>
      <c r="P540" s="2" t="s">
        <v>330</v>
      </c>
    </row>
    <row r="541" spans="1:16" x14ac:dyDescent="0.35">
      <c r="A541" s="2" t="s">
        <v>255</v>
      </c>
      <c r="B541" s="2" t="s">
        <v>256</v>
      </c>
      <c r="C541" s="2" t="s">
        <v>257</v>
      </c>
      <c r="D541" s="2" t="str">
        <f>IF(COUNTIF(RBE!$C$1:$C$629,A541)&gt;0,"Existe","Absent")</f>
        <v>Absent</v>
      </c>
      <c r="E541" s="2" t="s">
        <v>3163</v>
      </c>
      <c r="F541" s="2" t="s">
        <v>15</v>
      </c>
      <c r="H541" s="2" t="s">
        <v>27</v>
      </c>
      <c r="I541" s="2" t="s">
        <v>60</v>
      </c>
      <c r="J541" s="2" t="s">
        <v>18</v>
      </c>
      <c r="K541" s="2" t="s">
        <v>19</v>
      </c>
      <c r="L541" s="3">
        <v>41897</v>
      </c>
      <c r="M541" s="3">
        <v>42885</v>
      </c>
      <c r="N541" s="3">
        <v>46535</v>
      </c>
      <c r="P541" s="2" t="s">
        <v>258</v>
      </c>
    </row>
    <row r="542" spans="1:16" x14ac:dyDescent="0.35">
      <c r="A542" s="2" t="s">
        <v>1156</v>
      </c>
      <c r="C542" s="2" t="s">
        <v>1157</v>
      </c>
      <c r="D542" s="2" t="str">
        <f>IF(COUNTIF(RBE!$C$1:$C$629,A542)&gt;0,"Existe","Absent")</f>
        <v>Absent</v>
      </c>
      <c r="E542" s="2" t="s">
        <v>3163</v>
      </c>
      <c r="F542" s="2" t="s">
        <v>15</v>
      </c>
      <c r="H542" s="2" t="s">
        <v>573</v>
      </c>
      <c r="I542" s="2" t="s">
        <v>118</v>
      </c>
      <c r="J542" s="2" t="s">
        <v>18</v>
      </c>
      <c r="K542" s="2" t="s">
        <v>88</v>
      </c>
      <c r="L542" s="3">
        <v>45051</v>
      </c>
      <c r="M542" s="3">
        <v>45187</v>
      </c>
      <c r="N542" s="3">
        <v>45917</v>
      </c>
      <c r="O542" s="3">
        <v>45553</v>
      </c>
      <c r="P542" s="2" t="s">
        <v>1158</v>
      </c>
    </row>
    <row r="543" spans="1:16" x14ac:dyDescent="0.35">
      <c r="A543" s="2" t="s">
        <v>1475</v>
      </c>
      <c r="B543" s="2" t="s">
        <v>1476</v>
      </c>
      <c r="C543" s="2" t="s">
        <v>1477</v>
      </c>
      <c r="D543" s="2" t="str">
        <f>IF(COUNTIF(RBE!$C$1:$C$629,A543)&gt;0,"Existe","Absent")</f>
        <v>Absent</v>
      </c>
      <c r="E543" s="2" t="s">
        <v>3163</v>
      </c>
      <c r="F543" s="2" t="s">
        <v>15</v>
      </c>
      <c r="H543" s="2" t="s">
        <v>573</v>
      </c>
      <c r="I543" s="2" t="s">
        <v>1218</v>
      </c>
      <c r="J543" s="2" t="s">
        <v>18</v>
      </c>
      <c r="K543" s="2" t="s">
        <v>19</v>
      </c>
      <c r="L543" s="3">
        <v>45362</v>
      </c>
      <c r="M543" s="3">
        <v>45380</v>
      </c>
      <c r="N543" s="3">
        <v>45744</v>
      </c>
      <c r="P543" s="2" t="s">
        <v>1478</v>
      </c>
    </row>
    <row r="544" spans="1:16" x14ac:dyDescent="0.35">
      <c r="A544" s="2" t="s">
        <v>1422</v>
      </c>
      <c r="B544" s="2" t="s">
        <v>1423</v>
      </c>
      <c r="C544" s="2" t="s">
        <v>1424</v>
      </c>
      <c r="D544" s="2" t="str">
        <f>IF(COUNTIF(RBE!$C$1:$C$629,A544)&gt;0,"Existe","Absent")</f>
        <v>Absent</v>
      </c>
      <c r="E544" s="2" t="s">
        <v>3163</v>
      </c>
      <c r="F544" s="2" t="s">
        <v>15</v>
      </c>
      <c r="H544" s="2" t="s">
        <v>573</v>
      </c>
      <c r="I544" s="2" t="s">
        <v>1218</v>
      </c>
      <c r="J544" s="2" t="s">
        <v>18</v>
      </c>
      <c r="K544" s="2" t="s">
        <v>19</v>
      </c>
      <c r="L544" s="3">
        <v>45356</v>
      </c>
      <c r="M544" s="3">
        <v>45359</v>
      </c>
      <c r="N544" s="3">
        <v>45723</v>
      </c>
      <c r="P544" s="2" t="s">
        <v>1425</v>
      </c>
    </row>
    <row r="545" spans="1:16" x14ac:dyDescent="0.35">
      <c r="A545" s="2" t="s">
        <v>348</v>
      </c>
      <c r="B545" s="2" t="s">
        <v>349</v>
      </c>
      <c r="C545" s="2" t="s">
        <v>350</v>
      </c>
      <c r="D545" s="2" t="str">
        <f>IF(COUNTIF(RBE!$C$1:$C$629,A545)&gt;0,"Existe","Absent")</f>
        <v>Absent</v>
      </c>
      <c r="E545" s="2" t="s">
        <v>3163</v>
      </c>
      <c r="F545" s="2" t="s">
        <v>15</v>
      </c>
      <c r="H545" s="2" t="s">
        <v>139</v>
      </c>
      <c r="I545" s="2" t="s">
        <v>93</v>
      </c>
      <c r="J545" s="2" t="s">
        <v>18</v>
      </c>
      <c r="K545" s="2" t="s">
        <v>88</v>
      </c>
      <c r="L545" s="3">
        <v>42688</v>
      </c>
      <c r="M545" s="3">
        <v>43179</v>
      </c>
      <c r="N545" s="3">
        <v>45736</v>
      </c>
      <c r="P545" s="2" t="s">
        <v>351</v>
      </c>
    </row>
    <row r="546" spans="1:16" x14ac:dyDescent="0.35">
      <c r="A546" s="2" t="s">
        <v>996</v>
      </c>
      <c r="B546" s="2" t="s">
        <v>997</v>
      </c>
      <c r="C546" s="2" t="s">
        <v>998</v>
      </c>
      <c r="D546" s="2" t="str">
        <f>IF(COUNTIF(RBE!$C$1:$C$629,A546)&gt;0,"Existe","Absent")</f>
        <v>Absent</v>
      </c>
      <c r="E546" s="2" t="s">
        <v>3163</v>
      </c>
      <c r="F546" s="2" t="s">
        <v>15</v>
      </c>
      <c r="H546" s="2" t="s">
        <v>139</v>
      </c>
      <c r="I546" s="2" t="s">
        <v>17</v>
      </c>
      <c r="J546" s="2" t="s">
        <v>18</v>
      </c>
      <c r="K546" s="2" t="s">
        <v>163</v>
      </c>
      <c r="L546" s="3">
        <v>44692</v>
      </c>
      <c r="M546" s="3">
        <v>44958</v>
      </c>
      <c r="N546" s="3">
        <v>46418</v>
      </c>
      <c r="P546" s="2" t="s">
        <v>999</v>
      </c>
    </row>
    <row r="547" spans="1:16" x14ac:dyDescent="0.35">
      <c r="A547" s="2" t="s">
        <v>1450</v>
      </c>
      <c r="B547" s="2" t="s">
        <v>1451</v>
      </c>
      <c r="C547" s="2" t="s">
        <v>998</v>
      </c>
      <c r="D547" s="2" t="str">
        <f>IF(COUNTIF(RBE!$C$1:$C$629,A547)&gt;0,"Existe","Absent")</f>
        <v>Absent</v>
      </c>
      <c r="E547" s="2" t="s">
        <v>3163</v>
      </c>
      <c r="F547" s="2" t="s">
        <v>15</v>
      </c>
      <c r="H547" s="2" t="s">
        <v>139</v>
      </c>
      <c r="I547" s="2" t="s">
        <v>17</v>
      </c>
      <c r="J547" s="2" t="s">
        <v>18</v>
      </c>
      <c r="K547" s="2" t="s">
        <v>88</v>
      </c>
      <c r="L547" s="3">
        <v>45140</v>
      </c>
      <c r="M547" s="3">
        <v>45357</v>
      </c>
      <c r="N547" s="3">
        <v>46817</v>
      </c>
      <c r="P547" s="2" t="s">
        <v>1452</v>
      </c>
    </row>
    <row r="548" spans="1:16" x14ac:dyDescent="0.35">
      <c r="A548" s="2" t="s">
        <v>1494</v>
      </c>
      <c r="B548" s="2" t="s">
        <v>1495</v>
      </c>
      <c r="C548" s="2" t="s">
        <v>998</v>
      </c>
      <c r="D548" s="2" t="str">
        <f>IF(COUNTIF(RBE!$C$1:$C$629,A548)&gt;0,"Existe","Absent")</f>
        <v>Absent</v>
      </c>
      <c r="E548" s="2" t="s">
        <v>3163</v>
      </c>
      <c r="F548" s="2" t="s">
        <v>15</v>
      </c>
      <c r="H548" s="2" t="s">
        <v>148</v>
      </c>
      <c r="I548" s="2" t="s">
        <v>17</v>
      </c>
      <c r="J548" s="2" t="s">
        <v>18</v>
      </c>
      <c r="K548" s="2" t="s">
        <v>163</v>
      </c>
      <c r="L548" s="3">
        <v>45345</v>
      </c>
      <c r="M548" s="3">
        <v>45378</v>
      </c>
      <c r="N548" s="3">
        <v>47203</v>
      </c>
      <c r="P548" s="2" t="s">
        <v>1496</v>
      </c>
    </row>
    <row r="549" spans="1:16" x14ac:dyDescent="0.35">
      <c r="A549" s="2" t="s">
        <v>1143</v>
      </c>
      <c r="B549" s="2" t="s">
        <v>1144</v>
      </c>
      <c r="C549" s="2" t="s">
        <v>1145</v>
      </c>
      <c r="D549" s="2" t="str">
        <f>IF(COUNTIF(RBE!$C$1:$C$629,A549)&gt;0,"Existe","Absent")</f>
        <v>Absent</v>
      </c>
      <c r="E549" s="2" t="s">
        <v>3163</v>
      </c>
      <c r="F549" s="2" t="s">
        <v>15</v>
      </c>
      <c r="H549" s="2" t="s">
        <v>154</v>
      </c>
      <c r="I549" s="2" t="s">
        <v>93</v>
      </c>
      <c r="J549" s="2" t="s">
        <v>18</v>
      </c>
      <c r="K549" s="2" t="s">
        <v>88</v>
      </c>
      <c r="L549" s="3">
        <v>45058</v>
      </c>
      <c r="M549" s="3">
        <v>45083</v>
      </c>
      <c r="N549" s="3">
        <v>46178</v>
      </c>
      <c r="P549" s="2" t="s">
        <v>1146</v>
      </c>
    </row>
    <row r="550" spans="1:16" x14ac:dyDescent="0.35">
      <c r="A550" s="2" t="s">
        <v>1715</v>
      </c>
      <c r="C550" s="2" t="s">
        <v>1716</v>
      </c>
      <c r="D550" s="2" t="str">
        <f>IF(COUNTIF(RBE!$C$1:$C$629,A550)&gt;0,"Existe","Absent")</f>
        <v>Absent</v>
      </c>
      <c r="E550" s="2" t="s">
        <v>3163</v>
      </c>
      <c r="F550" s="2" t="s">
        <v>15</v>
      </c>
      <c r="H550" s="2" t="s">
        <v>294</v>
      </c>
      <c r="I550" s="2" t="s">
        <v>60</v>
      </c>
      <c r="J550" s="2" t="s">
        <v>18</v>
      </c>
      <c r="K550" s="2" t="s">
        <v>19</v>
      </c>
      <c r="L550" s="3">
        <v>45279</v>
      </c>
      <c r="M550" s="3">
        <v>45336</v>
      </c>
      <c r="N550" s="3">
        <v>52640</v>
      </c>
      <c r="P550" s="2" t="s">
        <v>1717</v>
      </c>
    </row>
    <row r="551" spans="1:16" x14ac:dyDescent="0.35">
      <c r="A551" s="2" t="s">
        <v>911</v>
      </c>
      <c r="B551" s="2" t="s">
        <v>912</v>
      </c>
      <c r="C551" s="2" t="s">
        <v>913</v>
      </c>
      <c r="D551" s="2" t="str">
        <f>IF(COUNTIF(RBE!$C$1:$C$629,A551)&gt;0,"Existe","Absent")</f>
        <v>Absent</v>
      </c>
      <c r="E551" s="2" t="s">
        <v>3163</v>
      </c>
      <c r="F551" s="2" t="s">
        <v>15</v>
      </c>
      <c r="H551" s="2" t="s">
        <v>154</v>
      </c>
      <c r="I551" s="2" t="s">
        <v>93</v>
      </c>
      <c r="J551" s="2" t="s">
        <v>18</v>
      </c>
      <c r="K551" s="2" t="s">
        <v>88</v>
      </c>
      <c r="L551" s="3">
        <v>44942</v>
      </c>
      <c r="M551" s="3">
        <v>45041</v>
      </c>
      <c r="N551" s="3">
        <v>46136</v>
      </c>
      <c r="P551" s="2" t="s">
        <v>914</v>
      </c>
    </row>
    <row r="552" spans="1:16" x14ac:dyDescent="0.35">
      <c r="A552" s="2" t="s">
        <v>915</v>
      </c>
      <c r="B552" s="2" t="s">
        <v>916</v>
      </c>
      <c r="C552" s="2" t="s">
        <v>913</v>
      </c>
      <c r="D552" s="2" t="str">
        <f>IF(COUNTIF(RBE!$C$1:$C$629,A552)&gt;0,"Existe","Absent")</f>
        <v>Absent</v>
      </c>
      <c r="E552" s="2" t="s">
        <v>3163</v>
      </c>
      <c r="F552" s="2" t="s">
        <v>15</v>
      </c>
      <c r="H552" s="2" t="s">
        <v>154</v>
      </c>
      <c r="I552" s="2" t="s">
        <v>93</v>
      </c>
      <c r="J552" s="2" t="s">
        <v>18</v>
      </c>
      <c r="K552" s="2" t="s">
        <v>88</v>
      </c>
      <c r="L552" s="3">
        <v>44942</v>
      </c>
      <c r="M552" s="3">
        <v>44959</v>
      </c>
      <c r="N552" s="3">
        <v>46054</v>
      </c>
      <c r="P552" s="2" t="s">
        <v>917</v>
      </c>
    </row>
    <row r="553" spans="1:16" x14ac:dyDescent="0.35">
      <c r="A553" s="2" t="s">
        <v>962</v>
      </c>
      <c r="B553" s="2" t="s">
        <v>963</v>
      </c>
      <c r="C553" s="2" t="s">
        <v>964</v>
      </c>
      <c r="D553" s="2" t="str">
        <f>IF(COUNTIF(RBE!$C$1:$C$629,A553)&gt;0,"Existe","Absent")</f>
        <v>Absent</v>
      </c>
      <c r="E553" s="2" t="s">
        <v>3163</v>
      </c>
      <c r="F553" s="2" t="s">
        <v>15</v>
      </c>
      <c r="H553" s="2" t="s">
        <v>154</v>
      </c>
      <c r="I553" s="2" t="s">
        <v>93</v>
      </c>
      <c r="J553" s="2" t="s">
        <v>18</v>
      </c>
      <c r="K553" s="2" t="s">
        <v>88</v>
      </c>
      <c r="L553" s="3">
        <v>44005</v>
      </c>
      <c r="M553" s="3">
        <v>44719</v>
      </c>
      <c r="N553" s="3">
        <v>45814</v>
      </c>
      <c r="P553" s="2" t="s">
        <v>965</v>
      </c>
    </row>
    <row r="554" spans="1:16" x14ac:dyDescent="0.35">
      <c r="A554" s="2" t="s">
        <v>1227</v>
      </c>
      <c r="B554" s="2" t="s">
        <v>704</v>
      </c>
      <c r="C554" s="2" t="s">
        <v>1228</v>
      </c>
      <c r="D554" s="2" t="str">
        <f>IF(COUNTIF(RBE!$C$1:$C$629,A554)&gt;0,"Existe","Absent")</f>
        <v>Absent</v>
      </c>
      <c r="E554" s="2" t="s">
        <v>3163</v>
      </c>
      <c r="F554" s="2" t="s">
        <v>15</v>
      </c>
      <c r="H554" s="2" t="s">
        <v>154</v>
      </c>
      <c r="I554" s="2" t="s">
        <v>93</v>
      </c>
      <c r="J554" s="2" t="s">
        <v>18</v>
      </c>
      <c r="K554" s="2" t="s">
        <v>177</v>
      </c>
      <c r="L554" s="3">
        <v>45217</v>
      </c>
      <c r="M554" s="3">
        <v>45230</v>
      </c>
      <c r="N554" s="3">
        <v>46325</v>
      </c>
      <c r="P554" s="2" t="s">
        <v>1229</v>
      </c>
    </row>
    <row r="555" spans="1:16" x14ac:dyDescent="0.35">
      <c r="A555" s="2" t="s">
        <v>763</v>
      </c>
      <c r="C555" s="2" t="s">
        <v>764</v>
      </c>
      <c r="D555" s="2" t="str">
        <f>IF(COUNTIF(RBE!$C$1:$C$629,A555)&gt;0,"Existe","Absent")</f>
        <v>Absent</v>
      </c>
      <c r="E555" s="2" t="s">
        <v>3163</v>
      </c>
      <c r="F555" s="2" t="s">
        <v>15</v>
      </c>
      <c r="H555" s="2" t="s">
        <v>311</v>
      </c>
      <c r="I555" s="2" t="s">
        <v>149</v>
      </c>
      <c r="J555" s="2" t="s">
        <v>18</v>
      </c>
      <c r="K555" s="2" t="s">
        <v>19</v>
      </c>
      <c r="L555" s="3">
        <v>44771</v>
      </c>
      <c r="M555" s="3">
        <v>44670</v>
      </c>
      <c r="N555" s="3">
        <v>46495</v>
      </c>
    </row>
    <row r="556" spans="1:16" x14ac:dyDescent="0.35">
      <c r="A556" s="2" t="s">
        <v>516</v>
      </c>
      <c r="B556" s="2" t="s">
        <v>517</v>
      </c>
      <c r="D556" s="2" t="str">
        <f>IF(COUNTIF(RBE!$C$1:$C$629,A556)&gt;0,"Existe","Absent")</f>
        <v>Absent</v>
      </c>
      <c r="E556" s="2" t="s">
        <v>3163</v>
      </c>
      <c r="F556" s="2" t="s">
        <v>15</v>
      </c>
      <c r="H556" s="2" t="s">
        <v>518</v>
      </c>
      <c r="I556" s="2" t="s">
        <v>395</v>
      </c>
      <c r="J556" s="2" t="s">
        <v>18</v>
      </c>
      <c r="K556" s="2" t="s">
        <v>185</v>
      </c>
      <c r="L556" s="3">
        <v>43832</v>
      </c>
      <c r="M556" s="3">
        <v>43879</v>
      </c>
      <c r="N556" s="3">
        <v>45706</v>
      </c>
      <c r="P556" s="2" t="s">
        <v>519</v>
      </c>
    </row>
    <row r="557" spans="1:16" s="19" customFormat="1" ht="15.5" x14ac:dyDescent="0.35">
      <c r="C557" s="18" t="s">
        <v>1838</v>
      </c>
      <c r="D557" s="18" t="str">
        <f>IF(COUNTIF(RBE!$C$1:$C$629,A557)&gt;0,"Existe","Absent")</f>
        <v>Absent</v>
      </c>
      <c r="E557" s="19" t="s">
        <v>3167</v>
      </c>
      <c r="F557" s="18" t="s">
        <v>15</v>
      </c>
      <c r="G557" s="18" t="s">
        <v>1839</v>
      </c>
    </row>
    <row r="558" spans="1:16" s="19" customFormat="1" ht="15.5" x14ac:dyDescent="0.35">
      <c r="C558" s="18" t="s">
        <v>1821</v>
      </c>
      <c r="D558" s="18" t="str">
        <f>IF(COUNTIF(RBE!$C$1:$C$629,A558)&gt;0,"Existe","Absent")</f>
        <v>Absent</v>
      </c>
      <c r="E558" s="19" t="s">
        <v>3167</v>
      </c>
      <c r="F558" s="18" t="s">
        <v>15</v>
      </c>
      <c r="G558" s="18" t="s">
        <v>1822</v>
      </c>
    </row>
    <row r="559" spans="1:16" s="19" customFormat="1" ht="15.5" x14ac:dyDescent="0.35">
      <c r="C559" s="18" t="s">
        <v>1807</v>
      </c>
      <c r="D559" s="18" t="str">
        <f>IF(COUNTIF(RBE!$C$1:$C$629,A559)&gt;0,"Existe","Absent")</f>
        <v>Absent</v>
      </c>
      <c r="E559" s="19" t="s">
        <v>3167</v>
      </c>
      <c r="F559" s="18" t="s">
        <v>15</v>
      </c>
      <c r="G559" s="18" t="s">
        <v>1808</v>
      </c>
    </row>
    <row r="560" spans="1:16" s="19" customFormat="1" ht="15.5" x14ac:dyDescent="0.35">
      <c r="C560" s="18" t="s">
        <v>1805</v>
      </c>
      <c r="D560" s="18" t="str">
        <f>IF(COUNTIF(RBE!$C$1:$C$629,A560)&gt;0,"Existe","Absent")</f>
        <v>Absent</v>
      </c>
      <c r="E560" s="19" t="s">
        <v>3167</v>
      </c>
      <c r="F560" s="18" t="s">
        <v>15</v>
      </c>
      <c r="G560" s="18" t="s">
        <v>1806</v>
      </c>
    </row>
    <row r="561" spans="3:7" s="19" customFormat="1" ht="15.5" x14ac:dyDescent="0.35">
      <c r="C561" s="18" t="s">
        <v>1878</v>
      </c>
      <c r="D561" s="18" t="str">
        <f>IF(COUNTIF(RBE!$C$1:$C$629,A561)&gt;0,"Existe","Absent")</f>
        <v>Absent</v>
      </c>
      <c r="E561" s="19" t="s">
        <v>3167</v>
      </c>
      <c r="F561" s="18" t="s">
        <v>15</v>
      </c>
      <c r="G561" s="18" t="s">
        <v>1879</v>
      </c>
    </row>
    <row r="562" spans="3:7" s="19" customFormat="1" ht="15.5" x14ac:dyDescent="0.35">
      <c r="C562" s="18" t="s">
        <v>1832</v>
      </c>
      <c r="D562" s="18" t="str">
        <f>IF(COUNTIF(RBE!$C$1:$C$629,A562)&gt;0,"Existe","Absent")</f>
        <v>Absent</v>
      </c>
      <c r="E562" s="19" t="s">
        <v>3167</v>
      </c>
      <c r="F562" s="18" t="s">
        <v>15</v>
      </c>
      <c r="G562" s="18" t="s">
        <v>1833</v>
      </c>
    </row>
    <row r="563" spans="3:7" s="19" customFormat="1" ht="15.5" x14ac:dyDescent="0.35">
      <c r="C563" s="18" t="s">
        <v>1848</v>
      </c>
      <c r="D563" s="18" t="str">
        <f>IF(COUNTIF(RBE!$C$1:$C$629,A563)&gt;0,"Existe","Absent")</f>
        <v>Absent</v>
      </c>
      <c r="E563" s="19" t="s">
        <v>3167</v>
      </c>
      <c r="F563" s="18" t="s">
        <v>15</v>
      </c>
      <c r="G563" s="18" t="s">
        <v>1849</v>
      </c>
    </row>
    <row r="564" spans="3:7" s="19" customFormat="1" ht="15.5" x14ac:dyDescent="0.35">
      <c r="C564" s="18" t="s">
        <v>1813</v>
      </c>
      <c r="D564" s="18" t="str">
        <f>IF(COUNTIF(RBE!$C$1:$C$629,A564)&gt;0,"Existe","Absent")</f>
        <v>Absent</v>
      </c>
      <c r="E564" s="19" t="s">
        <v>3167</v>
      </c>
      <c r="F564" s="18" t="s">
        <v>15</v>
      </c>
      <c r="G564" s="18" t="s">
        <v>1814</v>
      </c>
    </row>
    <row r="565" spans="3:7" s="19" customFormat="1" ht="15.5" x14ac:dyDescent="0.35">
      <c r="C565" s="18" t="s">
        <v>1800</v>
      </c>
      <c r="D565" s="18" t="str">
        <f>IF(COUNTIF(RBE!$C$1:$C$629,A565)&gt;0,"Existe","Absent")</f>
        <v>Absent</v>
      </c>
      <c r="E565" s="19" t="s">
        <v>3167</v>
      </c>
      <c r="F565" s="18" t="s">
        <v>15</v>
      </c>
      <c r="G565" s="18" t="s">
        <v>1801</v>
      </c>
    </row>
    <row r="566" spans="3:7" s="19" customFormat="1" ht="15.5" x14ac:dyDescent="0.35">
      <c r="C566" s="18" t="s">
        <v>1885</v>
      </c>
      <c r="D566" s="18" t="str">
        <f>IF(COUNTIF(RBE!$C$1:$C$629,A566)&gt;0,"Existe","Absent")</f>
        <v>Absent</v>
      </c>
      <c r="E566" s="19" t="s">
        <v>3167</v>
      </c>
      <c r="F566" s="18" t="s">
        <v>1887</v>
      </c>
      <c r="G566" s="18" t="s">
        <v>1886</v>
      </c>
    </row>
    <row r="567" spans="3:7" s="19" customFormat="1" ht="15.5" x14ac:dyDescent="0.35">
      <c r="C567" s="18" t="s">
        <v>1811</v>
      </c>
      <c r="D567" s="18" t="str">
        <f>IF(COUNTIF(RBE!$C$1:$C$629,A567)&gt;0,"Existe","Absent")</f>
        <v>Absent</v>
      </c>
      <c r="E567" s="19" t="s">
        <v>3167</v>
      </c>
      <c r="F567" s="18" t="s">
        <v>15</v>
      </c>
      <c r="G567" s="18" t="s">
        <v>1812</v>
      </c>
    </row>
    <row r="568" spans="3:7" s="19" customFormat="1" ht="15.5" x14ac:dyDescent="0.35">
      <c r="C568" s="18" t="s">
        <v>1860</v>
      </c>
      <c r="D568" s="18" t="str">
        <f>IF(COUNTIF(RBE!$C$1:$C$629,A568)&gt;0,"Existe","Absent")</f>
        <v>Absent</v>
      </c>
      <c r="E568" s="19" t="s">
        <v>3167</v>
      </c>
      <c r="F568" s="18" t="s">
        <v>15</v>
      </c>
      <c r="G568" s="18" t="s">
        <v>1861</v>
      </c>
    </row>
    <row r="569" spans="3:7" s="19" customFormat="1" ht="15.5" x14ac:dyDescent="0.35">
      <c r="C569" s="18" t="s">
        <v>1852</v>
      </c>
      <c r="D569" s="18" t="str">
        <f>IF(COUNTIF(RBE!$C$1:$C$629,A569)&gt;0,"Existe","Absent")</f>
        <v>Absent</v>
      </c>
      <c r="E569" s="19" t="s">
        <v>3167</v>
      </c>
      <c r="F569" s="18" t="s">
        <v>15</v>
      </c>
      <c r="G569" s="18" t="s">
        <v>1853</v>
      </c>
    </row>
    <row r="570" spans="3:7" s="19" customFormat="1" ht="15.5" x14ac:dyDescent="0.35">
      <c r="C570" s="18" t="s">
        <v>1815</v>
      </c>
      <c r="D570" s="18" t="str">
        <f>IF(COUNTIF(RBE!$C$1:$C$629,A570)&gt;0,"Existe","Absent")</f>
        <v>Absent</v>
      </c>
      <c r="E570" s="19" t="s">
        <v>3167</v>
      </c>
      <c r="F570" s="18" t="s">
        <v>15</v>
      </c>
      <c r="G570" s="18" t="s">
        <v>1816</v>
      </c>
    </row>
    <row r="571" spans="3:7" s="19" customFormat="1" ht="15.5" x14ac:dyDescent="0.35">
      <c r="C571" s="18" t="s">
        <v>1858</v>
      </c>
      <c r="D571" s="18" t="str">
        <f>IF(COUNTIF(RBE!$C$1:$C$629,A571)&gt;0,"Existe","Absent")</f>
        <v>Absent</v>
      </c>
      <c r="E571" s="19" t="s">
        <v>3167</v>
      </c>
      <c r="F571" s="18" t="s">
        <v>15</v>
      </c>
      <c r="G571" s="18" t="s">
        <v>1859</v>
      </c>
    </row>
    <row r="572" spans="3:7" s="19" customFormat="1" ht="15.5" x14ac:dyDescent="0.35">
      <c r="C572" s="18" t="s">
        <v>1856</v>
      </c>
      <c r="D572" s="18" t="str">
        <f>IF(COUNTIF(RBE!$C$1:$C$629,A572)&gt;0,"Existe","Absent")</f>
        <v>Absent</v>
      </c>
      <c r="E572" s="19" t="s">
        <v>3167</v>
      </c>
      <c r="F572" s="18" t="s">
        <v>15</v>
      </c>
      <c r="G572" s="18" t="s">
        <v>1857</v>
      </c>
    </row>
    <row r="573" spans="3:7" s="19" customFormat="1" ht="15.5" x14ac:dyDescent="0.35">
      <c r="C573" s="18" t="s">
        <v>1875</v>
      </c>
      <c r="D573" s="18" t="str">
        <f>IF(COUNTIF(RBE!$C$1:$C$629,A573)&gt;0,"Existe","Absent")</f>
        <v>Absent</v>
      </c>
      <c r="E573" s="19" t="s">
        <v>3167</v>
      </c>
      <c r="F573" s="18" t="s">
        <v>1877</v>
      </c>
      <c r="G573" s="18" t="s">
        <v>1876</v>
      </c>
    </row>
    <row r="574" spans="3:7" s="19" customFormat="1" ht="15.5" x14ac:dyDescent="0.35">
      <c r="C574" s="18" t="s">
        <v>1803</v>
      </c>
      <c r="D574" s="18" t="str">
        <f>IF(COUNTIF(RBE!$C$1:$C$629,A574)&gt;0,"Existe","Absent")</f>
        <v>Absent</v>
      </c>
      <c r="E574" s="19" t="s">
        <v>3167</v>
      </c>
      <c r="F574" s="18" t="s">
        <v>15</v>
      </c>
      <c r="G574" s="18" t="s">
        <v>1804</v>
      </c>
    </row>
    <row r="575" spans="3:7" s="19" customFormat="1" ht="15.5" x14ac:dyDescent="0.35">
      <c r="C575" s="18" t="s">
        <v>1862</v>
      </c>
      <c r="D575" s="18" t="str">
        <f>IF(COUNTIF(RBE!$C$1:$C$629,A575)&gt;0,"Existe","Absent")</f>
        <v>Absent</v>
      </c>
      <c r="E575" s="19" t="s">
        <v>3167</v>
      </c>
      <c r="F575" s="18" t="s">
        <v>15</v>
      </c>
      <c r="G575" s="18" t="s">
        <v>1863</v>
      </c>
    </row>
    <row r="576" spans="3:7" s="19" customFormat="1" ht="15.5" x14ac:dyDescent="0.35">
      <c r="C576" s="18" t="s">
        <v>1830</v>
      </c>
      <c r="D576" s="18" t="str">
        <f>IF(COUNTIF(RBE!$C$1:$C$629,A576)&gt;0,"Existe","Absent")</f>
        <v>Absent</v>
      </c>
      <c r="E576" s="19" t="s">
        <v>3167</v>
      </c>
      <c r="F576" s="18" t="s">
        <v>15</v>
      </c>
      <c r="G576" s="18" t="s">
        <v>1831</v>
      </c>
    </row>
    <row r="577" spans="3:7" s="19" customFormat="1" ht="15.5" x14ac:dyDescent="0.35">
      <c r="C577" s="18" t="s">
        <v>1868</v>
      </c>
      <c r="D577" s="18" t="str">
        <f>IF(COUNTIF(RBE!$C$1:$C$629,A577)&gt;0,"Existe","Absent")</f>
        <v>Absent</v>
      </c>
      <c r="E577" s="19" t="s">
        <v>3167</v>
      </c>
      <c r="F577" s="18" t="s">
        <v>15</v>
      </c>
      <c r="G577" s="18" t="s">
        <v>1869</v>
      </c>
    </row>
    <row r="578" spans="3:7" s="19" customFormat="1" ht="15.5" x14ac:dyDescent="0.35">
      <c r="C578" s="18" t="s">
        <v>1817</v>
      </c>
      <c r="D578" s="18" t="str">
        <f>IF(COUNTIF(RBE!$C$1:$C$629,A578)&gt;0,"Existe","Absent")</f>
        <v>Absent</v>
      </c>
      <c r="E578" s="19" t="s">
        <v>3167</v>
      </c>
      <c r="F578" s="18" t="s">
        <v>15</v>
      </c>
      <c r="G578" s="18" t="s">
        <v>1818</v>
      </c>
    </row>
    <row r="579" spans="3:7" s="19" customFormat="1" ht="15.5" x14ac:dyDescent="0.35">
      <c r="C579" s="18" t="s">
        <v>1880</v>
      </c>
      <c r="D579" s="18" t="str">
        <f>IF(COUNTIF(RBE!$C$1:$C$629,A579)&gt;0,"Existe","Absent")</f>
        <v>Absent</v>
      </c>
      <c r="E579" s="19" t="s">
        <v>3167</v>
      </c>
      <c r="F579" s="18" t="s">
        <v>15</v>
      </c>
      <c r="G579" s="18" t="s">
        <v>1881</v>
      </c>
    </row>
    <row r="580" spans="3:7" s="19" customFormat="1" ht="15.5" x14ac:dyDescent="0.35">
      <c r="C580" s="18" t="s">
        <v>1840</v>
      </c>
      <c r="D580" s="18" t="str">
        <f>IF(COUNTIF(RBE!$C$1:$C$629,A580)&gt;0,"Existe","Absent")</f>
        <v>Absent</v>
      </c>
      <c r="E580" s="19" t="s">
        <v>3167</v>
      </c>
      <c r="F580" s="18" t="s">
        <v>15</v>
      </c>
      <c r="G580" s="18" t="s">
        <v>1841</v>
      </c>
    </row>
    <row r="581" spans="3:7" s="19" customFormat="1" ht="15.5" x14ac:dyDescent="0.35">
      <c r="C581" s="18" t="s">
        <v>1828</v>
      </c>
      <c r="D581" s="18" t="str">
        <f>IF(COUNTIF(RBE!$C$1:$C$629,A581)&gt;0,"Existe","Absent")</f>
        <v>Absent</v>
      </c>
      <c r="E581" s="19" t="s">
        <v>3167</v>
      </c>
      <c r="F581" s="18" t="s">
        <v>15</v>
      </c>
      <c r="G581" s="18" t="s">
        <v>1829</v>
      </c>
    </row>
    <row r="582" spans="3:7" s="19" customFormat="1" ht="15.5" x14ac:dyDescent="0.35">
      <c r="C582" s="18" t="s">
        <v>1870</v>
      </c>
      <c r="D582" s="18" t="str">
        <f>IF(COUNTIF(RBE!$C$1:$C$629,A582)&gt;0,"Existe","Absent")</f>
        <v>Absent</v>
      </c>
      <c r="E582" s="19" t="s">
        <v>3167</v>
      </c>
      <c r="F582" s="18" t="s">
        <v>15</v>
      </c>
      <c r="G582" s="18" t="s">
        <v>1871</v>
      </c>
    </row>
    <row r="583" spans="3:7" s="19" customFormat="1" ht="15.5" x14ac:dyDescent="0.35">
      <c r="C583" s="18" t="s">
        <v>1809</v>
      </c>
      <c r="D583" s="18" t="str">
        <f>IF(COUNTIF(RBE!$C$1:$C$629,A583)&gt;0,"Existe","Absent")</f>
        <v>Absent</v>
      </c>
      <c r="E583" s="19" t="s">
        <v>3167</v>
      </c>
      <c r="F583" s="18" t="s">
        <v>15</v>
      </c>
      <c r="G583" s="18" t="s">
        <v>1810</v>
      </c>
    </row>
    <row r="584" spans="3:7" s="19" customFormat="1" ht="15.5" x14ac:dyDescent="0.35">
      <c r="C584" s="18" t="s">
        <v>1826</v>
      </c>
      <c r="D584" s="18" t="str">
        <f>IF(COUNTIF(RBE!$C$1:$C$629,A584)&gt;0,"Existe","Absent")</f>
        <v>Absent</v>
      </c>
      <c r="E584" s="19" t="s">
        <v>3167</v>
      </c>
      <c r="F584" s="18" t="s">
        <v>15</v>
      </c>
      <c r="G584" s="18" t="s">
        <v>1827</v>
      </c>
    </row>
    <row r="585" spans="3:7" s="19" customFormat="1" ht="15.5" x14ac:dyDescent="0.35">
      <c r="C585" s="18" t="s">
        <v>1836</v>
      </c>
      <c r="D585" s="18" t="str">
        <f>IF(COUNTIF(RBE!$C$1:$C$629,A585)&gt;0,"Existe","Absent")</f>
        <v>Absent</v>
      </c>
      <c r="E585" s="19" t="s">
        <v>3167</v>
      </c>
      <c r="F585" s="18" t="s">
        <v>15</v>
      </c>
      <c r="G585" s="18" t="s">
        <v>1837</v>
      </c>
    </row>
    <row r="586" spans="3:7" s="19" customFormat="1" ht="15.5" x14ac:dyDescent="0.35">
      <c r="C586" s="18" t="s">
        <v>1823</v>
      </c>
      <c r="D586" s="18" t="str">
        <f>IF(COUNTIF(RBE!$C$1:$C$629,A586)&gt;0,"Existe","Absent")</f>
        <v>Absent</v>
      </c>
      <c r="E586" s="19" t="s">
        <v>3167</v>
      </c>
      <c r="F586" s="18" t="s">
        <v>1825</v>
      </c>
      <c r="G586" s="18" t="s">
        <v>1824</v>
      </c>
    </row>
    <row r="587" spans="3:7" s="19" customFormat="1" ht="15.5" x14ac:dyDescent="0.35">
      <c r="C587" s="18" t="s">
        <v>1842</v>
      </c>
      <c r="D587" s="18" t="str">
        <f>IF(COUNTIF(RBE!$C$1:$C$629,A587)&gt;0,"Existe","Absent")</f>
        <v>Absent</v>
      </c>
      <c r="E587" s="19" t="s">
        <v>3167</v>
      </c>
      <c r="F587" s="18" t="s">
        <v>15</v>
      </c>
      <c r="G587" s="18" t="s">
        <v>1843</v>
      </c>
    </row>
    <row r="588" spans="3:7" s="19" customFormat="1" ht="15.5" x14ac:dyDescent="0.35">
      <c r="C588" s="18" t="s">
        <v>1844</v>
      </c>
      <c r="D588" s="18" t="str">
        <f>IF(COUNTIF(RBE!$C$1:$C$629,A588)&gt;0,"Existe","Absent")</f>
        <v>Absent</v>
      </c>
      <c r="E588" s="19" t="s">
        <v>3167</v>
      </c>
      <c r="F588" s="18" t="s">
        <v>15</v>
      </c>
      <c r="G588" s="18" t="s">
        <v>1845</v>
      </c>
    </row>
    <row r="589" spans="3:7" s="19" customFormat="1" ht="15.5" x14ac:dyDescent="0.35">
      <c r="C589" s="18" t="s">
        <v>1819</v>
      </c>
      <c r="D589" s="18" t="str">
        <f>IF(COUNTIF(RBE!$C$1:$C$629,A589)&gt;0,"Existe","Absent")</f>
        <v>Absent</v>
      </c>
      <c r="E589" s="19" t="s">
        <v>3167</v>
      </c>
      <c r="F589" s="18" t="s">
        <v>15</v>
      </c>
      <c r="G589" s="18" t="s">
        <v>1820</v>
      </c>
    </row>
    <row r="590" spans="3:7" s="19" customFormat="1" ht="15.5" x14ac:dyDescent="0.35">
      <c r="C590" s="18" t="s">
        <v>1834</v>
      </c>
      <c r="D590" s="18" t="str">
        <f>IF(COUNTIF(RBE!$C$1:$C$629,A590)&gt;0,"Existe","Absent")</f>
        <v>Absent</v>
      </c>
      <c r="E590" s="19" t="s">
        <v>3167</v>
      </c>
      <c r="F590" s="18" t="s">
        <v>15</v>
      </c>
      <c r="G590" s="18" t="s">
        <v>1835</v>
      </c>
    </row>
    <row r="591" spans="3:7" s="19" customFormat="1" ht="15.5" x14ac:dyDescent="0.35">
      <c r="C591" s="18" t="s">
        <v>1882</v>
      </c>
      <c r="D591" s="18" t="str">
        <f>IF(COUNTIF(RBE!$C$1:$C$629,A591)&gt;0,"Existe","Absent")</f>
        <v>Absent</v>
      </c>
      <c r="E591" s="19" t="s">
        <v>3167</v>
      </c>
      <c r="F591" s="18" t="s">
        <v>1884</v>
      </c>
      <c r="G591" s="18" t="s">
        <v>1883</v>
      </c>
    </row>
    <row r="592" spans="3:7" s="19" customFormat="1" ht="15.5" x14ac:dyDescent="0.35">
      <c r="C592" s="18" t="s">
        <v>1854</v>
      </c>
      <c r="D592" s="18" t="str">
        <f>IF(COUNTIF(RBE!$C$1:$C$629,A592)&gt;0,"Existe","Absent")</f>
        <v>Absent</v>
      </c>
      <c r="E592" s="19" t="s">
        <v>3167</v>
      </c>
      <c r="F592" s="18" t="s">
        <v>15</v>
      </c>
      <c r="G592" s="18" t="s">
        <v>1855</v>
      </c>
    </row>
    <row r="593" spans="3:7" s="19" customFormat="1" ht="15.5" x14ac:dyDescent="0.35">
      <c r="C593" s="18" t="s">
        <v>1872</v>
      </c>
      <c r="D593" s="18" t="str">
        <f>IF(COUNTIF(RBE!$C$1:$C$629,A593)&gt;0,"Existe","Absent")</f>
        <v>Absent</v>
      </c>
      <c r="E593" s="19" t="s">
        <v>3167</v>
      </c>
      <c r="F593" s="18" t="s">
        <v>1874</v>
      </c>
      <c r="G593" s="18" t="s">
        <v>1873</v>
      </c>
    </row>
    <row r="594" spans="3:7" s="19" customFormat="1" ht="15.5" x14ac:dyDescent="0.35">
      <c r="C594" s="18" t="s">
        <v>1850</v>
      </c>
      <c r="D594" s="18" t="str">
        <f>IF(COUNTIF(RBE!$C$1:$C$629,A594)&gt;0,"Existe","Absent")</f>
        <v>Absent</v>
      </c>
      <c r="E594" s="19" t="s">
        <v>3167</v>
      </c>
      <c r="F594" s="18" t="s">
        <v>15</v>
      </c>
      <c r="G594" s="18" t="s">
        <v>1851</v>
      </c>
    </row>
    <row r="595" spans="3:7" s="19" customFormat="1" ht="15.5" x14ac:dyDescent="0.35">
      <c r="C595" s="18" t="s">
        <v>1866</v>
      </c>
      <c r="D595" s="18" t="str">
        <f>IF(COUNTIF(RBE!$C$1:$C$629,A595)&gt;0,"Existe","Absent")</f>
        <v>Absent</v>
      </c>
      <c r="E595" s="19" t="s">
        <v>3167</v>
      </c>
      <c r="F595" s="18" t="s">
        <v>15</v>
      </c>
      <c r="G595" s="18" t="s">
        <v>1867</v>
      </c>
    </row>
    <row r="596" spans="3:7" s="19" customFormat="1" ht="15.5" x14ac:dyDescent="0.35">
      <c r="C596" s="18" t="s">
        <v>1846</v>
      </c>
      <c r="D596" s="18" t="str">
        <f>IF(COUNTIF(RBE!$C$1:$C$629,A596)&gt;0,"Existe","Absent")</f>
        <v>Absent</v>
      </c>
      <c r="E596" s="19" t="s">
        <v>3167</v>
      </c>
      <c r="F596" s="18" t="s">
        <v>15</v>
      </c>
      <c r="G596" s="18" t="s">
        <v>1847</v>
      </c>
    </row>
    <row r="597" spans="3:7" s="19" customFormat="1" ht="15.5" x14ac:dyDescent="0.35">
      <c r="C597" s="18" t="s">
        <v>1864</v>
      </c>
      <c r="D597" s="18" t="str">
        <f>IF(COUNTIF(RBE!$C$1:$C$629,A597)&gt;0,"Existe","Absent")</f>
        <v>Absent</v>
      </c>
      <c r="E597" s="19" t="s">
        <v>3167</v>
      </c>
      <c r="F597" s="18" t="s">
        <v>15</v>
      </c>
      <c r="G597" s="18" t="s">
        <v>1865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061A-09FD-4A96-A5EA-A768D1B06944}">
  <dimension ref="A3:B1741"/>
  <sheetViews>
    <sheetView zoomScale="78" workbookViewId="0">
      <selection activeCell="A11" sqref="A11"/>
    </sheetView>
  </sheetViews>
  <sheetFormatPr baseColWidth="10" defaultRowHeight="14.5" x14ac:dyDescent="0.35"/>
  <cols>
    <col min="1" max="1" width="75.7265625" bestFit="1" customWidth="1"/>
    <col min="2" max="2" width="30.1796875" bestFit="1" customWidth="1"/>
  </cols>
  <sheetData>
    <row r="3" spans="1:2" x14ac:dyDescent="0.35">
      <c r="A3" s="12" t="s">
        <v>3127</v>
      </c>
      <c r="B3" t="s">
        <v>4190</v>
      </c>
    </row>
    <row r="4" spans="1:2" x14ac:dyDescent="0.35">
      <c r="A4" s="13" t="s">
        <v>3115</v>
      </c>
      <c r="B4" s="14">
        <v>6</v>
      </c>
    </row>
    <row r="5" spans="1:2" x14ac:dyDescent="0.35">
      <c r="A5" s="37" t="s">
        <v>3111</v>
      </c>
      <c r="B5" s="14">
        <v>1</v>
      </c>
    </row>
    <row r="6" spans="1:2" x14ac:dyDescent="0.35">
      <c r="A6" s="38" t="s">
        <v>4189</v>
      </c>
      <c r="B6" s="14">
        <v>1</v>
      </c>
    </row>
    <row r="7" spans="1:2" x14ac:dyDescent="0.35">
      <c r="A7" s="37" t="s">
        <v>3117</v>
      </c>
      <c r="B7" s="14">
        <v>5</v>
      </c>
    </row>
    <row r="8" spans="1:2" x14ac:dyDescent="0.35">
      <c r="A8" s="38" t="s">
        <v>4189</v>
      </c>
      <c r="B8" s="14">
        <v>5</v>
      </c>
    </row>
    <row r="9" spans="1:2" x14ac:dyDescent="0.35">
      <c r="A9" s="13" t="s">
        <v>2046</v>
      </c>
      <c r="B9" s="14">
        <v>5</v>
      </c>
    </row>
    <row r="10" spans="1:2" x14ac:dyDescent="0.35">
      <c r="A10" s="37" t="s">
        <v>2045</v>
      </c>
      <c r="B10" s="14">
        <v>2</v>
      </c>
    </row>
    <row r="11" spans="1:2" x14ac:dyDescent="0.35">
      <c r="A11" s="38" t="s">
        <v>4186</v>
      </c>
      <c r="B11" s="14">
        <v>2</v>
      </c>
    </row>
    <row r="12" spans="1:2" x14ac:dyDescent="0.35">
      <c r="A12" s="37" t="s">
        <v>2047</v>
      </c>
      <c r="B12" s="14">
        <v>1</v>
      </c>
    </row>
    <row r="13" spans="1:2" x14ac:dyDescent="0.35">
      <c r="A13" s="38" t="s">
        <v>4186</v>
      </c>
      <c r="B13" s="14">
        <v>1</v>
      </c>
    </row>
    <row r="14" spans="1:2" x14ac:dyDescent="0.35">
      <c r="A14" s="37" t="s">
        <v>2048</v>
      </c>
      <c r="B14" s="14">
        <v>2</v>
      </c>
    </row>
    <row r="15" spans="1:2" x14ac:dyDescent="0.35">
      <c r="A15" s="38" t="s">
        <v>4186</v>
      </c>
      <c r="B15" s="14">
        <v>2</v>
      </c>
    </row>
    <row r="16" spans="1:2" x14ac:dyDescent="0.35">
      <c r="A16" s="13" t="s">
        <v>3108</v>
      </c>
      <c r="B16" s="14">
        <v>4</v>
      </c>
    </row>
    <row r="17" spans="1:2" x14ac:dyDescent="0.35">
      <c r="A17" s="37" t="s">
        <v>3102</v>
      </c>
      <c r="B17" s="14">
        <v>2</v>
      </c>
    </row>
    <row r="18" spans="1:2" x14ac:dyDescent="0.35">
      <c r="A18" s="38" t="s">
        <v>4188</v>
      </c>
      <c r="B18" s="14">
        <v>2</v>
      </c>
    </row>
    <row r="19" spans="1:2" x14ac:dyDescent="0.35">
      <c r="A19" s="37" t="s">
        <v>3109</v>
      </c>
      <c r="B19" s="14">
        <v>2</v>
      </c>
    </row>
    <row r="20" spans="1:2" x14ac:dyDescent="0.35">
      <c r="A20" s="38" t="s">
        <v>4188</v>
      </c>
      <c r="B20" s="14">
        <v>2</v>
      </c>
    </row>
    <row r="21" spans="1:2" x14ac:dyDescent="0.35">
      <c r="A21" s="13" t="s">
        <v>2547</v>
      </c>
      <c r="B21" s="14">
        <v>4</v>
      </c>
    </row>
    <row r="22" spans="1:2" x14ac:dyDescent="0.35">
      <c r="A22" s="37" t="s">
        <v>2546</v>
      </c>
      <c r="B22" s="14">
        <v>1</v>
      </c>
    </row>
    <row r="23" spans="1:2" x14ac:dyDescent="0.35">
      <c r="A23" s="38" t="s">
        <v>4187</v>
      </c>
      <c r="B23" s="14">
        <v>1</v>
      </c>
    </row>
    <row r="24" spans="1:2" x14ac:dyDescent="0.35">
      <c r="A24" s="37" t="s">
        <v>2548</v>
      </c>
      <c r="B24" s="14">
        <v>1</v>
      </c>
    </row>
    <row r="25" spans="1:2" x14ac:dyDescent="0.35">
      <c r="A25" s="38" t="s">
        <v>4187</v>
      </c>
      <c r="B25" s="14">
        <v>1</v>
      </c>
    </row>
    <row r="26" spans="1:2" x14ac:dyDescent="0.35">
      <c r="A26" s="37" t="s">
        <v>2551</v>
      </c>
      <c r="B26" s="14">
        <v>2</v>
      </c>
    </row>
    <row r="27" spans="1:2" x14ac:dyDescent="0.35">
      <c r="A27" s="38" t="s">
        <v>4187</v>
      </c>
      <c r="B27" s="14">
        <v>2</v>
      </c>
    </row>
    <row r="28" spans="1:2" x14ac:dyDescent="0.35">
      <c r="A28" s="13" t="s">
        <v>2435</v>
      </c>
      <c r="B28" s="14">
        <v>4</v>
      </c>
    </row>
    <row r="29" spans="1:2" x14ac:dyDescent="0.35">
      <c r="A29" s="37" t="s">
        <v>2436</v>
      </c>
      <c r="B29" s="14">
        <v>2</v>
      </c>
    </row>
    <row r="30" spans="1:2" x14ac:dyDescent="0.35">
      <c r="A30" s="38" t="s">
        <v>4187</v>
      </c>
      <c r="B30" s="14">
        <v>2</v>
      </c>
    </row>
    <row r="31" spans="1:2" x14ac:dyDescent="0.35">
      <c r="A31" s="37" t="s">
        <v>2437</v>
      </c>
      <c r="B31" s="14">
        <v>1</v>
      </c>
    </row>
    <row r="32" spans="1:2" x14ac:dyDescent="0.35">
      <c r="A32" s="38" t="s">
        <v>4187</v>
      </c>
      <c r="B32" s="14">
        <v>1</v>
      </c>
    </row>
    <row r="33" spans="1:2" x14ac:dyDescent="0.35">
      <c r="A33" s="37" t="s">
        <v>3156</v>
      </c>
      <c r="B33" s="14">
        <v>1</v>
      </c>
    </row>
    <row r="34" spans="1:2" x14ac:dyDescent="0.35">
      <c r="A34" s="38" t="s">
        <v>4187</v>
      </c>
      <c r="B34" s="14">
        <v>1</v>
      </c>
    </row>
    <row r="35" spans="1:2" x14ac:dyDescent="0.35">
      <c r="A35" s="13" t="s">
        <v>2316</v>
      </c>
      <c r="B35" s="14">
        <v>4</v>
      </c>
    </row>
    <row r="36" spans="1:2" x14ac:dyDescent="0.35">
      <c r="A36" s="37" t="s">
        <v>2313</v>
      </c>
      <c r="B36" s="14">
        <v>2</v>
      </c>
    </row>
    <row r="37" spans="1:2" x14ac:dyDescent="0.35">
      <c r="A37" s="38" t="s">
        <v>4187</v>
      </c>
      <c r="B37" s="14">
        <v>2</v>
      </c>
    </row>
    <row r="38" spans="1:2" x14ac:dyDescent="0.35">
      <c r="A38" s="37" t="s">
        <v>2319</v>
      </c>
      <c r="B38" s="14">
        <v>2</v>
      </c>
    </row>
    <row r="39" spans="1:2" x14ac:dyDescent="0.35">
      <c r="A39" s="38" t="s">
        <v>4187</v>
      </c>
      <c r="B39" s="14">
        <v>2</v>
      </c>
    </row>
    <row r="40" spans="1:2" x14ac:dyDescent="0.35">
      <c r="A40" s="13" t="s">
        <v>2108</v>
      </c>
      <c r="B40" s="14">
        <v>4</v>
      </c>
    </row>
    <row r="41" spans="1:2" x14ac:dyDescent="0.35">
      <c r="A41" s="37" t="s">
        <v>2105</v>
      </c>
      <c r="B41" s="14">
        <v>1</v>
      </c>
    </row>
    <row r="42" spans="1:2" x14ac:dyDescent="0.35">
      <c r="A42" s="38" t="s">
        <v>4186</v>
      </c>
      <c r="B42" s="14">
        <v>1</v>
      </c>
    </row>
    <row r="43" spans="1:2" x14ac:dyDescent="0.35">
      <c r="A43" s="37" t="s">
        <v>2109</v>
      </c>
      <c r="B43" s="14">
        <v>1</v>
      </c>
    </row>
    <row r="44" spans="1:2" x14ac:dyDescent="0.35">
      <c r="A44" s="38" t="s">
        <v>4186</v>
      </c>
      <c r="B44" s="14">
        <v>1</v>
      </c>
    </row>
    <row r="45" spans="1:2" x14ac:dyDescent="0.35">
      <c r="A45" s="37" t="s">
        <v>2110</v>
      </c>
      <c r="B45" s="14">
        <v>1</v>
      </c>
    </row>
    <row r="46" spans="1:2" x14ac:dyDescent="0.35">
      <c r="A46" s="38" t="s">
        <v>4186</v>
      </c>
      <c r="B46" s="14">
        <v>1</v>
      </c>
    </row>
    <row r="47" spans="1:2" x14ac:dyDescent="0.35">
      <c r="A47" s="37" t="s">
        <v>381</v>
      </c>
      <c r="B47" s="14">
        <v>1</v>
      </c>
    </row>
    <row r="48" spans="1:2" x14ac:dyDescent="0.35">
      <c r="A48" s="38" t="s">
        <v>4186</v>
      </c>
      <c r="B48" s="14">
        <v>1</v>
      </c>
    </row>
    <row r="49" spans="1:2" x14ac:dyDescent="0.35">
      <c r="A49" s="13" t="s">
        <v>3019</v>
      </c>
      <c r="B49" s="14">
        <v>3</v>
      </c>
    </row>
    <row r="50" spans="1:2" x14ac:dyDescent="0.35">
      <c r="A50" s="37" t="s">
        <v>3016</v>
      </c>
      <c r="B50" s="14">
        <v>1</v>
      </c>
    </row>
    <row r="51" spans="1:2" x14ac:dyDescent="0.35">
      <c r="A51" s="38" t="s">
        <v>4188</v>
      </c>
      <c r="B51" s="14">
        <v>1</v>
      </c>
    </row>
    <row r="52" spans="1:2" x14ac:dyDescent="0.35">
      <c r="A52" s="37" t="s">
        <v>3021</v>
      </c>
      <c r="B52" s="14">
        <v>1</v>
      </c>
    </row>
    <row r="53" spans="1:2" x14ac:dyDescent="0.35">
      <c r="A53" s="38" t="s">
        <v>4185</v>
      </c>
      <c r="B53" s="14">
        <v>1</v>
      </c>
    </row>
    <row r="54" spans="1:2" x14ac:dyDescent="0.35">
      <c r="A54" s="37" t="s">
        <v>3023</v>
      </c>
      <c r="B54" s="14">
        <v>1</v>
      </c>
    </row>
    <row r="55" spans="1:2" x14ac:dyDescent="0.35">
      <c r="A55" s="38" t="s">
        <v>4185</v>
      </c>
      <c r="B55" s="14">
        <v>1</v>
      </c>
    </row>
    <row r="56" spans="1:2" x14ac:dyDescent="0.35">
      <c r="A56" s="13" t="s">
        <v>2783</v>
      </c>
      <c r="B56" s="14">
        <v>3</v>
      </c>
    </row>
    <row r="57" spans="1:2" x14ac:dyDescent="0.35">
      <c r="A57" s="37" t="s">
        <v>2779</v>
      </c>
      <c r="B57" s="14">
        <v>1</v>
      </c>
    </row>
    <row r="58" spans="1:2" x14ac:dyDescent="0.35">
      <c r="A58" s="38" t="s">
        <v>4189</v>
      </c>
      <c r="B58" s="14">
        <v>1</v>
      </c>
    </row>
    <row r="59" spans="1:2" x14ac:dyDescent="0.35">
      <c r="A59" s="37" t="s">
        <v>2785</v>
      </c>
      <c r="B59" s="14">
        <v>1</v>
      </c>
    </row>
    <row r="60" spans="1:2" x14ac:dyDescent="0.35">
      <c r="A60" s="38" t="s">
        <v>4189</v>
      </c>
      <c r="B60" s="14">
        <v>1</v>
      </c>
    </row>
    <row r="61" spans="1:2" x14ac:dyDescent="0.35">
      <c r="A61" s="37" t="s">
        <v>2786</v>
      </c>
      <c r="B61" s="14">
        <v>1</v>
      </c>
    </row>
    <row r="62" spans="1:2" x14ac:dyDescent="0.35">
      <c r="A62" s="38" t="s">
        <v>4189</v>
      </c>
      <c r="B62" s="14">
        <v>1</v>
      </c>
    </row>
    <row r="63" spans="1:2" x14ac:dyDescent="0.35">
      <c r="A63" s="13" t="s">
        <v>2015</v>
      </c>
      <c r="B63" s="14">
        <v>3</v>
      </c>
    </row>
    <row r="64" spans="1:2" x14ac:dyDescent="0.35">
      <c r="A64" s="37" t="s">
        <v>2014</v>
      </c>
      <c r="B64" s="14">
        <v>1</v>
      </c>
    </row>
    <row r="65" spans="1:2" x14ac:dyDescent="0.35">
      <c r="A65" s="38" t="s">
        <v>4185</v>
      </c>
      <c r="B65" s="14">
        <v>1</v>
      </c>
    </row>
    <row r="66" spans="1:2" x14ac:dyDescent="0.35">
      <c r="A66" s="37" t="s">
        <v>2016</v>
      </c>
      <c r="B66" s="14">
        <v>2</v>
      </c>
    </row>
    <row r="67" spans="1:2" x14ac:dyDescent="0.35">
      <c r="A67" s="38" t="s">
        <v>4185</v>
      </c>
      <c r="B67" s="14">
        <v>2</v>
      </c>
    </row>
    <row r="68" spans="1:2" x14ac:dyDescent="0.35">
      <c r="A68" s="13" t="s">
        <v>2515</v>
      </c>
      <c r="B68" s="14">
        <v>3</v>
      </c>
    </row>
    <row r="69" spans="1:2" x14ac:dyDescent="0.35">
      <c r="A69" s="37" t="s">
        <v>2514</v>
      </c>
      <c r="B69" s="14">
        <v>3</v>
      </c>
    </row>
    <row r="70" spans="1:2" x14ac:dyDescent="0.35">
      <c r="A70" s="38" t="s">
        <v>4187</v>
      </c>
      <c r="B70" s="14">
        <v>3</v>
      </c>
    </row>
    <row r="71" spans="1:2" x14ac:dyDescent="0.35">
      <c r="A71" s="13" t="s">
        <v>2120</v>
      </c>
      <c r="B71" s="14">
        <v>3</v>
      </c>
    </row>
    <row r="72" spans="1:2" x14ac:dyDescent="0.35">
      <c r="A72" s="37" t="s">
        <v>2119</v>
      </c>
      <c r="B72" s="14">
        <v>3</v>
      </c>
    </row>
    <row r="73" spans="1:2" x14ac:dyDescent="0.35">
      <c r="A73" s="38" t="s">
        <v>4186</v>
      </c>
      <c r="B73" s="14">
        <v>3</v>
      </c>
    </row>
    <row r="74" spans="1:2" x14ac:dyDescent="0.35">
      <c r="A74" s="13" t="s">
        <v>2482</v>
      </c>
      <c r="B74" s="14">
        <v>3</v>
      </c>
    </row>
    <row r="75" spans="1:2" x14ac:dyDescent="0.35">
      <c r="A75" s="37" t="s">
        <v>2481</v>
      </c>
      <c r="B75" s="14">
        <v>1</v>
      </c>
    </row>
    <row r="76" spans="1:2" x14ac:dyDescent="0.35">
      <c r="A76" s="38" t="s">
        <v>4187</v>
      </c>
      <c r="B76" s="14">
        <v>1</v>
      </c>
    </row>
    <row r="77" spans="1:2" x14ac:dyDescent="0.35">
      <c r="A77" s="37" t="s">
        <v>2484</v>
      </c>
      <c r="B77" s="14">
        <v>1</v>
      </c>
    </row>
    <row r="78" spans="1:2" x14ac:dyDescent="0.35">
      <c r="A78" s="38" t="s">
        <v>4187</v>
      </c>
      <c r="B78" s="14">
        <v>1</v>
      </c>
    </row>
    <row r="79" spans="1:2" x14ac:dyDescent="0.35">
      <c r="A79" s="37" t="s">
        <v>2486</v>
      </c>
      <c r="B79" s="14">
        <v>1</v>
      </c>
    </row>
    <row r="80" spans="1:2" x14ac:dyDescent="0.35">
      <c r="A80" s="38" t="s">
        <v>4187</v>
      </c>
      <c r="B80" s="14">
        <v>1</v>
      </c>
    </row>
    <row r="81" spans="1:2" x14ac:dyDescent="0.35">
      <c r="A81" s="13" t="s">
        <v>2231</v>
      </c>
      <c r="B81" s="14">
        <v>3</v>
      </c>
    </row>
    <row r="82" spans="1:2" x14ac:dyDescent="0.35">
      <c r="A82" s="37" t="s">
        <v>2230</v>
      </c>
      <c r="B82" s="14">
        <v>1</v>
      </c>
    </row>
    <row r="83" spans="1:2" x14ac:dyDescent="0.35">
      <c r="A83" s="38" t="s">
        <v>4186</v>
      </c>
      <c r="B83" s="14">
        <v>1</v>
      </c>
    </row>
    <row r="84" spans="1:2" x14ac:dyDescent="0.35">
      <c r="A84" s="37" t="s">
        <v>2233</v>
      </c>
      <c r="B84" s="14">
        <v>2</v>
      </c>
    </row>
    <row r="85" spans="1:2" x14ac:dyDescent="0.35">
      <c r="A85" s="38" t="s">
        <v>4186</v>
      </c>
      <c r="B85" s="14">
        <v>2</v>
      </c>
    </row>
    <row r="86" spans="1:2" x14ac:dyDescent="0.35">
      <c r="A86" s="13" t="s">
        <v>2986</v>
      </c>
      <c r="B86" s="14">
        <v>2</v>
      </c>
    </row>
    <row r="87" spans="1:2" x14ac:dyDescent="0.35">
      <c r="A87" s="37" t="s">
        <v>2985</v>
      </c>
      <c r="B87" s="14">
        <v>1</v>
      </c>
    </row>
    <row r="88" spans="1:2" x14ac:dyDescent="0.35">
      <c r="A88" s="38" t="s">
        <v>4189</v>
      </c>
      <c r="B88" s="14">
        <v>1</v>
      </c>
    </row>
    <row r="89" spans="1:2" x14ac:dyDescent="0.35">
      <c r="A89" s="37" t="s">
        <v>2987</v>
      </c>
      <c r="B89" s="14">
        <v>1</v>
      </c>
    </row>
    <row r="90" spans="1:2" x14ac:dyDescent="0.35">
      <c r="A90" s="38" t="s">
        <v>4189</v>
      </c>
      <c r="B90" s="14">
        <v>1</v>
      </c>
    </row>
    <row r="91" spans="1:2" x14ac:dyDescent="0.35">
      <c r="A91" s="13" t="s">
        <v>2875</v>
      </c>
      <c r="B91" s="14">
        <v>2</v>
      </c>
    </row>
    <row r="92" spans="1:2" x14ac:dyDescent="0.35">
      <c r="A92" s="37" t="s">
        <v>2874</v>
      </c>
      <c r="B92" s="14">
        <v>1</v>
      </c>
    </row>
    <row r="93" spans="1:2" x14ac:dyDescent="0.35">
      <c r="A93" s="38" t="s">
        <v>4187</v>
      </c>
      <c r="B93" s="14">
        <v>1</v>
      </c>
    </row>
    <row r="94" spans="1:2" x14ac:dyDescent="0.35">
      <c r="A94" s="37" t="s">
        <v>2876</v>
      </c>
      <c r="B94" s="14">
        <v>1</v>
      </c>
    </row>
    <row r="95" spans="1:2" x14ac:dyDescent="0.35">
      <c r="A95" s="38" t="s">
        <v>4187</v>
      </c>
      <c r="B95" s="14">
        <v>1</v>
      </c>
    </row>
    <row r="96" spans="1:2" x14ac:dyDescent="0.35">
      <c r="A96" s="13" t="s">
        <v>3051</v>
      </c>
      <c r="B96" s="14">
        <v>2</v>
      </c>
    </row>
    <row r="97" spans="1:2" x14ac:dyDescent="0.35">
      <c r="A97" s="37" t="s">
        <v>3050</v>
      </c>
      <c r="B97" s="14">
        <v>1</v>
      </c>
    </row>
    <row r="98" spans="1:2" x14ac:dyDescent="0.35">
      <c r="A98" s="38" t="s">
        <v>4186</v>
      </c>
      <c r="B98" s="14">
        <v>1</v>
      </c>
    </row>
    <row r="99" spans="1:2" x14ac:dyDescent="0.35">
      <c r="A99" s="37" t="s">
        <v>3052</v>
      </c>
      <c r="B99" s="14">
        <v>1</v>
      </c>
    </row>
    <row r="100" spans="1:2" x14ac:dyDescent="0.35">
      <c r="A100" s="38" t="s">
        <v>4186</v>
      </c>
      <c r="B100" s="14">
        <v>1</v>
      </c>
    </row>
    <row r="101" spans="1:2" x14ac:dyDescent="0.35">
      <c r="A101" s="13" t="s">
        <v>2660</v>
      </c>
      <c r="B101" s="14">
        <v>2</v>
      </c>
    </row>
    <row r="102" spans="1:2" x14ac:dyDescent="0.35">
      <c r="A102" s="37" t="s">
        <v>2659</v>
      </c>
      <c r="B102" s="14">
        <v>1</v>
      </c>
    </row>
    <row r="103" spans="1:2" x14ac:dyDescent="0.35">
      <c r="A103" s="38" t="s">
        <v>4188</v>
      </c>
      <c r="B103" s="14">
        <v>1</v>
      </c>
    </row>
    <row r="104" spans="1:2" x14ac:dyDescent="0.35">
      <c r="A104" s="37" t="s">
        <v>2662</v>
      </c>
      <c r="B104" s="14">
        <v>1</v>
      </c>
    </row>
    <row r="105" spans="1:2" x14ac:dyDescent="0.35">
      <c r="A105" s="38" t="s">
        <v>4188</v>
      </c>
      <c r="B105" s="14">
        <v>1</v>
      </c>
    </row>
    <row r="106" spans="1:2" x14ac:dyDescent="0.35">
      <c r="A106" s="13" t="s">
        <v>2934</v>
      </c>
      <c r="B106" s="14">
        <v>2</v>
      </c>
    </row>
    <row r="107" spans="1:2" x14ac:dyDescent="0.35">
      <c r="A107" s="37" t="s">
        <v>2933</v>
      </c>
      <c r="B107" s="14">
        <v>2</v>
      </c>
    </row>
    <row r="108" spans="1:2" x14ac:dyDescent="0.35">
      <c r="A108" s="38" t="s">
        <v>4187</v>
      </c>
      <c r="B108" s="14">
        <v>2</v>
      </c>
    </row>
    <row r="109" spans="1:2" x14ac:dyDescent="0.35">
      <c r="A109" s="13" t="s">
        <v>2697</v>
      </c>
      <c r="B109" s="14">
        <v>2</v>
      </c>
    </row>
    <row r="110" spans="1:2" x14ac:dyDescent="0.35">
      <c r="A110" s="37" t="s">
        <v>2696</v>
      </c>
      <c r="B110" s="14">
        <v>2</v>
      </c>
    </row>
    <row r="111" spans="1:2" x14ac:dyDescent="0.35">
      <c r="A111" s="38" t="s">
        <v>4188</v>
      </c>
      <c r="B111" s="14">
        <v>2</v>
      </c>
    </row>
    <row r="112" spans="1:2" x14ac:dyDescent="0.35">
      <c r="A112" s="13" t="s">
        <v>2619</v>
      </c>
      <c r="B112" s="14">
        <v>2</v>
      </c>
    </row>
    <row r="113" spans="1:2" x14ac:dyDescent="0.35">
      <c r="A113" s="37" t="s">
        <v>2618</v>
      </c>
      <c r="B113" s="14">
        <v>2</v>
      </c>
    </row>
    <row r="114" spans="1:2" x14ac:dyDescent="0.35">
      <c r="A114" s="38" t="s">
        <v>4188</v>
      </c>
      <c r="B114" s="14">
        <v>2</v>
      </c>
    </row>
    <row r="115" spans="1:2" x14ac:dyDescent="0.35">
      <c r="A115" s="13" t="s">
        <v>2700</v>
      </c>
      <c r="B115" s="14">
        <v>2</v>
      </c>
    </row>
    <row r="116" spans="1:2" x14ac:dyDescent="0.35">
      <c r="A116" s="37" t="s">
        <v>2699</v>
      </c>
      <c r="B116" s="14">
        <v>1</v>
      </c>
    </row>
    <row r="117" spans="1:2" x14ac:dyDescent="0.35">
      <c r="A117" s="38" t="s">
        <v>4188</v>
      </c>
      <c r="B117" s="14">
        <v>1</v>
      </c>
    </row>
    <row r="118" spans="1:2" x14ac:dyDescent="0.35">
      <c r="A118" s="37" t="s">
        <v>2701</v>
      </c>
      <c r="B118" s="14">
        <v>1</v>
      </c>
    </row>
    <row r="119" spans="1:2" x14ac:dyDescent="0.35">
      <c r="A119" s="38" t="s">
        <v>4188</v>
      </c>
      <c r="B119" s="14">
        <v>1</v>
      </c>
    </row>
    <row r="120" spans="1:2" x14ac:dyDescent="0.35">
      <c r="A120" s="13" t="s">
        <v>2656</v>
      </c>
      <c r="B120" s="14">
        <v>2</v>
      </c>
    </row>
    <row r="121" spans="1:2" x14ac:dyDescent="0.35">
      <c r="A121" s="37" t="s">
        <v>2651</v>
      </c>
      <c r="B121" s="14">
        <v>1</v>
      </c>
    </row>
    <row r="122" spans="1:2" x14ac:dyDescent="0.35">
      <c r="A122" s="38" t="s">
        <v>4188</v>
      </c>
      <c r="B122" s="14">
        <v>1</v>
      </c>
    </row>
    <row r="123" spans="1:2" x14ac:dyDescent="0.35">
      <c r="A123" s="37" t="s">
        <v>2657</v>
      </c>
      <c r="B123" s="14">
        <v>1</v>
      </c>
    </row>
    <row r="124" spans="1:2" x14ac:dyDescent="0.35">
      <c r="A124" s="38" t="s">
        <v>4188</v>
      </c>
      <c r="B124" s="14">
        <v>1</v>
      </c>
    </row>
    <row r="125" spans="1:2" x14ac:dyDescent="0.35">
      <c r="A125" s="13" t="s">
        <v>2731</v>
      </c>
      <c r="B125" s="14">
        <v>2</v>
      </c>
    </row>
    <row r="126" spans="1:2" x14ac:dyDescent="0.35">
      <c r="A126" s="37" t="s">
        <v>2728</v>
      </c>
      <c r="B126" s="14">
        <v>2</v>
      </c>
    </row>
    <row r="127" spans="1:2" x14ac:dyDescent="0.35">
      <c r="A127" s="38" t="s">
        <v>4188</v>
      </c>
      <c r="B127" s="14">
        <v>2</v>
      </c>
    </row>
    <row r="128" spans="1:2" x14ac:dyDescent="0.35">
      <c r="A128" s="13" t="s">
        <v>2902</v>
      </c>
      <c r="B128" s="14">
        <v>2</v>
      </c>
    </row>
    <row r="129" spans="1:2" x14ac:dyDescent="0.35">
      <c r="A129" s="37" t="s">
        <v>2900</v>
      </c>
      <c r="B129" s="14">
        <v>2</v>
      </c>
    </row>
    <row r="130" spans="1:2" x14ac:dyDescent="0.35">
      <c r="A130" s="38" t="s">
        <v>4187</v>
      </c>
      <c r="B130" s="14">
        <v>2</v>
      </c>
    </row>
    <row r="131" spans="1:2" x14ac:dyDescent="0.35">
      <c r="A131" s="13" t="s">
        <v>2770</v>
      </c>
      <c r="B131" s="14">
        <v>2</v>
      </c>
    </row>
    <row r="132" spans="1:2" x14ac:dyDescent="0.35">
      <c r="A132" s="37" t="s">
        <v>2769</v>
      </c>
      <c r="B132" s="14">
        <v>1</v>
      </c>
    </row>
    <row r="133" spans="1:2" x14ac:dyDescent="0.35">
      <c r="A133" s="38" t="s">
        <v>4189</v>
      </c>
      <c r="B133" s="14">
        <v>1</v>
      </c>
    </row>
    <row r="134" spans="1:2" x14ac:dyDescent="0.35">
      <c r="A134" s="37" t="s">
        <v>2771</v>
      </c>
      <c r="B134" s="14">
        <v>1</v>
      </c>
    </row>
    <row r="135" spans="1:2" x14ac:dyDescent="0.35">
      <c r="A135" s="38" t="s">
        <v>4189</v>
      </c>
      <c r="B135" s="14">
        <v>1</v>
      </c>
    </row>
    <row r="136" spans="1:2" x14ac:dyDescent="0.35">
      <c r="A136" s="13" t="s">
        <v>2963</v>
      </c>
      <c r="B136" s="14">
        <v>2</v>
      </c>
    </row>
    <row r="137" spans="1:2" x14ac:dyDescent="0.35">
      <c r="A137" s="37" t="s">
        <v>2962</v>
      </c>
      <c r="B137" s="14">
        <v>1</v>
      </c>
    </row>
    <row r="138" spans="1:2" x14ac:dyDescent="0.35">
      <c r="A138" s="38" t="s">
        <v>4189</v>
      </c>
      <c r="B138" s="14">
        <v>1</v>
      </c>
    </row>
    <row r="139" spans="1:2" x14ac:dyDescent="0.35">
      <c r="A139" s="37" t="s">
        <v>2965</v>
      </c>
      <c r="B139" s="14">
        <v>1</v>
      </c>
    </row>
    <row r="140" spans="1:2" x14ac:dyDescent="0.35">
      <c r="A140" s="38" t="s">
        <v>4189</v>
      </c>
      <c r="B140" s="14">
        <v>1</v>
      </c>
    </row>
    <row r="141" spans="1:2" x14ac:dyDescent="0.35">
      <c r="A141" s="13" t="s">
        <v>2775</v>
      </c>
      <c r="B141" s="14">
        <v>2</v>
      </c>
    </row>
    <row r="142" spans="1:2" x14ac:dyDescent="0.35">
      <c r="A142" s="37" t="s">
        <v>2771</v>
      </c>
      <c r="B142" s="14">
        <v>1</v>
      </c>
    </row>
    <row r="143" spans="1:2" x14ac:dyDescent="0.35">
      <c r="A143" s="38" t="s">
        <v>4189</v>
      </c>
      <c r="B143" s="14">
        <v>1</v>
      </c>
    </row>
    <row r="144" spans="1:2" x14ac:dyDescent="0.35">
      <c r="A144" s="37" t="s">
        <v>2777</v>
      </c>
      <c r="B144" s="14">
        <v>1</v>
      </c>
    </row>
    <row r="145" spans="1:2" x14ac:dyDescent="0.35">
      <c r="A145" s="38" t="s">
        <v>4189</v>
      </c>
      <c r="B145" s="14">
        <v>1</v>
      </c>
    </row>
    <row r="146" spans="1:2" x14ac:dyDescent="0.35">
      <c r="A146" s="13" t="s">
        <v>3009</v>
      </c>
      <c r="B146" s="14">
        <v>2</v>
      </c>
    </row>
    <row r="147" spans="1:2" x14ac:dyDescent="0.35">
      <c r="A147" s="37" t="s">
        <v>2991</v>
      </c>
      <c r="B147" s="14">
        <v>1</v>
      </c>
    </row>
    <row r="148" spans="1:2" x14ac:dyDescent="0.35">
      <c r="A148" s="38" t="s">
        <v>4189</v>
      </c>
      <c r="B148" s="14">
        <v>1</v>
      </c>
    </row>
    <row r="149" spans="1:2" x14ac:dyDescent="0.35">
      <c r="A149" s="37" t="s">
        <v>3011</v>
      </c>
      <c r="B149" s="14">
        <v>1</v>
      </c>
    </row>
    <row r="150" spans="1:2" x14ac:dyDescent="0.35">
      <c r="A150" s="38" t="s">
        <v>4189</v>
      </c>
      <c r="B150" s="14">
        <v>1</v>
      </c>
    </row>
    <row r="151" spans="1:2" x14ac:dyDescent="0.35">
      <c r="A151" s="13" t="s">
        <v>2542</v>
      </c>
      <c r="B151" s="14">
        <v>2</v>
      </c>
    </row>
    <row r="152" spans="1:2" x14ac:dyDescent="0.35">
      <c r="A152" s="37" t="s">
        <v>2541</v>
      </c>
      <c r="B152" s="14">
        <v>2</v>
      </c>
    </row>
    <row r="153" spans="1:2" x14ac:dyDescent="0.35">
      <c r="A153" s="38" t="s">
        <v>4187</v>
      </c>
      <c r="B153" s="14">
        <v>2</v>
      </c>
    </row>
    <row r="154" spans="1:2" x14ac:dyDescent="0.35">
      <c r="A154" s="13" t="s">
        <v>3031</v>
      </c>
      <c r="B154" s="14">
        <v>2</v>
      </c>
    </row>
    <row r="155" spans="1:2" x14ac:dyDescent="0.35">
      <c r="A155" s="37" t="s">
        <v>3030</v>
      </c>
      <c r="B155" s="14">
        <v>1</v>
      </c>
    </row>
    <row r="156" spans="1:2" x14ac:dyDescent="0.35">
      <c r="A156" s="38" t="s">
        <v>4185</v>
      </c>
      <c r="B156" s="14">
        <v>1</v>
      </c>
    </row>
    <row r="157" spans="1:2" x14ac:dyDescent="0.35">
      <c r="A157" s="37" t="s">
        <v>3033</v>
      </c>
      <c r="B157" s="14">
        <v>1</v>
      </c>
    </row>
    <row r="158" spans="1:2" x14ac:dyDescent="0.35">
      <c r="A158" s="38" t="s">
        <v>4185</v>
      </c>
      <c r="B158" s="14">
        <v>1</v>
      </c>
    </row>
    <row r="159" spans="1:2" x14ac:dyDescent="0.35">
      <c r="A159" s="13" t="s">
        <v>3110</v>
      </c>
      <c r="B159" s="14">
        <v>2</v>
      </c>
    </row>
    <row r="160" spans="1:2" x14ac:dyDescent="0.35">
      <c r="A160" s="37" t="s">
        <v>3109</v>
      </c>
      <c r="B160" s="14">
        <v>1</v>
      </c>
    </row>
    <row r="161" spans="1:2" x14ac:dyDescent="0.35">
      <c r="A161" s="38" t="s">
        <v>4188</v>
      </c>
      <c r="B161" s="14">
        <v>1</v>
      </c>
    </row>
    <row r="162" spans="1:2" x14ac:dyDescent="0.35">
      <c r="A162" s="37" t="s">
        <v>3111</v>
      </c>
      <c r="B162" s="14">
        <v>1</v>
      </c>
    </row>
    <row r="163" spans="1:2" x14ac:dyDescent="0.35">
      <c r="A163" s="38" t="s">
        <v>4188</v>
      </c>
      <c r="B163" s="14">
        <v>1</v>
      </c>
    </row>
    <row r="164" spans="1:2" x14ac:dyDescent="0.35">
      <c r="A164" s="13" t="s">
        <v>3097</v>
      </c>
      <c r="B164" s="14">
        <v>2</v>
      </c>
    </row>
    <row r="165" spans="1:2" x14ac:dyDescent="0.35">
      <c r="A165" s="37" t="s">
        <v>3092</v>
      </c>
      <c r="B165" s="14">
        <v>2</v>
      </c>
    </row>
    <row r="166" spans="1:2" x14ac:dyDescent="0.35">
      <c r="A166" s="38" t="s">
        <v>4187</v>
      </c>
      <c r="B166" s="14">
        <v>2</v>
      </c>
    </row>
    <row r="167" spans="1:2" x14ac:dyDescent="0.35">
      <c r="A167" s="13" t="s">
        <v>2572</v>
      </c>
      <c r="B167" s="14">
        <v>2</v>
      </c>
    </row>
    <row r="168" spans="1:2" x14ac:dyDescent="0.35">
      <c r="A168" s="37" t="s">
        <v>2571</v>
      </c>
      <c r="B168" s="14">
        <v>2</v>
      </c>
    </row>
    <row r="169" spans="1:2" x14ac:dyDescent="0.35">
      <c r="A169" s="38" t="s">
        <v>4187</v>
      </c>
      <c r="B169" s="14">
        <v>1</v>
      </c>
    </row>
    <row r="170" spans="1:2" x14ac:dyDescent="0.35">
      <c r="A170" s="38" t="s">
        <v>4188</v>
      </c>
      <c r="B170" s="14">
        <v>1</v>
      </c>
    </row>
    <row r="171" spans="1:2" x14ac:dyDescent="0.35">
      <c r="A171" s="13" t="s">
        <v>2871</v>
      </c>
      <c r="B171" s="14">
        <v>2</v>
      </c>
    </row>
    <row r="172" spans="1:2" x14ac:dyDescent="0.35">
      <c r="A172" s="37" t="s">
        <v>2868</v>
      </c>
      <c r="B172" s="14">
        <v>2</v>
      </c>
    </row>
    <row r="173" spans="1:2" x14ac:dyDescent="0.35">
      <c r="A173" s="38" t="s">
        <v>4187</v>
      </c>
      <c r="B173" s="14">
        <v>2</v>
      </c>
    </row>
    <row r="174" spans="1:2" x14ac:dyDescent="0.35">
      <c r="A174" s="13" t="s">
        <v>2835</v>
      </c>
      <c r="B174" s="14">
        <v>2</v>
      </c>
    </row>
    <row r="175" spans="1:2" x14ac:dyDescent="0.35">
      <c r="A175" s="37" t="s">
        <v>2828</v>
      </c>
      <c r="B175" s="14">
        <v>2</v>
      </c>
    </row>
    <row r="176" spans="1:2" x14ac:dyDescent="0.35">
      <c r="A176" s="38" t="s">
        <v>4185</v>
      </c>
      <c r="B176" s="14">
        <v>1</v>
      </c>
    </row>
    <row r="177" spans="1:2" x14ac:dyDescent="0.35">
      <c r="A177" s="38" t="s">
        <v>4186</v>
      </c>
      <c r="B177" s="14">
        <v>1</v>
      </c>
    </row>
    <row r="178" spans="1:2" x14ac:dyDescent="0.35">
      <c r="A178" s="13" t="s">
        <v>2839</v>
      </c>
      <c r="B178" s="14">
        <v>2</v>
      </c>
    </row>
    <row r="179" spans="1:2" x14ac:dyDescent="0.35">
      <c r="A179" s="37" t="s">
        <v>2838</v>
      </c>
      <c r="B179" s="14">
        <v>2</v>
      </c>
    </row>
    <row r="180" spans="1:2" x14ac:dyDescent="0.35">
      <c r="A180" s="38" t="s">
        <v>4186</v>
      </c>
      <c r="B180" s="14">
        <v>2</v>
      </c>
    </row>
    <row r="181" spans="1:2" x14ac:dyDescent="0.35">
      <c r="A181" s="13" t="s">
        <v>2351</v>
      </c>
      <c r="B181" s="14">
        <v>2</v>
      </c>
    </row>
    <row r="182" spans="1:2" x14ac:dyDescent="0.35">
      <c r="A182" s="37" t="s">
        <v>2350</v>
      </c>
      <c r="B182" s="14">
        <v>1</v>
      </c>
    </row>
    <row r="183" spans="1:2" x14ac:dyDescent="0.35">
      <c r="A183" s="38" t="s">
        <v>4187</v>
      </c>
      <c r="B183" s="14">
        <v>1</v>
      </c>
    </row>
    <row r="184" spans="1:2" x14ac:dyDescent="0.35">
      <c r="A184" s="37" t="s">
        <v>2353</v>
      </c>
      <c r="B184" s="14">
        <v>1</v>
      </c>
    </row>
    <row r="185" spans="1:2" x14ac:dyDescent="0.35">
      <c r="A185" s="38" t="s">
        <v>4187</v>
      </c>
      <c r="B185" s="14">
        <v>1</v>
      </c>
    </row>
    <row r="186" spans="1:2" x14ac:dyDescent="0.35">
      <c r="A186" s="13" t="s">
        <v>2167</v>
      </c>
      <c r="B186" s="14">
        <v>2</v>
      </c>
    </row>
    <row r="187" spans="1:2" x14ac:dyDescent="0.35">
      <c r="A187" s="37" t="s">
        <v>2166</v>
      </c>
      <c r="B187" s="14">
        <v>2</v>
      </c>
    </row>
    <row r="188" spans="1:2" x14ac:dyDescent="0.35">
      <c r="A188" s="38" t="s">
        <v>4186</v>
      </c>
      <c r="B188" s="14">
        <v>2</v>
      </c>
    </row>
    <row r="189" spans="1:2" x14ac:dyDescent="0.35">
      <c r="A189" s="13" t="s">
        <v>2420</v>
      </c>
      <c r="B189" s="14">
        <v>2</v>
      </c>
    </row>
    <row r="190" spans="1:2" x14ac:dyDescent="0.35">
      <c r="A190" s="37" t="s">
        <v>2419</v>
      </c>
      <c r="B190" s="14">
        <v>1</v>
      </c>
    </row>
    <row r="191" spans="1:2" x14ac:dyDescent="0.35">
      <c r="A191" s="38" t="s">
        <v>4187</v>
      </c>
      <c r="B191" s="14">
        <v>1</v>
      </c>
    </row>
    <row r="192" spans="1:2" x14ac:dyDescent="0.35">
      <c r="A192" s="37" t="s">
        <v>2422</v>
      </c>
      <c r="B192" s="14">
        <v>1</v>
      </c>
    </row>
    <row r="193" spans="1:2" x14ac:dyDescent="0.35">
      <c r="A193" s="38" t="s">
        <v>4187</v>
      </c>
      <c r="B193" s="14">
        <v>1</v>
      </c>
    </row>
    <row r="194" spans="1:2" x14ac:dyDescent="0.35">
      <c r="A194" s="13" t="s">
        <v>1964</v>
      </c>
      <c r="B194" s="14">
        <v>2</v>
      </c>
    </row>
    <row r="195" spans="1:2" x14ac:dyDescent="0.35">
      <c r="A195" s="37" t="s">
        <v>3141</v>
      </c>
      <c r="B195" s="14">
        <v>2</v>
      </c>
    </row>
    <row r="196" spans="1:2" x14ac:dyDescent="0.35">
      <c r="A196" s="38" t="s">
        <v>4185</v>
      </c>
      <c r="B196" s="14">
        <v>1</v>
      </c>
    </row>
    <row r="197" spans="1:2" x14ac:dyDescent="0.35">
      <c r="A197" s="38" t="s">
        <v>4186</v>
      </c>
      <c r="B197" s="14">
        <v>1</v>
      </c>
    </row>
    <row r="198" spans="1:2" x14ac:dyDescent="0.35">
      <c r="A198" s="13" t="s">
        <v>2228</v>
      </c>
      <c r="B198" s="14">
        <v>2</v>
      </c>
    </row>
    <row r="199" spans="1:2" x14ac:dyDescent="0.35">
      <c r="A199" s="37" t="s">
        <v>2224</v>
      </c>
      <c r="B199" s="14">
        <v>2</v>
      </c>
    </row>
    <row r="200" spans="1:2" x14ac:dyDescent="0.35">
      <c r="A200" s="38" t="s">
        <v>4186</v>
      </c>
      <c r="B200" s="14">
        <v>2</v>
      </c>
    </row>
    <row r="201" spans="1:2" x14ac:dyDescent="0.35">
      <c r="A201" s="13" t="s">
        <v>2496</v>
      </c>
      <c r="B201" s="14">
        <v>2</v>
      </c>
    </row>
    <row r="202" spans="1:2" x14ac:dyDescent="0.35">
      <c r="A202" s="37" t="s">
        <v>2495</v>
      </c>
      <c r="B202" s="14">
        <v>2</v>
      </c>
    </row>
    <row r="203" spans="1:2" x14ac:dyDescent="0.35">
      <c r="A203" s="38" t="s">
        <v>4187</v>
      </c>
      <c r="B203" s="14">
        <v>2</v>
      </c>
    </row>
    <row r="204" spans="1:2" x14ac:dyDescent="0.35">
      <c r="A204" s="13" t="s">
        <v>2371</v>
      </c>
      <c r="B204" s="14">
        <v>2</v>
      </c>
    </row>
    <row r="205" spans="1:2" x14ac:dyDescent="0.35">
      <c r="A205" s="37" t="s">
        <v>3153</v>
      </c>
      <c r="B205" s="14">
        <v>1</v>
      </c>
    </row>
    <row r="206" spans="1:2" x14ac:dyDescent="0.35">
      <c r="A206" s="38" t="s">
        <v>4187</v>
      </c>
      <c r="B206" s="14">
        <v>1</v>
      </c>
    </row>
    <row r="207" spans="1:2" x14ac:dyDescent="0.35">
      <c r="A207" s="37" t="s">
        <v>2373</v>
      </c>
      <c r="B207" s="14">
        <v>1</v>
      </c>
    </row>
    <row r="208" spans="1:2" x14ac:dyDescent="0.35">
      <c r="A208" s="38" t="s">
        <v>4187</v>
      </c>
      <c r="B208" s="14">
        <v>1</v>
      </c>
    </row>
    <row r="209" spans="1:2" x14ac:dyDescent="0.35">
      <c r="A209" s="13" t="s">
        <v>2060</v>
      </c>
      <c r="B209" s="14">
        <v>2</v>
      </c>
    </row>
    <row r="210" spans="1:2" x14ac:dyDescent="0.35">
      <c r="A210" s="37" t="s">
        <v>2059</v>
      </c>
      <c r="B210" s="14">
        <v>1</v>
      </c>
    </row>
    <row r="211" spans="1:2" x14ac:dyDescent="0.35">
      <c r="A211" s="38" t="s">
        <v>4186</v>
      </c>
      <c r="B211" s="14">
        <v>1</v>
      </c>
    </row>
    <row r="212" spans="1:2" x14ac:dyDescent="0.35">
      <c r="A212" s="37" t="s">
        <v>2063</v>
      </c>
      <c r="B212" s="14">
        <v>1</v>
      </c>
    </row>
    <row r="213" spans="1:2" x14ac:dyDescent="0.35">
      <c r="A213" s="38" t="s">
        <v>4186</v>
      </c>
      <c r="B213" s="14">
        <v>1</v>
      </c>
    </row>
    <row r="214" spans="1:2" x14ac:dyDescent="0.35">
      <c r="A214" s="13" t="s">
        <v>2423</v>
      </c>
      <c r="B214" s="14">
        <v>2</v>
      </c>
    </row>
    <row r="215" spans="1:2" x14ac:dyDescent="0.35">
      <c r="A215" s="37" t="s">
        <v>2422</v>
      </c>
      <c r="B215" s="14">
        <v>1</v>
      </c>
    </row>
    <row r="216" spans="1:2" x14ac:dyDescent="0.35">
      <c r="A216" s="38" t="s">
        <v>4187</v>
      </c>
      <c r="B216" s="14">
        <v>1</v>
      </c>
    </row>
    <row r="217" spans="1:2" x14ac:dyDescent="0.35">
      <c r="A217" s="37" t="s">
        <v>2424</v>
      </c>
      <c r="B217" s="14">
        <v>1</v>
      </c>
    </row>
    <row r="218" spans="1:2" x14ac:dyDescent="0.35">
      <c r="A218" s="38" t="s">
        <v>4187</v>
      </c>
      <c r="B218" s="14">
        <v>1</v>
      </c>
    </row>
    <row r="219" spans="1:2" x14ac:dyDescent="0.35">
      <c r="A219" s="13" t="s">
        <v>2288</v>
      </c>
      <c r="B219" s="14">
        <v>2</v>
      </c>
    </row>
    <row r="220" spans="1:2" x14ac:dyDescent="0.35">
      <c r="A220" s="37" t="s">
        <v>2282</v>
      </c>
      <c r="B220" s="14">
        <v>2</v>
      </c>
    </row>
    <row r="221" spans="1:2" x14ac:dyDescent="0.35">
      <c r="A221" s="38" t="s">
        <v>4187</v>
      </c>
      <c r="B221" s="14">
        <v>2</v>
      </c>
    </row>
    <row r="222" spans="1:2" x14ac:dyDescent="0.35">
      <c r="A222" s="13" t="s">
        <v>2473</v>
      </c>
      <c r="B222" s="14">
        <v>2</v>
      </c>
    </row>
    <row r="223" spans="1:2" x14ac:dyDescent="0.35">
      <c r="A223" s="37" t="s">
        <v>2472</v>
      </c>
      <c r="B223" s="14">
        <v>1</v>
      </c>
    </row>
    <row r="224" spans="1:2" x14ac:dyDescent="0.35">
      <c r="A224" s="38" t="s">
        <v>4187</v>
      </c>
      <c r="B224" s="14">
        <v>1</v>
      </c>
    </row>
    <row r="225" spans="1:2" x14ac:dyDescent="0.35">
      <c r="A225" s="37" t="s">
        <v>2474</v>
      </c>
      <c r="B225" s="14">
        <v>1</v>
      </c>
    </row>
    <row r="226" spans="1:2" x14ac:dyDescent="0.35">
      <c r="A226" s="38" t="s">
        <v>4187</v>
      </c>
      <c r="B226" s="14">
        <v>1</v>
      </c>
    </row>
    <row r="227" spans="1:2" x14ac:dyDescent="0.35">
      <c r="A227" s="13" t="s">
        <v>2304</v>
      </c>
      <c r="B227" s="14">
        <v>2</v>
      </c>
    </row>
    <row r="228" spans="1:2" x14ac:dyDescent="0.35">
      <c r="A228" s="37" t="s">
        <v>2303</v>
      </c>
      <c r="B228" s="14">
        <v>1</v>
      </c>
    </row>
    <row r="229" spans="1:2" x14ac:dyDescent="0.35">
      <c r="A229" s="38" t="s">
        <v>4187</v>
      </c>
      <c r="B229" s="14">
        <v>1</v>
      </c>
    </row>
    <row r="230" spans="1:2" x14ac:dyDescent="0.35">
      <c r="A230" s="37" t="s">
        <v>2305</v>
      </c>
      <c r="B230" s="14">
        <v>1</v>
      </c>
    </row>
    <row r="231" spans="1:2" x14ac:dyDescent="0.35">
      <c r="A231" s="38" t="s">
        <v>4187</v>
      </c>
      <c r="B231" s="14">
        <v>1</v>
      </c>
    </row>
    <row r="232" spans="1:2" x14ac:dyDescent="0.35">
      <c r="A232" s="13" t="s">
        <v>2163</v>
      </c>
      <c r="B232" s="14">
        <v>2</v>
      </c>
    </row>
    <row r="233" spans="1:2" x14ac:dyDescent="0.35">
      <c r="A233" s="37" t="s">
        <v>2162</v>
      </c>
      <c r="B233" s="14">
        <v>1</v>
      </c>
    </row>
    <row r="234" spans="1:2" x14ac:dyDescent="0.35">
      <c r="A234" s="38" t="s">
        <v>4186</v>
      </c>
      <c r="B234" s="14">
        <v>1</v>
      </c>
    </row>
    <row r="235" spans="1:2" x14ac:dyDescent="0.35">
      <c r="A235" s="37" t="s">
        <v>2164</v>
      </c>
      <c r="B235" s="14">
        <v>1</v>
      </c>
    </row>
    <row r="236" spans="1:2" x14ac:dyDescent="0.35">
      <c r="A236" s="38" t="s">
        <v>4186</v>
      </c>
      <c r="B236" s="14">
        <v>1</v>
      </c>
    </row>
    <row r="237" spans="1:2" x14ac:dyDescent="0.35">
      <c r="A237" s="13" t="s">
        <v>2500</v>
      </c>
      <c r="B237" s="14">
        <v>2</v>
      </c>
    </row>
    <row r="238" spans="1:2" x14ac:dyDescent="0.35">
      <c r="A238" s="37" t="s">
        <v>2498</v>
      </c>
      <c r="B238" s="14">
        <v>2</v>
      </c>
    </row>
    <row r="239" spans="1:2" x14ac:dyDescent="0.35">
      <c r="A239" s="38" t="s">
        <v>4187</v>
      </c>
      <c r="B239" s="14">
        <v>2</v>
      </c>
    </row>
    <row r="240" spans="1:2" x14ac:dyDescent="0.35">
      <c r="A240" s="13" t="s">
        <v>2253</v>
      </c>
      <c r="B240" s="14">
        <v>2</v>
      </c>
    </row>
    <row r="241" spans="1:2" x14ac:dyDescent="0.35">
      <c r="A241" s="37" t="s">
        <v>2252</v>
      </c>
      <c r="B241" s="14">
        <v>2</v>
      </c>
    </row>
    <row r="242" spans="1:2" x14ac:dyDescent="0.35">
      <c r="A242" s="38" t="s">
        <v>4186</v>
      </c>
      <c r="B242" s="14">
        <v>2</v>
      </c>
    </row>
    <row r="243" spans="1:2" x14ac:dyDescent="0.35">
      <c r="A243" s="13" t="s">
        <v>2280</v>
      </c>
      <c r="B243" s="14">
        <v>2</v>
      </c>
    </row>
    <row r="244" spans="1:2" x14ac:dyDescent="0.35">
      <c r="A244" s="37" t="s">
        <v>2279</v>
      </c>
      <c r="B244" s="14">
        <v>1</v>
      </c>
    </row>
    <row r="245" spans="1:2" x14ac:dyDescent="0.35">
      <c r="A245" s="38" t="s">
        <v>4186</v>
      </c>
      <c r="B245" s="14">
        <v>1</v>
      </c>
    </row>
    <row r="246" spans="1:2" x14ac:dyDescent="0.35">
      <c r="A246" s="37" t="s">
        <v>2282</v>
      </c>
      <c r="B246" s="14">
        <v>1</v>
      </c>
    </row>
    <row r="247" spans="1:2" x14ac:dyDescent="0.35">
      <c r="A247" s="38" t="s">
        <v>4186</v>
      </c>
      <c r="B247" s="14">
        <v>1</v>
      </c>
    </row>
    <row r="248" spans="1:2" x14ac:dyDescent="0.35">
      <c r="A248" s="13" t="s">
        <v>2209</v>
      </c>
      <c r="B248" s="14">
        <v>2</v>
      </c>
    </row>
    <row r="249" spans="1:2" x14ac:dyDescent="0.35">
      <c r="A249" s="37" t="s">
        <v>2207</v>
      </c>
      <c r="B249" s="14">
        <v>1</v>
      </c>
    </row>
    <row r="250" spans="1:2" x14ac:dyDescent="0.35">
      <c r="A250" s="38" t="s">
        <v>4186</v>
      </c>
      <c r="B250" s="14">
        <v>1</v>
      </c>
    </row>
    <row r="251" spans="1:2" x14ac:dyDescent="0.35">
      <c r="A251" s="37" t="s">
        <v>2210</v>
      </c>
      <c r="B251" s="14">
        <v>1</v>
      </c>
    </row>
    <row r="252" spans="1:2" x14ac:dyDescent="0.35">
      <c r="A252" s="38" t="s">
        <v>4186</v>
      </c>
      <c r="B252" s="14">
        <v>1</v>
      </c>
    </row>
    <row r="253" spans="1:2" x14ac:dyDescent="0.35">
      <c r="A253" s="13" t="s">
        <v>2872</v>
      </c>
      <c r="B253" s="14">
        <v>1</v>
      </c>
    </row>
    <row r="254" spans="1:2" x14ac:dyDescent="0.35">
      <c r="A254" s="37" t="s">
        <v>2868</v>
      </c>
      <c r="B254" s="14">
        <v>1</v>
      </c>
    </row>
    <row r="255" spans="1:2" x14ac:dyDescent="0.35">
      <c r="A255" s="38" t="s">
        <v>4187</v>
      </c>
      <c r="B255" s="14">
        <v>1</v>
      </c>
    </row>
    <row r="256" spans="1:2" x14ac:dyDescent="0.35">
      <c r="A256" s="13" t="s">
        <v>2993</v>
      </c>
      <c r="B256" s="14">
        <v>1</v>
      </c>
    </row>
    <row r="257" spans="1:2" x14ac:dyDescent="0.35">
      <c r="A257" s="37" t="s">
        <v>2991</v>
      </c>
      <c r="B257" s="14">
        <v>1</v>
      </c>
    </row>
    <row r="258" spans="1:2" x14ac:dyDescent="0.35">
      <c r="A258" s="38" t="s">
        <v>4189</v>
      </c>
      <c r="B258" s="14">
        <v>1</v>
      </c>
    </row>
    <row r="259" spans="1:2" x14ac:dyDescent="0.35">
      <c r="A259" s="13" t="s">
        <v>2932</v>
      </c>
      <c r="B259" s="14">
        <v>1</v>
      </c>
    </row>
    <row r="260" spans="1:2" x14ac:dyDescent="0.35">
      <c r="A260" s="37" t="s">
        <v>538</v>
      </c>
      <c r="B260" s="14">
        <v>1</v>
      </c>
    </row>
    <row r="261" spans="1:2" x14ac:dyDescent="0.35">
      <c r="A261" s="38" t="s">
        <v>4187</v>
      </c>
      <c r="B261" s="14">
        <v>1</v>
      </c>
    </row>
    <row r="262" spans="1:2" x14ac:dyDescent="0.35">
      <c r="A262" s="13" t="s">
        <v>2608</v>
      </c>
      <c r="B262" s="14">
        <v>1</v>
      </c>
    </row>
    <row r="263" spans="1:2" x14ac:dyDescent="0.35">
      <c r="A263" s="37" t="s">
        <v>2607</v>
      </c>
      <c r="B263" s="14">
        <v>1</v>
      </c>
    </row>
    <row r="264" spans="1:2" x14ac:dyDescent="0.35">
      <c r="A264" s="38" t="s">
        <v>4188</v>
      </c>
      <c r="B264" s="14">
        <v>1</v>
      </c>
    </row>
    <row r="265" spans="1:2" x14ac:dyDescent="0.35">
      <c r="A265" s="13" t="s">
        <v>3071</v>
      </c>
      <c r="B265" s="14">
        <v>1</v>
      </c>
    </row>
    <row r="266" spans="1:2" x14ac:dyDescent="0.35">
      <c r="A266" s="37" t="s">
        <v>3070</v>
      </c>
      <c r="B266" s="14">
        <v>1</v>
      </c>
    </row>
    <row r="267" spans="1:2" x14ac:dyDescent="0.35">
      <c r="A267" s="38" t="s">
        <v>4186</v>
      </c>
      <c r="B267" s="14">
        <v>1</v>
      </c>
    </row>
    <row r="268" spans="1:2" x14ac:dyDescent="0.35">
      <c r="A268" s="13" t="s">
        <v>2610</v>
      </c>
      <c r="B268" s="14">
        <v>1</v>
      </c>
    </row>
    <row r="269" spans="1:2" x14ac:dyDescent="0.35">
      <c r="A269" s="37" t="s">
        <v>2609</v>
      </c>
      <c r="B269" s="14">
        <v>1</v>
      </c>
    </row>
    <row r="270" spans="1:2" x14ac:dyDescent="0.35">
      <c r="A270" s="38" t="s">
        <v>4188</v>
      </c>
      <c r="B270" s="14">
        <v>1</v>
      </c>
    </row>
    <row r="271" spans="1:2" x14ac:dyDescent="0.35">
      <c r="A271" s="13" t="s">
        <v>2901</v>
      </c>
      <c r="B271" s="14">
        <v>1</v>
      </c>
    </row>
    <row r="272" spans="1:2" x14ac:dyDescent="0.35">
      <c r="A272" s="37" t="s">
        <v>2900</v>
      </c>
      <c r="B272" s="14">
        <v>1</v>
      </c>
    </row>
    <row r="273" spans="1:2" x14ac:dyDescent="0.35">
      <c r="A273" s="38" t="s">
        <v>4187</v>
      </c>
      <c r="B273" s="14">
        <v>1</v>
      </c>
    </row>
    <row r="274" spans="1:2" x14ac:dyDescent="0.35">
      <c r="A274" s="13" t="s">
        <v>2613</v>
      </c>
      <c r="B274" s="14">
        <v>1</v>
      </c>
    </row>
    <row r="275" spans="1:2" x14ac:dyDescent="0.35">
      <c r="A275" s="37" t="s">
        <v>2612</v>
      </c>
      <c r="B275" s="14">
        <v>1</v>
      </c>
    </row>
    <row r="276" spans="1:2" x14ac:dyDescent="0.35">
      <c r="A276" s="38" t="s">
        <v>4188</v>
      </c>
      <c r="B276" s="14">
        <v>1</v>
      </c>
    </row>
    <row r="277" spans="1:2" x14ac:dyDescent="0.35">
      <c r="A277" s="13" t="s">
        <v>2958</v>
      </c>
      <c r="B277" s="14">
        <v>1</v>
      </c>
    </row>
    <row r="278" spans="1:2" x14ac:dyDescent="0.35">
      <c r="A278" s="37" t="s">
        <v>2957</v>
      </c>
      <c r="B278" s="14">
        <v>1</v>
      </c>
    </row>
    <row r="279" spans="1:2" x14ac:dyDescent="0.35">
      <c r="A279" s="38" t="s">
        <v>4189</v>
      </c>
      <c r="B279" s="14">
        <v>1</v>
      </c>
    </row>
    <row r="280" spans="1:2" x14ac:dyDescent="0.35">
      <c r="A280" s="13" t="s">
        <v>2615</v>
      </c>
      <c r="B280" s="14">
        <v>1</v>
      </c>
    </row>
    <row r="281" spans="1:2" x14ac:dyDescent="0.35">
      <c r="A281" s="37" t="s">
        <v>2612</v>
      </c>
      <c r="B281" s="14">
        <v>1</v>
      </c>
    </row>
    <row r="282" spans="1:2" x14ac:dyDescent="0.35">
      <c r="A282" s="38" t="s">
        <v>4188</v>
      </c>
      <c r="B282" s="14">
        <v>1</v>
      </c>
    </row>
    <row r="283" spans="1:2" x14ac:dyDescent="0.35">
      <c r="A283" s="13" t="s">
        <v>2593</v>
      </c>
      <c r="B283" s="14">
        <v>1</v>
      </c>
    </row>
    <row r="284" spans="1:2" x14ac:dyDescent="0.35">
      <c r="A284" s="37" t="s">
        <v>2592</v>
      </c>
      <c r="B284" s="14">
        <v>1</v>
      </c>
    </row>
    <row r="285" spans="1:2" x14ac:dyDescent="0.35">
      <c r="A285" s="38" t="s">
        <v>4188</v>
      </c>
      <c r="B285" s="14">
        <v>1</v>
      </c>
    </row>
    <row r="286" spans="1:2" x14ac:dyDescent="0.35">
      <c r="A286" s="13" t="s">
        <v>2616</v>
      </c>
      <c r="B286" s="14">
        <v>1</v>
      </c>
    </row>
    <row r="287" spans="1:2" x14ac:dyDescent="0.35">
      <c r="A287" s="37" t="s">
        <v>2612</v>
      </c>
      <c r="B287" s="14">
        <v>1</v>
      </c>
    </row>
    <row r="288" spans="1:2" x14ac:dyDescent="0.35">
      <c r="A288" s="38" t="s">
        <v>4188</v>
      </c>
      <c r="B288" s="14">
        <v>1</v>
      </c>
    </row>
    <row r="289" spans="1:2" x14ac:dyDescent="0.35">
      <c r="A289" s="13" t="s">
        <v>2601</v>
      </c>
      <c r="B289" s="14">
        <v>1</v>
      </c>
    </row>
    <row r="290" spans="1:2" x14ac:dyDescent="0.35">
      <c r="A290" s="37" t="s">
        <v>2600</v>
      </c>
      <c r="B290" s="14">
        <v>1</v>
      </c>
    </row>
    <row r="291" spans="1:2" x14ac:dyDescent="0.35">
      <c r="A291" s="38" t="s">
        <v>4188</v>
      </c>
      <c r="B291" s="14">
        <v>1</v>
      </c>
    </row>
    <row r="292" spans="1:2" x14ac:dyDescent="0.35">
      <c r="A292" s="13" t="s">
        <v>2544</v>
      </c>
      <c r="B292" s="14">
        <v>1</v>
      </c>
    </row>
    <row r="293" spans="1:2" x14ac:dyDescent="0.35">
      <c r="A293" s="37" t="s">
        <v>2543</v>
      </c>
      <c r="B293" s="14">
        <v>1</v>
      </c>
    </row>
    <row r="294" spans="1:2" x14ac:dyDescent="0.35">
      <c r="A294" s="38" t="s">
        <v>4187</v>
      </c>
      <c r="B294" s="14">
        <v>1</v>
      </c>
    </row>
    <row r="295" spans="1:2" x14ac:dyDescent="0.35">
      <c r="A295" s="13" t="s">
        <v>2886</v>
      </c>
      <c r="B295" s="14">
        <v>1</v>
      </c>
    </row>
    <row r="296" spans="1:2" x14ac:dyDescent="0.35">
      <c r="A296" s="37" t="s">
        <v>2885</v>
      </c>
      <c r="B296" s="14">
        <v>1</v>
      </c>
    </row>
    <row r="297" spans="1:2" x14ac:dyDescent="0.35">
      <c r="A297" s="38" t="s">
        <v>4187</v>
      </c>
      <c r="B297" s="14">
        <v>1</v>
      </c>
    </row>
    <row r="298" spans="1:2" x14ac:dyDescent="0.35">
      <c r="A298" s="13" t="s">
        <v>2622</v>
      </c>
      <c r="B298" s="14">
        <v>1</v>
      </c>
    </row>
    <row r="299" spans="1:2" x14ac:dyDescent="0.35">
      <c r="A299" s="37" t="s">
        <v>2621</v>
      </c>
      <c r="B299" s="14">
        <v>1</v>
      </c>
    </row>
    <row r="300" spans="1:2" x14ac:dyDescent="0.35">
      <c r="A300" s="38" t="s">
        <v>4188</v>
      </c>
      <c r="B300" s="14">
        <v>1</v>
      </c>
    </row>
    <row r="301" spans="1:2" x14ac:dyDescent="0.35">
      <c r="A301" s="13" t="s">
        <v>2917</v>
      </c>
      <c r="B301" s="14">
        <v>1</v>
      </c>
    </row>
    <row r="302" spans="1:2" x14ac:dyDescent="0.35">
      <c r="A302" s="37" t="s">
        <v>2914</v>
      </c>
      <c r="B302" s="14">
        <v>1</v>
      </c>
    </row>
    <row r="303" spans="1:2" x14ac:dyDescent="0.35">
      <c r="A303" s="38" t="s">
        <v>4187</v>
      </c>
      <c r="B303" s="14">
        <v>1</v>
      </c>
    </row>
    <row r="304" spans="1:2" x14ac:dyDescent="0.35">
      <c r="A304" s="13" t="s">
        <v>2625</v>
      </c>
      <c r="B304" s="14">
        <v>1</v>
      </c>
    </row>
    <row r="305" spans="1:2" x14ac:dyDescent="0.35">
      <c r="A305" s="37" t="s">
        <v>2624</v>
      </c>
      <c r="B305" s="14">
        <v>1</v>
      </c>
    </row>
    <row r="306" spans="1:2" x14ac:dyDescent="0.35">
      <c r="A306" s="38" t="s">
        <v>4188</v>
      </c>
      <c r="B306" s="14">
        <v>1</v>
      </c>
    </row>
    <row r="307" spans="1:2" x14ac:dyDescent="0.35">
      <c r="A307" s="13" t="s">
        <v>2946</v>
      </c>
      <c r="B307" s="14">
        <v>1</v>
      </c>
    </row>
    <row r="308" spans="1:2" x14ac:dyDescent="0.35">
      <c r="A308" s="37" t="s">
        <v>2944</v>
      </c>
      <c r="B308" s="14">
        <v>1</v>
      </c>
    </row>
    <row r="309" spans="1:2" x14ac:dyDescent="0.35">
      <c r="A309" s="38" t="s">
        <v>4187</v>
      </c>
      <c r="B309" s="14">
        <v>1</v>
      </c>
    </row>
    <row r="310" spans="1:2" x14ac:dyDescent="0.35">
      <c r="A310" s="13" t="s">
        <v>2626</v>
      </c>
      <c r="B310" s="14">
        <v>1</v>
      </c>
    </row>
    <row r="311" spans="1:2" x14ac:dyDescent="0.35">
      <c r="A311" s="37" t="s">
        <v>2570</v>
      </c>
      <c r="B311" s="14">
        <v>1</v>
      </c>
    </row>
    <row r="312" spans="1:2" x14ac:dyDescent="0.35">
      <c r="A312" s="38" t="s">
        <v>4188</v>
      </c>
      <c r="B312" s="14">
        <v>1</v>
      </c>
    </row>
    <row r="313" spans="1:2" x14ac:dyDescent="0.35">
      <c r="A313" s="13" t="s">
        <v>2975</v>
      </c>
      <c r="B313" s="14">
        <v>1</v>
      </c>
    </row>
    <row r="314" spans="1:2" x14ac:dyDescent="0.35">
      <c r="A314" s="37" t="s">
        <v>2971</v>
      </c>
      <c r="B314" s="14">
        <v>1</v>
      </c>
    </row>
    <row r="315" spans="1:2" x14ac:dyDescent="0.35">
      <c r="A315" s="38" t="s">
        <v>4189</v>
      </c>
      <c r="B315" s="14">
        <v>1</v>
      </c>
    </row>
    <row r="316" spans="1:2" x14ac:dyDescent="0.35">
      <c r="A316" s="13" t="s">
        <v>2629</v>
      </c>
      <c r="B316" s="14">
        <v>1</v>
      </c>
    </row>
    <row r="317" spans="1:2" x14ac:dyDescent="0.35">
      <c r="A317" s="37" t="s">
        <v>2628</v>
      </c>
      <c r="B317" s="14">
        <v>1</v>
      </c>
    </row>
    <row r="318" spans="1:2" x14ac:dyDescent="0.35">
      <c r="A318" s="38" t="s">
        <v>4188</v>
      </c>
      <c r="B318" s="14">
        <v>1</v>
      </c>
    </row>
    <row r="319" spans="1:2" x14ac:dyDescent="0.35">
      <c r="A319" s="13" t="s">
        <v>3006</v>
      </c>
      <c r="B319" s="14">
        <v>1</v>
      </c>
    </row>
    <row r="320" spans="1:2" x14ac:dyDescent="0.35">
      <c r="A320" s="37" t="s">
        <v>2991</v>
      </c>
      <c r="B320" s="14">
        <v>1</v>
      </c>
    </row>
    <row r="321" spans="1:2" x14ac:dyDescent="0.35">
      <c r="A321" s="38" t="s">
        <v>4187</v>
      </c>
      <c r="B321" s="14">
        <v>1</v>
      </c>
    </row>
    <row r="322" spans="1:2" x14ac:dyDescent="0.35">
      <c r="A322" s="13" t="s">
        <v>2631</v>
      </c>
      <c r="B322" s="14">
        <v>1</v>
      </c>
    </row>
    <row r="323" spans="1:2" x14ac:dyDescent="0.35">
      <c r="A323" s="37" t="s">
        <v>2630</v>
      </c>
      <c r="B323" s="14">
        <v>1</v>
      </c>
    </row>
    <row r="324" spans="1:2" x14ac:dyDescent="0.35">
      <c r="A324" s="38" t="s">
        <v>4188</v>
      </c>
      <c r="B324" s="14">
        <v>1</v>
      </c>
    </row>
    <row r="325" spans="1:2" x14ac:dyDescent="0.35">
      <c r="A325" s="13" t="s">
        <v>3055</v>
      </c>
      <c r="B325" s="14">
        <v>1</v>
      </c>
    </row>
    <row r="326" spans="1:2" x14ac:dyDescent="0.35">
      <c r="A326" s="37" t="s">
        <v>3054</v>
      </c>
      <c r="B326" s="14">
        <v>1</v>
      </c>
    </row>
    <row r="327" spans="1:2" x14ac:dyDescent="0.35">
      <c r="A327" s="38" t="s">
        <v>4186</v>
      </c>
      <c r="B327" s="14">
        <v>1</v>
      </c>
    </row>
    <row r="328" spans="1:2" x14ac:dyDescent="0.35">
      <c r="A328" s="13" t="s">
        <v>2633</v>
      </c>
      <c r="B328" s="14">
        <v>1</v>
      </c>
    </row>
    <row r="329" spans="1:2" x14ac:dyDescent="0.35">
      <c r="A329" s="37" t="s">
        <v>2632</v>
      </c>
      <c r="B329" s="14">
        <v>1</v>
      </c>
    </row>
    <row r="330" spans="1:2" x14ac:dyDescent="0.35">
      <c r="A330" s="38" t="s">
        <v>4188</v>
      </c>
      <c r="B330" s="14">
        <v>1</v>
      </c>
    </row>
    <row r="331" spans="1:2" x14ac:dyDescent="0.35">
      <c r="A331" s="13" t="s">
        <v>3090</v>
      </c>
      <c r="B331" s="14">
        <v>1</v>
      </c>
    </row>
    <row r="332" spans="1:2" x14ac:dyDescent="0.35">
      <c r="A332" s="37" t="s">
        <v>3089</v>
      </c>
      <c r="B332" s="14">
        <v>1</v>
      </c>
    </row>
    <row r="333" spans="1:2" x14ac:dyDescent="0.35">
      <c r="A333" s="38" t="s">
        <v>4186</v>
      </c>
      <c r="B333" s="14">
        <v>1</v>
      </c>
    </row>
    <row r="334" spans="1:2" x14ac:dyDescent="0.35">
      <c r="A334" s="13" t="s">
        <v>2636</v>
      </c>
      <c r="B334" s="14">
        <v>1</v>
      </c>
    </row>
    <row r="335" spans="1:2" x14ac:dyDescent="0.35">
      <c r="A335" s="37" t="s">
        <v>2635</v>
      </c>
      <c r="B335" s="14">
        <v>1</v>
      </c>
    </row>
    <row r="336" spans="1:2" x14ac:dyDescent="0.35">
      <c r="A336" s="38" t="s">
        <v>4188</v>
      </c>
      <c r="B336" s="14">
        <v>1</v>
      </c>
    </row>
    <row r="337" spans="1:2" x14ac:dyDescent="0.35">
      <c r="A337" s="13" t="s">
        <v>2753</v>
      </c>
      <c r="B337" s="14">
        <v>1</v>
      </c>
    </row>
    <row r="338" spans="1:2" x14ac:dyDescent="0.35">
      <c r="A338" s="37" t="s">
        <v>2868</v>
      </c>
      <c r="B338" s="14">
        <v>1</v>
      </c>
    </row>
    <row r="339" spans="1:2" x14ac:dyDescent="0.35">
      <c r="A339" s="38" t="s">
        <v>4187</v>
      </c>
      <c r="B339" s="14">
        <v>1</v>
      </c>
    </row>
    <row r="340" spans="1:2" x14ac:dyDescent="0.35">
      <c r="A340" s="13" t="s">
        <v>2639</v>
      </c>
      <c r="B340" s="14">
        <v>1</v>
      </c>
    </row>
    <row r="341" spans="1:2" x14ac:dyDescent="0.35">
      <c r="A341" s="37" t="s">
        <v>2638</v>
      </c>
      <c r="B341" s="14">
        <v>1</v>
      </c>
    </row>
    <row r="342" spans="1:2" x14ac:dyDescent="0.35">
      <c r="A342" s="38" t="s">
        <v>4188</v>
      </c>
      <c r="B342" s="14">
        <v>1</v>
      </c>
    </row>
    <row r="343" spans="1:2" x14ac:dyDescent="0.35">
      <c r="A343" s="13" t="s">
        <v>2880</v>
      </c>
      <c r="B343" s="14">
        <v>1</v>
      </c>
    </row>
    <row r="344" spans="1:2" x14ac:dyDescent="0.35">
      <c r="A344" s="37" t="s">
        <v>2879</v>
      </c>
      <c r="B344" s="14">
        <v>1</v>
      </c>
    </row>
    <row r="345" spans="1:2" x14ac:dyDescent="0.35">
      <c r="A345" s="38" t="s">
        <v>4187</v>
      </c>
      <c r="B345" s="14">
        <v>1</v>
      </c>
    </row>
    <row r="346" spans="1:2" x14ac:dyDescent="0.35">
      <c r="A346" s="13" t="s">
        <v>2641</v>
      </c>
      <c r="B346" s="14">
        <v>1</v>
      </c>
    </row>
    <row r="347" spans="1:2" x14ac:dyDescent="0.35">
      <c r="A347" s="37" t="s">
        <v>2640</v>
      </c>
      <c r="B347" s="14">
        <v>1</v>
      </c>
    </row>
    <row r="348" spans="1:2" x14ac:dyDescent="0.35">
      <c r="A348" s="38" t="s">
        <v>4188</v>
      </c>
      <c r="B348" s="14">
        <v>1</v>
      </c>
    </row>
    <row r="349" spans="1:2" x14ac:dyDescent="0.35">
      <c r="A349" s="13" t="s">
        <v>2894</v>
      </c>
      <c r="B349" s="14">
        <v>1</v>
      </c>
    </row>
    <row r="350" spans="1:2" x14ac:dyDescent="0.35">
      <c r="A350" s="37" t="s">
        <v>2893</v>
      </c>
      <c r="B350" s="14">
        <v>1</v>
      </c>
    </row>
    <row r="351" spans="1:2" x14ac:dyDescent="0.35">
      <c r="A351" s="38" t="s">
        <v>4187</v>
      </c>
      <c r="B351" s="14">
        <v>1</v>
      </c>
    </row>
    <row r="352" spans="1:2" x14ac:dyDescent="0.35">
      <c r="A352" s="13" t="s">
        <v>2644</v>
      </c>
      <c r="B352" s="14">
        <v>1</v>
      </c>
    </row>
    <row r="353" spans="1:2" x14ac:dyDescent="0.35">
      <c r="A353" s="37" t="s">
        <v>2643</v>
      </c>
      <c r="B353" s="14">
        <v>1</v>
      </c>
    </row>
    <row r="354" spans="1:2" x14ac:dyDescent="0.35">
      <c r="A354" s="38" t="s">
        <v>4188</v>
      </c>
      <c r="B354" s="14">
        <v>1</v>
      </c>
    </row>
    <row r="355" spans="1:2" x14ac:dyDescent="0.35">
      <c r="A355" s="13" t="s">
        <v>2909</v>
      </c>
      <c r="B355" s="14">
        <v>1</v>
      </c>
    </row>
    <row r="356" spans="1:2" x14ac:dyDescent="0.35">
      <c r="A356" s="37" t="s">
        <v>2908</v>
      </c>
      <c r="B356" s="14">
        <v>1</v>
      </c>
    </row>
    <row r="357" spans="1:2" x14ac:dyDescent="0.35">
      <c r="A357" s="38" t="s">
        <v>4187</v>
      </c>
      <c r="B357" s="14">
        <v>1</v>
      </c>
    </row>
    <row r="358" spans="1:2" x14ac:dyDescent="0.35">
      <c r="A358" s="13" t="s">
        <v>2646</v>
      </c>
      <c r="B358" s="14">
        <v>1</v>
      </c>
    </row>
    <row r="359" spans="1:2" x14ac:dyDescent="0.35">
      <c r="A359" s="37" t="s">
        <v>2645</v>
      </c>
      <c r="B359" s="14">
        <v>1</v>
      </c>
    </row>
    <row r="360" spans="1:2" x14ac:dyDescent="0.35">
      <c r="A360" s="38" t="s">
        <v>4188</v>
      </c>
      <c r="B360" s="14">
        <v>1</v>
      </c>
    </row>
    <row r="361" spans="1:2" x14ac:dyDescent="0.35">
      <c r="A361" s="13" t="s">
        <v>2926</v>
      </c>
      <c r="B361" s="14">
        <v>1</v>
      </c>
    </row>
    <row r="362" spans="1:2" x14ac:dyDescent="0.35">
      <c r="A362" s="37" t="s">
        <v>2925</v>
      </c>
      <c r="B362" s="14">
        <v>1</v>
      </c>
    </row>
    <row r="363" spans="1:2" x14ac:dyDescent="0.35">
      <c r="A363" s="38" t="s">
        <v>4187</v>
      </c>
      <c r="B363" s="14">
        <v>1</v>
      </c>
    </row>
    <row r="364" spans="1:2" x14ac:dyDescent="0.35">
      <c r="A364" s="13" t="s">
        <v>2647</v>
      </c>
      <c r="B364" s="14">
        <v>1</v>
      </c>
    </row>
    <row r="365" spans="1:2" x14ac:dyDescent="0.35">
      <c r="A365" s="37" t="s">
        <v>2645</v>
      </c>
      <c r="B365" s="14">
        <v>1</v>
      </c>
    </row>
    <row r="366" spans="1:2" x14ac:dyDescent="0.35">
      <c r="A366" s="38" t="s">
        <v>4188</v>
      </c>
      <c r="B366" s="14">
        <v>1</v>
      </c>
    </row>
    <row r="367" spans="1:2" x14ac:dyDescent="0.35">
      <c r="A367" s="13" t="s">
        <v>2941</v>
      </c>
      <c r="B367" s="14">
        <v>1</v>
      </c>
    </row>
    <row r="368" spans="1:2" x14ac:dyDescent="0.35">
      <c r="A368" s="37" t="s">
        <v>2940</v>
      </c>
      <c r="B368" s="14">
        <v>1</v>
      </c>
    </row>
    <row r="369" spans="1:2" x14ac:dyDescent="0.35">
      <c r="A369" s="38" t="s">
        <v>4187</v>
      </c>
      <c r="B369" s="14">
        <v>1</v>
      </c>
    </row>
    <row r="370" spans="1:2" x14ac:dyDescent="0.35">
      <c r="A370" s="13" t="s">
        <v>2649</v>
      </c>
      <c r="B370" s="14">
        <v>1</v>
      </c>
    </row>
    <row r="371" spans="1:2" x14ac:dyDescent="0.35">
      <c r="A371" s="37" t="s">
        <v>2645</v>
      </c>
      <c r="B371" s="14">
        <v>1</v>
      </c>
    </row>
    <row r="372" spans="1:2" x14ac:dyDescent="0.35">
      <c r="A372" s="38" t="s">
        <v>4188</v>
      </c>
      <c r="B372" s="14">
        <v>1</v>
      </c>
    </row>
    <row r="373" spans="1:2" x14ac:dyDescent="0.35">
      <c r="A373" s="13" t="s">
        <v>2951</v>
      </c>
      <c r="B373" s="14">
        <v>1</v>
      </c>
    </row>
    <row r="374" spans="1:2" x14ac:dyDescent="0.35">
      <c r="A374" s="37" t="s">
        <v>2949</v>
      </c>
      <c r="B374" s="14">
        <v>1</v>
      </c>
    </row>
    <row r="375" spans="1:2" x14ac:dyDescent="0.35">
      <c r="A375" s="38" t="s">
        <v>4187</v>
      </c>
      <c r="B375" s="14">
        <v>1</v>
      </c>
    </row>
    <row r="376" spans="1:2" x14ac:dyDescent="0.35">
      <c r="A376" s="13" t="s">
        <v>2652</v>
      </c>
      <c r="B376" s="14">
        <v>1</v>
      </c>
    </row>
    <row r="377" spans="1:2" x14ac:dyDescent="0.35">
      <c r="A377" s="37" t="s">
        <v>2651</v>
      </c>
      <c r="B377" s="14">
        <v>1</v>
      </c>
    </row>
    <row r="378" spans="1:2" x14ac:dyDescent="0.35">
      <c r="A378" s="38" t="s">
        <v>4188</v>
      </c>
      <c r="B378" s="14">
        <v>1</v>
      </c>
    </row>
    <row r="379" spans="1:2" x14ac:dyDescent="0.35">
      <c r="A379" s="13" t="s">
        <v>2967</v>
      </c>
      <c r="B379" s="14">
        <v>1</v>
      </c>
    </row>
    <row r="380" spans="1:2" x14ac:dyDescent="0.35">
      <c r="A380" s="37" t="s">
        <v>2966</v>
      </c>
      <c r="B380" s="14">
        <v>1</v>
      </c>
    </row>
    <row r="381" spans="1:2" x14ac:dyDescent="0.35">
      <c r="A381" s="38" t="s">
        <v>4189</v>
      </c>
      <c r="B381" s="14">
        <v>1</v>
      </c>
    </row>
    <row r="382" spans="1:2" x14ac:dyDescent="0.35">
      <c r="A382" s="13" t="s">
        <v>2655</v>
      </c>
      <c r="B382" s="14">
        <v>1</v>
      </c>
    </row>
    <row r="383" spans="1:2" x14ac:dyDescent="0.35">
      <c r="A383" s="37" t="s">
        <v>2651</v>
      </c>
      <c r="B383" s="14">
        <v>1</v>
      </c>
    </row>
    <row r="384" spans="1:2" x14ac:dyDescent="0.35">
      <c r="A384" s="38" t="s">
        <v>4188</v>
      </c>
      <c r="B384" s="14">
        <v>1</v>
      </c>
    </row>
    <row r="385" spans="1:2" x14ac:dyDescent="0.35">
      <c r="A385" s="13" t="s">
        <v>2983</v>
      </c>
      <c r="B385" s="14">
        <v>1</v>
      </c>
    </row>
    <row r="386" spans="1:2" x14ac:dyDescent="0.35">
      <c r="A386" s="37" t="s">
        <v>2982</v>
      </c>
      <c r="B386" s="14">
        <v>1</v>
      </c>
    </row>
    <row r="387" spans="1:2" x14ac:dyDescent="0.35">
      <c r="A387" s="38" t="s">
        <v>4189</v>
      </c>
      <c r="B387" s="14">
        <v>1</v>
      </c>
    </row>
    <row r="388" spans="1:2" x14ac:dyDescent="0.35">
      <c r="A388" s="13" t="s">
        <v>2554</v>
      </c>
      <c r="B388" s="14">
        <v>1</v>
      </c>
    </row>
    <row r="389" spans="1:2" x14ac:dyDescent="0.35">
      <c r="A389" s="37" t="s">
        <v>2553</v>
      </c>
      <c r="B389" s="14">
        <v>1</v>
      </c>
    </row>
    <row r="390" spans="1:2" x14ac:dyDescent="0.35">
      <c r="A390" s="38" t="s">
        <v>4187</v>
      </c>
      <c r="B390" s="14">
        <v>1</v>
      </c>
    </row>
    <row r="391" spans="1:2" x14ac:dyDescent="0.35">
      <c r="A391" s="13" t="s">
        <v>3000</v>
      </c>
      <c r="B391" s="14">
        <v>1</v>
      </c>
    </row>
    <row r="392" spans="1:2" x14ac:dyDescent="0.35">
      <c r="A392" s="37" t="s">
        <v>2991</v>
      </c>
      <c r="B392" s="14">
        <v>1</v>
      </c>
    </row>
    <row r="393" spans="1:2" x14ac:dyDescent="0.35">
      <c r="A393" s="38" t="s">
        <v>4189</v>
      </c>
      <c r="B393" s="14">
        <v>1</v>
      </c>
    </row>
    <row r="394" spans="1:2" x14ac:dyDescent="0.35">
      <c r="A394" s="13" t="s">
        <v>2556</v>
      </c>
      <c r="B394" s="14">
        <v>1</v>
      </c>
    </row>
    <row r="395" spans="1:2" x14ac:dyDescent="0.35">
      <c r="A395" s="37" t="s">
        <v>2553</v>
      </c>
      <c r="B395" s="14">
        <v>1</v>
      </c>
    </row>
    <row r="396" spans="1:2" x14ac:dyDescent="0.35">
      <c r="A396" s="38" t="s">
        <v>4187</v>
      </c>
      <c r="B396" s="14">
        <v>1</v>
      </c>
    </row>
    <row r="397" spans="1:2" x14ac:dyDescent="0.35">
      <c r="A397" s="13" t="s">
        <v>3017</v>
      </c>
      <c r="B397" s="14">
        <v>1</v>
      </c>
    </row>
    <row r="398" spans="1:2" x14ac:dyDescent="0.35">
      <c r="A398" s="37" t="s">
        <v>3016</v>
      </c>
      <c r="B398" s="14">
        <v>1</v>
      </c>
    </row>
    <row r="399" spans="1:2" x14ac:dyDescent="0.35">
      <c r="A399" s="38" t="s">
        <v>4187</v>
      </c>
      <c r="B399" s="14">
        <v>1</v>
      </c>
    </row>
    <row r="400" spans="1:2" x14ac:dyDescent="0.35">
      <c r="A400" s="13" t="s">
        <v>2664</v>
      </c>
      <c r="B400" s="14">
        <v>1</v>
      </c>
    </row>
    <row r="401" spans="1:2" x14ac:dyDescent="0.35">
      <c r="A401" s="37" t="s">
        <v>2616</v>
      </c>
      <c r="B401" s="14">
        <v>1</v>
      </c>
    </row>
    <row r="402" spans="1:2" x14ac:dyDescent="0.35">
      <c r="A402" s="38" t="s">
        <v>4188</v>
      </c>
      <c r="B402" s="14">
        <v>1</v>
      </c>
    </row>
    <row r="403" spans="1:2" x14ac:dyDescent="0.35">
      <c r="A403" s="13" t="s">
        <v>3043</v>
      </c>
      <c r="B403" s="14">
        <v>1</v>
      </c>
    </row>
    <row r="404" spans="1:2" x14ac:dyDescent="0.35">
      <c r="A404" s="37" t="s">
        <v>3042</v>
      </c>
      <c r="B404" s="14">
        <v>1</v>
      </c>
    </row>
    <row r="405" spans="1:2" x14ac:dyDescent="0.35">
      <c r="A405" s="38" t="s">
        <v>4186</v>
      </c>
      <c r="B405" s="14">
        <v>1</v>
      </c>
    </row>
    <row r="406" spans="1:2" x14ac:dyDescent="0.35">
      <c r="A406" s="13" t="s">
        <v>2667</v>
      </c>
      <c r="B406" s="14">
        <v>1</v>
      </c>
    </row>
    <row r="407" spans="1:2" x14ac:dyDescent="0.35">
      <c r="A407" s="37" t="s">
        <v>2666</v>
      </c>
      <c r="B407" s="14">
        <v>1</v>
      </c>
    </row>
    <row r="408" spans="1:2" x14ac:dyDescent="0.35">
      <c r="A408" s="38" t="s">
        <v>4188</v>
      </c>
      <c r="B408" s="14">
        <v>1</v>
      </c>
    </row>
    <row r="409" spans="1:2" x14ac:dyDescent="0.35">
      <c r="A409" s="13" t="s">
        <v>3064</v>
      </c>
      <c r="B409" s="14">
        <v>1</v>
      </c>
    </row>
    <row r="410" spans="1:2" x14ac:dyDescent="0.35">
      <c r="A410" s="37" t="s">
        <v>3062</v>
      </c>
      <c r="B410" s="14">
        <v>1</v>
      </c>
    </row>
    <row r="411" spans="1:2" x14ac:dyDescent="0.35">
      <c r="A411" s="38" t="s">
        <v>4186</v>
      </c>
      <c r="B411" s="14">
        <v>1</v>
      </c>
    </row>
    <row r="412" spans="1:2" x14ac:dyDescent="0.35">
      <c r="A412" s="13" t="s">
        <v>2668</v>
      </c>
      <c r="B412" s="14">
        <v>1</v>
      </c>
    </row>
    <row r="413" spans="1:2" x14ac:dyDescent="0.35">
      <c r="A413" s="37" t="s">
        <v>2666</v>
      </c>
      <c r="B413" s="14">
        <v>1</v>
      </c>
    </row>
    <row r="414" spans="1:2" x14ac:dyDescent="0.35">
      <c r="A414" s="38" t="s">
        <v>4188</v>
      </c>
      <c r="B414" s="14">
        <v>1</v>
      </c>
    </row>
    <row r="415" spans="1:2" x14ac:dyDescent="0.35">
      <c r="A415" s="13" t="s">
        <v>3079</v>
      </c>
      <c r="B415" s="14">
        <v>1</v>
      </c>
    </row>
    <row r="416" spans="1:2" x14ac:dyDescent="0.35">
      <c r="A416" s="37" t="s">
        <v>3078</v>
      </c>
      <c r="B416" s="14">
        <v>1</v>
      </c>
    </row>
    <row r="417" spans="1:2" x14ac:dyDescent="0.35">
      <c r="A417" s="38" t="s">
        <v>4186</v>
      </c>
      <c r="B417" s="14">
        <v>1</v>
      </c>
    </row>
    <row r="418" spans="1:2" x14ac:dyDescent="0.35">
      <c r="A418" s="13" t="s">
        <v>2670</v>
      </c>
      <c r="B418" s="14">
        <v>1</v>
      </c>
    </row>
    <row r="419" spans="1:2" x14ac:dyDescent="0.35">
      <c r="A419" s="37" t="s">
        <v>2666</v>
      </c>
      <c r="B419" s="14">
        <v>1</v>
      </c>
    </row>
    <row r="420" spans="1:2" x14ac:dyDescent="0.35">
      <c r="A420" s="38" t="s">
        <v>4188</v>
      </c>
      <c r="B420" s="14">
        <v>1</v>
      </c>
    </row>
    <row r="421" spans="1:2" x14ac:dyDescent="0.35">
      <c r="A421" s="13" t="s">
        <v>3099</v>
      </c>
      <c r="B421" s="14">
        <v>1</v>
      </c>
    </row>
    <row r="422" spans="1:2" x14ac:dyDescent="0.35">
      <c r="A422" s="37" t="s">
        <v>3092</v>
      </c>
      <c r="B422" s="14">
        <v>1</v>
      </c>
    </row>
    <row r="423" spans="1:2" x14ac:dyDescent="0.35">
      <c r="A423" s="38" t="s">
        <v>4187</v>
      </c>
      <c r="B423" s="14">
        <v>1</v>
      </c>
    </row>
    <row r="424" spans="1:2" x14ac:dyDescent="0.35">
      <c r="A424" s="13" t="s">
        <v>2671</v>
      </c>
      <c r="B424" s="14">
        <v>1</v>
      </c>
    </row>
    <row r="425" spans="1:2" x14ac:dyDescent="0.35">
      <c r="A425" s="37" t="s">
        <v>2666</v>
      </c>
      <c r="B425" s="14">
        <v>1</v>
      </c>
    </row>
    <row r="426" spans="1:2" x14ac:dyDescent="0.35">
      <c r="A426" s="38" t="s">
        <v>4188</v>
      </c>
      <c r="B426" s="14">
        <v>1</v>
      </c>
    </row>
    <row r="427" spans="1:2" x14ac:dyDescent="0.35">
      <c r="A427" s="13" t="s">
        <v>2866</v>
      </c>
      <c r="B427" s="14">
        <v>1</v>
      </c>
    </row>
    <row r="428" spans="1:2" x14ac:dyDescent="0.35">
      <c r="A428" s="37" t="s">
        <v>2865</v>
      </c>
      <c r="B428" s="14">
        <v>1</v>
      </c>
    </row>
    <row r="429" spans="1:2" x14ac:dyDescent="0.35">
      <c r="A429" s="38" t="s">
        <v>4187</v>
      </c>
      <c r="B429" s="14">
        <v>1</v>
      </c>
    </row>
    <row r="430" spans="1:2" x14ac:dyDescent="0.35">
      <c r="A430" s="13" t="s">
        <v>2673</v>
      </c>
      <c r="B430" s="14">
        <v>1</v>
      </c>
    </row>
    <row r="431" spans="1:2" x14ac:dyDescent="0.35">
      <c r="A431" s="37" t="s">
        <v>2666</v>
      </c>
      <c r="B431" s="14">
        <v>1</v>
      </c>
    </row>
    <row r="432" spans="1:2" x14ac:dyDescent="0.35">
      <c r="A432" s="38" t="s">
        <v>4188</v>
      </c>
      <c r="B432" s="14">
        <v>1</v>
      </c>
    </row>
    <row r="433" spans="1:2" x14ac:dyDescent="0.35">
      <c r="A433" s="13" t="s">
        <v>2870</v>
      </c>
      <c r="B433" s="14">
        <v>1</v>
      </c>
    </row>
    <row r="434" spans="1:2" x14ac:dyDescent="0.35">
      <c r="A434" s="37" t="s">
        <v>2868</v>
      </c>
      <c r="B434" s="14">
        <v>1</v>
      </c>
    </row>
    <row r="435" spans="1:2" x14ac:dyDescent="0.35">
      <c r="A435" s="38" t="s">
        <v>4187</v>
      </c>
      <c r="B435" s="14">
        <v>1</v>
      </c>
    </row>
    <row r="436" spans="1:2" x14ac:dyDescent="0.35">
      <c r="A436" s="13" t="s">
        <v>2675</v>
      </c>
      <c r="B436" s="14">
        <v>1</v>
      </c>
    </row>
    <row r="437" spans="1:2" x14ac:dyDescent="0.35">
      <c r="A437" s="37" t="s">
        <v>2666</v>
      </c>
      <c r="B437" s="14">
        <v>1</v>
      </c>
    </row>
    <row r="438" spans="1:2" x14ac:dyDescent="0.35">
      <c r="A438" s="38" t="s">
        <v>4188</v>
      </c>
      <c r="B438" s="14">
        <v>1</v>
      </c>
    </row>
    <row r="439" spans="1:2" x14ac:dyDescent="0.35">
      <c r="A439" s="13" t="s">
        <v>2579</v>
      </c>
      <c r="B439" s="14">
        <v>1</v>
      </c>
    </row>
    <row r="440" spans="1:2" x14ac:dyDescent="0.35">
      <c r="A440" s="37" t="s">
        <v>2576</v>
      </c>
      <c r="B440" s="14">
        <v>1</v>
      </c>
    </row>
    <row r="441" spans="1:2" x14ac:dyDescent="0.35">
      <c r="A441" s="38" t="s">
        <v>4188</v>
      </c>
      <c r="B441" s="14">
        <v>1</v>
      </c>
    </row>
    <row r="442" spans="1:2" x14ac:dyDescent="0.35">
      <c r="A442" s="13" t="s">
        <v>2677</v>
      </c>
      <c r="B442" s="14">
        <v>1</v>
      </c>
    </row>
    <row r="443" spans="1:2" x14ac:dyDescent="0.35">
      <c r="A443" s="37" t="s">
        <v>2666</v>
      </c>
      <c r="B443" s="14">
        <v>1</v>
      </c>
    </row>
    <row r="444" spans="1:2" x14ac:dyDescent="0.35">
      <c r="A444" s="38" t="s">
        <v>4188</v>
      </c>
      <c r="B444" s="14">
        <v>1</v>
      </c>
    </row>
    <row r="445" spans="1:2" x14ac:dyDescent="0.35">
      <c r="A445" s="13" t="s">
        <v>2883</v>
      </c>
      <c r="B445" s="14">
        <v>1</v>
      </c>
    </row>
    <row r="446" spans="1:2" x14ac:dyDescent="0.35">
      <c r="A446" s="37" t="s">
        <v>2881</v>
      </c>
      <c r="B446" s="14">
        <v>1</v>
      </c>
    </row>
    <row r="447" spans="1:2" x14ac:dyDescent="0.35">
      <c r="A447" s="38" t="s">
        <v>4187</v>
      </c>
      <c r="B447" s="14">
        <v>1</v>
      </c>
    </row>
    <row r="448" spans="1:2" x14ac:dyDescent="0.35">
      <c r="A448" s="13" t="s">
        <v>2680</v>
      </c>
      <c r="B448" s="14">
        <v>1</v>
      </c>
    </row>
    <row r="449" spans="1:2" x14ac:dyDescent="0.35">
      <c r="A449" s="37" t="s">
        <v>2679</v>
      </c>
      <c r="B449" s="14">
        <v>1</v>
      </c>
    </row>
    <row r="450" spans="1:2" x14ac:dyDescent="0.35">
      <c r="A450" s="38" t="s">
        <v>4188</v>
      </c>
      <c r="B450" s="14">
        <v>1</v>
      </c>
    </row>
    <row r="451" spans="1:2" x14ac:dyDescent="0.35">
      <c r="A451" s="13" t="s">
        <v>2890</v>
      </c>
      <c r="B451" s="14">
        <v>1</v>
      </c>
    </row>
    <row r="452" spans="1:2" x14ac:dyDescent="0.35">
      <c r="A452" s="37" t="s">
        <v>3149</v>
      </c>
      <c r="B452" s="14">
        <v>1</v>
      </c>
    </row>
    <row r="453" spans="1:2" x14ac:dyDescent="0.35">
      <c r="A453" s="38" t="s">
        <v>4187</v>
      </c>
      <c r="B453" s="14">
        <v>1</v>
      </c>
    </row>
    <row r="454" spans="1:2" x14ac:dyDescent="0.35">
      <c r="A454" s="13" t="s">
        <v>2683</v>
      </c>
      <c r="B454" s="14">
        <v>1</v>
      </c>
    </row>
    <row r="455" spans="1:2" x14ac:dyDescent="0.35">
      <c r="A455" s="37" t="s">
        <v>2682</v>
      </c>
      <c r="B455" s="14">
        <v>1</v>
      </c>
    </row>
    <row r="456" spans="1:2" x14ac:dyDescent="0.35">
      <c r="A456" s="38" t="s">
        <v>4188</v>
      </c>
      <c r="B456" s="14">
        <v>1</v>
      </c>
    </row>
    <row r="457" spans="1:2" x14ac:dyDescent="0.35">
      <c r="A457" s="13" t="s">
        <v>2897</v>
      </c>
      <c r="B457" s="14">
        <v>1</v>
      </c>
    </row>
    <row r="458" spans="1:2" x14ac:dyDescent="0.35">
      <c r="A458" s="37" t="s">
        <v>2896</v>
      </c>
      <c r="B458" s="14">
        <v>1</v>
      </c>
    </row>
    <row r="459" spans="1:2" x14ac:dyDescent="0.35">
      <c r="A459" s="38" t="s">
        <v>4187</v>
      </c>
      <c r="B459" s="14">
        <v>1</v>
      </c>
    </row>
    <row r="460" spans="1:2" x14ac:dyDescent="0.35">
      <c r="A460" s="13" t="s">
        <v>2684</v>
      </c>
      <c r="B460" s="14">
        <v>1</v>
      </c>
    </row>
    <row r="461" spans="1:2" x14ac:dyDescent="0.35">
      <c r="A461" s="37" t="s">
        <v>2682</v>
      </c>
      <c r="B461" s="14">
        <v>1</v>
      </c>
    </row>
    <row r="462" spans="1:2" x14ac:dyDescent="0.35">
      <c r="A462" s="38" t="s">
        <v>4188</v>
      </c>
      <c r="B462" s="14">
        <v>1</v>
      </c>
    </row>
    <row r="463" spans="1:2" x14ac:dyDescent="0.35">
      <c r="A463" s="13" t="s">
        <v>2905</v>
      </c>
      <c r="B463" s="14">
        <v>1</v>
      </c>
    </row>
    <row r="464" spans="1:2" x14ac:dyDescent="0.35">
      <c r="A464" s="37" t="s">
        <v>2904</v>
      </c>
      <c r="B464" s="14">
        <v>1</v>
      </c>
    </row>
    <row r="465" spans="1:2" x14ac:dyDescent="0.35">
      <c r="A465" s="38" t="s">
        <v>4187</v>
      </c>
      <c r="B465" s="14">
        <v>1</v>
      </c>
    </row>
    <row r="466" spans="1:2" x14ac:dyDescent="0.35">
      <c r="A466" s="13" t="s">
        <v>2686</v>
      </c>
      <c r="B466" s="14">
        <v>1</v>
      </c>
    </row>
    <row r="467" spans="1:2" x14ac:dyDescent="0.35">
      <c r="A467" s="37" t="s">
        <v>2682</v>
      </c>
      <c r="B467" s="14">
        <v>1</v>
      </c>
    </row>
    <row r="468" spans="1:2" x14ac:dyDescent="0.35">
      <c r="A468" s="38" t="s">
        <v>4188</v>
      </c>
      <c r="B468" s="14">
        <v>1</v>
      </c>
    </row>
    <row r="469" spans="1:2" x14ac:dyDescent="0.35">
      <c r="A469" s="13" t="s">
        <v>2913</v>
      </c>
      <c r="B469" s="14">
        <v>1</v>
      </c>
    </row>
    <row r="470" spans="1:2" x14ac:dyDescent="0.35">
      <c r="A470" s="37" t="s">
        <v>2912</v>
      </c>
      <c r="B470" s="14">
        <v>1</v>
      </c>
    </row>
    <row r="471" spans="1:2" x14ac:dyDescent="0.35">
      <c r="A471" s="38" t="s">
        <v>4187</v>
      </c>
      <c r="B471" s="14">
        <v>1</v>
      </c>
    </row>
    <row r="472" spans="1:2" x14ac:dyDescent="0.35">
      <c r="A472" s="13" t="s">
        <v>2689</v>
      </c>
      <c r="B472" s="14">
        <v>1</v>
      </c>
    </row>
    <row r="473" spans="1:2" x14ac:dyDescent="0.35">
      <c r="A473" s="37" t="s">
        <v>2688</v>
      </c>
      <c r="B473" s="14">
        <v>1</v>
      </c>
    </row>
    <row r="474" spans="1:2" x14ac:dyDescent="0.35">
      <c r="A474" s="38" t="s">
        <v>4188</v>
      </c>
      <c r="B474" s="14">
        <v>1</v>
      </c>
    </row>
    <row r="475" spans="1:2" x14ac:dyDescent="0.35">
      <c r="A475" s="13" t="s">
        <v>2922</v>
      </c>
      <c r="B475" s="14">
        <v>1</v>
      </c>
    </row>
    <row r="476" spans="1:2" x14ac:dyDescent="0.35">
      <c r="A476" s="37" t="s">
        <v>2919</v>
      </c>
      <c r="B476" s="14">
        <v>1</v>
      </c>
    </row>
    <row r="477" spans="1:2" x14ac:dyDescent="0.35">
      <c r="A477" s="38" t="s">
        <v>4187</v>
      </c>
      <c r="B477" s="14">
        <v>1</v>
      </c>
    </row>
    <row r="478" spans="1:2" x14ac:dyDescent="0.35">
      <c r="A478" s="13" t="s">
        <v>2690</v>
      </c>
      <c r="B478" s="14">
        <v>1</v>
      </c>
    </row>
    <row r="479" spans="1:2" x14ac:dyDescent="0.35">
      <c r="A479" s="37" t="s">
        <v>2688</v>
      </c>
      <c r="B479" s="14">
        <v>1</v>
      </c>
    </row>
    <row r="480" spans="1:2" x14ac:dyDescent="0.35">
      <c r="A480" s="38" t="s">
        <v>4188</v>
      </c>
      <c r="B480" s="14">
        <v>1</v>
      </c>
    </row>
    <row r="481" spans="1:2" x14ac:dyDescent="0.35">
      <c r="A481" s="13" t="s">
        <v>2929</v>
      </c>
      <c r="B481" s="14">
        <v>1</v>
      </c>
    </row>
    <row r="482" spans="1:2" x14ac:dyDescent="0.35">
      <c r="A482" s="37" t="s">
        <v>2925</v>
      </c>
      <c r="B482" s="14">
        <v>1</v>
      </c>
    </row>
    <row r="483" spans="1:2" x14ac:dyDescent="0.35">
      <c r="A483" s="38" t="s">
        <v>4187</v>
      </c>
      <c r="B483" s="14">
        <v>1</v>
      </c>
    </row>
    <row r="484" spans="1:2" x14ac:dyDescent="0.35">
      <c r="A484" s="13" t="s">
        <v>2691</v>
      </c>
      <c r="B484" s="14">
        <v>1</v>
      </c>
    </row>
    <row r="485" spans="1:2" x14ac:dyDescent="0.35">
      <c r="A485" s="37" t="s">
        <v>2688</v>
      </c>
      <c r="B485" s="14">
        <v>1</v>
      </c>
    </row>
    <row r="486" spans="1:2" x14ac:dyDescent="0.35">
      <c r="A486" s="38" t="s">
        <v>4188</v>
      </c>
      <c r="B486" s="14">
        <v>1</v>
      </c>
    </row>
    <row r="487" spans="1:2" x14ac:dyDescent="0.35">
      <c r="A487" s="13" t="s">
        <v>2937</v>
      </c>
      <c r="B487" s="14">
        <v>1</v>
      </c>
    </row>
    <row r="488" spans="1:2" x14ac:dyDescent="0.35">
      <c r="A488" s="37" t="s">
        <v>2936</v>
      </c>
      <c r="B488" s="14">
        <v>1</v>
      </c>
    </row>
    <row r="489" spans="1:2" x14ac:dyDescent="0.35">
      <c r="A489" s="38" t="s">
        <v>4187</v>
      </c>
      <c r="B489" s="14">
        <v>1</v>
      </c>
    </row>
    <row r="490" spans="1:2" x14ac:dyDescent="0.35">
      <c r="A490" s="13" t="s">
        <v>2694</v>
      </c>
      <c r="B490" s="14">
        <v>1</v>
      </c>
    </row>
    <row r="491" spans="1:2" x14ac:dyDescent="0.35">
      <c r="A491" s="37" t="s">
        <v>2693</v>
      </c>
      <c r="B491" s="14">
        <v>1</v>
      </c>
    </row>
    <row r="492" spans="1:2" x14ac:dyDescent="0.35">
      <c r="A492" s="38" t="s">
        <v>4188</v>
      </c>
      <c r="B492" s="14">
        <v>1</v>
      </c>
    </row>
    <row r="493" spans="1:2" x14ac:dyDescent="0.35">
      <c r="A493" s="13" t="s">
        <v>2943</v>
      </c>
      <c r="B493" s="14">
        <v>1</v>
      </c>
    </row>
    <row r="494" spans="1:2" x14ac:dyDescent="0.35">
      <c r="A494" s="37" t="s">
        <v>2942</v>
      </c>
      <c r="B494" s="14">
        <v>1</v>
      </c>
    </row>
    <row r="495" spans="1:2" x14ac:dyDescent="0.35">
      <c r="A495" s="38" t="s">
        <v>4187</v>
      </c>
      <c r="B495" s="14">
        <v>1</v>
      </c>
    </row>
    <row r="496" spans="1:2" x14ac:dyDescent="0.35">
      <c r="A496" s="13" t="s">
        <v>2695</v>
      </c>
      <c r="B496" s="14">
        <v>1</v>
      </c>
    </row>
    <row r="497" spans="1:2" x14ac:dyDescent="0.35">
      <c r="A497" s="37" t="s">
        <v>2693</v>
      </c>
      <c r="B497" s="14">
        <v>1</v>
      </c>
    </row>
    <row r="498" spans="1:2" x14ac:dyDescent="0.35">
      <c r="A498" s="38" t="s">
        <v>4188</v>
      </c>
      <c r="B498" s="14">
        <v>1</v>
      </c>
    </row>
    <row r="499" spans="1:2" x14ac:dyDescent="0.35">
      <c r="A499" s="13" t="s">
        <v>2948</v>
      </c>
      <c r="B499" s="14">
        <v>1</v>
      </c>
    </row>
    <row r="500" spans="1:2" x14ac:dyDescent="0.35">
      <c r="A500" s="37" t="s">
        <v>2944</v>
      </c>
      <c r="B500" s="14">
        <v>1</v>
      </c>
    </row>
    <row r="501" spans="1:2" x14ac:dyDescent="0.35">
      <c r="A501" s="38" t="s">
        <v>4187</v>
      </c>
      <c r="B501" s="14">
        <v>1</v>
      </c>
    </row>
    <row r="502" spans="1:2" x14ac:dyDescent="0.35">
      <c r="A502" s="13" t="s">
        <v>2559</v>
      </c>
      <c r="B502" s="14">
        <v>1</v>
      </c>
    </row>
    <row r="503" spans="1:2" x14ac:dyDescent="0.35">
      <c r="A503" s="37" t="s">
        <v>2558</v>
      </c>
      <c r="B503" s="14">
        <v>1</v>
      </c>
    </row>
    <row r="504" spans="1:2" x14ac:dyDescent="0.35">
      <c r="A504" s="38" t="s">
        <v>4187</v>
      </c>
      <c r="B504" s="14">
        <v>1</v>
      </c>
    </row>
    <row r="505" spans="1:2" x14ac:dyDescent="0.35">
      <c r="A505" s="13" t="s">
        <v>2955</v>
      </c>
      <c r="B505" s="14">
        <v>1</v>
      </c>
    </row>
    <row r="506" spans="1:2" x14ac:dyDescent="0.35">
      <c r="A506" s="37" t="s">
        <v>2954</v>
      </c>
      <c r="B506" s="14">
        <v>1</v>
      </c>
    </row>
    <row r="507" spans="1:2" x14ac:dyDescent="0.35">
      <c r="A507" s="38" t="s">
        <v>4188</v>
      </c>
      <c r="B507" s="14">
        <v>1</v>
      </c>
    </row>
    <row r="508" spans="1:2" x14ac:dyDescent="0.35">
      <c r="A508" s="13" t="s">
        <v>2698</v>
      </c>
      <c r="B508" s="14">
        <v>1</v>
      </c>
    </row>
    <row r="509" spans="1:2" x14ac:dyDescent="0.35">
      <c r="A509" s="37" t="s">
        <v>2696</v>
      </c>
      <c r="B509" s="14">
        <v>1</v>
      </c>
    </row>
    <row r="510" spans="1:2" x14ac:dyDescent="0.35">
      <c r="A510" s="38" t="s">
        <v>4188</v>
      </c>
      <c r="B510" s="14">
        <v>1</v>
      </c>
    </row>
    <row r="511" spans="1:2" x14ac:dyDescent="0.35">
      <c r="A511" s="13" t="s">
        <v>2961</v>
      </c>
      <c r="B511" s="14">
        <v>1</v>
      </c>
    </row>
    <row r="512" spans="1:2" x14ac:dyDescent="0.35">
      <c r="A512" s="37" t="s">
        <v>2957</v>
      </c>
      <c r="B512" s="14">
        <v>1</v>
      </c>
    </row>
    <row r="513" spans="1:2" x14ac:dyDescent="0.35">
      <c r="A513" s="38" t="s">
        <v>4189</v>
      </c>
      <c r="B513" s="14">
        <v>1</v>
      </c>
    </row>
    <row r="514" spans="1:2" x14ac:dyDescent="0.35">
      <c r="A514" s="13" t="s">
        <v>2561</v>
      </c>
      <c r="B514" s="14">
        <v>1</v>
      </c>
    </row>
    <row r="515" spans="1:2" x14ac:dyDescent="0.35">
      <c r="A515" s="37" t="s">
        <v>2558</v>
      </c>
      <c r="B515" s="14">
        <v>1</v>
      </c>
    </row>
    <row r="516" spans="1:2" x14ac:dyDescent="0.35">
      <c r="A516" s="38" t="s">
        <v>4187</v>
      </c>
      <c r="B516" s="14">
        <v>1</v>
      </c>
    </row>
    <row r="517" spans="1:2" x14ac:dyDescent="0.35">
      <c r="A517" s="13" t="s">
        <v>2972</v>
      </c>
      <c r="B517" s="14">
        <v>1</v>
      </c>
    </row>
    <row r="518" spans="1:2" x14ac:dyDescent="0.35">
      <c r="A518" s="37" t="s">
        <v>2971</v>
      </c>
      <c r="B518" s="14">
        <v>1</v>
      </c>
    </row>
    <row r="519" spans="1:2" x14ac:dyDescent="0.35">
      <c r="A519" s="38" t="s">
        <v>4189</v>
      </c>
      <c r="B519" s="14">
        <v>1</v>
      </c>
    </row>
    <row r="520" spans="1:2" x14ac:dyDescent="0.35">
      <c r="A520" s="13" t="s">
        <v>2702</v>
      </c>
      <c r="B520" s="14">
        <v>1</v>
      </c>
    </row>
    <row r="521" spans="1:2" x14ac:dyDescent="0.35">
      <c r="A521" s="37" t="s">
        <v>2701</v>
      </c>
      <c r="B521" s="14">
        <v>1</v>
      </c>
    </row>
    <row r="522" spans="1:2" x14ac:dyDescent="0.35">
      <c r="A522" s="38" t="s">
        <v>4188</v>
      </c>
      <c r="B522" s="14">
        <v>1</v>
      </c>
    </row>
    <row r="523" spans="1:2" x14ac:dyDescent="0.35">
      <c r="A523" s="13" t="s">
        <v>2979</v>
      </c>
      <c r="B523" s="14">
        <v>1</v>
      </c>
    </row>
    <row r="524" spans="1:2" x14ac:dyDescent="0.35">
      <c r="A524" s="37" t="s">
        <v>2978</v>
      </c>
      <c r="B524" s="14">
        <v>1</v>
      </c>
    </row>
    <row r="525" spans="1:2" x14ac:dyDescent="0.35">
      <c r="A525" s="38" t="s">
        <v>4189</v>
      </c>
      <c r="B525" s="14">
        <v>1</v>
      </c>
    </row>
    <row r="526" spans="1:2" x14ac:dyDescent="0.35">
      <c r="A526" s="13" t="s">
        <v>2704</v>
      </c>
      <c r="B526" s="14">
        <v>1</v>
      </c>
    </row>
    <row r="527" spans="1:2" x14ac:dyDescent="0.35">
      <c r="A527" s="37" t="s">
        <v>2703</v>
      </c>
      <c r="B527" s="14">
        <v>1</v>
      </c>
    </row>
    <row r="528" spans="1:2" x14ac:dyDescent="0.35">
      <c r="A528" s="38" t="s">
        <v>4188</v>
      </c>
      <c r="B528" s="14">
        <v>1</v>
      </c>
    </row>
    <row r="529" spans="1:2" x14ac:dyDescent="0.35">
      <c r="A529" s="13" t="s">
        <v>2990</v>
      </c>
      <c r="B529" s="14">
        <v>1</v>
      </c>
    </row>
    <row r="530" spans="1:2" x14ac:dyDescent="0.35">
      <c r="A530" s="37" t="s">
        <v>2989</v>
      </c>
      <c r="B530" s="14">
        <v>1</v>
      </c>
    </row>
    <row r="531" spans="1:2" x14ac:dyDescent="0.35">
      <c r="A531" s="38" t="s">
        <v>4189</v>
      </c>
      <c r="B531" s="14">
        <v>1</v>
      </c>
    </row>
    <row r="532" spans="1:2" x14ac:dyDescent="0.35">
      <c r="A532" s="13" t="s">
        <v>2707</v>
      </c>
      <c r="B532" s="14">
        <v>1</v>
      </c>
    </row>
    <row r="533" spans="1:2" x14ac:dyDescent="0.35">
      <c r="A533" s="37" t="s">
        <v>2706</v>
      </c>
      <c r="B533" s="14">
        <v>1</v>
      </c>
    </row>
    <row r="534" spans="1:2" x14ac:dyDescent="0.35">
      <c r="A534" s="38" t="s">
        <v>4188</v>
      </c>
      <c r="B534" s="14">
        <v>1</v>
      </c>
    </row>
    <row r="535" spans="1:2" x14ac:dyDescent="0.35">
      <c r="A535" s="13" t="s">
        <v>2997</v>
      </c>
      <c r="B535" s="14">
        <v>1</v>
      </c>
    </row>
    <row r="536" spans="1:2" x14ac:dyDescent="0.35">
      <c r="A536" s="37" t="s">
        <v>2991</v>
      </c>
      <c r="B536" s="14">
        <v>1</v>
      </c>
    </row>
    <row r="537" spans="1:2" x14ac:dyDescent="0.35">
      <c r="A537" s="38" t="s">
        <v>4189</v>
      </c>
      <c r="B537" s="14">
        <v>1</v>
      </c>
    </row>
    <row r="538" spans="1:2" x14ac:dyDescent="0.35">
      <c r="A538" s="13" t="s">
        <v>2709</v>
      </c>
      <c r="B538" s="14">
        <v>1</v>
      </c>
    </row>
    <row r="539" spans="1:2" x14ac:dyDescent="0.35">
      <c r="A539" s="37" t="s">
        <v>2708</v>
      </c>
      <c r="B539" s="14">
        <v>1</v>
      </c>
    </row>
    <row r="540" spans="1:2" x14ac:dyDescent="0.35">
      <c r="A540" s="38" t="s">
        <v>4188</v>
      </c>
      <c r="B540" s="14">
        <v>1</v>
      </c>
    </row>
    <row r="541" spans="1:2" x14ac:dyDescent="0.35">
      <c r="A541" s="13" t="s">
        <v>3003</v>
      </c>
      <c r="B541" s="14">
        <v>1</v>
      </c>
    </row>
    <row r="542" spans="1:2" x14ac:dyDescent="0.35">
      <c r="A542" s="37" t="s">
        <v>2991</v>
      </c>
      <c r="B542" s="14">
        <v>1</v>
      </c>
    </row>
    <row r="543" spans="1:2" x14ac:dyDescent="0.35">
      <c r="A543" s="38" t="s">
        <v>4187</v>
      </c>
      <c r="B543" s="14">
        <v>1</v>
      </c>
    </row>
    <row r="544" spans="1:2" x14ac:dyDescent="0.35">
      <c r="A544" s="13" t="s">
        <v>2710</v>
      </c>
      <c r="B544" s="14">
        <v>1</v>
      </c>
    </row>
    <row r="545" spans="1:2" x14ac:dyDescent="0.35">
      <c r="A545" s="37" t="s">
        <v>902</v>
      </c>
      <c r="B545" s="14">
        <v>1</v>
      </c>
    </row>
    <row r="546" spans="1:2" x14ac:dyDescent="0.35">
      <c r="A546" s="38" t="s">
        <v>4188</v>
      </c>
      <c r="B546" s="14">
        <v>1</v>
      </c>
    </row>
    <row r="547" spans="1:2" x14ac:dyDescent="0.35">
      <c r="A547" s="13" t="s">
        <v>2588</v>
      </c>
      <c r="B547" s="14">
        <v>1</v>
      </c>
    </row>
    <row r="548" spans="1:2" x14ac:dyDescent="0.35">
      <c r="A548" s="37" t="s">
        <v>2586</v>
      </c>
      <c r="B548" s="14">
        <v>1</v>
      </c>
    </row>
    <row r="549" spans="1:2" x14ac:dyDescent="0.35">
      <c r="A549" s="38" t="s">
        <v>4188</v>
      </c>
      <c r="B549" s="14">
        <v>1</v>
      </c>
    </row>
    <row r="550" spans="1:2" x14ac:dyDescent="0.35">
      <c r="A550" s="13" t="s">
        <v>2713</v>
      </c>
      <c r="B550" s="14">
        <v>1</v>
      </c>
    </row>
    <row r="551" spans="1:2" x14ac:dyDescent="0.35">
      <c r="A551" s="37" t="s">
        <v>2712</v>
      </c>
      <c r="B551" s="14">
        <v>1</v>
      </c>
    </row>
    <row r="552" spans="1:2" x14ac:dyDescent="0.35">
      <c r="A552" s="38" t="s">
        <v>4188</v>
      </c>
      <c r="B552" s="14">
        <v>1</v>
      </c>
    </row>
    <row r="553" spans="1:2" x14ac:dyDescent="0.35">
      <c r="A553" s="13" t="s">
        <v>3026</v>
      </c>
      <c r="B553" s="14">
        <v>1</v>
      </c>
    </row>
    <row r="554" spans="1:2" x14ac:dyDescent="0.35">
      <c r="A554" s="37" t="s">
        <v>3023</v>
      </c>
      <c r="B554" s="14">
        <v>1</v>
      </c>
    </row>
    <row r="555" spans="1:2" x14ac:dyDescent="0.35">
      <c r="A555" s="38" t="s">
        <v>4185</v>
      </c>
      <c r="B555" s="14">
        <v>1</v>
      </c>
    </row>
    <row r="556" spans="1:2" x14ac:dyDescent="0.35">
      <c r="A556" s="13" t="s">
        <v>2714</v>
      </c>
      <c r="B556" s="14">
        <v>1</v>
      </c>
    </row>
    <row r="557" spans="1:2" x14ac:dyDescent="0.35">
      <c r="A557" s="37" t="s">
        <v>2712</v>
      </c>
      <c r="B557" s="14">
        <v>1</v>
      </c>
    </row>
    <row r="558" spans="1:2" x14ac:dyDescent="0.35">
      <c r="A558" s="38" t="s">
        <v>4188</v>
      </c>
      <c r="B558" s="14">
        <v>1</v>
      </c>
    </row>
    <row r="559" spans="1:2" x14ac:dyDescent="0.35">
      <c r="A559" s="13" t="s">
        <v>3038</v>
      </c>
      <c r="B559" s="14">
        <v>1</v>
      </c>
    </row>
    <row r="560" spans="1:2" x14ac:dyDescent="0.35">
      <c r="A560" s="37" t="s">
        <v>3034</v>
      </c>
      <c r="B560" s="14">
        <v>1</v>
      </c>
    </row>
    <row r="561" spans="1:2" x14ac:dyDescent="0.35">
      <c r="A561" s="38" t="s">
        <v>4186</v>
      </c>
      <c r="B561" s="14">
        <v>1</v>
      </c>
    </row>
    <row r="562" spans="1:2" x14ac:dyDescent="0.35">
      <c r="A562" s="13" t="s">
        <v>2716</v>
      </c>
      <c r="B562" s="14">
        <v>1</v>
      </c>
    </row>
    <row r="563" spans="1:2" x14ac:dyDescent="0.35">
      <c r="A563" s="37" t="s">
        <v>2712</v>
      </c>
      <c r="B563" s="14">
        <v>1</v>
      </c>
    </row>
    <row r="564" spans="1:2" x14ac:dyDescent="0.35">
      <c r="A564" s="38" t="s">
        <v>4188</v>
      </c>
      <c r="B564" s="14">
        <v>1</v>
      </c>
    </row>
    <row r="565" spans="1:2" x14ac:dyDescent="0.35">
      <c r="A565" s="13" t="s">
        <v>3048</v>
      </c>
      <c r="B565" s="14">
        <v>1</v>
      </c>
    </row>
    <row r="566" spans="1:2" x14ac:dyDescent="0.35">
      <c r="A566" s="37" t="s">
        <v>3047</v>
      </c>
      <c r="B566" s="14">
        <v>1</v>
      </c>
    </row>
    <row r="567" spans="1:2" x14ac:dyDescent="0.35">
      <c r="A567" s="38" t="s">
        <v>4186</v>
      </c>
      <c r="B567" s="14">
        <v>1</v>
      </c>
    </row>
    <row r="568" spans="1:2" x14ac:dyDescent="0.35">
      <c r="A568" s="13" t="s">
        <v>2720</v>
      </c>
      <c r="B568" s="14">
        <v>1</v>
      </c>
    </row>
    <row r="569" spans="1:2" x14ac:dyDescent="0.35">
      <c r="A569" s="37" t="s">
        <v>2719</v>
      </c>
      <c r="B569" s="14">
        <v>1</v>
      </c>
    </row>
    <row r="570" spans="1:2" x14ac:dyDescent="0.35">
      <c r="A570" s="38" t="s">
        <v>4188</v>
      </c>
      <c r="B570" s="14">
        <v>1</v>
      </c>
    </row>
    <row r="571" spans="1:2" x14ac:dyDescent="0.35">
      <c r="A571" s="13" t="s">
        <v>3059</v>
      </c>
      <c r="B571" s="14">
        <v>1</v>
      </c>
    </row>
    <row r="572" spans="1:2" x14ac:dyDescent="0.35">
      <c r="A572" s="37" t="s">
        <v>3056</v>
      </c>
      <c r="B572" s="14">
        <v>1</v>
      </c>
    </row>
    <row r="573" spans="1:2" x14ac:dyDescent="0.35">
      <c r="A573" s="38" t="s">
        <v>4186</v>
      </c>
      <c r="B573" s="14">
        <v>1</v>
      </c>
    </row>
    <row r="574" spans="1:2" x14ac:dyDescent="0.35">
      <c r="A574" s="13" t="s">
        <v>2722</v>
      </c>
      <c r="B574" s="14">
        <v>1</v>
      </c>
    </row>
    <row r="575" spans="1:2" x14ac:dyDescent="0.35">
      <c r="A575" s="37" t="s">
        <v>2719</v>
      </c>
      <c r="B575" s="14">
        <v>1</v>
      </c>
    </row>
    <row r="576" spans="1:2" x14ac:dyDescent="0.35">
      <c r="A576" s="38" t="s">
        <v>4188</v>
      </c>
      <c r="B576" s="14">
        <v>1</v>
      </c>
    </row>
    <row r="577" spans="1:2" x14ac:dyDescent="0.35">
      <c r="A577" s="13" t="s">
        <v>3067</v>
      </c>
      <c r="B577" s="14">
        <v>1</v>
      </c>
    </row>
    <row r="578" spans="1:2" x14ac:dyDescent="0.35">
      <c r="A578" s="37" t="s">
        <v>3062</v>
      </c>
      <c r="B578" s="14">
        <v>1</v>
      </c>
    </row>
    <row r="579" spans="1:2" x14ac:dyDescent="0.35">
      <c r="A579" s="38" t="s">
        <v>4186</v>
      </c>
      <c r="B579" s="14">
        <v>1</v>
      </c>
    </row>
    <row r="580" spans="1:2" x14ac:dyDescent="0.35">
      <c r="A580" s="13" t="s">
        <v>2723</v>
      </c>
      <c r="B580" s="14">
        <v>1</v>
      </c>
    </row>
    <row r="581" spans="1:2" x14ac:dyDescent="0.35">
      <c r="A581" s="37" t="s">
        <v>2719</v>
      </c>
      <c r="B581" s="14">
        <v>1</v>
      </c>
    </row>
    <row r="582" spans="1:2" x14ac:dyDescent="0.35">
      <c r="A582" s="38" t="s">
        <v>4188</v>
      </c>
      <c r="B582" s="14">
        <v>1</v>
      </c>
    </row>
    <row r="583" spans="1:2" x14ac:dyDescent="0.35">
      <c r="A583" s="13" t="s">
        <v>3075</v>
      </c>
      <c r="B583" s="14">
        <v>1</v>
      </c>
    </row>
    <row r="584" spans="1:2" x14ac:dyDescent="0.35">
      <c r="A584" s="37" t="s">
        <v>3072</v>
      </c>
      <c r="B584" s="14">
        <v>1</v>
      </c>
    </row>
    <row r="585" spans="1:2" x14ac:dyDescent="0.35">
      <c r="A585" s="38" t="s">
        <v>4186</v>
      </c>
      <c r="B585" s="14">
        <v>1</v>
      </c>
    </row>
    <row r="586" spans="1:2" x14ac:dyDescent="0.35">
      <c r="A586" s="13" t="s">
        <v>2724</v>
      </c>
      <c r="B586" s="14">
        <v>1</v>
      </c>
    </row>
    <row r="587" spans="1:2" x14ac:dyDescent="0.35">
      <c r="A587" s="37" t="s">
        <v>2719</v>
      </c>
      <c r="B587" s="14">
        <v>1</v>
      </c>
    </row>
    <row r="588" spans="1:2" x14ac:dyDescent="0.35">
      <c r="A588" s="38" t="s">
        <v>4188</v>
      </c>
      <c r="B588" s="14">
        <v>1</v>
      </c>
    </row>
    <row r="589" spans="1:2" x14ac:dyDescent="0.35">
      <c r="A589" s="13" t="s">
        <v>3084</v>
      </c>
      <c r="B589" s="14">
        <v>1</v>
      </c>
    </row>
    <row r="590" spans="1:2" x14ac:dyDescent="0.35">
      <c r="A590" s="37" t="s">
        <v>3083</v>
      </c>
      <c r="B590" s="14">
        <v>1</v>
      </c>
    </row>
    <row r="591" spans="1:2" x14ac:dyDescent="0.35">
      <c r="A591" s="38" t="s">
        <v>4186</v>
      </c>
      <c r="B591" s="14">
        <v>1</v>
      </c>
    </row>
    <row r="592" spans="1:2" x14ac:dyDescent="0.35">
      <c r="A592" s="13" t="s">
        <v>2726</v>
      </c>
      <c r="B592" s="14">
        <v>1</v>
      </c>
    </row>
    <row r="593" spans="1:2" x14ac:dyDescent="0.35">
      <c r="A593" s="37" t="s">
        <v>2719</v>
      </c>
      <c r="B593" s="14">
        <v>1</v>
      </c>
    </row>
    <row r="594" spans="1:2" x14ac:dyDescent="0.35">
      <c r="A594" s="38" t="s">
        <v>4188</v>
      </c>
      <c r="B594" s="14">
        <v>1</v>
      </c>
    </row>
    <row r="595" spans="1:2" x14ac:dyDescent="0.35">
      <c r="A595" s="13" t="s">
        <v>3095</v>
      </c>
      <c r="B595" s="14">
        <v>1</v>
      </c>
    </row>
    <row r="596" spans="1:2" x14ac:dyDescent="0.35">
      <c r="A596" s="37" t="s">
        <v>3092</v>
      </c>
      <c r="B596" s="14">
        <v>1</v>
      </c>
    </row>
    <row r="597" spans="1:2" x14ac:dyDescent="0.35">
      <c r="A597" s="38" t="s">
        <v>4187</v>
      </c>
      <c r="B597" s="14">
        <v>1</v>
      </c>
    </row>
    <row r="598" spans="1:2" x14ac:dyDescent="0.35">
      <c r="A598" s="13" t="s">
        <v>2729</v>
      </c>
      <c r="B598" s="14">
        <v>1</v>
      </c>
    </row>
    <row r="599" spans="1:2" x14ac:dyDescent="0.35">
      <c r="A599" s="37" t="s">
        <v>2728</v>
      </c>
      <c r="B599" s="14">
        <v>1</v>
      </c>
    </row>
    <row r="600" spans="1:2" x14ac:dyDescent="0.35">
      <c r="A600" s="38" t="s">
        <v>4188</v>
      </c>
      <c r="B600" s="14">
        <v>1</v>
      </c>
    </row>
    <row r="601" spans="1:2" x14ac:dyDescent="0.35">
      <c r="A601" s="13" t="s">
        <v>3103</v>
      </c>
      <c r="B601" s="14">
        <v>1</v>
      </c>
    </row>
    <row r="602" spans="1:2" x14ac:dyDescent="0.35">
      <c r="A602" s="37" t="s">
        <v>3102</v>
      </c>
      <c r="B602" s="14">
        <v>1</v>
      </c>
    </row>
    <row r="603" spans="1:2" x14ac:dyDescent="0.35">
      <c r="A603" s="38" t="s">
        <v>4188</v>
      </c>
      <c r="B603" s="14">
        <v>1</v>
      </c>
    </row>
    <row r="604" spans="1:2" x14ac:dyDescent="0.35">
      <c r="A604" s="13" t="s">
        <v>2563</v>
      </c>
      <c r="B604" s="14">
        <v>1</v>
      </c>
    </row>
    <row r="605" spans="1:2" x14ac:dyDescent="0.35">
      <c r="A605" s="37" t="s">
        <v>2558</v>
      </c>
      <c r="B605" s="14">
        <v>1</v>
      </c>
    </row>
    <row r="606" spans="1:2" x14ac:dyDescent="0.35">
      <c r="A606" s="38" t="s">
        <v>4187</v>
      </c>
      <c r="B606" s="14">
        <v>1</v>
      </c>
    </row>
    <row r="607" spans="1:2" x14ac:dyDescent="0.35">
      <c r="A607" s="13" t="s">
        <v>3113</v>
      </c>
      <c r="B607" s="14">
        <v>1</v>
      </c>
    </row>
    <row r="608" spans="1:2" x14ac:dyDescent="0.35">
      <c r="A608" s="37" t="s">
        <v>3111</v>
      </c>
      <c r="B608" s="14">
        <v>1</v>
      </c>
    </row>
    <row r="609" spans="1:2" x14ac:dyDescent="0.35">
      <c r="A609" s="38" t="s">
        <v>4188</v>
      </c>
      <c r="B609" s="14">
        <v>1</v>
      </c>
    </row>
    <row r="610" spans="1:2" x14ac:dyDescent="0.35">
      <c r="A610" s="13" t="s">
        <v>2732</v>
      </c>
      <c r="B610" s="14">
        <v>1</v>
      </c>
    </row>
    <row r="611" spans="1:2" x14ac:dyDescent="0.35">
      <c r="A611" s="37" t="s">
        <v>2728</v>
      </c>
      <c r="B611" s="14">
        <v>1</v>
      </c>
    </row>
    <row r="612" spans="1:2" x14ac:dyDescent="0.35">
      <c r="A612" s="38" t="s">
        <v>4189</v>
      </c>
      <c r="B612" s="14">
        <v>1</v>
      </c>
    </row>
    <row r="613" spans="1:2" x14ac:dyDescent="0.35">
      <c r="A613" s="13" t="s">
        <v>2867</v>
      </c>
      <c r="B613" s="14">
        <v>1</v>
      </c>
    </row>
    <row r="614" spans="1:2" x14ac:dyDescent="0.35">
      <c r="A614" s="37" t="s">
        <v>2865</v>
      </c>
      <c r="B614" s="14">
        <v>1</v>
      </c>
    </row>
    <row r="615" spans="1:2" x14ac:dyDescent="0.35">
      <c r="A615" s="38" t="s">
        <v>4187</v>
      </c>
      <c r="B615" s="14">
        <v>1</v>
      </c>
    </row>
    <row r="616" spans="1:2" x14ac:dyDescent="0.35">
      <c r="A616" s="13" t="s">
        <v>2735</v>
      </c>
      <c r="B616" s="14">
        <v>1</v>
      </c>
    </row>
    <row r="617" spans="1:2" x14ac:dyDescent="0.35">
      <c r="A617" s="37" t="s">
        <v>2734</v>
      </c>
      <c r="B617" s="14">
        <v>1</v>
      </c>
    </row>
    <row r="618" spans="1:2" x14ac:dyDescent="0.35">
      <c r="A618" s="38" t="s">
        <v>4189</v>
      </c>
      <c r="B618" s="14">
        <v>1</v>
      </c>
    </row>
    <row r="619" spans="1:2" x14ac:dyDescent="0.35">
      <c r="A619" s="13" t="s">
        <v>2869</v>
      </c>
      <c r="B619" s="14">
        <v>1</v>
      </c>
    </row>
    <row r="620" spans="1:2" x14ac:dyDescent="0.35">
      <c r="A620" s="37" t="s">
        <v>2868</v>
      </c>
      <c r="B620" s="14">
        <v>1</v>
      </c>
    </row>
    <row r="621" spans="1:2" x14ac:dyDescent="0.35">
      <c r="A621" s="38" t="s">
        <v>4187</v>
      </c>
      <c r="B621" s="14">
        <v>1</v>
      </c>
    </row>
    <row r="622" spans="1:2" x14ac:dyDescent="0.35">
      <c r="A622" s="13" t="s">
        <v>2738</v>
      </c>
      <c r="B622" s="14">
        <v>1</v>
      </c>
    </row>
    <row r="623" spans="1:2" x14ac:dyDescent="0.35">
      <c r="A623" s="37" t="s">
        <v>2737</v>
      </c>
      <c r="B623" s="14">
        <v>1</v>
      </c>
    </row>
    <row r="624" spans="1:2" x14ac:dyDescent="0.35">
      <c r="A624" s="38" t="s">
        <v>4189</v>
      </c>
      <c r="B624" s="14">
        <v>1</v>
      </c>
    </row>
    <row r="625" spans="1:2" x14ac:dyDescent="0.35">
      <c r="A625" s="13" t="s">
        <v>2577</v>
      </c>
      <c r="B625" s="14">
        <v>1</v>
      </c>
    </row>
    <row r="626" spans="1:2" x14ac:dyDescent="0.35">
      <c r="A626" s="37" t="s">
        <v>2576</v>
      </c>
      <c r="B626" s="14">
        <v>1</v>
      </c>
    </row>
    <row r="627" spans="1:2" x14ac:dyDescent="0.35">
      <c r="A627" s="38" t="s">
        <v>4188</v>
      </c>
      <c r="B627" s="14">
        <v>1</v>
      </c>
    </row>
    <row r="628" spans="1:2" x14ac:dyDescent="0.35">
      <c r="A628" s="13" t="s">
        <v>2740</v>
      </c>
      <c r="B628" s="14">
        <v>1</v>
      </c>
    </row>
    <row r="629" spans="1:2" x14ac:dyDescent="0.35">
      <c r="A629" s="37" t="s">
        <v>2737</v>
      </c>
      <c r="B629" s="14">
        <v>1</v>
      </c>
    </row>
    <row r="630" spans="1:2" x14ac:dyDescent="0.35">
      <c r="A630" s="38" t="s">
        <v>4189</v>
      </c>
      <c r="B630" s="14">
        <v>1</v>
      </c>
    </row>
    <row r="631" spans="1:2" x14ac:dyDescent="0.35">
      <c r="A631" s="13" t="s">
        <v>2873</v>
      </c>
      <c r="B631" s="14">
        <v>1</v>
      </c>
    </row>
    <row r="632" spans="1:2" x14ac:dyDescent="0.35">
      <c r="A632" s="37" t="s">
        <v>2868</v>
      </c>
      <c r="B632" s="14">
        <v>1</v>
      </c>
    </row>
    <row r="633" spans="1:2" x14ac:dyDescent="0.35">
      <c r="A633" s="38" t="s">
        <v>4187</v>
      </c>
      <c r="B633" s="14">
        <v>1</v>
      </c>
    </row>
    <row r="634" spans="1:2" x14ac:dyDescent="0.35">
      <c r="A634" s="13" t="s">
        <v>2742</v>
      </c>
      <c r="B634" s="14">
        <v>1</v>
      </c>
    </row>
    <row r="635" spans="1:2" x14ac:dyDescent="0.35">
      <c r="A635" s="37" t="s">
        <v>2737</v>
      </c>
      <c r="B635" s="14">
        <v>1</v>
      </c>
    </row>
    <row r="636" spans="1:2" x14ac:dyDescent="0.35">
      <c r="A636" s="38" t="s">
        <v>4189</v>
      </c>
      <c r="B636" s="14">
        <v>1</v>
      </c>
    </row>
    <row r="637" spans="1:2" x14ac:dyDescent="0.35">
      <c r="A637" s="13" t="s">
        <v>2878</v>
      </c>
      <c r="B637" s="14">
        <v>1</v>
      </c>
    </row>
    <row r="638" spans="1:2" x14ac:dyDescent="0.35">
      <c r="A638" s="37" t="s">
        <v>2877</v>
      </c>
      <c r="B638" s="14">
        <v>1</v>
      </c>
    </row>
    <row r="639" spans="1:2" x14ac:dyDescent="0.35">
      <c r="A639" s="38" t="s">
        <v>4187</v>
      </c>
      <c r="B639" s="14">
        <v>1</v>
      </c>
    </row>
    <row r="640" spans="1:2" x14ac:dyDescent="0.35">
      <c r="A640" s="13" t="s">
        <v>2744</v>
      </c>
      <c r="B640" s="14">
        <v>1</v>
      </c>
    </row>
    <row r="641" spans="1:2" x14ac:dyDescent="0.35">
      <c r="A641" s="37" t="s">
        <v>2737</v>
      </c>
      <c r="B641" s="14">
        <v>1</v>
      </c>
    </row>
    <row r="642" spans="1:2" x14ac:dyDescent="0.35">
      <c r="A642" s="38" t="s">
        <v>4189</v>
      </c>
      <c r="B642" s="14">
        <v>1</v>
      </c>
    </row>
    <row r="643" spans="1:2" x14ac:dyDescent="0.35">
      <c r="A643" s="13" t="s">
        <v>2882</v>
      </c>
      <c r="B643" s="14">
        <v>1</v>
      </c>
    </row>
    <row r="644" spans="1:2" x14ac:dyDescent="0.35">
      <c r="A644" s="37" t="s">
        <v>2881</v>
      </c>
      <c r="B644" s="14">
        <v>1</v>
      </c>
    </row>
    <row r="645" spans="1:2" x14ac:dyDescent="0.35">
      <c r="A645" s="38" t="s">
        <v>4187</v>
      </c>
      <c r="B645" s="14">
        <v>1</v>
      </c>
    </row>
    <row r="646" spans="1:2" x14ac:dyDescent="0.35">
      <c r="A646" s="13" t="s">
        <v>2747</v>
      </c>
      <c r="B646" s="14">
        <v>1</v>
      </c>
    </row>
    <row r="647" spans="1:2" x14ac:dyDescent="0.35">
      <c r="A647" s="37" t="s">
        <v>2746</v>
      </c>
      <c r="B647" s="14">
        <v>1</v>
      </c>
    </row>
    <row r="648" spans="1:2" x14ac:dyDescent="0.35">
      <c r="A648" s="38" t="s">
        <v>4189</v>
      </c>
      <c r="B648" s="14">
        <v>1</v>
      </c>
    </row>
    <row r="649" spans="1:2" x14ac:dyDescent="0.35">
      <c r="A649" s="13" t="s">
        <v>2884</v>
      </c>
      <c r="B649" s="14">
        <v>1</v>
      </c>
    </row>
    <row r="650" spans="1:2" x14ac:dyDescent="0.35">
      <c r="A650" s="37" t="s">
        <v>2881</v>
      </c>
      <c r="B650" s="14">
        <v>1</v>
      </c>
    </row>
    <row r="651" spans="1:2" x14ac:dyDescent="0.35">
      <c r="A651" s="38" t="s">
        <v>4187</v>
      </c>
      <c r="B651" s="14">
        <v>1</v>
      </c>
    </row>
    <row r="652" spans="1:2" x14ac:dyDescent="0.35">
      <c r="A652" s="13" t="s">
        <v>2749</v>
      </c>
      <c r="B652" s="14">
        <v>1</v>
      </c>
    </row>
    <row r="653" spans="1:2" x14ac:dyDescent="0.35">
      <c r="A653" s="37" t="s">
        <v>2748</v>
      </c>
      <c r="B653" s="14">
        <v>1</v>
      </c>
    </row>
    <row r="654" spans="1:2" x14ac:dyDescent="0.35">
      <c r="A654" s="38" t="s">
        <v>4189</v>
      </c>
      <c r="B654" s="14">
        <v>1</v>
      </c>
    </row>
    <row r="655" spans="1:2" x14ac:dyDescent="0.35">
      <c r="A655" s="13" t="s">
        <v>2888</v>
      </c>
      <c r="B655" s="14">
        <v>1</v>
      </c>
    </row>
    <row r="656" spans="1:2" x14ac:dyDescent="0.35">
      <c r="A656" s="37" t="s">
        <v>3149</v>
      </c>
      <c r="B656" s="14">
        <v>1</v>
      </c>
    </row>
    <row r="657" spans="1:2" x14ac:dyDescent="0.35">
      <c r="A657" s="38" t="s">
        <v>4187</v>
      </c>
      <c r="B657" s="14">
        <v>1</v>
      </c>
    </row>
    <row r="658" spans="1:2" x14ac:dyDescent="0.35">
      <c r="A658" s="13" t="s">
        <v>2751</v>
      </c>
      <c r="B658" s="14">
        <v>1</v>
      </c>
    </row>
    <row r="659" spans="1:2" x14ac:dyDescent="0.35">
      <c r="A659" s="37" t="s">
        <v>2750</v>
      </c>
      <c r="B659" s="14">
        <v>1</v>
      </c>
    </row>
    <row r="660" spans="1:2" x14ac:dyDescent="0.35">
      <c r="A660" s="38" t="s">
        <v>4189</v>
      </c>
      <c r="B660" s="14">
        <v>1</v>
      </c>
    </row>
    <row r="661" spans="1:2" x14ac:dyDescent="0.35">
      <c r="A661" s="13" t="s">
        <v>2891</v>
      </c>
      <c r="B661" s="14">
        <v>1</v>
      </c>
    </row>
    <row r="662" spans="1:2" x14ac:dyDescent="0.35">
      <c r="A662" s="37" t="s">
        <v>3149</v>
      </c>
      <c r="B662" s="14">
        <v>1</v>
      </c>
    </row>
    <row r="663" spans="1:2" x14ac:dyDescent="0.35">
      <c r="A663" s="38" t="s">
        <v>4187</v>
      </c>
      <c r="B663" s="14">
        <v>1</v>
      </c>
    </row>
    <row r="664" spans="1:2" x14ac:dyDescent="0.35">
      <c r="A664" s="13" t="s">
        <v>2754</v>
      </c>
      <c r="B664" s="14">
        <v>1</v>
      </c>
    </row>
    <row r="665" spans="1:2" x14ac:dyDescent="0.35">
      <c r="A665" s="37" t="s">
        <v>2753</v>
      </c>
      <c r="B665" s="14">
        <v>1</v>
      </c>
    </row>
    <row r="666" spans="1:2" x14ac:dyDescent="0.35">
      <c r="A666" s="38" t="s">
        <v>4189</v>
      </c>
      <c r="B666" s="14">
        <v>1</v>
      </c>
    </row>
    <row r="667" spans="1:2" x14ac:dyDescent="0.35">
      <c r="A667" s="13" t="s">
        <v>2895</v>
      </c>
      <c r="B667" s="14">
        <v>1</v>
      </c>
    </row>
    <row r="668" spans="1:2" x14ac:dyDescent="0.35">
      <c r="A668" s="37" t="s">
        <v>2893</v>
      </c>
      <c r="B668" s="14">
        <v>1</v>
      </c>
    </row>
    <row r="669" spans="1:2" x14ac:dyDescent="0.35">
      <c r="A669" s="38" t="s">
        <v>4187</v>
      </c>
      <c r="B669" s="14">
        <v>1</v>
      </c>
    </row>
    <row r="670" spans="1:2" x14ac:dyDescent="0.35">
      <c r="A670" s="13" t="s">
        <v>2757</v>
      </c>
      <c r="B670" s="14">
        <v>1</v>
      </c>
    </row>
    <row r="671" spans="1:2" x14ac:dyDescent="0.35">
      <c r="A671" s="37" t="s">
        <v>2756</v>
      </c>
      <c r="B671" s="14">
        <v>1</v>
      </c>
    </row>
    <row r="672" spans="1:2" x14ac:dyDescent="0.35">
      <c r="A672" s="38" t="s">
        <v>4189</v>
      </c>
      <c r="B672" s="14">
        <v>1</v>
      </c>
    </row>
    <row r="673" spans="1:2" x14ac:dyDescent="0.35">
      <c r="A673" s="13" t="s">
        <v>2899</v>
      </c>
      <c r="B673" s="14">
        <v>1</v>
      </c>
    </row>
    <row r="674" spans="1:2" x14ac:dyDescent="0.35">
      <c r="A674" s="37" t="s">
        <v>2896</v>
      </c>
      <c r="B674" s="14">
        <v>1</v>
      </c>
    </row>
    <row r="675" spans="1:2" x14ac:dyDescent="0.35">
      <c r="A675" s="38" t="s">
        <v>4187</v>
      </c>
      <c r="B675" s="14">
        <v>1</v>
      </c>
    </row>
    <row r="676" spans="1:2" x14ac:dyDescent="0.35">
      <c r="A676" s="13" t="s">
        <v>2759</v>
      </c>
      <c r="B676" s="14">
        <v>1</v>
      </c>
    </row>
    <row r="677" spans="1:2" x14ac:dyDescent="0.35">
      <c r="A677" s="37" t="s">
        <v>2756</v>
      </c>
      <c r="B677" s="14">
        <v>1</v>
      </c>
    </row>
    <row r="678" spans="1:2" x14ac:dyDescent="0.35">
      <c r="A678" s="38" t="s">
        <v>4189</v>
      </c>
      <c r="B678" s="14">
        <v>1</v>
      </c>
    </row>
    <row r="679" spans="1:2" x14ac:dyDescent="0.35">
      <c r="A679" s="13" t="s">
        <v>2581</v>
      </c>
      <c r="B679" s="14">
        <v>1</v>
      </c>
    </row>
    <row r="680" spans="1:2" x14ac:dyDescent="0.35">
      <c r="A680" s="37" t="s">
        <v>2576</v>
      </c>
      <c r="B680" s="14">
        <v>1</v>
      </c>
    </row>
    <row r="681" spans="1:2" x14ac:dyDescent="0.35">
      <c r="A681" s="38" t="s">
        <v>4188</v>
      </c>
      <c r="B681" s="14">
        <v>1</v>
      </c>
    </row>
    <row r="682" spans="1:2" x14ac:dyDescent="0.35">
      <c r="A682" s="13" t="s">
        <v>2760</v>
      </c>
      <c r="B682" s="14">
        <v>1</v>
      </c>
    </row>
    <row r="683" spans="1:2" x14ac:dyDescent="0.35">
      <c r="A683" s="37" t="s">
        <v>2756</v>
      </c>
      <c r="B683" s="14">
        <v>1</v>
      </c>
    </row>
    <row r="684" spans="1:2" x14ac:dyDescent="0.35">
      <c r="A684" s="38" t="s">
        <v>4189</v>
      </c>
      <c r="B684" s="14">
        <v>1</v>
      </c>
    </row>
    <row r="685" spans="1:2" x14ac:dyDescent="0.35">
      <c r="A685" s="13" t="s">
        <v>2907</v>
      </c>
      <c r="B685" s="14">
        <v>1</v>
      </c>
    </row>
    <row r="686" spans="1:2" x14ac:dyDescent="0.35">
      <c r="A686" s="37" t="s">
        <v>2906</v>
      </c>
      <c r="B686" s="14">
        <v>1</v>
      </c>
    </row>
    <row r="687" spans="1:2" x14ac:dyDescent="0.35">
      <c r="A687" s="38" t="s">
        <v>4187</v>
      </c>
      <c r="B687" s="14">
        <v>1</v>
      </c>
    </row>
    <row r="688" spans="1:2" x14ac:dyDescent="0.35">
      <c r="A688" s="13" t="s">
        <v>2762</v>
      </c>
      <c r="B688" s="14">
        <v>1</v>
      </c>
    </row>
    <row r="689" spans="1:2" x14ac:dyDescent="0.35">
      <c r="A689" s="37" t="s">
        <v>2761</v>
      </c>
      <c r="B689" s="14">
        <v>1</v>
      </c>
    </row>
    <row r="690" spans="1:2" x14ac:dyDescent="0.35">
      <c r="A690" s="38" t="s">
        <v>4189</v>
      </c>
      <c r="B690" s="14">
        <v>1</v>
      </c>
    </row>
    <row r="691" spans="1:2" x14ac:dyDescent="0.35">
      <c r="A691" s="13" t="s">
        <v>2911</v>
      </c>
      <c r="B691" s="14">
        <v>1</v>
      </c>
    </row>
    <row r="692" spans="1:2" x14ac:dyDescent="0.35">
      <c r="A692" s="37" t="s">
        <v>2910</v>
      </c>
      <c r="B692" s="14">
        <v>1</v>
      </c>
    </row>
    <row r="693" spans="1:2" x14ac:dyDescent="0.35">
      <c r="A693" s="38" t="s">
        <v>4187</v>
      </c>
      <c r="B693" s="14">
        <v>1</v>
      </c>
    </row>
    <row r="694" spans="1:2" x14ac:dyDescent="0.35">
      <c r="A694" s="13" t="s">
        <v>2763</v>
      </c>
      <c r="B694" s="14">
        <v>1</v>
      </c>
    </row>
    <row r="695" spans="1:2" x14ac:dyDescent="0.35">
      <c r="A695" s="37" t="s">
        <v>2761</v>
      </c>
      <c r="B695" s="14">
        <v>1</v>
      </c>
    </row>
    <row r="696" spans="1:2" x14ac:dyDescent="0.35">
      <c r="A696" s="38" t="s">
        <v>4189</v>
      </c>
      <c r="B696" s="14">
        <v>1</v>
      </c>
    </row>
    <row r="697" spans="1:2" x14ac:dyDescent="0.35">
      <c r="A697" s="13" t="s">
        <v>2915</v>
      </c>
      <c r="B697" s="14">
        <v>1</v>
      </c>
    </row>
    <row r="698" spans="1:2" x14ac:dyDescent="0.35">
      <c r="A698" s="37" t="s">
        <v>2914</v>
      </c>
      <c r="B698" s="14">
        <v>1</v>
      </c>
    </row>
    <row r="699" spans="1:2" x14ac:dyDescent="0.35">
      <c r="A699" s="38" t="s">
        <v>4187</v>
      </c>
      <c r="B699" s="14">
        <v>1</v>
      </c>
    </row>
    <row r="700" spans="1:2" x14ac:dyDescent="0.35">
      <c r="A700" s="13" t="s">
        <v>2765</v>
      </c>
      <c r="B700" s="14">
        <v>1</v>
      </c>
    </row>
    <row r="701" spans="1:2" x14ac:dyDescent="0.35">
      <c r="A701" s="37" t="s">
        <v>2761</v>
      </c>
      <c r="B701" s="14">
        <v>1</v>
      </c>
    </row>
    <row r="702" spans="1:2" x14ac:dyDescent="0.35">
      <c r="A702" s="38" t="s">
        <v>4189</v>
      </c>
      <c r="B702" s="14">
        <v>1</v>
      </c>
    </row>
    <row r="703" spans="1:2" x14ac:dyDescent="0.35">
      <c r="A703" s="13" t="s">
        <v>2920</v>
      </c>
      <c r="B703" s="14">
        <v>1</v>
      </c>
    </row>
    <row r="704" spans="1:2" x14ac:dyDescent="0.35">
      <c r="A704" s="37" t="s">
        <v>2919</v>
      </c>
      <c r="B704" s="14">
        <v>1</v>
      </c>
    </row>
    <row r="705" spans="1:2" x14ac:dyDescent="0.35">
      <c r="A705" s="38" t="s">
        <v>4187</v>
      </c>
      <c r="B705" s="14">
        <v>1</v>
      </c>
    </row>
    <row r="706" spans="1:2" x14ac:dyDescent="0.35">
      <c r="A706" s="13" t="s">
        <v>2767</v>
      </c>
      <c r="B706" s="14">
        <v>1</v>
      </c>
    </row>
    <row r="707" spans="1:2" x14ac:dyDescent="0.35">
      <c r="A707" s="37" t="s">
        <v>2761</v>
      </c>
      <c r="B707" s="14">
        <v>1</v>
      </c>
    </row>
    <row r="708" spans="1:2" x14ac:dyDescent="0.35">
      <c r="A708" s="38" t="s">
        <v>4189</v>
      </c>
      <c r="B708" s="14">
        <v>1</v>
      </c>
    </row>
    <row r="709" spans="1:2" x14ac:dyDescent="0.35">
      <c r="A709" s="13" t="s">
        <v>2924</v>
      </c>
      <c r="B709" s="14">
        <v>1</v>
      </c>
    </row>
    <row r="710" spans="1:2" x14ac:dyDescent="0.35">
      <c r="A710" s="37" t="s">
        <v>2923</v>
      </c>
      <c r="B710" s="14">
        <v>1</v>
      </c>
    </row>
    <row r="711" spans="1:2" x14ac:dyDescent="0.35">
      <c r="A711" s="38" t="s">
        <v>4187</v>
      </c>
      <c r="B711" s="14">
        <v>1</v>
      </c>
    </row>
    <row r="712" spans="1:2" x14ac:dyDescent="0.35">
      <c r="A712" s="13" t="s">
        <v>2566</v>
      </c>
      <c r="B712" s="14">
        <v>1</v>
      </c>
    </row>
    <row r="713" spans="1:2" x14ac:dyDescent="0.35">
      <c r="A713" s="37" t="s">
        <v>2565</v>
      </c>
      <c r="B713" s="14">
        <v>1</v>
      </c>
    </row>
    <row r="714" spans="1:2" x14ac:dyDescent="0.35">
      <c r="A714" s="38" t="s">
        <v>4187</v>
      </c>
      <c r="B714" s="14">
        <v>1</v>
      </c>
    </row>
    <row r="715" spans="1:2" x14ac:dyDescent="0.35">
      <c r="A715" s="13" t="s">
        <v>2928</v>
      </c>
      <c r="B715" s="14">
        <v>1</v>
      </c>
    </row>
    <row r="716" spans="1:2" x14ac:dyDescent="0.35">
      <c r="A716" s="37" t="s">
        <v>2925</v>
      </c>
      <c r="B716" s="14">
        <v>1</v>
      </c>
    </row>
    <row r="717" spans="1:2" x14ac:dyDescent="0.35">
      <c r="A717" s="38" t="s">
        <v>4187</v>
      </c>
      <c r="B717" s="14">
        <v>1</v>
      </c>
    </row>
    <row r="718" spans="1:2" x14ac:dyDescent="0.35">
      <c r="A718" s="13" t="s">
        <v>2772</v>
      </c>
      <c r="B718" s="14">
        <v>1</v>
      </c>
    </row>
    <row r="719" spans="1:2" x14ac:dyDescent="0.35">
      <c r="A719" s="37" t="s">
        <v>2771</v>
      </c>
      <c r="B719" s="14">
        <v>1</v>
      </c>
    </row>
    <row r="720" spans="1:2" x14ac:dyDescent="0.35">
      <c r="A720" s="38" t="s">
        <v>4189</v>
      </c>
      <c r="B720" s="14">
        <v>1</v>
      </c>
    </row>
    <row r="721" spans="1:2" x14ac:dyDescent="0.35">
      <c r="A721" s="13" t="s">
        <v>2930</v>
      </c>
      <c r="B721" s="14">
        <v>1</v>
      </c>
    </row>
    <row r="722" spans="1:2" x14ac:dyDescent="0.35">
      <c r="A722" s="37" t="s">
        <v>2925</v>
      </c>
      <c r="B722" s="14">
        <v>1</v>
      </c>
    </row>
    <row r="723" spans="1:2" x14ac:dyDescent="0.35">
      <c r="A723" s="38" t="s">
        <v>4187</v>
      </c>
      <c r="B723" s="14">
        <v>1</v>
      </c>
    </row>
    <row r="724" spans="1:2" x14ac:dyDescent="0.35">
      <c r="A724" s="13" t="s">
        <v>2568</v>
      </c>
      <c r="B724" s="14">
        <v>1</v>
      </c>
    </row>
    <row r="725" spans="1:2" x14ac:dyDescent="0.35">
      <c r="A725" s="37" t="s">
        <v>2565</v>
      </c>
      <c r="B725" s="14">
        <v>1</v>
      </c>
    </row>
    <row r="726" spans="1:2" x14ac:dyDescent="0.35">
      <c r="A726" s="38" t="s">
        <v>4187</v>
      </c>
      <c r="B726" s="14">
        <v>1</v>
      </c>
    </row>
    <row r="727" spans="1:2" x14ac:dyDescent="0.35">
      <c r="A727" s="13" t="s">
        <v>2582</v>
      </c>
      <c r="B727" s="14">
        <v>1</v>
      </c>
    </row>
    <row r="728" spans="1:2" x14ac:dyDescent="0.35">
      <c r="A728" s="37" t="s">
        <v>2576</v>
      </c>
      <c r="B728" s="14">
        <v>1</v>
      </c>
    </row>
    <row r="729" spans="1:2" x14ac:dyDescent="0.35">
      <c r="A729" s="38" t="s">
        <v>4188</v>
      </c>
      <c r="B729" s="14">
        <v>1</v>
      </c>
    </row>
    <row r="730" spans="1:2" x14ac:dyDescent="0.35">
      <c r="A730" s="13" t="s">
        <v>2780</v>
      </c>
      <c r="B730" s="14">
        <v>1</v>
      </c>
    </row>
    <row r="731" spans="1:2" x14ac:dyDescent="0.35">
      <c r="A731" s="37" t="s">
        <v>2779</v>
      </c>
      <c r="B731" s="14">
        <v>1</v>
      </c>
    </row>
    <row r="732" spans="1:2" x14ac:dyDescent="0.35">
      <c r="A732" s="38" t="s">
        <v>4189</v>
      </c>
      <c r="B732" s="14">
        <v>1</v>
      </c>
    </row>
    <row r="733" spans="1:2" x14ac:dyDescent="0.35">
      <c r="A733" s="13" t="s">
        <v>2939</v>
      </c>
      <c r="B733" s="14">
        <v>1</v>
      </c>
    </row>
    <row r="734" spans="1:2" x14ac:dyDescent="0.35">
      <c r="A734" s="37" t="s">
        <v>2938</v>
      </c>
      <c r="B734" s="14">
        <v>1</v>
      </c>
    </row>
    <row r="735" spans="1:2" x14ac:dyDescent="0.35">
      <c r="A735" s="38" t="s">
        <v>4187</v>
      </c>
      <c r="B735" s="14">
        <v>1</v>
      </c>
    </row>
    <row r="736" spans="1:2" x14ac:dyDescent="0.35">
      <c r="A736" s="13" t="s">
        <v>2782</v>
      </c>
      <c r="B736" s="14">
        <v>1</v>
      </c>
    </row>
    <row r="737" spans="1:2" x14ac:dyDescent="0.35">
      <c r="A737" s="37" t="s">
        <v>2779</v>
      </c>
      <c r="B737" s="14">
        <v>1</v>
      </c>
    </row>
    <row r="738" spans="1:2" x14ac:dyDescent="0.35">
      <c r="A738" s="38" t="s">
        <v>4189</v>
      </c>
      <c r="B738" s="14">
        <v>1</v>
      </c>
    </row>
    <row r="739" spans="1:2" x14ac:dyDescent="0.35">
      <c r="A739" s="13" t="s">
        <v>1406</v>
      </c>
      <c r="B739" s="14">
        <v>1</v>
      </c>
    </row>
    <row r="740" spans="1:2" x14ac:dyDescent="0.35">
      <c r="A740" s="37" t="s">
        <v>2942</v>
      </c>
      <c r="B740" s="14">
        <v>1</v>
      </c>
    </row>
    <row r="741" spans="1:2" x14ac:dyDescent="0.35">
      <c r="A741" s="38" t="s">
        <v>4187</v>
      </c>
      <c r="B741" s="14">
        <v>1</v>
      </c>
    </row>
    <row r="742" spans="1:2" x14ac:dyDescent="0.35">
      <c r="A742" s="13" t="s">
        <v>2570</v>
      </c>
      <c r="B742" s="14">
        <v>1</v>
      </c>
    </row>
    <row r="743" spans="1:2" x14ac:dyDescent="0.35">
      <c r="A743" s="37" t="s">
        <v>2565</v>
      </c>
      <c r="B743" s="14">
        <v>1</v>
      </c>
    </row>
    <row r="744" spans="1:2" x14ac:dyDescent="0.35">
      <c r="A744" s="38" t="s">
        <v>4187</v>
      </c>
      <c r="B744" s="14">
        <v>1</v>
      </c>
    </row>
    <row r="745" spans="1:2" x14ac:dyDescent="0.35">
      <c r="A745" s="13" t="s">
        <v>2945</v>
      </c>
      <c r="B745" s="14">
        <v>1</v>
      </c>
    </row>
    <row r="746" spans="1:2" x14ac:dyDescent="0.35">
      <c r="A746" s="37" t="s">
        <v>2944</v>
      </c>
      <c r="B746" s="14">
        <v>1</v>
      </c>
    </row>
    <row r="747" spans="1:2" x14ac:dyDescent="0.35">
      <c r="A747" s="38" t="s">
        <v>4187</v>
      </c>
      <c r="B747" s="14">
        <v>1</v>
      </c>
    </row>
    <row r="748" spans="1:2" x14ac:dyDescent="0.35">
      <c r="A748" s="13" t="s">
        <v>2789</v>
      </c>
      <c r="B748" s="14">
        <v>1</v>
      </c>
    </row>
    <row r="749" spans="1:2" x14ac:dyDescent="0.35">
      <c r="A749" s="37" t="s">
        <v>2788</v>
      </c>
      <c r="B749" s="14">
        <v>1</v>
      </c>
    </row>
    <row r="750" spans="1:2" x14ac:dyDescent="0.35">
      <c r="A750" s="38" t="s">
        <v>4189</v>
      </c>
      <c r="B750" s="14">
        <v>1</v>
      </c>
    </row>
    <row r="751" spans="1:2" x14ac:dyDescent="0.35">
      <c r="A751" s="13" t="s">
        <v>2947</v>
      </c>
      <c r="B751" s="14">
        <v>1</v>
      </c>
    </row>
    <row r="752" spans="1:2" x14ac:dyDescent="0.35">
      <c r="A752" s="37" t="s">
        <v>2944</v>
      </c>
      <c r="B752" s="14">
        <v>1</v>
      </c>
    </row>
    <row r="753" spans="1:2" x14ac:dyDescent="0.35">
      <c r="A753" s="38" t="s">
        <v>4187</v>
      </c>
      <c r="B753" s="14">
        <v>1</v>
      </c>
    </row>
    <row r="754" spans="1:2" x14ac:dyDescent="0.35">
      <c r="A754" s="13" t="s">
        <v>2791</v>
      </c>
      <c r="B754" s="14">
        <v>1</v>
      </c>
    </row>
    <row r="755" spans="1:2" x14ac:dyDescent="0.35">
      <c r="A755" s="37" t="s">
        <v>2788</v>
      </c>
      <c r="B755" s="14">
        <v>1</v>
      </c>
    </row>
    <row r="756" spans="1:2" x14ac:dyDescent="0.35">
      <c r="A756" s="38" t="s">
        <v>4189</v>
      </c>
      <c r="B756" s="14">
        <v>1</v>
      </c>
    </row>
    <row r="757" spans="1:2" x14ac:dyDescent="0.35">
      <c r="A757" s="13" t="s">
        <v>2950</v>
      </c>
      <c r="B757" s="14">
        <v>1</v>
      </c>
    </row>
    <row r="758" spans="1:2" x14ac:dyDescent="0.35">
      <c r="A758" s="37" t="s">
        <v>2949</v>
      </c>
      <c r="B758" s="14">
        <v>1</v>
      </c>
    </row>
    <row r="759" spans="1:2" x14ac:dyDescent="0.35">
      <c r="A759" s="38" t="s">
        <v>4187</v>
      </c>
      <c r="B759" s="14">
        <v>1</v>
      </c>
    </row>
    <row r="760" spans="1:2" x14ac:dyDescent="0.35">
      <c r="A760" s="13" t="s">
        <v>2793</v>
      </c>
      <c r="B760" s="14">
        <v>1</v>
      </c>
    </row>
    <row r="761" spans="1:2" x14ac:dyDescent="0.35">
      <c r="A761" s="37" t="s">
        <v>2788</v>
      </c>
      <c r="B761" s="14">
        <v>1</v>
      </c>
    </row>
    <row r="762" spans="1:2" x14ac:dyDescent="0.35">
      <c r="A762" s="38" t="s">
        <v>4189</v>
      </c>
      <c r="B762" s="14">
        <v>1</v>
      </c>
    </row>
    <row r="763" spans="1:2" x14ac:dyDescent="0.35">
      <c r="A763" s="13" t="s">
        <v>2952</v>
      </c>
      <c r="B763" s="14">
        <v>1</v>
      </c>
    </row>
    <row r="764" spans="1:2" x14ac:dyDescent="0.35">
      <c r="A764" s="37" t="s">
        <v>2949</v>
      </c>
      <c r="B764" s="14">
        <v>1</v>
      </c>
    </row>
    <row r="765" spans="1:2" x14ac:dyDescent="0.35">
      <c r="A765" s="38" t="s">
        <v>4188</v>
      </c>
      <c r="B765" s="14">
        <v>1</v>
      </c>
    </row>
    <row r="766" spans="1:2" x14ac:dyDescent="0.35">
      <c r="A766" s="13" t="s">
        <v>2794</v>
      </c>
      <c r="B766" s="14">
        <v>1</v>
      </c>
    </row>
    <row r="767" spans="1:2" x14ac:dyDescent="0.35">
      <c r="A767" s="37" t="s">
        <v>2788</v>
      </c>
      <c r="B767" s="14">
        <v>1</v>
      </c>
    </row>
    <row r="768" spans="1:2" x14ac:dyDescent="0.35">
      <c r="A768" s="38" t="s">
        <v>4189</v>
      </c>
      <c r="B768" s="14">
        <v>1</v>
      </c>
    </row>
    <row r="769" spans="1:2" x14ac:dyDescent="0.35">
      <c r="A769" s="13" t="s">
        <v>2956</v>
      </c>
      <c r="B769" s="14">
        <v>1</v>
      </c>
    </row>
    <row r="770" spans="1:2" x14ac:dyDescent="0.35">
      <c r="A770" s="37" t="s">
        <v>2954</v>
      </c>
      <c r="B770" s="14">
        <v>1</v>
      </c>
    </row>
    <row r="771" spans="1:2" x14ac:dyDescent="0.35">
      <c r="A771" s="38" t="s">
        <v>4188</v>
      </c>
      <c r="B771" s="14">
        <v>1</v>
      </c>
    </row>
    <row r="772" spans="1:2" x14ac:dyDescent="0.35">
      <c r="A772" s="13" t="s">
        <v>2795</v>
      </c>
      <c r="B772" s="14">
        <v>1</v>
      </c>
    </row>
    <row r="773" spans="1:2" x14ac:dyDescent="0.35">
      <c r="A773" s="37" t="s">
        <v>2788</v>
      </c>
      <c r="B773" s="14">
        <v>1</v>
      </c>
    </row>
    <row r="774" spans="1:2" x14ac:dyDescent="0.35">
      <c r="A774" s="38" t="s">
        <v>4189</v>
      </c>
      <c r="B774" s="14">
        <v>1</v>
      </c>
    </row>
    <row r="775" spans="1:2" x14ac:dyDescent="0.35">
      <c r="A775" s="13" t="s">
        <v>2960</v>
      </c>
      <c r="B775" s="14">
        <v>1</v>
      </c>
    </row>
    <row r="776" spans="1:2" x14ac:dyDescent="0.35">
      <c r="A776" s="37" t="s">
        <v>2957</v>
      </c>
      <c r="B776" s="14">
        <v>1</v>
      </c>
    </row>
    <row r="777" spans="1:2" x14ac:dyDescent="0.35">
      <c r="A777" s="38" t="s">
        <v>4189</v>
      </c>
      <c r="B777" s="14">
        <v>1</v>
      </c>
    </row>
    <row r="778" spans="1:2" x14ac:dyDescent="0.35">
      <c r="A778" s="13" t="s">
        <v>2796</v>
      </c>
      <c r="B778" s="14">
        <v>1</v>
      </c>
    </row>
    <row r="779" spans="1:2" x14ac:dyDescent="0.35">
      <c r="A779" s="37" t="s">
        <v>2788</v>
      </c>
      <c r="B779" s="14">
        <v>1</v>
      </c>
    </row>
    <row r="780" spans="1:2" x14ac:dyDescent="0.35">
      <c r="A780" s="38" t="s">
        <v>4189</v>
      </c>
      <c r="B780" s="14">
        <v>1</v>
      </c>
    </row>
    <row r="781" spans="1:2" x14ac:dyDescent="0.35">
      <c r="A781" s="13" t="s">
        <v>2584</v>
      </c>
      <c r="B781" s="14">
        <v>1</v>
      </c>
    </row>
    <row r="782" spans="1:2" x14ac:dyDescent="0.35">
      <c r="A782" s="37" t="s">
        <v>2583</v>
      </c>
      <c r="B782" s="14">
        <v>1</v>
      </c>
    </row>
    <row r="783" spans="1:2" x14ac:dyDescent="0.35">
      <c r="A783" s="38" t="s">
        <v>4188</v>
      </c>
      <c r="B783" s="14">
        <v>1</v>
      </c>
    </row>
    <row r="784" spans="1:2" x14ac:dyDescent="0.35">
      <c r="A784" s="13" t="s">
        <v>2797</v>
      </c>
      <c r="B784" s="14">
        <v>1</v>
      </c>
    </row>
    <row r="785" spans="1:2" x14ac:dyDescent="0.35">
      <c r="A785" s="37" t="s">
        <v>2788</v>
      </c>
      <c r="B785" s="14">
        <v>1</v>
      </c>
    </row>
    <row r="786" spans="1:2" x14ac:dyDescent="0.35">
      <c r="A786" s="38" t="s">
        <v>4189</v>
      </c>
      <c r="B786" s="14">
        <v>1</v>
      </c>
    </row>
    <row r="787" spans="1:2" x14ac:dyDescent="0.35">
      <c r="A787" s="13" t="s">
        <v>2969</v>
      </c>
      <c r="B787" s="14">
        <v>1</v>
      </c>
    </row>
    <row r="788" spans="1:2" x14ac:dyDescent="0.35">
      <c r="A788" s="37" t="s">
        <v>2968</v>
      </c>
      <c r="B788" s="14">
        <v>1</v>
      </c>
    </row>
    <row r="789" spans="1:2" x14ac:dyDescent="0.35">
      <c r="A789" s="38" t="s">
        <v>4189</v>
      </c>
      <c r="B789" s="14">
        <v>1</v>
      </c>
    </row>
    <row r="790" spans="1:2" x14ac:dyDescent="0.35">
      <c r="A790" s="13" t="s">
        <v>2799</v>
      </c>
      <c r="B790" s="14">
        <v>1</v>
      </c>
    </row>
    <row r="791" spans="1:2" x14ac:dyDescent="0.35">
      <c r="A791" s="37" t="s">
        <v>2798</v>
      </c>
      <c r="B791" s="14">
        <v>1</v>
      </c>
    </row>
    <row r="792" spans="1:2" x14ac:dyDescent="0.35">
      <c r="A792" s="38" t="s">
        <v>4189</v>
      </c>
      <c r="B792" s="14">
        <v>1</v>
      </c>
    </row>
    <row r="793" spans="1:2" x14ac:dyDescent="0.35">
      <c r="A793" s="13" t="s">
        <v>2974</v>
      </c>
      <c r="B793" s="14">
        <v>1</v>
      </c>
    </row>
    <row r="794" spans="1:2" x14ac:dyDescent="0.35">
      <c r="A794" s="37" t="s">
        <v>2971</v>
      </c>
      <c r="B794" s="14">
        <v>1</v>
      </c>
    </row>
    <row r="795" spans="1:2" x14ac:dyDescent="0.35">
      <c r="A795" s="38" t="s">
        <v>4189</v>
      </c>
      <c r="B795" s="14">
        <v>1</v>
      </c>
    </row>
    <row r="796" spans="1:2" x14ac:dyDescent="0.35">
      <c r="A796" s="13" t="s">
        <v>2708</v>
      </c>
      <c r="B796" s="14">
        <v>1</v>
      </c>
    </row>
    <row r="797" spans="1:2" x14ac:dyDescent="0.35">
      <c r="A797" s="37" t="s">
        <v>2798</v>
      </c>
      <c r="B797" s="14">
        <v>1</v>
      </c>
    </row>
    <row r="798" spans="1:2" x14ac:dyDescent="0.35">
      <c r="A798" s="38" t="s">
        <v>4189</v>
      </c>
      <c r="B798" s="14">
        <v>1</v>
      </c>
    </row>
    <row r="799" spans="1:2" x14ac:dyDescent="0.35">
      <c r="A799" s="13" t="s">
        <v>2976</v>
      </c>
      <c r="B799" s="14">
        <v>1</v>
      </c>
    </row>
    <row r="800" spans="1:2" x14ac:dyDescent="0.35">
      <c r="A800" s="37" t="s">
        <v>2971</v>
      </c>
      <c r="B800" s="14">
        <v>1</v>
      </c>
    </row>
    <row r="801" spans="1:2" x14ac:dyDescent="0.35">
      <c r="A801" s="38" t="s">
        <v>4189</v>
      </c>
      <c r="B801" s="14">
        <v>1</v>
      </c>
    </row>
    <row r="802" spans="1:2" x14ac:dyDescent="0.35">
      <c r="A802" s="13" t="s">
        <v>2803</v>
      </c>
      <c r="B802" s="14">
        <v>1</v>
      </c>
    </row>
    <row r="803" spans="1:2" x14ac:dyDescent="0.35">
      <c r="A803" s="37" t="s">
        <v>2798</v>
      </c>
      <c r="B803" s="14">
        <v>1</v>
      </c>
    </row>
    <row r="804" spans="1:2" x14ac:dyDescent="0.35">
      <c r="A804" s="38" t="s">
        <v>4189</v>
      </c>
      <c r="B804" s="14">
        <v>1</v>
      </c>
    </row>
    <row r="805" spans="1:2" x14ac:dyDescent="0.35">
      <c r="A805" s="13" t="s">
        <v>2981</v>
      </c>
      <c r="B805" s="14">
        <v>1</v>
      </c>
    </row>
    <row r="806" spans="1:2" x14ac:dyDescent="0.35">
      <c r="A806" s="37" t="s">
        <v>2980</v>
      </c>
      <c r="B806" s="14">
        <v>1</v>
      </c>
    </row>
    <row r="807" spans="1:2" x14ac:dyDescent="0.35">
      <c r="A807" s="38" t="s">
        <v>4189</v>
      </c>
      <c r="B807" s="14">
        <v>1</v>
      </c>
    </row>
    <row r="808" spans="1:2" x14ac:dyDescent="0.35">
      <c r="A808" s="13" t="s">
        <v>2806</v>
      </c>
      <c r="B808" s="14">
        <v>1</v>
      </c>
    </row>
    <row r="809" spans="1:2" x14ac:dyDescent="0.35">
      <c r="A809" s="37" t="s">
        <v>2805</v>
      </c>
      <c r="B809" s="14">
        <v>1</v>
      </c>
    </row>
    <row r="810" spans="1:2" x14ac:dyDescent="0.35">
      <c r="A810" s="38" t="s">
        <v>4189</v>
      </c>
      <c r="B810" s="14">
        <v>1</v>
      </c>
    </row>
    <row r="811" spans="1:2" x14ac:dyDescent="0.35">
      <c r="A811" s="13" t="s">
        <v>2587</v>
      </c>
      <c r="B811" s="14">
        <v>1</v>
      </c>
    </row>
    <row r="812" spans="1:2" x14ac:dyDescent="0.35">
      <c r="A812" s="37" t="s">
        <v>2586</v>
      </c>
      <c r="B812" s="14">
        <v>1</v>
      </c>
    </row>
    <row r="813" spans="1:2" x14ac:dyDescent="0.35">
      <c r="A813" s="38" t="s">
        <v>4188</v>
      </c>
      <c r="B813" s="14">
        <v>1</v>
      </c>
    </row>
    <row r="814" spans="1:2" x14ac:dyDescent="0.35">
      <c r="A814" s="13" t="s">
        <v>2807</v>
      </c>
      <c r="B814" s="14">
        <v>1</v>
      </c>
    </row>
    <row r="815" spans="1:2" x14ac:dyDescent="0.35">
      <c r="A815" s="37" t="s">
        <v>2805</v>
      </c>
      <c r="B815" s="14">
        <v>1</v>
      </c>
    </row>
    <row r="816" spans="1:2" x14ac:dyDescent="0.35">
      <c r="A816" s="38" t="s">
        <v>4189</v>
      </c>
      <c r="B816" s="14">
        <v>1</v>
      </c>
    </row>
    <row r="817" spans="1:2" x14ac:dyDescent="0.35">
      <c r="A817" s="13" t="s">
        <v>2992</v>
      </c>
      <c r="B817" s="14">
        <v>1</v>
      </c>
    </row>
    <row r="818" spans="1:2" x14ac:dyDescent="0.35">
      <c r="A818" s="37" t="s">
        <v>2991</v>
      </c>
      <c r="B818" s="14">
        <v>1</v>
      </c>
    </row>
    <row r="819" spans="1:2" x14ac:dyDescent="0.35">
      <c r="A819" s="38" t="s">
        <v>4189</v>
      </c>
      <c r="B819" s="14">
        <v>1</v>
      </c>
    </row>
    <row r="820" spans="1:2" x14ac:dyDescent="0.35">
      <c r="A820" s="13" t="s">
        <v>2809</v>
      </c>
      <c r="B820" s="14">
        <v>1</v>
      </c>
    </row>
    <row r="821" spans="1:2" x14ac:dyDescent="0.35">
      <c r="A821" s="37" t="s">
        <v>2805</v>
      </c>
      <c r="B821" s="14">
        <v>1</v>
      </c>
    </row>
    <row r="822" spans="1:2" x14ac:dyDescent="0.35">
      <c r="A822" s="38" t="s">
        <v>4189</v>
      </c>
      <c r="B822" s="14">
        <v>1</v>
      </c>
    </row>
    <row r="823" spans="1:2" x14ac:dyDescent="0.35">
      <c r="A823" s="13" t="s">
        <v>2995</v>
      </c>
      <c r="B823" s="14">
        <v>1</v>
      </c>
    </row>
    <row r="824" spans="1:2" x14ac:dyDescent="0.35">
      <c r="A824" s="37" t="s">
        <v>2991</v>
      </c>
      <c r="B824" s="14">
        <v>1</v>
      </c>
    </row>
    <row r="825" spans="1:2" x14ac:dyDescent="0.35">
      <c r="A825" s="38" t="s">
        <v>4189</v>
      </c>
      <c r="B825" s="14">
        <v>1</v>
      </c>
    </row>
    <row r="826" spans="1:2" x14ac:dyDescent="0.35">
      <c r="A826" s="13" t="s">
        <v>2812</v>
      </c>
      <c r="B826" s="14">
        <v>1</v>
      </c>
    </row>
    <row r="827" spans="1:2" x14ac:dyDescent="0.35">
      <c r="A827" s="37" t="s">
        <v>2811</v>
      </c>
      <c r="B827" s="14">
        <v>1</v>
      </c>
    </row>
    <row r="828" spans="1:2" x14ac:dyDescent="0.35">
      <c r="A828" s="38" t="s">
        <v>4189</v>
      </c>
      <c r="B828" s="14">
        <v>1</v>
      </c>
    </row>
    <row r="829" spans="1:2" x14ac:dyDescent="0.35">
      <c r="A829" s="13" t="s">
        <v>2999</v>
      </c>
      <c r="B829" s="14">
        <v>1</v>
      </c>
    </row>
    <row r="830" spans="1:2" x14ac:dyDescent="0.35">
      <c r="A830" s="37" t="s">
        <v>2991</v>
      </c>
      <c r="B830" s="14">
        <v>1</v>
      </c>
    </row>
    <row r="831" spans="1:2" x14ac:dyDescent="0.35">
      <c r="A831" s="38" t="s">
        <v>4189</v>
      </c>
      <c r="B831" s="14">
        <v>1</v>
      </c>
    </row>
    <row r="832" spans="1:2" x14ac:dyDescent="0.35">
      <c r="A832" s="13" t="s">
        <v>2813</v>
      </c>
      <c r="B832" s="14">
        <v>1</v>
      </c>
    </row>
    <row r="833" spans="1:2" x14ac:dyDescent="0.35">
      <c r="A833" s="37" t="s">
        <v>2811</v>
      </c>
      <c r="B833" s="14">
        <v>1</v>
      </c>
    </row>
    <row r="834" spans="1:2" x14ac:dyDescent="0.35">
      <c r="A834" s="38" t="s">
        <v>4189</v>
      </c>
      <c r="B834" s="14">
        <v>1</v>
      </c>
    </row>
    <row r="835" spans="1:2" x14ac:dyDescent="0.35">
      <c r="A835" s="13" t="s">
        <v>3001</v>
      </c>
      <c r="B835" s="14">
        <v>1</v>
      </c>
    </row>
    <row r="836" spans="1:2" x14ac:dyDescent="0.35">
      <c r="A836" s="37" t="s">
        <v>2991</v>
      </c>
      <c r="B836" s="14">
        <v>1</v>
      </c>
    </row>
    <row r="837" spans="1:2" x14ac:dyDescent="0.35">
      <c r="A837" s="38" t="s">
        <v>4189</v>
      </c>
      <c r="B837" s="14">
        <v>1</v>
      </c>
    </row>
    <row r="838" spans="1:2" x14ac:dyDescent="0.35">
      <c r="A838" s="13" t="s">
        <v>2816</v>
      </c>
      <c r="B838" s="14">
        <v>1</v>
      </c>
    </row>
    <row r="839" spans="1:2" x14ac:dyDescent="0.35">
      <c r="A839" s="37" t="s">
        <v>2815</v>
      </c>
      <c r="B839" s="14">
        <v>1</v>
      </c>
    </row>
    <row r="840" spans="1:2" x14ac:dyDescent="0.35">
      <c r="A840" s="38" t="s">
        <v>4189</v>
      </c>
      <c r="B840" s="14">
        <v>1</v>
      </c>
    </row>
    <row r="841" spans="1:2" x14ac:dyDescent="0.35">
      <c r="A841" s="13" t="s">
        <v>3005</v>
      </c>
      <c r="B841" s="14">
        <v>1</v>
      </c>
    </row>
    <row r="842" spans="1:2" x14ac:dyDescent="0.35">
      <c r="A842" s="37" t="s">
        <v>2991</v>
      </c>
      <c r="B842" s="14">
        <v>1</v>
      </c>
    </row>
    <row r="843" spans="1:2" x14ac:dyDescent="0.35">
      <c r="A843" s="38" t="s">
        <v>4187</v>
      </c>
      <c r="B843" s="14">
        <v>1</v>
      </c>
    </row>
    <row r="844" spans="1:2" x14ac:dyDescent="0.35">
      <c r="A844" s="13" t="s">
        <v>2819</v>
      </c>
      <c r="B844" s="14">
        <v>1</v>
      </c>
    </row>
    <row r="845" spans="1:2" x14ac:dyDescent="0.35">
      <c r="A845" s="37" t="s">
        <v>2818</v>
      </c>
      <c r="B845" s="14">
        <v>1</v>
      </c>
    </row>
    <row r="846" spans="1:2" x14ac:dyDescent="0.35">
      <c r="A846" s="38" t="s">
        <v>4185</v>
      </c>
      <c r="B846" s="14">
        <v>1</v>
      </c>
    </row>
    <row r="847" spans="1:2" x14ac:dyDescent="0.35">
      <c r="A847" s="13" t="s">
        <v>3007</v>
      </c>
      <c r="B847" s="14">
        <v>1</v>
      </c>
    </row>
    <row r="848" spans="1:2" x14ac:dyDescent="0.35">
      <c r="A848" s="37" t="s">
        <v>2991</v>
      </c>
      <c r="B848" s="14">
        <v>1</v>
      </c>
    </row>
    <row r="849" spans="1:2" x14ac:dyDescent="0.35">
      <c r="A849" s="38" t="s">
        <v>4188</v>
      </c>
      <c r="B849" s="14">
        <v>1</v>
      </c>
    </row>
    <row r="850" spans="1:2" x14ac:dyDescent="0.35">
      <c r="A850" s="13" t="s">
        <v>2821</v>
      </c>
      <c r="B850" s="14">
        <v>1</v>
      </c>
    </row>
    <row r="851" spans="1:2" x14ac:dyDescent="0.35">
      <c r="A851" s="37" t="s">
        <v>2818</v>
      </c>
      <c r="B851" s="14">
        <v>1</v>
      </c>
    </row>
    <row r="852" spans="1:2" x14ac:dyDescent="0.35">
      <c r="A852" s="38" t="s">
        <v>4186</v>
      </c>
      <c r="B852" s="14">
        <v>1</v>
      </c>
    </row>
    <row r="853" spans="1:2" x14ac:dyDescent="0.35">
      <c r="A853" s="13" t="s">
        <v>3014</v>
      </c>
      <c r="B853" s="14">
        <v>1</v>
      </c>
    </row>
    <row r="854" spans="1:2" x14ac:dyDescent="0.35">
      <c r="A854" s="37" t="s">
        <v>3013</v>
      </c>
      <c r="B854" s="14">
        <v>1</v>
      </c>
    </row>
    <row r="855" spans="1:2" x14ac:dyDescent="0.35">
      <c r="A855" s="38" t="s">
        <v>4189</v>
      </c>
      <c r="B855" s="14">
        <v>1</v>
      </c>
    </row>
    <row r="856" spans="1:2" x14ac:dyDescent="0.35">
      <c r="A856" s="13" t="s">
        <v>2824</v>
      </c>
      <c r="B856" s="14">
        <v>1</v>
      </c>
    </row>
    <row r="857" spans="1:2" x14ac:dyDescent="0.35">
      <c r="A857" s="37" t="s">
        <v>2823</v>
      </c>
      <c r="B857" s="14">
        <v>1</v>
      </c>
    </row>
    <row r="858" spans="1:2" x14ac:dyDescent="0.35">
      <c r="A858" s="38" t="s">
        <v>4187</v>
      </c>
      <c r="B858" s="14">
        <v>1</v>
      </c>
    </row>
    <row r="859" spans="1:2" x14ac:dyDescent="0.35">
      <c r="A859" s="13" t="s">
        <v>2590</v>
      </c>
      <c r="B859" s="14">
        <v>1</v>
      </c>
    </row>
    <row r="860" spans="1:2" x14ac:dyDescent="0.35">
      <c r="A860" s="37" t="s">
        <v>2586</v>
      </c>
      <c r="B860" s="14">
        <v>1</v>
      </c>
    </row>
    <row r="861" spans="1:2" x14ac:dyDescent="0.35">
      <c r="A861" s="38" t="s">
        <v>4188</v>
      </c>
      <c r="B861" s="14">
        <v>1</v>
      </c>
    </row>
    <row r="862" spans="1:2" x14ac:dyDescent="0.35">
      <c r="A862" s="13" t="s">
        <v>2826</v>
      </c>
      <c r="B862" s="14">
        <v>1</v>
      </c>
    </row>
    <row r="863" spans="1:2" x14ac:dyDescent="0.35">
      <c r="A863" s="37" t="s">
        <v>2823</v>
      </c>
      <c r="B863" s="14">
        <v>1</v>
      </c>
    </row>
    <row r="864" spans="1:2" x14ac:dyDescent="0.35">
      <c r="A864" s="38" t="s">
        <v>4187</v>
      </c>
      <c r="B864" s="14">
        <v>1</v>
      </c>
    </row>
    <row r="865" spans="1:2" x14ac:dyDescent="0.35">
      <c r="A865" s="13" t="s">
        <v>3028</v>
      </c>
      <c r="B865" s="14">
        <v>1</v>
      </c>
    </row>
    <row r="866" spans="1:2" x14ac:dyDescent="0.35">
      <c r="A866" s="37" t="s">
        <v>3027</v>
      </c>
      <c r="B866" s="14">
        <v>1</v>
      </c>
    </row>
    <row r="867" spans="1:2" x14ac:dyDescent="0.35">
      <c r="A867" s="38" t="s">
        <v>4185</v>
      </c>
      <c r="B867" s="14">
        <v>1</v>
      </c>
    </row>
    <row r="868" spans="1:2" x14ac:dyDescent="0.35">
      <c r="A868" s="13" t="s">
        <v>2829</v>
      </c>
      <c r="B868" s="14">
        <v>1</v>
      </c>
    </row>
    <row r="869" spans="1:2" x14ac:dyDescent="0.35">
      <c r="A869" s="37" t="s">
        <v>2828</v>
      </c>
      <c r="B869" s="14">
        <v>1</v>
      </c>
    </row>
    <row r="870" spans="1:2" x14ac:dyDescent="0.35">
      <c r="A870" s="38" t="s">
        <v>4187</v>
      </c>
      <c r="B870" s="14">
        <v>1</v>
      </c>
    </row>
    <row r="871" spans="1:2" x14ac:dyDescent="0.35">
      <c r="A871" s="13" t="s">
        <v>3035</v>
      </c>
      <c r="B871" s="14">
        <v>1</v>
      </c>
    </row>
    <row r="872" spans="1:2" x14ac:dyDescent="0.35">
      <c r="A872" s="37" t="s">
        <v>3034</v>
      </c>
      <c r="B872" s="14">
        <v>1</v>
      </c>
    </row>
    <row r="873" spans="1:2" x14ac:dyDescent="0.35">
      <c r="A873" s="38" t="s">
        <v>4185</v>
      </c>
      <c r="B873" s="14">
        <v>1</v>
      </c>
    </row>
    <row r="874" spans="1:2" x14ac:dyDescent="0.35">
      <c r="A874" s="13" t="s">
        <v>2831</v>
      </c>
      <c r="B874" s="14">
        <v>1</v>
      </c>
    </row>
    <row r="875" spans="1:2" x14ac:dyDescent="0.35">
      <c r="A875" s="37" t="s">
        <v>2828</v>
      </c>
      <c r="B875" s="14">
        <v>1</v>
      </c>
    </row>
    <row r="876" spans="1:2" x14ac:dyDescent="0.35">
      <c r="A876" s="38" t="s">
        <v>4187</v>
      </c>
      <c r="B876" s="14">
        <v>1</v>
      </c>
    </row>
    <row r="877" spans="1:2" x14ac:dyDescent="0.35">
      <c r="A877" s="13" t="s">
        <v>3040</v>
      </c>
      <c r="B877" s="14">
        <v>1</v>
      </c>
    </row>
    <row r="878" spans="1:2" x14ac:dyDescent="0.35">
      <c r="A878" s="37" t="s">
        <v>3034</v>
      </c>
      <c r="B878" s="14">
        <v>1</v>
      </c>
    </row>
    <row r="879" spans="1:2" x14ac:dyDescent="0.35">
      <c r="A879" s="38" t="s">
        <v>4186</v>
      </c>
      <c r="B879" s="14">
        <v>1</v>
      </c>
    </row>
    <row r="880" spans="1:2" x14ac:dyDescent="0.35">
      <c r="A880" s="13" t="s">
        <v>2833</v>
      </c>
      <c r="B880" s="14">
        <v>1</v>
      </c>
    </row>
    <row r="881" spans="1:2" x14ac:dyDescent="0.35">
      <c r="A881" s="37" t="s">
        <v>2828</v>
      </c>
      <c r="B881" s="14">
        <v>1</v>
      </c>
    </row>
    <row r="882" spans="1:2" x14ac:dyDescent="0.35">
      <c r="A882" s="38" t="s">
        <v>4187</v>
      </c>
      <c r="B882" s="14">
        <v>1</v>
      </c>
    </row>
    <row r="883" spans="1:2" x14ac:dyDescent="0.35">
      <c r="A883" s="13" t="s">
        <v>3045</v>
      </c>
      <c r="B883" s="14">
        <v>1</v>
      </c>
    </row>
    <row r="884" spans="1:2" x14ac:dyDescent="0.35">
      <c r="A884" s="37" t="s">
        <v>3042</v>
      </c>
      <c r="B884" s="14">
        <v>1</v>
      </c>
    </row>
    <row r="885" spans="1:2" x14ac:dyDescent="0.35">
      <c r="A885" s="38" t="s">
        <v>4186</v>
      </c>
      <c r="B885" s="14">
        <v>1</v>
      </c>
    </row>
    <row r="886" spans="1:2" x14ac:dyDescent="0.35">
      <c r="A886" s="13" t="s">
        <v>2545</v>
      </c>
      <c r="B886" s="14">
        <v>1</v>
      </c>
    </row>
    <row r="887" spans="1:2" x14ac:dyDescent="0.35">
      <c r="A887" s="37" t="s">
        <v>2543</v>
      </c>
      <c r="B887" s="14">
        <v>1</v>
      </c>
    </row>
    <row r="888" spans="1:2" x14ac:dyDescent="0.35">
      <c r="A888" s="38" t="s">
        <v>4187</v>
      </c>
      <c r="B888" s="14">
        <v>1</v>
      </c>
    </row>
    <row r="889" spans="1:2" x14ac:dyDescent="0.35">
      <c r="A889" s="13" t="s">
        <v>2596</v>
      </c>
      <c r="B889" s="14">
        <v>1</v>
      </c>
    </row>
    <row r="890" spans="1:2" x14ac:dyDescent="0.35">
      <c r="A890" s="37" t="s">
        <v>2595</v>
      </c>
      <c r="B890" s="14">
        <v>1</v>
      </c>
    </row>
    <row r="891" spans="1:2" x14ac:dyDescent="0.35">
      <c r="A891" s="38" t="s">
        <v>4188</v>
      </c>
      <c r="B891" s="14">
        <v>1</v>
      </c>
    </row>
    <row r="892" spans="1:2" x14ac:dyDescent="0.35">
      <c r="A892" s="13" t="s">
        <v>2574</v>
      </c>
      <c r="B892" s="14">
        <v>1</v>
      </c>
    </row>
    <row r="893" spans="1:2" x14ac:dyDescent="0.35">
      <c r="A893" s="37" t="s">
        <v>2571</v>
      </c>
      <c r="B893" s="14">
        <v>1</v>
      </c>
    </row>
    <row r="894" spans="1:2" x14ac:dyDescent="0.35">
      <c r="A894" s="38" t="s">
        <v>4188</v>
      </c>
      <c r="B894" s="14">
        <v>1</v>
      </c>
    </row>
    <row r="895" spans="1:2" x14ac:dyDescent="0.35">
      <c r="A895" s="13" t="s">
        <v>3057</v>
      </c>
      <c r="B895" s="14">
        <v>1</v>
      </c>
    </row>
    <row r="896" spans="1:2" x14ac:dyDescent="0.35">
      <c r="A896" s="37" t="s">
        <v>3056</v>
      </c>
      <c r="B896" s="14">
        <v>1</v>
      </c>
    </row>
    <row r="897" spans="1:2" x14ac:dyDescent="0.35">
      <c r="A897" s="38" t="s">
        <v>4186</v>
      </c>
      <c r="B897" s="14">
        <v>1</v>
      </c>
    </row>
    <row r="898" spans="1:2" x14ac:dyDescent="0.35">
      <c r="A898" s="13" t="s">
        <v>3120</v>
      </c>
      <c r="B898" s="14">
        <v>1</v>
      </c>
    </row>
    <row r="899" spans="1:2" x14ac:dyDescent="0.35">
      <c r="A899" s="37" t="s">
        <v>3117</v>
      </c>
      <c r="B899" s="14">
        <v>1</v>
      </c>
    </row>
    <row r="900" spans="1:2" x14ac:dyDescent="0.35">
      <c r="A900" s="38" t="s">
        <v>4189</v>
      </c>
      <c r="B900" s="14">
        <v>1</v>
      </c>
    </row>
    <row r="901" spans="1:2" x14ac:dyDescent="0.35">
      <c r="A901" s="13" t="s">
        <v>3063</v>
      </c>
      <c r="B901" s="14">
        <v>1</v>
      </c>
    </row>
    <row r="902" spans="1:2" x14ac:dyDescent="0.35">
      <c r="A902" s="37" t="s">
        <v>3062</v>
      </c>
      <c r="B902" s="14">
        <v>1</v>
      </c>
    </row>
    <row r="903" spans="1:2" x14ac:dyDescent="0.35">
      <c r="A903" s="38" t="s">
        <v>4186</v>
      </c>
      <c r="B903" s="14">
        <v>1</v>
      </c>
    </row>
    <row r="904" spans="1:2" x14ac:dyDescent="0.35">
      <c r="A904" s="13" t="s">
        <v>3125</v>
      </c>
      <c r="B904" s="14">
        <v>1</v>
      </c>
    </row>
    <row r="905" spans="1:2" x14ac:dyDescent="0.35">
      <c r="A905" s="37" t="s">
        <v>3122</v>
      </c>
      <c r="B905" s="14">
        <v>1</v>
      </c>
    </row>
    <row r="906" spans="1:2" x14ac:dyDescent="0.35">
      <c r="A906" s="38" t="s">
        <v>4188</v>
      </c>
      <c r="B906" s="14">
        <v>1</v>
      </c>
    </row>
    <row r="907" spans="1:2" x14ac:dyDescent="0.35">
      <c r="A907" s="13" t="s">
        <v>3066</v>
      </c>
      <c r="B907" s="14">
        <v>1</v>
      </c>
    </row>
    <row r="908" spans="1:2" x14ac:dyDescent="0.35">
      <c r="A908" s="37" t="s">
        <v>3062</v>
      </c>
      <c r="B908" s="14">
        <v>1</v>
      </c>
    </row>
    <row r="909" spans="1:2" x14ac:dyDescent="0.35">
      <c r="A909" s="38" t="s">
        <v>4186</v>
      </c>
      <c r="B909" s="14">
        <v>1</v>
      </c>
    </row>
    <row r="910" spans="1:2" x14ac:dyDescent="0.35">
      <c r="A910" s="13" t="s">
        <v>2539</v>
      </c>
      <c r="B910" s="14">
        <v>1</v>
      </c>
    </row>
    <row r="911" spans="1:2" x14ac:dyDescent="0.35">
      <c r="A911" s="37" t="s">
        <v>2538</v>
      </c>
      <c r="B911" s="14">
        <v>1</v>
      </c>
    </row>
    <row r="912" spans="1:2" x14ac:dyDescent="0.35">
      <c r="A912" s="38" t="s">
        <v>4187</v>
      </c>
      <c r="B912" s="14">
        <v>1</v>
      </c>
    </row>
    <row r="913" spans="1:2" x14ac:dyDescent="0.35">
      <c r="A913" s="13" t="s">
        <v>3068</v>
      </c>
      <c r="B913" s="14">
        <v>1</v>
      </c>
    </row>
    <row r="914" spans="1:2" x14ac:dyDescent="0.35">
      <c r="A914" s="37" t="s">
        <v>3062</v>
      </c>
      <c r="B914" s="14">
        <v>1</v>
      </c>
    </row>
    <row r="915" spans="1:2" x14ac:dyDescent="0.35">
      <c r="A915" s="38" t="s">
        <v>4186</v>
      </c>
      <c r="B915" s="14">
        <v>1</v>
      </c>
    </row>
    <row r="916" spans="1:2" x14ac:dyDescent="0.35">
      <c r="A916" s="13" t="s">
        <v>2850</v>
      </c>
      <c r="B916" s="14">
        <v>1</v>
      </c>
    </row>
    <row r="917" spans="1:2" x14ac:dyDescent="0.35">
      <c r="A917" s="37" t="s">
        <v>2842</v>
      </c>
      <c r="B917" s="14">
        <v>1</v>
      </c>
    </row>
    <row r="918" spans="1:2" x14ac:dyDescent="0.35">
      <c r="A918" s="38" t="s">
        <v>4186</v>
      </c>
      <c r="B918" s="14">
        <v>1</v>
      </c>
    </row>
    <row r="919" spans="1:2" x14ac:dyDescent="0.35">
      <c r="A919" s="13" t="s">
        <v>3073</v>
      </c>
      <c r="B919" s="14">
        <v>1</v>
      </c>
    </row>
    <row r="920" spans="1:2" x14ac:dyDescent="0.35">
      <c r="A920" s="37" t="s">
        <v>3072</v>
      </c>
      <c r="B920" s="14">
        <v>1</v>
      </c>
    </row>
    <row r="921" spans="1:2" x14ac:dyDescent="0.35">
      <c r="A921" s="38" t="s">
        <v>4186</v>
      </c>
      <c r="B921" s="14">
        <v>1</v>
      </c>
    </row>
    <row r="922" spans="1:2" x14ac:dyDescent="0.35">
      <c r="A922" s="13" t="s">
        <v>2851</v>
      </c>
      <c r="B922" s="14">
        <v>1</v>
      </c>
    </row>
    <row r="923" spans="1:2" x14ac:dyDescent="0.35">
      <c r="A923" s="37" t="s">
        <v>2842</v>
      </c>
      <c r="B923" s="14">
        <v>1</v>
      </c>
    </row>
    <row r="924" spans="1:2" x14ac:dyDescent="0.35">
      <c r="A924" s="38" t="s">
        <v>4187</v>
      </c>
      <c r="B924" s="14">
        <v>1</v>
      </c>
    </row>
    <row r="925" spans="1:2" x14ac:dyDescent="0.35">
      <c r="A925" s="13" t="s">
        <v>3077</v>
      </c>
      <c r="B925" s="14">
        <v>1</v>
      </c>
    </row>
    <row r="926" spans="1:2" x14ac:dyDescent="0.35">
      <c r="A926" s="37" t="s">
        <v>3072</v>
      </c>
      <c r="B926" s="14">
        <v>1</v>
      </c>
    </row>
    <row r="927" spans="1:2" x14ac:dyDescent="0.35">
      <c r="A927" s="38" t="s">
        <v>4186</v>
      </c>
      <c r="B927" s="14">
        <v>1</v>
      </c>
    </row>
    <row r="928" spans="1:2" x14ac:dyDescent="0.35">
      <c r="A928" s="13" t="s">
        <v>2853</v>
      </c>
      <c r="B928" s="14">
        <v>1</v>
      </c>
    </row>
    <row r="929" spans="1:2" x14ac:dyDescent="0.35">
      <c r="A929" s="37" t="s">
        <v>2842</v>
      </c>
      <c r="B929" s="14">
        <v>1</v>
      </c>
    </row>
    <row r="930" spans="1:2" x14ac:dyDescent="0.35">
      <c r="A930" s="38" t="s">
        <v>4187</v>
      </c>
      <c r="B930" s="14">
        <v>1</v>
      </c>
    </row>
    <row r="931" spans="1:2" x14ac:dyDescent="0.35">
      <c r="A931" s="13" t="s">
        <v>3082</v>
      </c>
      <c r="B931" s="14">
        <v>1</v>
      </c>
    </row>
    <row r="932" spans="1:2" x14ac:dyDescent="0.35">
      <c r="A932" s="37" t="s">
        <v>3081</v>
      </c>
      <c r="B932" s="14">
        <v>1</v>
      </c>
    </row>
    <row r="933" spans="1:2" x14ac:dyDescent="0.35">
      <c r="A933" s="38" t="s">
        <v>4186</v>
      </c>
      <c r="B933" s="14">
        <v>1</v>
      </c>
    </row>
    <row r="934" spans="1:2" x14ac:dyDescent="0.35">
      <c r="A934" s="13" t="s">
        <v>2854</v>
      </c>
      <c r="B934" s="14">
        <v>1</v>
      </c>
    </row>
    <row r="935" spans="1:2" x14ac:dyDescent="0.35">
      <c r="A935" s="37" t="s">
        <v>2842</v>
      </c>
      <c r="B935" s="14">
        <v>1</v>
      </c>
    </row>
    <row r="936" spans="1:2" x14ac:dyDescent="0.35">
      <c r="A936" s="38" t="s">
        <v>4187</v>
      </c>
      <c r="B936" s="14">
        <v>1</v>
      </c>
    </row>
    <row r="937" spans="1:2" x14ac:dyDescent="0.35">
      <c r="A937" s="13" t="s">
        <v>3087</v>
      </c>
      <c r="B937" s="14">
        <v>1</v>
      </c>
    </row>
    <row r="938" spans="1:2" x14ac:dyDescent="0.35">
      <c r="A938" s="37" t="s">
        <v>3086</v>
      </c>
      <c r="B938" s="14">
        <v>1</v>
      </c>
    </row>
    <row r="939" spans="1:2" x14ac:dyDescent="0.35">
      <c r="A939" s="38" t="s">
        <v>4186</v>
      </c>
      <c r="B939" s="14">
        <v>1</v>
      </c>
    </row>
    <row r="940" spans="1:2" x14ac:dyDescent="0.35">
      <c r="A940" s="13" t="s">
        <v>2855</v>
      </c>
      <c r="B940" s="14">
        <v>1</v>
      </c>
    </row>
    <row r="941" spans="1:2" x14ac:dyDescent="0.35">
      <c r="A941" s="37" t="s">
        <v>2842</v>
      </c>
      <c r="B941" s="14">
        <v>1</v>
      </c>
    </row>
    <row r="942" spans="1:2" x14ac:dyDescent="0.35">
      <c r="A942" s="38" t="s">
        <v>4187</v>
      </c>
      <c r="B942" s="14">
        <v>1</v>
      </c>
    </row>
    <row r="943" spans="1:2" x14ac:dyDescent="0.35">
      <c r="A943" s="13" t="s">
        <v>3093</v>
      </c>
      <c r="B943" s="14">
        <v>1</v>
      </c>
    </row>
    <row r="944" spans="1:2" x14ac:dyDescent="0.35">
      <c r="A944" s="37" t="s">
        <v>3092</v>
      </c>
      <c r="B944" s="14">
        <v>1</v>
      </c>
    </row>
    <row r="945" spans="1:2" x14ac:dyDescent="0.35">
      <c r="A945" s="38" t="s">
        <v>4186</v>
      </c>
      <c r="B945" s="14">
        <v>1</v>
      </c>
    </row>
    <row r="946" spans="1:2" x14ac:dyDescent="0.35">
      <c r="A946" s="13" t="s">
        <v>2856</v>
      </c>
      <c r="B946" s="14">
        <v>1</v>
      </c>
    </row>
    <row r="947" spans="1:2" x14ac:dyDescent="0.35">
      <c r="A947" s="37" t="s">
        <v>2842</v>
      </c>
      <c r="B947" s="14">
        <v>1</v>
      </c>
    </row>
    <row r="948" spans="1:2" x14ac:dyDescent="0.35">
      <c r="A948" s="38" t="s">
        <v>4187</v>
      </c>
      <c r="B948" s="14">
        <v>1</v>
      </c>
    </row>
    <row r="949" spans="1:2" x14ac:dyDescent="0.35">
      <c r="A949" s="13" t="s">
        <v>2598</v>
      </c>
      <c r="B949" s="14">
        <v>1</v>
      </c>
    </row>
    <row r="950" spans="1:2" x14ac:dyDescent="0.35">
      <c r="A950" s="37" t="s">
        <v>2597</v>
      </c>
      <c r="B950" s="14">
        <v>1</v>
      </c>
    </row>
    <row r="951" spans="1:2" x14ac:dyDescent="0.35">
      <c r="A951" s="38" t="s">
        <v>4188</v>
      </c>
      <c r="B951" s="14">
        <v>1</v>
      </c>
    </row>
    <row r="952" spans="1:2" x14ac:dyDescent="0.35">
      <c r="A952" s="13" t="s">
        <v>2858</v>
      </c>
      <c r="B952" s="14">
        <v>1</v>
      </c>
    </row>
    <row r="953" spans="1:2" x14ac:dyDescent="0.35">
      <c r="A953" s="37" t="s">
        <v>2857</v>
      </c>
      <c r="B953" s="14">
        <v>1</v>
      </c>
    </row>
    <row r="954" spans="1:2" x14ac:dyDescent="0.35">
      <c r="A954" s="38" t="s">
        <v>4187</v>
      </c>
      <c r="B954" s="14">
        <v>1</v>
      </c>
    </row>
    <row r="955" spans="1:2" x14ac:dyDescent="0.35">
      <c r="A955" s="13" t="s">
        <v>3100</v>
      </c>
      <c r="B955" s="14">
        <v>1</v>
      </c>
    </row>
    <row r="956" spans="1:2" x14ac:dyDescent="0.35">
      <c r="A956" s="37" t="s">
        <v>3092</v>
      </c>
      <c r="B956" s="14">
        <v>1</v>
      </c>
    </row>
    <row r="957" spans="1:2" x14ac:dyDescent="0.35">
      <c r="A957" s="38" t="s">
        <v>4188</v>
      </c>
      <c r="B957" s="14">
        <v>1</v>
      </c>
    </row>
    <row r="958" spans="1:2" x14ac:dyDescent="0.35">
      <c r="A958" s="13" t="s">
        <v>2859</v>
      </c>
      <c r="B958" s="14">
        <v>1</v>
      </c>
    </row>
    <row r="959" spans="1:2" x14ac:dyDescent="0.35">
      <c r="A959" s="37" t="s">
        <v>2857</v>
      </c>
      <c r="B959" s="14">
        <v>1</v>
      </c>
    </row>
    <row r="960" spans="1:2" x14ac:dyDescent="0.35">
      <c r="A960" s="38" t="s">
        <v>4187</v>
      </c>
      <c r="B960" s="14">
        <v>1</v>
      </c>
    </row>
    <row r="961" spans="1:2" x14ac:dyDescent="0.35">
      <c r="A961" s="13" t="s">
        <v>3105</v>
      </c>
      <c r="B961" s="14">
        <v>1</v>
      </c>
    </row>
    <row r="962" spans="1:2" x14ac:dyDescent="0.35">
      <c r="A962" s="37" t="s">
        <v>3102</v>
      </c>
      <c r="B962" s="14">
        <v>1</v>
      </c>
    </row>
    <row r="963" spans="1:2" x14ac:dyDescent="0.35">
      <c r="A963" s="38" t="s">
        <v>4188</v>
      </c>
      <c r="B963" s="14">
        <v>1</v>
      </c>
    </row>
    <row r="964" spans="1:2" x14ac:dyDescent="0.35">
      <c r="A964" s="13" t="s">
        <v>2860</v>
      </c>
      <c r="B964" s="14">
        <v>1</v>
      </c>
    </row>
    <row r="965" spans="1:2" x14ac:dyDescent="0.35">
      <c r="A965" s="37" t="s">
        <v>2857</v>
      </c>
      <c r="B965" s="14">
        <v>1</v>
      </c>
    </row>
    <row r="966" spans="1:2" x14ac:dyDescent="0.35">
      <c r="A966" s="38" t="s">
        <v>4187</v>
      </c>
      <c r="B966" s="14">
        <v>1</v>
      </c>
    </row>
    <row r="967" spans="1:2" x14ac:dyDescent="0.35">
      <c r="A967" s="13" t="s">
        <v>2603</v>
      </c>
      <c r="B967" s="14">
        <v>1</v>
      </c>
    </row>
    <row r="968" spans="1:2" x14ac:dyDescent="0.35">
      <c r="A968" s="37" t="s">
        <v>2600</v>
      </c>
      <c r="B968" s="14">
        <v>1</v>
      </c>
    </row>
    <row r="969" spans="1:2" x14ac:dyDescent="0.35">
      <c r="A969" s="38" t="s">
        <v>4188</v>
      </c>
      <c r="B969" s="14">
        <v>1</v>
      </c>
    </row>
    <row r="970" spans="1:2" x14ac:dyDescent="0.35">
      <c r="A970" s="13" t="s">
        <v>2862</v>
      </c>
      <c r="B970" s="14">
        <v>1</v>
      </c>
    </row>
    <row r="971" spans="1:2" x14ac:dyDescent="0.35">
      <c r="A971" s="37" t="s">
        <v>2861</v>
      </c>
      <c r="B971" s="14">
        <v>1</v>
      </c>
    </row>
    <row r="972" spans="1:2" x14ac:dyDescent="0.35">
      <c r="A972" s="38" t="s">
        <v>4187</v>
      </c>
      <c r="B972" s="14">
        <v>1</v>
      </c>
    </row>
    <row r="973" spans="1:2" x14ac:dyDescent="0.35">
      <c r="A973" s="13" t="s">
        <v>2605</v>
      </c>
      <c r="B973" s="14">
        <v>1</v>
      </c>
    </row>
    <row r="974" spans="1:2" x14ac:dyDescent="0.35">
      <c r="A974" s="37" t="s">
        <v>2600</v>
      </c>
      <c r="B974" s="14">
        <v>1</v>
      </c>
    </row>
    <row r="975" spans="1:2" x14ac:dyDescent="0.35">
      <c r="A975" s="38" t="s">
        <v>4188</v>
      </c>
      <c r="B975" s="14">
        <v>1</v>
      </c>
    </row>
    <row r="976" spans="1:2" x14ac:dyDescent="0.35">
      <c r="A976" s="13" t="s">
        <v>2864</v>
      </c>
      <c r="B976" s="14">
        <v>1</v>
      </c>
    </row>
    <row r="977" spans="1:2" x14ac:dyDescent="0.35">
      <c r="A977" s="37" t="s">
        <v>2863</v>
      </c>
      <c r="B977" s="14">
        <v>1</v>
      </c>
    </row>
    <row r="978" spans="1:2" x14ac:dyDescent="0.35">
      <c r="A978" s="38" t="s">
        <v>4187</v>
      </c>
      <c r="B978" s="14">
        <v>1</v>
      </c>
    </row>
    <row r="979" spans="1:2" x14ac:dyDescent="0.35">
      <c r="A979" s="13" t="s">
        <v>3123</v>
      </c>
      <c r="B979" s="14">
        <v>1</v>
      </c>
    </row>
    <row r="980" spans="1:2" x14ac:dyDescent="0.35">
      <c r="A980" s="37" t="s">
        <v>3122</v>
      </c>
      <c r="B980" s="14">
        <v>1</v>
      </c>
    </row>
    <row r="981" spans="1:2" x14ac:dyDescent="0.35">
      <c r="A981" s="38" t="s">
        <v>4188</v>
      </c>
      <c r="B981" s="14">
        <v>1</v>
      </c>
    </row>
    <row r="982" spans="1:2" x14ac:dyDescent="0.35">
      <c r="A982" s="13" t="s">
        <v>2843</v>
      </c>
      <c r="B982" s="14">
        <v>1</v>
      </c>
    </row>
    <row r="983" spans="1:2" x14ac:dyDescent="0.35">
      <c r="A983" s="37" t="s">
        <v>2842</v>
      </c>
      <c r="B983" s="14">
        <v>1</v>
      </c>
    </row>
    <row r="984" spans="1:2" x14ac:dyDescent="0.35">
      <c r="A984" s="38" t="s">
        <v>4187</v>
      </c>
      <c r="B984" s="14">
        <v>1</v>
      </c>
    </row>
    <row r="985" spans="1:2" x14ac:dyDescent="0.35">
      <c r="A985" s="13" t="s">
        <v>3126</v>
      </c>
      <c r="B985" s="14">
        <v>1</v>
      </c>
    </row>
    <row r="986" spans="1:2" x14ac:dyDescent="0.35">
      <c r="A986" s="37" t="s">
        <v>3122</v>
      </c>
      <c r="B986" s="14">
        <v>1</v>
      </c>
    </row>
    <row r="987" spans="1:2" x14ac:dyDescent="0.35">
      <c r="A987" s="38" t="s">
        <v>4188</v>
      </c>
      <c r="B987" s="14">
        <v>1</v>
      </c>
    </row>
    <row r="988" spans="1:2" x14ac:dyDescent="0.35">
      <c r="A988" s="13" t="s">
        <v>2847</v>
      </c>
      <c r="B988" s="14">
        <v>1</v>
      </c>
    </row>
    <row r="989" spans="1:2" x14ac:dyDescent="0.35">
      <c r="A989" s="37" t="s">
        <v>2842</v>
      </c>
      <c r="B989" s="14">
        <v>1</v>
      </c>
    </row>
    <row r="990" spans="1:2" x14ac:dyDescent="0.35">
      <c r="A990" s="38" t="s">
        <v>4186</v>
      </c>
      <c r="B990" s="14">
        <v>1</v>
      </c>
    </row>
    <row r="991" spans="1:2" x14ac:dyDescent="0.35">
      <c r="A991" s="13" t="s">
        <v>2849</v>
      </c>
      <c r="B991" s="14">
        <v>1</v>
      </c>
    </row>
    <row r="992" spans="1:2" x14ac:dyDescent="0.35">
      <c r="A992" s="37" t="s">
        <v>2842</v>
      </c>
      <c r="B992" s="14">
        <v>1</v>
      </c>
    </row>
    <row r="993" spans="1:2" x14ac:dyDescent="0.35">
      <c r="A993" s="38" t="s">
        <v>4186</v>
      </c>
      <c r="B993" s="14">
        <v>1</v>
      </c>
    </row>
    <row r="994" spans="1:2" x14ac:dyDescent="0.35">
      <c r="A994" s="13" t="s">
        <v>2257</v>
      </c>
      <c r="B994" s="14">
        <v>1</v>
      </c>
    </row>
    <row r="995" spans="1:2" x14ac:dyDescent="0.35">
      <c r="A995" s="37" t="s">
        <v>2252</v>
      </c>
      <c r="B995" s="14">
        <v>1</v>
      </c>
    </row>
    <row r="996" spans="1:2" x14ac:dyDescent="0.35">
      <c r="A996" s="38" t="s">
        <v>4186</v>
      </c>
      <c r="B996" s="14">
        <v>1</v>
      </c>
    </row>
    <row r="997" spans="1:2" x14ac:dyDescent="0.35">
      <c r="A997" s="13" t="s">
        <v>2404</v>
      </c>
      <c r="B997" s="14">
        <v>1</v>
      </c>
    </row>
    <row r="998" spans="1:2" x14ac:dyDescent="0.35">
      <c r="A998" s="37" t="s">
        <v>2403</v>
      </c>
      <c r="B998" s="14">
        <v>1</v>
      </c>
    </row>
    <row r="999" spans="1:2" x14ac:dyDescent="0.35">
      <c r="A999" s="38" t="s">
        <v>4187</v>
      </c>
      <c r="B999" s="14">
        <v>1</v>
      </c>
    </row>
    <row r="1000" spans="1:2" x14ac:dyDescent="0.35">
      <c r="A1000" s="13" t="s">
        <v>2335</v>
      </c>
      <c r="B1000" s="14">
        <v>1</v>
      </c>
    </row>
    <row r="1001" spans="1:2" x14ac:dyDescent="0.35">
      <c r="A1001" s="37" t="s">
        <v>2331</v>
      </c>
      <c r="B1001" s="14">
        <v>1</v>
      </c>
    </row>
    <row r="1002" spans="1:2" x14ac:dyDescent="0.35">
      <c r="A1002" s="38" t="s">
        <v>4187</v>
      </c>
      <c r="B1002" s="14">
        <v>1</v>
      </c>
    </row>
    <row r="1003" spans="1:2" x14ac:dyDescent="0.35">
      <c r="A1003" s="13" t="s">
        <v>1968</v>
      </c>
      <c r="B1003" s="14">
        <v>1</v>
      </c>
    </row>
    <row r="1004" spans="1:2" x14ac:dyDescent="0.35">
      <c r="A1004" s="37" t="s">
        <v>3152</v>
      </c>
      <c r="B1004" s="14">
        <v>1</v>
      </c>
    </row>
    <row r="1005" spans="1:2" x14ac:dyDescent="0.35">
      <c r="A1005" s="38" t="s">
        <v>4185</v>
      </c>
      <c r="B1005" s="14">
        <v>1</v>
      </c>
    </row>
    <row r="1006" spans="1:2" x14ac:dyDescent="0.35">
      <c r="A1006" s="13" t="s">
        <v>2479</v>
      </c>
      <c r="B1006" s="14">
        <v>1</v>
      </c>
    </row>
    <row r="1007" spans="1:2" x14ac:dyDescent="0.35">
      <c r="A1007" s="37" t="s">
        <v>2478</v>
      </c>
      <c r="B1007" s="14">
        <v>1</v>
      </c>
    </row>
    <row r="1008" spans="1:2" x14ac:dyDescent="0.35">
      <c r="A1008" s="38" t="s">
        <v>4187</v>
      </c>
      <c r="B1008" s="14">
        <v>1</v>
      </c>
    </row>
    <row r="1009" spans="1:2" x14ac:dyDescent="0.35">
      <c r="A1009" s="13" t="s">
        <v>1970</v>
      </c>
      <c r="B1009" s="14">
        <v>1</v>
      </c>
    </row>
    <row r="1010" spans="1:2" x14ac:dyDescent="0.35">
      <c r="A1010" s="37" t="s">
        <v>3152</v>
      </c>
      <c r="B1010" s="14">
        <v>1</v>
      </c>
    </row>
    <row r="1011" spans="1:2" x14ac:dyDescent="0.35">
      <c r="A1011" s="38" t="s">
        <v>4185</v>
      </c>
      <c r="B1011" s="14">
        <v>1</v>
      </c>
    </row>
    <row r="1012" spans="1:2" x14ac:dyDescent="0.35">
      <c r="A1012" s="13" t="s">
        <v>2291</v>
      </c>
      <c r="B1012" s="14">
        <v>1</v>
      </c>
    </row>
    <row r="1013" spans="1:2" x14ac:dyDescent="0.35">
      <c r="A1013" s="37" t="s">
        <v>2290</v>
      </c>
      <c r="B1013" s="14">
        <v>1</v>
      </c>
    </row>
    <row r="1014" spans="1:2" x14ac:dyDescent="0.35">
      <c r="A1014" s="38" t="s">
        <v>4187</v>
      </c>
      <c r="B1014" s="14">
        <v>1</v>
      </c>
    </row>
    <row r="1015" spans="1:2" x14ac:dyDescent="0.35">
      <c r="A1015" s="13" t="s">
        <v>1972</v>
      </c>
      <c r="B1015" s="14">
        <v>1</v>
      </c>
    </row>
    <row r="1016" spans="1:2" x14ac:dyDescent="0.35">
      <c r="A1016" s="37" t="s">
        <v>3142</v>
      </c>
      <c r="B1016" s="14">
        <v>1</v>
      </c>
    </row>
    <row r="1017" spans="1:2" x14ac:dyDescent="0.35">
      <c r="A1017" s="38" t="s">
        <v>4185</v>
      </c>
      <c r="B1017" s="14">
        <v>1</v>
      </c>
    </row>
    <row r="1018" spans="1:2" x14ac:dyDescent="0.35">
      <c r="A1018" s="13" t="s">
        <v>2374</v>
      </c>
      <c r="B1018" s="14">
        <v>1</v>
      </c>
    </row>
    <row r="1019" spans="1:2" x14ac:dyDescent="0.35">
      <c r="A1019" s="37" t="s">
        <v>2373</v>
      </c>
      <c r="B1019" s="14">
        <v>1</v>
      </c>
    </row>
    <row r="1020" spans="1:2" x14ac:dyDescent="0.35">
      <c r="A1020" s="38" t="s">
        <v>4187</v>
      </c>
      <c r="B1020" s="14">
        <v>1</v>
      </c>
    </row>
    <row r="1021" spans="1:2" x14ac:dyDescent="0.35">
      <c r="A1021" s="13" t="s">
        <v>1975</v>
      </c>
      <c r="B1021" s="14">
        <v>1</v>
      </c>
    </row>
    <row r="1022" spans="1:2" x14ac:dyDescent="0.35">
      <c r="A1022" s="37" t="s">
        <v>3143</v>
      </c>
      <c r="B1022" s="14">
        <v>1</v>
      </c>
    </row>
    <row r="1023" spans="1:2" x14ac:dyDescent="0.35">
      <c r="A1023" s="38" t="s">
        <v>4185</v>
      </c>
      <c r="B1023" s="14">
        <v>1</v>
      </c>
    </row>
    <row r="1024" spans="1:2" x14ac:dyDescent="0.35">
      <c r="A1024" s="13" t="s">
        <v>2443</v>
      </c>
      <c r="B1024" s="14">
        <v>1</v>
      </c>
    </row>
    <row r="1025" spans="1:2" x14ac:dyDescent="0.35">
      <c r="A1025" s="37" t="s">
        <v>2442</v>
      </c>
      <c r="B1025" s="14">
        <v>1</v>
      </c>
    </row>
    <row r="1026" spans="1:2" x14ac:dyDescent="0.35">
      <c r="A1026" s="38" t="s">
        <v>4187</v>
      </c>
      <c r="B1026" s="14">
        <v>1</v>
      </c>
    </row>
    <row r="1027" spans="1:2" x14ac:dyDescent="0.35">
      <c r="A1027" s="13" t="s">
        <v>1977</v>
      </c>
      <c r="B1027" s="14">
        <v>1</v>
      </c>
    </row>
    <row r="1028" spans="1:2" x14ac:dyDescent="0.35">
      <c r="A1028" s="37" t="s">
        <v>3144</v>
      </c>
      <c r="B1028" s="14">
        <v>1</v>
      </c>
    </row>
    <row r="1029" spans="1:2" x14ac:dyDescent="0.35">
      <c r="A1029" s="38" t="s">
        <v>4185</v>
      </c>
      <c r="B1029" s="14">
        <v>1</v>
      </c>
    </row>
    <row r="1030" spans="1:2" x14ac:dyDescent="0.35">
      <c r="A1030" s="13" t="s">
        <v>2518</v>
      </c>
      <c r="B1030" s="14">
        <v>1</v>
      </c>
    </row>
    <row r="1031" spans="1:2" x14ac:dyDescent="0.35">
      <c r="A1031" s="37" t="s">
        <v>2517</v>
      </c>
      <c r="B1031" s="14">
        <v>1</v>
      </c>
    </row>
    <row r="1032" spans="1:2" x14ac:dyDescent="0.35">
      <c r="A1032" s="38" t="s">
        <v>4187</v>
      </c>
      <c r="B1032" s="14">
        <v>1</v>
      </c>
    </row>
    <row r="1033" spans="1:2" x14ac:dyDescent="0.35">
      <c r="A1033" s="13" t="s">
        <v>1979</v>
      </c>
      <c r="B1033" s="14">
        <v>1</v>
      </c>
    </row>
    <row r="1034" spans="1:2" x14ac:dyDescent="0.35">
      <c r="A1034" s="37" t="s">
        <v>3144</v>
      </c>
      <c r="B1034" s="14">
        <v>1</v>
      </c>
    </row>
    <row r="1035" spans="1:2" x14ac:dyDescent="0.35">
      <c r="A1035" s="38" t="s">
        <v>4185</v>
      </c>
      <c r="B1035" s="14">
        <v>1</v>
      </c>
    </row>
    <row r="1036" spans="1:2" x14ac:dyDescent="0.35">
      <c r="A1036" s="13" t="s">
        <v>2271</v>
      </c>
      <c r="B1036" s="14">
        <v>1</v>
      </c>
    </row>
    <row r="1037" spans="1:2" x14ac:dyDescent="0.35">
      <c r="A1037" s="37" t="s">
        <v>2267</v>
      </c>
      <c r="B1037" s="14">
        <v>1</v>
      </c>
    </row>
    <row r="1038" spans="1:2" x14ac:dyDescent="0.35">
      <c r="A1038" s="38" t="s">
        <v>4186</v>
      </c>
      <c r="B1038" s="14">
        <v>1</v>
      </c>
    </row>
    <row r="1039" spans="1:2" x14ac:dyDescent="0.35">
      <c r="A1039" s="13" t="s">
        <v>1980</v>
      </c>
      <c r="B1039" s="14">
        <v>1</v>
      </c>
    </row>
    <row r="1040" spans="1:2" x14ac:dyDescent="0.35">
      <c r="A1040" s="37" t="s">
        <v>3144</v>
      </c>
      <c r="B1040" s="14">
        <v>1</v>
      </c>
    </row>
    <row r="1041" spans="1:2" x14ac:dyDescent="0.35">
      <c r="A1041" s="38" t="s">
        <v>4185</v>
      </c>
      <c r="B1041" s="14">
        <v>1</v>
      </c>
    </row>
    <row r="1042" spans="1:2" x14ac:dyDescent="0.35">
      <c r="A1042" s="13" t="s">
        <v>2312</v>
      </c>
      <c r="B1042" s="14">
        <v>1</v>
      </c>
    </row>
    <row r="1043" spans="1:2" x14ac:dyDescent="0.35">
      <c r="A1043" s="37" t="s">
        <v>2311</v>
      </c>
      <c r="B1043" s="14">
        <v>1</v>
      </c>
    </row>
    <row r="1044" spans="1:2" x14ac:dyDescent="0.35">
      <c r="A1044" s="38" t="s">
        <v>4187</v>
      </c>
      <c r="B1044" s="14">
        <v>1</v>
      </c>
    </row>
    <row r="1045" spans="1:2" x14ac:dyDescent="0.35">
      <c r="A1045" s="13" t="s">
        <v>1983</v>
      </c>
      <c r="B1045" s="14">
        <v>1</v>
      </c>
    </row>
    <row r="1046" spans="1:2" x14ac:dyDescent="0.35">
      <c r="A1046" s="37" t="s">
        <v>3145</v>
      </c>
      <c r="B1046" s="14">
        <v>1</v>
      </c>
    </row>
    <row r="1047" spans="1:2" x14ac:dyDescent="0.35">
      <c r="A1047" s="38" t="s">
        <v>4185</v>
      </c>
      <c r="B1047" s="14">
        <v>1</v>
      </c>
    </row>
    <row r="1048" spans="1:2" x14ac:dyDescent="0.35">
      <c r="A1048" s="13" t="s">
        <v>2355</v>
      </c>
      <c r="B1048" s="14">
        <v>1</v>
      </c>
    </row>
    <row r="1049" spans="1:2" x14ac:dyDescent="0.35">
      <c r="A1049" s="37" t="s">
        <v>2354</v>
      </c>
      <c r="B1049" s="14">
        <v>1</v>
      </c>
    </row>
    <row r="1050" spans="1:2" x14ac:dyDescent="0.35">
      <c r="A1050" s="38" t="s">
        <v>4187</v>
      </c>
      <c r="B1050" s="14">
        <v>1</v>
      </c>
    </row>
    <row r="1051" spans="1:2" x14ac:dyDescent="0.35">
      <c r="A1051" s="13" t="s">
        <v>1985</v>
      </c>
      <c r="B1051" s="14">
        <v>1</v>
      </c>
    </row>
    <row r="1052" spans="1:2" x14ac:dyDescent="0.35">
      <c r="A1052" s="37" t="s">
        <v>3157</v>
      </c>
      <c r="B1052" s="14">
        <v>1</v>
      </c>
    </row>
    <row r="1053" spans="1:2" x14ac:dyDescent="0.35">
      <c r="A1053" s="38" t="s">
        <v>4185</v>
      </c>
      <c r="B1053" s="14">
        <v>1</v>
      </c>
    </row>
    <row r="1054" spans="1:2" x14ac:dyDescent="0.35">
      <c r="A1054" s="13" t="s">
        <v>2389</v>
      </c>
      <c r="B1054" s="14">
        <v>1</v>
      </c>
    </row>
    <row r="1055" spans="1:2" x14ac:dyDescent="0.35">
      <c r="A1055" s="37" t="s">
        <v>2387</v>
      </c>
      <c r="B1055" s="14">
        <v>1</v>
      </c>
    </row>
    <row r="1056" spans="1:2" x14ac:dyDescent="0.35">
      <c r="A1056" s="38" t="s">
        <v>4187</v>
      </c>
      <c r="B1056" s="14">
        <v>1</v>
      </c>
    </row>
    <row r="1057" spans="1:2" x14ac:dyDescent="0.35">
      <c r="A1057" s="13" t="s">
        <v>1987</v>
      </c>
      <c r="B1057" s="14">
        <v>1</v>
      </c>
    </row>
    <row r="1058" spans="1:2" x14ac:dyDescent="0.35">
      <c r="A1058" s="37" t="s">
        <v>3146</v>
      </c>
      <c r="B1058" s="14">
        <v>1</v>
      </c>
    </row>
    <row r="1059" spans="1:2" x14ac:dyDescent="0.35">
      <c r="A1059" s="38" t="s">
        <v>4185</v>
      </c>
      <c r="B1059" s="14">
        <v>1</v>
      </c>
    </row>
    <row r="1060" spans="1:2" x14ac:dyDescent="0.35">
      <c r="A1060" s="13" t="s">
        <v>1948</v>
      </c>
      <c r="B1060" s="14">
        <v>1</v>
      </c>
    </row>
    <row r="1061" spans="1:2" x14ac:dyDescent="0.35">
      <c r="A1061" s="37" t="s">
        <v>3137</v>
      </c>
      <c r="B1061" s="14">
        <v>1</v>
      </c>
    </row>
    <row r="1062" spans="1:2" x14ac:dyDescent="0.35">
      <c r="A1062" s="38" t="s">
        <v>4185</v>
      </c>
      <c r="B1062" s="14">
        <v>1</v>
      </c>
    </row>
    <row r="1063" spans="1:2" x14ac:dyDescent="0.35">
      <c r="A1063" s="13" t="s">
        <v>1990</v>
      </c>
      <c r="B1063" s="14">
        <v>1</v>
      </c>
    </row>
    <row r="1064" spans="1:2" x14ac:dyDescent="0.35">
      <c r="A1064" s="37" t="s">
        <v>3146</v>
      </c>
      <c r="B1064" s="14">
        <v>1</v>
      </c>
    </row>
    <row r="1065" spans="1:2" x14ac:dyDescent="0.35">
      <c r="A1065" s="38" t="s">
        <v>4185</v>
      </c>
      <c r="B1065" s="14">
        <v>1</v>
      </c>
    </row>
    <row r="1066" spans="1:2" x14ac:dyDescent="0.35">
      <c r="A1066" s="13" t="s">
        <v>2459</v>
      </c>
      <c r="B1066" s="14">
        <v>1</v>
      </c>
    </row>
    <row r="1067" spans="1:2" x14ac:dyDescent="0.35">
      <c r="A1067" s="37" t="s">
        <v>2455</v>
      </c>
      <c r="B1067" s="14">
        <v>1</v>
      </c>
    </row>
    <row r="1068" spans="1:2" x14ac:dyDescent="0.35">
      <c r="A1068" s="38" t="s">
        <v>4187</v>
      </c>
      <c r="B1068" s="14">
        <v>1</v>
      </c>
    </row>
    <row r="1069" spans="1:2" x14ac:dyDescent="0.35">
      <c r="A1069" s="13" t="s">
        <v>1993</v>
      </c>
      <c r="B1069" s="14">
        <v>1</v>
      </c>
    </row>
    <row r="1070" spans="1:2" x14ac:dyDescent="0.35">
      <c r="A1070" s="37" t="s">
        <v>3147</v>
      </c>
      <c r="B1070" s="14">
        <v>1</v>
      </c>
    </row>
    <row r="1071" spans="1:2" x14ac:dyDescent="0.35">
      <c r="A1071" s="38" t="s">
        <v>4185</v>
      </c>
      <c r="B1071" s="14">
        <v>1</v>
      </c>
    </row>
    <row r="1072" spans="1:2" x14ac:dyDescent="0.35">
      <c r="A1072" s="13" t="s">
        <v>1958</v>
      </c>
      <c r="B1072" s="14">
        <v>1</v>
      </c>
    </row>
    <row r="1073" spans="1:2" x14ac:dyDescent="0.35">
      <c r="A1073" s="37" t="s">
        <v>3139</v>
      </c>
      <c r="B1073" s="14">
        <v>1</v>
      </c>
    </row>
    <row r="1074" spans="1:2" x14ac:dyDescent="0.35">
      <c r="A1074" s="38" t="s">
        <v>4185</v>
      </c>
      <c r="B1074" s="14">
        <v>1</v>
      </c>
    </row>
    <row r="1075" spans="1:2" x14ac:dyDescent="0.35">
      <c r="A1075" s="13" t="s">
        <v>1995</v>
      </c>
      <c r="B1075" s="14">
        <v>1</v>
      </c>
    </row>
    <row r="1076" spans="1:2" x14ac:dyDescent="0.35">
      <c r="A1076" s="37" t="s">
        <v>1994</v>
      </c>
      <c r="B1076" s="14">
        <v>1</v>
      </c>
    </row>
    <row r="1077" spans="1:2" x14ac:dyDescent="0.35">
      <c r="A1077" s="38" t="s">
        <v>4185</v>
      </c>
      <c r="B1077" s="14">
        <v>1</v>
      </c>
    </row>
    <row r="1078" spans="1:2" x14ac:dyDescent="0.35">
      <c r="A1078" s="13" t="s">
        <v>2246</v>
      </c>
      <c r="B1078" s="14">
        <v>1</v>
      </c>
    </row>
    <row r="1079" spans="1:2" x14ac:dyDescent="0.35">
      <c r="A1079" s="37" t="s">
        <v>2242</v>
      </c>
      <c r="B1079" s="14">
        <v>1</v>
      </c>
    </row>
    <row r="1080" spans="1:2" x14ac:dyDescent="0.35">
      <c r="A1080" s="38" t="s">
        <v>4186</v>
      </c>
      <c r="B1080" s="14">
        <v>1</v>
      </c>
    </row>
    <row r="1081" spans="1:2" x14ac:dyDescent="0.35">
      <c r="A1081" s="13" t="s">
        <v>1997</v>
      </c>
      <c r="B1081" s="14">
        <v>1</v>
      </c>
    </row>
    <row r="1082" spans="1:2" x14ac:dyDescent="0.35">
      <c r="A1082" s="37" t="s">
        <v>1996</v>
      </c>
      <c r="B1082" s="14">
        <v>1</v>
      </c>
    </row>
    <row r="1083" spans="1:2" x14ac:dyDescent="0.35">
      <c r="A1083" s="38" t="s">
        <v>4185</v>
      </c>
      <c r="B1083" s="14">
        <v>1</v>
      </c>
    </row>
    <row r="1084" spans="1:2" x14ac:dyDescent="0.35">
      <c r="A1084" s="13" t="s">
        <v>2263</v>
      </c>
      <c r="B1084" s="14">
        <v>1</v>
      </c>
    </row>
    <row r="1085" spans="1:2" x14ac:dyDescent="0.35">
      <c r="A1085" s="37" t="s">
        <v>2262</v>
      </c>
      <c r="B1085" s="14">
        <v>1</v>
      </c>
    </row>
    <row r="1086" spans="1:2" x14ac:dyDescent="0.35">
      <c r="A1086" s="38" t="s">
        <v>4186</v>
      </c>
      <c r="B1086" s="14">
        <v>1</v>
      </c>
    </row>
    <row r="1087" spans="1:2" x14ac:dyDescent="0.35">
      <c r="A1087" s="13" t="s">
        <v>2001</v>
      </c>
      <c r="B1087" s="14">
        <v>1</v>
      </c>
    </row>
    <row r="1088" spans="1:2" x14ac:dyDescent="0.35">
      <c r="A1088" s="37" t="s">
        <v>2000</v>
      </c>
      <c r="B1088" s="14">
        <v>1</v>
      </c>
    </row>
    <row r="1089" spans="1:2" x14ac:dyDescent="0.35">
      <c r="A1089" s="38" t="s">
        <v>4185</v>
      </c>
      <c r="B1089" s="14">
        <v>1</v>
      </c>
    </row>
    <row r="1090" spans="1:2" x14ac:dyDescent="0.35">
      <c r="A1090" s="13" t="s">
        <v>2283</v>
      </c>
      <c r="B1090" s="14">
        <v>1</v>
      </c>
    </row>
    <row r="1091" spans="1:2" x14ac:dyDescent="0.35">
      <c r="A1091" s="37" t="s">
        <v>2282</v>
      </c>
      <c r="B1091" s="14">
        <v>1</v>
      </c>
    </row>
    <row r="1092" spans="1:2" x14ac:dyDescent="0.35">
      <c r="A1092" s="38" t="s">
        <v>4186</v>
      </c>
      <c r="B1092" s="14">
        <v>1</v>
      </c>
    </row>
    <row r="1093" spans="1:2" x14ac:dyDescent="0.35">
      <c r="A1093" s="13" t="s">
        <v>2004</v>
      </c>
      <c r="B1093" s="14">
        <v>1</v>
      </c>
    </row>
    <row r="1094" spans="1:2" x14ac:dyDescent="0.35">
      <c r="A1094" s="37" t="s">
        <v>2003</v>
      </c>
      <c r="B1094" s="14">
        <v>1</v>
      </c>
    </row>
    <row r="1095" spans="1:2" x14ac:dyDescent="0.35">
      <c r="A1095" s="38" t="s">
        <v>4185</v>
      </c>
      <c r="B1095" s="14">
        <v>1</v>
      </c>
    </row>
    <row r="1096" spans="1:2" x14ac:dyDescent="0.35">
      <c r="A1096" s="13" t="s">
        <v>2301</v>
      </c>
      <c r="B1096" s="14">
        <v>1</v>
      </c>
    </row>
    <row r="1097" spans="1:2" x14ac:dyDescent="0.35">
      <c r="A1097" s="37" t="s">
        <v>2300</v>
      </c>
      <c r="B1097" s="14">
        <v>1</v>
      </c>
    </row>
    <row r="1098" spans="1:2" x14ac:dyDescent="0.35">
      <c r="A1098" s="38" t="s">
        <v>4187</v>
      </c>
      <c r="B1098" s="14">
        <v>1</v>
      </c>
    </row>
    <row r="1099" spans="1:2" x14ac:dyDescent="0.35">
      <c r="A1099" s="13" t="s">
        <v>2005</v>
      </c>
      <c r="B1099" s="14">
        <v>1</v>
      </c>
    </row>
    <row r="1100" spans="1:2" x14ac:dyDescent="0.35">
      <c r="A1100" s="37" t="s">
        <v>2003</v>
      </c>
      <c r="B1100" s="14">
        <v>1</v>
      </c>
    </row>
    <row r="1101" spans="1:2" x14ac:dyDescent="0.35">
      <c r="A1101" s="38" t="s">
        <v>4185</v>
      </c>
      <c r="B1101" s="14">
        <v>1</v>
      </c>
    </row>
    <row r="1102" spans="1:2" x14ac:dyDescent="0.35">
      <c r="A1102" s="13" t="s">
        <v>2325</v>
      </c>
      <c r="B1102" s="14">
        <v>1</v>
      </c>
    </row>
    <row r="1103" spans="1:2" x14ac:dyDescent="0.35">
      <c r="A1103" s="37" t="s">
        <v>2324</v>
      </c>
      <c r="B1103" s="14">
        <v>1</v>
      </c>
    </row>
    <row r="1104" spans="1:2" x14ac:dyDescent="0.35">
      <c r="A1104" s="38" t="s">
        <v>4187</v>
      </c>
      <c r="B1104" s="14">
        <v>1</v>
      </c>
    </row>
    <row r="1105" spans="1:2" x14ac:dyDescent="0.35">
      <c r="A1105" s="13" t="s">
        <v>2008</v>
      </c>
      <c r="B1105" s="14">
        <v>1</v>
      </c>
    </row>
    <row r="1106" spans="1:2" x14ac:dyDescent="0.35">
      <c r="A1106" s="37" t="s">
        <v>2007</v>
      </c>
      <c r="B1106" s="14">
        <v>1</v>
      </c>
    </row>
    <row r="1107" spans="1:2" x14ac:dyDescent="0.35">
      <c r="A1107" s="38" t="s">
        <v>4185</v>
      </c>
      <c r="B1107" s="14">
        <v>1</v>
      </c>
    </row>
    <row r="1108" spans="1:2" x14ac:dyDescent="0.35">
      <c r="A1108" s="13" t="s">
        <v>2344</v>
      </c>
      <c r="B1108" s="14">
        <v>1</v>
      </c>
    </row>
    <row r="1109" spans="1:2" x14ac:dyDescent="0.35">
      <c r="A1109" s="37" t="s">
        <v>2343</v>
      </c>
      <c r="B1109" s="14">
        <v>1</v>
      </c>
    </row>
    <row r="1110" spans="1:2" x14ac:dyDescent="0.35">
      <c r="A1110" s="38" t="s">
        <v>4187</v>
      </c>
      <c r="B1110" s="14">
        <v>1</v>
      </c>
    </row>
    <row r="1111" spans="1:2" x14ac:dyDescent="0.35">
      <c r="A1111" s="13" t="s">
        <v>2009</v>
      </c>
      <c r="B1111" s="14">
        <v>1</v>
      </c>
    </row>
    <row r="1112" spans="1:2" x14ac:dyDescent="0.35">
      <c r="A1112" s="37" t="s">
        <v>2007</v>
      </c>
      <c r="B1112" s="14">
        <v>1</v>
      </c>
    </row>
    <row r="1113" spans="1:2" x14ac:dyDescent="0.35">
      <c r="A1113" s="38" t="s">
        <v>4185</v>
      </c>
      <c r="B1113" s="14">
        <v>1</v>
      </c>
    </row>
    <row r="1114" spans="1:2" x14ac:dyDescent="0.35">
      <c r="A1114" s="13" t="s">
        <v>2365</v>
      </c>
      <c r="B1114" s="14">
        <v>1</v>
      </c>
    </row>
    <row r="1115" spans="1:2" x14ac:dyDescent="0.35">
      <c r="A1115" s="37" t="s">
        <v>2364</v>
      </c>
      <c r="B1115" s="14">
        <v>1</v>
      </c>
    </row>
    <row r="1116" spans="1:2" x14ac:dyDescent="0.35">
      <c r="A1116" s="38" t="s">
        <v>4187</v>
      </c>
      <c r="B1116" s="14">
        <v>1</v>
      </c>
    </row>
    <row r="1117" spans="1:2" x14ac:dyDescent="0.35">
      <c r="A1117" s="13" t="s">
        <v>2013</v>
      </c>
      <c r="B1117" s="14">
        <v>1</v>
      </c>
    </row>
    <row r="1118" spans="1:2" x14ac:dyDescent="0.35">
      <c r="A1118" s="37" t="s">
        <v>2007</v>
      </c>
      <c r="B1118" s="14">
        <v>1</v>
      </c>
    </row>
    <row r="1119" spans="1:2" x14ac:dyDescent="0.35">
      <c r="A1119" s="38" t="s">
        <v>4185</v>
      </c>
      <c r="B1119" s="14">
        <v>1</v>
      </c>
    </row>
    <row r="1120" spans="1:2" x14ac:dyDescent="0.35">
      <c r="A1120" s="13" t="s">
        <v>2382</v>
      </c>
      <c r="B1120" s="14">
        <v>1</v>
      </c>
    </row>
    <row r="1121" spans="1:2" x14ac:dyDescent="0.35">
      <c r="A1121" s="37" t="s">
        <v>2378</v>
      </c>
      <c r="B1121" s="14">
        <v>1</v>
      </c>
    </row>
    <row r="1122" spans="1:2" x14ac:dyDescent="0.35">
      <c r="A1122" s="38" t="s">
        <v>4187</v>
      </c>
      <c r="B1122" s="14">
        <v>1</v>
      </c>
    </row>
    <row r="1123" spans="1:2" x14ac:dyDescent="0.35">
      <c r="A1123" s="13" t="s">
        <v>1910</v>
      </c>
      <c r="B1123" s="14">
        <v>1</v>
      </c>
    </row>
    <row r="1124" spans="1:2" x14ac:dyDescent="0.35">
      <c r="A1124" s="37" t="s">
        <v>3151</v>
      </c>
      <c r="B1124" s="14">
        <v>1</v>
      </c>
    </row>
    <row r="1125" spans="1:2" x14ac:dyDescent="0.35">
      <c r="A1125" s="38" t="s">
        <v>4185</v>
      </c>
      <c r="B1125" s="14">
        <v>1</v>
      </c>
    </row>
    <row r="1126" spans="1:2" x14ac:dyDescent="0.35">
      <c r="A1126" s="13" t="s">
        <v>2397</v>
      </c>
      <c r="B1126" s="14">
        <v>1</v>
      </c>
    </row>
    <row r="1127" spans="1:2" x14ac:dyDescent="0.35">
      <c r="A1127" s="37" t="s">
        <v>2396</v>
      </c>
      <c r="B1127" s="14">
        <v>1</v>
      </c>
    </row>
    <row r="1128" spans="1:2" x14ac:dyDescent="0.35">
      <c r="A1128" s="38" t="s">
        <v>4187</v>
      </c>
      <c r="B1128" s="14">
        <v>1</v>
      </c>
    </row>
    <row r="1129" spans="1:2" x14ac:dyDescent="0.35">
      <c r="A1129" s="13" t="s">
        <v>2020</v>
      </c>
      <c r="B1129" s="14">
        <v>1</v>
      </c>
    </row>
    <row r="1130" spans="1:2" x14ac:dyDescent="0.35">
      <c r="A1130" s="37" t="s">
        <v>2019</v>
      </c>
      <c r="B1130" s="14">
        <v>1</v>
      </c>
    </row>
    <row r="1131" spans="1:2" x14ac:dyDescent="0.35">
      <c r="A1131" s="38" t="s">
        <v>4185</v>
      </c>
      <c r="B1131" s="14">
        <v>1</v>
      </c>
    </row>
    <row r="1132" spans="1:2" x14ac:dyDescent="0.35">
      <c r="A1132" s="13" t="s">
        <v>2413</v>
      </c>
      <c r="B1132" s="14">
        <v>1</v>
      </c>
    </row>
    <row r="1133" spans="1:2" x14ac:dyDescent="0.35">
      <c r="A1133" s="37" t="s">
        <v>2412</v>
      </c>
      <c r="B1133" s="14">
        <v>1</v>
      </c>
    </row>
    <row r="1134" spans="1:2" x14ac:dyDescent="0.35">
      <c r="A1134" s="38" t="s">
        <v>4187</v>
      </c>
      <c r="B1134" s="14">
        <v>1</v>
      </c>
    </row>
    <row r="1135" spans="1:2" x14ac:dyDescent="0.35">
      <c r="A1135" s="13" t="s">
        <v>2023</v>
      </c>
      <c r="B1135" s="14">
        <v>1</v>
      </c>
    </row>
    <row r="1136" spans="1:2" x14ac:dyDescent="0.35">
      <c r="A1136" s="37" t="s">
        <v>2022</v>
      </c>
      <c r="B1136" s="14">
        <v>1</v>
      </c>
    </row>
    <row r="1137" spans="1:2" x14ac:dyDescent="0.35">
      <c r="A1137" s="38" t="s">
        <v>4186</v>
      </c>
      <c r="B1137" s="14">
        <v>1</v>
      </c>
    </row>
    <row r="1138" spans="1:2" x14ac:dyDescent="0.35">
      <c r="A1138" s="13" t="s">
        <v>2432</v>
      </c>
      <c r="B1138" s="14">
        <v>1</v>
      </c>
    </row>
    <row r="1139" spans="1:2" x14ac:dyDescent="0.35">
      <c r="A1139" s="37" t="s">
        <v>3155</v>
      </c>
      <c r="B1139" s="14">
        <v>1</v>
      </c>
    </row>
    <row r="1140" spans="1:2" x14ac:dyDescent="0.35">
      <c r="A1140" s="38" t="s">
        <v>4187</v>
      </c>
      <c r="B1140" s="14">
        <v>1</v>
      </c>
    </row>
    <row r="1141" spans="1:2" x14ac:dyDescent="0.35">
      <c r="A1141" s="13" t="s">
        <v>2025</v>
      </c>
      <c r="B1141" s="14">
        <v>1</v>
      </c>
    </row>
    <row r="1142" spans="1:2" x14ac:dyDescent="0.35">
      <c r="A1142" s="37" t="s">
        <v>2022</v>
      </c>
      <c r="B1142" s="14">
        <v>1</v>
      </c>
    </row>
    <row r="1143" spans="1:2" x14ac:dyDescent="0.35">
      <c r="A1143" s="38" t="s">
        <v>4186</v>
      </c>
      <c r="B1143" s="14">
        <v>1</v>
      </c>
    </row>
    <row r="1144" spans="1:2" x14ac:dyDescent="0.35">
      <c r="A1144" s="13" t="s">
        <v>2451</v>
      </c>
      <c r="B1144" s="14">
        <v>1</v>
      </c>
    </row>
    <row r="1145" spans="1:2" x14ac:dyDescent="0.35">
      <c r="A1145" s="37" t="s">
        <v>2448</v>
      </c>
      <c r="B1145" s="14">
        <v>1</v>
      </c>
    </row>
    <row r="1146" spans="1:2" x14ac:dyDescent="0.35">
      <c r="A1146" s="38" t="s">
        <v>4187</v>
      </c>
      <c r="B1146" s="14">
        <v>1</v>
      </c>
    </row>
    <row r="1147" spans="1:2" x14ac:dyDescent="0.35">
      <c r="A1147" s="13" t="s">
        <v>2028</v>
      </c>
      <c r="B1147" s="14">
        <v>1</v>
      </c>
    </row>
    <row r="1148" spans="1:2" x14ac:dyDescent="0.35">
      <c r="A1148" s="37" t="s">
        <v>2027</v>
      </c>
      <c r="B1148" s="14">
        <v>1</v>
      </c>
    </row>
    <row r="1149" spans="1:2" x14ac:dyDescent="0.35">
      <c r="A1149" s="38" t="s">
        <v>4186</v>
      </c>
      <c r="B1149" s="14">
        <v>1</v>
      </c>
    </row>
    <row r="1150" spans="1:2" x14ac:dyDescent="0.35">
      <c r="A1150" s="13" t="s">
        <v>2467</v>
      </c>
      <c r="B1150" s="14">
        <v>1</v>
      </c>
    </row>
    <row r="1151" spans="1:2" x14ac:dyDescent="0.35">
      <c r="A1151" s="37" t="s">
        <v>2463</v>
      </c>
      <c r="B1151" s="14">
        <v>1</v>
      </c>
    </row>
    <row r="1152" spans="1:2" x14ac:dyDescent="0.35">
      <c r="A1152" s="38" t="s">
        <v>4187</v>
      </c>
      <c r="B1152" s="14">
        <v>1</v>
      </c>
    </row>
    <row r="1153" spans="1:2" x14ac:dyDescent="0.35">
      <c r="A1153" s="13" t="s">
        <v>2031</v>
      </c>
      <c r="B1153" s="14">
        <v>1</v>
      </c>
    </row>
    <row r="1154" spans="1:2" x14ac:dyDescent="0.35">
      <c r="A1154" s="37" t="s">
        <v>2030</v>
      </c>
      <c r="B1154" s="14">
        <v>1</v>
      </c>
    </row>
    <row r="1155" spans="1:2" x14ac:dyDescent="0.35">
      <c r="A1155" s="38" t="s">
        <v>4186</v>
      </c>
      <c r="B1155" s="14">
        <v>1</v>
      </c>
    </row>
    <row r="1156" spans="1:2" x14ac:dyDescent="0.35">
      <c r="A1156" s="13" t="s">
        <v>2492</v>
      </c>
      <c r="B1156" s="14">
        <v>1</v>
      </c>
    </row>
    <row r="1157" spans="1:2" x14ac:dyDescent="0.35">
      <c r="A1157" s="37" t="s">
        <v>2491</v>
      </c>
      <c r="B1157" s="14">
        <v>1</v>
      </c>
    </row>
    <row r="1158" spans="1:2" x14ac:dyDescent="0.35">
      <c r="A1158" s="38" t="s">
        <v>4187</v>
      </c>
      <c r="B1158" s="14">
        <v>1</v>
      </c>
    </row>
    <row r="1159" spans="1:2" x14ac:dyDescent="0.35">
      <c r="A1159" s="13" t="s">
        <v>2034</v>
      </c>
      <c r="B1159" s="14">
        <v>1</v>
      </c>
    </row>
    <row r="1160" spans="1:2" x14ac:dyDescent="0.35">
      <c r="A1160" s="37" t="s">
        <v>2033</v>
      </c>
      <c r="B1160" s="14">
        <v>1</v>
      </c>
    </row>
    <row r="1161" spans="1:2" x14ac:dyDescent="0.35">
      <c r="A1161" s="38" t="s">
        <v>4186</v>
      </c>
      <c r="B1161" s="14">
        <v>1</v>
      </c>
    </row>
    <row r="1162" spans="1:2" x14ac:dyDescent="0.35">
      <c r="A1162" s="13" t="s">
        <v>2507</v>
      </c>
      <c r="B1162" s="14">
        <v>1</v>
      </c>
    </row>
    <row r="1163" spans="1:2" x14ac:dyDescent="0.35">
      <c r="A1163" s="37" t="s">
        <v>2506</v>
      </c>
      <c r="B1163" s="14">
        <v>1</v>
      </c>
    </row>
    <row r="1164" spans="1:2" x14ac:dyDescent="0.35">
      <c r="A1164" s="38" t="s">
        <v>4187</v>
      </c>
      <c r="B1164" s="14">
        <v>1</v>
      </c>
    </row>
    <row r="1165" spans="1:2" x14ac:dyDescent="0.35">
      <c r="A1165" s="13" t="s">
        <v>2035</v>
      </c>
      <c r="B1165" s="14">
        <v>1</v>
      </c>
    </row>
    <row r="1166" spans="1:2" x14ac:dyDescent="0.35">
      <c r="A1166" s="37" t="s">
        <v>2033</v>
      </c>
      <c r="B1166" s="14">
        <v>1</v>
      </c>
    </row>
    <row r="1167" spans="1:2" x14ac:dyDescent="0.35">
      <c r="A1167" s="38" t="s">
        <v>4186</v>
      </c>
      <c r="B1167" s="14">
        <v>1</v>
      </c>
    </row>
    <row r="1168" spans="1:2" x14ac:dyDescent="0.35">
      <c r="A1168" s="13" t="s">
        <v>2244</v>
      </c>
      <c r="B1168" s="14">
        <v>1</v>
      </c>
    </row>
    <row r="1169" spans="1:2" x14ac:dyDescent="0.35">
      <c r="A1169" s="37" t="s">
        <v>2242</v>
      </c>
      <c r="B1169" s="14">
        <v>1</v>
      </c>
    </row>
    <row r="1170" spans="1:2" x14ac:dyDescent="0.35">
      <c r="A1170" s="38" t="s">
        <v>4186</v>
      </c>
      <c r="B1170" s="14">
        <v>1</v>
      </c>
    </row>
    <row r="1171" spans="1:2" x14ac:dyDescent="0.35">
      <c r="A1171" s="13" t="s">
        <v>2038</v>
      </c>
      <c r="B1171" s="14">
        <v>1</v>
      </c>
    </row>
    <row r="1172" spans="1:2" x14ac:dyDescent="0.35">
      <c r="A1172" s="37" t="s">
        <v>2037</v>
      </c>
      <c r="B1172" s="14">
        <v>1</v>
      </c>
    </row>
    <row r="1173" spans="1:2" x14ac:dyDescent="0.35">
      <c r="A1173" s="38" t="s">
        <v>4186</v>
      </c>
      <c r="B1173" s="14">
        <v>1</v>
      </c>
    </row>
    <row r="1174" spans="1:2" x14ac:dyDescent="0.35">
      <c r="A1174" s="13" t="s">
        <v>2249</v>
      </c>
      <c r="B1174" s="14">
        <v>1</v>
      </c>
    </row>
    <row r="1175" spans="1:2" x14ac:dyDescent="0.35">
      <c r="A1175" s="37" t="s">
        <v>2247</v>
      </c>
      <c r="B1175" s="14">
        <v>1</v>
      </c>
    </row>
    <row r="1176" spans="1:2" x14ac:dyDescent="0.35">
      <c r="A1176" s="38" t="s">
        <v>4186</v>
      </c>
      <c r="B1176" s="14">
        <v>1</v>
      </c>
    </row>
    <row r="1177" spans="1:2" x14ac:dyDescent="0.35">
      <c r="A1177" s="13" t="s">
        <v>2039</v>
      </c>
      <c r="B1177" s="14">
        <v>1</v>
      </c>
    </row>
    <row r="1178" spans="1:2" x14ac:dyDescent="0.35">
      <c r="A1178" s="37" t="s">
        <v>2037</v>
      </c>
      <c r="B1178" s="14">
        <v>1</v>
      </c>
    </row>
    <row r="1179" spans="1:2" x14ac:dyDescent="0.35">
      <c r="A1179" s="38" t="s">
        <v>4186</v>
      </c>
      <c r="B1179" s="14">
        <v>1</v>
      </c>
    </row>
    <row r="1180" spans="1:2" x14ac:dyDescent="0.35">
      <c r="A1180" s="13" t="s">
        <v>2260</v>
      </c>
      <c r="B1180" s="14">
        <v>1</v>
      </c>
    </row>
    <row r="1181" spans="1:2" x14ac:dyDescent="0.35">
      <c r="A1181" s="37" t="s">
        <v>2252</v>
      </c>
      <c r="B1181" s="14">
        <v>1</v>
      </c>
    </row>
    <row r="1182" spans="1:2" x14ac:dyDescent="0.35">
      <c r="A1182" s="38" t="s">
        <v>4186</v>
      </c>
      <c r="B1182" s="14">
        <v>1</v>
      </c>
    </row>
    <row r="1183" spans="1:2" x14ac:dyDescent="0.35">
      <c r="A1183" s="13" t="s">
        <v>2040</v>
      </c>
      <c r="B1183" s="14">
        <v>1</v>
      </c>
    </row>
    <row r="1184" spans="1:2" x14ac:dyDescent="0.35">
      <c r="A1184" s="37" t="s">
        <v>2037</v>
      </c>
      <c r="B1184" s="14">
        <v>1</v>
      </c>
    </row>
    <row r="1185" spans="1:2" x14ac:dyDescent="0.35">
      <c r="A1185" s="38" t="s">
        <v>4186</v>
      </c>
      <c r="B1185" s="14">
        <v>1</v>
      </c>
    </row>
    <row r="1186" spans="1:2" x14ac:dyDescent="0.35">
      <c r="A1186" s="13" t="s">
        <v>2268</v>
      </c>
      <c r="B1186" s="14">
        <v>1</v>
      </c>
    </row>
    <row r="1187" spans="1:2" x14ac:dyDescent="0.35">
      <c r="A1187" s="37" t="s">
        <v>2267</v>
      </c>
      <c r="B1187" s="14">
        <v>1</v>
      </c>
    </row>
    <row r="1188" spans="1:2" x14ac:dyDescent="0.35">
      <c r="A1188" s="38" t="s">
        <v>4186</v>
      </c>
      <c r="B1188" s="14">
        <v>1</v>
      </c>
    </row>
    <row r="1189" spans="1:2" x14ac:dyDescent="0.35">
      <c r="A1189" s="13" t="s">
        <v>2042</v>
      </c>
      <c r="B1189" s="14">
        <v>1</v>
      </c>
    </row>
    <row r="1190" spans="1:2" x14ac:dyDescent="0.35">
      <c r="A1190" s="37" t="s">
        <v>2037</v>
      </c>
      <c r="B1190" s="14">
        <v>1</v>
      </c>
    </row>
    <row r="1191" spans="1:2" x14ac:dyDescent="0.35">
      <c r="A1191" s="38" t="s">
        <v>4186</v>
      </c>
      <c r="B1191" s="14">
        <v>1</v>
      </c>
    </row>
    <row r="1192" spans="1:2" x14ac:dyDescent="0.35">
      <c r="A1192" s="13" t="s">
        <v>2277</v>
      </c>
      <c r="B1192" s="14">
        <v>1</v>
      </c>
    </row>
    <row r="1193" spans="1:2" x14ac:dyDescent="0.35">
      <c r="A1193" s="37" t="s">
        <v>2276</v>
      </c>
      <c r="B1193" s="14">
        <v>1</v>
      </c>
    </row>
    <row r="1194" spans="1:2" x14ac:dyDescent="0.35">
      <c r="A1194" s="38" t="s">
        <v>4186</v>
      </c>
      <c r="B1194" s="14">
        <v>1</v>
      </c>
    </row>
    <row r="1195" spans="1:2" x14ac:dyDescent="0.35">
      <c r="A1195" s="13" t="s">
        <v>2044</v>
      </c>
      <c r="B1195" s="14">
        <v>1</v>
      </c>
    </row>
    <row r="1196" spans="1:2" x14ac:dyDescent="0.35">
      <c r="A1196" s="37" t="s">
        <v>2043</v>
      </c>
      <c r="B1196" s="14">
        <v>1</v>
      </c>
    </row>
    <row r="1197" spans="1:2" x14ac:dyDescent="0.35">
      <c r="A1197" s="38" t="s">
        <v>4186</v>
      </c>
      <c r="B1197" s="14">
        <v>1</v>
      </c>
    </row>
    <row r="1198" spans="1:2" x14ac:dyDescent="0.35">
      <c r="A1198" s="13" t="s">
        <v>2286</v>
      </c>
      <c r="B1198" s="14">
        <v>1</v>
      </c>
    </row>
    <row r="1199" spans="1:2" x14ac:dyDescent="0.35">
      <c r="A1199" s="37" t="s">
        <v>2282</v>
      </c>
      <c r="B1199" s="14">
        <v>1</v>
      </c>
    </row>
    <row r="1200" spans="1:2" x14ac:dyDescent="0.35">
      <c r="A1200" s="38" t="s">
        <v>4187</v>
      </c>
      <c r="B1200" s="14">
        <v>1</v>
      </c>
    </row>
    <row r="1201" spans="1:2" x14ac:dyDescent="0.35">
      <c r="A1201" s="13" t="s">
        <v>1913</v>
      </c>
      <c r="B1201" s="14">
        <v>1</v>
      </c>
    </row>
    <row r="1202" spans="1:2" x14ac:dyDescent="0.35">
      <c r="A1202" s="37" t="s">
        <v>3151</v>
      </c>
      <c r="B1202" s="14">
        <v>1</v>
      </c>
    </row>
    <row r="1203" spans="1:2" x14ac:dyDescent="0.35">
      <c r="A1203" s="38" t="s">
        <v>4185</v>
      </c>
      <c r="B1203" s="14">
        <v>1</v>
      </c>
    </row>
    <row r="1204" spans="1:2" x14ac:dyDescent="0.35">
      <c r="A1204" s="13" t="s">
        <v>2297</v>
      </c>
      <c r="B1204" s="14">
        <v>1</v>
      </c>
    </row>
    <row r="1205" spans="1:2" x14ac:dyDescent="0.35">
      <c r="A1205" s="37" t="s">
        <v>2296</v>
      </c>
      <c r="B1205" s="14">
        <v>1</v>
      </c>
    </row>
    <row r="1206" spans="1:2" x14ac:dyDescent="0.35">
      <c r="A1206" s="38" t="s">
        <v>4187</v>
      </c>
      <c r="B1206" s="14">
        <v>1</v>
      </c>
    </row>
    <row r="1207" spans="1:2" x14ac:dyDescent="0.35">
      <c r="A1207" s="13" t="s">
        <v>2052</v>
      </c>
      <c r="B1207" s="14">
        <v>1</v>
      </c>
    </row>
    <row r="1208" spans="1:2" x14ac:dyDescent="0.35">
      <c r="A1208" s="37" t="s">
        <v>2051</v>
      </c>
      <c r="B1208" s="14">
        <v>1</v>
      </c>
    </row>
    <row r="1209" spans="1:2" x14ac:dyDescent="0.35">
      <c r="A1209" s="38" t="s">
        <v>4186</v>
      </c>
      <c r="B1209" s="14">
        <v>1</v>
      </c>
    </row>
    <row r="1210" spans="1:2" x14ac:dyDescent="0.35">
      <c r="A1210" s="13" t="s">
        <v>2307</v>
      </c>
      <c r="B1210" s="14">
        <v>1</v>
      </c>
    </row>
    <row r="1211" spans="1:2" x14ac:dyDescent="0.35">
      <c r="A1211" s="37" t="s">
        <v>2305</v>
      </c>
      <c r="B1211" s="14">
        <v>1</v>
      </c>
    </row>
    <row r="1212" spans="1:2" x14ac:dyDescent="0.35">
      <c r="A1212" s="38" t="s">
        <v>4187</v>
      </c>
      <c r="B1212" s="14">
        <v>1</v>
      </c>
    </row>
    <row r="1213" spans="1:2" x14ac:dyDescent="0.35">
      <c r="A1213" s="13" t="s">
        <v>2055</v>
      </c>
      <c r="B1213" s="14">
        <v>1</v>
      </c>
    </row>
    <row r="1214" spans="1:2" x14ac:dyDescent="0.35">
      <c r="A1214" s="37" t="s">
        <v>2054</v>
      </c>
      <c r="B1214" s="14">
        <v>1</v>
      </c>
    </row>
    <row r="1215" spans="1:2" x14ac:dyDescent="0.35">
      <c r="A1215" s="38" t="s">
        <v>4186</v>
      </c>
      <c r="B1215" s="14">
        <v>1</v>
      </c>
    </row>
    <row r="1216" spans="1:2" x14ac:dyDescent="0.35">
      <c r="A1216" s="13" t="s">
        <v>1941</v>
      </c>
      <c r="B1216" s="14">
        <v>1</v>
      </c>
    </row>
    <row r="1217" spans="1:2" x14ac:dyDescent="0.35">
      <c r="A1217" s="37" t="s">
        <v>3135</v>
      </c>
      <c r="B1217" s="14">
        <v>1</v>
      </c>
    </row>
    <row r="1218" spans="1:2" x14ac:dyDescent="0.35">
      <c r="A1218" s="38" t="s">
        <v>4185</v>
      </c>
      <c r="B1218" s="14">
        <v>1</v>
      </c>
    </row>
    <row r="1219" spans="1:2" x14ac:dyDescent="0.35">
      <c r="A1219" s="13" t="s">
        <v>2057</v>
      </c>
      <c r="B1219" s="14">
        <v>1</v>
      </c>
    </row>
    <row r="1220" spans="1:2" x14ac:dyDescent="0.35">
      <c r="A1220" s="37" t="s">
        <v>2056</v>
      </c>
      <c r="B1220" s="14">
        <v>1</v>
      </c>
    </row>
    <row r="1221" spans="1:2" x14ac:dyDescent="0.35">
      <c r="A1221" s="38" t="s">
        <v>4186</v>
      </c>
      <c r="B1221" s="14">
        <v>1</v>
      </c>
    </row>
    <row r="1222" spans="1:2" x14ac:dyDescent="0.35">
      <c r="A1222" s="13" t="s">
        <v>2332</v>
      </c>
      <c r="B1222" s="14">
        <v>1</v>
      </c>
    </row>
    <row r="1223" spans="1:2" x14ac:dyDescent="0.35">
      <c r="A1223" s="37" t="s">
        <v>2331</v>
      </c>
      <c r="B1223" s="14">
        <v>1</v>
      </c>
    </row>
    <row r="1224" spans="1:2" x14ac:dyDescent="0.35">
      <c r="A1224" s="38" t="s">
        <v>4187</v>
      </c>
      <c r="B1224" s="14">
        <v>1</v>
      </c>
    </row>
    <row r="1225" spans="1:2" x14ac:dyDescent="0.35">
      <c r="A1225" s="13" t="s">
        <v>1915</v>
      </c>
      <c r="B1225" s="14">
        <v>1</v>
      </c>
    </row>
    <row r="1226" spans="1:2" x14ac:dyDescent="0.35">
      <c r="A1226" s="37" t="s">
        <v>3151</v>
      </c>
      <c r="B1226" s="14">
        <v>1</v>
      </c>
    </row>
    <row r="1227" spans="1:2" x14ac:dyDescent="0.35">
      <c r="A1227" s="38" t="s">
        <v>4185</v>
      </c>
      <c r="B1227" s="14">
        <v>1</v>
      </c>
    </row>
    <row r="1228" spans="1:2" x14ac:dyDescent="0.35">
      <c r="A1228" s="13" t="s">
        <v>2339</v>
      </c>
      <c r="B1228" s="14">
        <v>1</v>
      </c>
    </row>
    <row r="1229" spans="1:2" x14ac:dyDescent="0.35">
      <c r="A1229" s="37" t="s">
        <v>2338</v>
      </c>
      <c r="B1229" s="14">
        <v>1</v>
      </c>
    </row>
    <row r="1230" spans="1:2" x14ac:dyDescent="0.35">
      <c r="A1230" s="38" t="s">
        <v>4187</v>
      </c>
      <c r="B1230" s="14">
        <v>1</v>
      </c>
    </row>
    <row r="1231" spans="1:2" x14ac:dyDescent="0.35">
      <c r="A1231" s="13" t="s">
        <v>2066</v>
      </c>
      <c r="B1231" s="14">
        <v>1</v>
      </c>
    </row>
    <row r="1232" spans="1:2" x14ac:dyDescent="0.35">
      <c r="A1232" s="37" t="s">
        <v>2065</v>
      </c>
      <c r="B1232" s="14">
        <v>1</v>
      </c>
    </row>
    <row r="1233" spans="1:2" x14ac:dyDescent="0.35">
      <c r="A1233" s="38" t="s">
        <v>4186</v>
      </c>
      <c r="B1233" s="14">
        <v>1</v>
      </c>
    </row>
    <row r="1234" spans="1:2" x14ac:dyDescent="0.35">
      <c r="A1234" s="13" t="s">
        <v>2348</v>
      </c>
      <c r="B1234" s="14">
        <v>1</v>
      </c>
    </row>
    <row r="1235" spans="1:2" x14ac:dyDescent="0.35">
      <c r="A1235" s="37" t="s">
        <v>2347</v>
      </c>
      <c r="B1235" s="14">
        <v>1</v>
      </c>
    </row>
    <row r="1236" spans="1:2" x14ac:dyDescent="0.35">
      <c r="A1236" s="38" t="s">
        <v>4187</v>
      </c>
      <c r="B1236" s="14">
        <v>1</v>
      </c>
    </row>
    <row r="1237" spans="1:2" x14ac:dyDescent="0.35">
      <c r="A1237" s="13" t="s">
        <v>2068</v>
      </c>
      <c r="B1237" s="14">
        <v>1</v>
      </c>
    </row>
    <row r="1238" spans="1:2" x14ac:dyDescent="0.35">
      <c r="A1238" s="37" t="s">
        <v>2065</v>
      </c>
      <c r="B1238" s="14">
        <v>1</v>
      </c>
    </row>
    <row r="1239" spans="1:2" x14ac:dyDescent="0.35">
      <c r="A1239" s="38" t="s">
        <v>4186</v>
      </c>
      <c r="B1239" s="14">
        <v>1</v>
      </c>
    </row>
    <row r="1240" spans="1:2" x14ac:dyDescent="0.35">
      <c r="A1240" s="13" t="s">
        <v>2359</v>
      </c>
      <c r="B1240" s="14">
        <v>1</v>
      </c>
    </row>
    <row r="1241" spans="1:2" x14ac:dyDescent="0.35">
      <c r="A1241" s="37" t="s">
        <v>2356</v>
      </c>
      <c r="B1241" s="14">
        <v>1</v>
      </c>
    </row>
    <row r="1242" spans="1:2" x14ac:dyDescent="0.35">
      <c r="A1242" s="38" t="s">
        <v>4187</v>
      </c>
      <c r="B1242" s="14">
        <v>1</v>
      </c>
    </row>
    <row r="1243" spans="1:2" x14ac:dyDescent="0.35">
      <c r="A1243" s="13" t="s">
        <v>2071</v>
      </c>
      <c r="B1243" s="14">
        <v>1</v>
      </c>
    </row>
    <row r="1244" spans="1:2" x14ac:dyDescent="0.35">
      <c r="A1244" s="37" t="s">
        <v>2070</v>
      </c>
      <c r="B1244" s="14">
        <v>1</v>
      </c>
    </row>
    <row r="1245" spans="1:2" x14ac:dyDescent="0.35">
      <c r="A1245" s="38" t="s">
        <v>4186</v>
      </c>
      <c r="B1245" s="14">
        <v>1</v>
      </c>
    </row>
    <row r="1246" spans="1:2" x14ac:dyDescent="0.35">
      <c r="A1246" s="13" t="s">
        <v>2369</v>
      </c>
      <c r="B1246" s="14">
        <v>1</v>
      </c>
    </row>
    <row r="1247" spans="1:2" x14ac:dyDescent="0.35">
      <c r="A1247" s="37" t="s">
        <v>2366</v>
      </c>
      <c r="B1247" s="14">
        <v>1</v>
      </c>
    </row>
    <row r="1248" spans="1:2" x14ac:dyDescent="0.35">
      <c r="A1248" s="38" t="s">
        <v>4187</v>
      </c>
      <c r="B1248" s="14">
        <v>1</v>
      </c>
    </row>
    <row r="1249" spans="1:2" x14ac:dyDescent="0.35">
      <c r="A1249" s="13" t="s">
        <v>2073</v>
      </c>
      <c r="B1249" s="14">
        <v>1</v>
      </c>
    </row>
    <row r="1250" spans="1:2" x14ac:dyDescent="0.35">
      <c r="A1250" s="37" t="s">
        <v>2070</v>
      </c>
      <c r="B1250" s="14">
        <v>1</v>
      </c>
    </row>
    <row r="1251" spans="1:2" x14ac:dyDescent="0.35">
      <c r="A1251" s="38" t="s">
        <v>4186</v>
      </c>
      <c r="B1251" s="14">
        <v>1</v>
      </c>
    </row>
    <row r="1252" spans="1:2" x14ac:dyDescent="0.35">
      <c r="A1252" s="13" t="s">
        <v>2379</v>
      </c>
      <c r="B1252" s="14">
        <v>1</v>
      </c>
    </row>
    <row r="1253" spans="1:2" x14ac:dyDescent="0.35">
      <c r="A1253" s="37" t="s">
        <v>2378</v>
      </c>
      <c r="B1253" s="14">
        <v>1</v>
      </c>
    </row>
    <row r="1254" spans="1:2" x14ac:dyDescent="0.35">
      <c r="A1254" s="38" t="s">
        <v>4187</v>
      </c>
      <c r="B1254" s="14">
        <v>1</v>
      </c>
    </row>
    <row r="1255" spans="1:2" x14ac:dyDescent="0.35">
      <c r="A1255" s="13" t="s">
        <v>2075</v>
      </c>
      <c r="B1255" s="14">
        <v>1</v>
      </c>
    </row>
    <row r="1256" spans="1:2" x14ac:dyDescent="0.35">
      <c r="A1256" s="37" t="s">
        <v>2070</v>
      </c>
      <c r="B1256" s="14">
        <v>1</v>
      </c>
    </row>
    <row r="1257" spans="1:2" x14ac:dyDescent="0.35">
      <c r="A1257" s="38" t="s">
        <v>4186</v>
      </c>
      <c r="B1257" s="14">
        <v>1</v>
      </c>
    </row>
    <row r="1258" spans="1:2" x14ac:dyDescent="0.35">
      <c r="A1258" s="13" t="s">
        <v>2386</v>
      </c>
      <c r="B1258" s="14">
        <v>1</v>
      </c>
    </row>
    <row r="1259" spans="1:2" x14ac:dyDescent="0.35">
      <c r="A1259" s="37" t="s">
        <v>2383</v>
      </c>
      <c r="B1259" s="14">
        <v>1</v>
      </c>
    </row>
    <row r="1260" spans="1:2" x14ac:dyDescent="0.35">
      <c r="A1260" s="38" t="s">
        <v>4187</v>
      </c>
      <c r="B1260" s="14">
        <v>1</v>
      </c>
    </row>
    <row r="1261" spans="1:2" x14ac:dyDescent="0.35">
      <c r="A1261" s="13" t="s">
        <v>2077</v>
      </c>
      <c r="B1261" s="14">
        <v>1</v>
      </c>
    </row>
    <row r="1262" spans="1:2" x14ac:dyDescent="0.35">
      <c r="A1262" s="37" t="s">
        <v>2070</v>
      </c>
      <c r="B1262" s="14">
        <v>1</v>
      </c>
    </row>
    <row r="1263" spans="1:2" x14ac:dyDescent="0.35">
      <c r="A1263" s="38" t="s">
        <v>4186</v>
      </c>
      <c r="B1263" s="14">
        <v>1</v>
      </c>
    </row>
    <row r="1264" spans="1:2" x14ac:dyDescent="0.35">
      <c r="A1264" s="13" t="s">
        <v>2392</v>
      </c>
      <c r="B1264" s="14">
        <v>1</v>
      </c>
    </row>
    <row r="1265" spans="1:2" x14ac:dyDescent="0.35">
      <c r="A1265" s="37" t="s">
        <v>2390</v>
      </c>
      <c r="B1265" s="14">
        <v>1</v>
      </c>
    </row>
    <row r="1266" spans="1:2" x14ac:dyDescent="0.35">
      <c r="A1266" s="38" t="s">
        <v>4187</v>
      </c>
      <c r="B1266" s="14">
        <v>1</v>
      </c>
    </row>
    <row r="1267" spans="1:2" x14ac:dyDescent="0.35">
      <c r="A1267" s="13" t="s">
        <v>2079</v>
      </c>
      <c r="B1267" s="14">
        <v>1</v>
      </c>
    </row>
    <row r="1268" spans="1:2" x14ac:dyDescent="0.35">
      <c r="A1268" s="37" t="s">
        <v>2078</v>
      </c>
      <c r="B1268" s="14">
        <v>1</v>
      </c>
    </row>
    <row r="1269" spans="1:2" x14ac:dyDescent="0.35">
      <c r="A1269" s="38" t="s">
        <v>4186</v>
      </c>
      <c r="B1269" s="14">
        <v>1</v>
      </c>
    </row>
    <row r="1270" spans="1:2" x14ac:dyDescent="0.35">
      <c r="A1270" s="13" t="s">
        <v>2400</v>
      </c>
      <c r="B1270" s="14">
        <v>1</v>
      </c>
    </row>
    <row r="1271" spans="1:2" x14ac:dyDescent="0.35">
      <c r="A1271" s="37" t="s">
        <v>2396</v>
      </c>
      <c r="B1271" s="14">
        <v>1</v>
      </c>
    </row>
    <row r="1272" spans="1:2" x14ac:dyDescent="0.35">
      <c r="A1272" s="38" t="s">
        <v>4187</v>
      </c>
      <c r="B1272" s="14">
        <v>1</v>
      </c>
    </row>
    <row r="1273" spans="1:2" x14ac:dyDescent="0.35">
      <c r="A1273" s="13" t="s">
        <v>2082</v>
      </c>
      <c r="B1273" s="14">
        <v>1</v>
      </c>
    </row>
    <row r="1274" spans="1:2" x14ac:dyDescent="0.35">
      <c r="A1274" s="37" t="s">
        <v>2081</v>
      </c>
      <c r="B1274" s="14">
        <v>1</v>
      </c>
    </row>
    <row r="1275" spans="1:2" x14ac:dyDescent="0.35">
      <c r="A1275" s="38" t="s">
        <v>4186</v>
      </c>
      <c r="B1275" s="14">
        <v>1</v>
      </c>
    </row>
    <row r="1276" spans="1:2" x14ac:dyDescent="0.35">
      <c r="A1276" s="13" t="s">
        <v>2409</v>
      </c>
      <c r="B1276" s="14">
        <v>1</v>
      </c>
    </row>
    <row r="1277" spans="1:2" x14ac:dyDescent="0.35">
      <c r="A1277" s="37" t="s">
        <v>2408</v>
      </c>
      <c r="B1277" s="14">
        <v>1</v>
      </c>
    </row>
    <row r="1278" spans="1:2" x14ac:dyDescent="0.35">
      <c r="A1278" s="38" t="s">
        <v>4187</v>
      </c>
      <c r="B1278" s="14">
        <v>1</v>
      </c>
    </row>
    <row r="1279" spans="1:2" x14ac:dyDescent="0.35">
      <c r="A1279" s="13" t="s">
        <v>2084</v>
      </c>
      <c r="B1279" s="14">
        <v>1</v>
      </c>
    </row>
    <row r="1280" spans="1:2" x14ac:dyDescent="0.35">
      <c r="A1280" s="37" t="s">
        <v>2083</v>
      </c>
      <c r="B1280" s="14">
        <v>1</v>
      </c>
    </row>
    <row r="1281" spans="1:2" x14ac:dyDescent="0.35">
      <c r="A1281" s="38" t="s">
        <v>4186</v>
      </c>
      <c r="B1281" s="14">
        <v>1</v>
      </c>
    </row>
    <row r="1282" spans="1:2" x14ac:dyDescent="0.35">
      <c r="A1282" s="13" t="s">
        <v>2418</v>
      </c>
      <c r="B1282" s="14">
        <v>1</v>
      </c>
    </row>
    <row r="1283" spans="1:2" x14ac:dyDescent="0.35">
      <c r="A1283" s="37" t="s">
        <v>2417</v>
      </c>
      <c r="B1283" s="14">
        <v>1</v>
      </c>
    </row>
    <row r="1284" spans="1:2" x14ac:dyDescent="0.35">
      <c r="A1284" s="38" t="s">
        <v>4187</v>
      </c>
      <c r="B1284" s="14">
        <v>1</v>
      </c>
    </row>
    <row r="1285" spans="1:2" x14ac:dyDescent="0.35">
      <c r="A1285" s="13" t="s">
        <v>2086</v>
      </c>
      <c r="B1285" s="14">
        <v>1</v>
      </c>
    </row>
    <row r="1286" spans="1:2" x14ac:dyDescent="0.35">
      <c r="A1286" s="37" t="s">
        <v>2085</v>
      </c>
      <c r="B1286" s="14">
        <v>1</v>
      </c>
    </row>
    <row r="1287" spans="1:2" x14ac:dyDescent="0.35">
      <c r="A1287" s="38" t="s">
        <v>4186</v>
      </c>
      <c r="B1287" s="14">
        <v>1</v>
      </c>
    </row>
    <row r="1288" spans="1:2" x14ac:dyDescent="0.35">
      <c r="A1288" s="13" t="s">
        <v>2429</v>
      </c>
      <c r="B1288" s="14">
        <v>1</v>
      </c>
    </row>
    <row r="1289" spans="1:2" x14ac:dyDescent="0.35">
      <c r="A1289" s="37" t="s">
        <v>3155</v>
      </c>
      <c r="B1289" s="14">
        <v>1</v>
      </c>
    </row>
    <row r="1290" spans="1:2" x14ac:dyDescent="0.35">
      <c r="A1290" s="38" t="s">
        <v>4187</v>
      </c>
      <c r="B1290" s="14">
        <v>1</v>
      </c>
    </row>
    <row r="1291" spans="1:2" x14ac:dyDescent="0.35">
      <c r="A1291" s="13" t="s">
        <v>2089</v>
      </c>
      <c r="B1291" s="14">
        <v>1</v>
      </c>
    </row>
    <row r="1292" spans="1:2" x14ac:dyDescent="0.35">
      <c r="A1292" s="37" t="s">
        <v>2088</v>
      </c>
      <c r="B1292" s="14">
        <v>1</v>
      </c>
    </row>
    <row r="1293" spans="1:2" x14ac:dyDescent="0.35">
      <c r="A1293" s="38" t="s">
        <v>4186</v>
      </c>
      <c r="B1293" s="14">
        <v>1</v>
      </c>
    </row>
    <row r="1294" spans="1:2" x14ac:dyDescent="0.35">
      <c r="A1294" s="13" t="s">
        <v>2440</v>
      </c>
      <c r="B1294" s="14">
        <v>1</v>
      </c>
    </row>
    <row r="1295" spans="1:2" x14ac:dyDescent="0.35">
      <c r="A1295" s="37" t="s">
        <v>2439</v>
      </c>
      <c r="B1295" s="14">
        <v>1</v>
      </c>
    </row>
    <row r="1296" spans="1:2" x14ac:dyDescent="0.35">
      <c r="A1296" s="38" t="s">
        <v>4187</v>
      </c>
      <c r="B1296" s="14">
        <v>1</v>
      </c>
    </row>
    <row r="1297" spans="1:2" x14ac:dyDescent="0.35">
      <c r="A1297" s="13" t="s">
        <v>2092</v>
      </c>
      <c r="B1297" s="14">
        <v>1</v>
      </c>
    </row>
    <row r="1298" spans="1:2" x14ac:dyDescent="0.35">
      <c r="A1298" s="37" t="s">
        <v>2091</v>
      </c>
      <c r="B1298" s="14">
        <v>1</v>
      </c>
    </row>
    <row r="1299" spans="1:2" x14ac:dyDescent="0.35">
      <c r="A1299" s="38" t="s">
        <v>4186</v>
      </c>
      <c r="B1299" s="14">
        <v>1</v>
      </c>
    </row>
    <row r="1300" spans="1:2" x14ac:dyDescent="0.35">
      <c r="A1300" s="13" t="s">
        <v>2446</v>
      </c>
      <c r="B1300" s="14">
        <v>1</v>
      </c>
    </row>
    <row r="1301" spans="1:2" x14ac:dyDescent="0.35">
      <c r="A1301" s="37" t="s">
        <v>2442</v>
      </c>
      <c r="B1301" s="14">
        <v>1</v>
      </c>
    </row>
    <row r="1302" spans="1:2" x14ac:dyDescent="0.35">
      <c r="A1302" s="38" t="s">
        <v>4187</v>
      </c>
      <c r="B1302" s="14">
        <v>1</v>
      </c>
    </row>
    <row r="1303" spans="1:2" x14ac:dyDescent="0.35">
      <c r="A1303" s="13" t="s">
        <v>2094</v>
      </c>
      <c r="B1303" s="14">
        <v>1</v>
      </c>
    </row>
    <row r="1304" spans="1:2" x14ac:dyDescent="0.35">
      <c r="A1304" s="37" t="s">
        <v>2093</v>
      </c>
      <c r="B1304" s="14">
        <v>1</v>
      </c>
    </row>
    <row r="1305" spans="1:2" x14ac:dyDescent="0.35">
      <c r="A1305" s="38" t="s">
        <v>4186</v>
      </c>
      <c r="B1305" s="14">
        <v>1</v>
      </c>
    </row>
    <row r="1306" spans="1:2" x14ac:dyDescent="0.35">
      <c r="A1306" s="13" t="s">
        <v>2456</v>
      </c>
      <c r="B1306" s="14">
        <v>1</v>
      </c>
    </row>
    <row r="1307" spans="1:2" x14ac:dyDescent="0.35">
      <c r="A1307" s="37" t="s">
        <v>2455</v>
      </c>
      <c r="B1307" s="14">
        <v>1</v>
      </c>
    </row>
    <row r="1308" spans="1:2" x14ac:dyDescent="0.35">
      <c r="A1308" s="38" t="s">
        <v>4187</v>
      </c>
      <c r="B1308" s="14">
        <v>1</v>
      </c>
    </row>
    <row r="1309" spans="1:2" x14ac:dyDescent="0.35">
      <c r="A1309" s="13" t="s">
        <v>2097</v>
      </c>
      <c r="B1309" s="14">
        <v>1</v>
      </c>
    </row>
    <row r="1310" spans="1:2" x14ac:dyDescent="0.35">
      <c r="A1310" s="37" t="s">
        <v>2096</v>
      </c>
      <c r="B1310" s="14">
        <v>1</v>
      </c>
    </row>
    <row r="1311" spans="1:2" x14ac:dyDescent="0.35">
      <c r="A1311" s="38" t="s">
        <v>4186</v>
      </c>
      <c r="B1311" s="14">
        <v>1</v>
      </c>
    </row>
    <row r="1312" spans="1:2" x14ac:dyDescent="0.35">
      <c r="A1312" s="13" t="s">
        <v>2462</v>
      </c>
      <c r="B1312" s="14">
        <v>1</v>
      </c>
    </row>
    <row r="1313" spans="1:2" x14ac:dyDescent="0.35">
      <c r="A1313" s="37" t="s">
        <v>2455</v>
      </c>
      <c r="B1313" s="14">
        <v>1</v>
      </c>
    </row>
    <row r="1314" spans="1:2" x14ac:dyDescent="0.35">
      <c r="A1314" s="38" t="s">
        <v>4187</v>
      </c>
      <c r="B1314" s="14">
        <v>1</v>
      </c>
    </row>
    <row r="1315" spans="1:2" x14ac:dyDescent="0.35">
      <c r="A1315" s="13" t="s">
        <v>2098</v>
      </c>
      <c r="B1315" s="14">
        <v>1</v>
      </c>
    </row>
    <row r="1316" spans="1:2" x14ac:dyDescent="0.35">
      <c r="A1316" s="37" t="s">
        <v>2096</v>
      </c>
      <c r="B1316" s="14">
        <v>1</v>
      </c>
    </row>
    <row r="1317" spans="1:2" x14ac:dyDescent="0.35">
      <c r="A1317" s="38" t="s">
        <v>4186</v>
      </c>
      <c r="B1317" s="14">
        <v>1</v>
      </c>
    </row>
    <row r="1318" spans="1:2" x14ac:dyDescent="0.35">
      <c r="A1318" s="13" t="s">
        <v>1952</v>
      </c>
      <c r="B1318" s="14">
        <v>1</v>
      </c>
    </row>
    <row r="1319" spans="1:2" x14ac:dyDescent="0.35">
      <c r="A1319" s="37" t="s">
        <v>3138</v>
      </c>
      <c r="B1319" s="14">
        <v>1</v>
      </c>
    </row>
    <row r="1320" spans="1:2" x14ac:dyDescent="0.35">
      <c r="A1320" s="38" t="s">
        <v>4185</v>
      </c>
      <c r="B1320" s="14">
        <v>1</v>
      </c>
    </row>
    <row r="1321" spans="1:2" x14ac:dyDescent="0.35">
      <c r="A1321" s="13" t="s">
        <v>2099</v>
      </c>
      <c r="B1321" s="14">
        <v>1</v>
      </c>
    </row>
    <row r="1322" spans="1:2" x14ac:dyDescent="0.35">
      <c r="A1322" s="37" t="s">
        <v>2096</v>
      </c>
      <c r="B1322" s="14">
        <v>1</v>
      </c>
    </row>
    <row r="1323" spans="1:2" x14ac:dyDescent="0.35">
      <c r="A1323" s="38" t="s">
        <v>4186</v>
      </c>
      <c r="B1323" s="14">
        <v>1</v>
      </c>
    </row>
    <row r="1324" spans="1:2" x14ac:dyDescent="0.35">
      <c r="A1324" s="13" t="s">
        <v>2489</v>
      </c>
      <c r="B1324" s="14">
        <v>1</v>
      </c>
    </row>
    <row r="1325" spans="1:2" x14ac:dyDescent="0.35">
      <c r="A1325" s="37" t="s">
        <v>3148</v>
      </c>
      <c r="B1325" s="14">
        <v>1</v>
      </c>
    </row>
    <row r="1326" spans="1:2" x14ac:dyDescent="0.35">
      <c r="A1326" s="38" t="s">
        <v>4187</v>
      </c>
      <c r="B1326" s="14">
        <v>1</v>
      </c>
    </row>
    <row r="1327" spans="1:2" x14ac:dyDescent="0.35">
      <c r="A1327" s="13" t="s">
        <v>2101</v>
      </c>
      <c r="B1327" s="14">
        <v>1</v>
      </c>
    </row>
    <row r="1328" spans="1:2" x14ac:dyDescent="0.35">
      <c r="A1328" s="37" t="s">
        <v>2100</v>
      </c>
      <c r="B1328" s="14">
        <v>1</v>
      </c>
    </row>
    <row r="1329" spans="1:2" x14ac:dyDescent="0.35">
      <c r="A1329" s="38" t="s">
        <v>4186</v>
      </c>
      <c r="B1329" s="14">
        <v>1</v>
      </c>
    </row>
    <row r="1330" spans="1:2" x14ac:dyDescent="0.35">
      <c r="A1330" s="13" t="s">
        <v>1956</v>
      </c>
      <c r="B1330" s="14">
        <v>1</v>
      </c>
    </row>
    <row r="1331" spans="1:2" x14ac:dyDescent="0.35">
      <c r="A1331" s="37" t="s">
        <v>3138</v>
      </c>
      <c r="B1331" s="14">
        <v>1</v>
      </c>
    </row>
    <row r="1332" spans="1:2" x14ac:dyDescent="0.35">
      <c r="A1332" s="38" t="s">
        <v>4185</v>
      </c>
      <c r="B1332" s="14">
        <v>1</v>
      </c>
    </row>
    <row r="1333" spans="1:2" x14ac:dyDescent="0.35">
      <c r="A1333" s="13" t="s">
        <v>2103</v>
      </c>
      <c r="B1333" s="14">
        <v>1</v>
      </c>
    </row>
    <row r="1334" spans="1:2" x14ac:dyDescent="0.35">
      <c r="A1334" s="37" t="s">
        <v>2100</v>
      </c>
      <c r="B1334" s="14">
        <v>1</v>
      </c>
    </row>
    <row r="1335" spans="1:2" x14ac:dyDescent="0.35">
      <c r="A1335" s="38" t="s">
        <v>4186</v>
      </c>
      <c r="B1335" s="14">
        <v>1</v>
      </c>
    </row>
    <row r="1336" spans="1:2" x14ac:dyDescent="0.35">
      <c r="A1336" s="13" t="s">
        <v>2502</v>
      </c>
      <c r="B1336" s="14">
        <v>1</v>
      </c>
    </row>
    <row r="1337" spans="1:2" x14ac:dyDescent="0.35">
      <c r="A1337" s="37" t="s">
        <v>2498</v>
      </c>
      <c r="B1337" s="14">
        <v>1</v>
      </c>
    </row>
    <row r="1338" spans="1:2" x14ac:dyDescent="0.35">
      <c r="A1338" s="38" t="s">
        <v>4187</v>
      </c>
      <c r="B1338" s="14">
        <v>1</v>
      </c>
    </row>
    <row r="1339" spans="1:2" x14ac:dyDescent="0.35">
      <c r="A1339" s="13" t="s">
        <v>2106</v>
      </c>
      <c r="B1339" s="14">
        <v>1</v>
      </c>
    </row>
    <row r="1340" spans="1:2" x14ac:dyDescent="0.35">
      <c r="A1340" s="37" t="s">
        <v>2105</v>
      </c>
      <c r="B1340" s="14">
        <v>1</v>
      </c>
    </row>
    <row r="1341" spans="1:2" x14ac:dyDescent="0.35">
      <c r="A1341" s="38" t="s">
        <v>4186</v>
      </c>
      <c r="B1341" s="14">
        <v>1</v>
      </c>
    </row>
    <row r="1342" spans="1:2" x14ac:dyDescent="0.35">
      <c r="A1342" s="13" t="s">
        <v>2512</v>
      </c>
      <c r="B1342" s="14">
        <v>1</v>
      </c>
    </row>
    <row r="1343" spans="1:2" x14ac:dyDescent="0.35">
      <c r="A1343" s="37" t="s">
        <v>2511</v>
      </c>
      <c r="B1343" s="14">
        <v>1</v>
      </c>
    </row>
    <row r="1344" spans="1:2" x14ac:dyDescent="0.35">
      <c r="A1344" s="38" t="s">
        <v>4187</v>
      </c>
      <c r="B1344" s="14">
        <v>1</v>
      </c>
    </row>
    <row r="1345" spans="1:2" x14ac:dyDescent="0.35">
      <c r="A1345" s="13" t="s">
        <v>1917</v>
      </c>
      <c r="B1345" s="14">
        <v>1</v>
      </c>
    </row>
    <row r="1346" spans="1:2" x14ac:dyDescent="0.35">
      <c r="A1346" s="37" t="s">
        <v>3151</v>
      </c>
      <c r="B1346" s="14">
        <v>1</v>
      </c>
    </row>
    <row r="1347" spans="1:2" x14ac:dyDescent="0.35">
      <c r="A1347" s="38" t="s">
        <v>4185</v>
      </c>
      <c r="B1347" s="14">
        <v>1</v>
      </c>
    </row>
    <row r="1348" spans="1:2" x14ac:dyDescent="0.35">
      <c r="A1348" s="13" t="s">
        <v>2243</v>
      </c>
      <c r="B1348" s="14">
        <v>1</v>
      </c>
    </row>
    <row r="1349" spans="1:2" x14ac:dyDescent="0.35">
      <c r="A1349" s="37" t="s">
        <v>2242</v>
      </c>
      <c r="B1349" s="14">
        <v>1</v>
      </c>
    </row>
    <row r="1350" spans="1:2" x14ac:dyDescent="0.35">
      <c r="A1350" s="38" t="s">
        <v>4186</v>
      </c>
      <c r="B1350" s="14">
        <v>1</v>
      </c>
    </row>
    <row r="1351" spans="1:2" x14ac:dyDescent="0.35">
      <c r="A1351" s="13" t="s">
        <v>2113</v>
      </c>
      <c r="B1351" s="14">
        <v>1</v>
      </c>
    </row>
    <row r="1352" spans="1:2" x14ac:dyDescent="0.35">
      <c r="A1352" s="37" t="s">
        <v>2112</v>
      </c>
      <c r="B1352" s="14">
        <v>1</v>
      </c>
    </row>
    <row r="1353" spans="1:2" x14ac:dyDescent="0.35">
      <c r="A1353" s="38" t="s">
        <v>4186</v>
      </c>
      <c r="B1353" s="14">
        <v>1</v>
      </c>
    </row>
    <row r="1354" spans="1:2" x14ac:dyDescent="0.35">
      <c r="A1354" s="13" t="s">
        <v>2245</v>
      </c>
      <c r="B1354" s="14">
        <v>1</v>
      </c>
    </row>
    <row r="1355" spans="1:2" x14ac:dyDescent="0.35">
      <c r="A1355" s="37" t="s">
        <v>2242</v>
      </c>
      <c r="B1355" s="14">
        <v>1</v>
      </c>
    </row>
    <row r="1356" spans="1:2" x14ac:dyDescent="0.35">
      <c r="A1356" s="38" t="s">
        <v>4186</v>
      </c>
      <c r="B1356" s="14">
        <v>1</v>
      </c>
    </row>
    <row r="1357" spans="1:2" x14ac:dyDescent="0.35">
      <c r="A1357" s="13" t="s">
        <v>2115</v>
      </c>
      <c r="B1357" s="14">
        <v>1</v>
      </c>
    </row>
    <row r="1358" spans="1:2" x14ac:dyDescent="0.35">
      <c r="A1358" s="37" t="s">
        <v>2112</v>
      </c>
      <c r="B1358" s="14">
        <v>1</v>
      </c>
    </row>
    <row r="1359" spans="1:2" x14ac:dyDescent="0.35">
      <c r="A1359" s="38" t="s">
        <v>4186</v>
      </c>
      <c r="B1359" s="14">
        <v>1</v>
      </c>
    </row>
    <row r="1360" spans="1:2" x14ac:dyDescent="0.35">
      <c r="A1360" s="13" t="s">
        <v>2248</v>
      </c>
      <c r="B1360" s="14">
        <v>1</v>
      </c>
    </row>
    <row r="1361" spans="1:2" x14ac:dyDescent="0.35">
      <c r="A1361" s="37" t="s">
        <v>2247</v>
      </c>
      <c r="B1361" s="14">
        <v>1</v>
      </c>
    </row>
    <row r="1362" spans="1:2" x14ac:dyDescent="0.35">
      <c r="A1362" s="38" t="s">
        <v>4186</v>
      </c>
      <c r="B1362" s="14">
        <v>1</v>
      </c>
    </row>
    <row r="1363" spans="1:2" x14ac:dyDescent="0.35">
      <c r="A1363" s="13" t="s">
        <v>2116</v>
      </c>
      <c r="B1363" s="14">
        <v>1</v>
      </c>
    </row>
    <row r="1364" spans="1:2" x14ac:dyDescent="0.35">
      <c r="A1364" s="37" t="s">
        <v>2112</v>
      </c>
      <c r="B1364" s="14">
        <v>1</v>
      </c>
    </row>
    <row r="1365" spans="1:2" x14ac:dyDescent="0.35">
      <c r="A1365" s="38" t="s">
        <v>4186</v>
      </c>
      <c r="B1365" s="14">
        <v>1</v>
      </c>
    </row>
    <row r="1366" spans="1:2" x14ac:dyDescent="0.35">
      <c r="A1366" s="13" t="s">
        <v>1934</v>
      </c>
      <c r="B1366" s="14">
        <v>1</v>
      </c>
    </row>
    <row r="1367" spans="1:2" x14ac:dyDescent="0.35">
      <c r="A1367" s="37" t="s">
        <v>3133</v>
      </c>
      <c r="B1367" s="14">
        <v>1</v>
      </c>
    </row>
    <row r="1368" spans="1:2" x14ac:dyDescent="0.35">
      <c r="A1368" s="38" t="s">
        <v>4185</v>
      </c>
      <c r="B1368" s="14">
        <v>1</v>
      </c>
    </row>
    <row r="1369" spans="1:2" x14ac:dyDescent="0.35">
      <c r="A1369" s="13" t="s">
        <v>1919</v>
      </c>
      <c r="B1369" s="14">
        <v>1</v>
      </c>
    </row>
    <row r="1370" spans="1:2" x14ac:dyDescent="0.35">
      <c r="A1370" s="37" t="s">
        <v>3151</v>
      </c>
      <c r="B1370" s="14">
        <v>1</v>
      </c>
    </row>
    <row r="1371" spans="1:2" x14ac:dyDescent="0.35">
      <c r="A1371" s="38" t="s">
        <v>4185</v>
      </c>
      <c r="B1371" s="14">
        <v>1</v>
      </c>
    </row>
    <row r="1372" spans="1:2" x14ac:dyDescent="0.35">
      <c r="A1372" s="13" t="s">
        <v>2259</v>
      </c>
      <c r="B1372" s="14">
        <v>1</v>
      </c>
    </row>
    <row r="1373" spans="1:2" x14ac:dyDescent="0.35">
      <c r="A1373" s="37" t="s">
        <v>2252</v>
      </c>
      <c r="B1373" s="14">
        <v>1</v>
      </c>
    </row>
    <row r="1374" spans="1:2" x14ac:dyDescent="0.35">
      <c r="A1374" s="38" t="s">
        <v>4186</v>
      </c>
      <c r="B1374" s="14">
        <v>1</v>
      </c>
    </row>
    <row r="1375" spans="1:2" x14ac:dyDescent="0.35">
      <c r="A1375" s="13" t="s">
        <v>2122</v>
      </c>
      <c r="B1375" s="14">
        <v>1</v>
      </c>
    </row>
    <row r="1376" spans="1:2" x14ac:dyDescent="0.35">
      <c r="A1376" s="37" t="s">
        <v>2119</v>
      </c>
      <c r="B1376" s="14">
        <v>1</v>
      </c>
    </row>
    <row r="1377" spans="1:2" x14ac:dyDescent="0.35">
      <c r="A1377" s="38" t="s">
        <v>4186</v>
      </c>
      <c r="B1377" s="14">
        <v>1</v>
      </c>
    </row>
    <row r="1378" spans="1:2" x14ac:dyDescent="0.35">
      <c r="A1378" s="13" t="s">
        <v>2261</v>
      </c>
      <c r="B1378" s="14">
        <v>1</v>
      </c>
    </row>
    <row r="1379" spans="1:2" x14ac:dyDescent="0.35">
      <c r="A1379" s="37" t="s">
        <v>2252</v>
      </c>
      <c r="B1379" s="14">
        <v>1</v>
      </c>
    </row>
    <row r="1380" spans="1:2" x14ac:dyDescent="0.35">
      <c r="A1380" s="38" t="s">
        <v>4186</v>
      </c>
      <c r="B1380" s="14">
        <v>1</v>
      </c>
    </row>
    <row r="1381" spans="1:2" x14ac:dyDescent="0.35">
      <c r="A1381" s="13" t="s">
        <v>2123</v>
      </c>
      <c r="B1381" s="14">
        <v>1</v>
      </c>
    </row>
    <row r="1382" spans="1:2" x14ac:dyDescent="0.35">
      <c r="A1382" s="37" t="s">
        <v>2119</v>
      </c>
      <c r="B1382" s="14">
        <v>1</v>
      </c>
    </row>
    <row r="1383" spans="1:2" x14ac:dyDescent="0.35">
      <c r="A1383" s="38" t="s">
        <v>4186</v>
      </c>
      <c r="B1383" s="14">
        <v>1</v>
      </c>
    </row>
    <row r="1384" spans="1:2" x14ac:dyDescent="0.35">
      <c r="A1384" s="13" t="s">
        <v>2266</v>
      </c>
      <c r="B1384" s="14">
        <v>1</v>
      </c>
    </row>
    <row r="1385" spans="1:2" x14ac:dyDescent="0.35">
      <c r="A1385" s="37" t="s">
        <v>2265</v>
      </c>
      <c r="B1385" s="14">
        <v>1</v>
      </c>
    </row>
    <row r="1386" spans="1:2" x14ac:dyDescent="0.35">
      <c r="A1386" s="38" t="s">
        <v>4186</v>
      </c>
      <c r="B1386" s="14">
        <v>1</v>
      </c>
    </row>
    <row r="1387" spans="1:2" x14ac:dyDescent="0.35">
      <c r="A1387" s="13" t="s">
        <v>2125</v>
      </c>
      <c r="B1387" s="14">
        <v>1</v>
      </c>
    </row>
    <row r="1388" spans="1:2" x14ac:dyDescent="0.35">
      <c r="A1388" s="37" t="s">
        <v>2119</v>
      </c>
      <c r="B1388" s="14">
        <v>1</v>
      </c>
    </row>
    <row r="1389" spans="1:2" x14ac:dyDescent="0.35">
      <c r="A1389" s="38" t="s">
        <v>4186</v>
      </c>
      <c r="B1389" s="14">
        <v>1</v>
      </c>
    </row>
    <row r="1390" spans="1:2" x14ac:dyDescent="0.35">
      <c r="A1390" s="13" t="s">
        <v>2269</v>
      </c>
      <c r="B1390" s="14">
        <v>1</v>
      </c>
    </row>
    <row r="1391" spans="1:2" x14ac:dyDescent="0.35">
      <c r="A1391" s="37" t="s">
        <v>2267</v>
      </c>
      <c r="B1391" s="14">
        <v>1</v>
      </c>
    </row>
    <row r="1392" spans="1:2" x14ac:dyDescent="0.35">
      <c r="A1392" s="38" t="s">
        <v>4186</v>
      </c>
      <c r="B1392" s="14">
        <v>1</v>
      </c>
    </row>
    <row r="1393" spans="1:2" x14ac:dyDescent="0.35">
      <c r="A1393" s="13" t="s">
        <v>2127</v>
      </c>
      <c r="B1393" s="14">
        <v>1</v>
      </c>
    </row>
    <row r="1394" spans="1:2" x14ac:dyDescent="0.35">
      <c r="A1394" s="37" t="s">
        <v>2119</v>
      </c>
      <c r="B1394" s="14">
        <v>1</v>
      </c>
    </row>
    <row r="1395" spans="1:2" x14ac:dyDescent="0.35">
      <c r="A1395" s="38" t="s">
        <v>4186</v>
      </c>
      <c r="B1395" s="14">
        <v>1</v>
      </c>
    </row>
    <row r="1396" spans="1:2" x14ac:dyDescent="0.35">
      <c r="A1396" s="13" t="s">
        <v>2274</v>
      </c>
      <c r="B1396" s="14">
        <v>1</v>
      </c>
    </row>
    <row r="1397" spans="1:2" x14ac:dyDescent="0.35">
      <c r="A1397" s="37" t="s">
        <v>2273</v>
      </c>
      <c r="B1397" s="14">
        <v>1</v>
      </c>
    </row>
    <row r="1398" spans="1:2" x14ac:dyDescent="0.35">
      <c r="A1398" s="38" t="s">
        <v>4186</v>
      </c>
      <c r="B1398" s="14">
        <v>1</v>
      </c>
    </row>
    <row r="1399" spans="1:2" x14ac:dyDescent="0.35">
      <c r="A1399" s="13" t="s">
        <v>2128</v>
      </c>
      <c r="B1399" s="14">
        <v>1</v>
      </c>
    </row>
    <row r="1400" spans="1:2" x14ac:dyDescent="0.35">
      <c r="A1400" s="37" t="s">
        <v>2119</v>
      </c>
      <c r="B1400" s="14">
        <v>1</v>
      </c>
    </row>
    <row r="1401" spans="1:2" x14ac:dyDescent="0.35">
      <c r="A1401" s="38" t="s">
        <v>4186</v>
      </c>
      <c r="B1401" s="14">
        <v>1</v>
      </c>
    </row>
    <row r="1402" spans="1:2" x14ac:dyDescent="0.35">
      <c r="A1402" s="13" t="s">
        <v>1935</v>
      </c>
      <c r="B1402" s="14">
        <v>1</v>
      </c>
    </row>
    <row r="1403" spans="1:2" x14ac:dyDescent="0.35">
      <c r="A1403" s="37" t="s">
        <v>3133</v>
      </c>
      <c r="B1403" s="14">
        <v>1</v>
      </c>
    </row>
    <row r="1404" spans="1:2" x14ac:dyDescent="0.35">
      <c r="A1404" s="38" t="s">
        <v>4185</v>
      </c>
      <c r="B1404" s="14">
        <v>1</v>
      </c>
    </row>
    <row r="1405" spans="1:2" x14ac:dyDescent="0.35">
      <c r="A1405" s="13" t="s">
        <v>2129</v>
      </c>
      <c r="B1405" s="14">
        <v>1</v>
      </c>
    </row>
    <row r="1406" spans="1:2" x14ac:dyDescent="0.35">
      <c r="A1406" s="37" t="s">
        <v>2119</v>
      </c>
      <c r="B1406" s="14">
        <v>1</v>
      </c>
    </row>
    <row r="1407" spans="1:2" x14ac:dyDescent="0.35">
      <c r="A1407" s="38" t="s">
        <v>4186</v>
      </c>
      <c r="B1407" s="14">
        <v>1</v>
      </c>
    </row>
    <row r="1408" spans="1:2" x14ac:dyDescent="0.35">
      <c r="A1408" s="13" t="s">
        <v>2284</v>
      </c>
      <c r="B1408" s="14">
        <v>1</v>
      </c>
    </row>
    <row r="1409" spans="1:2" x14ac:dyDescent="0.35">
      <c r="A1409" s="37" t="s">
        <v>2282</v>
      </c>
      <c r="B1409" s="14">
        <v>1</v>
      </c>
    </row>
    <row r="1410" spans="1:2" x14ac:dyDescent="0.35">
      <c r="A1410" s="38" t="s">
        <v>4186</v>
      </c>
      <c r="B1410" s="14">
        <v>1</v>
      </c>
    </row>
    <row r="1411" spans="1:2" x14ac:dyDescent="0.35">
      <c r="A1411" s="13" t="s">
        <v>2131</v>
      </c>
      <c r="B1411" s="14">
        <v>1</v>
      </c>
    </row>
    <row r="1412" spans="1:2" x14ac:dyDescent="0.35">
      <c r="A1412" s="37" t="s">
        <v>2119</v>
      </c>
      <c r="B1412" s="14">
        <v>1</v>
      </c>
    </row>
    <row r="1413" spans="1:2" x14ac:dyDescent="0.35">
      <c r="A1413" s="38" t="s">
        <v>4186</v>
      </c>
      <c r="B1413" s="14">
        <v>1</v>
      </c>
    </row>
    <row r="1414" spans="1:2" x14ac:dyDescent="0.35">
      <c r="A1414" s="13" t="s">
        <v>1937</v>
      </c>
      <c r="B1414" s="14">
        <v>1</v>
      </c>
    </row>
    <row r="1415" spans="1:2" x14ac:dyDescent="0.35">
      <c r="A1415" s="37" t="s">
        <v>3133</v>
      </c>
      <c r="B1415" s="14">
        <v>1</v>
      </c>
    </row>
    <row r="1416" spans="1:2" x14ac:dyDescent="0.35">
      <c r="A1416" s="38" t="s">
        <v>4185</v>
      </c>
      <c r="B1416" s="14">
        <v>1</v>
      </c>
    </row>
    <row r="1417" spans="1:2" x14ac:dyDescent="0.35">
      <c r="A1417" s="13" t="s">
        <v>2133</v>
      </c>
      <c r="B1417" s="14">
        <v>1</v>
      </c>
    </row>
    <row r="1418" spans="1:2" x14ac:dyDescent="0.35">
      <c r="A1418" s="37" t="s">
        <v>2119</v>
      </c>
      <c r="B1418" s="14">
        <v>1</v>
      </c>
    </row>
    <row r="1419" spans="1:2" x14ac:dyDescent="0.35">
      <c r="A1419" s="38" t="s">
        <v>4186</v>
      </c>
      <c r="B1419" s="14">
        <v>1</v>
      </c>
    </row>
    <row r="1420" spans="1:2" x14ac:dyDescent="0.35">
      <c r="A1420" s="13" t="s">
        <v>2294</v>
      </c>
      <c r="B1420" s="14">
        <v>1</v>
      </c>
    </row>
    <row r="1421" spans="1:2" x14ac:dyDescent="0.35">
      <c r="A1421" s="37" t="s">
        <v>2293</v>
      </c>
      <c r="B1421" s="14">
        <v>1</v>
      </c>
    </row>
    <row r="1422" spans="1:2" x14ac:dyDescent="0.35">
      <c r="A1422" s="38" t="s">
        <v>4187</v>
      </c>
      <c r="B1422" s="14">
        <v>1</v>
      </c>
    </row>
    <row r="1423" spans="1:2" x14ac:dyDescent="0.35">
      <c r="A1423" s="13" t="s">
        <v>2134</v>
      </c>
      <c r="B1423" s="14">
        <v>1</v>
      </c>
    </row>
    <row r="1424" spans="1:2" x14ac:dyDescent="0.35">
      <c r="A1424" s="37" t="s">
        <v>2119</v>
      </c>
      <c r="B1424" s="14">
        <v>1</v>
      </c>
    </row>
    <row r="1425" spans="1:2" x14ac:dyDescent="0.35">
      <c r="A1425" s="38" t="s">
        <v>4186</v>
      </c>
      <c r="B1425" s="14">
        <v>1</v>
      </c>
    </row>
    <row r="1426" spans="1:2" x14ac:dyDescent="0.35">
      <c r="A1426" s="13" t="s">
        <v>2298</v>
      </c>
      <c r="B1426" s="14">
        <v>1</v>
      </c>
    </row>
    <row r="1427" spans="1:2" x14ac:dyDescent="0.35">
      <c r="A1427" s="37" t="s">
        <v>2296</v>
      </c>
      <c r="B1427" s="14">
        <v>1</v>
      </c>
    </row>
    <row r="1428" spans="1:2" x14ac:dyDescent="0.35">
      <c r="A1428" s="38" t="s">
        <v>4187</v>
      </c>
      <c r="B1428" s="14">
        <v>1</v>
      </c>
    </row>
    <row r="1429" spans="1:2" x14ac:dyDescent="0.35">
      <c r="A1429" s="13" t="s">
        <v>2136</v>
      </c>
      <c r="B1429" s="14">
        <v>1</v>
      </c>
    </row>
    <row r="1430" spans="1:2" x14ac:dyDescent="0.35">
      <c r="A1430" s="37" t="s">
        <v>2119</v>
      </c>
      <c r="B1430" s="14">
        <v>1</v>
      </c>
    </row>
    <row r="1431" spans="1:2" x14ac:dyDescent="0.35">
      <c r="A1431" s="38" t="s">
        <v>4186</v>
      </c>
      <c r="B1431" s="14">
        <v>1</v>
      </c>
    </row>
    <row r="1432" spans="1:2" x14ac:dyDescent="0.35">
      <c r="A1432" s="13" t="s">
        <v>1939</v>
      </c>
      <c r="B1432" s="14">
        <v>1</v>
      </c>
    </row>
    <row r="1433" spans="1:2" x14ac:dyDescent="0.35">
      <c r="A1433" s="37" t="s">
        <v>3134</v>
      </c>
      <c r="B1433" s="14">
        <v>1</v>
      </c>
    </row>
    <row r="1434" spans="1:2" x14ac:dyDescent="0.35">
      <c r="A1434" s="38" t="s">
        <v>4185</v>
      </c>
      <c r="B1434" s="14">
        <v>1</v>
      </c>
    </row>
    <row r="1435" spans="1:2" x14ac:dyDescent="0.35">
      <c r="A1435" s="13" t="s">
        <v>2138</v>
      </c>
      <c r="B1435" s="14">
        <v>1</v>
      </c>
    </row>
    <row r="1436" spans="1:2" x14ac:dyDescent="0.35">
      <c r="A1436" s="37" t="s">
        <v>2119</v>
      </c>
      <c r="B1436" s="14">
        <v>1</v>
      </c>
    </row>
    <row r="1437" spans="1:2" x14ac:dyDescent="0.35">
      <c r="A1437" s="38" t="s">
        <v>4186</v>
      </c>
      <c r="B1437" s="14">
        <v>1</v>
      </c>
    </row>
    <row r="1438" spans="1:2" x14ac:dyDescent="0.35">
      <c r="A1438" s="13" t="s">
        <v>2309</v>
      </c>
      <c r="B1438" s="14">
        <v>1</v>
      </c>
    </row>
    <row r="1439" spans="1:2" x14ac:dyDescent="0.35">
      <c r="A1439" s="37" t="s">
        <v>2305</v>
      </c>
      <c r="B1439" s="14">
        <v>1</v>
      </c>
    </row>
    <row r="1440" spans="1:2" x14ac:dyDescent="0.35">
      <c r="A1440" s="38" t="s">
        <v>4187</v>
      </c>
      <c r="B1440" s="14">
        <v>1</v>
      </c>
    </row>
    <row r="1441" spans="1:2" x14ac:dyDescent="0.35">
      <c r="A1441" s="13" t="s">
        <v>2139</v>
      </c>
      <c r="B1441" s="14">
        <v>1</v>
      </c>
    </row>
    <row r="1442" spans="1:2" x14ac:dyDescent="0.35">
      <c r="A1442" s="37" t="s">
        <v>2119</v>
      </c>
      <c r="B1442" s="14">
        <v>1</v>
      </c>
    </row>
    <row r="1443" spans="1:2" x14ac:dyDescent="0.35">
      <c r="A1443" s="38" t="s">
        <v>4186</v>
      </c>
      <c r="B1443" s="14">
        <v>1</v>
      </c>
    </row>
    <row r="1444" spans="1:2" x14ac:dyDescent="0.35">
      <c r="A1444" s="13" t="s">
        <v>2314</v>
      </c>
      <c r="B1444" s="14">
        <v>1</v>
      </c>
    </row>
    <row r="1445" spans="1:2" x14ac:dyDescent="0.35">
      <c r="A1445" s="37" t="s">
        <v>2313</v>
      </c>
      <c r="B1445" s="14">
        <v>1</v>
      </c>
    </row>
    <row r="1446" spans="1:2" x14ac:dyDescent="0.35">
      <c r="A1446" s="38" t="s">
        <v>4187</v>
      </c>
      <c r="B1446" s="14">
        <v>1</v>
      </c>
    </row>
    <row r="1447" spans="1:2" x14ac:dyDescent="0.35">
      <c r="A1447" s="13" t="s">
        <v>2141</v>
      </c>
      <c r="B1447" s="14">
        <v>1</v>
      </c>
    </row>
    <row r="1448" spans="1:2" x14ac:dyDescent="0.35">
      <c r="A1448" s="37" t="s">
        <v>2119</v>
      </c>
      <c r="B1448" s="14">
        <v>1</v>
      </c>
    </row>
    <row r="1449" spans="1:2" x14ac:dyDescent="0.35">
      <c r="A1449" s="38" t="s">
        <v>4186</v>
      </c>
      <c r="B1449" s="14">
        <v>1</v>
      </c>
    </row>
    <row r="1450" spans="1:2" x14ac:dyDescent="0.35">
      <c r="A1450" s="13" t="s">
        <v>2321</v>
      </c>
      <c r="B1450" s="14">
        <v>1</v>
      </c>
    </row>
    <row r="1451" spans="1:2" x14ac:dyDescent="0.35">
      <c r="A1451" s="37" t="s">
        <v>2319</v>
      </c>
      <c r="B1451" s="14">
        <v>1</v>
      </c>
    </row>
    <row r="1452" spans="1:2" x14ac:dyDescent="0.35">
      <c r="A1452" s="38" t="s">
        <v>4187</v>
      </c>
      <c r="B1452" s="14">
        <v>1</v>
      </c>
    </row>
    <row r="1453" spans="1:2" x14ac:dyDescent="0.35">
      <c r="A1453" s="13" t="s">
        <v>2142</v>
      </c>
      <c r="B1453" s="14">
        <v>1</v>
      </c>
    </row>
    <row r="1454" spans="1:2" x14ac:dyDescent="0.35">
      <c r="A1454" s="37" t="s">
        <v>2119</v>
      </c>
      <c r="B1454" s="14">
        <v>1</v>
      </c>
    </row>
    <row r="1455" spans="1:2" x14ac:dyDescent="0.35">
      <c r="A1455" s="38" t="s">
        <v>4186</v>
      </c>
      <c r="B1455" s="14">
        <v>1</v>
      </c>
    </row>
    <row r="1456" spans="1:2" x14ac:dyDescent="0.35">
      <c r="A1456" s="13" t="s">
        <v>2329</v>
      </c>
      <c r="B1456" s="14">
        <v>1</v>
      </c>
    </row>
    <row r="1457" spans="1:2" x14ac:dyDescent="0.35">
      <c r="A1457" s="37" t="s">
        <v>2328</v>
      </c>
      <c r="B1457" s="14">
        <v>1</v>
      </c>
    </row>
    <row r="1458" spans="1:2" x14ac:dyDescent="0.35">
      <c r="A1458" s="38" t="s">
        <v>4187</v>
      </c>
      <c r="B1458" s="14">
        <v>1</v>
      </c>
    </row>
    <row r="1459" spans="1:2" x14ac:dyDescent="0.35">
      <c r="A1459" s="13" t="s">
        <v>2144</v>
      </c>
      <c r="B1459" s="14">
        <v>1</v>
      </c>
    </row>
    <row r="1460" spans="1:2" x14ac:dyDescent="0.35">
      <c r="A1460" s="37" t="s">
        <v>2119</v>
      </c>
      <c r="B1460" s="14">
        <v>1</v>
      </c>
    </row>
    <row r="1461" spans="1:2" x14ac:dyDescent="0.35">
      <c r="A1461" s="38" t="s">
        <v>4186</v>
      </c>
      <c r="B1461" s="14">
        <v>1</v>
      </c>
    </row>
    <row r="1462" spans="1:2" x14ac:dyDescent="0.35">
      <c r="A1462" s="13" t="s">
        <v>2333</v>
      </c>
      <c r="B1462" s="14">
        <v>1</v>
      </c>
    </row>
    <row r="1463" spans="1:2" x14ac:dyDescent="0.35">
      <c r="A1463" s="37" t="s">
        <v>2331</v>
      </c>
      <c r="B1463" s="14">
        <v>1</v>
      </c>
    </row>
    <row r="1464" spans="1:2" x14ac:dyDescent="0.35">
      <c r="A1464" s="38" t="s">
        <v>4187</v>
      </c>
      <c r="B1464" s="14">
        <v>1</v>
      </c>
    </row>
    <row r="1465" spans="1:2" x14ac:dyDescent="0.35">
      <c r="A1465" s="13" t="s">
        <v>2146</v>
      </c>
      <c r="B1465" s="14">
        <v>1</v>
      </c>
    </row>
    <row r="1466" spans="1:2" x14ac:dyDescent="0.35">
      <c r="A1466" s="37" t="s">
        <v>2119</v>
      </c>
      <c r="B1466" s="14">
        <v>1</v>
      </c>
    </row>
    <row r="1467" spans="1:2" x14ac:dyDescent="0.35">
      <c r="A1467" s="38" t="s">
        <v>4186</v>
      </c>
      <c r="B1467" s="14">
        <v>1</v>
      </c>
    </row>
    <row r="1468" spans="1:2" x14ac:dyDescent="0.35">
      <c r="A1468" s="13" t="s">
        <v>2337</v>
      </c>
      <c r="B1468" s="14">
        <v>1</v>
      </c>
    </row>
    <row r="1469" spans="1:2" x14ac:dyDescent="0.35">
      <c r="A1469" s="37" t="s">
        <v>2336</v>
      </c>
      <c r="B1469" s="14">
        <v>1</v>
      </c>
    </row>
    <row r="1470" spans="1:2" x14ac:dyDescent="0.35">
      <c r="A1470" s="38" t="s">
        <v>4187</v>
      </c>
      <c r="B1470" s="14">
        <v>1</v>
      </c>
    </row>
    <row r="1471" spans="1:2" x14ac:dyDescent="0.35">
      <c r="A1471" s="13" t="s">
        <v>2148</v>
      </c>
      <c r="B1471" s="14">
        <v>1</v>
      </c>
    </row>
    <row r="1472" spans="1:2" x14ac:dyDescent="0.35">
      <c r="A1472" s="37" t="s">
        <v>2119</v>
      </c>
      <c r="B1472" s="14">
        <v>1</v>
      </c>
    </row>
    <row r="1473" spans="1:2" x14ac:dyDescent="0.35">
      <c r="A1473" s="38" t="s">
        <v>4186</v>
      </c>
      <c r="B1473" s="14">
        <v>1</v>
      </c>
    </row>
    <row r="1474" spans="1:2" x14ac:dyDescent="0.35">
      <c r="A1474" s="13" t="s">
        <v>2342</v>
      </c>
      <c r="B1474" s="14">
        <v>1</v>
      </c>
    </row>
    <row r="1475" spans="1:2" x14ac:dyDescent="0.35">
      <c r="A1475" s="37" t="s">
        <v>2341</v>
      </c>
      <c r="B1475" s="14">
        <v>1</v>
      </c>
    </row>
    <row r="1476" spans="1:2" x14ac:dyDescent="0.35">
      <c r="A1476" s="38" t="s">
        <v>4187</v>
      </c>
      <c r="B1476" s="14">
        <v>1</v>
      </c>
    </row>
    <row r="1477" spans="1:2" x14ac:dyDescent="0.35">
      <c r="A1477" s="13" t="s">
        <v>2149</v>
      </c>
      <c r="B1477" s="14">
        <v>1</v>
      </c>
    </row>
    <row r="1478" spans="1:2" x14ac:dyDescent="0.35">
      <c r="A1478" s="37" t="s">
        <v>2119</v>
      </c>
      <c r="B1478" s="14">
        <v>1</v>
      </c>
    </row>
    <row r="1479" spans="1:2" x14ac:dyDescent="0.35">
      <c r="A1479" s="38" t="s">
        <v>4186</v>
      </c>
      <c r="B1479" s="14">
        <v>1</v>
      </c>
    </row>
    <row r="1480" spans="1:2" x14ac:dyDescent="0.35">
      <c r="A1480" s="13" t="s">
        <v>2346</v>
      </c>
      <c r="B1480" s="14">
        <v>1</v>
      </c>
    </row>
    <row r="1481" spans="1:2" x14ac:dyDescent="0.35">
      <c r="A1481" s="37" t="s">
        <v>2345</v>
      </c>
      <c r="B1481" s="14">
        <v>1</v>
      </c>
    </row>
    <row r="1482" spans="1:2" x14ac:dyDescent="0.35">
      <c r="A1482" s="38" t="s">
        <v>4187</v>
      </c>
      <c r="B1482" s="14">
        <v>1</v>
      </c>
    </row>
    <row r="1483" spans="1:2" x14ac:dyDescent="0.35">
      <c r="A1483" s="13" t="s">
        <v>2151</v>
      </c>
      <c r="B1483" s="14">
        <v>1</v>
      </c>
    </row>
    <row r="1484" spans="1:2" x14ac:dyDescent="0.35">
      <c r="A1484" s="37" t="s">
        <v>2119</v>
      </c>
      <c r="B1484" s="14">
        <v>1</v>
      </c>
    </row>
    <row r="1485" spans="1:2" x14ac:dyDescent="0.35">
      <c r="A1485" s="38" t="s">
        <v>4186</v>
      </c>
      <c r="B1485" s="14">
        <v>1</v>
      </c>
    </row>
    <row r="1486" spans="1:2" x14ac:dyDescent="0.35">
      <c r="A1486" s="13" t="s">
        <v>1942</v>
      </c>
      <c r="B1486" s="14">
        <v>1</v>
      </c>
    </row>
    <row r="1487" spans="1:2" x14ac:dyDescent="0.35">
      <c r="A1487" s="37" t="s">
        <v>3135</v>
      </c>
      <c r="B1487" s="14">
        <v>1</v>
      </c>
    </row>
    <row r="1488" spans="1:2" x14ac:dyDescent="0.35">
      <c r="A1488" s="38" t="s">
        <v>4185</v>
      </c>
      <c r="B1488" s="14">
        <v>1</v>
      </c>
    </row>
    <row r="1489" spans="1:2" x14ac:dyDescent="0.35">
      <c r="A1489" s="13" t="s">
        <v>2153</v>
      </c>
      <c r="B1489" s="14">
        <v>1</v>
      </c>
    </row>
    <row r="1490" spans="1:2" x14ac:dyDescent="0.35">
      <c r="A1490" s="37" t="s">
        <v>2119</v>
      </c>
      <c r="B1490" s="14">
        <v>1</v>
      </c>
    </row>
    <row r="1491" spans="1:2" x14ac:dyDescent="0.35">
      <c r="A1491" s="38" t="s">
        <v>4186</v>
      </c>
      <c r="B1491" s="14">
        <v>1</v>
      </c>
    </row>
    <row r="1492" spans="1:2" x14ac:dyDescent="0.35">
      <c r="A1492" s="13" t="s">
        <v>2357</v>
      </c>
      <c r="B1492" s="14">
        <v>1</v>
      </c>
    </row>
    <row r="1493" spans="1:2" x14ac:dyDescent="0.35">
      <c r="A1493" s="37" t="s">
        <v>2356</v>
      </c>
      <c r="B1493" s="14">
        <v>1</v>
      </c>
    </row>
    <row r="1494" spans="1:2" x14ac:dyDescent="0.35">
      <c r="A1494" s="38" t="s">
        <v>4187</v>
      </c>
      <c r="B1494" s="14">
        <v>1</v>
      </c>
    </row>
    <row r="1495" spans="1:2" x14ac:dyDescent="0.35">
      <c r="A1495" s="13" t="s">
        <v>2155</v>
      </c>
      <c r="B1495" s="14">
        <v>1</v>
      </c>
    </row>
    <row r="1496" spans="1:2" x14ac:dyDescent="0.35">
      <c r="A1496" s="37" t="s">
        <v>2119</v>
      </c>
      <c r="B1496" s="14">
        <v>1</v>
      </c>
    </row>
    <row r="1497" spans="1:2" x14ac:dyDescent="0.35">
      <c r="A1497" s="38" t="s">
        <v>4186</v>
      </c>
      <c r="B1497" s="14">
        <v>1</v>
      </c>
    </row>
    <row r="1498" spans="1:2" x14ac:dyDescent="0.35">
      <c r="A1498" s="13" t="s">
        <v>2362</v>
      </c>
      <c r="B1498" s="14">
        <v>1</v>
      </c>
    </row>
    <row r="1499" spans="1:2" x14ac:dyDescent="0.35">
      <c r="A1499" s="37" t="s">
        <v>2361</v>
      </c>
      <c r="B1499" s="14">
        <v>1</v>
      </c>
    </row>
    <row r="1500" spans="1:2" x14ac:dyDescent="0.35">
      <c r="A1500" s="38" t="s">
        <v>4187</v>
      </c>
      <c r="B1500" s="14">
        <v>1</v>
      </c>
    </row>
    <row r="1501" spans="1:2" x14ac:dyDescent="0.35">
      <c r="A1501" s="13" t="s">
        <v>2156</v>
      </c>
      <c r="B1501" s="14">
        <v>1</v>
      </c>
    </row>
    <row r="1502" spans="1:2" x14ac:dyDescent="0.35">
      <c r="A1502" s="37" t="s">
        <v>2119</v>
      </c>
      <c r="B1502" s="14">
        <v>1</v>
      </c>
    </row>
    <row r="1503" spans="1:2" x14ac:dyDescent="0.35">
      <c r="A1503" s="38" t="s">
        <v>4186</v>
      </c>
      <c r="B1503" s="14">
        <v>1</v>
      </c>
    </row>
    <row r="1504" spans="1:2" x14ac:dyDescent="0.35">
      <c r="A1504" s="13" t="s">
        <v>2367</v>
      </c>
      <c r="B1504" s="14">
        <v>1</v>
      </c>
    </row>
    <row r="1505" spans="1:2" x14ac:dyDescent="0.35">
      <c r="A1505" s="37" t="s">
        <v>2366</v>
      </c>
      <c r="B1505" s="14">
        <v>1</v>
      </c>
    </row>
    <row r="1506" spans="1:2" x14ac:dyDescent="0.35">
      <c r="A1506" s="38" t="s">
        <v>4187</v>
      </c>
      <c r="B1506" s="14">
        <v>1</v>
      </c>
    </row>
    <row r="1507" spans="1:2" x14ac:dyDescent="0.35">
      <c r="A1507" s="13" t="s">
        <v>2158</v>
      </c>
      <c r="B1507" s="14">
        <v>1</v>
      </c>
    </row>
    <row r="1508" spans="1:2" x14ac:dyDescent="0.35">
      <c r="A1508" s="37" t="s">
        <v>2119</v>
      </c>
      <c r="B1508" s="14">
        <v>1</v>
      </c>
    </row>
    <row r="1509" spans="1:2" x14ac:dyDescent="0.35">
      <c r="A1509" s="38" t="s">
        <v>4186</v>
      </c>
      <c r="B1509" s="14">
        <v>1</v>
      </c>
    </row>
    <row r="1510" spans="1:2" x14ac:dyDescent="0.35">
      <c r="A1510" s="13" t="s">
        <v>1944</v>
      </c>
      <c r="B1510" s="14">
        <v>1</v>
      </c>
    </row>
    <row r="1511" spans="1:2" x14ac:dyDescent="0.35">
      <c r="A1511" s="37" t="s">
        <v>3136</v>
      </c>
      <c r="B1511" s="14">
        <v>1</v>
      </c>
    </row>
    <row r="1512" spans="1:2" x14ac:dyDescent="0.35">
      <c r="A1512" s="38" t="s">
        <v>4185</v>
      </c>
      <c r="B1512" s="14">
        <v>1</v>
      </c>
    </row>
    <row r="1513" spans="1:2" x14ac:dyDescent="0.35">
      <c r="A1513" s="13" t="s">
        <v>2160</v>
      </c>
      <c r="B1513" s="14">
        <v>1</v>
      </c>
    </row>
    <row r="1514" spans="1:2" x14ac:dyDescent="0.35">
      <c r="A1514" s="37" t="s">
        <v>2119</v>
      </c>
      <c r="B1514" s="14">
        <v>1</v>
      </c>
    </row>
    <row r="1515" spans="1:2" x14ac:dyDescent="0.35">
      <c r="A1515" s="38" t="s">
        <v>4186</v>
      </c>
      <c r="B1515" s="14">
        <v>1</v>
      </c>
    </row>
    <row r="1516" spans="1:2" x14ac:dyDescent="0.35">
      <c r="A1516" s="13" t="s">
        <v>2376</v>
      </c>
      <c r="B1516" s="14">
        <v>1</v>
      </c>
    </row>
    <row r="1517" spans="1:2" x14ac:dyDescent="0.35">
      <c r="A1517" s="37" t="s">
        <v>2375</v>
      </c>
      <c r="B1517" s="14">
        <v>1</v>
      </c>
    </row>
    <row r="1518" spans="1:2" x14ac:dyDescent="0.35">
      <c r="A1518" s="38" t="s">
        <v>4187</v>
      </c>
      <c r="B1518" s="14">
        <v>1</v>
      </c>
    </row>
    <row r="1519" spans="1:2" x14ac:dyDescent="0.35">
      <c r="A1519" s="13" t="s">
        <v>1921</v>
      </c>
      <c r="B1519" s="14">
        <v>1</v>
      </c>
    </row>
    <row r="1520" spans="1:2" x14ac:dyDescent="0.35">
      <c r="A1520" s="37" t="s">
        <v>3130</v>
      </c>
      <c r="B1520" s="14">
        <v>1</v>
      </c>
    </row>
    <row r="1521" spans="1:2" x14ac:dyDescent="0.35">
      <c r="A1521" s="38" t="s">
        <v>4185</v>
      </c>
      <c r="B1521" s="14">
        <v>1</v>
      </c>
    </row>
    <row r="1522" spans="1:2" x14ac:dyDescent="0.35">
      <c r="A1522" s="13" t="s">
        <v>2380</v>
      </c>
      <c r="B1522" s="14">
        <v>1</v>
      </c>
    </row>
    <row r="1523" spans="1:2" x14ac:dyDescent="0.35">
      <c r="A1523" s="37" t="s">
        <v>2378</v>
      </c>
      <c r="B1523" s="14">
        <v>1</v>
      </c>
    </row>
    <row r="1524" spans="1:2" x14ac:dyDescent="0.35">
      <c r="A1524" s="38" t="s">
        <v>4187</v>
      </c>
      <c r="B1524" s="14">
        <v>1</v>
      </c>
    </row>
    <row r="1525" spans="1:2" x14ac:dyDescent="0.35">
      <c r="A1525" s="13" t="s">
        <v>1924</v>
      </c>
      <c r="B1525" s="14">
        <v>1</v>
      </c>
    </row>
    <row r="1526" spans="1:2" x14ac:dyDescent="0.35">
      <c r="A1526" s="37" t="s">
        <v>3131</v>
      </c>
      <c r="B1526" s="14">
        <v>1</v>
      </c>
    </row>
    <row r="1527" spans="1:2" x14ac:dyDescent="0.35">
      <c r="A1527" s="38" t="s">
        <v>4185</v>
      </c>
      <c r="B1527" s="14">
        <v>1</v>
      </c>
    </row>
    <row r="1528" spans="1:2" x14ac:dyDescent="0.35">
      <c r="A1528" s="13" t="s">
        <v>2384</v>
      </c>
      <c r="B1528" s="14">
        <v>1</v>
      </c>
    </row>
    <row r="1529" spans="1:2" x14ac:dyDescent="0.35">
      <c r="A1529" s="37" t="s">
        <v>2383</v>
      </c>
      <c r="B1529" s="14">
        <v>1</v>
      </c>
    </row>
    <row r="1530" spans="1:2" x14ac:dyDescent="0.35">
      <c r="A1530" s="38" t="s">
        <v>4187</v>
      </c>
      <c r="B1530" s="14">
        <v>1</v>
      </c>
    </row>
    <row r="1531" spans="1:2" x14ac:dyDescent="0.35">
      <c r="A1531" s="13" t="s">
        <v>2170</v>
      </c>
      <c r="B1531" s="14">
        <v>1</v>
      </c>
    </row>
    <row r="1532" spans="1:2" x14ac:dyDescent="0.35">
      <c r="A1532" s="37" t="s">
        <v>2169</v>
      </c>
      <c r="B1532" s="14">
        <v>1</v>
      </c>
    </row>
    <row r="1533" spans="1:2" x14ac:dyDescent="0.35">
      <c r="A1533" s="38" t="s">
        <v>4186</v>
      </c>
      <c r="B1533" s="14">
        <v>1</v>
      </c>
    </row>
    <row r="1534" spans="1:2" x14ac:dyDescent="0.35">
      <c r="A1534" s="13" t="s">
        <v>2388</v>
      </c>
      <c r="B1534" s="14">
        <v>1</v>
      </c>
    </row>
    <row r="1535" spans="1:2" x14ac:dyDescent="0.35">
      <c r="A1535" s="37" t="s">
        <v>2387</v>
      </c>
      <c r="B1535" s="14">
        <v>1</v>
      </c>
    </row>
    <row r="1536" spans="1:2" x14ac:dyDescent="0.35">
      <c r="A1536" s="38" t="s">
        <v>4187</v>
      </c>
      <c r="B1536" s="14">
        <v>1</v>
      </c>
    </row>
    <row r="1537" spans="1:2" x14ac:dyDescent="0.35">
      <c r="A1537" s="13" t="s">
        <v>2172</v>
      </c>
      <c r="B1537" s="14">
        <v>1</v>
      </c>
    </row>
    <row r="1538" spans="1:2" x14ac:dyDescent="0.35">
      <c r="A1538" s="37" t="s">
        <v>2169</v>
      </c>
      <c r="B1538" s="14">
        <v>1</v>
      </c>
    </row>
    <row r="1539" spans="1:2" x14ac:dyDescent="0.35">
      <c r="A1539" s="38" t="s">
        <v>4186</v>
      </c>
      <c r="B1539" s="14">
        <v>1</v>
      </c>
    </row>
    <row r="1540" spans="1:2" x14ac:dyDescent="0.35">
      <c r="A1540" s="13" t="s">
        <v>2391</v>
      </c>
      <c r="B1540" s="14">
        <v>1</v>
      </c>
    </row>
    <row r="1541" spans="1:2" x14ac:dyDescent="0.35">
      <c r="A1541" s="37" t="s">
        <v>2390</v>
      </c>
      <c r="B1541" s="14">
        <v>1</v>
      </c>
    </row>
    <row r="1542" spans="1:2" x14ac:dyDescent="0.35">
      <c r="A1542" s="38" t="s">
        <v>4187</v>
      </c>
      <c r="B1542" s="14">
        <v>1</v>
      </c>
    </row>
    <row r="1543" spans="1:2" x14ac:dyDescent="0.35">
      <c r="A1543" s="13" t="s">
        <v>2174</v>
      </c>
      <c r="B1543" s="14">
        <v>1</v>
      </c>
    </row>
    <row r="1544" spans="1:2" x14ac:dyDescent="0.35">
      <c r="A1544" s="37" t="s">
        <v>2169</v>
      </c>
      <c r="B1544" s="14">
        <v>1</v>
      </c>
    </row>
    <row r="1545" spans="1:2" x14ac:dyDescent="0.35">
      <c r="A1545" s="38" t="s">
        <v>4186</v>
      </c>
      <c r="B1545" s="14">
        <v>1</v>
      </c>
    </row>
    <row r="1546" spans="1:2" x14ac:dyDescent="0.35">
      <c r="A1546" s="13" t="s">
        <v>2394</v>
      </c>
      <c r="B1546" s="14">
        <v>1</v>
      </c>
    </row>
    <row r="1547" spans="1:2" x14ac:dyDescent="0.35">
      <c r="A1547" s="37" t="s">
        <v>2390</v>
      </c>
      <c r="B1547" s="14">
        <v>1</v>
      </c>
    </row>
    <row r="1548" spans="1:2" x14ac:dyDescent="0.35">
      <c r="A1548" s="38" t="s">
        <v>4187</v>
      </c>
      <c r="B1548" s="14">
        <v>1</v>
      </c>
    </row>
    <row r="1549" spans="1:2" x14ac:dyDescent="0.35">
      <c r="A1549" s="13" t="s">
        <v>2178</v>
      </c>
      <c r="B1549" s="14">
        <v>1</v>
      </c>
    </row>
    <row r="1550" spans="1:2" x14ac:dyDescent="0.35">
      <c r="A1550" s="37" t="s">
        <v>2177</v>
      </c>
      <c r="B1550" s="14">
        <v>1</v>
      </c>
    </row>
    <row r="1551" spans="1:2" x14ac:dyDescent="0.35">
      <c r="A1551" s="38" t="s">
        <v>4186</v>
      </c>
      <c r="B1551" s="14">
        <v>1</v>
      </c>
    </row>
    <row r="1552" spans="1:2" x14ac:dyDescent="0.35">
      <c r="A1552" s="13" t="s">
        <v>2399</v>
      </c>
      <c r="B1552" s="14">
        <v>1</v>
      </c>
    </row>
    <row r="1553" spans="1:2" x14ac:dyDescent="0.35">
      <c r="A1553" s="37" t="s">
        <v>2396</v>
      </c>
      <c r="B1553" s="14">
        <v>1</v>
      </c>
    </row>
    <row r="1554" spans="1:2" x14ac:dyDescent="0.35">
      <c r="A1554" s="38" t="s">
        <v>4187</v>
      </c>
      <c r="B1554" s="14">
        <v>1</v>
      </c>
    </row>
    <row r="1555" spans="1:2" x14ac:dyDescent="0.35">
      <c r="A1555" s="13" t="s">
        <v>2180</v>
      </c>
      <c r="B1555" s="14">
        <v>1</v>
      </c>
    </row>
    <row r="1556" spans="1:2" x14ac:dyDescent="0.35">
      <c r="A1556" s="37" t="s">
        <v>2177</v>
      </c>
      <c r="B1556" s="14">
        <v>1</v>
      </c>
    </row>
    <row r="1557" spans="1:2" x14ac:dyDescent="0.35">
      <c r="A1557" s="38" t="s">
        <v>4186</v>
      </c>
      <c r="B1557" s="14">
        <v>1</v>
      </c>
    </row>
    <row r="1558" spans="1:2" x14ac:dyDescent="0.35">
      <c r="A1558" s="13" t="s">
        <v>2402</v>
      </c>
      <c r="B1558" s="14">
        <v>1</v>
      </c>
    </row>
    <row r="1559" spans="1:2" x14ac:dyDescent="0.35">
      <c r="A1559" s="37" t="s">
        <v>2396</v>
      </c>
      <c r="B1559" s="14">
        <v>1</v>
      </c>
    </row>
    <row r="1560" spans="1:2" x14ac:dyDescent="0.35">
      <c r="A1560" s="38" t="s">
        <v>4187</v>
      </c>
      <c r="B1560" s="14">
        <v>1</v>
      </c>
    </row>
    <row r="1561" spans="1:2" x14ac:dyDescent="0.35">
      <c r="A1561" s="13" t="s">
        <v>2183</v>
      </c>
      <c r="B1561" s="14">
        <v>1</v>
      </c>
    </row>
    <row r="1562" spans="1:2" x14ac:dyDescent="0.35">
      <c r="A1562" s="37" t="s">
        <v>2182</v>
      </c>
      <c r="B1562" s="14">
        <v>1</v>
      </c>
    </row>
    <row r="1563" spans="1:2" x14ac:dyDescent="0.35">
      <c r="A1563" s="38" t="s">
        <v>4186</v>
      </c>
      <c r="B1563" s="14">
        <v>1</v>
      </c>
    </row>
    <row r="1564" spans="1:2" x14ac:dyDescent="0.35">
      <c r="A1564" s="13" t="s">
        <v>2407</v>
      </c>
      <c r="B1564" s="14">
        <v>1</v>
      </c>
    </row>
    <row r="1565" spans="1:2" x14ac:dyDescent="0.35">
      <c r="A1565" s="37" t="s">
        <v>2406</v>
      </c>
      <c r="B1565" s="14">
        <v>1</v>
      </c>
    </row>
    <row r="1566" spans="1:2" x14ac:dyDescent="0.35">
      <c r="A1566" s="38" t="s">
        <v>4187</v>
      </c>
      <c r="B1566" s="14">
        <v>1</v>
      </c>
    </row>
    <row r="1567" spans="1:2" x14ac:dyDescent="0.35">
      <c r="A1567" s="13" t="s">
        <v>2187</v>
      </c>
      <c r="B1567" s="14">
        <v>1</v>
      </c>
    </row>
    <row r="1568" spans="1:2" x14ac:dyDescent="0.35">
      <c r="A1568" s="37" t="s">
        <v>2186</v>
      </c>
      <c r="B1568" s="14">
        <v>1</v>
      </c>
    </row>
    <row r="1569" spans="1:2" x14ac:dyDescent="0.35">
      <c r="A1569" s="38" t="s">
        <v>4186</v>
      </c>
      <c r="B1569" s="14">
        <v>1</v>
      </c>
    </row>
    <row r="1570" spans="1:2" x14ac:dyDescent="0.35">
      <c r="A1570" s="13" t="s">
        <v>2410</v>
      </c>
      <c r="B1570" s="14">
        <v>1</v>
      </c>
    </row>
    <row r="1571" spans="1:2" x14ac:dyDescent="0.35">
      <c r="A1571" s="37" t="s">
        <v>2408</v>
      </c>
      <c r="B1571" s="14">
        <v>1</v>
      </c>
    </row>
    <row r="1572" spans="1:2" x14ac:dyDescent="0.35">
      <c r="A1572" s="38" t="s">
        <v>4187</v>
      </c>
      <c r="B1572" s="14">
        <v>1</v>
      </c>
    </row>
    <row r="1573" spans="1:2" x14ac:dyDescent="0.35">
      <c r="A1573" s="13" t="s">
        <v>2189</v>
      </c>
      <c r="B1573" s="14">
        <v>1</v>
      </c>
    </row>
    <row r="1574" spans="1:2" x14ac:dyDescent="0.35">
      <c r="A1574" s="37" t="s">
        <v>2188</v>
      </c>
      <c r="B1574" s="14">
        <v>1</v>
      </c>
    </row>
    <row r="1575" spans="1:2" x14ac:dyDescent="0.35">
      <c r="A1575" s="38" t="s">
        <v>4186</v>
      </c>
      <c r="B1575" s="14">
        <v>1</v>
      </c>
    </row>
    <row r="1576" spans="1:2" x14ac:dyDescent="0.35">
      <c r="A1576" s="13" t="s">
        <v>2415</v>
      </c>
      <c r="B1576" s="14">
        <v>1</v>
      </c>
    </row>
    <row r="1577" spans="1:2" x14ac:dyDescent="0.35">
      <c r="A1577" s="37" t="s">
        <v>2414</v>
      </c>
      <c r="B1577" s="14">
        <v>1</v>
      </c>
    </row>
    <row r="1578" spans="1:2" x14ac:dyDescent="0.35">
      <c r="A1578" s="38" t="s">
        <v>4187</v>
      </c>
      <c r="B1578" s="14">
        <v>1</v>
      </c>
    </row>
    <row r="1579" spans="1:2" x14ac:dyDescent="0.35">
      <c r="A1579" s="13" t="s">
        <v>2191</v>
      </c>
      <c r="B1579" s="14">
        <v>1</v>
      </c>
    </row>
    <row r="1580" spans="1:2" x14ac:dyDescent="0.35">
      <c r="A1580" s="37" t="s">
        <v>2188</v>
      </c>
      <c r="B1580" s="14">
        <v>1</v>
      </c>
    </row>
    <row r="1581" spans="1:2" x14ac:dyDescent="0.35">
      <c r="A1581" s="38" t="s">
        <v>4186</v>
      </c>
      <c r="B1581" s="14">
        <v>1</v>
      </c>
    </row>
    <row r="1582" spans="1:2" x14ac:dyDescent="0.35">
      <c r="A1582" s="13" t="s">
        <v>1946</v>
      </c>
      <c r="B1582" s="14">
        <v>1</v>
      </c>
    </row>
    <row r="1583" spans="1:2" x14ac:dyDescent="0.35">
      <c r="A1583" s="37" t="s">
        <v>3136</v>
      </c>
      <c r="B1583" s="14">
        <v>1</v>
      </c>
    </row>
    <row r="1584" spans="1:2" x14ac:dyDescent="0.35">
      <c r="A1584" s="38" t="s">
        <v>4185</v>
      </c>
      <c r="B1584" s="14">
        <v>1</v>
      </c>
    </row>
    <row r="1585" spans="1:2" x14ac:dyDescent="0.35">
      <c r="A1585" s="13" t="s">
        <v>2193</v>
      </c>
      <c r="B1585" s="14">
        <v>1</v>
      </c>
    </row>
    <row r="1586" spans="1:2" x14ac:dyDescent="0.35">
      <c r="A1586" s="37" t="s">
        <v>2188</v>
      </c>
      <c r="B1586" s="14">
        <v>1</v>
      </c>
    </row>
    <row r="1587" spans="1:2" x14ac:dyDescent="0.35">
      <c r="A1587" s="38" t="s">
        <v>4186</v>
      </c>
      <c r="B1587" s="14">
        <v>1</v>
      </c>
    </row>
    <row r="1588" spans="1:2" x14ac:dyDescent="0.35">
      <c r="A1588" s="13" t="s">
        <v>2427</v>
      </c>
      <c r="B1588" s="14">
        <v>1</v>
      </c>
    </row>
    <row r="1589" spans="1:2" x14ac:dyDescent="0.35">
      <c r="A1589" s="37" t="s">
        <v>3154</v>
      </c>
      <c r="B1589" s="14">
        <v>1</v>
      </c>
    </row>
    <row r="1590" spans="1:2" x14ac:dyDescent="0.35">
      <c r="A1590" s="38" t="s">
        <v>4187</v>
      </c>
      <c r="B1590" s="14">
        <v>1</v>
      </c>
    </row>
    <row r="1591" spans="1:2" x14ac:dyDescent="0.35">
      <c r="A1591" s="13" t="s">
        <v>2196</v>
      </c>
      <c r="B1591" s="14">
        <v>1</v>
      </c>
    </row>
    <row r="1592" spans="1:2" x14ac:dyDescent="0.35">
      <c r="A1592" s="37" t="s">
        <v>2195</v>
      </c>
      <c r="B1592" s="14">
        <v>1</v>
      </c>
    </row>
    <row r="1593" spans="1:2" x14ac:dyDescent="0.35">
      <c r="A1593" s="38" t="s">
        <v>4186</v>
      </c>
      <c r="B1593" s="14">
        <v>1</v>
      </c>
    </row>
    <row r="1594" spans="1:2" x14ac:dyDescent="0.35">
      <c r="A1594" s="13" t="s">
        <v>2430</v>
      </c>
      <c r="B1594" s="14">
        <v>1</v>
      </c>
    </row>
    <row r="1595" spans="1:2" x14ac:dyDescent="0.35">
      <c r="A1595" s="37" t="s">
        <v>3155</v>
      </c>
      <c r="B1595" s="14">
        <v>1</v>
      </c>
    </row>
    <row r="1596" spans="1:2" x14ac:dyDescent="0.35">
      <c r="A1596" s="38" t="s">
        <v>4187</v>
      </c>
      <c r="B1596" s="14">
        <v>1</v>
      </c>
    </row>
    <row r="1597" spans="1:2" x14ac:dyDescent="0.35">
      <c r="A1597" s="13" t="s">
        <v>2198</v>
      </c>
      <c r="B1597" s="14">
        <v>1</v>
      </c>
    </row>
    <row r="1598" spans="1:2" x14ac:dyDescent="0.35">
      <c r="A1598" s="37" t="s">
        <v>2197</v>
      </c>
      <c r="B1598" s="14">
        <v>1</v>
      </c>
    </row>
    <row r="1599" spans="1:2" x14ac:dyDescent="0.35">
      <c r="A1599" s="38" t="s">
        <v>4186</v>
      </c>
      <c r="B1599" s="14">
        <v>1</v>
      </c>
    </row>
    <row r="1600" spans="1:2" x14ac:dyDescent="0.35">
      <c r="A1600" s="13" t="s">
        <v>1950</v>
      </c>
      <c r="B1600" s="14">
        <v>1</v>
      </c>
    </row>
    <row r="1601" spans="1:2" x14ac:dyDescent="0.35">
      <c r="A1601" s="37" t="s">
        <v>3138</v>
      </c>
      <c r="B1601" s="14">
        <v>1</v>
      </c>
    </row>
    <row r="1602" spans="1:2" x14ac:dyDescent="0.35">
      <c r="A1602" s="38" t="s">
        <v>4185</v>
      </c>
      <c r="B1602" s="14">
        <v>1</v>
      </c>
    </row>
    <row r="1603" spans="1:2" x14ac:dyDescent="0.35">
      <c r="A1603" s="13" t="s">
        <v>2200</v>
      </c>
      <c r="B1603" s="14">
        <v>1</v>
      </c>
    </row>
    <row r="1604" spans="1:2" x14ac:dyDescent="0.35">
      <c r="A1604" s="37" t="s">
        <v>2199</v>
      </c>
      <c r="B1604" s="14">
        <v>1</v>
      </c>
    </row>
    <row r="1605" spans="1:2" x14ac:dyDescent="0.35">
      <c r="A1605" s="38" t="s">
        <v>4186</v>
      </c>
      <c r="B1605" s="14">
        <v>1</v>
      </c>
    </row>
    <row r="1606" spans="1:2" x14ac:dyDescent="0.35">
      <c r="A1606" s="13" t="s">
        <v>2441</v>
      </c>
      <c r="B1606" s="14">
        <v>1</v>
      </c>
    </row>
    <row r="1607" spans="1:2" x14ac:dyDescent="0.35">
      <c r="A1607" s="37" t="s">
        <v>2439</v>
      </c>
      <c r="B1607" s="14">
        <v>1</v>
      </c>
    </row>
    <row r="1608" spans="1:2" x14ac:dyDescent="0.35">
      <c r="A1608" s="38" t="s">
        <v>4187</v>
      </c>
      <c r="B1608" s="14">
        <v>1</v>
      </c>
    </row>
    <row r="1609" spans="1:2" x14ac:dyDescent="0.35">
      <c r="A1609" s="13" t="s">
        <v>2202</v>
      </c>
      <c r="B1609" s="14">
        <v>1</v>
      </c>
    </row>
    <row r="1610" spans="1:2" x14ac:dyDescent="0.35">
      <c r="A1610" s="37" t="s">
        <v>2201</v>
      </c>
      <c r="B1610" s="14">
        <v>1</v>
      </c>
    </row>
    <row r="1611" spans="1:2" x14ac:dyDescent="0.35">
      <c r="A1611" s="38" t="s">
        <v>4186</v>
      </c>
      <c r="B1611" s="14">
        <v>1</v>
      </c>
    </row>
    <row r="1612" spans="1:2" x14ac:dyDescent="0.35">
      <c r="A1612" s="13" t="s">
        <v>2444</v>
      </c>
      <c r="B1612" s="14">
        <v>1</v>
      </c>
    </row>
    <row r="1613" spans="1:2" x14ac:dyDescent="0.35">
      <c r="A1613" s="37" t="s">
        <v>2442</v>
      </c>
      <c r="B1613" s="14">
        <v>1</v>
      </c>
    </row>
    <row r="1614" spans="1:2" x14ac:dyDescent="0.35">
      <c r="A1614" s="38" t="s">
        <v>4187</v>
      </c>
      <c r="B1614" s="14">
        <v>1</v>
      </c>
    </row>
    <row r="1615" spans="1:2" x14ac:dyDescent="0.35">
      <c r="A1615" s="13" t="s">
        <v>2203</v>
      </c>
      <c r="B1615" s="14">
        <v>1</v>
      </c>
    </row>
    <row r="1616" spans="1:2" x14ac:dyDescent="0.35">
      <c r="A1616" s="37" t="s">
        <v>2201</v>
      </c>
      <c r="B1616" s="14">
        <v>1</v>
      </c>
    </row>
    <row r="1617" spans="1:2" x14ac:dyDescent="0.35">
      <c r="A1617" s="38" t="s">
        <v>4186</v>
      </c>
      <c r="B1617" s="14">
        <v>1</v>
      </c>
    </row>
    <row r="1618" spans="1:2" x14ac:dyDescent="0.35">
      <c r="A1618" s="13" t="s">
        <v>2449</v>
      </c>
      <c r="B1618" s="14">
        <v>1</v>
      </c>
    </row>
    <row r="1619" spans="1:2" x14ac:dyDescent="0.35">
      <c r="A1619" s="37" t="s">
        <v>2448</v>
      </c>
      <c r="B1619" s="14">
        <v>1</v>
      </c>
    </row>
    <row r="1620" spans="1:2" x14ac:dyDescent="0.35">
      <c r="A1620" s="38" t="s">
        <v>4187</v>
      </c>
      <c r="B1620" s="14">
        <v>1</v>
      </c>
    </row>
    <row r="1621" spans="1:2" x14ac:dyDescent="0.35">
      <c r="A1621" s="13" t="s">
        <v>2205</v>
      </c>
      <c r="B1621" s="14">
        <v>1</v>
      </c>
    </row>
    <row r="1622" spans="1:2" x14ac:dyDescent="0.35">
      <c r="A1622" s="37" t="s">
        <v>2201</v>
      </c>
      <c r="B1622" s="14">
        <v>1</v>
      </c>
    </row>
    <row r="1623" spans="1:2" x14ac:dyDescent="0.35">
      <c r="A1623" s="38" t="s">
        <v>4186</v>
      </c>
      <c r="B1623" s="14">
        <v>1</v>
      </c>
    </row>
    <row r="1624" spans="1:2" x14ac:dyDescent="0.35">
      <c r="A1624" s="13" t="s">
        <v>2453</v>
      </c>
      <c r="B1624" s="14">
        <v>1</v>
      </c>
    </row>
    <row r="1625" spans="1:2" x14ac:dyDescent="0.35">
      <c r="A1625" s="37" t="s">
        <v>2452</v>
      </c>
      <c r="B1625" s="14">
        <v>1</v>
      </c>
    </row>
    <row r="1626" spans="1:2" x14ac:dyDescent="0.35">
      <c r="A1626" s="38" t="s">
        <v>4187</v>
      </c>
      <c r="B1626" s="14">
        <v>1</v>
      </c>
    </row>
    <row r="1627" spans="1:2" x14ac:dyDescent="0.35">
      <c r="A1627" s="13" t="s">
        <v>2208</v>
      </c>
      <c r="B1627" s="14">
        <v>1</v>
      </c>
    </row>
    <row r="1628" spans="1:2" x14ac:dyDescent="0.35">
      <c r="A1628" s="37" t="s">
        <v>2207</v>
      </c>
      <c r="B1628" s="14">
        <v>1</v>
      </c>
    </row>
    <row r="1629" spans="1:2" x14ac:dyDescent="0.35">
      <c r="A1629" s="38" t="s">
        <v>4186</v>
      </c>
      <c r="B1629" s="14">
        <v>1</v>
      </c>
    </row>
    <row r="1630" spans="1:2" x14ac:dyDescent="0.35">
      <c r="A1630" s="13" t="s">
        <v>2458</v>
      </c>
      <c r="B1630" s="14">
        <v>1</v>
      </c>
    </row>
    <row r="1631" spans="1:2" x14ac:dyDescent="0.35">
      <c r="A1631" s="37" t="s">
        <v>2455</v>
      </c>
      <c r="B1631" s="14">
        <v>1</v>
      </c>
    </row>
    <row r="1632" spans="1:2" x14ac:dyDescent="0.35">
      <c r="A1632" s="38" t="s">
        <v>4187</v>
      </c>
      <c r="B1632" s="14">
        <v>1</v>
      </c>
    </row>
    <row r="1633" spans="1:2" x14ac:dyDescent="0.35">
      <c r="A1633" s="13" t="s">
        <v>2520</v>
      </c>
      <c r="B1633" s="14">
        <v>1</v>
      </c>
    </row>
    <row r="1634" spans="1:2" x14ac:dyDescent="0.35">
      <c r="A1634" s="37" t="s">
        <v>2519</v>
      </c>
      <c r="B1634" s="14">
        <v>1</v>
      </c>
    </row>
    <row r="1635" spans="1:2" x14ac:dyDescent="0.35">
      <c r="A1635" s="38" t="s">
        <v>4187</v>
      </c>
      <c r="B1635" s="14">
        <v>1</v>
      </c>
    </row>
    <row r="1636" spans="1:2" x14ac:dyDescent="0.35">
      <c r="A1636" s="13" t="s">
        <v>2461</v>
      </c>
      <c r="B1636" s="14">
        <v>1</v>
      </c>
    </row>
    <row r="1637" spans="1:2" x14ac:dyDescent="0.35">
      <c r="A1637" s="37" t="s">
        <v>2455</v>
      </c>
      <c r="B1637" s="14">
        <v>1</v>
      </c>
    </row>
    <row r="1638" spans="1:2" x14ac:dyDescent="0.35">
      <c r="A1638" s="38" t="s">
        <v>4187</v>
      </c>
      <c r="B1638" s="14">
        <v>1</v>
      </c>
    </row>
    <row r="1639" spans="1:2" x14ac:dyDescent="0.35">
      <c r="A1639" s="13" t="s">
        <v>2521</v>
      </c>
      <c r="B1639" s="14">
        <v>1</v>
      </c>
    </row>
    <row r="1640" spans="1:2" x14ac:dyDescent="0.35">
      <c r="A1640" s="37" t="s">
        <v>2519</v>
      </c>
      <c r="B1640" s="14">
        <v>1</v>
      </c>
    </row>
    <row r="1641" spans="1:2" x14ac:dyDescent="0.35">
      <c r="A1641" s="38" t="s">
        <v>4187</v>
      </c>
      <c r="B1641" s="14">
        <v>1</v>
      </c>
    </row>
    <row r="1642" spans="1:2" x14ac:dyDescent="0.35">
      <c r="A1642" s="13" t="s">
        <v>2464</v>
      </c>
      <c r="B1642" s="14">
        <v>1</v>
      </c>
    </row>
    <row r="1643" spans="1:2" x14ac:dyDescent="0.35">
      <c r="A1643" s="37" t="s">
        <v>2463</v>
      </c>
      <c r="B1643" s="14">
        <v>1</v>
      </c>
    </row>
    <row r="1644" spans="1:2" x14ac:dyDescent="0.35">
      <c r="A1644" s="38" t="s">
        <v>4187</v>
      </c>
      <c r="B1644" s="14">
        <v>1</v>
      </c>
    </row>
    <row r="1645" spans="1:2" x14ac:dyDescent="0.35">
      <c r="A1645" s="13" t="s">
        <v>2525</v>
      </c>
      <c r="B1645" s="14">
        <v>1</v>
      </c>
    </row>
    <row r="1646" spans="1:2" x14ac:dyDescent="0.35">
      <c r="A1646" s="37" t="s">
        <v>2522</v>
      </c>
      <c r="B1646" s="14">
        <v>1</v>
      </c>
    </row>
    <row r="1647" spans="1:2" x14ac:dyDescent="0.35">
      <c r="A1647" s="38" t="s">
        <v>4187</v>
      </c>
      <c r="B1647" s="14">
        <v>1</v>
      </c>
    </row>
    <row r="1648" spans="1:2" x14ac:dyDescent="0.35">
      <c r="A1648" s="13" t="s">
        <v>2470</v>
      </c>
      <c r="B1648" s="14">
        <v>1</v>
      </c>
    </row>
    <row r="1649" spans="1:2" x14ac:dyDescent="0.35">
      <c r="A1649" s="37" t="s">
        <v>2469</v>
      </c>
      <c r="B1649" s="14">
        <v>1</v>
      </c>
    </row>
    <row r="1650" spans="1:2" x14ac:dyDescent="0.35">
      <c r="A1650" s="38" t="s">
        <v>4187</v>
      </c>
      <c r="B1650" s="14">
        <v>1</v>
      </c>
    </row>
    <row r="1651" spans="1:2" x14ac:dyDescent="0.35">
      <c r="A1651" s="13" t="s">
        <v>2530</v>
      </c>
      <c r="B1651" s="14">
        <v>1</v>
      </c>
    </row>
    <row r="1652" spans="1:2" x14ac:dyDescent="0.35">
      <c r="A1652" s="37" t="s">
        <v>2529</v>
      </c>
      <c r="B1652" s="14">
        <v>1</v>
      </c>
    </row>
    <row r="1653" spans="1:2" x14ac:dyDescent="0.35">
      <c r="A1653" s="38" t="s">
        <v>4187</v>
      </c>
      <c r="B1653" s="14">
        <v>1</v>
      </c>
    </row>
    <row r="1654" spans="1:2" x14ac:dyDescent="0.35">
      <c r="A1654" s="13" t="s">
        <v>2476</v>
      </c>
      <c r="B1654" s="14">
        <v>1</v>
      </c>
    </row>
    <row r="1655" spans="1:2" x14ac:dyDescent="0.35">
      <c r="A1655" s="37" t="s">
        <v>2474</v>
      </c>
      <c r="B1655" s="14">
        <v>1</v>
      </c>
    </row>
    <row r="1656" spans="1:2" x14ac:dyDescent="0.35">
      <c r="A1656" s="38" t="s">
        <v>4187</v>
      </c>
      <c r="B1656" s="14">
        <v>1</v>
      </c>
    </row>
    <row r="1657" spans="1:2" x14ac:dyDescent="0.35">
      <c r="A1657" s="13" t="s">
        <v>2535</v>
      </c>
      <c r="B1657" s="14">
        <v>1</v>
      </c>
    </row>
    <row r="1658" spans="1:2" x14ac:dyDescent="0.35">
      <c r="A1658" s="37" t="s">
        <v>2534</v>
      </c>
      <c r="B1658" s="14">
        <v>1</v>
      </c>
    </row>
    <row r="1659" spans="1:2" x14ac:dyDescent="0.35">
      <c r="A1659" s="38" t="s">
        <v>4187</v>
      </c>
      <c r="B1659" s="14">
        <v>1</v>
      </c>
    </row>
    <row r="1660" spans="1:2" x14ac:dyDescent="0.35">
      <c r="A1660" s="13" t="s">
        <v>1954</v>
      </c>
      <c r="B1660" s="14">
        <v>1</v>
      </c>
    </row>
    <row r="1661" spans="1:2" x14ac:dyDescent="0.35">
      <c r="A1661" s="37" t="s">
        <v>3138</v>
      </c>
      <c r="B1661" s="14">
        <v>1</v>
      </c>
    </row>
    <row r="1662" spans="1:2" x14ac:dyDescent="0.35">
      <c r="A1662" s="38" t="s">
        <v>4185</v>
      </c>
      <c r="B1662" s="14">
        <v>1</v>
      </c>
    </row>
    <row r="1663" spans="1:2" x14ac:dyDescent="0.35">
      <c r="A1663" s="13" t="s">
        <v>1901</v>
      </c>
      <c r="B1663" s="14">
        <v>1</v>
      </c>
    </row>
    <row r="1664" spans="1:2" x14ac:dyDescent="0.35">
      <c r="A1664" s="37" t="s">
        <v>3150</v>
      </c>
      <c r="B1664" s="14">
        <v>1</v>
      </c>
    </row>
    <row r="1665" spans="1:2" x14ac:dyDescent="0.35">
      <c r="A1665" s="38" t="s">
        <v>4185</v>
      </c>
      <c r="B1665" s="14">
        <v>1</v>
      </c>
    </row>
    <row r="1666" spans="1:2" x14ac:dyDescent="0.35">
      <c r="A1666" s="13" t="s">
        <v>2490</v>
      </c>
      <c r="B1666" s="14">
        <v>1</v>
      </c>
    </row>
    <row r="1667" spans="1:2" x14ac:dyDescent="0.35">
      <c r="A1667" s="37" t="s">
        <v>3148</v>
      </c>
      <c r="B1667" s="14">
        <v>1</v>
      </c>
    </row>
    <row r="1668" spans="1:2" x14ac:dyDescent="0.35">
      <c r="A1668" s="38" t="s">
        <v>4187</v>
      </c>
      <c r="B1668" s="14">
        <v>1</v>
      </c>
    </row>
    <row r="1669" spans="1:2" x14ac:dyDescent="0.35">
      <c r="A1669" s="13" t="s">
        <v>2222</v>
      </c>
      <c r="B1669" s="14">
        <v>1</v>
      </c>
    </row>
    <row r="1670" spans="1:2" x14ac:dyDescent="0.35">
      <c r="A1670" s="37" t="s">
        <v>2221</v>
      </c>
      <c r="B1670" s="14">
        <v>1</v>
      </c>
    </row>
    <row r="1671" spans="1:2" x14ac:dyDescent="0.35">
      <c r="A1671" s="38" t="s">
        <v>4186</v>
      </c>
      <c r="B1671" s="14">
        <v>1</v>
      </c>
    </row>
    <row r="1672" spans="1:2" x14ac:dyDescent="0.35">
      <c r="A1672" s="13" t="s">
        <v>2494</v>
      </c>
      <c r="B1672" s="14">
        <v>1</v>
      </c>
    </row>
    <row r="1673" spans="1:2" x14ac:dyDescent="0.35">
      <c r="A1673" s="37" t="s">
        <v>2491</v>
      </c>
      <c r="B1673" s="14">
        <v>1</v>
      </c>
    </row>
    <row r="1674" spans="1:2" x14ac:dyDescent="0.35">
      <c r="A1674" s="38" t="s">
        <v>4187</v>
      </c>
      <c r="B1674" s="14">
        <v>1</v>
      </c>
    </row>
    <row r="1675" spans="1:2" x14ac:dyDescent="0.35">
      <c r="A1675" s="13" t="s">
        <v>2225</v>
      </c>
      <c r="B1675" s="14">
        <v>1</v>
      </c>
    </row>
    <row r="1676" spans="1:2" x14ac:dyDescent="0.35">
      <c r="A1676" s="37" t="s">
        <v>2224</v>
      </c>
      <c r="B1676" s="14">
        <v>1</v>
      </c>
    </row>
    <row r="1677" spans="1:2" x14ac:dyDescent="0.35">
      <c r="A1677" s="38" t="s">
        <v>4186</v>
      </c>
      <c r="B1677" s="14">
        <v>1</v>
      </c>
    </row>
    <row r="1678" spans="1:2" x14ac:dyDescent="0.35">
      <c r="A1678" s="13" t="s">
        <v>2499</v>
      </c>
      <c r="B1678" s="14">
        <v>1</v>
      </c>
    </row>
    <row r="1679" spans="1:2" x14ac:dyDescent="0.35">
      <c r="A1679" s="37" t="s">
        <v>2498</v>
      </c>
      <c r="B1679" s="14">
        <v>1</v>
      </c>
    </row>
    <row r="1680" spans="1:2" x14ac:dyDescent="0.35">
      <c r="A1680" s="38" t="s">
        <v>4187</v>
      </c>
      <c r="B1680" s="14">
        <v>1</v>
      </c>
    </row>
    <row r="1681" spans="1:2" x14ac:dyDescent="0.35">
      <c r="A1681" s="13" t="s">
        <v>2227</v>
      </c>
      <c r="B1681" s="14">
        <v>1</v>
      </c>
    </row>
    <row r="1682" spans="1:2" x14ac:dyDescent="0.35">
      <c r="A1682" s="37" t="s">
        <v>2224</v>
      </c>
      <c r="B1682" s="14">
        <v>1</v>
      </c>
    </row>
    <row r="1683" spans="1:2" x14ac:dyDescent="0.35">
      <c r="A1683" s="38" t="s">
        <v>4186</v>
      </c>
      <c r="B1683" s="14">
        <v>1</v>
      </c>
    </row>
    <row r="1684" spans="1:2" x14ac:dyDescent="0.35">
      <c r="A1684" s="13" t="s">
        <v>2501</v>
      </c>
      <c r="B1684" s="14">
        <v>1</v>
      </c>
    </row>
    <row r="1685" spans="1:2" x14ac:dyDescent="0.35">
      <c r="A1685" s="37" t="s">
        <v>2498</v>
      </c>
      <c r="B1685" s="14">
        <v>1</v>
      </c>
    </row>
    <row r="1686" spans="1:2" x14ac:dyDescent="0.35">
      <c r="A1686" s="38" t="s">
        <v>4187</v>
      </c>
      <c r="B1686" s="14">
        <v>1</v>
      </c>
    </row>
    <row r="1687" spans="1:2" x14ac:dyDescent="0.35">
      <c r="A1687" s="13" t="s">
        <v>1927</v>
      </c>
      <c r="B1687" s="14">
        <v>1</v>
      </c>
    </row>
    <row r="1688" spans="1:2" x14ac:dyDescent="0.35">
      <c r="A1688" s="37" t="s">
        <v>3131</v>
      </c>
      <c r="B1688" s="14">
        <v>1</v>
      </c>
    </row>
    <row r="1689" spans="1:2" x14ac:dyDescent="0.35">
      <c r="A1689" s="38" t="s">
        <v>4185</v>
      </c>
      <c r="B1689" s="14">
        <v>1</v>
      </c>
    </row>
    <row r="1690" spans="1:2" x14ac:dyDescent="0.35">
      <c r="A1690" s="13" t="s">
        <v>2504</v>
      </c>
      <c r="B1690" s="14">
        <v>1</v>
      </c>
    </row>
    <row r="1691" spans="1:2" x14ac:dyDescent="0.35">
      <c r="A1691" s="37" t="s">
        <v>2503</v>
      </c>
      <c r="B1691" s="14">
        <v>1</v>
      </c>
    </row>
    <row r="1692" spans="1:2" x14ac:dyDescent="0.35">
      <c r="A1692" s="38" t="s">
        <v>4187</v>
      </c>
      <c r="B1692" s="14">
        <v>1</v>
      </c>
    </row>
    <row r="1693" spans="1:2" x14ac:dyDescent="0.35">
      <c r="A1693" s="13" t="s">
        <v>1931</v>
      </c>
      <c r="B1693" s="14">
        <v>1</v>
      </c>
    </row>
    <row r="1694" spans="1:2" x14ac:dyDescent="0.35">
      <c r="A1694" s="37" t="s">
        <v>3132</v>
      </c>
      <c r="B1694" s="14">
        <v>1</v>
      </c>
    </row>
    <row r="1695" spans="1:2" x14ac:dyDescent="0.35">
      <c r="A1695" s="38" t="s">
        <v>4185</v>
      </c>
      <c r="B1695" s="14">
        <v>1</v>
      </c>
    </row>
    <row r="1696" spans="1:2" x14ac:dyDescent="0.35">
      <c r="A1696" s="13" t="s">
        <v>2509</v>
      </c>
      <c r="B1696" s="14">
        <v>1</v>
      </c>
    </row>
    <row r="1697" spans="1:2" x14ac:dyDescent="0.35">
      <c r="A1697" s="37" t="s">
        <v>2506</v>
      </c>
      <c r="B1697" s="14">
        <v>1</v>
      </c>
    </row>
    <row r="1698" spans="1:2" x14ac:dyDescent="0.35">
      <c r="A1698" s="38" t="s">
        <v>4187</v>
      </c>
      <c r="B1698" s="14">
        <v>1</v>
      </c>
    </row>
    <row r="1699" spans="1:2" x14ac:dyDescent="0.35">
      <c r="A1699" s="13" t="s">
        <v>2236</v>
      </c>
      <c r="B1699" s="14">
        <v>1</v>
      </c>
    </row>
    <row r="1700" spans="1:2" x14ac:dyDescent="0.35">
      <c r="A1700" s="37" t="s">
        <v>2233</v>
      </c>
      <c r="B1700" s="14">
        <v>1</v>
      </c>
    </row>
    <row r="1701" spans="1:2" x14ac:dyDescent="0.35">
      <c r="A1701" s="38" t="s">
        <v>4186</v>
      </c>
      <c r="B1701" s="14">
        <v>1</v>
      </c>
    </row>
    <row r="1702" spans="1:2" x14ac:dyDescent="0.35">
      <c r="A1702" s="13" t="s">
        <v>1961</v>
      </c>
      <c r="B1702" s="14">
        <v>1</v>
      </c>
    </row>
    <row r="1703" spans="1:2" x14ac:dyDescent="0.35">
      <c r="A1703" s="37" t="s">
        <v>3140</v>
      </c>
      <c r="B1703" s="14">
        <v>1</v>
      </c>
    </row>
    <row r="1704" spans="1:2" x14ac:dyDescent="0.35">
      <c r="A1704" s="38" t="s">
        <v>4185</v>
      </c>
      <c r="B1704" s="14">
        <v>1</v>
      </c>
    </row>
    <row r="1705" spans="1:2" x14ac:dyDescent="0.35">
      <c r="A1705" s="13" t="s">
        <v>2238</v>
      </c>
      <c r="B1705" s="14">
        <v>1</v>
      </c>
    </row>
    <row r="1706" spans="1:2" x14ac:dyDescent="0.35">
      <c r="A1706" s="37" t="s">
        <v>2233</v>
      </c>
      <c r="B1706" s="14">
        <v>1</v>
      </c>
    </row>
    <row r="1707" spans="1:2" x14ac:dyDescent="0.35">
      <c r="A1707" s="38" t="s">
        <v>4186</v>
      </c>
      <c r="B1707" s="14">
        <v>1</v>
      </c>
    </row>
    <row r="1708" spans="1:2" x14ac:dyDescent="0.35">
      <c r="A1708" s="13" t="s">
        <v>1907</v>
      </c>
      <c r="B1708" s="14">
        <v>1</v>
      </c>
    </row>
    <row r="1709" spans="1:2" x14ac:dyDescent="0.35">
      <c r="A1709" s="37" t="s">
        <v>3151</v>
      </c>
      <c r="B1709" s="14">
        <v>1</v>
      </c>
    </row>
    <row r="1710" spans="1:2" x14ac:dyDescent="0.35">
      <c r="A1710" s="38" t="s">
        <v>4185</v>
      </c>
      <c r="B1710" s="14">
        <v>1</v>
      </c>
    </row>
    <row r="1711" spans="1:2" x14ac:dyDescent="0.35">
      <c r="A1711" s="13" t="s">
        <v>2241</v>
      </c>
      <c r="B1711" s="14">
        <v>1</v>
      </c>
    </row>
    <row r="1712" spans="1:2" x14ac:dyDescent="0.35">
      <c r="A1712" s="37" t="s">
        <v>2240</v>
      </c>
      <c r="B1712" s="14">
        <v>1</v>
      </c>
    </row>
    <row r="1713" spans="1:2" x14ac:dyDescent="0.35">
      <c r="A1713" s="38" t="s">
        <v>4186</v>
      </c>
      <c r="B1713" s="14">
        <v>1</v>
      </c>
    </row>
    <row r="1714" spans="1:2" x14ac:dyDescent="0.35">
      <c r="A1714" s="13" t="s">
        <v>2523</v>
      </c>
      <c r="B1714" s="14">
        <v>1</v>
      </c>
    </row>
    <row r="1715" spans="1:2" x14ac:dyDescent="0.35">
      <c r="A1715" s="37" t="s">
        <v>2522</v>
      </c>
      <c r="B1715" s="14">
        <v>1</v>
      </c>
    </row>
    <row r="1716" spans="1:2" x14ac:dyDescent="0.35">
      <c r="A1716" s="38" t="s">
        <v>4187</v>
      </c>
      <c r="B1716" s="14">
        <v>1</v>
      </c>
    </row>
    <row r="1717" spans="1:2" x14ac:dyDescent="0.35">
      <c r="A1717" s="13" t="s">
        <v>2211</v>
      </c>
      <c r="B1717" s="14">
        <v>1</v>
      </c>
    </row>
    <row r="1718" spans="1:2" x14ac:dyDescent="0.35">
      <c r="A1718" s="37" t="s">
        <v>2210</v>
      </c>
      <c r="B1718" s="14">
        <v>1</v>
      </c>
    </row>
    <row r="1719" spans="1:2" x14ac:dyDescent="0.35">
      <c r="A1719" s="38" t="s">
        <v>4186</v>
      </c>
      <c r="B1719" s="14">
        <v>1</v>
      </c>
    </row>
    <row r="1720" spans="1:2" x14ac:dyDescent="0.35">
      <c r="A1720" s="13" t="s">
        <v>2528</v>
      </c>
      <c r="B1720" s="14">
        <v>1</v>
      </c>
    </row>
    <row r="1721" spans="1:2" x14ac:dyDescent="0.35">
      <c r="A1721" s="37" t="s">
        <v>2527</v>
      </c>
      <c r="B1721" s="14">
        <v>1</v>
      </c>
    </row>
    <row r="1722" spans="1:2" x14ac:dyDescent="0.35">
      <c r="A1722" s="38" t="s">
        <v>4187</v>
      </c>
      <c r="B1722" s="14">
        <v>1</v>
      </c>
    </row>
    <row r="1723" spans="1:2" x14ac:dyDescent="0.35">
      <c r="A1723" s="13" t="s">
        <v>2214</v>
      </c>
      <c r="B1723" s="14">
        <v>1</v>
      </c>
    </row>
    <row r="1724" spans="1:2" x14ac:dyDescent="0.35">
      <c r="A1724" s="37" t="s">
        <v>2213</v>
      </c>
      <c r="B1724" s="14">
        <v>1</v>
      </c>
    </row>
    <row r="1725" spans="1:2" x14ac:dyDescent="0.35">
      <c r="A1725" s="38" t="s">
        <v>4186</v>
      </c>
      <c r="B1725" s="14">
        <v>1</v>
      </c>
    </row>
    <row r="1726" spans="1:2" x14ac:dyDescent="0.35">
      <c r="A1726" s="13" t="s">
        <v>2533</v>
      </c>
      <c r="B1726" s="14">
        <v>1</v>
      </c>
    </row>
    <row r="1727" spans="1:2" x14ac:dyDescent="0.35">
      <c r="A1727" s="37" t="s">
        <v>2532</v>
      </c>
      <c r="B1727" s="14">
        <v>1</v>
      </c>
    </row>
    <row r="1728" spans="1:2" x14ac:dyDescent="0.35">
      <c r="A1728" s="38" t="s">
        <v>4187</v>
      </c>
      <c r="B1728" s="14">
        <v>1</v>
      </c>
    </row>
    <row r="1729" spans="1:2" x14ac:dyDescent="0.35">
      <c r="A1729" s="13" t="s">
        <v>2216</v>
      </c>
      <c r="B1729" s="14">
        <v>1</v>
      </c>
    </row>
    <row r="1730" spans="1:2" x14ac:dyDescent="0.35">
      <c r="A1730" s="37" t="s">
        <v>2213</v>
      </c>
      <c r="B1730" s="14">
        <v>1</v>
      </c>
    </row>
    <row r="1731" spans="1:2" x14ac:dyDescent="0.35">
      <c r="A1731" s="38" t="s">
        <v>4186</v>
      </c>
      <c r="B1731" s="14">
        <v>1</v>
      </c>
    </row>
    <row r="1732" spans="1:2" x14ac:dyDescent="0.35">
      <c r="A1732" s="13" t="s">
        <v>2536</v>
      </c>
      <c r="B1732" s="14">
        <v>1</v>
      </c>
    </row>
    <row r="1733" spans="1:2" x14ac:dyDescent="0.35">
      <c r="A1733" s="37" t="s">
        <v>2534</v>
      </c>
      <c r="B1733" s="14">
        <v>1</v>
      </c>
    </row>
    <row r="1734" spans="1:2" x14ac:dyDescent="0.35">
      <c r="A1734" s="38" t="s">
        <v>4187</v>
      </c>
      <c r="B1734" s="14">
        <v>1</v>
      </c>
    </row>
    <row r="1735" spans="1:2" x14ac:dyDescent="0.35">
      <c r="A1735" s="13" t="s">
        <v>2218</v>
      </c>
      <c r="B1735" s="14">
        <v>1</v>
      </c>
    </row>
    <row r="1736" spans="1:2" x14ac:dyDescent="0.35">
      <c r="A1736" s="37" t="s">
        <v>2213</v>
      </c>
      <c r="B1736" s="14">
        <v>1</v>
      </c>
    </row>
    <row r="1737" spans="1:2" x14ac:dyDescent="0.35">
      <c r="A1737" s="38" t="s">
        <v>4186</v>
      </c>
      <c r="B1737" s="14">
        <v>1</v>
      </c>
    </row>
    <row r="1738" spans="1:2" x14ac:dyDescent="0.35">
      <c r="A1738" s="13" t="s">
        <v>2220</v>
      </c>
      <c r="B1738" s="14">
        <v>1</v>
      </c>
    </row>
    <row r="1739" spans="1:2" x14ac:dyDescent="0.35">
      <c r="A1739" s="37" t="s">
        <v>2213</v>
      </c>
      <c r="B1739" s="14">
        <v>1</v>
      </c>
    </row>
    <row r="1740" spans="1:2" x14ac:dyDescent="0.35">
      <c r="A1740" s="38" t="s">
        <v>4186</v>
      </c>
      <c r="B1740" s="14">
        <v>1</v>
      </c>
    </row>
    <row r="1741" spans="1:2" x14ac:dyDescent="0.35">
      <c r="A1741" s="13" t="s">
        <v>3128</v>
      </c>
      <c r="B1741" s="14">
        <v>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06DB-E07C-4CC9-AEEF-1C78EF1095F5}">
  <sheetPr filterMode="1"/>
  <dimension ref="A1:R629"/>
  <sheetViews>
    <sheetView tabSelected="1" zoomScale="57" zoomScaleNormal="92" workbookViewId="0">
      <selection activeCell="E363" sqref="E363"/>
    </sheetView>
  </sheetViews>
  <sheetFormatPr baseColWidth="10" defaultRowHeight="14.5" x14ac:dyDescent="0.35"/>
  <cols>
    <col min="1" max="1" width="10.90625" style="17"/>
    <col min="2" max="2" width="70.54296875" bestFit="1" customWidth="1"/>
    <col min="3" max="3" width="82.90625" bestFit="1" customWidth="1"/>
    <col min="4" max="4" width="82.90625" customWidth="1"/>
    <col min="5" max="5" width="33.08984375" customWidth="1"/>
    <col min="6" max="7" width="24.7265625" style="11" customWidth="1"/>
    <col min="8" max="8" width="27.7265625" style="11" bestFit="1" customWidth="1"/>
    <col min="9" max="9" width="10.90625" style="11"/>
    <col min="11" max="11" width="15.81640625" customWidth="1"/>
    <col min="14" max="14" width="35.453125" bestFit="1" customWidth="1"/>
    <col min="16" max="16" width="10.90625" style="17"/>
  </cols>
  <sheetData>
    <row r="1" spans="1:18" s="8" customFormat="1" ht="28.5" customHeight="1" x14ac:dyDescent="0.35">
      <c r="A1" s="15" t="s">
        <v>7</v>
      </c>
      <c r="B1" s="6" t="s">
        <v>1888</v>
      </c>
      <c r="C1" s="6" t="s">
        <v>3158</v>
      </c>
      <c r="D1" s="6" t="s">
        <v>4181</v>
      </c>
      <c r="E1" s="6" t="s">
        <v>1889</v>
      </c>
      <c r="F1" s="6" t="s">
        <v>1890</v>
      </c>
      <c r="G1" s="6" t="s">
        <v>3159</v>
      </c>
      <c r="H1" s="7" t="s">
        <v>1891</v>
      </c>
      <c r="I1" s="7" t="s">
        <v>1892</v>
      </c>
      <c r="J1" s="6" t="s">
        <v>1893</v>
      </c>
      <c r="K1" s="6" t="s">
        <v>1894</v>
      </c>
      <c r="L1" s="6" t="s">
        <v>1895</v>
      </c>
      <c r="M1" s="6" t="s">
        <v>1896</v>
      </c>
      <c r="N1" s="6" t="s">
        <v>1897</v>
      </c>
      <c r="O1" s="6" t="s">
        <v>1898</v>
      </c>
      <c r="P1" s="15" t="s">
        <v>1899</v>
      </c>
    </row>
    <row r="2" spans="1:18" hidden="1" x14ac:dyDescent="0.35">
      <c r="A2" s="16" t="s">
        <v>101</v>
      </c>
      <c r="B2" s="9" t="s">
        <v>1994</v>
      </c>
      <c r="C2" s="9" t="s">
        <v>1994</v>
      </c>
      <c r="D2" s="9" t="e">
        <f>VLOOKUP(RBE!C2,Permis[[#This Row],[Parties]],1,0)</f>
        <v>#N/A</v>
      </c>
      <c r="E2" s="9" t="s">
        <v>1995</v>
      </c>
      <c r="F2" s="10" t="s">
        <v>1962</v>
      </c>
      <c r="G2" s="10" t="str">
        <f t="shared" ref="G2:G65" si="0">LEFT(TRIM(F2),4)</f>
        <v>2021</v>
      </c>
      <c r="H2" s="10">
        <v>20</v>
      </c>
      <c r="I2" s="10" t="s">
        <v>1905</v>
      </c>
      <c r="J2" s="9" t="s">
        <v>1912</v>
      </c>
      <c r="K2" s="9" t="s">
        <v>1912</v>
      </c>
      <c r="L2" s="9" t="s">
        <v>1905</v>
      </c>
      <c r="M2" s="9">
        <v>0</v>
      </c>
      <c r="N2" s="9" t="s">
        <v>1905</v>
      </c>
      <c r="O2" s="9" t="s">
        <v>1898</v>
      </c>
      <c r="P2" s="16" t="s">
        <v>101</v>
      </c>
      <c r="Q2">
        <f>IF(J2=K2,0,1)</f>
        <v>0</v>
      </c>
      <c r="R2" t="b">
        <f>ISBLANK(K2)</f>
        <v>0</v>
      </c>
    </row>
    <row r="3" spans="1:18" hidden="1" x14ac:dyDescent="0.35">
      <c r="A3" s="16" t="s">
        <v>101</v>
      </c>
      <c r="B3" s="9" t="s">
        <v>1996</v>
      </c>
      <c r="C3" s="9" t="s">
        <v>1996</v>
      </c>
      <c r="D3" s="9" t="e">
        <f>VLOOKUP(RBE!C3,Permis[[#This Row],[Parties]],1,0)</f>
        <v>#N/A</v>
      </c>
      <c r="E3" s="9" t="s">
        <v>1997</v>
      </c>
      <c r="F3" s="10" t="s">
        <v>1998</v>
      </c>
      <c r="G3" s="10" t="str">
        <f t="shared" si="0"/>
        <v>2021</v>
      </c>
      <c r="H3" s="10">
        <v>100</v>
      </c>
      <c r="I3" s="10" t="s">
        <v>1905</v>
      </c>
      <c r="J3" s="9" t="s">
        <v>1999</v>
      </c>
      <c r="K3" s="9" t="s">
        <v>1999</v>
      </c>
      <c r="L3" s="9" t="s">
        <v>1905</v>
      </c>
      <c r="M3" s="9">
        <v>0</v>
      </c>
      <c r="N3" s="9" t="s">
        <v>1905</v>
      </c>
      <c r="O3" s="9" t="s">
        <v>1898</v>
      </c>
      <c r="P3" s="16" t="s">
        <v>101</v>
      </c>
      <c r="Q3">
        <f t="shared" ref="Q3:Q66" si="1">IF(J3=K3,0,1)</f>
        <v>0</v>
      </c>
      <c r="R3" t="b">
        <f t="shared" ref="R3:R66" si="2">ISBLANK(K3)</f>
        <v>0</v>
      </c>
    </row>
    <row r="4" spans="1:18" hidden="1" x14ac:dyDescent="0.35">
      <c r="A4" s="16" t="s">
        <v>101</v>
      </c>
      <c r="B4" s="9" t="s">
        <v>2000</v>
      </c>
      <c r="C4" s="9" t="s">
        <v>2000</v>
      </c>
      <c r="D4" s="9" t="e">
        <f>VLOOKUP(RBE!C4,Permis[[#This Row],[Parties]],1,0)</f>
        <v>#N/A</v>
      </c>
      <c r="E4" s="9" t="s">
        <v>2001</v>
      </c>
      <c r="F4" s="10" t="s">
        <v>2002</v>
      </c>
      <c r="G4" s="10" t="str">
        <f t="shared" si="0"/>
        <v>2021</v>
      </c>
      <c r="H4" s="10">
        <v>25</v>
      </c>
      <c r="I4" s="10" t="s">
        <v>1905</v>
      </c>
      <c r="J4" s="9" t="s">
        <v>1912</v>
      </c>
      <c r="K4" s="9" t="s">
        <v>1912</v>
      </c>
      <c r="L4" s="9" t="s">
        <v>1905</v>
      </c>
      <c r="M4" s="9">
        <v>0</v>
      </c>
      <c r="N4" s="9" t="s">
        <v>1905</v>
      </c>
      <c r="O4" s="9" t="s">
        <v>1898</v>
      </c>
      <c r="P4" s="16" t="s">
        <v>101</v>
      </c>
      <c r="Q4">
        <f t="shared" si="1"/>
        <v>0</v>
      </c>
      <c r="R4" t="b">
        <f t="shared" si="2"/>
        <v>0</v>
      </c>
    </row>
    <row r="5" spans="1:18" hidden="1" x14ac:dyDescent="0.35">
      <c r="A5" s="16" t="s">
        <v>101</v>
      </c>
      <c r="B5" s="9" t="s">
        <v>2003</v>
      </c>
      <c r="C5" s="9" t="s">
        <v>2003</v>
      </c>
      <c r="D5" s="9" t="e">
        <f>VLOOKUP(RBE!C5,Permis[[#This Row],[Parties]],1,0)</f>
        <v>#N/A</v>
      </c>
      <c r="E5" s="9" t="s">
        <v>2004</v>
      </c>
      <c r="F5" s="10" t="s">
        <v>2002</v>
      </c>
      <c r="G5" s="10" t="str">
        <f t="shared" si="0"/>
        <v>2021</v>
      </c>
      <c r="H5" s="10">
        <v>25</v>
      </c>
      <c r="I5" s="10" t="s">
        <v>1905</v>
      </c>
      <c r="J5" s="9" t="s">
        <v>1912</v>
      </c>
      <c r="K5" s="9" t="s">
        <v>1912</v>
      </c>
      <c r="L5" s="9" t="s">
        <v>1905</v>
      </c>
      <c r="M5" s="9">
        <v>0</v>
      </c>
      <c r="N5" s="9" t="s">
        <v>1905</v>
      </c>
      <c r="O5" s="9" t="s">
        <v>1898</v>
      </c>
      <c r="P5" s="16" t="s">
        <v>101</v>
      </c>
      <c r="Q5">
        <f t="shared" si="1"/>
        <v>0</v>
      </c>
      <c r="R5" t="b">
        <f t="shared" si="2"/>
        <v>0</v>
      </c>
    </row>
    <row r="6" spans="1:18" hidden="1" x14ac:dyDescent="0.35">
      <c r="A6" s="16" t="s">
        <v>101</v>
      </c>
      <c r="B6" s="9" t="s">
        <v>2003</v>
      </c>
      <c r="C6" s="9" t="s">
        <v>2003</v>
      </c>
      <c r="D6" s="9" t="e">
        <f>VLOOKUP(RBE!C6,Permis[[#This Row],[Parties]],1,0)</f>
        <v>#N/A</v>
      </c>
      <c r="E6" s="9" t="s">
        <v>2005</v>
      </c>
      <c r="F6" s="10" t="s">
        <v>2006</v>
      </c>
      <c r="G6" s="10" t="str">
        <f t="shared" si="0"/>
        <v>2021</v>
      </c>
      <c r="H6" s="10">
        <v>30</v>
      </c>
      <c r="I6" s="10" t="s">
        <v>1905</v>
      </c>
      <c r="J6" s="9" t="s">
        <v>1912</v>
      </c>
      <c r="K6" s="9" t="s">
        <v>1912</v>
      </c>
      <c r="L6" s="9" t="s">
        <v>1905</v>
      </c>
      <c r="M6" s="9">
        <v>0</v>
      </c>
      <c r="N6" s="9" t="s">
        <v>1905</v>
      </c>
      <c r="O6" s="9" t="s">
        <v>1898</v>
      </c>
      <c r="P6" s="16" t="s">
        <v>101</v>
      </c>
      <c r="Q6">
        <f t="shared" si="1"/>
        <v>0</v>
      </c>
      <c r="R6" t="b">
        <f t="shared" si="2"/>
        <v>0</v>
      </c>
    </row>
    <row r="7" spans="1:18" hidden="1" x14ac:dyDescent="0.35">
      <c r="A7" s="16" t="s">
        <v>101</v>
      </c>
      <c r="B7" s="9" t="s">
        <v>2007</v>
      </c>
      <c r="C7" s="9" t="s">
        <v>2007</v>
      </c>
      <c r="D7" s="9" t="e">
        <f>VLOOKUP(RBE!C7,Permis[[#This Row],[Parties]],1,0)</f>
        <v>#N/A</v>
      </c>
      <c r="E7" s="9" t="s">
        <v>2008</v>
      </c>
      <c r="F7" s="10" t="s">
        <v>2006</v>
      </c>
      <c r="G7" s="10" t="str">
        <f t="shared" si="0"/>
        <v>2021</v>
      </c>
      <c r="H7" s="10">
        <v>70</v>
      </c>
      <c r="I7" s="10" t="s">
        <v>1905</v>
      </c>
      <c r="J7" s="9" t="s">
        <v>1912</v>
      </c>
      <c r="K7" s="9" t="s">
        <v>1912</v>
      </c>
      <c r="L7" s="9" t="s">
        <v>1905</v>
      </c>
      <c r="M7" s="9">
        <v>0</v>
      </c>
      <c r="N7" s="9" t="s">
        <v>1905</v>
      </c>
      <c r="O7" s="9" t="s">
        <v>1898</v>
      </c>
      <c r="P7" s="16" t="s">
        <v>101</v>
      </c>
      <c r="Q7">
        <f t="shared" si="1"/>
        <v>0</v>
      </c>
      <c r="R7" t="b">
        <f t="shared" si="2"/>
        <v>0</v>
      </c>
    </row>
    <row r="8" spans="1:18" hidden="1" x14ac:dyDescent="0.35">
      <c r="A8" s="16" t="s">
        <v>101</v>
      </c>
      <c r="B8" s="9" t="s">
        <v>2007</v>
      </c>
      <c r="C8" s="9" t="s">
        <v>2007</v>
      </c>
      <c r="D8" s="9" t="e">
        <f>VLOOKUP(RBE!C8,Permis[[#This Row],[Parties]],1,0)</f>
        <v>#N/A</v>
      </c>
      <c r="E8" s="9" t="s">
        <v>2009</v>
      </c>
      <c r="F8" s="10" t="s">
        <v>2010</v>
      </c>
      <c r="G8" s="10" t="str">
        <f t="shared" si="0"/>
        <v>2021</v>
      </c>
      <c r="H8" s="10">
        <v>50</v>
      </c>
      <c r="I8" s="10">
        <v>50</v>
      </c>
      <c r="J8" s="9" t="s">
        <v>1912</v>
      </c>
      <c r="K8" s="9" t="s">
        <v>1912</v>
      </c>
      <c r="L8" s="9" t="s">
        <v>2011</v>
      </c>
      <c r="M8" s="9">
        <v>0</v>
      </c>
      <c r="N8" s="9" t="s">
        <v>2012</v>
      </c>
      <c r="O8" s="9" t="s">
        <v>1898</v>
      </c>
      <c r="P8" s="16" t="s">
        <v>101</v>
      </c>
      <c r="Q8">
        <f t="shared" si="1"/>
        <v>0</v>
      </c>
      <c r="R8" t="b">
        <f t="shared" si="2"/>
        <v>0</v>
      </c>
    </row>
    <row r="9" spans="1:18" hidden="1" x14ac:dyDescent="0.35">
      <c r="A9" s="16" t="s">
        <v>101</v>
      </c>
      <c r="B9" s="9" t="s">
        <v>2007</v>
      </c>
      <c r="C9" s="9" t="s">
        <v>2007</v>
      </c>
      <c r="D9" s="9" t="e">
        <f>VLOOKUP(RBE!C9,Permis[[#This Row],[Parties]],1,0)</f>
        <v>#N/A</v>
      </c>
      <c r="E9" s="9" t="s">
        <v>2013</v>
      </c>
      <c r="F9" s="10" t="s">
        <v>2010</v>
      </c>
      <c r="G9" s="10" t="str">
        <f t="shared" si="0"/>
        <v>2021</v>
      </c>
      <c r="H9" s="10">
        <v>50</v>
      </c>
      <c r="I9" s="10">
        <v>50</v>
      </c>
      <c r="J9" s="9" t="s">
        <v>1912</v>
      </c>
      <c r="K9" s="9" t="s">
        <v>1912</v>
      </c>
      <c r="L9" s="9" t="s">
        <v>1912</v>
      </c>
      <c r="M9" s="9">
        <v>0</v>
      </c>
      <c r="N9" s="9" t="s">
        <v>2012</v>
      </c>
      <c r="O9" s="9" t="s">
        <v>1898</v>
      </c>
      <c r="P9" s="16" t="s">
        <v>101</v>
      </c>
      <c r="Q9">
        <f t="shared" si="1"/>
        <v>0</v>
      </c>
      <c r="R9" t="b">
        <f t="shared" si="2"/>
        <v>0</v>
      </c>
    </row>
    <row r="10" spans="1:18" hidden="1" x14ac:dyDescent="0.35">
      <c r="A10" s="16" t="s">
        <v>101</v>
      </c>
      <c r="B10" s="9" t="s">
        <v>1900</v>
      </c>
      <c r="C10" s="9" t="s">
        <v>3150</v>
      </c>
      <c r="D10" s="9" t="e">
        <f>VLOOKUP(RBE!C10,Permis[[#This Row],[Parties]],1,0)</f>
        <v>#N/A</v>
      </c>
      <c r="E10" s="9" t="s">
        <v>1901</v>
      </c>
      <c r="F10" s="10" t="s">
        <v>1902</v>
      </c>
      <c r="G10" s="10" t="str">
        <f t="shared" si="0"/>
        <v>2021</v>
      </c>
      <c r="H10" s="10" t="s">
        <v>1903</v>
      </c>
      <c r="I10" s="10" t="s">
        <v>1903</v>
      </c>
      <c r="J10" s="9" t="s">
        <v>1904</v>
      </c>
      <c r="K10" s="9" t="s">
        <v>1904</v>
      </c>
      <c r="L10" s="9" t="s">
        <v>1905</v>
      </c>
      <c r="M10" s="9">
        <v>0</v>
      </c>
      <c r="N10" s="9" t="s">
        <v>1905</v>
      </c>
      <c r="O10" s="9" t="s">
        <v>1898</v>
      </c>
      <c r="P10" s="16" t="s">
        <v>101</v>
      </c>
      <c r="Q10">
        <f t="shared" si="1"/>
        <v>0</v>
      </c>
      <c r="R10" t="b">
        <f t="shared" si="2"/>
        <v>0</v>
      </c>
    </row>
    <row r="11" spans="1:18" hidden="1" x14ac:dyDescent="0.35">
      <c r="A11" s="16" t="s">
        <v>101</v>
      </c>
      <c r="B11" s="9" t="s">
        <v>2014</v>
      </c>
      <c r="C11" s="9" t="s">
        <v>2014</v>
      </c>
      <c r="D11" s="9" t="e">
        <f>VLOOKUP(RBE!C11,Permis[[#This Row],[Parties]],1,0)</f>
        <v>#N/A</v>
      </c>
      <c r="E11" s="9" t="s">
        <v>2015</v>
      </c>
      <c r="F11" s="10" t="s">
        <v>2002</v>
      </c>
      <c r="G11" s="10" t="str">
        <f t="shared" si="0"/>
        <v>2021</v>
      </c>
      <c r="H11" s="10">
        <v>25</v>
      </c>
      <c r="I11" s="10" t="s">
        <v>1905</v>
      </c>
      <c r="J11" s="9" t="s">
        <v>1912</v>
      </c>
      <c r="K11" s="9" t="s">
        <v>1912</v>
      </c>
      <c r="L11" s="9" t="s">
        <v>1905</v>
      </c>
      <c r="M11" s="9">
        <v>0</v>
      </c>
      <c r="N11" s="9" t="s">
        <v>1905</v>
      </c>
      <c r="O11" s="9" t="s">
        <v>1898</v>
      </c>
      <c r="P11" s="16" t="s">
        <v>101</v>
      </c>
      <c r="Q11">
        <f t="shared" si="1"/>
        <v>0</v>
      </c>
      <c r="R11" t="b">
        <f t="shared" si="2"/>
        <v>0</v>
      </c>
    </row>
    <row r="12" spans="1:18" hidden="1" x14ac:dyDescent="0.35">
      <c r="A12" s="16" t="s">
        <v>101</v>
      </c>
      <c r="B12" s="9" t="s">
        <v>1960</v>
      </c>
      <c r="C12" s="9" t="s">
        <v>3140</v>
      </c>
      <c r="D12" s="9" t="e">
        <f>VLOOKUP(RBE!C12,Permis[[#This Row],[Parties]],1,0)</f>
        <v>#N/A</v>
      </c>
      <c r="E12" s="9" t="s">
        <v>1961</v>
      </c>
      <c r="F12" s="10" t="s">
        <v>1962</v>
      </c>
      <c r="G12" s="10" t="str">
        <f t="shared" si="0"/>
        <v>2021</v>
      </c>
      <c r="H12" s="10">
        <v>20</v>
      </c>
      <c r="I12" s="10" t="s">
        <v>1905</v>
      </c>
      <c r="J12" s="9" t="s">
        <v>1912</v>
      </c>
      <c r="K12" s="9" t="s">
        <v>1912</v>
      </c>
      <c r="L12" s="9" t="s">
        <v>1905</v>
      </c>
      <c r="M12" s="9">
        <v>0</v>
      </c>
      <c r="N12" s="9" t="s">
        <v>1905</v>
      </c>
      <c r="O12" s="9" t="s">
        <v>1898</v>
      </c>
      <c r="P12" s="16" t="s">
        <v>101</v>
      </c>
      <c r="Q12">
        <f t="shared" si="1"/>
        <v>0</v>
      </c>
      <c r="R12" t="b">
        <f t="shared" si="2"/>
        <v>0</v>
      </c>
    </row>
    <row r="13" spans="1:18" hidden="1" x14ac:dyDescent="0.35">
      <c r="A13" s="16" t="s">
        <v>101</v>
      </c>
      <c r="B13" s="9" t="s">
        <v>2016</v>
      </c>
      <c r="C13" s="9" t="s">
        <v>2016</v>
      </c>
      <c r="D13" s="9" t="e">
        <f>VLOOKUP(RBE!C13,Permis[[#This Row],[Parties]],1,0)</f>
        <v>#N/A</v>
      </c>
      <c r="E13" s="9" t="s">
        <v>2015</v>
      </c>
      <c r="F13" s="10" t="s">
        <v>2002</v>
      </c>
      <c r="G13" s="10" t="str">
        <f t="shared" si="0"/>
        <v>2021</v>
      </c>
      <c r="H13" s="10">
        <v>25</v>
      </c>
      <c r="I13" s="10" t="s">
        <v>1905</v>
      </c>
      <c r="J13" s="9" t="s">
        <v>1912</v>
      </c>
      <c r="K13" s="9" t="s">
        <v>1912</v>
      </c>
      <c r="L13" s="9" t="s">
        <v>1905</v>
      </c>
      <c r="M13" s="9">
        <v>0</v>
      </c>
      <c r="N13" s="9" t="s">
        <v>1905</v>
      </c>
      <c r="O13" s="9" t="s">
        <v>1898</v>
      </c>
      <c r="P13" s="16" t="s">
        <v>101</v>
      </c>
      <c r="Q13">
        <f t="shared" si="1"/>
        <v>0</v>
      </c>
      <c r="R13" t="b">
        <f t="shared" si="2"/>
        <v>0</v>
      </c>
    </row>
    <row r="14" spans="1:18" hidden="1" x14ac:dyDescent="0.35">
      <c r="A14" s="16" t="s">
        <v>101</v>
      </c>
      <c r="B14" s="9" t="s">
        <v>2016</v>
      </c>
      <c r="C14" s="9" t="s">
        <v>2016</v>
      </c>
      <c r="D14" s="9" t="e">
        <f>VLOOKUP(RBE!C14,Permis[[#This Row],[Parties]],1,0)</f>
        <v>#N/A</v>
      </c>
      <c r="E14" s="9" t="s">
        <v>2015</v>
      </c>
      <c r="F14" s="10" t="s">
        <v>2017</v>
      </c>
      <c r="G14" s="10" t="str">
        <f t="shared" si="0"/>
        <v>2021</v>
      </c>
      <c r="H14" s="10" t="s">
        <v>1905</v>
      </c>
      <c r="I14" s="10" t="s">
        <v>1905</v>
      </c>
      <c r="J14" s="9" t="s">
        <v>2018</v>
      </c>
      <c r="K14" s="9" t="s">
        <v>2018</v>
      </c>
      <c r="L14" s="9" t="s">
        <v>1905</v>
      </c>
      <c r="M14" s="9">
        <v>0</v>
      </c>
      <c r="N14" s="9" t="s">
        <v>1905</v>
      </c>
      <c r="O14" s="9" t="s">
        <v>1898</v>
      </c>
      <c r="P14" s="16" t="s">
        <v>101</v>
      </c>
      <c r="Q14">
        <f t="shared" si="1"/>
        <v>0</v>
      </c>
      <c r="R14" t="b">
        <f t="shared" si="2"/>
        <v>0</v>
      </c>
    </row>
    <row r="15" spans="1:18" hidden="1" x14ac:dyDescent="0.35">
      <c r="A15" s="16" t="s">
        <v>101</v>
      </c>
      <c r="B15" s="9" t="s">
        <v>2019</v>
      </c>
      <c r="C15" s="9" t="s">
        <v>2019</v>
      </c>
      <c r="D15" s="9" t="e">
        <f>VLOOKUP(RBE!C15,Permis[[#This Row],[Parties]],1,0)</f>
        <v>#N/A</v>
      </c>
      <c r="E15" s="9" t="s">
        <v>2020</v>
      </c>
      <c r="F15" s="10" t="s">
        <v>2021</v>
      </c>
      <c r="G15" s="10" t="str">
        <f t="shared" si="0"/>
        <v>2021</v>
      </c>
      <c r="H15" s="10">
        <v>100</v>
      </c>
      <c r="I15" s="10">
        <v>100</v>
      </c>
      <c r="J15" s="9" t="s">
        <v>1912</v>
      </c>
      <c r="K15" s="9" t="s">
        <v>1912</v>
      </c>
      <c r="L15" s="9" t="s">
        <v>1905</v>
      </c>
      <c r="M15" s="9">
        <v>0</v>
      </c>
      <c r="N15" s="9" t="s">
        <v>1905</v>
      </c>
      <c r="O15" s="9" t="s">
        <v>1898</v>
      </c>
      <c r="P15" s="16" t="s">
        <v>101</v>
      </c>
      <c r="Q15">
        <f t="shared" si="1"/>
        <v>0</v>
      </c>
      <c r="R15" t="b">
        <f t="shared" si="2"/>
        <v>0</v>
      </c>
    </row>
    <row r="16" spans="1:18" hidden="1" x14ac:dyDescent="0.35">
      <c r="A16" s="16" t="s">
        <v>101</v>
      </c>
      <c r="B16" s="9" t="s">
        <v>2022</v>
      </c>
      <c r="C16" s="9" t="s">
        <v>2022</v>
      </c>
      <c r="D16" s="9" t="e">
        <f>VLOOKUP(RBE!C16,Permis[[#This Row],[Parties]],1,0)</f>
        <v>#N/A</v>
      </c>
      <c r="E16" s="9" t="s">
        <v>2023</v>
      </c>
      <c r="F16" s="10" t="s">
        <v>2024</v>
      </c>
      <c r="G16" s="10" t="str">
        <f t="shared" si="0"/>
        <v>2022</v>
      </c>
      <c r="H16" s="10">
        <v>100</v>
      </c>
      <c r="I16" s="10" t="s">
        <v>1905</v>
      </c>
      <c r="J16" s="9" t="s">
        <v>1912</v>
      </c>
      <c r="K16" s="9" t="s">
        <v>1912</v>
      </c>
      <c r="L16" s="9" t="s">
        <v>1905</v>
      </c>
      <c r="M16" s="9">
        <v>0</v>
      </c>
      <c r="N16" s="9" t="s">
        <v>1905</v>
      </c>
      <c r="O16" s="9" t="s">
        <v>1898</v>
      </c>
      <c r="P16" s="16" t="s">
        <v>101</v>
      </c>
      <c r="Q16">
        <f t="shared" si="1"/>
        <v>0</v>
      </c>
      <c r="R16" t="b">
        <f t="shared" si="2"/>
        <v>0</v>
      </c>
    </row>
    <row r="17" spans="1:18" hidden="1" x14ac:dyDescent="0.35">
      <c r="A17" s="16" t="s">
        <v>101</v>
      </c>
      <c r="B17" s="9" t="s">
        <v>2022</v>
      </c>
      <c r="C17" s="9" t="s">
        <v>2022</v>
      </c>
      <c r="D17" s="9" t="e">
        <f>VLOOKUP(RBE!C17,Permis[[#This Row],[Parties]],1,0)</f>
        <v>#N/A</v>
      </c>
      <c r="E17" s="9" t="s">
        <v>2025</v>
      </c>
      <c r="F17" s="10" t="s">
        <v>2026</v>
      </c>
      <c r="G17" s="10" t="str">
        <f t="shared" si="0"/>
        <v>2022</v>
      </c>
      <c r="H17" s="10" t="s">
        <v>1905</v>
      </c>
      <c r="I17" s="10">
        <v>2</v>
      </c>
      <c r="J17" s="9" t="s">
        <v>1912</v>
      </c>
      <c r="K17" s="9" t="s">
        <v>1912</v>
      </c>
      <c r="L17" s="9" t="s">
        <v>1905</v>
      </c>
      <c r="M17" s="9">
        <v>0</v>
      </c>
      <c r="N17" s="9" t="s">
        <v>1905</v>
      </c>
      <c r="O17" s="9" t="s">
        <v>1898</v>
      </c>
      <c r="P17" s="16" t="s">
        <v>101</v>
      </c>
      <c r="Q17">
        <f t="shared" si="1"/>
        <v>0</v>
      </c>
      <c r="R17" t="b">
        <f t="shared" si="2"/>
        <v>0</v>
      </c>
    </row>
    <row r="18" spans="1:18" hidden="1" x14ac:dyDescent="0.35">
      <c r="A18" s="16" t="s">
        <v>101</v>
      </c>
      <c r="B18" s="9" t="s">
        <v>2027</v>
      </c>
      <c r="C18" s="9" t="s">
        <v>2027</v>
      </c>
      <c r="D18" s="9" t="e">
        <f>VLOOKUP(RBE!C18,Permis[[#This Row],[Parties]],1,0)</f>
        <v>#N/A</v>
      </c>
      <c r="E18" s="9" t="s">
        <v>2028</v>
      </c>
      <c r="F18" s="10" t="s">
        <v>2029</v>
      </c>
      <c r="G18" s="10" t="str">
        <f t="shared" si="0"/>
        <v>2022</v>
      </c>
      <c r="H18" s="10">
        <v>100</v>
      </c>
      <c r="I18" s="10">
        <v>100</v>
      </c>
      <c r="J18" s="9" t="s">
        <v>1912</v>
      </c>
      <c r="K18" s="9" t="s">
        <v>1912</v>
      </c>
      <c r="L18" s="9" t="s">
        <v>1905</v>
      </c>
      <c r="M18" s="9">
        <v>0</v>
      </c>
      <c r="N18" s="9" t="s">
        <v>1905</v>
      </c>
      <c r="O18" s="9" t="s">
        <v>1898</v>
      </c>
      <c r="P18" s="16" t="s">
        <v>101</v>
      </c>
      <c r="Q18">
        <f t="shared" si="1"/>
        <v>0</v>
      </c>
      <c r="R18" t="b">
        <f t="shared" si="2"/>
        <v>0</v>
      </c>
    </row>
    <row r="19" spans="1:18" hidden="1" x14ac:dyDescent="0.35">
      <c r="A19" s="16" t="s">
        <v>101</v>
      </c>
      <c r="B19" s="9" t="s">
        <v>2030</v>
      </c>
      <c r="C19" s="9" t="s">
        <v>2030</v>
      </c>
      <c r="D19" s="9" t="e">
        <f>VLOOKUP(RBE!C19,Permis[[#This Row],[Parties]],1,0)</f>
        <v>#N/A</v>
      </c>
      <c r="E19" s="9" t="s">
        <v>2031</v>
      </c>
      <c r="F19" s="10" t="s">
        <v>2032</v>
      </c>
      <c r="G19" s="10" t="str">
        <f t="shared" si="0"/>
        <v>2022</v>
      </c>
      <c r="H19" s="10">
        <v>40</v>
      </c>
      <c r="I19" s="10">
        <v>40</v>
      </c>
      <c r="J19" s="9" t="s">
        <v>1912</v>
      </c>
      <c r="K19" s="9" t="s">
        <v>1912</v>
      </c>
      <c r="L19" s="9" t="s">
        <v>1905</v>
      </c>
      <c r="M19" s="9">
        <v>0</v>
      </c>
      <c r="N19" s="9" t="s">
        <v>1905</v>
      </c>
      <c r="O19" s="9" t="s">
        <v>1898</v>
      </c>
      <c r="P19" s="16" t="s">
        <v>101</v>
      </c>
      <c r="Q19">
        <f t="shared" si="1"/>
        <v>0</v>
      </c>
      <c r="R19" t="b">
        <f t="shared" si="2"/>
        <v>0</v>
      </c>
    </row>
    <row r="20" spans="1:18" hidden="1" x14ac:dyDescent="0.35">
      <c r="A20" s="16" t="s">
        <v>101</v>
      </c>
      <c r="B20" s="9" t="s">
        <v>2033</v>
      </c>
      <c r="C20" s="9" t="s">
        <v>2033</v>
      </c>
      <c r="D20" s="9" t="e">
        <f>VLOOKUP(RBE!C20,Permis[[#This Row],[Parties]],1,0)</f>
        <v>#N/A</v>
      </c>
      <c r="E20" s="9" t="s">
        <v>2034</v>
      </c>
      <c r="F20" s="10" t="s">
        <v>2026</v>
      </c>
      <c r="G20" s="10" t="str">
        <f t="shared" si="0"/>
        <v>2022</v>
      </c>
      <c r="H20" s="10" t="s">
        <v>1905</v>
      </c>
      <c r="I20" s="10">
        <v>2</v>
      </c>
      <c r="J20" s="9" t="s">
        <v>1912</v>
      </c>
      <c r="K20" s="9" t="s">
        <v>1912</v>
      </c>
      <c r="L20" s="9" t="s">
        <v>1905</v>
      </c>
      <c r="M20" s="9">
        <v>0</v>
      </c>
      <c r="N20" s="9" t="s">
        <v>1905</v>
      </c>
      <c r="O20" s="9" t="s">
        <v>1898</v>
      </c>
      <c r="P20" s="16" t="s">
        <v>101</v>
      </c>
      <c r="Q20">
        <f t="shared" si="1"/>
        <v>0</v>
      </c>
      <c r="R20" t="b">
        <f t="shared" si="2"/>
        <v>0</v>
      </c>
    </row>
    <row r="21" spans="1:18" hidden="1" x14ac:dyDescent="0.35">
      <c r="A21" s="16" t="s">
        <v>101</v>
      </c>
      <c r="B21" s="9" t="s">
        <v>2033</v>
      </c>
      <c r="C21" s="9" t="s">
        <v>2033</v>
      </c>
      <c r="D21" s="9" t="e">
        <f>VLOOKUP(RBE!C21,Permis[[#This Row],[Parties]],1,0)</f>
        <v>#N/A</v>
      </c>
      <c r="E21" s="9" t="s">
        <v>2035</v>
      </c>
      <c r="F21" s="10" t="s">
        <v>2036</v>
      </c>
      <c r="G21" s="10" t="str">
        <f t="shared" si="0"/>
        <v>2022</v>
      </c>
      <c r="H21" s="10">
        <v>100</v>
      </c>
      <c r="I21" s="10" t="s">
        <v>1905</v>
      </c>
      <c r="J21" s="9" t="s">
        <v>1912</v>
      </c>
      <c r="K21" s="9" t="s">
        <v>1912</v>
      </c>
      <c r="L21" s="9" t="s">
        <v>1905</v>
      </c>
      <c r="M21" s="9">
        <v>0</v>
      </c>
      <c r="N21" s="9" t="s">
        <v>1905</v>
      </c>
      <c r="O21" s="9" t="s">
        <v>1898</v>
      </c>
      <c r="P21" s="16" t="s">
        <v>101</v>
      </c>
      <c r="Q21">
        <f t="shared" si="1"/>
        <v>0</v>
      </c>
      <c r="R21" t="b">
        <f t="shared" si="2"/>
        <v>0</v>
      </c>
    </row>
    <row r="22" spans="1:18" hidden="1" x14ac:dyDescent="0.35">
      <c r="A22" s="16" t="s">
        <v>101</v>
      </c>
      <c r="B22" s="9" t="s">
        <v>2037</v>
      </c>
      <c r="C22" s="9" t="s">
        <v>2037</v>
      </c>
      <c r="D22" s="9" t="e">
        <f>VLOOKUP(RBE!C22,Permis[[#This Row],[Parties]],1,0)</f>
        <v>#N/A</v>
      </c>
      <c r="E22" s="9" t="s">
        <v>2038</v>
      </c>
      <c r="F22" s="10" t="s">
        <v>2032</v>
      </c>
      <c r="G22" s="10" t="str">
        <f t="shared" si="0"/>
        <v>2022</v>
      </c>
      <c r="H22" s="10">
        <v>40</v>
      </c>
      <c r="I22" s="10">
        <v>40</v>
      </c>
      <c r="J22" s="9" t="s">
        <v>1912</v>
      </c>
      <c r="K22" s="9" t="s">
        <v>1912</v>
      </c>
      <c r="L22" s="9" t="s">
        <v>1905</v>
      </c>
      <c r="M22" s="9">
        <v>0</v>
      </c>
      <c r="N22" s="9" t="s">
        <v>1905</v>
      </c>
      <c r="O22" s="9" t="s">
        <v>1898</v>
      </c>
      <c r="P22" s="16" t="s">
        <v>101</v>
      </c>
      <c r="Q22">
        <f t="shared" si="1"/>
        <v>0</v>
      </c>
      <c r="R22" t="b">
        <f t="shared" si="2"/>
        <v>0</v>
      </c>
    </row>
    <row r="23" spans="1:18" hidden="1" x14ac:dyDescent="0.35">
      <c r="A23" s="16" t="s">
        <v>101</v>
      </c>
      <c r="B23" s="9" t="s">
        <v>2037</v>
      </c>
      <c r="C23" s="9" t="s">
        <v>2037</v>
      </c>
      <c r="D23" s="9" t="e">
        <f>VLOOKUP(RBE!C23,Permis[[#This Row],[Parties]],1,0)</f>
        <v>#N/A</v>
      </c>
      <c r="E23" s="9" t="s">
        <v>2039</v>
      </c>
      <c r="F23" s="10" t="s">
        <v>2032</v>
      </c>
      <c r="G23" s="10" t="str">
        <f t="shared" si="0"/>
        <v>2022</v>
      </c>
      <c r="H23" s="10">
        <v>30</v>
      </c>
      <c r="I23" s="10">
        <v>30</v>
      </c>
      <c r="J23" s="9" t="s">
        <v>1912</v>
      </c>
      <c r="K23" s="9" t="s">
        <v>1912</v>
      </c>
      <c r="L23" s="9" t="s">
        <v>1905</v>
      </c>
      <c r="M23" s="9">
        <v>0</v>
      </c>
      <c r="N23" s="9" t="s">
        <v>1905</v>
      </c>
      <c r="O23" s="9" t="s">
        <v>1898</v>
      </c>
      <c r="P23" s="16" t="s">
        <v>101</v>
      </c>
      <c r="Q23">
        <f t="shared" si="1"/>
        <v>0</v>
      </c>
      <c r="R23" t="b">
        <f t="shared" si="2"/>
        <v>0</v>
      </c>
    </row>
    <row r="24" spans="1:18" hidden="1" x14ac:dyDescent="0.35">
      <c r="A24" s="16" t="s">
        <v>101</v>
      </c>
      <c r="B24" s="9" t="s">
        <v>2037</v>
      </c>
      <c r="C24" s="9" t="s">
        <v>2037</v>
      </c>
      <c r="D24" s="9" t="e">
        <f>VLOOKUP(RBE!C24,Permis[[#This Row],[Parties]],1,0)</f>
        <v>#N/A</v>
      </c>
      <c r="E24" s="9" t="s">
        <v>2040</v>
      </c>
      <c r="F24" s="10" t="s">
        <v>2041</v>
      </c>
      <c r="G24" s="10" t="str">
        <f t="shared" si="0"/>
        <v>2022</v>
      </c>
      <c r="H24" s="10">
        <v>24</v>
      </c>
      <c r="I24" s="10" t="s">
        <v>1905</v>
      </c>
      <c r="J24" s="9" t="s">
        <v>1912</v>
      </c>
      <c r="K24" s="9" t="s">
        <v>1912</v>
      </c>
      <c r="L24" s="9" t="s">
        <v>1905</v>
      </c>
      <c r="M24" s="9">
        <v>0</v>
      </c>
      <c r="N24" s="9" t="s">
        <v>1905</v>
      </c>
      <c r="O24" s="9" t="s">
        <v>1898</v>
      </c>
      <c r="P24" s="16" t="s">
        <v>101</v>
      </c>
      <c r="Q24">
        <f t="shared" si="1"/>
        <v>0</v>
      </c>
      <c r="R24" t="b">
        <f t="shared" si="2"/>
        <v>0</v>
      </c>
    </row>
    <row r="25" spans="1:18" hidden="1" x14ac:dyDescent="0.35">
      <c r="A25" s="16" t="s">
        <v>101</v>
      </c>
      <c r="B25" s="9" t="s">
        <v>2037</v>
      </c>
      <c r="C25" s="9" t="s">
        <v>2037</v>
      </c>
      <c r="D25" s="9" t="e">
        <f>VLOOKUP(RBE!C25,Permis[[#This Row],[Parties]],1,0)</f>
        <v>#N/A</v>
      </c>
      <c r="E25" s="9" t="s">
        <v>2042</v>
      </c>
      <c r="F25" s="10" t="s">
        <v>2041</v>
      </c>
      <c r="G25" s="10" t="str">
        <f t="shared" si="0"/>
        <v>2022</v>
      </c>
      <c r="H25" s="10">
        <v>5</v>
      </c>
      <c r="I25" s="10" t="s">
        <v>1905</v>
      </c>
      <c r="J25" s="9" t="s">
        <v>1912</v>
      </c>
      <c r="K25" s="9" t="s">
        <v>1912</v>
      </c>
      <c r="L25" s="9" t="s">
        <v>1905</v>
      </c>
      <c r="M25" s="9">
        <v>0</v>
      </c>
      <c r="N25" s="9" t="s">
        <v>1905</v>
      </c>
      <c r="O25" s="9" t="s">
        <v>1898</v>
      </c>
      <c r="P25" s="16" t="s">
        <v>101</v>
      </c>
      <c r="Q25">
        <f t="shared" si="1"/>
        <v>0</v>
      </c>
      <c r="R25" t="b">
        <f t="shared" si="2"/>
        <v>0</v>
      </c>
    </row>
    <row r="26" spans="1:18" hidden="1" x14ac:dyDescent="0.35">
      <c r="A26" s="16" t="s">
        <v>101</v>
      </c>
      <c r="B26" s="9" t="s">
        <v>2043</v>
      </c>
      <c r="C26" s="9" t="s">
        <v>2043</v>
      </c>
      <c r="D26" s="9" t="e">
        <f>VLOOKUP(RBE!C26,Permis[[#This Row],[Parties]],1,0)</f>
        <v>#N/A</v>
      </c>
      <c r="E26" s="9" t="s">
        <v>2044</v>
      </c>
      <c r="F26" s="10" t="s">
        <v>2041</v>
      </c>
      <c r="G26" s="10" t="str">
        <f t="shared" si="0"/>
        <v>2022</v>
      </c>
      <c r="H26" s="10">
        <v>11</v>
      </c>
      <c r="I26" s="10" t="s">
        <v>1905</v>
      </c>
      <c r="J26" s="9" t="s">
        <v>1912</v>
      </c>
      <c r="K26" s="9" t="s">
        <v>1912</v>
      </c>
      <c r="L26" s="9" t="s">
        <v>1905</v>
      </c>
      <c r="M26" s="9">
        <v>0</v>
      </c>
      <c r="N26" s="9" t="s">
        <v>1905</v>
      </c>
      <c r="O26" s="9" t="s">
        <v>1898</v>
      </c>
      <c r="P26" s="16" t="s">
        <v>101</v>
      </c>
      <c r="Q26">
        <f t="shared" si="1"/>
        <v>0</v>
      </c>
      <c r="R26" t="b">
        <f t="shared" si="2"/>
        <v>0</v>
      </c>
    </row>
    <row r="27" spans="1:18" hidden="1" x14ac:dyDescent="0.35">
      <c r="A27" s="16" t="s">
        <v>101</v>
      </c>
      <c r="B27" s="9" t="s">
        <v>2045</v>
      </c>
      <c r="C27" s="9" t="s">
        <v>2045</v>
      </c>
      <c r="D27" s="9" t="e">
        <f>VLOOKUP(RBE!C27,Permis[[#This Row],[Parties]],1,0)</f>
        <v>#N/A</v>
      </c>
      <c r="E27" s="9" t="s">
        <v>2046</v>
      </c>
      <c r="F27" s="10" t="s">
        <v>2041</v>
      </c>
      <c r="G27" s="10" t="str">
        <f t="shared" si="0"/>
        <v>2022</v>
      </c>
      <c r="H27" s="10">
        <v>23</v>
      </c>
      <c r="I27" s="10" t="s">
        <v>1905</v>
      </c>
      <c r="J27" s="9" t="s">
        <v>1912</v>
      </c>
      <c r="K27" s="9" t="s">
        <v>1912</v>
      </c>
      <c r="L27" s="9" t="s">
        <v>1905</v>
      </c>
      <c r="M27" s="9">
        <v>0</v>
      </c>
      <c r="N27" s="9" t="s">
        <v>1905</v>
      </c>
      <c r="O27" s="9" t="s">
        <v>1898</v>
      </c>
      <c r="P27" s="16" t="s">
        <v>101</v>
      </c>
      <c r="Q27">
        <f t="shared" si="1"/>
        <v>0</v>
      </c>
      <c r="R27" t="b">
        <f t="shared" si="2"/>
        <v>0</v>
      </c>
    </row>
    <row r="28" spans="1:18" hidden="1" x14ac:dyDescent="0.35">
      <c r="A28" s="16" t="s">
        <v>101</v>
      </c>
      <c r="B28" s="9" t="s">
        <v>2045</v>
      </c>
      <c r="C28" s="9" t="s">
        <v>2045</v>
      </c>
      <c r="D28" s="9" t="e">
        <f>VLOOKUP(RBE!C28,Permis[[#This Row],[Parties]],1,0)</f>
        <v>#N/A</v>
      </c>
      <c r="E28" s="9" t="s">
        <v>2046</v>
      </c>
      <c r="F28" s="10" t="s">
        <v>2041</v>
      </c>
      <c r="G28" s="10" t="str">
        <f t="shared" si="0"/>
        <v>2022</v>
      </c>
      <c r="H28" s="10">
        <v>11</v>
      </c>
      <c r="I28" s="10" t="s">
        <v>1905</v>
      </c>
      <c r="J28" s="9" t="s">
        <v>1912</v>
      </c>
      <c r="K28" s="9" t="s">
        <v>1912</v>
      </c>
      <c r="L28" s="9" t="s">
        <v>1905</v>
      </c>
      <c r="M28" s="9">
        <v>0</v>
      </c>
      <c r="N28" s="9" t="s">
        <v>1905</v>
      </c>
      <c r="O28" s="9" t="s">
        <v>1898</v>
      </c>
      <c r="P28" s="16" t="s">
        <v>101</v>
      </c>
      <c r="Q28">
        <f t="shared" si="1"/>
        <v>0</v>
      </c>
      <c r="R28" t="b">
        <f t="shared" si="2"/>
        <v>0</v>
      </c>
    </row>
    <row r="29" spans="1:18" hidden="1" x14ac:dyDescent="0.35">
      <c r="A29" s="16" t="s">
        <v>101</v>
      </c>
      <c r="B29" s="9" t="s">
        <v>2047</v>
      </c>
      <c r="C29" s="9" t="s">
        <v>2047</v>
      </c>
      <c r="D29" s="9" t="e">
        <f>VLOOKUP(RBE!C29,Permis[[#This Row],[Parties]],1,0)</f>
        <v>#N/A</v>
      </c>
      <c r="E29" s="9" t="s">
        <v>2046</v>
      </c>
      <c r="F29" s="10" t="s">
        <v>2041</v>
      </c>
      <c r="G29" s="10" t="str">
        <f t="shared" si="0"/>
        <v>2022</v>
      </c>
      <c r="H29" s="10">
        <v>11</v>
      </c>
      <c r="I29" s="10" t="s">
        <v>1905</v>
      </c>
      <c r="J29" s="9" t="s">
        <v>1912</v>
      </c>
      <c r="K29" s="9" t="s">
        <v>1912</v>
      </c>
      <c r="L29" s="9" t="s">
        <v>1905</v>
      </c>
      <c r="M29" s="9">
        <v>0</v>
      </c>
      <c r="N29" s="9" t="s">
        <v>1905</v>
      </c>
      <c r="O29" s="9" t="s">
        <v>1898</v>
      </c>
      <c r="P29" s="16" t="s">
        <v>101</v>
      </c>
      <c r="Q29">
        <f t="shared" si="1"/>
        <v>0</v>
      </c>
      <c r="R29" t="b">
        <f t="shared" si="2"/>
        <v>0</v>
      </c>
    </row>
    <row r="30" spans="1:18" hidden="1" x14ac:dyDescent="0.35">
      <c r="A30" s="16" t="s">
        <v>101</v>
      </c>
      <c r="B30" s="9" t="s">
        <v>2048</v>
      </c>
      <c r="C30" s="9" t="s">
        <v>2048</v>
      </c>
      <c r="D30" s="9" t="e">
        <f>VLOOKUP(RBE!C30,Permis[[#This Row],[Parties]],1,0)</f>
        <v>#N/A</v>
      </c>
      <c r="E30" s="9" t="s">
        <v>2046</v>
      </c>
      <c r="F30" s="10" t="s">
        <v>2049</v>
      </c>
      <c r="G30" s="10" t="str">
        <f t="shared" si="0"/>
        <v>2022</v>
      </c>
      <c r="H30" s="10" t="s">
        <v>1905</v>
      </c>
      <c r="I30" s="10" t="s">
        <v>1905</v>
      </c>
      <c r="J30" s="9" t="s">
        <v>2018</v>
      </c>
      <c r="K30" s="9" t="s">
        <v>2018</v>
      </c>
      <c r="L30" s="9" t="s">
        <v>1905</v>
      </c>
      <c r="M30" s="9">
        <v>0</v>
      </c>
      <c r="N30" s="9" t="s">
        <v>1905</v>
      </c>
      <c r="O30" s="9" t="s">
        <v>1898</v>
      </c>
      <c r="P30" s="16" t="s">
        <v>101</v>
      </c>
      <c r="Q30">
        <f t="shared" si="1"/>
        <v>0</v>
      </c>
      <c r="R30" t="b">
        <f t="shared" si="2"/>
        <v>0</v>
      </c>
    </row>
    <row r="31" spans="1:18" hidden="1" x14ac:dyDescent="0.35">
      <c r="A31" s="16" t="s">
        <v>101</v>
      </c>
      <c r="B31" s="9" t="s">
        <v>2048</v>
      </c>
      <c r="C31" s="9" t="s">
        <v>2048</v>
      </c>
      <c r="D31" s="9" t="e">
        <f>VLOOKUP(RBE!C31,Permis[[#This Row],[Parties]],1,0)</f>
        <v>#N/A</v>
      </c>
      <c r="E31" s="9" t="s">
        <v>2046</v>
      </c>
      <c r="F31" s="10" t="s">
        <v>2050</v>
      </c>
      <c r="G31" s="10" t="str">
        <f t="shared" si="0"/>
        <v>2022</v>
      </c>
      <c r="H31" s="10">
        <v>100</v>
      </c>
      <c r="I31" s="10">
        <v>100</v>
      </c>
      <c r="J31" s="9" t="s">
        <v>1912</v>
      </c>
      <c r="K31" s="9" t="s">
        <v>1912</v>
      </c>
      <c r="L31" s="9" t="s">
        <v>1905</v>
      </c>
      <c r="M31" s="9">
        <v>0</v>
      </c>
      <c r="N31" s="9" t="s">
        <v>1905</v>
      </c>
      <c r="O31" s="9" t="s">
        <v>1898</v>
      </c>
      <c r="P31" s="16" t="s">
        <v>101</v>
      </c>
      <c r="Q31">
        <f t="shared" si="1"/>
        <v>0</v>
      </c>
      <c r="R31" t="b">
        <f t="shared" si="2"/>
        <v>0</v>
      </c>
    </row>
    <row r="32" spans="1:18" hidden="1" x14ac:dyDescent="0.35">
      <c r="A32" s="16" t="s">
        <v>101</v>
      </c>
      <c r="B32" s="9" t="s">
        <v>2051</v>
      </c>
      <c r="C32" s="9" t="s">
        <v>2051</v>
      </c>
      <c r="D32" s="9" t="e">
        <f>VLOOKUP(RBE!C32,Permis[[#This Row],[Parties]],1,0)</f>
        <v>#N/A</v>
      </c>
      <c r="E32" s="9" t="s">
        <v>2052</v>
      </c>
      <c r="F32" s="10" t="s">
        <v>2053</v>
      </c>
      <c r="G32" s="10" t="str">
        <f t="shared" si="0"/>
        <v>2022</v>
      </c>
      <c r="H32" s="10">
        <v>30</v>
      </c>
      <c r="I32" s="10">
        <v>30</v>
      </c>
      <c r="J32" s="9" t="s">
        <v>1912</v>
      </c>
      <c r="K32" s="9" t="s">
        <v>1912</v>
      </c>
      <c r="L32" s="9" t="s">
        <v>1905</v>
      </c>
      <c r="M32" s="9">
        <v>0</v>
      </c>
      <c r="N32" s="9" t="s">
        <v>1905</v>
      </c>
      <c r="O32" s="9" t="s">
        <v>1898</v>
      </c>
      <c r="P32" s="16" t="s">
        <v>101</v>
      </c>
      <c r="Q32">
        <f t="shared" si="1"/>
        <v>0</v>
      </c>
      <c r="R32" t="b">
        <f t="shared" si="2"/>
        <v>0</v>
      </c>
    </row>
    <row r="33" spans="1:18" hidden="1" x14ac:dyDescent="0.35">
      <c r="A33" s="16" t="s">
        <v>101</v>
      </c>
      <c r="B33" s="9" t="s">
        <v>2054</v>
      </c>
      <c r="C33" s="9" t="s">
        <v>2054</v>
      </c>
      <c r="D33" s="9" t="e">
        <f>VLOOKUP(RBE!C33,Permis[[#This Row],[Parties]],1,0)</f>
        <v>#N/A</v>
      </c>
      <c r="E33" s="9" t="s">
        <v>2055</v>
      </c>
      <c r="F33" s="10" t="s">
        <v>2053</v>
      </c>
      <c r="G33" s="10" t="str">
        <f t="shared" si="0"/>
        <v>2022</v>
      </c>
      <c r="H33" s="10">
        <v>30</v>
      </c>
      <c r="I33" s="10">
        <v>30</v>
      </c>
      <c r="J33" s="9" t="s">
        <v>1912</v>
      </c>
      <c r="K33" s="9" t="s">
        <v>1912</v>
      </c>
      <c r="L33" s="9" t="s">
        <v>1905</v>
      </c>
      <c r="M33" s="9">
        <v>0</v>
      </c>
      <c r="N33" s="9" t="s">
        <v>1905</v>
      </c>
      <c r="O33" s="9" t="s">
        <v>1898</v>
      </c>
      <c r="P33" s="16" t="s">
        <v>101</v>
      </c>
      <c r="Q33">
        <f t="shared" si="1"/>
        <v>0</v>
      </c>
      <c r="R33" t="b">
        <f t="shared" si="2"/>
        <v>0</v>
      </c>
    </row>
    <row r="34" spans="1:18" hidden="1" x14ac:dyDescent="0.35">
      <c r="A34" s="16" t="s">
        <v>101</v>
      </c>
      <c r="B34" s="9" t="s">
        <v>2056</v>
      </c>
      <c r="C34" s="9" t="s">
        <v>2056</v>
      </c>
      <c r="D34" s="9" t="e">
        <f>VLOOKUP(RBE!C34,Permis[[#This Row],[Parties]],1,0)</f>
        <v>#N/A</v>
      </c>
      <c r="E34" s="9" t="s">
        <v>2057</v>
      </c>
      <c r="F34" s="10" t="s">
        <v>2058</v>
      </c>
      <c r="G34" s="10" t="str">
        <f t="shared" si="0"/>
        <v>2022</v>
      </c>
      <c r="H34" s="10">
        <v>100</v>
      </c>
      <c r="I34" s="10">
        <v>100</v>
      </c>
      <c r="J34" s="9" t="s">
        <v>1912</v>
      </c>
      <c r="K34" s="9" t="s">
        <v>1912</v>
      </c>
      <c r="L34" s="9" t="s">
        <v>1905</v>
      </c>
      <c r="M34" s="9">
        <v>0</v>
      </c>
      <c r="N34" s="9" t="s">
        <v>1905</v>
      </c>
      <c r="O34" s="9" t="s">
        <v>1898</v>
      </c>
      <c r="P34" s="16" t="s">
        <v>101</v>
      </c>
      <c r="Q34">
        <f t="shared" si="1"/>
        <v>0</v>
      </c>
      <c r="R34" t="b">
        <f t="shared" si="2"/>
        <v>0</v>
      </c>
    </row>
    <row r="35" spans="1:18" hidden="1" x14ac:dyDescent="0.35">
      <c r="A35" s="16" t="s">
        <v>101</v>
      </c>
      <c r="B35" s="9" t="s">
        <v>2059</v>
      </c>
      <c r="C35" s="9" t="s">
        <v>2059</v>
      </c>
      <c r="D35" s="9" t="e">
        <f>VLOOKUP(RBE!C35,Permis[[#This Row],[Parties]],1,0)</f>
        <v>#N/A</v>
      </c>
      <c r="E35" s="9" t="s">
        <v>2060</v>
      </c>
      <c r="F35" s="10" t="s">
        <v>2061</v>
      </c>
      <c r="G35" s="10" t="str">
        <f t="shared" si="0"/>
        <v>2022</v>
      </c>
      <c r="H35" s="10" t="s">
        <v>1905</v>
      </c>
      <c r="I35" s="10" t="s">
        <v>1905</v>
      </c>
      <c r="J35" s="9" t="s">
        <v>2062</v>
      </c>
      <c r="K35" s="9" t="s">
        <v>2062</v>
      </c>
      <c r="L35" s="9" t="s">
        <v>1905</v>
      </c>
      <c r="M35" s="9">
        <v>0</v>
      </c>
      <c r="N35" s="9" t="s">
        <v>1905</v>
      </c>
      <c r="O35" s="9" t="s">
        <v>1898</v>
      </c>
      <c r="P35" s="16" t="s">
        <v>101</v>
      </c>
      <c r="Q35">
        <f t="shared" si="1"/>
        <v>0</v>
      </c>
      <c r="R35" t="b">
        <f t="shared" si="2"/>
        <v>0</v>
      </c>
    </row>
    <row r="36" spans="1:18" hidden="1" x14ac:dyDescent="0.35">
      <c r="A36" s="16" t="s">
        <v>101</v>
      </c>
      <c r="B36" s="9" t="s">
        <v>2063</v>
      </c>
      <c r="C36" s="9" t="s">
        <v>2063</v>
      </c>
      <c r="D36" s="9" t="e">
        <f>VLOOKUP(RBE!C36,Permis[[#This Row],[Parties]],1,0)</f>
        <v>#N/A</v>
      </c>
      <c r="E36" s="9" t="s">
        <v>2060</v>
      </c>
      <c r="F36" s="10" t="s">
        <v>2064</v>
      </c>
      <c r="G36" s="10" t="str">
        <f t="shared" si="0"/>
        <v>2022</v>
      </c>
      <c r="H36" s="10">
        <v>100</v>
      </c>
      <c r="I36" s="10">
        <v>100</v>
      </c>
      <c r="J36" s="9" t="s">
        <v>1912</v>
      </c>
      <c r="K36" s="9" t="s">
        <v>1912</v>
      </c>
      <c r="L36" s="9" t="s">
        <v>1905</v>
      </c>
      <c r="M36" s="9">
        <v>0</v>
      </c>
      <c r="N36" s="9" t="s">
        <v>1905</v>
      </c>
      <c r="O36" s="9" t="s">
        <v>1898</v>
      </c>
      <c r="P36" s="16" t="s">
        <v>101</v>
      </c>
      <c r="Q36">
        <f t="shared" si="1"/>
        <v>0</v>
      </c>
      <c r="R36" t="b">
        <f t="shared" si="2"/>
        <v>0</v>
      </c>
    </row>
    <row r="37" spans="1:18" hidden="1" x14ac:dyDescent="0.35">
      <c r="A37" s="16" t="s">
        <v>101</v>
      </c>
      <c r="B37" s="9" t="s">
        <v>2065</v>
      </c>
      <c r="C37" s="9" t="s">
        <v>2065</v>
      </c>
      <c r="D37" s="9" t="e">
        <f>VLOOKUP(RBE!C37,Permis[[#This Row],[Parties]],1,0)</f>
        <v>#N/A</v>
      </c>
      <c r="E37" s="9" t="s">
        <v>2066</v>
      </c>
      <c r="F37" s="10" t="s">
        <v>2067</v>
      </c>
      <c r="G37" s="10" t="str">
        <f t="shared" si="0"/>
        <v>2022</v>
      </c>
      <c r="H37" s="10">
        <v>100</v>
      </c>
      <c r="I37" s="10">
        <v>100</v>
      </c>
      <c r="J37" s="9" t="s">
        <v>1912</v>
      </c>
      <c r="K37" s="9" t="s">
        <v>1912</v>
      </c>
      <c r="L37" s="9" t="s">
        <v>1905</v>
      </c>
      <c r="M37" s="9">
        <v>0</v>
      </c>
      <c r="N37" s="9" t="s">
        <v>1905</v>
      </c>
      <c r="O37" s="9" t="s">
        <v>1898</v>
      </c>
      <c r="P37" s="16" t="s">
        <v>101</v>
      </c>
      <c r="Q37">
        <f t="shared" si="1"/>
        <v>0</v>
      </c>
      <c r="R37" t="b">
        <f t="shared" si="2"/>
        <v>0</v>
      </c>
    </row>
    <row r="38" spans="1:18" hidden="1" x14ac:dyDescent="0.35">
      <c r="A38" s="16" t="s">
        <v>101</v>
      </c>
      <c r="B38" s="9" t="s">
        <v>2065</v>
      </c>
      <c r="C38" s="9" t="s">
        <v>2065</v>
      </c>
      <c r="D38" s="9" t="e">
        <f>VLOOKUP(RBE!C38,Permis[[#This Row],[Parties]],1,0)</f>
        <v>#N/A</v>
      </c>
      <c r="E38" s="9" t="s">
        <v>2068</v>
      </c>
      <c r="F38" s="10" t="s">
        <v>2069</v>
      </c>
      <c r="G38" s="10" t="str">
        <f t="shared" si="0"/>
        <v>2022</v>
      </c>
      <c r="H38" s="10" t="s">
        <v>1905</v>
      </c>
      <c r="I38" s="10" t="s">
        <v>1905</v>
      </c>
      <c r="J38" s="9" t="s">
        <v>2018</v>
      </c>
      <c r="K38" s="9" t="s">
        <v>2018</v>
      </c>
      <c r="L38" s="9" t="s">
        <v>1905</v>
      </c>
      <c r="M38" s="9">
        <v>0</v>
      </c>
      <c r="N38" s="9" t="s">
        <v>1905</v>
      </c>
      <c r="O38" s="9" t="s">
        <v>1898</v>
      </c>
      <c r="P38" s="16" t="s">
        <v>101</v>
      </c>
      <c r="Q38">
        <f t="shared" si="1"/>
        <v>0</v>
      </c>
      <c r="R38" t="b">
        <f t="shared" si="2"/>
        <v>0</v>
      </c>
    </row>
    <row r="39" spans="1:18" hidden="1" x14ac:dyDescent="0.35">
      <c r="A39" s="16" t="s">
        <v>101</v>
      </c>
      <c r="B39" s="9" t="s">
        <v>2070</v>
      </c>
      <c r="C39" s="9" t="s">
        <v>2070</v>
      </c>
      <c r="D39" s="9" t="e">
        <f>VLOOKUP(RBE!C39,Permis[[#This Row],[Parties]],1,0)</f>
        <v>#N/A</v>
      </c>
      <c r="E39" s="9" t="s">
        <v>2071</v>
      </c>
      <c r="F39" s="10" t="s">
        <v>2072</v>
      </c>
      <c r="G39" s="10" t="str">
        <f t="shared" si="0"/>
        <v>2022</v>
      </c>
      <c r="H39" s="10">
        <v>100</v>
      </c>
      <c r="I39" s="10">
        <v>100</v>
      </c>
      <c r="J39" s="9" t="s">
        <v>1912</v>
      </c>
      <c r="K39" s="9" t="s">
        <v>1912</v>
      </c>
      <c r="L39" s="9" t="s">
        <v>1905</v>
      </c>
      <c r="M39" s="9">
        <v>0</v>
      </c>
      <c r="N39" s="9" t="s">
        <v>1905</v>
      </c>
      <c r="O39" s="9" t="s">
        <v>1898</v>
      </c>
      <c r="P39" s="16" t="s">
        <v>101</v>
      </c>
      <c r="Q39">
        <f t="shared" si="1"/>
        <v>0</v>
      </c>
      <c r="R39" t="b">
        <f t="shared" si="2"/>
        <v>0</v>
      </c>
    </row>
    <row r="40" spans="1:18" hidden="1" x14ac:dyDescent="0.35">
      <c r="A40" s="16" t="s">
        <v>101</v>
      </c>
      <c r="B40" s="9" t="s">
        <v>2070</v>
      </c>
      <c r="C40" s="9" t="s">
        <v>2070</v>
      </c>
      <c r="D40" s="9" t="e">
        <f>VLOOKUP(RBE!C40,Permis[[#This Row],[Parties]],1,0)</f>
        <v>#N/A</v>
      </c>
      <c r="E40" s="9" t="s">
        <v>2073</v>
      </c>
      <c r="F40" s="10" t="s">
        <v>2074</v>
      </c>
      <c r="G40" s="10" t="str">
        <f t="shared" si="0"/>
        <v>2022</v>
      </c>
      <c r="H40" s="10">
        <v>100</v>
      </c>
      <c r="I40" s="10">
        <v>100</v>
      </c>
      <c r="J40" s="9" t="s">
        <v>1912</v>
      </c>
      <c r="K40" s="9" t="s">
        <v>1912</v>
      </c>
      <c r="L40" s="9" t="s">
        <v>1905</v>
      </c>
      <c r="M40" s="9">
        <v>0</v>
      </c>
      <c r="N40" s="9" t="s">
        <v>1905</v>
      </c>
      <c r="O40" s="9" t="s">
        <v>1898</v>
      </c>
      <c r="P40" s="16" t="s">
        <v>101</v>
      </c>
      <c r="Q40">
        <f t="shared" si="1"/>
        <v>0</v>
      </c>
      <c r="R40" t="b">
        <f t="shared" si="2"/>
        <v>0</v>
      </c>
    </row>
    <row r="41" spans="1:18" hidden="1" x14ac:dyDescent="0.35">
      <c r="A41" s="16" t="s">
        <v>101</v>
      </c>
      <c r="B41" s="9" t="s">
        <v>2070</v>
      </c>
      <c r="C41" s="9" t="s">
        <v>2070</v>
      </c>
      <c r="D41" s="9" t="e">
        <f>VLOOKUP(RBE!C41,Permis[[#This Row],[Parties]],1,0)</f>
        <v>#N/A</v>
      </c>
      <c r="E41" s="9" t="s">
        <v>2075</v>
      </c>
      <c r="F41" s="10" t="s">
        <v>2076</v>
      </c>
      <c r="G41" s="10" t="str">
        <f t="shared" si="0"/>
        <v>2022</v>
      </c>
      <c r="H41" s="10">
        <v>80</v>
      </c>
      <c r="I41" s="10">
        <v>80</v>
      </c>
      <c r="J41" s="9" t="s">
        <v>1912</v>
      </c>
      <c r="K41" s="9" t="s">
        <v>1912</v>
      </c>
      <c r="L41" s="9" t="s">
        <v>1905</v>
      </c>
      <c r="M41" s="9">
        <v>0</v>
      </c>
      <c r="N41" s="9" t="s">
        <v>1905</v>
      </c>
      <c r="O41" s="9" t="s">
        <v>1898</v>
      </c>
      <c r="P41" s="16" t="s">
        <v>101</v>
      </c>
      <c r="Q41">
        <f t="shared" si="1"/>
        <v>0</v>
      </c>
      <c r="R41" t="b">
        <f t="shared" si="2"/>
        <v>0</v>
      </c>
    </row>
    <row r="42" spans="1:18" hidden="1" x14ac:dyDescent="0.35">
      <c r="A42" s="16" t="s">
        <v>101</v>
      </c>
      <c r="B42" s="9" t="s">
        <v>2070</v>
      </c>
      <c r="C42" s="9" t="s">
        <v>2070</v>
      </c>
      <c r="D42" s="9" t="e">
        <f>VLOOKUP(RBE!C42,Permis[[#This Row],[Parties]],1,0)</f>
        <v>#N/A</v>
      </c>
      <c r="E42" s="9" t="s">
        <v>2077</v>
      </c>
      <c r="F42" s="10" t="s">
        <v>2076</v>
      </c>
      <c r="G42" s="10" t="str">
        <f t="shared" si="0"/>
        <v>2022</v>
      </c>
      <c r="H42" s="10">
        <v>20</v>
      </c>
      <c r="I42" s="10">
        <v>20</v>
      </c>
      <c r="J42" s="9" t="s">
        <v>1912</v>
      </c>
      <c r="K42" s="9" t="s">
        <v>1912</v>
      </c>
      <c r="L42" s="9" t="s">
        <v>1905</v>
      </c>
      <c r="M42" s="9">
        <v>0</v>
      </c>
      <c r="N42" s="9" t="s">
        <v>1905</v>
      </c>
      <c r="O42" s="9" t="s">
        <v>1898</v>
      </c>
      <c r="P42" s="16" t="s">
        <v>101</v>
      </c>
      <c r="Q42">
        <f t="shared" si="1"/>
        <v>0</v>
      </c>
      <c r="R42" t="b">
        <f t="shared" si="2"/>
        <v>0</v>
      </c>
    </row>
    <row r="43" spans="1:18" hidden="1" x14ac:dyDescent="0.35">
      <c r="A43" s="16" t="s">
        <v>101</v>
      </c>
      <c r="B43" s="9" t="s">
        <v>2078</v>
      </c>
      <c r="C43" s="9" t="s">
        <v>2078</v>
      </c>
      <c r="D43" s="9" t="e">
        <f>VLOOKUP(RBE!C43,Permis[[#This Row],[Parties]],1,0)</f>
        <v>#N/A</v>
      </c>
      <c r="E43" s="9" t="s">
        <v>2079</v>
      </c>
      <c r="F43" s="10" t="s">
        <v>2080</v>
      </c>
      <c r="G43" s="10" t="str">
        <f t="shared" si="0"/>
        <v>2022</v>
      </c>
      <c r="H43" s="10">
        <v>5</v>
      </c>
      <c r="I43" s="10">
        <v>5</v>
      </c>
      <c r="J43" s="9" t="s">
        <v>1912</v>
      </c>
      <c r="K43" s="9" t="s">
        <v>1912</v>
      </c>
      <c r="L43" s="9" t="s">
        <v>1905</v>
      </c>
      <c r="M43" s="9">
        <v>0</v>
      </c>
      <c r="N43" s="9" t="s">
        <v>1905</v>
      </c>
      <c r="O43" s="9" t="s">
        <v>1898</v>
      </c>
      <c r="P43" s="16" t="s">
        <v>101</v>
      </c>
      <c r="Q43">
        <f t="shared" si="1"/>
        <v>0</v>
      </c>
      <c r="R43" t="b">
        <f t="shared" si="2"/>
        <v>0</v>
      </c>
    </row>
    <row r="44" spans="1:18" hidden="1" x14ac:dyDescent="0.35">
      <c r="A44" s="16" t="s">
        <v>101</v>
      </c>
      <c r="B44" s="9" t="s">
        <v>2081</v>
      </c>
      <c r="C44" s="9" t="s">
        <v>2081</v>
      </c>
      <c r="D44" s="9" t="e">
        <f>VLOOKUP(RBE!C44,Permis[[#This Row],[Parties]],1,0)</f>
        <v>#N/A</v>
      </c>
      <c r="E44" s="9" t="s">
        <v>2082</v>
      </c>
      <c r="F44" s="10" t="s">
        <v>2080</v>
      </c>
      <c r="G44" s="10" t="str">
        <f t="shared" si="0"/>
        <v>2022</v>
      </c>
      <c r="H44" s="10">
        <v>65</v>
      </c>
      <c r="I44" s="10">
        <v>65</v>
      </c>
      <c r="J44" s="9" t="s">
        <v>1912</v>
      </c>
      <c r="K44" s="9" t="s">
        <v>1912</v>
      </c>
      <c r="L44" s="9" t="s">
        <v>1905</v>
      </c>
      <c r="M44" s="9">
        <v>0</v>
      </c>
      <c r="N44" s="9" t="s">
        <v>1905</v>
      </c>
      <c r="O44" s="9" t="s">
        <v>1898</v>
      </c>
      <c r="P44" s="16" t="s">
        <v>101</v>
      </c>
      <c r="Q44">
        <f t="shared" si="1"/>
        <v>0</v>
      </c>
      <c r="R44" t="b">
        <f t="shared" si="2"/>
        <v>0</v>
      </c>
    </row>
    <row r="45" spans="1:18" hidden="1" x14ac:dyDescent="0.35">
      <c r="A45" s="16" t="s">
        <v>101</v>
      </c>
      <c r="B45" s="9" t="s">
        <v>1963</v>
      </c>
      <c r="C45" s="9" t="s">
        <v>3141</v>
      </c>
      <c r="D45" s="9" t="e">
        <f>VLOOKUP(RBE!C45,Permis[[#This Row],[Parties]],1,0)</f>
        <v>#N/A</v>
      </c>
      <c r="E45" s="9" t="s">
        <v>1964</v>
      </c>
      <c r="F45" s="10" t="s">
        <v>1953</v>
      </c>
      <c r="G45" s="10" t="str">
        <f t="shared" si="0"/>
        <v>2021</v>
      </c>
      <c r="H45" s="10">
        <v>15</v>
      </c>
      <c r="I45" s="10" t="s">
        <v>1905</v>
      </c>
      <c r="J45" s="9" t="s">
        <v>1965</v>
      </c>
      <c r="K45" s="9" t="s">
        <v>1965</v>
      </c>
      <c r="L45" s="9" t="s">
        <v>1905</v>
      </c>
      <c r="M45" s="9">
        <v>0</v>
      </c>
      <c r="N45" s="9" t="s">
        <v>1905</v>
      </c>
      <c r="O45" s="9" t="s">
        <v>1898</v>
      </c>
      <c r="P45" s="16" t="s">
        <v>101</v>
      </c>
      <c r="Q45">
        <f t="shared" si="1"/>
        <v>0</v>
      </c>
      <c r="R45" t="b">
        <f t="shared" si="2"/>
        <v>0</v>
      </c>
    </row>
    <row r="46" spans="1:18" hidden="1" x14ac:dyDescent="0.35">
      <c r="A46" s="16" t="s">
        <v>101</v>
      </c>
      <c r="B46" s="9" t="s">
        <v>1963</v>
      </c>
      <c r="C46" s="9" t="s">
        <v>3141</v>
      </c>
      <c r="D46" s="9" t="e">
        <f>VLOOKUP(RBE!C46,Permis[[#This Row],[Parties]],1,0)</f>
        <v>#N/A</v>
      </c>
      <c r="E46" s="9" t="s">
        <v>1964</v>
      </c>
      <c r="F46" s="10" t="s">
        <v>1966</v>
      </c>
      <c r="G46" s="10" t="str">
        <f t="shared" si="0"/>
        <v>2022</v>
      </c>
      <c r="H46" s="10">
        <v>33</v>
      </c>
      <c r="I46" s="10">
        <v>33</v>
      </c>
      <c r="J46" s="9" t="s">
        <v>1912</v>
      </c>
      <c r="K46" s="9" t="s">
        <v>1912</v>
      </c>
      <c r="L46" s="9" t="s">
        <v>1905</v>
      </c>
      <c r="M46" s="9">
        <v>0</v>
      </c>
      <c r="N46" s="9" t="s">
        <v>1905</v>
      </c>
      <c r="O46" s="9" t="s">
        <v>1898</v>
      </c>
      <c r="P46" s="16" t="s">
        <v>101</v>
      </c>
      <c r="Q46">
        <f t="shared" si="1"/>
        <v>0</v>
      </c>
      <c r="R46" t="b">
        <f t="shared" si="2"/>
        <v>0</v>
      </c>
    </row>
    <row r="47" spans="1:18" hidden="1" x14ac:dyDescent="0.35">
      <c r="A47" s="16" t="s">
        <v>101</v>
      </c>
      <c r="B47" s="9" t="s">
        <v>2083</v>
      </c>
      <c r="C47" s="9" t="s">
        <v>2083</v>
      </c>
      <c r="D47" s="9" t="e">
        <f>VLOOKUP(RBE!C47,Permis[[#This Row],[Parties]],1,0)</f>
        <v>#N/A</v>
      </c>
      <c r="E47" s="9" t="s">
        <v>2084</v>
      </c>
      <c r="F47" s="10" t="s">
        <v>2080</v>
      </c>
      <c r="G47" s="10" t="str">
        <f t="shared" si="0"/>
        <v>2022</v>
      </c>
      <c r="H47" s="10">
        <v>30</v>
      </c>
      <c r="I47" s="10">
        <v>30</v>
      </c>
      <c r="J47" s="9" t="s">
        <v>1912</v>
      </c>
      <c r="K47" s="9" t="s">
        <v>1912</v>
      </c>
      <c r="L47" s="9" t="s">
        <v>1905</v>
      </c>
      <c r="M47" s="9">
        <v>0</v>
      </c>
      <c r="N47" s="9" t="s">
        <v>1905</v>
      </c>
      <c r="O47" s="9" t="s">
        <v>1898</v>
      </c>
      <c r="P47" s="16" t="s">
        <v>101</v>
      </c>
      <c r="Q47">
        <f t="shared" si="1"/>
        <v>0</v>
      </c>
      <c r="R47" t="b">
        <f t="shared" si="2"/>
        <v>0</v>
      </c>
    </row>
    <row r="48" spans="1:18" hidden="1" x14ac:dyDescent="0.35">
      <c r="A48" s="16" t="s">
        <v>101</v>
      </c>
      <c r="B48" s="9" t="s">
        <v>2085</v>
      </c>
      <c r="C48" s="9" t="s">
        <v>2085</v>
      </c>
      <c r="D48" s="9" t="e">
        <f>VLOOKUP(RBE!C48,Permis[[#This Row],[Parties]],1,0)</f>
        <v>#N/A</v>
      </c>
      <c r="E48" s="9" t="s">
        <v>2086</v>
      </c>
      <c r="F48" s="10" t="s">
        <v>2087</v>
      </c>
      <c r="G48" s="10" t="str">
        <f t="shared" si="0"/>
        <v>2022</v>
      </c>
      <c r="H48" s="10">
        <v>20</v>
      </c>
      <c r="I48" s="10">
        <v>20</v>
      </c>
      <c r="J48" s="9" t="s">
        <v>1912</v>
      </c>
      <c r="K48" s="9" t="s">
        <v>1912</v>
      </c>
      <c r="L48" s="9" t="s">
        <v>1905</v>
      </c>
      <c r="M48" s="9">
        <v>0</v>
      </c>
      <c r="N48" s="9" t="s">
        <v>1905</v>
      </c>
      <c r="O48" s="9" t="s">
        <v>1898</v>
      </c>
      <c r="P48" s="16" t="s">
        <v>101</v>
      </c>
      <c r="Q48">
        <f t="shared" si="1"/>
        <v>0</v>
      </c>
      <c r="R48" t="b">
        <f t="shared" si="2"/>
        <v>0</v>
      </c>
    </row>
    <row r="49" spans="1:18" hidden="1" x14ac:dyDescent="0.35">
      <c r="A49" s="16" t="s">
        <v>101</v>
      </c>
      <c r="B49" s="9" t="s">
        <v>2088</v>
      </c>
      <c r="C49" s="9" t="s">
        <v>2088</v>
      </c>
      <c r="D49" s="9" t="e">
        <f>VLOOKUP(RBE!C49,Permis[[#This Row],[Parties]],1,0)</f>
        <v>#N/A</v>
      </c>
      <c r="E49" s="9" t="s">
        <v>2089</v>
      </c>
      <c r="F49" s="10" t="s">
        <v>2087</v>
      </c>
      <c r="G49" s="10" t="str">
        <f t="shared" si="0"/>
        <v>2022</v>
      </c>
      <c r="H49" s="10">
        <v>40</v>
      </c>
      <c r="I49" s="10">
        <v>40</v>
      </c>
      <c r="J49" s="9" t="s">
        <v>2090</v>
      </c>
      <c r="K49" s="9" t="s">
        <v>2090</v>
      </c>
      <c r="L49" s="9" t="s">
        <v>1905</v>
      </c>
      <c r="M49" s="9">
        <v>0</v>
      </c>
      <c r="N49" s="9" t="s">
        <v>1905</v>
      </c>
      <c r="O49" s="9" t="s">
        <v>1898</v>
      </c>
      <c r="P49" s="16" t="s">
        <v>101</v>
      </c>
      <c r="Q49">
        <f t="shared" si="1"/>
        <v>0</v>
      </c>
      <c r="R49" t="b">
        <f t="shared" si="2"/>
        <v>0</v>
      </c>
    </row>
    <row r="50" spans="1:18" hidden="1" x14ac:dyDescent="0.35">
      <c r="A50" s="16" t="s">
        <v>101</v>
      </c>
      <c r="B50" s="9" t="s">
        <v>2091</v>
      </c>
      <c r="C50" s="9" t="s">
        <v>2091</v>
      </c>
      <c r="D50" s="9" t="e">
        <f>VLOOKUP(RBE!C50,Permis[[#This Row],[Parties]],1,0)</f>
        <v>#N/A</v>
      </c>
      <c r="E50" s="9" t="s">
        <v>2092</v>
      </c>
      <c r="F50" s="10" t="s">
        <v>2087</v>
      </c>
      <c r="G50" s="10" t="str">
        <f t="shared" si="0"/>
        <v>2022</v>
      </c>
      <c r="H50" s="10">
        <v>40</v>
      </c>
      <c r="I50" s="10">
        <v>40</v>
      </c>
      <c r="J50" s="9" t="s">
        <v>1912</v>
      </c>
      <c r="K50" s="9" t="s">
        <v>1912</v>
      </c>
      <c r="L50" s="9" t="s">
        <v>1905</v>
      </c>
      <c r="M50" s="9">
        <v>0</v>
      </c>
      <c r="N50" s="9" t="s">
        <v>1905</v>
      </c>
      <c r="O50" s="9" t="s">
        <v>1898</v>
      </c>
      <c r="P50" s="16" t="s">
        <v>101</v>
      </c>
      <c r="Q50">
        <f t="shared" si="1"/>
        <v>0</v>
      </c>
      <c r="R50" t="b">
        <f t="shared" si="2"/>
        <v>0</v>
      </c>
    </row>
    <row r="51" spans="1:18" hidden="1" x14ac:dyDescent="0.35">
      <c r="A51" s="16" t="s">
        <v>101</v>
      </c>
      <c r="B51" s="9" t="s">
        <v>2093</v>
      </c>
      <c r="C51" s="9" t="s">
        <v>2093</v>
      </c>
      <c r="D51" s="9" t="e">
        <f>VLOOKUP(RBE!C51,Permis[[#This Row],[Parties]],1,0)</f>
        <v>#N/A</v>
      </c>
      <c r="E51" s="9" t="s">
        <v>2094</v>
      </c>
      <c r="F51" s="10" t="s">
        <v>2095</v>
      </c>
      <c r="G51" s="10" t="str">
        <f t="shared" si="0"/>
        <v>2022</v>
      </c>
      <c r="H51" s="10">
        <v>25</v>
      </c>
      <c r="I51" s="10">
        <v>25</v>
      </c>
      <c r="J51" s="9" t="s">
        <v>1912</v>
      </c>
      <c r="K51" s="9" t="s">
        <v>1912</v>
      </c>
      <c r="L51" s="9" t="s">
        <v>1905</v>
      </c>
      <c r="M51" s="9">
        <v>0</v>
      </c>
      <c r="N51" s="9" t="s">
        <v>1905</v>
      </c>
      <c r="O51" s="9" t="s">
        <v>1898</v>
      </c>
      <c r="P51" s="16" t="s">
        <v>101</v>
      </c>
      <c r="Q51">
        <f t="shared" si="1"/>
        <v>0</v>
      </c>
      <c r="R51" t="b">
        <f t="shared" si="2"/>
        <v>0</v>
      </c>
    </row>
    <row r="52" spans="1:18" hidden="1" x14ac:dyDescent="0.35">
      <c r="A52" s="16" t="s">
        <v>101</v>
      </c>
      <c r="B52" s="9" t="s">
        <v>2096</v>
      </c>
      <c r="C52" s="9" t="s">
        <v>2096</v>
      </c>
      <c r="D52" s="9" t="e">
        <f>VLOOKUP(RBE!C52,Permis[[#This Row],[Parties]],1,0)</f>
        <v>#N/A</v>
      </c>
      <c r="E52" s="9" t="s">
        <v>2097</v>
      </c>
      <c r="F52" s="10" t="s">
        <v>2095</v>
      </c>
      <c r="G52" s="10" t="str">
        <f t="shared" si="0"/>
        <v>2022</v>
      </c>
      <c r="H52" s="10">
        <v>30</v>
      </c>
      <c r="I52" s="10">
        <v>30</v>
      </c>
      <c r="J52" s="9" t="s">
        <v>1912</v>
      </c>
      <c r="K52" s="9" t="s">
        <v>1912</v>
      </c>
      <c r="L52" s="9" t="s">
        <v>1905</v>
      </c>
      <c r="M52" s="9">
        <v>0</v>
      </c>
      <c r="N52" s="9" t="s">
        <v>1905</v>
      </c>
      <c r="O52" s="9" t="s">
        <v>1898</v>
      </c>
      <c r="P52" s="16" t="s">
        <v>101</v>
      </c>
      <c r="Q52">
        <f t="shared" si="1"/>
        <v>0</v>
      </c>
      <c r="R52" t="b">
        <f t="shared" si="2"/>
        <v>0</v>
      </c>
    </row>
    <row r="53" spans="1:18" hidden="1" x14ac:dyDescent="0.35">
      <c r="A53" s="16" t="s">
        <v>101</v>
      </c>
      <c r="B53" s="9" t="s">
        <v>2096</v>
      </c>
      <c r="C53" s="9" t="s">
        <v>2096</v>
      </c>
      <c r="D53" s="9" t="e">
        <f>VLOOKUP(RBE!C53,Permis[[#This Row],[Parties]],1,0)</f>
        <v>#N/A</v>
      </c>
      <c r="E53" s="9" t="s">
        <v>2098</v>
      </c>
      <c r="F53" s="10" t="s">
        <v>2095</v>
      </c>
      <c r="G53" s="10" t="str">
        <f t="shared" si="0"/>
        <v>2022</v>
      </c>
      <c r="H53" s="10">
        <v>15</v>
      </c>
      <c r="I53" s="10">
        <v>15</v>
      </c>
      <c r="J53" s="9" t="s">
        <v>1912</v>
      </c>
      <c r="K53" s="9" t="s">
        <v>1912</v>
      </c>
      <c r="L53" s="9" t="s">
        <v>1905</v>
      </c>
      <c r="M53" s="9">
        <v>0</v>
      </c>
      <c r="N53" s="9" t="s">
        <v>1905</v>
      </c>
      <c r="O53" s="9" t="s">
        <v>1898</v>
      </c>
      <c r="P53" s="16" t="s">
        <v>101</v>
      </c>
      <c r="Q53">
        <f t="shared" si="1"/>
        <v>0</v>
      </c>
      <c r="R53" t="b">
        <f t="shared" si="2"/>
        <v>0</v>
      </c>
    </row>
    <row r="54" spans="1:18" hidden="1" x14ac:dyDescent="0.35">
      <c r="A54" s="16" t="s">
        <v>101</v>
      </c>
      <c r="B54" s="9" t="s">
        <v>2096</v>
      </c>
      <c r="C54" s="9" t="s">
        <v>2096</v>
      </c>
      <c r="D54" s="9" t="e">
        <f>VLOOKUP(RBE!C54,Permis[[#This Row],[Parties]],1,0)</f>
        <v>#N/A</v>
      </c>
      <c r="E54" s="9" t="s">
        <v>2099</v>
      </c>
      <c r="F54" s="10" t="s">
        <v>2095</v>
      </c>
      <c r="G54" s="10" t="str">
        <f t="shared" si="0"/>
        <v>2022</v>
      </c>
      <c r="H54" s="10">
        <v>30</v>
      </c>
      <c r="I54" s="10">
        <v>30</v>
      </c>
      <c r="J54" s="9" t="s">
        <v>1912</v>
      </c>
      <c r="K54" s="9" t="s">
        <v>1912</v>
      </c>
      <c r="L54" s="9" t="s">
        <v>1905</v>
      </c>
      <c r="M54" s="9">
        <v>0</v>
      </c>
      <c r="N54" s="9" t="s">
        <v>1905</v>
      </c>
      <c r="O54" s="9" t="s">
        <v>1898</v>
      </c>
      <c r="P54" s="16" t="s">
        <v>101</v>
      </c>
      <c r="Q54">
        <f t="shared" si="1"/>
        <v>0</v>
      </c>
      <c r="R54" t="b">
        <f t="shared" si="2"/>
        <v>0</v>
      </c>
    </row>
    <row r="55" spans="1:18" hidden="1" x14ac:dyDescent="0.35">
      <c r="A55" s="16" t="s">
        <v>101</v>
      </c>
      <c r="B55" s="9" t="s">
        <v>2100</v>
      </c>
      <c r="C55" s="9" t="s">
        <v>2100</v>
      </c>
      <c r="D55" s="9" t="e">
        <f>VLOOKUP(RBE!C55,Permis[[#This Row],[Parties]],1,0)</f>
        <v>#N/A</v>
      </c>
      <c r="E55" s="9" t="s">
        <v>2101</v>
      </c>
      <c r="F55" s="10" t="s">
        <v>2102</v>
      </c>
      <c r="G55" s="10" t="str">
        <f t="shared" si="0"/>
        <v>2022</v>
      </c>
      <c r="H55" s="10">
        <v>100</v>
      </c>
      <c r="I55" s="10" t="s">
        <v>1905</v>
      </c>
      <c r="J55" s="9" t="s">
        <v>1912</v>
      </c>
      <c r="K55" s="9" t="s">
        <v>1912</v>
      </c>
      <c r="L55" s="9" t="s">
        <v>1905</v>
      </c>
      <c r="M55" s="9">
        <v>0</v>
      </c>
      <c r="N55" s="9" t="s">
        <v>1905</v>
      </c>
      <c r="O55" s="9" t="s">
        <v>1898</v>
      </c>
      <c r="P55" s="16" t="s">
        <v>101</v>
      </c>
      <c r="Q55">
        <f t="shared" si="1"/>
        <v>0</v>
      </c>
      <c r="R55" t="b">
        <f t="shared" si="2"/>
        <v>0</v>
      </c>
    </row>
    <row r="56" spans="1:18" hidden="1" x14ac:dyDescent="0.35">
      <c r="A56" s="16" t="s">
        <v>101</v>
      </c>
      <c r="B56" s="9" t="s">
        <v>2100</v>
      </c>
      <c r="C56" s="9" t="s">
        <v>2100</v>
      </c>
      <c r="D56" s="9" t="e">
        <f>VLOOKUP(RBE!C56,Permis[[#This Row],[Parties]],1,0)</f>
        <v>#N/A</v>
      </c>
      <c r="E56" s="9" t="s">
        <v>2103</v>
      </c>
      <c r="F56" s="10" t="s">
        <v>2104</v>
      </c>
      <c r="G56" s="10" t="str">
        <f t="shared" si="0"/>
        <v>2022</v>
      </c>
      <c r="H56" s="10">
        <v>100</v>
      </c>
      <c r="I56" s="10">
        <v>100</v>
      </c>
      <c r="J56" s="9" t="s">
        <v>1912</v>
      </c>
      <c r="K56" s="9" t="s">
        <v>1912</v>
      </c>
      <c r="L56" s="9" t="s">
        <v>1905</v>
      </c>
      <c r="M56" s="9">
        <v>0</v>
      </c>
      <c r="N56" s="9" t="s">
        <v>1905</v>
      </c>
      <c r="O56" s="9" t="s">
        <v>1898</v>
      </c>
      <c r="P56" s="16" t="s">
        <v>101</v>
      </c>
      <c r="Q56">
        <f t="shared" si="1"/>
        <v>0</v>
      </c>
      <c r="R56" t="b">
        <f t="shared" si="2"/>
        <v>0</v>
      </c>
    </row>
    <row r="57" spans="1:18" hidden="1" x14ac:dyDescent="0.35">
      <c r="A57" s="16" t="s">
        <v>101</v>
      </c>
      <c r="B57" s="9" t="s">
        <v>2105</v>
      </c>
      <c r="C57" s="9" t="s">
        <v>2105</v>
      </c>
      <c r="D57" s="9" t="e">
        <f>VLOOKUP(RBE!C57,Permis[[#This Row],[Parties]],1,0)</f>
        <v>#N/A</v>
      </c>
      <c r="E57" s="9" t="s">
        <v>2106</v>
      </c>
      <c r="F57" s="10" t="s">
        <v>2107</v>
      </c>
      <c r="G57" s="10" t="str">
        <f t="shared" si="0"/>
        <v>2022</v>
      </c>
      <c r="H57" s="10">
        <v>5</v>
      </c>
      <c r="I57" s="10">
        <v>5</v>
      </c>
      <c r="J57" s="9" t="s">
        <v>1912</v>
      </c>
      <c r="K57" s="9" t="s">
        <v>1912</v>
      </c>
      <c r="L57" s="9" t="s">
        <v>1905</v>
      </c>
      <c r="M57" s="9">
        <v>0</v>
      </c>
      <c r="N57" s="9" t="s">
        <v>1905</v>
      </c>
      <c r="O57" s="9" t="s">
        <v>1898</v>
      </c>
      <c r="P57" s="16" t="s">
        <v>101</v>
      </c>
      <c r="Q57">
        <f t="shared" si="1"/>
        <v>0</v>
      </c>
      <c r="R57" t="b">
        <f t="shared" si="2"/>
        <v>0</v>
      </c>
    </row>
    <row r="58" spans="1:18" hidden="1" x14ac:dyDescent="0.35">
      <c r="A58" s="16" t="s">
        <v>101</v>
      </c>
      <c r="B58" s="9" t="s">
        <v>2105</v>
      </c>
      <c r="C58" s="9" t="s">
        <v>2105</v>
      </c>
      <c r="D58" s="9" t="e">
        <f>VLOOKUP(RBE!C58,Permis[[#This Row],[Parties]],1,0)</f>
        <v>#N/A</v>
      </c>
      <c r="E58" s="9" t="s">
        <v>2108</v>
      </c>
      <c r="F58" s="10" t="s">
        <v>2107</v>
      </c>
      <c r="G58" s="10" t="str">
        <f t="shared" si="0"/>
        <v>2022</v>
      </c>
      <c r="H58" s="10">
        <v>10</v>
      </c>
      <c r="I58" s="10">
        <v>10</v>
      </c>
      <c r="J58" s="9" t="s">
        <v>1912</v>
      </c>
      <c r="K58" s="9" t="s">
        <v>1912</v>
      </c>
      <c r="L58" s="9" t="s">
        <v>1905</v>
      </c>
      <c r="M58" s="9">
        <v>0</v>
      </c>
      <c r="N58" s="9" t="s">
        <v>1905</v>
      </c>
      <c r="O58" s="9" t="s">
        <v>1898</v>
      </c>
      <c r="P58" s="16" t="s">
        <v>101</v>
      </c>
      <c r="Q58">
        <f t="shared" si="1"/>
        <v>0</v>
      </c>
      <c r="R58" t="b">
        <f t="shared" si="2"/>
        <v>0</v>
      </c>
    </row>
    <row r="59" spans="1:18" hidden="1" x14ac:dyDescent="0.35">
      <c r="A59" s="16" t="s">
        <v>101</v>
      </c>
      <c r="B59" s="9" t="s">
        <v>2109</v>
      </c>
      <c r="C59" s="9" t="s">
        <v>2109</v>
      </c>
      <c r="D59" s="9" t="e">
        <f>VLOOKUP(RBE!C59,Permis[[#This Row],[Parties]],1,0)</f>
        <v>#N/A</v>
      </c>
      <c r="E59" s="9" t="s">
        <v>2108</v>
      </c>
      <c r="F59" s="10" t="s">
        <v>2107</v>
      </c>
      <c r="G59" s="10" t="str">
        <f t="shared" si="0"/>
        <v>2022</v>
      </c>
      <c r="H59" s="10">
        <v>8</v>
      </c>
      <c r="I59" s="10">
        <v>8</v>
      </c>
      <c r="J59" s="9" t="s">
        <v>1912</v>
      </c>
      <c r="K59" s="9" t="s">
        <v>1912</v>
      </c>
      <c r="L59" s="9" t="s">
        <v>1905</v>
      </c>
      <c r="M59" s="9">
        <v>0</v>
      </c>
      <c r="N59" s="9" t="s">
        <v>1905</v>
      </c>
      <c r="O59" s="9" t="s">
        <v>1898</v>
      </c>
      <c r="P59" s="16" t="s">
        <v>101</v>
      </c>
      <c r="Q59">
        <f t="shared" si="1"/>
        <v>0</v>
      </c>
      <c r="R59" t="b">
        <f t="shared" si="2"/>
        <v>0</v>
      </c>
    </row>
    <row r="60" spans="1:18" hidden="1" x14ac:dyDescent="0.35">
      <c r="A60" s="16" t="s">
        <v>101</v>
      </c>
      <c r="B60" s="9" t="s">
        <v>2110</v>
      </c>
      <c r="C60" s="9" t="s">
        <v>2110</v>
      </c>
      <c r="D60" s="9" t="e">
        <f>VLOOKUP(RBE!C60,Permis[[#This Row],[Parties]],1,0)</f>
        <v>#N/A</v>
      </c>
      <c r="E60" s="9" t="s">
        <v>2108</v>
      </c>
      <c r="F60" s="10" t="s">
        <v>2107</v>
      </c>
      <c r="G60" s="10" t="str">
        <f t="shared" si="0"/>
        <v>2022</v>
      </c>
      <c r="H60" s="10">
        <v>77</v>
      </c>
      <c r="I60" s="10">
        <v>77</v>
      </c>
      <c r="J60" s="9" t="s">
        <v>1912</v>
      </c>
      <c r="K60" s="9" t="s">
        <v>1912</v>
      </c>
      <c r="L60" s="9" t="s">
        <v>1905</v>
      </c>
      <c r="M60" s="9">
        <v>0</v>
      </c>
      <c r="N60" s="9" t="s">
        <v>1905</v>
      </c>
      <c r="O60" s="9" t="s">
        <v>1898</v>
      </c>
      <c r="P60" s="16" t="s">
        <v>101</v>
      </c>
      <c r="Q60">
        <f t="shared" si="1"/>
        <v>0</v>
      </c>
      <c r="R60" t="b">
        <f t="shared" si="2"/>
        <v>0</v>
      </c>
    </row>
    <row r="61" spans="1:18" hidden="1" x14ac:dyDescent="0.35">
      <c r="A61" s="16" t="s">
        <v>101</v>
      </c>
      <c r="B61" s="9" t="s">
        <v>381</v>
      </c>
      <c r="C61" s="9" t="s">
        <v>381</v>
      </c>
      <c r="D61" s="9" t="e">
        <f>VLOOKUP(RBE!C61,Permis[[#This Row],[Parties]],1,0)</f>
        <v>#N/A</v>
      </c>
      <c r="E61" s="9" t="s">
        <v>2108</v>
      </c>
      <c r="F61" s="10" t="s">
        <v>2111</v>
      </c>
      <c r="G61" s="10" t="str">
        <f t="shared" si="0"/>
        <v>2022</v>
      </c>
      <c r="H61" s="10">
        <v>100</v>
      </c>
      <c r="I61" s="10">
        <v>100</v>
      </c>
      <c r="J61" s="9" t="s">
        <v>1912</v>
      </c>
      <c r="K61" s="9" t="s">
        <v>1912</v>
      </c>
      <c r="L61" s="9" t="s">
        <v>1905</v>
      </c>
      <c r="M61" s="9">
        <v>0</v>
      </c>
      <c r="N61" s="9" t="s">
        <v>1905</v>
      </c>
      <c r="O61" s="9" t="s">
        <v>1898</v>
      </c>
      <c r="P61" s="16" t="s">
        <v>101</v>
      </c>
      <c r="Q61">
        <f t="shared" si="1"/>
        <v>0</v>
      </c>
      <c r="R61" t="b">
        <f t="shared" si="2"/>
        <v>0</v>
      </c>
    </row>
    <row r="62" spans="1:18" hidden="1" x14ac:dyDescent="0.35">
      <c r="A62" s="16" t="s">
        <v>101</v>
      </c>
      <c r="B62" s="9" t="s">
        <v>2112</v>
      </c>
      <c r="C62" s="9" t="s">
        <v>2112</v>
      </c>
      <c r="D62" s="9" t="e">
        <f>VLOOKUP(RBE!C62,Permis[[#This Row],[Parties]],1,0)</f>
        <v>#N/A</v>
      </c>
      <c r="E62" s="9" t="s">
        <v>2113</v>
      </c>
      <c r="F62" s="10" t="s">
        <v>2114</v>
      </c>
      <c r="G62" s="10" t="str">
        <f t="shared" si="0"/>
        <v>2022</v>
      </c>
      <c r="H62" s="10">
        <v>50</v>
      </c>
      <c r="I62" s="10">
        <v>50</v>
      </c>
      <c r="J62" s="9" t="s">
        <v>1912</v>
      </c>
      <c r="K62" s="9" t="s">
        <v>1912</v>
      </c>
      <c r="L62" s="9" t="s">
        <v>1905</v>
      </c>
      <c r="M62" s="9">
        <v>0</v>
      </c>
      <c r="N62" s="9" t="s">
        <v>1905</v>
      </c>
      <c r="O62" s="9" t="s">
        <v>1898</v>
      </c>
      <c r="P62" s="16" t="s">
        <v>101</v>
      </c>
      <c r="Q62">
        <f t="shared" si="1"/>
        <v>0</v>
      </c>
      <c r="R62" t="b">
        <f t="shared" si="2"/>
        <v>0</v>
      </c>
    </row>
    <row r="63" spans="1:18" hidden="1" x14ac:dyDescent="0.35">
      <c r="A63" s="16" t="s">
        <v>101</v>
      </c>
      <c r="B63" s="9" t="s">
        <v>2112</v>
      </c>
      <c r="C63" s="9" t="s">
        <v>2112</v>
      </c>
      <c r="D63" s="9" t="e">
        <f>VLOOKUP(RBE!C63,Permis[[#This Row],[Parties]],1,0)</f>
        <v>#N/A</v>
      </c>
      <c r="E63" s="9" t="s">
        <v>2115</v>
      </c>
      <c r="F63" s="10" t="s">
        <v>2114</v>
      </c>
      <c r="G63" s="10" t="str">
        <f t="shared" si="0"/>
        <v>2022</v>
      </c>
      <c r="H63" s="10">
        <v>50</v>
      </c>
      <c r="I63" s="10">
        <v>50</v>
      </c>
      <c r="J63" s="9" t="s">
        <v>1912</v>
      </c>
      <c r="K63" s="9" t="s">
        <v>1912</v>
      </c>
      <c r="L63" s="9" t="s">
        <v>1905</v>
      </c>
      <c r="M63" s="9">
        <v>0</v>
      </c>
      <c r="N63" s="9" t="s">
        <v>1905</v>
      </c>
      <c r="O63" s="9" t="s">
        <v>1898</v>
      </c>
      <c r="P63" s="16" t="s">
        <v>101</v>
      </c>
      <c r="Q63">
        <f t="shared" si="1"/>
        <v>0</v>
      </c>
      <c r="R63" t="b">
        <f t="shared" si="2"/>
        <v>0</v>
      </c>
    </row>
    <row r="64" spans="1:18" hidden="1" x14ac:dyDescent="0.35">
      <c r="A64" s="16" t="s">
        <v>101</v>
      </c>
      <c r="B64" s="9" t="s">
        <v>2112</v>
      </c>
      <c r="C64" s="9" t="s">
        <v>2112</v>
      </c>
      <c r="D64" s="9" t="e">
        <f>VLOOKUP(RBE!C64,Permis[[#This Row],[Parties]],1,0)</f>
        <v>#N/A</v>
      </c>
      <c r="E64" s="9" t="s">
        <v>2116</v>
      </c>
      <c r="F64" s="10" t="s">
        <v>2117</v>
      </c>
      <c r="G64" s="10" t="str">
        <f t="shared" si="0"/>
        <v>2022</v>
      </c>
      <c r="H64" s="10">
        <v>48</v>
      </c>
      <c r="I64" s="10">
        <v>48</v>
      </c>
      <c r="J64" s="9" t="s">
        <v>2118</v>
      </c>
      <c r="K64" s="9" t="s">
        <v>2118</v>
      </c>
      <c r="L64" s="9" t="s">
        <v>1905</v>
      </c>
      <c r="M64" s="9">
        <v>0</v>
      </c>
      <c r="N64" s="9" t="s">
        <v>1905</v>
      </c>
      <c r="O64" s="9" t="s">
        <v>1898</v>
      </c>
      <c r="P64" s="16" t="s">
        <v>101</v>
      </c>
      <c r="Q64">
        <f t="shared" si="1"/>
        <v>0</v>
      </c>
      <c r="R64" t="b">
        <f t="shared" si="2"/>
        <v>0</v>
      </c>
    </row>
    <row r="65" spans="1:18" hidden="1" x14ac:dyDescent="0.35">
      <c r="A65" s="16" t="s">
        <v>101</v>
      </c>
      <c r="B65" s="9" t="s">
        <v>2119</v>
      </c>
      <c r="C65" s="9" t="s">
        <v>2119</v>
      </c>
      <c r="D65" s="9" t="e">
        <f>VLOOKUP(RBE!C65,Permis[[#This Row],[Parties]],1,0)</f>
        <v>#N/A</v>
      </c>
      <c r="E65" s="9" t="s">
        <v>2120</v>
      </c>
      <c r="F65" s="10" t="s">
        <v>2121</v>
      </c>
      <c r="G65" s="10" t="str">
        <f t="shared" si="0"/>
        <v>2022</v>
      </c>
      <c r="H65" s="10">
        <v>100</v>
      </c>
      <c r="I65" s="10">
        <v>100</v>
      </c>
      <c r="J65" s="9" t="s">
        <v>1912</v>
      </c>
      <c r="K65" s="9" t="s">
        <v>1912</v>
      </c>
      <c r="L65" s="9" t="s">
        <v>1905</v>
      </c>
      <c r="M65" s="9">
        <v>0</v>
      </c>
      <c r="N65" s="9" t="s">
        <v>1905</v>
      </c>
      <c r="O65" s="9" t="s">
        <v>1898</v>
      </c>
      <c r="P65" s="16" t="s">
        <v>101</v>
      </c>
      <c r="Q65">
        <f t="shared" si="1"/>
        <v>0</v>
      </c>
      <c r="R65" t="b">
        <f t="shared" si="2"/>
        <v>0</v>
      </c>
    </row>
    <row r="66" spans="1:18" hidden="1" x14ac:dyDescent="0.35">
      <c r="A66" s="16" t="s">
        <v>101</v>
      </c>
      <c r="B66" s="9" t="s">
        <v>2119</v>
      </c>
      <c r="C66" s="9" t="s">
        <v>2119</v>
      </c>
      <c r="D66" s="9" t="e">
        <f>VLOOKUP(RBE!C66,Permis[[#This Row],[Parties]],1,0)</f>
        <v>#N/A</v>
      </c>
      <c r="E66" s="9" t="s">
        <v>2120</v>
      </c>
      <c r="F66" s="10" t="s">
        <v>2117</v>
      </c>
      <c r="G66" s="10" t="str">
        <f t="shared" ref="G66:G129" si="3">LEFT(TRIM(F66),4)</f>
        <v>2022</v>
      </c>
      <c r="H66" s="10">
        <v>5</v>
      </c>
      <c r="I66" s="10">
        <v>5</v>
      </c>
      <c r="J66" s="9" t="s">
        <v>1912</v>
      </c>
      <c r="K66" s="9" t="s">
        <v>1912</v>
      </c>
      <c r="L66" s="9" t="s">
        <v>1905</v>
      </c>
      <c r="M66" s="9">
        <v>0</v>
      </c>
      <c r="N66" s="9" t="s">
        <v>1905</v>
      </c>
      <c r="O66" s="9" t="s">
        <v>1898</v>
      </c>
      <c r="P66" s="16" t="s">
        <v>101</v>
      </c>
      <c r="Q66">
        <f t="shared" si="1"/>
        <v>0</v>
      </c>
      <c r="R66" t="b">
        <f t="shared" si="2"/>
        <v>0</v>
      </c>
    </row>
    <row r="67" spans="1:18" hidden="1" x14ac:dyDescent="0.35">
      <c r="A67" s="16" t="s">
        <v>101</v>
      </c>
      <c r="B67" s="9" t="s">
        <v>2119</v>
      </c>
      <c r="C67" s="9" t="s">
        <v>2119</v>
      </c>
      <c r="D67" s="9" t="e">
        <f>VLOOKUP(RBE!C67,Permis[[#This Row],[Parties]],1,0)</f>
        <v>#N/A</v>
      </c>
      <c r="E67" s="9" t="s">
        <v>2120</v>
      </c>
      <c r="F67" s="10" t="s">
        <v>2117</v>
      </c>
      <c r="G67" s="10" t="str">
        <f t="shared" si="3"/>
        <v>2022</v>
      </c>
      <c r="H67" s="10">
        <v>23</v>
      </c>
      <c r="I67" s="10">
        <v>23</v>
      </c>
      <c r="J67" s="9" t="s">
        <v>2090</v>
      </c>
      <c r="K67" s="9" t="s">
        <v>2090</v>
      </c>
      <c r="L67" s="9" t="s">
        <v>1905</v>
      </c>
      <c r="M67" s="9">
        <v>0</v>
      </c>
      <c r="N67" s="9" t="s">
        <v>1905</v>
      </c>
      <c r="O67" s="9" t="s">
        <v>1898</v>
      </c>
      <c r="P67" s="16" t="s">
        <v>101</v>
      </c>
      <c r="Q67">
        <f t="shared" ref="Q67:Q130" si="4">IF(J67=K67,0,1)</f>
        <v>0</v>
      </c>
      <c r="R67" t="b">
        <f t="shared" ref="R67:R130" si="5">ISBLANK(K67)</f>
        <v>0</v>
      </c>
    </row>
    <row r="68" spans="1:18" hidden="1" x14ac:dyDescent="0.35">
      <c r="A68" s="16" t="s">
        <v>101</v>
      </c>
      <c r="B68" s="9" t="s">
        <v>2119</v>
      </c>
      <c r="C68" s="9" t="s">
        <v>2119</v>
      </c>
      <c r="D68" s="9" t="e">
        <f>VLOOKUP(RBE!C68,Permis[[#This Row],[Parties]],1,0)</f>
        <v>#N/A</v>
      </c>
      <c r="E68" s="9" t="s">
        <v>2122</v>
      </c>
      <c r="F68" s="10" t="s">
        <v>2117</v>
      </c>
      <c r="G68" s="10" t="str">
        <f t="shared" si="3"/>
        <v>2022</v>
      </c>
      <c r="H68" s="10">
        <v>24</v>
      </c>
      <c r="I68" s="10">
        <v>24</v>
      </c>
      <c r="J68" s="9" t="s">
        <v>1912</v>
      </c>
      <c r="K68" s="9" t="s">
        <v>1912</v>
      </c>
      <c r="L68" s="9" t="s">
        <v>1905</v>
      </c>
      <c r="M68" s="9">
        <v>0</v>
      </c>
      <c r="N68" s="9" t="s">
        <v>1905</v>
      </c>
      <c r="O68" s="9" t="s">
        <v>1898</v>
      </c>
      <c r="P68" s="16" t="s">
        <v>101</v>
      </c>
      <c r="Q68">
        <f t="shared" si="4"/>
        <v>0</v>
      </c>
      <c r="R68" t="b">
        <f t="shared" si="5"/>
        <v>0</v>
      </c>
    </row>
    <row r="69" spans="1:18" hidden="1" x14ac:dyDescent="0.35">
      <c r="A69" s="16" t="s">
        <v>101</v>
      </c>
      <c r="B69" s="9" t="s">
        <v>2119</v>
      </c>
      <c r="C69" s="9" t="s">
        <v>2119</v>
      </c>
      <c r="D69" s="9" t="e">
        <f>VLOOKUP(RBE!C69,Permis[[#This Row],[Parties]],1,0)</f>
        <v>#N/A</v>
      </c>
      <c r="E69" s="9" t="s">
        <v>2123</v>
      </c>
      <c r="F69" s="10" t="s">
        <v>2124</v>
      </c>
      <c r="G69" s="10" t="str">
        <f t="shared" si="3"/>
        <v>2022</v>
      </c>
      <c r="H69" s="10">
        <v>100</v>
      </c>
      <c r="I69" s="10">
        <v>100</v>
      </c>
      <c r="J69" s="9" t="s">
        <v>2062</v>
      </c>
      <c r="K69" s="9" t="s">
        <v>2062</v>
      </c>
      <c r="L69" s="9" t="s">
        <v>1905</v>
      </c>
      <c r="M69" s="9">
        <v>0</v>
      </c>
      <c r="N69" s="9" t="s">
        <v>1905</v>
      </c>
      <c r="O69" s="9" t="s">
        <v>1898</v>
      </c>
      <c r="P69" s="16" t="s">
        <v>101</v>
      </c>
      <c r="Q69">
        <f t="shared" si="4"/>
        <v>0</v>
      </c>
      <c r="R69" t="b">
        <f t="shared" si="5"/>
        <v>0</v>
      </c>
    </row>
    <row r="70" spans="1:18" hidden="1" x14ac:dyDescent="0.35">
      <c r="A70" s="16" t="s">
        <v>101</v>
      </c>
      <c r="B70" s="9" t="s">
        <v>2119</v>
      </c>
      <c r="C70" s="9" t="s">
        <v>2119</v>
      </c>
      <c r="D70" s="9" t="e">
        <f>VLOOKUP(RBE!C70,Permis[[#This Row],[Parties]],1,0)</f>
        <v>#N/A</v>
      </c>
      <c r="E70" s="9" t="s">
        <v>2125</v>
      </c>
      <c r="F70" s="10" t="s">
        <v>2126</v>
      </c>
      <c r="G70" s="10" t="str">
        <f t="shared" si="3"/>
        <v>2022</v>
      </c>
      <c r="H70" s="10">
        <v>10</v>
      </c>
      <c r="I70" s="10">
        <v>10</v>
      </c>
      <c r="J70" s="9" t="s">
        <v>1912</v>
      </c>
      <c r="K70" s="9" t="s">
        <v>1912</v>
      </c>
      <c r="L70" s="9" t="s">
        <v>1905</v>
      </c>
      <c r="M70" s="9">
        <v>0</v>
      </c>
      <c r="N70" s="9" t="s">
        <v>1905</v>
      </c>
      <c r="O70" s="9" t="s">
        <v>1898</v>
      </c>
      <c r="P70" s="16" t="s">
        <v>101</v>
      </c>
      <c r="Q70">
        <f t="shared" si="4"/>
        <v>0</v>
      </c>
      <c r="R70" t="b">
        <f t="shared" si="5"/>
        <v>0</v>
      </c>
    </row>
    <row r="71" spans="1:18" hidden="1" x14ac:dyDescent="0.35">
      <c r="A71" s="16" t="s">
        <v>101</v>
      </c>
      <c r="B71" s="9" t="s">
        <v>2119</v>
      </c>
      <c r="C71" s="9" t="s">
        <v>2119</v>
      </c>
      <c r="D71" s="9" t="e">
        <f>VLOOKUP(RBE!C71,Permis[[#This Row],[Parties]],1,0)</f>
        <v>#N/A</v>
      </c>
      <c r="E71" s="9" t="s">
        <v>2127</v>
      </c>
      <c r="F71" s="10" t="s">
        <v>2126</v>
      </c>
      <c r="G71" s="10" t="str">
        <f t="shared" si="3"/>
        <v>2022</v>
      </c>
      <c r="H71" s="10">
        <v>65</v>
      </c>
      <c r="I71" s="10">
        <v>65</v>
      </c>
      <c r="J71" s="9" t="s">
        <v>1912</v>
      </c>
      <c r="K71" s="9" t="s">
        <v>1912</v>
      </c>
      <c r="L71" s="9" t="s">
        <v>1905</v>
      </c>
      <c r="M71" s="9">
        <v>0</v>
      </c>
      <c r="N71" s="9" t="s">
        <v>1905</v>
      </c>
      <c r="O71" s="9" t="s">
        <v>1898</v>
      </c>
      <c r="P71" s="16" t="s">
        <v>101</v>
      </c>
      <c r="Q71">
        <f t="shared" si="4"/>
        <v>0</v>
      </c>
      <c r="R71" t="b">
        <f t="shared" si="5"/>
        <v>0</v>
      </c>
    </row>
    <row r="72" spans="1:18" hidden="1" x14ac:dyDescent="0.35">
      <c r="A72" s="16" t="s">
        <v>101</v>
      </c>
      <c r="B72" s="9" t="s">
        <v>2119</v>
      </c>
      <c r="C72" s="9" t="s">
        <v>2119</v>
      </c>
      <c r="D72" s="9" t="e">
        <f>VLOOKUP(RBE!C72,Permis[[#This Row],[Parties]],1,0)</f>
        <v>#N/A</v>
      </c>
      <c r="E72" s="9" t="s">
        <v>2128</v>
      </c>
      <c r="F72" s="10" t="s">
        <v>2126</v>
      </c>
      <c r="G72" s="10" t="str">
        <f t="shared" si="3"/>
        <v>2022</v>
      </c>
      <c r="H72" s="10">
        <v>25</v>
      </c>
      <c r="I72" s="10">
        <v>25</v>
      </c>
      <c r="J72" s="9" t="s">
        <v>1912</v>
      </c>
      <c r="K72" s="9" t="s">
        <v>1912</v>
      </c>
      <c r="L72" s="9" t="s">
        <v>1905</v>
      </c>
      <c r="M72" s="9">
        <v>0</v>
      </c>
      <c r="N72" s="9" t="s">
        <v>1905</v>
      </c>
      <c r="O72" s="9" t="s">
        <v>1898</v>
      </c>
      <c r="P72" s="16" t="s">
        <v>101</v>
      </c>
      <c r="Q72">
        <f t="shared" si="4"/>
        <v>0</v>
      </c>
      <c r="R72" t="b">
        <f t="shared" si="5"/>
        <v>0</v>
      </c>
    </row>
    <row r="73" spans="1:18" hidden="1" x14ac:dyDescent="0.35">
      <c r="A73" s="16" t="s">
        <v>101</v>
      </c>
      <c r="B73" s="9" t="s">
        <v>2119</v>
      </c>
      <c r="C73" s="9" t="s">
        <v>2119</v>
      </c>
      <c r="D73" s="9" t="e">
        <f>VLOOKUP(RBE!C73,Permis[[#This Row],[Parties]],1,0)</f>
        <v>#N/A</v>
      </c>
      <c r="E73" s="9" t="s">
        <v>2129</v>
      </c>
      <c r="F73" s="10" t="s">
        <v>2130</v>
      </c>
      <c r="G73" s="10" t="str">
        <f t="shared" si="3"/>
        <v>2022</v>
      </c>
      <c r="H73" s="10">
        <v>100</v>
      </c>
      <c r="I73" s="10">
        <v>100</v>
      </c>
      <c r="J73" s="9" t="s">
        <v>1912</v>
      </c>
      <c r="K73" s="9" t="s">
        <v>1912</v>
      </c>
      <c r="L73" s="9" t="s">
        <v>1905</v>
      </c>
      <c r="M73" s="9">
        <v>0</v>
      </c>
      <c r="N73" s="9" t="s">
        <v>1905</v>
      </c>
      <c r="O73" s="9" t="s">
        <v>1898</v>
      </c>
      <c r="P73" s="16" t="s">
        <v>101</v>
      </c>
      <c r="Q73">
        <f t="shared" si="4"/>
        <v>0</v>
      </c>
      <c r="R73" t="b">
        <f t="shared" si="5"/>
        <v>0</v>
      </c>
    </row>
    <row r="74" spans="1:18" hidden="1" x14ac:dyDescent="0.35">
      <c r="A74" s="16" t="s">
        <v>101</v>
      </c>
      <c r="B74" s="9" t="s">
        <v>2119</v>
      </c>
      <c r="C74" s="9" t="s">
        <v>2119</v>
      </c>
      <c r="D74" s="9" t="e">
        <f>VLOOKUP(RBE!C74,Permis[[#This Row],[Parties]],1,0)</f>
        <v>#N/A</v>
      </c>
      <c r="E74" s="9" t="s">
        <v>2131</v>
      </c>
      <c r="F74" s="10" t="s">
        <v>2132</v>
      </c>
      <c r="G74" s="10" t="str">
        <f t="shared" si="3"/>
        <v>2022</v>
      </c>
      <c r="H74" s="10">
        <v>50</v>
      </c>
      <c r="I74" s="10">
        <v>50</v>
      </c>
      <c r="J74" s="9" t="s">
        <v>1912</v>
      </c>
      <c r="K74" s="9" t="s">
        <v>1912</v>
      </c>
      <c r="L74" s="9" t="s">
        <v>1905</v>
      </c>
      <c r="M74" s="9">
        <v>0</v>
      </c>
      <c r="N74" s="9" t="s">
        <v>1905</v>
      </c>
      <c r="O74" s="9" t="s">
        <v>1898</v>
      </c>
      <c r="P74" s="16" t="s">
        <v>101</v>
      </c>
      <c r="Q74">
        <f t="shared" si="4"/>
        <v>0</v>
      </c>
      <c r="R74" t="b">
        <f t="shared" si="5"/>
        <v>0</v>
      </c>
    </row>
    <row r="75" spans="1:18" hidden="1" x14ac:dyDescent="0.35">
      <c r="A75" s="16" t="s">
        <v>101</v>
      </c>
      <c r="B75" s="9" t="s">
        <v>2119</v>
      </c>
      <c r="C75" s="9" t="s">
        <v>2119</v>
      </c>
      <c r="D75" s="9" t="e">
        <f>VLOOKUP(RBE!C75,Permis[[#This Row],[Parties]],1,0)</f>
        <v>#N/A</v>
      </c>
      <c r="E75" s="9" t="s">
        <v>2133</v>
      </c>
      <c r="F75" s="10" t="s">
        <v>2132</v>
      </c>
      <c r="G75" s="10" t="str">
        <f t="shared" si="3"/>
        <v>2022</v>
      </c>
      <c r="H75" s="10">
        <v>50</v>
      </c>
      <c r="I75" s="10">
        <v>50</v>
      </c>
      <c r="J75" s="9" t="s">
        <v>1912</v>
      </c>
      <c r="K75" s="9" t="s">
        <v>1912</v>
      </c>
      <c r="L75" s="9" t="s">
        <v>1905</v>
      </c>
      <c r="M75" s="9">
        <v>0</v>
      </c>
      <c r="N75" s="9" t="s">
        <v>1905</v>
      </c>
      <c r="O75" s="9" t="s">
        <v>1898</v>
      </c>
      <c r="P75" s="16" t="s">
        <v>101</v>
      </c>
      <c r="Q75">
        <f t="shared" si="4"/>
        <v>0</v>
      </c>
      <c r="R75" t="b">
        <f t="shared" si="5"/>
        <v>0</v>
      </c>
    </row>
    <row r="76" spans="1:18" hidden="1" x14ac:dyDescent="0.35">
      <c r="A76" s="16" t="s">
        <v>101</v>
      </c>
      <c r="B76" s="9" t="s">
        <v>2119</v>
      </c>
      <c r="C76" s="9" t="s">
        <v>2119</v>
      </c>
      <c r="D76" s="9" t="e">
        <f>VLOOKUP(RBE!C76,Permis[[#This Row],[Parties]],1,0)</f>
        <v>#N/A</v>
      </c>
      <c r="E76" s="9" t="s">
        <v>2134</v>
      </c>
      <c r="F76" s="10" t="s">
        <v>2135</v>
      </c>
      <c r="G76" s="10" t="str">
        <f t="shared" si="3"/>
        <v>2022</v>
      </c>
      <c r="H76" s="10">
        <v>100</v>
      </c>
      <c r="I76" s="10">
        <v>100</v>
      </c>
      <c r="J76" s="9" t="s">
        <v>1912</v>
      </c>
      <c r="K76" s="9" t="s">
        <v>1912</v>
      </c>
      <c r="L76" s="9" t="s">
        <v>1905</v>
      </c>
      <c r="M76" s="9">
        <v>0</v>
      </c>
      <c r="N76" s="9" t="s">
        <v>1905</v>
      </c>
      <c r="O76" s="9" t="s">
        <v>1898</v>
      </c>
      <c r="P76" s="16" t="s">
        <v>101</v>
      </c>
      <c r="Q76">
        <f t="shared" si="4"/>
        <v>0</v>
      </c>
      <c r="R76" t="b">
        <f t="shared" si="5"/>
        <v>0</v>
      </c>
    </row>
    <row r="77" spans="1:18" hidden="1" x14ac:dyDescent="0.35">
      <c r="A77" s="16" t="s">
        <v>101</v>
      </c>
      <c r="B77" s="9" t="s">
        <v>2119</v>
      </c>
      <c r="C77" s="9" t="s">
        <v>2119</v>
      </c>
      <c r="D77" s="9" t="e">
        <f>VLOOKUP(RBE!C77,Permis[[#This Row],[Parties]],1,0)</f>
        <v>#N/A</v>
      </c>
      <c r="E77" s="9" t="s">
        <v>2136</v>
      </c>
      <c r="F77" s="10" t="s">
        <v>2137</v>
      </c>
      <c r="G77" s="10" t="str">
        <f t="shared" si="3"/>
        <v>2022</v>
      </c>
      <c r="H77" s="10">
        <v>30</v>
      </c>
      <c r="I77" s="10">
        <v>30</v>
      </c>
      <c r="J77" s="9" t="s">
        <v>1912</v>
      </c>
      <c r="K77" s="9" t="s">
        <v>1912</v>
      </c>
      <c r="L77" s="9" t="s">
        <v>1905</v>
      </c>
      <c r="M77" s="9">
        <v>0</v>
      </c>
      <c r="N77" s="9" t="s">
        <v>1905</v>
      </c>
      <c r="O77" s="9" t="s">
        <v>1898</v>
      </c>
      <c r="P77" s="16" t="s">
        <v>101</v>
      </c>
      <c r="Q77">
        <f t="shared" si="4"/>
        <v>0</v>
      </c>
      <c r="R77" t="b">
        <f t="shared" si="5"/>
        <v>0</v>
      </c>
    </row>
    <row r="78" spans="1:18" hidden="1" x14ac:dyDescent="0.35">
      <c r="A78" s="16" t="s">
        <v>101</v>
      </c>
      <c r="B78" s="9" t="s">
        <v>2119</v>
      </c>
      <c r="C78" s="9" t="s">
        <v>2119</v>
      </c>
      <c r="D78" s="9" t="e">
        <f>VLOOKUP(RBE!C78,Permis[[#This Row],[Parties]],1,0)</f>
        <v>#N/A</v>
      </c>
      <c r="E78" s="9" t="s">
        <v>2138</v>
      </c>
      <c r="F78" s="10" t="s">
        <v>2137</v>
      </c>
      <c r="G78" s="10" t="str">
        <f t="shared" si="3"/>
        <v>2022</v>
      </c>
      <c r="H78" s="10">
        <v>10</v>
      </c>
      <c r="I78" s="10">
        <v>10</v>
      </c>
      <c r="J78" s="9" t="s">
        <v>1912</v>
      </c>
      <c r="K78" s="9" t="s">
        <v>1912</v>
      </c>
      <c r="L78" s="9" t="s">
        <v>1905</v>
      </c>
      <c r="M78" s="9">
        <v>0</v>
      </c>
      <c r="N78" s="9" t="s">
        <v>1905</v>
      </c>
      <c r="O78" s="9" t="s">
        <v>1898</v>
      </c>
      <c r="P78" s="16" t="s">
        <v>101</v>
      </c>
      <c r="Q78">
        <f t="shared" si="4"/>
        <v>0</v>
      </c>
      <c r="R78" t="b">
        <f t="shared" si="5"/>
        <v>0</v>
      </c>
    </row>
    <row r="79" spans="1:18" hidden="1" x14ac:dyDescent="0.35">
      <c r="A79" s="16" t="s">
        <v>101</v>
      </c>
      <c r="B79" s="9" t="s">
        <v>2119</v>
      </c>
      <c r="C79" s="9" t="s">
        <v>2119</v>
      </c>
      <c r="D79" s="9" t="e">
        <f>VLOOKUP(RBE!C79,Permis[[#This Row],[Parties]],1,0)</f>
        <v>#N/A</v>
      </c>
      <c r="E79" s="9" t="s">
        <v>2139</v>
      </c>
      <c r="F79" s="10" t="s">
        <v>2137</v>
      </c>
      <c r="G79" s="10" t="str">
        <f t="shared" si="3"/>
        <v>2022</v>
      </c>
      <c r="H79" s="10">
        <v>60</v>
      </c>
      <c r="I79" s="10">
        <v>60</v>
      </c>
      <c r="J79" s="9" t="s">
        <v>2140</v>
      </c>
      <c r="K79" s="9" t="s">
        <v>2140</v>
      </c>
      <c r="L79" s="9" t="s">
        <v>1905</v>
      </c>
      <c r="M79" s="9">
        <v>0</v>
      </c>
      <c r="N79" s="9" t="s">
        <v>1905</v>
      </c>
      <c r="O79" s="9" t="s">
        <v>1898</v>
      </c>
      <c r="P79" s="16" t="s">
        <v>101</v>
      </c>
      <c r="Q79">
        <f t="shared" si="4"/>
        <v>0</v>
      </c>
      <c r="R79" t="b">
        <f t="shared" si="5"/>
        <v>0</v>
      </c>
    </row>
    <row r="80" spans="1:18" hidden="1" x14ac:dyDescent="0.35">
      <c r="A80" s="16" t="s">
        <v>101</v>
      </c>
      <c r="B80" s="9" t="s">
        <v>2119</v>
      </c>
      <c r="C80" s="9" t="s">
        <v>2119</v>
      </c>
      <c r="D80" s="9" t="e">
        <f>VLOOKUP(RBE!C80,Permis[[#This Row],[Parties]],1,0)</f>
        <v>#N/A</v>
      </c>
      <c r="E80" s="9" t="s">
        <v>2141</v>
      </c>
      <c r="F80" s="10" t="s">
        <v>1966</v>
      </c>
      <c r="G80" s="10" t="str">
        <f t="shared" si="3"/>
        <v>2022</v>
      </c>
      <c r="H80" s="10">
        <v>67</v>
      </c>
      <c r="I80" s="10">
        <v>67</v>
      </c>
      <c r="J80" s="9" t="s">
        <v>1912</v>
      </c>
      <c r="K80" s="9" t="s">
        <v>1912</v>
      </c>
      <c r="L80" s="9" t="s">
        <v>1905</v>
      </c>
      <c r="M80" s="9">
        <v>0</v>
      </c>
      <c r="N80" s="9" t="s">
        <v>1905</v>
      </c>
      <c r="O80" s="9" t="s">
        <v>1898</v>
      </c>
      <c r="P80" s="16" t="s">
        <v>101</v>
      </c>
      <c r="Q80">
        <f t="shared" si="4"/>
        <v>0</v>
      </c>
      <c r="R80" t="b">
        <f t="shared" si="5"/>
        <v>0</v>
      </c>
    </row>
    <row r="81" spans="1:18" hidden="1" x14ac:dyDescent="0.35">
      <c r="A81" s="16" t="s">
        <v>101</v>
      </c>
      <c r="B81" s="9" t="s">
        <v>2119</v>
      </c>
      <c r="C81" s="9" t="s">
        <v>2119</v>
      </c>
      <c r="D81" s="9" t="e">
        <f>VLOOKUP(RBE!C81,Permis[[#This Row],[Parties]],1,0)</f>
        <v>#N/A</v>
      </c>
      <c r="E81" s="9" t="s">
        <v>2142</v>
      </c>
      <c r="F81" s="10" t="s">
        <v>2143</v>
      </c>
      <c r="G81" s="10" t="str">
        <f t="shared" si="3"/>
        <v>2022</v>
      </c>
      <c r="H81" s="10">
        <v>100</v>
      </c>
      <c r="I81" s="10">
        <v>100</v>
      </c>
      <c r="J81" s="9" t="s">
        <v>1912</v>
      </c>
      <c r="K81" s="9" t="s">
        <v>1912</v>
      </c>
      <c r="L81" s="9" t="s">
        <v>1905</v>
      </c>
      <c r="M81" s="9">
        <v>0</v>
      </c>
      <c r="N81" s="9" t="s">
        <v>1905</v>
      </c>
      <c r="O81" s="9" t="s">
        <v>1898</v>
      </c>
      <c r="P81" s="16" t="s">
        <v>101</v>
      </c>
      <c r="Q81">
        <f t="shared" si="4"/>
        <v>0</v>
      </c>
      <c r="R81" t="b">
        <f t="shared" si="5"/>
        <v>0</v>
      </c>
    </row>
    <row r="82" spans="1:18" hidden="1" x14ac:dyDescent="0.35">
      <c r="A82" s="16" t="s">
        <v>101</v>
      </c>
      <c r="B82" s="9" t="s">
        <v>2119</v>
      </c>
      <c r="C82" s="9" t="s">
        <v>2119</v>
      </c>
      <c r="D82" s="9" t="e">
        <f>VLOOKUP(RBE!C82,Permis[[#This Row],[Parties]],1,0)</f>
        <v>#N/A</v>
      </c>
      <c r="E82" s="9" t="s">
        <v>2144</v>
      </c>
      <c r="F82" s="10" t="s">
        <v>2145</v>
      </c>
      <c r="G82" s="10" t="str">
        <f t="shared" si="3"/>
        <v>2022</v>
      </c>
      <c r="H82" s="10">
        <v>100</v>
      </c>
      <c r="I82" s="10" t="s">
        <v>1905</v>
      </c>
      <c r="J82" s="9" t="s">
        <v>1912</v>
      </c>
      <c r="K82" s="9" t="s">
        <v>1912</v>
      </c>
      <c r="L82" s="9" t="s">
        <v>1905</v>
      </c>
      <c r="M82" s="9">
        <v>0</v>
      </c>
      <c r="N82" s="9" t="s">
        <v>1905</v>
      </c>
      <c r="O82" s="9" t="s">
        <v>1898</v>
      </c>
      <c r="P82" s="16" t="s">
        <v>101</v>
      </c>
      <c r="Q82">
        <f t="shared" si="4"/>
        <v>0</v>
      </c>
      <c r="R82" t="b">
        <f t="shared" si="5"/>
        <v>0</v>
      </c>
    </row>
    <row r="83" spans="1:18" hidden="1" x14ac:dyDescent="0.35">
      <c r="A83" s="16" t="s">
        <v>101</v>
      </c>
      <c r="B83" s="9" t="s">
        <v>2119</v>
      </c>
      <c r="C83" s="9" t="s">
        <v>2119</v>
      </c>
      <c r="D83" s="9" t="e">
        <f>VLOOKUP(RBE!C83,Permis[[#This Row],[Parties]],1,0)</f>
        <v>#N/A</v>
      </c>
      <c r="E83" s="9" t="s">
        <v>2146</v>
      </c>
      <c r="F83" s="10" t="s">
        <v>2147</v>
      </c>
      <c r="G83" s="10" t="str">
        <f t="shared" si="3"/>
        <v>2022</v>
      </c>
      <c r="H83" s="10">
        <v>55</v>
      </c>
      <c r="I83" s="10">
        <v>55</v>
      </c>
      <c r="J83" s="9" t="s">
        <v>1912</v>
      </c>
      <c r="K83" s="9" t="s">
        <v>1912</v>
      </c>
      <c r="L83" s="9" t="s">
        <v>1905</v>
      </c>
      <c r="M83" s="9">
        <v>0</v>
      </c>
      <c r="N83" s="9" t="s">
        <v>1905</v>
      </c>
      <c r="O83" s="9" t="s">
        <v>1898</v>
      </c>
      <c r="P83" s="16" t="s">
        <v>101</v>
      </c>
      <c r="Q83">
        <f t="shared" si="4"/>
        <v>0</v>
      </c>
      <c r="R83" t="b">
        <f t="shared" si="5"/>
        <v>0</v>
      </c>
    </row>
    <row r="84" spans="1:18" hidden="1" x14ac:dyDescent="0.35">
      <c r="A84" s="16" t="s">
        <v>101</v>
      </c>
      <c r="B84" s="9" t="s">
        <v>2119</v>
      </c>
      <c r="C84" s="9" t="s">
        <v>2119</v>
      </c>
      <c r="D84" s="9" t="e">
        <f>VLOOKUP(RBE!C84,Permis[[#This Row],[Parties]],1,0)</f>
        <v>#N/A</v>
      </c>
      <c r="E84" s="9" t="s">
        <v>2148</v>
      </c>
      <c r="F84" s="10" t="s">
        <v>2147</v>
      </c>
      <c r="G84" s="10" t="str">
        <f t="shared" si="3"/>
        <v>2022</v>
      </c>
      <c r="H84" s="10">
        <v>45</v>
      </c>
      <c r="I84" s="10">
        <v>45</v>
      </c>
      <c r="J84" s="9" t="s">
        <v>1912</v>
      </c>
      <c r="K84" s="9" t="s">
        <v>1912</v>
      </c>
      <c r="L84" s="9" t="s">
        <v>1905</v>
      </c>
      <c r="M84" s="9">
        <v>0</v>
      </c>
      <c r="N84" s="9" t="s">
        <v>1905</v>
      </c>
      <c r="O84" s="9" t="s">
        <v>1898</v>
      </c>
      <c r="P84" s="16" t="s">
        <v>101</v>
      </c>
      <c r="Q84">
        <f t="shared" si="4"/>
        <v>0</v>
      </c>
      <c r="R84" t="b">
        <f t="shared" si="5"/>
        <v>0</v>
      </c>
    </row>
    <row r="85" spans="1:18" hidden="1" x14ac:dyDescent="0.35">
      <c r="A85" s="16" t="s">
        <v>101</v>
      </c>
      <c r="B85" s="9" t="s">
        <v>2119</v>
      </c>
      <c r="C85" s="9" t="s">
        <v>2119</v>
      </c>
      <c r="D85" s="9" t="e">
        <f>VLOOKUP(RBE!C85,Permis[[#This Row],[Parties]],1,0)</f>
        <v>#N/A</v>
      </c>
      <c r="E85" s="9" t="s">
        <v>2149</v>
      </c>
      <c r="F85" s="10" t="s">
        <v>2150</v>
      </c>
      <c r="G85" s="10" t="str">
        <f t="shared" si="3"/>
        <v>2022</v>
      </c>
      <c r="H85" s="10" t="s">
        <v>1905</v>
      </c>
      <c r="I85" s="10" t="s">
        <v>1905</v>
      </c>
      <c r="J85" s="9" t="s">
        <v>1912</v>
      </c>
      <c r="K85" s="9" t="s">
        <v>1912</v>
      </c>
      <c r="L85" s="9" t="s">
        <v>1905</v>
      </c>
      <c r="M85" s="9">
        <v>1</v>
      </c>
      <c r="N85" s="9" t="s">
        <v>1905</v>
      </c>
      <c r="O85" s="9" t="s">
        <v>1898</v>
      </c>
      <c r="P85" s="16" t="s">
        <v>101</v>
      </c>
      <c r="Q85">
        <f t="shared" si="4"/>
        <v>0</v>
      </c>
      <c r="R85" t="b">
        <f t="shared" si="5"/>
        <v>0</v>
      </c>
    </row>
    <row r="86" spans="1:18" hidden="1" x14ac:dyDescent="0.35">
      <c r="A86" s="16" t="s">
        <v>101</v>
      </c>
      <c r="B86" s="9" t="s">
        <v>2119</v>
      </c>
      <c r="C86" s="9" t="s">
        <v>2119</v>
      </c>
      <c r="D86" s="9" t="e">
        <f>VLOOKUP(RBE!C86,Permis[[#This Row],[Parties]],1,0)</f>
        <v>#N/A</v>
      </c>
      <c r="E86" s="9" t="s">
        <v>2151</v>
      </c>
      <c r="F86" s="10" t="s">
        <v>2152</v>
      </c>
      <c r="G86" s="10" t="str">
        <f t="shared" si="3"/>
        <v>2022</v>
      </c>
      <c r="H86" s="10">
        <v>33</v>
      </c>
      <c r="I86" s="10">
        <v>33</v>
      </c>
      <c r="J86" s="9" t="s">
        <v>1912</v>
      </c>
      <c r="K86" s="9" t="s">
        <v>1912</v>
      </c>
      <c r="L86" s="9" t="s">
        <v>1905</v>
      </c>
      <c r="M86" s="9">
        <v>0</v>
      </c>
      <c r="N86" s="9" t="s">
        <v>1905</v>
      </c>
      <c r="O86" s="9" t="s">
        <v>1898</v>
      </c>
      <c r="P86" s="16" t="s">
        <v>101</v>
      </c>
      <c r="Q86">
        <f t="shared" si="4"/>
        <v>0</v>
      </c>
      <c r="R86" t="b">
        <f t="shared" si="5"/>
        <v>0</v>
      </c>
    </row>
    <row r="87" spans="1:18" hidden="1" x14ac:dyDescent="0.35">
      <c r="A87" s="16" t="s">
        <v>101</v>
      </c>
      <c r="B87" s="9" t="s">
        <v>2119</v>
      </c>
      <c r="C87" s="9" t="s">
        <v>2119</v>
      </c>
      <c r="D87" s="9" t="e">
        <f>VLOOKUP(RBE!C87,Permis[[#This Row],[Parties]],1,0)</f>
        <v>#N/A</v>
      </c>
      <c r="E87" s="9" t="s">
        <v>2153</v>
      </c>
      <c r="F87" s="10" t="s">
        <v>2152</v>
      </c>
      <c r="G87" s="10" t="str">
        <f t="shared" si="3"/>
        <v>2022</v>
      </c>
      <c r="H87" s="10">
        <v>33</v>
      </c>
      <c r="I87" s="10" t="s">
        <v>1905</v>
      </c>
      <c r="J87" s="9" t="s">
        <v>2154</v>
      </c>
      <c r="K87" s="9" t="s">
        <v>2154</v>
      </c>
      <c r="L87" s="9" t="s">
        <v>1905</v>
      </c>
      <c r="M87" s="9">
        <v>0</v>
      </c>
      <c r="N87" s="9" t="s">
        <v>1905</v>
      </c>
      <c r="O87" s="9" t="s">
        <v>1898</v>
      </c>
      <c r="P87" s="16" t="s">
        <v>101</v>
      </c>
      <c r="Q87">
        <f t="shared" si="4"/>
        <v>0</v>
      </c>
      <c r="R87" t="b">
        <f t="shared" si="5"/>
        <v>0</v>
      </c>
    </row>
    <row r="88" spans="1:18" hidden="1" x14ac:dyDescent="0.35">
      <c r="A88" s="16" t="s">
        <v>101</v>
      </c>
      <c r="B88" s="9" t="s">
        <v>2119</v>
      </c>
      <c r="C88" s="9" t="s">
        <v>2119</v>
      </c>
      <c r="D88" s="9" t="e">
        <f>VLOOKUP(RBE!C88,Permis[[#This Row],[Parties]],1,0)</f>
        <v>#N/A</v>
      </c>
      <c r="E88" s="9" t="s">
        <v>2155</v>
      </c>
      <c r="F88" s="10" t="s">
        <v>2152</v>
      </c>
      <c r="G88" s="10" t="str">
        <f t="shared" si="3"/>
        <v>2022</v>
      </c>
      <c r="H88" s="10">
        <v>12</v>
      </c>
      <c r="I88" s="10" t="s">
        <v>1905</v>
      </c>
      <c r="J88" s="9" t="s">
        <v>1912</v>
      </c>
      <c r="K88" s="9" t="s">
        <v>1912</v>
      </c>
      <c r="L88" s="9" t="s">
        <v>1905</v>
      </c>
      <c r="M88" s="9">
        <v>0</v>
      </c>
      <c r="N88" s="9" t="s">
        <v>1905</v>
      </c>
      <c r="O88" s="9" t="s">
        <v>1898</v>
      </c>
      <c r="P88" s="16" t="s">
        <v>101</v>
      </c>
      <c r="Q88">
        <f t="shared" si="4"/>
        <v>0</v>
      </c>
      <c r="R88" t="b">
        <f t="shared" si="5"/>
        <v>0</v>
      </c>
    </row>
    <row r="89" spans="1:18" hidden="1" x14ac:dyDescent="0.35">
      <c r="A89" s="16" t="s">
        <v>101</v>
      </c>
      <c r="B89" s="9" t="s">
        <v>2119</v>
      </c>
      <c r="C89" s="9" t="s">
        <v>2119</v>
      </c>
      <c r="D89" s="9" t="e">
        <f>VLOOKUP(RBE!C89,Permis[[#This Row],[Parties]],1,0)</f>
        <v>#N/A</v>
      </c>
      <c r="E89" s="9" t="s">
        <v>2156</v>
      </c>
      <c r="F89" s="10" t="s">
        <v>2157</v>
      </c>
      <c r="G89" s="10" t="str">
        <f t="shared" si="3"/>
        <v>2022</v>
      </c>
      <c r="H89" s="10">
        <v>100</v>
      </c>
      <c r="I89" s="10">
        <v>100</v>
      </c>
      <c r="J89" s="9" t="s">
        <v>1912</v>
      </c>
      <c r="K89" s="9" t="s">
        <v>1912</v>
      </c>
      <c r="L89" s="9" t="s">
        <v>1905</v>
      </c>
      <c r="M89" s="9">
        <v>0</v>
      </c>
      <c r="N89" s="9" t="s">
        <v>1905</v>
      </c>
      <c r="O89" s="9" t="s">
        <v>1898</v>
      </c>
      <c r="P89" s="16" t="s">
        <v>101</v>
      </c>
      <c r="Q89">
        <f t="shared" si="4"/>
        <v>0</v>
      </c>
      <c r="R89" t="b">
        <f t="shared" si="5"/>
        <v>0</v>
      </c>
    </row>
    <row r="90" spans="1:18" hidden="1" x14ac:dyDescent="0.35">
      <c r="A90" s="16" t="s">
        <v>101</v>
      </c>
      <c r="B90" s="9" t="s">
        <v>2119</v>
      </c>
      <c r="C90" s="9" t="s">
        <v>2119</v>
      </c>
      <c r="D90" s="9" t="e">
        <f>VLOOKUP(RBE!C90,Permis[[#This Row],[Parties]],1,0)</f>
        <v>#N/A</v>
      </c>
      <c r="E90" s="9" t="s">
        <v>2158</v>
      </c>
      <c r="F90" s="10" t="s">
        <v>2159</v>
      </c>
      <c r="G90" s="10" t="str">
        <f t="shared" si="3"/>
        <v>2022</v>
      </c>
      <c r="H90" s="10">
        <v>100</v>
      </c>
      <c r="I90" s="10">
        <v>100</v>
      </c>
      <c r="J90" s="9" t="s">
        <v>1912</v>
      </c>
      <c r="K90" s="9" t="s">
        <v>1912</v>
      </c>
      <c r="L90" s="9" t="s">
        <v>1905</v>
      </c>
      <c r="M90" s="9">
        <v>0</v>
      </c>
      <c r="N90" s="9" t="s">
        <v>1905</v>
      </c>
      <c r="O90" s="9" t="s">
        <v>1898</v>
      </c>
      <c r="P90" s="16" t="s">
        <v>101</v>
      </c>
      <c r="Q90">
        <f t="shared" si="4"/>
        <v>0</v>
      </c>
      <c r="R90" t="b">
        <f t="shared" si="5"/>
        <v>0</v>
      </c>
    </row>
    <row r="91" spans="1:18" hidden="1" x14ac:dyDescent="0.35">
      <c r="A91" s="16" t="s">
        <v>101</v>
      </c>
      <c r="B91" s="9" t="s">
        <v>2119</v>
      </c>
      <c r="C91" s="9" t="s">
        <v>2119</v>
      </c>
      <c r="D91" s="9" t="e">
        <f>VLOOKUP(RBE!C91,Permis[[#This Row],[Parties]],1,0)</f>
        <v>#N/A</v>
      </c>
      <c r="E91" s="9" t="s">
        <v>2160</v>
      </c>
      <c r="F91" s="10" t="s">
        <v>2161</v>
      </c>
      <c r="G91" s="10" t="str">
        <f t="shared" si="3"/>
        <v>2022</v>
      </c>
      <c r="H91" s="10">
        <v>50</v>
      </c>
      <c r="I91" s="10">
        <v>50</v>
      </c>
      <c r="J91" s="9" t="s">
        <v>1912</v>
      </c>
      <c r="K91" s="9" t="s">
        <v>1912</v>
      </c>
      <c r="L91" s="9" t="s">
        <v>1905</v>
      </c>
      <c r="M91" s="9">
        <v>0</v>
      </c>
      <c r="N91" s="9" t="s">
        <v>1905</v>
      </c>
      <c r="O91" s="9" t="s">
        <v>1898</v>
      </c>
      <c r="P91" s="16" t="s">
        <v>101</v>
      </c>
      <c r="Q91">
        <f t="shared" si="4"/>
        <v>0</v>
      </c>
      <c r="R91" t="b">
        <f t="shared" si="5"/>
        <v>0</v>
      </c>
    </row>
    <row r="92" spans="1:18" hidden="1" x14ac:dyDescent="0.35">
      <c r="A92" s="16" t="s">
        <v>101</v>
      </c>
      <c r="B92" s="9" t="s">
        <v>2162</v>
      </c>
      <c r="C92" s="9" t="s">
        <v>2162</v>
      </c>
      <c r="D92" s="9" t="e">
        <f>VLOOKUP(RBE!C92,Permis[[#This Row],[Parties]],1,0)</f>
        <v>#N/A</v>
      </c>
      <c r="E92" s="9" t="s">
        <v>2163</v>
      </c>
      <c r="F92" s="10" t="s">
        <v>2161</v>
      </c>
      <c r="G92" s="10" t="str">
        <f t="shared" si="3"/>
        <v>2022</v>
      </c>
      <c r="H92" s="10">
        <v>50</v>
      </c>
      <c r="I92" s="10">
        <v>50</v>
      </c>
      <c r="J92" s="9" t="s">
        <v>1912</v>
      </c>
      <c r="K92" s="9" t="s">
        <v>1912</v>
      </c>
      <c r="L92" s="9" t="s">
        <v>1905</v>
      </c>
      <c r="M92" s="9">
        <v>0</v>
      </c>
      <c r="N92" s="9" t="s">
        <v>1905</v>
      </c>
      <c r="O92" s="9" t="s">
        <v>1898</v>
      </c>
      <c r="P92" s="16" t="s">
        <v>101</v>
      </c>
      <c r="Q92">
        <f t="shared" si="4"/>
        <v>0</v>
      </c>
      <c r="R92" t="b">
        <f t="shared" si="5"/>
        <v>0</v>
      </c>
    </row>
    <row r="93" spans="1:18" hidden="1" x14ac:dyDescent="0.35">
      <c r="A93" s="16" t="s">
        <v>101</v>
      </c>
      <c r="B93" s="9" t="s">
        <v>2164</v>
      </c>
      <c r="C93" s="9" t="s">
        <v>2164</v>
      </c>
      <c r="D93" s="9" t="e">
        <f>VLOOKUP(RBE!C93,Permis[[#This Row],[Parties]],1,0)</f>
        <v>#N/A</v>
      </c>
      <c r="E93" s="9" t="s">
        <v>2163</v>
      </c>
      <c r="F93" s="10" t="s">
        <v>2165</v>
      </c>
      <c r="G93" s="10" t="str">
        <f t="shared" si="3"/>
        <v>2022</v>
      </c>
      <c r="H93" s="10">
        <v>100</v>
      </c>
      <c r="I93" s="10" t="s">
        <v>1905</v>
      </c>
      <c r="J93" s="9" t="s">
        <v>1912</v>
      </c>
      <c r="K93" s="9" t="s">
        <v>1912</v>
      </c>
      <c r="L93" s="9" t="s">
        <v>1905</v>
      </c>
      <c r="M93" s="9">
        <v>0</v>
      </c>
      <c r="N93" s="9" t="s">
        <v>1905</v>
      </c>
      <c r="O93" s="9" t="s">
        <v>1898</v>
      </c>
      <c r="P93" s="16" t="s">
        <v>101</v>
      </c>
      <c r="Q93">
        <f t="shared" si="4"/>
        <v>0</v>
      </c>
      <c r="R93" t="b">
        <f t="shared" si="5"/>
        <v>0</v>
      </c>
    </row>
    <row r="94" spans="1:18" hidden="1" x14ac:dyDescent="0.35">
      <c r="A94" s="16" t="s">
        <v>101</v>
      </c>
      <c r="B94" s="9" t="s">
        <v>2166</v>
      </c>
      <c r="C94" s="9" t="s">
        <v>2166</v>
      </c>
      <c r="D94" s="9" t="e">
        <f>VLOOKUP(RBE!C94,Permis[[#This Row],[Parties]],1,0)</f>
        <v>#N/A</v>
      </c>
      <c r="E94" s="9" t="s">
        <v>2167</v>
      </c>
      <c r="F94" s="10" t="s">
        <v>2168</v>
      </c>
      <c r="G94" s="10" t="str">
        <f t="shared" si="3"/>
        <v>2022</v>
      </c>
      <c r="H94" s="10">
        <v>60</v>
      </c>
      <c r="I94" s="10" t="s">
        <v>1905</v>
      </c>
      <c r="J94" s="9" t="s">
        <v>1912</v>
      </c>
      <c r="K94" s="9" t="s">
        <v>1912</v>
      </c>
      <c r="L94" s="9" t="s">
        <v>1905</v>
      </c>
      <c r="M94" s="9">
        <v>0</v>
      </c>
      <c r="N94" s="9" t="s">
        <v>1905</v>
      </c>
      <c r="O94" s="9" t="s">
        <v>1898</v>
      </c>
      <c r="P94" s="16" t="s">
        <v>101</v>
      </c>
      <c r="Q94">
        <f t="shared" si="4"/>
        <v>0</v>
      </c>
      <c r="R94" t="b">
        <f t="shared" si="5"/>
        <v>0</v>
      </c>
    </row>
    <row r="95" spans="1:18" hidden="1" x14ac:dyDescent="0.35">
      <c r="A95" s="16" t="s">
        <v>101</v>
      </c>
      <c r="B95" s="9" t="s">
        <v>2166</v>
      </c>
      <c r="C95" s="9" t="s">
        <v>2166</v>
      </c>
      <c r="D95" s="9" t="e">
        <f>VLOOKUP(RBE!C95,Permis[[#This Row],[Parties]],1,0)</f>
        <v>#N/A</v>
      </c>
      <c r="E95" s="9" t="s">
        <v>2167</v>
      </c>
      <c r="F95" s="10" t="s">
        <v>2168</v>
      </c>
      <c r="G95" s="10" t="str">
        <f t="shared" si="3"/>
        <v>2022</v>
      </c>
      <c r="H95" s="10">
        <v>40</v>
      </c>
      <c r="I95" s="10">
        <v>40</v>
      </c>
      <c r="J95" s="9" t="s">
        <v>1912</v>
      </c>
      <c r="K95" s="9" t="s">
        <v>1912</v>
      </c>
      <c r="L95" s="9" t="s">
        <v>1905</v>
      </c>
      <c r="M95" s="9">
        <v>0</v>
      </c>
      <c r="N95" s="9" t="s">
        <v>1905</v>
      </c>
      <c r="O95" s="9" t="s">
        <v>1898</v>
      </c>
      <c r="P95" s="16" t="s">
        <v>101</v>
      </c>
      <c r="Q95">
        <f t="shared" si="4"/>
        <v>0</v>
      </c>
      <c r="R95" t="b">
        <f t="shared" si="5"/>
        <v>0</v>
      </c>
    </row>
    <row r="96" spans="1:18" hidden="1" x14ac:dyDescent="0.35">
      <c r="A96" s="16" t="s">
        <v>101</v>
      </c>
      <c r="B96" s="9" t="s">
        <v>2169</v>
      </c>
      <c r="C96" s="9" t="s">
        <v>2169</v>
      </c>
      <c r="D96" s="9" t="e">
        <f>VLOOKUP(RBE!C96,Permis[[#This Row],[Parties]],1,0)</f>
        <v>#N/A</v>
      </c>
      <c r="E96" s="9" t="s">
        <v>2170</v>
      </c>
      <c r="F96" s="10" t="s">
        <v>2171</v>
      </c>
      <c r="G96" s="10" t="str">
        <f t="shared" si="3"/>
        <v>2022</v>
      </c>
      <c r="H96" s="10">
        <v>100</v>
      </c>
      <c r="I96" s="10">
        <v>100</v>
      </c>
      <c r="J96" s="9" t="s">
        <v>1912</v>
      </c>
      <c r="K96" s="9" t="s">
        <v>1912</v>
      </c>
      <c r="L96" s="9" t="s">
        <v>1905</v>
      </c>
      <c r="M96" s="9">
        <v>0</v>
      </c>
      <c r="N96" s="9" t="s">
        <v>1905</v>
      </c>
      <c r="O96" s="9" t="s">
        <v>1898</v>
      </c>
      <c r="P96" s="16" t="s">
        <v>101</v>
      </c>
      <c r="Q96">
        <f t="shared" si="4"/>
        <v>0</v>
      </c>
      <c r="R96" t="b">
        <f t="shared" si="5"/>
        <v>0</v>
      </c>
    </row>
    <row r="97" spans="1:18" hidden="1" x14ac:dyDescent="0.35">
      <c r="A97" s="16" t="s">
        <v>101</v>
      </c>
      <c r="B97" s="9" t="s">
        <v>2169</v>
      </c>
      <c r="C97" s="9" t="s">
        <v>2169</v>
      </c>
      <c r="D97" s="9" t="e">
        <f>VLOOKUP(RBE!C97,Permis[[#This Row],[Parties]],1,0)</f>
        <v>#N/A</v>
      </c>
      <c r="E97" s="9" t="s">
        <v>2172</v>
      </c>
      <c r="F97" s="10" t="s">
        <v>2173</v>
      </c>
      <c r="G97" s="10" t="str">
        <f t="shared" si="3"/>
        <v>2022</v>
      </c>
      <c r="H97" s="10" t="s">
        <v>1905</v>
      </c>
      <c r="I97" s="10">
        <v>25</v>
      </c>
      <c r="J97" s="9" t="s">
        <v>1912</v>
      </c>
      <c r="K97" s="9" t="s">
        <v>1912</v>
      </c>
      <c r="L97" s="9" t="s">
        <v>1905</v>
      </c>
      <c r="M97" s="9">
        <v>0</v>
      </c>
      <c r="N97" s="9" t="s">
        <v>1905</v>
      </c>
      <c r="O97" s="9" t="s">
        <v>1898</v>
      </c>
      <c r="P97" s="16" t="s">
        <v>101</v>
      </c>
      <c r="Q97">
        <f t="shared" si="4"/>
        <v>0</v>
      </c>
      <c r="R97" t="b">
        <f t="shared" si="5"/>
        <v>0</v>
      </c>
    </row>
    <row r="98" spans="1:18" hidden="1" x14ac:dyDescent="0.35">
      <c r="A98" s="16" t="s">
        <v>101</v>
      </c>
      <c r="B98" s="9" t="s">
        <v>2169</v>
      </c>
      <c r="C98" s="9" t="s">
        <v>2169</v>
      </c>
      <c r="D98" s="9" t="e">
        <f>VLOOKUP(RBE!C98,Permis[[#This Row],[Parties]],1,0)</f>
        <v>#N/A</v>
      </c>
      <c r="E98" s="9" t="s">
        <v>2174</v>
      </c>
      <c r="F98" s="10" t="s">
        <v>2175</v>
      </c>
      <c r="G98" s="10" t="str">
        <f t="shared" si="3"/>
        <v>2022</v>
      </c>
      <c r="H98" s="10">
        <v>5</v>
      </c>
      <c r="I98" s="10">
        <v>5</v>
      </c>
      <c r="J98" s="9" t="s">
        <v>2176</v>
      </c>
      <c r="K98" s="9" t="s">
        <v>2176</v>
      </c>
      <c r="L98" s="9" t="s">
        <v>1905</v>
      </c>
      <c r="M98" s="9">
        <v>0</v>
      </c>
      <c r="N98" s="9" t="s">
        <v>1905</v>
      </c>
      <c r="O98" s="9" t="s">
        <v>1898</v>
      </c>
      <c r="P98" s="16" t="s">
        <v>101</v>
      </c>
      <c r="Q98">
        <f t="shared" si="4"/>
        <v>0</v>
      </c>
      <c r="R98" t="b">
        <f t="shared" si="5"/>
        <v>0</v>
      </c>
    </row>
    <row r="99" spans="1:18" hidden="1" x14ac:dyDescent="0.35">
      <c r="A99" s="16" t="s">
        <v>101</v>
      </c>
      <c r="B99" s="9" t="s">
        <v>2177</v>
      </c>
      <c r="C99" s="9" t="s">
        <v>2177</v>
      </c>
      <c r="D99" s="9" t="e">
        <f>VLOOKUP(RBE!C99,Permis[[#This Row],[Parties]],1,0)</f>
        <v>#N/A</v>
      </c>
      <c r="E99" s="9" t="s">
        <v>2178</v>
      </c>
      <c r="F99" s="10" t="s">
        <v>2175</v>
      </c>
      <c r="G99" s="10" t="str">
        <f t="shared" si="3"/>
        <v>2022</v>
      </c>
      <c r="H99" s="10">
        <v>5</v>
      </c>
      <c r="I99" s="10">
        <v>5</v>
      </c>
      <c r="J99" s="9" t="s">
        <v>2179</v>
      </c>
      <c r="K99" s="9" t="s">
        <v>2179</v>
      </c>
      <c r="L99" s="9" t="s">
        <v>1905</v>
      </c>
      <c r="M99" s="9">
        <v>0</v>
      </c>
      <c r="N99" s="9" t="s">
        <v>1905</v>
      </c>
      <c r="O99" s="9" t="s">
        <v>1898</v>
      </c>
      <c r="P99" s="16" t="s">
        <v>101</v>
      </c>
      <c r="Q99">
        <f t="shared" si="4"/>
        <v>0</v>
      </c>
      <c r="R99" t="b">
        <f t="shared" si="5"/>
        <v>0</v>
      </c>
    </row>
    <row r="100" spans="1:18" hidden="1" x14ac:dyDescent="0.35">
      <c r="A100" s="16" t="s">
        <v>101</v>
      </c>
      <c r="B100" s="9" t="s">
        <v>2177</v>
      </c>
      <c r="C100" s="9" t="s">
        <v>2177</v>
      </c>
      <c r="D100" s="9" t="e">
        <f>VLOOKUP(RBE!C100,Permis[[#This Row],[Parties]],1,0)</f>
        <v>#N/A</v>
      </c>
      <c r="E100" s="9" t="s">
        <v>2180</v>
      </c>
      <c r="F100" s="10" t="s">
        <v>2175</v>
      </c>
      <c r="G100" s="10" t="str">
        <f t="shared" si="3"/>
        <v>2022</v>
      </c>
      <c r="H100" s="10">
        <v>5</v>
      </c>
      <c r="I100" s="10">
        <v>5</v>
      </c>
      <c r="J100" s="9" t="s">
        <v>2181</v>
      </c>
      <c r="K100" s="9" t="s">
        <v>2181</v>
      </c>
      <c r="L100" s="9" t="s">
        <v>1905</v>
      </c>
      <c r="M100" s="9">
        <v>0</v>
      </c>
      <c r="N100" s="9" t="s">
        <v>1905</v>
      </c>
      <c r="O100" s="9" t="s">
        <v>1898</v>
      </c>
      <c r="P100" s="16" t="s">
        <v>101</v>
      </c>
      <c r="Q100">
        <f t="shared" si="4"/>
        <v>0</v>
      </c>
      <c r="R100" t="b">
        <f t="shared" si="5"/>
        <v>0</v>
      </c>
    </row>
    <row r="101" spans="1:18" hidden="1" x14ac:dyDescent="0.35">
      <c r="A101" s="16" t="s">
        <v>101</v>
      </c>
      <c r="B101" s="9" t="s">
        <v>2182</v>
      </c>
      <c r="C101" s="9" t="s">
        <v>2182</v>
      </c>
      <c r="D101" s="9" t="e">
        <f>VLOOKUP(RBE!C101,Permis[[#This Row],[Parties]],1,0)</f>
        <v>#N/A</v>
      </c>
      <c r="E101" s="9" t="s">
        <v>2183</v>
      </c>
      <c r="F101" s="10" t="s">
        <v>2184</v>
      </c>
      <c r="G101" s="10" t="str">
        <f t="shared" si="3"/>
        <v>2022</v>
      </c>
      <c r="H101" s="10">
        <v>40</v>
      </c>
      <c r="I101" s="10">
        <v>40</v>
      </c>
      <c r="J101" s="9" t="s">
        <v>2185</v>
      </c>
      <c r="K101" s="9" t="s">
        <v>2185</v>
      </c>
      <c r="L101" s="9" t="s">
        <v>1905</v>
      </c>
      <c r="M101" s="9">
        <v>0</v>
      </c>
      <c r="N101" s="9" t="s">
        <v>1905</v>
      </c>
      <c r="O101" s="9" t="s">
        <v>1898</v>
      </c>
      <c r="P101" s="16" t="s">
        <v>101</v>
      </c>
      <c r="Q101">
        <f t="shared" si="4"/>
        <v>0</v>
      </c>
      <c r="R101" t="b">
        <f t="shared" si="5"/>
        <v>0</v>
      </c>
    </row>
    <row r="102" spans="1:18" hidden="1" x14ac:dyDescent="0.35">
      <c r="A102" s="16" t="s">
        <v>101</v>
      </c>
      <c r="B102" s="9" t="s">
        <v>2186</v>
      </c>
      <c r="C102" s="9" t="s">
        <v>2186</v>
      </c>
      <c r="D102" s="9" t="e">
        <f>VLOOKUP(RBE!C102,Permis[[#This Row],[Parties]],1,0)</f>
        <v>#N/A</v>
      </c>
      <c r="E102" s="9" t="s">
        <v>2187</v>
      </c>
      <c r="F102" s="10" t="s">
        <v>2184</v>
      </c>
      <c r="G102" s="10" t="str">
        <f t="shared" si="3"/>
        <v>2022</v>
      </c>
      <c r="H102" s="10">
        <v>60</v>
      </c>
      <c r="I102" s="10">
        <v>60</v>
      </c>
      <c r="J102" s="9" t="s">
        <v>1912</v>
      </c>
      <c r="K102" s="9" t="s">
        <v>1912</v>
      </c>
      <c r="L102" s="9" t="s">
        <v>1905</v>
      </c>
      <c r="M102" s="9">
        <v>0</v>
      </c>
      <c r="N102" s="9" t="s">
        <v>1905</v>
      </c>
      <c r="O102" s="9" t="s">
        <v>1898</v>
      </c>
      <c r="P102" s="16" t="s">
        <v>101</v>
      </c>
      <c r="Q102">
        <f t="shared" si="4"/>
        <v>0</v>
      </c>
      <c r="R102" t="b">
        <f t="shared" si="5"/>
        <v>0</v>
      </c>
    </row>
    <row r="103" spans="1:18" hidden="1" x14ac:dyDescent="0.35">
      <c r="A103" s="16" t="s">
        <v>101</v>
      </c>
      <c r="B103" s="9" t="s">
        <v>2188</v>
      </c>
      <c r="C103" s="9" t="s">
        <v>2188</v>
      </c>
      <c r="D103" s="9" t="e">
        <f>VLOOKUP(RBE!C103,Permis[[#This Row],[Parties]],1,0)</f>
        <v>#N/A</v>
      </c>
      <c r="E103" s="9" t="s">
        <v>2189</v>
      </c>
      <c r="F103" s="10" t="s">
        <v>2190</v>
      </c>
      <c r="G103" s="10" t="str">
        <f t="shared" si="3"/>
        <v>2022</v>
      </c>
      <c r="H103" s="10">
        <v>100</v>
      </c>
      <c r="I103" s="10">
        <v>100</v>
      </c>
      <c r="J103" s="9" t="s">
        <v>1912</v>
      </c>
      <c r="K103" s="9" t="s">
        <v>1912</v>
      </c>
      <c r="L103" s="9" t="s">
        <v>1905</v>
      </c>
      <c r="M103" s="9">
        <v>0</v>
      </c>
      <c r="N103" s="9" t="s">
        <v>1905</v>
      </c>
      <c r="O103" s="9" t="s">
        <v>1898</v>
      </c>
      <c r="P103" s="16" t="s">
        <v>101</v>
      </c>
      <c r="Q103">
        <f t="shared" si="4"/>
        <v>0</v>
      </c>
      <c r="R103" t="b">
        <f t="shared" si="5"/>
        <v>0</v>
      </c>
    </row>
    <row r="104" spans="1:18" hidden="1" x14ac:dyDescent="0.35">
      <c r="A104" s="16" t="s">
        <v>101</v>
      </c>
      <c r="B104" s="9" t="s">
        <v>2188</v>
      </c>
      <c r="C104" s="9" t="s">
        <v>2188</v>
      </c>
      <c r="D104" s="9" t="e">
        <f>VLOOKUP(RBE!C104,Permis[[#This Row],[Parties]],1,0)</f>
        <v>#N/A</v>
      </c>
      <c r="E104" s="9" t="s">
        <v>2191</v>
      </c>
      <c r="F104" s="10" t="s">
        <v>2192</v>
      </c>
      <c r="G104" s="10" t="str">
        <f t="shared" si="3"/>
        <v>2022</v>
      </c>
      <c r="H104" s="10">
        <v>100</v>
      </c>
      <c r="I104" s="10">
        <v>100</v>
      </c>
      <c r="J104" s="9" t="s">
        <v>1912</v>
      </c>
      <c r="K104" s="9" t="s">
        <v>1912</v>
      </c>
      <c r="L104" s="9" t="s">
        <v>1905</v>
      </c>
      <c r="M104" s="9">
        <v>0</v>
      </c>
      <c r="N104" s="9" t="s">
        <v>1905</v>
      </c>
      <c r="O104" s="9" t="s">
        <v>1898</v>
      </c>
      <c r="P104" s="16" t="s">
        <v>101</v>
      </c>
      <c r="Q104">
        <f t="shared" si="4"/>
        <v>0</v>
      </c>
      <c r="R104" t="b">
        <f t="shared" si="5"/>
        <v>0</v>
      </c>
    </row>
    <row r="105" spans="1:18" hidden="1" x14ac:dyDescent="0.35">
      <c r="A105" s="16" t="s">
        <v>101</v>
      </c>
      <c r="B105" s="9" t="s">
        <v>2188</v>
      </c>
      <c r="C105" s="9" t="s">
        <v>2188</v>
      </c>
      <c r="D105" s="9" t="e">
        <f>VLOOKUP(RBE!C105,Permis[[#This Row],[Parties]],1,0)</f>
        <v>#N/A</v>
      </c>
      <c r="E105" s="9" t="s">
        <v>2193</v>
      </c>
      <c r="F105" s="10" t="s">
        <v>2194</v>
      </c>
      <c r="G105" s="10" t="str">
        <f t="shared" si="3"/>
        <v>2022</v>
      </c>
      <c r="H105" s="10">
        <v>12</v>
      </c>
      <c r="I105" s="10" t="s">
        <v>1905</v>
      </c>
      <c r="J105" s="9" t="s">
        <v>1912</v>
      </c>
      <c r="K105" s="9" t="s">
        <v>1912</v>
      </c>
      <c r="L105" s="9" t="s">
        <v>1905</v>
      </c>
      <c r="M105" s="9">
        <v>0</v>
      </c>
      <c r="N105" s="9" t="s">
        <v>1905</v>
      </c>
      <c r="O105" s="9" t="s">
        <v>1898</v>
      </c>
      <c r="P105" s="16" t="s">
        <v>101</v>
      </c>
      <c r="Q105">
        <f t="shared" si="4"/>
        <v>0</v>
      </c>
      <c r="R105" t="b">
        <f t="shared" si="5"/>
        <v>0</v>
      </c>
    </row>
    <row r="106" spans="1:18" hidden="1" x14ac:dyDescent="0.35">
      <c r="A106" s="16" t="s">
        <v>101</v>
      </c>
      <c r="B106" s="9" t="s">
        <v>2195</v>
      </c>
      <c r="C106" s="9" t="s">
        <v>2195</v>
      </c>
      <c r="D106" s="9" t="e">
        <f>VLOOKUP(RBE!C106,Permis[[#This Row],[Parties]],1,0)</f>
        <v>#N/A</v>
      </c>
      <c r="E106" s="9" t="s">
        <v>2196</v>
      </c>
      <c r="F106" s="10" t="s">
        <v>2194</v>
      </c>
      <c r="G106" s="10" t="str">
        <f t="shared" si="3"/>
        <v>2022</v>
      </c>
      <c r="H106" s="10">
        <v>12</v>
      </c>
      <c r="I106" s="10" t="s">
        <v>1905</v>
      </c>
      <c r="J106" s="9" t="s">
        <v>1912</v>
      </c>
      <c r="K106" s="9" t="s">
        <v>1912</v>
      </c>
      <c r="L106" s="9" t="s">
        <v>1905</v>
      </c>
      <c r="M106" s="9">
        <v>0</v>
      </c>
      <c r="N106" s="9" t="s">
        <v>1905</v>
      </c>
      <c r="O106" s="9" t="s">
        <v>1898</v>
      </c>
      <c r="P106" s="16" t="s">
        <v>101</v>
      </c>
      <c r="Q106">
        <f t="shared" si="4"/>
        <v>0</v>
      </c>
      <c r="R106" t="b">
        <f t="shared" si="5"/>
        <v>0</v>
      </c>
    </row>
    <row r="107" spans="1:18" hidden="1" x14ac:dyDescent="0.35">
      <c r="A107" s="16" t="s">
        <v>101</v>
      </c>
      <c r="B107" s="9" t="s">
        <v>1967</v>
      </c>
      <c r="C107" s="9" t="s">
        <v>3152</v>
      </c>
      <c r="D107" s="9" t="e">
        <f>VLOOKUP(RBE!C107,Permis[[#This Row],[Parties]],1,0)</f>
        <v>#N/A</v>
      </c>
      <c r="E107" s="9" t="s">
        <v>1968</v>
      </c>
      <c r="F107" s="10" t="s">
        <v>1969</v>
      </c>
      <c r="G107" s="10" t="str">
        <f t="shared" si="3"/>
        <v>2021</v>
      </c>
      <c r="H107" s="10">
        <v>30</v>
      </c>
      <c r="I107" s="10">
        <v>30</v>
      </c>
      <c r="J107" s="9" t="s">
        <v>1912</v>
      </c>
      <c r="K107" s="9" t="s">
        <v>1912</v>
      </c>
      <c r="L107" s="9" t="s">
        <v>1905</v>
      </c>
      <c r="M107" s="9">
        <v>0</v>
      </c>
      <c r="N107" s="9" t="s">
        <v>1905</v>
      </c>
      <c r="O107" s="9" t="s">
        <v>1898</v>
      </c>
      <c r="P107" s="16" t="s">
        <v>101</v>
      </c>
      <c r="Q107">
        <f t="shared" si="4"/>
        <v>0</v>
      </c>
      <c r="R107" t="b">
        <f t="shared" si="5"/>
        <v>0</v>
      </c>
    </row>
    <row r="108" spans="1:18" hidden="1" x14ac:dyDescent="0.35">
      <c r="A108" s="16" t="s">
        <v>101</v>
      </c>
      <c r="B108" s="9" t="s">
        <v>1967</v>
      </c>
      <c r="C108" s="9" t="s">
        <v>3152</v>
      </c>
      <c r="D108" s="9" t="e">
        <f>VLOOKUP(RBE!C108,Permis[[#This Row],[Parties]],1,0)</f>
        <v>#N/A</v>
      </c>
      <c r="E108" s="9" t="s">
        <v>1970</v>
      </c>
      <c r="F108" s="10" t="s">
        <v>1969</v>
      </c>
      <c r="G108" s="10" t="str">
        <f t="shared" si="3"/>
        <v>2021</v>
      </c>
      <c r="H108" s="10">
        <v>40</v>
      </c>
      <c r="I108" s="10">
        <v>40</v>
      </c>
      <c r="J108" s="9" t="s">
        <v>1912</v>
      </c>
      <c r="K108" s="9" t="s">
        <v>1912</v>
      </c>
      <c r="L108" s="9" t="s">
        <v>1905</v>
      </c>
      <c r="M108" s="9">
        <v>0</v>
      </c>
      <c r="N108" s="9" t="s">
        <v>1905</v>
      </c>
      <c r="O108" s="9" t="s">
        <v>1898</v>
      </c>
      <c r="P108" s="16" t="s">
        <v>101</v>
      </c>
      <c r="Q108">
        <f t="shared" si="4"/>
        <v>0</v>
      </c>
      <c r="R108" t="b">
        <f t="shared" si="5"/>
        <v>0</v>
      </c>
    </row>
    <row r="109" spans="1:18" hidden="1" x14ac:dyDescent="0.35">
      <c r="A109" s="16" t="s">
        <v>101</v>
      </c>
      <c r="B109" s="9" t="s">
        <v>2197</v>
      </c>
      <c r="C109" s="9" t="s">
        <v>2197</v>
      </c>
      <c r="D109" s="9" t="e">
        <f>VLOOKUP(RBE!C109,Permis[[#This Row],[Parties]],1,0)</f>
        <v>#N/A</v>
      </c>
      <c r="E109" s="9" t="s">
        <v>2198</v>
      </c>
      <c r="F109" s="10" t="s">
        <v>2194</v>
      </c>
      <c r="G109" s="10" t="str">
        <f t="shared" si="3"/>
        <v>2022</v>
      </c>
      <c r="H109" s="10">
        <v>12</v>
      </c>
      <c r="I109" s="10" t="s">
        <v>1905</v>
      </c>
      <c r="J109" s="9" t="s">
        <v>1912</v>
      </c>
      <c r="K109" s="9" t="s">
        <v>1912</v>
      </c>
      <c r="L109" s="9" t="s">
        <v>1905</v>
      </c>
      <c r="M109" s="9">
        <v>0</v>
      </c>
      <c r="N109" s="9" t="s">
        <v>1905</v>
      </c>
      <c r="O109" s="9" t="s">
        <v>1898</v>
      </c>
      <c r="P109" s="16" t="s">
        <v>101</v>
      </c>
      <c r="Q109">
        <f t="shared" si="4"/>
        <v>0</v>
      </c>
      <c r="R109" t="b">
        <f t="shared" si="5"/>
        <v>0</v>
      </c>
    </row>
    <row r="110" spans="1:18" hidden="1" x14ac:dyDescent="0.35">
      <c r="A110" s="16" t="s">
        <v>101</v>
      </c>
      <c r="B110" s="9" t="s">
        <v>2199</v>
      </c>
      <c r="C110" s="9" t="s">
        <v>2199</v>
      </c>
      <c r="D110" s="9" t="e">
        <f>VLOOKUP(RBE!C110,Permis[[#This Row],[Parties]],1,0)</f>
        <v>#N/A</v>
      </c>
      <c r="E110" s="9" t="s">
        <v>2200</v>
      </c>
      <c r="F110" s="10" t="s">
        <v>2194</v>
      </c>
      <c r="G110" s="10" t="str">
        <f t="shared" si="3"/>
        <v>2022</v>
      </c>
      <c r="H110" s="10">
        <v>12</v>
      </c>
      <c r="I110" s="10" t="s">
        <v>1905</v>
      </c>
      <c r="J110" s="9" t="s">
        <v>1912</v>
      </c>
      <c r="K110" s="9" t="s">
        <v>1912</v>
      </c>
      <c r="L110" s="9" t="s">
        <v>1905</v>
      </c>
      <c r="M110" s="9">
        <v>0</v>
      </c>
      <c r="N110" s="9" t="s">
        <v>1905</v>
      </c>
      <c r="O110" s="9" t="s">
        <v>1898</v>
      </c>
      <c r="P110" s="16" t="s">
        <v>101</v>
      </c>
      <c r="Q110">
        <f t="shared" si="4"/>
        <v>0</v>
      </c>
      <c r="R110" t="b">
        <f t="shared" si="5"/>
        <v>0</v>
      </c>
    </row>
    <row r="111" spans="1:18" hidden="1" x14ac:dyDescent="0.35">
      <c r="A111" s="16" t="s">
        <v>101</v>
      </c>
      <c r="B111" s="9" t="s">
        <v>2201</v>
      </c>
      <c r="C111" s="9" t="s">
        <v>2201</v>
      </c>
      <c r="D111" s="9" t="e">
        <f>VLOOKUP(RBE!C111,Permis[[#This Row],[Parties]],1,0)</f>
        <v>#N/A</v>
      </c>
      <c r="E111" s="9" t="s">
        <v>2202</v>
      </c>
      <c r="F111" s="10" t="s">
        <v>2194</v>
      </c>
      <c r="G111" s="10" t="str">
        <f t="shared" si="3"/>
        <v>2022</v>
      </c>
      <c r="H111" s="10">
        <v>80</v>
      </c>
      <c r="I111" s="10" t="s">
        <v>1905</v>
      </c>
      <c r="J111" s="9" t="s">
        <v>1912</v>
      </c>
      <c r="K111" s="9" t="s">
        <v>1912</v>
      </c>
      <c r="L111" s="9" t="s">
        <v>1905</v>
      </c>
      <c r="M111" s="9">
        <v>0</v>
      </c>
      <c r="N111" s="9" t="s">
        <v>1905</v>
      </c>
      <c r="O111" s="9" t="s">
        <v>1898</v>
      </c>
      <c r="P111" s="16" t="s">
        <v>101</v>
      </c>
      <c r="Q111">
        <f t="shared" si="4"/>
        <v>0</v>
      </c>
      <c r="R111" t="b">
        <f t="shared" si="5"/>
        <v>0</v>
      </c>
    </row>
    <row r="112" spans="1:18" hidden="1" x14ac:dyDescent="0.35">
      <c r="A112" s="16" t="s">
        <v>101</v>
      </c>
      <c r="B112" s="9" t="s">
        <v>2201</v>
      </c>
      <c r="C112" s="9" t="s">
        <v>2201</v>
      </c>
      <c r="D112" s="9" t="e">
        <f>VLOOKUP(RBE!C112,Permis[[#This Row],[Parties]],1,0)</f>
        <v>#N/A</v>
      </c>
      <c r="E112" s="9" t="s">
        <v>2203</v>
      </c>
      <c r="F112" s="10" t="s">
        <v>2204</v>
      </c>
      <c r="G112" s="10" t="str">
        <f t="shared" si="3"/>
        <v>2022</v>
      </c>
      <c r="H112" s="10" t="s">
        <v>1905</v>
      </c>
      <c r="I112" s="10" t="s">
        <v>1905</v>
      </c>
      <c r="J112" s="9" t="s">
        <v>1912</v>
      </c>
      <c r="K112" s="9" t="s">
        <v>1912</v>
      </c>
      <c r="L112" s="9" t="s">
        <v>1905</v>
      </c>
      <c r="M112" s="9">
        <v>0</v>
      </c>
      <c r="N112" s="9" t="s">
        <v>1905</v>
      </c>
      <c r="O112" s="9" t="s">
        <v>1898</v>
      </c>
      <c r="P112" s="16" t="s">
        <v>101</v>
      </c>
      <c r="Q112">
        <f t="shared" si="4"/>
        <v>0</v>
      </c>
      <c r="R112" t="b">
        <f t="shared" si="5"/>
        <v>0</v>
      </c>
    </row>
    <row r="113" spans="1:18" hidden="1" x14ac:dyDescent="0.35">
      <c r="A113" s="16" t="s">
        <v>101</v>
      </c>
      <c r="B113" s="9" t="s">
        <v>2201</v>
      </c>
      <c r="C113" s="9" t="s">
        <v>2201</v>
      </c>
      <c r="D113" s="9" t="e">
        <f>VLOOKUP(RBE!C113,Permis[[#This Row],[Parties]],1,0)</f>
        <v>#N/A</v>
      </c>
      <c r="E113" s="9" t="s">
        <v>2205</v>
      </c>
      <c r="F113" s="10" t="s">
        <v>2206</v>
      </c>
      <c r="G113" s="10" t="str">
        <f t="shared" si="3"/>
        <v>2022</v>
      </c>
      <c r="H113" s="10">
        <v>30</v>
      </c>
      <c r="I113" s="10">
        <v>30</v>
      </c>
      <c r="J113" s="9" t="s">
        <v>1912</v>
      </c>
      <c r="K113" s="9" t="s">
        <v>1912</v>
      </c>
      <c r="L113" s="9" t="s">
        <v>1905</v>
      </c>
      <c r="M113" s="9">
        <v>0</v>
      </c>
      <c r="N113" s="9" t="s">
        <v>1905</v>
      </c>
      <c r="O113" s="9" t="s">
        <v>1898</v>
      </c>
      <c r="P113" s="16" t="s">
        <v>101</v>
      </c>
      <c r="Q113">
        <f t="shared" si="4"/>
        <v>0</v>
      </c>
      <c r="R113" t="b">
        <f t="shared" si="5"/>
        <v>0</v>
      </c>
    </row>
    <row r="114" spans="1:18" hidden="1" x14ac:dyDescent="0.35">
      <c r="A114" s="16" t="s">
        <v>101</v>
      </c>
      <c r="B114" s="9" t="s">
        <v>1906</v>
      </c>
      <c r="C114" s="9" t="s">
        <v>3151</v>
      </c>
      <c r="D114" s="9" t="e">
        <f>VLOOKUP(RBE!C114,Permis[[#This Row],[Parties]],1,0)</f>
        <v>#N/A</v>
      </c>
      <c r="E114" s="9" t="s">
        <v>1907</v>
      </c>
      <c r="F114" s="10" t="s">
        <v>1908</v>
      </c>
      <c r="G114" s="10" t="str">
        <f t="shared" si="3"/>
        <v>2021</v>
      </c>
      <c r="H114" s="10">
        <v>100</v>
      </c>
      <c r="I114" s="10" t="s">
        <v>1905</v>
      </c>
      <c r="J114" s="9" t="s">
        <v>1909</v>
      </c>
      <c r="K114" s="9" t="s">
        <v>1909</v>
      </c>
      <c r="L114" s="9" t="s">
        <v>1905</v>
      </c>
      <c r="M114" s="9">
        <v>0</v>
      </c>
      <c r="N114" s="9" t="s">
        <v>1905</v>
      </c>
      <c r="O114" s="9" t="s">
        <v>1898</v>
      </c>
      <c r="P114" s="16" t="s">
        <v>101</v>
      </c>
      <c r="Q114">
        <f t="shared" si="4"/>
        <v>0</v>
      </c>
      <c r="R114" t="b">
        <f t="shared" si="5"/>
        <v>0</v>
      </c>
    </row>
    <row r="115" spans="1:18" hidden="1" x14ac:dyDescent="0.35">
      <c r="A115" s="16" t="s">
        <v>101</v>
      </c>
      <c r="B115" s="9" t="s">
        <v>1906</v>
      </c>
      <c r="C115" s="9" t="s">
        <v>3151</v>
      </c>
      <c r="D115" s="9" t="e">
        <f>VLOOKUP(RBE!C115,Permis[[#This Row],[Parties]],1,0)</f>
        <v>#N/A</v>
      </c>
      <c r="E115" s="9" t="s">
        <v>1910</v>
      </c>
      <c r="F115" s="10" t="s">
        <v>1911</v>
      </c>
      <c r="G115" s="10" t="str">
        <f t="shared" si="3"/>
        <v>2021</v>
      </c>
      <c r="H115" s="10">
        <v>100</v>
      </c>
      <c r="I115" s="10" t="s">
        <v>1905</v>
      </c>
      <c r="J115" s="9" t="s">
        <v>1912</v>
      </c>
      <c r="K115" s="9" t="s">
        <v>1912</v>
      </c>
      <c r="L115" s="9" t="s">
        <v>1905</v>
      </c>
      <c r="M115" s="9">
        <v>0</v>
      </c>
      <c r="N115" s="9" t="s">
        <v>1905</v>
      </c>
      <c r="O115" s="9" t="s">
        <v>1898</v>
      </c>
      <c r="P115" s="16" t="s">
        <v>101</v>
      </c>
      <c r="Q115">
        <f t="shared" si="4"/>
        <v>0</v>
      </c>
      <c r="R115" t="b">
        <f t="shared" si="5"/>
        <v>0</v>
      </c>
    </row>
    <row r="116" spans="1:18" hidden="1" x14ac:dyDescent="0.35">
      <c r="A116" s="16" t="s">
        <v>101</v>
      </c>
      <c r="B116" s="9" t="s">
        <v>1906</v>
      </c>
      <c r="C116" s="9" t="s">
        <v>3151</v>
      </c>
      <c r="D116" s="9" t="e">
        <f>VLOOKUP(RBE!C116,Permis[[#This Row],[Parties]],1,0)</f>
        <v>#N/A</v>
      </c>
      <c r="E116" s="9" t="s">
        <v>1913</v>
      </c>
      <c r="F116" s="10" t="s">
        <v>1914</v>
      </c>
      <c r="G116" s="10" t="str">
        <f t="shared" si="3"/>
        <v>2021</v>
      </c>
      <c r="H116" s="10">
        <v>80</v>
      </c>
      <c r="I116" s="10">
        <v>80</v>
      </c>
      <c r="J116" s="9" t="s">
        <v>1912</v>
      </c>
      <c r="K116" s="9" t="s">
        <v>1912</v>
      </c>
      <c r="L116" s="9" t="s">
        <v>1905</v>
      </c>
      <c r="M116" s="9">
        <v>0</v>
      </c>
      <c r="N116" s="9" t="s">
        <v>1905</v>
      </c>
      <c r="O116" s="9" t="s">
        <v>1898</v>
      </c>
      <c r="P116" s="16" t="s">
        <v>101</v>
      </c>
      <c r="Q116">
        <f t="shared" si="4"/>
        <v>0</v>
      </c>
      <c r="R116" t="b">
        <f t="shared" si="5"/>
        <v>0</v>
      </c>
    </row>
    <row r="117" spans="1:18" hidden="1" x14ac:dyDescent="0.35">
      <c r="A117" s="16" t="s">
        <v>101</v>
      </c>
      <c r="B117" s="9" t="s">
        <v>1906</v>
      </c>
      <c r="C117" s="9" t="s">
        <v>3151</v>
      </c>
      <c r="D117" s="9" t="e">
        <f>VLOOKUP(RBE!C117,Permis[[#This Row],[Parties]],1,0)</f>
        <v>#N/A</v>
      </c>
      <c r="E117" s="9" t="s">
        <v>1915</v>
      </c>
      <c r="F117" s="10" t="s">
        <v>1916</v>
      </c>
      <c r="G117" s="10" t="str">
        <f t="shared" si="3"/>
        <v>2021</v>
      </c>
      <c r="H117" s="10">
        <v>25</v>
      </c>
      <c r="I117" s="10" t="s">
        <v>1905</v>
      </c>
      <c r="J117" s="9" t="s">
        <v>1912</v>
      </c>
      <c r="K117" s="9" t="s">
        <v>1912</v>
      </c>
      <c r="L117" s="9" t="s">
        <v>1905</v>
      </c>
      <c r="M117" s="9">
        <v>0</v>
      </c>
      <c r="N117" s="9" t="s">
        <v>1905</v>
      </c>
      <c r="O117" s="9" t="s">
        <v>1898</v>
      </c>
      <c r="P117" s="16" t="s">
        <v>101</v>
      </c>
      <c r="Q117">
        <f t="shared" si="4"/>
        <v>0</v>
      </c>
      <c r="R117" t="b">
        <f t="shared" si="5"/>
        <v>0</v>
      </c>
    </row>
    <row r="118" spans="1:18" hidden="1" x14ac:dyDescent="0.35">
      <c r="A118" s="16" t="s">
        <v>101</v>
      </c>
      <c r="B118" s="9" t="s">
        <v>1906</v>
      </c>
      <c r="C118" s="9" t="s">
        <v>3151</v>
      </c>
      <c r="D118" s="9" t="e">
        <f>VLOOKUP(RBE!C118,Permis[[#This Row],[Parties]],1,0)</f>
        <v>#N/A</v>
      </c>
      <c r="E118" s="9" t="s">
        <v>1917</v>
      </c>
      <c r="F118" s="10" t="s">
        <v>1918</v>
      </c>
      <c r="G118" s="10" t="str">
        <f t="shared" si="3"/>
        <v>2021</v>
      </c>
      <c r="H118" s="10" t="s">
        <v>1905</v>
      </c>
      <c r="I118" s="10" t="s">
        <v>1905</v>
      </c>
      <c r="J118" s="9" t="s">
        <v>1912</v>
      </c>
      <c r="K118" s="9" t="s">
        <v>1912</v>
      </c>
      <c r="L118" s="9" t="s">
        <v>1905</v>
      </c>
      <c r="M118" s="9">
        <v>0</v>
      </c>
      <c r="N118" s="9" t="s">
        <v>1905</v>
      </c>
      <c r="O118" s="9" t="s">
        <v>1898</v>
      </c>
      <c r="P118" s="16" t="s">
        <v>101</v>
      </c>
      <c r="Q118">
        <f t="shared" si="4"/>
        <v>0</v>
      </c>
      <c r="R118" t="b">
        <f t="shared" si="5"/>
        <v>0</v>
      </c>
    </row>
    <row r="119" spans="1:18" hidden="1" x14ac:dyDescent="0.35">
      <c r="A119" s="16" t="s">
        <v>101</v>
      </c>
      <c r="B119" s="9" t="s">
        <v>1906</v>
      </c>
      <c r="C119" s="9" t="s">
        <v>3151</v>
      </c>
      <c r="D119" s="9" t="e">
        <f>VLOOKUP(RBE!C119,Permis[[#This Row],[Parties]],1,0)</f>
        <v>#N/A</v>
      </c>
      <c r="E119" s="9" t="s">
        <v>1919</v>
      </c>
      <c r="F119" s="10" t="s">
        <v>1916</v>
      </c>
      <c r="G119" s="10" t="str">
        <f t="shared" si="3"/>
        <v>2021</v>
      </c>
      <c r="H119" s="10">
        <v>75</v>
      </c>
      <c r="I119" s="10" t="s">
        <v>1905</v>
      </c>
      <c r="J119" s="9" t="s">
        <v>1912</v>
      </c>
      <c r="K119" s="9" t="s">
        <v>1912</v>
      </c>
      <c r="L119" s="9" t="s">
        <v>1905</v>
      </c>
      <c r="M119" s="9">
        <v>0</v>
      </c>
      <c r="N119" s="9" t="s">
        <v>1905</v>
      </c>
      <c r="O119" s="9" t="s">
        <v>1898</v>
      </c>
      <c r="P119" s="16" t="s">
        <v>101</v>
      </c>
      <c r="Q119">
        <f t="shared" si="4"/>
        <v>0</v>
      </c>
      <c r="R119" t="b">
        <f t="shared" si="5"/>
        <v>0</v>
      </c>
    </row>
    <row r="120" spans="1:18" hidden="1" x14ac:dyDescent="0.35">
      <c r="A120" s="16" t="s">
        <v>101</v>
      </c>
      <c r="B120" s="9" t="s">
        <v>2207</v>
      </c>
      <c r="C120" s="9" t="s">
        <v>2207</v>
      </c>
      <c r="D120" s="9" t="e">
        <f>VLOOKUP(RBE!C120,Permis[[#This Row],[Parties]],1,0)</f>
        <v>#N/A</v>
      </c>
      <c r="E120" s="9" t="s">
        <v>2208</v>
      </c>
      <c r="F120" s="10" t="s">
        <v>2175</v>
      </c>
      <c r="G120" s="10" t="str">
        <f t="shared" si="3"/>
        <v>2022</v>
      </c>
      <c r="H120" s="10">
        <v>5</v>
      </c>
      <c r="I120" s="10">
        <v>5</v>
      </c>
      <c r="J120" s="9" t="s">
        <v>1912</v>
      </c>
      <c r="K120" s="9" t="s">
        <v>1912</v>
      </c>
      <c r="L120" s="9" t="s">
        <v>1905</v>
      </c>
      <c r="M120" s="9">
        <v>0</v>
      </c>
      <c r="N120" s="9" t="s">
        <v>1905</v>
      </c>
      <c r="O120" s="9" t="s">
        <v>1898</v>
      </c>
      <c r="P120" s="16" t="s">
        <v>101</v>
      </c>
      <c r="Q120">
        <f t="shared" si="4"/>
        <v>0</v>
      </c>
      <c r="R120" t="b">
        <f t="shared" si="5"/>
        <v>0</v>
      </c>
    </row>
    <row r="121" spans="1:18" hidden="1" x14ac:dyDescent="0.35">
      <c r="A121" s="16" t="s">
        <v>101</v>
      </c>
      <c r="B121" s="9" t="s">
        <v>2207</v>
      </c>
      <c r="C121" s="9" t="s">
        <v>2207</v>
      </c>
      <c r="D121" s="9" t="e">
        <f>VLOOKUP(RBE!C121,Permis[[#This Row],[Parties]],1,0)</f>
        <v>#N/A</v>
      </c>
      <c r="E121" s="9" t="s">
        <v>2209</v>
      </c>
      <c r="F121" s="10" t="s">
        <v>2175</v>
      </c>
      <c r="G121" s="10" t="str">
        <f t="shared" si="3"/>
        <v>2022</v>
      </c>
      <c r="H121" s="10">
        <v>5</v>
      </c>
      <c r="I121" s="10">
        <v>5</v>
      </c>
      <c r="J121" s="9" t="s">
        <v>1912</v>
      </c>
      <c r="K121" s="9" t="s">
        <v>1912</v>
      </c>
      <c r="L121" s="9" t="s">
        <v>1905</v>
      </c>
      <c r="M121" s="9">
        <v>0</v>
      </c>
      <c r="N121" s="9" t="s">
        <v>1905</v>
      </c>
      <c r="O121" s="9" t="s">
        <v>1898</v>
      </c>
      <c r="P121" s="16" t="s">
        <v>101</v>
      </c>
      <c r="Q121">
        <f t="shared" si="4"/>
        <v>0</v>
      </c>
      <c r="R121" t="b">
        <f t="shared" si="5"/>
        <v>0</v>
      </c>
    </row>
    <row r="122" spans="1:18" hidden="1" x14ac:dyDescent="0.35">
      <c r="A122" s="16" t="s">
        <v>101</v>
      </c>
      <c r="B122" s="9" t="s">
        <v>2210</v>
      </c>
      <c r="C122" s="9" t="s">
        <v>2210</v>
      </c>
      <c r="D122" s="9" t="e">
        <f>VLOOKUP(RBE!C122,Permis[[#This Row],[Parties]],1,0)</f>
        <v>#N/A</v>
      </c>
      <c r="E122" s="9" t="s">
        <v>2209</v>
      </c>
      <c r="F122" s="10" t="s">
        <v>2175</v>
      </c>
      <c r="G122" s="10" t="str">
        <f t="shared" si="3"/>
        <v>2022</v>
      </c>
      <c r="H122" s="10">
        <v>70</v>
      </c>
      <c r="I122" s="10">
        <v>70</v>
      </c>
      <c r="J122" s="9" t="s">
        <v>2179</v>
      </c>
      <c r="K122" s="9" t="s">
        <v>2179</v>
      </c>
      <c r="L122" s="9" t="s">
        <v>1905</v>
      </c>
      <c r="M122" s="9">
        <v>0</v>
      </c>
      <c r="N122" s="9" t="s">
        <v>1905</v>
      </c>
      <c r="O122" s="9" t="s">
        <v>1898</v>
      </c>
      <c r="P122" s="16" t="s">
        <v>101</v>
      </c>
      <c r="Q122">
        <f t="shared" si="4"/>
        <v>0</v>
      </c>
      <c r="R122" t="b">
        <f t="shared" si="5"/>
        <v>0</v>
      </c>
    </row>
    <row r="123" spans="1:18" hidden="1" x14ac:dyDescent="0.35">
      <c r="A123" s="16" t="s">
        <v>101</v>
      </c>
      <c r="B123" s="9" t="s">
        <v>2210</v>
      </c>
      <c r="C123" s="9" t="s">
        <v>2210</v>
      </c>
      <c r="D123" s="9" t="e">
        <f>VLOOKUP(RBE!C123,Permis[[#This Row],[Parties]],1,0)</f>
        <v>#N/A</v>
      </c>
      <c r="E123" s="9" t="s">
        <v>2211</v>
      </c>
      <c r="F123" s="10" t="s">
        <v>2175</v>
      </c>
      <c r="G123" s="10" t="str">
        <f t="shared" si="3"/>
        <v>2022</v>
      </c>
      <c r="H123" s="10">
        <v>5</v>
      </c>
      <c r="I123" s="10">
        <v>5</v>
      </c>
      <c r="J123" s="9" t="s">
        <v>2212</v>
      </c>
      <c r="K123" s="9" t="s">
        <v>2212</v>
      </c>
      <c r="L123" s="9" t="s">
        <v>1905</v>
      </c>
      <c r="M123" s="9">
        <v>0</v>
      </c>
      <c r="N123" s="9" t="s">
        <v>1905</v>
      </c>
      <c r="O123" s="9" t="s">
        <v>1898</v>
      </c>
      <c r="P123" s="16" t="s">
        <v>101</v>
      </c>
      <c r="Q123">
        <f t="shared" si="4"/>
        <v>0</v>
      </c>
      <c r="R123" t="b">
        <f t="shared" si="5"/>
        <v>0</v>
      </c>
    </row>
    <row r="124" spans="1:18" hidden="1" x14ac:dyDescent="0.35">
      <c r="A124" s="16" t="s">
        <v>101</v>
      </c>
      <c r="B124" s="9" t="s">
        <v>2213</v>
      </c>
      <c r="C124" s="9" t="s">
        <v>2213</v>
      </c>
      <c r="D124" s="9" t="e">
        <f>VLOOKUP(RBE!C124,Permis[[#This Row],[Parties]],1,0)</f>
        <v>#N/A</v>
      </c>
      <c r="E124" s="9" t="s">
        <v>2214</v>
      </c>
      <c r="F124" s="10" t="s">
        <v>2215</v>
      </c>
      <c r="G124" s="10" t="str">
        <f t="shared" si="3"/>
        <v>2022</v>
      </c>
      <c r="H124" s="10">
        <v>100</v>
      </c>
      <c r="I124" s="10">
        <v>100</v>
      </c>
      <c r="J124" s="9" t="s">
        <v>1912</v>
      </c>
      <c r="K124" s="9" t="s">
        <v>1912</v>
      </c>
      <c r="L124" s="9" t="s">
        <v>1905</v>
      </c>
      <c r="M124" s="9">
        <v>0</v>
      </c>
      <c r="N124" s="9" t="s">
        <v>1905</v>
      </c>
      <c r="O124" s="9" t="s">
        <v>1898</v>
      </c>
      <c r="P124" s="16" t="s">
        <v>101</v>
      </c>
      <c r="Q124">
        <f t="shared" si="4"/>
        <v>0</v>
      </c>
      <c r="R124" t="b">
        <f t="shared" si="5"/>
        <v>0</v>
      </c>
    </row>
    <row r="125" spans="1:18" hidden="1" x14ac:dyDescent="0.35">
      <c r="A125" s="16" t="s">
        <v>101</v>
      </c>
      <c r="B125" s="9" t="s">
        <v>2213</v>
      </c>
      <c r="C125" s="9" t="s">
        <v>2213</v>
      </c>
      <c r="D125" s="9" t="e">
        <f>VLOOKUP(RBE!C125,Permis[[#This Row],[Parties]],1,0)</f>
        <v>#N/A</v>
      </c>
      <c r="E125" s="9" t="s">
        <v>2216</v>
      </c>
      <c r="F125" s="10" t="s">
        <v>2173</v>
      </c>
      <c r="G125" s="10" t="str">
        <f t="shared" si="3"/>
        <v>2022</v>
      </c>
      <c r="H125" s="10" t="s">
        <v>1905</v>
      </c>
      <c r="I125" s="10">
        <v>25</v>
      </c>
      <c r="J125" s="9" t="s">
        <v>2217</v>
      </c>
      <c r="K125" s="9" t="s">
        <v>2217</v>
      </c>
      <c r="L125" s="9" t="s">
        <v>1905</v>
      </c>
      <c r="M125" s="9">
        <v>0</v>
      </c>
      <c r="N125" s="9" t="s">
        <v>1905</v>
      </c>
      <c r="O125" s="9" t="s">
        <v>1898</v>
      </c>
      <c r="P125" s="16" t="s">
        <v>101</v>
      </c>
      <c r="Q125">
        <f t="shared" si="4"/>
        <v>0</v>
      </c>
      <c r="R125" t="b">
        <f t="shared" si="5"/>
        <v>0</v>
      </c>
    </row>
    <row r="126" spans="1:18" hidden="1" x14ac:dyDescent="0.35">
      <c r="A126" s="16" t="s">
        <v>101</v>
      </c>
      <c r="B126" s="9" t="s">
        <v>2213</v>
      </c>
      <c r="C126" s="9" t="s">
        <v>2213</v>
      </c>
      <c r="D126" s="9" t="e">
        <f>VLOOKUP(RBE!C126,Permis[[#This Row],[Parties]],1,0)</f>
        <v>#N/A</v>
      </c>
      <c r="E126" s="9" t="s">
        <v>2218</v>
      </c>
      <c r="F126" s="10" t="s">
        <v>2173</v>
      </c>
      <c r="G126" s="10" t="str">
        <f t="shared" si="3"/>
        <v>2022</v>
      </c>
      <c r="H126" s="10" t="s">
        <v>1905</v>
      </c>
      <c r="I126" s="10">
        <v>25</v>
      </c>
      <c r="J126" s="9" t="s">
        <v>2219</v>
      </c>
      <c r="K126" s="9" t="s">
        <v>2219</v>
      </c>
      <c r="L126" s="9" t="s">
        <v>1905</v>
      </c>
      <c r="M126" s="9">
        <v>0</v>
      </c>
      <c r="N126" s="9" t="s">
        <v>1905</v>
      </c>
      <c r="O126" s="9" t="s">
        <v>1898</v>
      </c>
      <c r="P126" s="16" t="s">
        <v>101</v>
      </c>
      <c r="Q126">
        <f t="shared" si="4"/>
        <v>0</v>
      </c>
      <c r="R126" t="b">
        <f t="shared" si="5"/>
        <v>0</v>
      </c>
    </row>
    <row r="127" spans="1:18" hidden="1" x14ac:dyDescent="0.35">
      <c r="A127" s="16" t="s">
        <v>101</v>
      </c>
      <c r="B127" s="9" t="s">
        <v>2213</v>
      </c>
      <c r="C127" s="9" t="s">
        <v>2213</v>
      </c>
      <c r="D127" s="9" t="e">
        <f>VLOOKUP(RBE!C127,Permis[[#This Row],[Parties]],1,0)</f>
        <v>#N/A</v>
      </c>
      <c r="E127" s="9" t="s">
        <v>2220</v>
      </c>
      <c r="F127" s="10" t="s">
        <v>2173</v>
      </c>
      <c r="G127" s="10" t="str">
        <f t="shared" si="3"/>
        <v>2022</v>
      </c>
      <c r="H127" s="10" t="s">
        <v>1905</v>
      </c>
      <c r="I127" s="10">
        <v>25</v>
      </c>
      <c r="J127" s="9" t="s">
        <v>2179</v>
      </c>
      <c r="K127" s="9" t="s">
        <v>2179</v>
      </c>
      <c r="L127" s="9" t="s">
        <v>1905</v>
      </c>
      <c r="M127" s="9">
        <v>0</v>
      </c>
      <c r="N127" s="9" t="s">
        <v>1905</v>
      </c>
      <c r="O127" s="9" t="s">
        <v>1898</v>
      </c>
      <c r="P127" s="16" t="s">
        <v>101</v>
      </c>
      <c r="Q127">
        <f t="shared" si="4"/>
        <v>0</v>
      </c>
      <c r="R127" t="b">
        <f t="shared" si="5"/>
        <v>0</v>
      </c>
    </row>
    <row r="128" spans="1:18" hidden="1" x14ac:dyDescent="0.35">
      <c r="A128" s="16" t="s">
        <v>101</v>
      </c>
      <c r="B128" s="9" t="s">
        <v>2221</v>
      </c>
      <c r="C128" s="9" t="s">
        <v>2221</v>
      </c>
      <c r="D128" s="9" t="e">
        <f>VLOOKUP(RBE!C128,Permis[[#This Row],[Parties]],1,0)</f>
        <v>#N/A</v>
      </c>
      <c r="E128" s="9" t="s">
        <v>2222</v>
      </c>
      <c r="F128" s="10" t="s">
        <v>2223</v>
      </c>
      <c r="G128" s="10" t="str">
        <f t="shared" si="3"/>
        <v>2022</v>
      </c>
      <c r="H128" s="10">
        <v>20</v>
      </c>
      <c r="I128" s="10">
        <v>20</v>
      </c>
      <c r="J128" s="9" t="s">
        <v>1912</v>
      </c>
      <c r="K128" s="9" t="s">
        <v>1912</v>
      </c>
      <c r="L128" s="9" t="s">
        <v>1905</v>
      </c>
      <c r="M128" s="9">
        <v>0</v>
      </c>
      <c r="N128" s="9" t="s">
        <v>1905</v>
      </c>
      <c r="O128" s="9" t="s">
        <v>1898</v>
      </c>
      <c r="P128" s="16" t="s">
        <v>101</v>
      </c>
      <c r="Q128">
        <f t="shared" si="4"/>
        <v>0</v>
      </c>
      <c r="R128" t="b">
        <f t="shared" si="5"/>
        <v>0</v>
      </c>
    </row>
    <row r="129" spans="1:18" hidden="1" x14ac:dyDescent="0.35">
      <c r="A129" s="16" t="s">
        <v>101</v>
      </c>
      <c r="B129" s="9" t="s">
        <v>2224</v>
      </c>
      <c r="C129" s="9" t="s">
        <v>2224</v>
      </c>
      <c r="D129" s="9" t="e">
        <f>VLOOKUP(RBE!C129,Permis[[#This Row],[Parties]],1,0)</f>
        <v>#N/A</v>
      </c>
      <c r="E129" s="9" t="s">
        <v>2225</v>
      </c>
      <c r="F129" s="10" t="s">
        <v>2223</v>
      </c>
      <c r="G129" s="10" t="str">
        <f t="shared" si="3"/>
        <v>2022</v>
      </c>
      <c r="H129" s="10">
        <v>20</v>
      </c>
      <c r="I129" s="10">
        <v>20</v>
      </c>
      <c r="J129" s="9" t="s">
        <v>2226</v>
      </c>
      <c r="K129" s="9" t="s">
        <v>2226</v>
      </c>
      <c r="L129" s="9" t="s">
        <v>1905</v>
      </c>
      <c r="M129" s="9">
        <v>0</v>
      </c>
      <c r="N129" s="9" t="s">
        <v>1905</v>
      </c>
      <c r="O129" s="9" t="s">
        <v>1898</v>
      </c>
      <c r="P129" s="16" t="s">
        <v>101</v>
      </c>
      <c r="Q129">
        <f t="shared" si="4"/>
        <v>0</v>
      </c>
      <c r="R129" t="b">
        <f t="shared" si="5"/>
        <v>0</v>
      </c>
    </row>
    <row r="130" spans="1:18" hidden="1" x14ac:dyDescent="0.35">
      <c r="A130" s="16" t="s">
        <v>101</v>
      </c>
      <c r="B130" s="9" t="s">
        <v>2224</v>
      </c>
      <c r="C130" s="9" t="s">
        <v>2224</v>
      </c>
      <c r="D130" s="9" t="e">
        <f>VLOOKUP(RBE!C130,Permis[[#This Row],[Parties]],1,0)</f>
        <v>#N/A</v>
      </c>
      <c r="E130" s="9" t="s">
        <v>2227</v>
      </c>
      <c r="F130" s="10" t="s">
        <v>2223</v>
      </c>
      <c r="G130" s="10" t="str">
        <f t="shared" ref="G130:G193" si="6">LEFT(TRIM(F130),4)</f>
        <v>2022</v>
      </c>
      <c r="H130" s="10">
        <v>60</v>
      </c>
      <c r="I130" s="10">
        <v>60</v>
      </c>
      <c r="J130" s="9" t="s">
        <v>1912</v>
      </c>
      <c r="K130" s="9" t="s">
        <v>1912</v>
      </c>
      <c r="L130" s="9" t="s">
        <v>1905</v>
      </c>
      <c r="M130" s="9">
        <v>0</v>
      </c>
      <c r="N130" s="9" t="s">
        <v>1905</v>
      </c>
      <c r="O130" s="9" t="s">
        <v>1898</v>
      </c>
      <c r="P130" s="16" t="s">
        <v>101</v>
      </c>
      <c r="Q130">
        <f t="shared" si="4"/>
        <v>0</v>
      </c>
      <c r="R130" t="b">
        <f t="shared" si="5"/>
        <v>0</v>
      </c>
    </row>
    <row r="131" spans="1:18" hidden="1" x14ac:dyDescent="0.35">
      <c r="A131" s="16" t="s">
        <v>101</v>
      </c>
      <c r="B131" s="9" t="s">
        <v>2224</v>
      </c>
      <c r="C131" s="9" t="s">
        <v>2224</v>
      </c>
      <c r="D131" s="9" t="e">
        <f>VLOOKUP(RBE!C131,Permis[[#This Row],[Parties]],1,0)</f>
        <v>#N/A</v>
      </c>
      <c r="E131" s="9" t="s">
        <v>2228</v>
      </c>
      <c r="F131" s="10" t="s">
        <v>2229</v>
      </c>
      <c r="G131" s="10" t="str">
        <f t="shared" si="6"/>
        <v>2022</v>
      </c>
      <c r="H131" s="10">
        <v>100</v>
      </c>
      <c r="I131" s="10">
        <v>100</v>
      </c>
      <c r="J131" s="9" t="s">
        <v>1912</v>
      </c>
      <c r="K131" s="9" t="s">
        <v>1912</v>
      </c>
      <c r="L131" s="9" t="s">
        <v>1905</v>
      </c>
      <c r="M131" s="9">
        <v>0</v>
      </c>
      <c r="N131" s="9" t="s">
        <v>1905</v>
      </c>
      <c r="O131" s="9" t="s">
        <v>1898</v>
      </c>
      <c r="P131" s="16" t="s">
        <v>101</v>
      </c>
      <c r="Q131">
        <f t="shared" ref="Q131:Q194" si="7">IF(J131=K131,0,1)</f>
        <v>0</v>
      </c>
      <c r="R131" t="b">
        <f t="shared" ref="R131:R194" si="8">ISBLANK(K131)</f>
        <v>0</v>
      </c>
    </row>
    <row r="132" spans="1:18" hidden="1" x14ac:dyDescent="0.35">
      <c r="A132" s="16" t="s">
        <v>101</v>
      </c>
      <c r="B132" s="9" t="s">
        <v>2224</v>
      </c>
      <c r="C132" s="9" t="s">
        <v>2224</v>
      </c>
      <c r="D132" s="9" t="e">
        <f>VLOOKUP(RBE!C132,Permis[[#This Row],[Parties]],1,0)</f>
        <v>#N/A</v>
      </c>
      <c r="E132" s="9" t="s">
        <v>2228</v>
      </c>
      <c r="F132" s="10" t="s">
        <v>2152</v>
      </c>
      <c r="G132" s="10" t="str">
        <f t="shared" si="6"/>
        <v>2022</v>
      </c>
      <c r="H132" s="10">
        <v>33</v>
      </c>
      <c r="I132" s="10">
        <v>33</v>
      </c>
      <c r="J132" s="9" t="s">
        <v>2154</v>
      </c>
      <c r="K132" s="9" t="s">
        <v>2154</v>
      </c>
      <c r="L132" s="9" t="s">
        <v>1905</v>
      </c>
      <c r="M132" s="9">
        <v>0</v>
      </c>
      <c r="N132" s="9" t="s">
        <v>1905</v>
      </c>
      <c r="O132" s="9" t="s">
        <v>1898</v>
      </c>
      <c r="P132" s="16" t="s">
        <v>101</v>
      </c>
      <c r="Q132">
        <f t="shared" si="7"/>
        <v>0</v>
      </c>
      <c r="R132" t="b">
        <f t="shared" si="8"/>
        <v>0</v>
      </c>
    </row>
    <row r="133" spans="1:18" hidden="1" x14ac:dyDescent="0.35">
      <c r="A133" s="16" t="s">
        <v>101</v>
      </c>
      <c r="B133" s="9" t="s">
        <v>2230</v>
      </c>
      <c r="C133" s="9" t="s">
        <v>2230</v>
      </c>
      <c r="D133" s="9" t="e">
        <f>VLOOKUP(RBE!C133,Permis[[#This Row],[Parties]],1,0)</f>
        <v>#N/A</v>
      </c>
      <c r="E133" s="9" t="s">
        <v>2231</v>
      </c>
      <c r="F133" s="10" t="s">
        <v>2232</v>
      </c>
      <c r="G133" s="10" t="str">
        <f t="shared" si="6"/>
        <v>2022</v>
      </c>
      <c r="H133" s="10" t="s">
        <v>1905</v>
      </c>
      <c r="I133" s="10">
        <v>100</v>
      </c>
      <c r="J133" s="9" t="s">
        <v>1912</v>
      </c>
      <c r="K133" s="9" t="s">
        <v>1912</v>
      </c>
      <c r="L133" s="9" t="s">
        <v>1905</v>
      </c>
      <c r="M133" s="9">
        <v>0</v>
      </c>
      <c r="N133" s="9" t="s">
        <v>1905</v>
      </c>
      <c r="O133" s="9" t="s">
        <v>1898</v>
      </c>
      <c r="P133" s="16" t="s">
        <v>101</v>
      </c>
      <c r="Q133">
        <f t="shared" si="7"/>
        <v>0</v>
      </c>
      <c r="R133" t="b">
        <f t="shared" si="8"/>
        <v>0</v>
      </c>
    </row>
    <row r="134" spans="1:18" hidden="1" x14ac:dyDescent="0.35">
      <c r="A134" s="16" t="s">
        <v>101</v>
      </c>
      <c r="B134" s="9" t="s">
        <v>2233</v>
      </c>
      <c r="C134" s="9" t="s">
        <v>2233</v>
      </c>
      <c r="D134" s="9" t="e">
        <f>VLOOKUP(RBE!C134,Permis[[#This Row],[Parties]],1,0)</f>
        <v>#N/A</v>
      </c>
      <c r="E134" s="9" t="s">
        <v>2231</v>
      </c>
      <c r="F134" s="10" t="s">
        <v>2234</v>
      </c>
      <c r="G134" s="10" t="str">
        <f t="shared" si="6"/>
        <v>2022</v>
      </c>
      <c r="H134" s="10" t="s">
        <v>1905</v>
      </c>
      <c r="I134" s="10" t="s">
        <v>1905</v>
      </c>
      <c r="J134" s="9" t="s">
        <v>1912</v>
      </c>
      <c r="K134" s="9" t="s">
        <v>1912</v>
      </c>
      <c r="L134" s="9" t="s">
        <v>1905</v>
      </c>
      <c r="M134" s="9">
        <v>0</v>
      </c>
      <c r="N134" s="9" t="s">
        <v>1905</v>
      </c>
      <c r="O134" s="9" t="s">
        <v>1898</v>
      </c>
      <c r="P134" s="16" t="s">
        <v>101</v>
      </c>
      <c r="Q134">
        <f t="shared" si="7"/>
        <v>0</v>
      </c>
      <c r="R134" t="b">
        <f t="shared" si="8"/>
        <v>0</v>
      </c>
    </row>
    <row r="135" spans="1:18" hidden="1" x14ac:dyDescent="0.35">
      <c r="A135" s="16" t="s">
        <v>101</v>
      </c>
      <c r="B135" s="9" t="s">
        <v>2233</v>
      </c>
      <c r="C135" s="9" t="s">
        <v>2233</v>
      </c>
      <c r="D135" s="9" t="e">
        <f>VLOOKUP(RBE!C135,Permis[[#This Row],[Parties]],1,0)</f>
        <v>#N/A</v>
      </c>
      <c r="E135" s="9" t="s">
        <v>2231</v>
      </c>
      <c r="F135" s="10" t="s">
        <v>2235</v>
      </c>
      <c r="G135" s="10" t="str">
        <f t="shared" si="6"/>
        <v>2022</v>
      </c>
      <c r="H135" s="10">
        <v>50</v>
      </c>
      <c r="I135" s="10">
        <v>50</v>
      </c>
      <c r="J135" s="9" t="s">
        <v>1912</v>
      </c>
      <c r="K135" s="9" t="s">
        <v>1912</v>
      </c>
      <c r="L135" s="9" t="s">
        <v>1905</v>
      </c>
      <c r="M135" s="9">
        <v>0</v>
      </c>
      <c r="N135" s="9" t="s">
        <v>1905</v>
      </c>
      <c r="O135" s="9" t="s">
        <v>1898</v>
      </c>
      <c r="P135" s="16" t="s">
        <v>101</v>
      </c>
      <c r="Q135">
        <f t="shared" si="7"/>
        <v>0</v>
      </c>
      <c r="R135" t="b">
        <f t="shared" si="8"/>
        <v>0</v>
      </c>
    </row>
    <row r="136" spans="1:18" hidden="1" x14ac:dyDescent="0.35">
      <c r="A136" s="16" t="s">
        <v>101</v>
      </c>
      <c r="B136" s="9" t="s">
        <v>2233</v>
      </c>
      <c r="C136" s="9" t="s">
        <v>2233</v>
      </c>
      <c r="D136" s="9" t="e">
        <f>VLOOKUP(RBE!C136,Permis[[#This Row],[Parties]],1,0)</f>
        <v>#N/A</v>
      </c>
      <c r="E136" s="9" t="s">
        <v>2236</v>
      </c>
      <c r="F136" s="10" t="s">
        <v>2237</v>
      </c>
      <c r="G136" s="10" t="str">
        <f t="shared" si="6"/>
        <v>2022</v>
      </c>
      <c r="H136" s="10">
        <v>100</v>
      </c>
      <c r="I136" s="10" t="s">
        <v>1905</v>
      </c>
      <c r="J136" s="9" t="s">
        <v>1912</v>
      </c>
      <c r="K136" s="9" t="s">
        <v>1912</v>
      </c>
      <c r="L136" s="9" t="s">
        <v>1905</v>
      </c>
      <c r="M136" s="9">
        <v>0</v>
      </c>
      <c r="N136" s="9" t="s">
        <v>1905</v>
      </c>
      <c r="O136" s="9" t="s">
        <v>1898</v>
      </c>
      <c r="P136" s="16" t="s">
        <v>101</v>
      </c>
      <c r="Q136">
        <f t="shared" si="7"/>
        <v>0</v>
      </c>
      <c r="R136" t="b">
        <f t="shared" si="8"/>
        <v>0</v>
      </c>
    </row>
    <row r="137" spans="1:18" hidden="1" x14ac:dyDescent="0.35">
      <c r="A137" s="16" t="s">
        <v>101</v>
      </c>
      <c r="B137" s="9" t="s">
        <v>2233</v>
      </c>
      <c r="C137" s="9" t="s">
        <v>2233</v>
      </c>
      <c r="D137" s="9" t="e">
        <f>VLOOKUP(RBE!C137,Permis[[#This Row],[Parties]],1,0)</f>
        <v>#N/A</v>
      </c>
      <c r="E137" s="9" t="s">
        <v>2238</v>
      </c>
      <c r="F137" s="10" t="s">
        <v>2239</v>
      </c>
      <c r="G137" s="10" t="str">
        <f t="shared" si="6"/>
        <v>2022</v>
      </c>
      <c r="H137" s="10">
        <v>5</v>
      </c>
      <c r="I137" s="10">
        <v>5</v>
      </c>
      <c r="J137" s="9" t="s">
        <v>1912</v>
      </c>
      <c r="K137" s="9" t="s">
        <v>1912</v>
      </c>
      <c r="L137" s="9" t="s">
        <v>1905</v>
      </c>
      <c r="M137" s="9">
        <v>0</v>
      </c>
      <c r="N137" s="9" t="s">
        <v>1905</v>
      </c>
      <c r="O137" s="9" t="s">
        <v>1898</v>
      </c>
      <c r="P137" s="16" t="s">
        <v>101</v>
      </c>
      <c r="Q137">
        <f t="shared" si="7"/>
        <v>0</v>
      </c>
      <c r="R137" t="b">
        <f t="shared" si="8"/>
        <v>0</v>
      </c>
    </row>
    <row r="138" spans="1:18" hidden="1" x14ac:dyDescent="0.35">
      <c r="A138" s="16" t="s">
        <v>101</v>
      </c>
      <c r="B138" s="9" t="s">
        <v>2240</v>
      </c>
      <c r="C138" s="9" t="s">
        <v>2240</v>
      </c>
      <c r="D138" s="9" t="e">
        <f>VLOOKUP(RBE!C138,Permis[[#This Row],[Parties]],1,0)</f>
        <v>#N/A</v>
      </c>
      <c r="E138" s="9" t="s">
        <v>2241</v>
      </c>
      <c r="F138" s="10" t="s">
        <v>2239</v>
      </c>
      <c r="G138" s="10" t="str">
        <f t="shared" si="6"/>
        <v>2022</v>
      </c>
      <c r="H138" s="10">
        <v>5</v>
      </c>
      <c r="I138" s="10">
        <v>5</v>
      </c>
      <c r="J138" s="9" t="s">
        <v>1912</v>
      </c>
      <c r="K138" s="9" t="s">
        <v>1912</v>
      </c>
      <c r="L138" s="9" t="s">
        <v>1905</v>
      </c>
      <c r="M138" s="9">
        <v>0</v>
      </c>
      <c r="N138" s="9" t="s">
        <v>1905</v>
      </c>
      <c r="O138" s="9" t="s">
        <v>1898</v>
      </c>
      <c r="P138" s="16" t="s">
        <v>101</v>
      </c>
      <c r="Q138">
        <f t="shared" si="7"/>
        <v>0</v>
      </c>
      <c r="R138" t="b">
        <f t="shared" si="8"/>
        <v>0</v>
      </c>
    </row>
    <row r="139" spans="1:18" hidden="1" x14ac:dyDescent="0.35">
      <c r="A139" s="16" t="s">
        <v>101</v>
      </c>
      <c r="B139" s="9" t="s">
        <v>2242</v>
      </c>
      <c r="C139" s="9" t="s">
        <v>2242</v>
      </c>
      <c r="D139" s="9" t="e">
        <f>VLOOKUP(RBE!C139,Permis[[#This Row],[Parties]],1,0)</f>
        <v>#N/A</v>
      </c>
      <c r="E139" s="9" t="s">
        <v>2243</v>
      </c>
      <c r="F139" s="10" t="s">
        <v>2239</v>
      </c>
      <c r="G139" s="10" t="str">
        <f t="shared" si="6"/>
        <v>2022</v>
      </c>
      <c r="H139" s="10">
        <v>10</v>
      </c>
      <c r="I139" s="10">
        <v>10</v>
      </c>
      <c r="J139" s="9" t="s">
        <v>1912</v>
      </c>
      <c r="K139" s="9" t="s">
        <v>1912</v>
      </c>
      <c r="L139" s="9" t="s">
        <v>1905</v>
      </c>
      <c r="M139" s="9">
        <v>0</v>
      </c>
      <c r="N139" s="9" t="s">
        <v>1905</v>
      </c>
      <c r="O139" s="9" t="s">
        <v>1898</v>
      </c>
      <c r="P139" s="16" t="s">
        <v>101</v>
      </c>
      <c r="Q139">
        <f t="shared" si="7"/>
        <v>0</v>
      </c>
      <c r="R139" t="b">
        <f t="shared" si="8"/>
        <v>0</v>
      </c>
    </row>
    <row r="140" spans="1:18" hidden="1" x14ac:dyDescent="0.35">
      <c r="A140" s="16" t="s">
        <v>101</v>
      </c>
      <c r="B140" s="9" t="s">
        <v>2242</v>
      </c>
      <c r="C140" s="9" t="s">
        <v>2242</v>
      </c>
      <c r="D140" s="9" t="e">
        <f>VLOOKUP(RBE!C140,Permis[[#This Row],[Parties]],1,0)</f>
        <v>#N/A</v>
      </c>
      <c r="E140" s="9" t="s">
        <v>2244</v>
      </c>
      <c r="F140" s="10" t="s">
        <v>2239</v>
      </c>
      <c r="G140" s="10" t="str">
        <f t="shared" si="6"/>
        <v>2022</v>
      </c>
      <c r="H140" s="10">
        <v>10</v>
      </c>
      <c r="I140" s="10">
        <v>10</v>
      </c>
      <c r="J140" s="9" t="s">
        <v>1912</v>
      </c>
      <c r="K140" s="9" t="s">
        <v>1912</v>
      </c>
      <c r="L140" s="9" t="s">
        <v>1905</v>
      </c>
      <c r="M140" s="9">
        <v>0</v>
      </c>
      <c r="N140" s="9" t="s">
        <v>1905</v>
      </c>
      <c r="O140" s="9" t="s">
        <v>1898</v>
      </c>
      <c r="P140" s="16" t="s">
        <v>101</v>
      </c>
      <c r="Q140">
        <f t="shared" si="7"/>
        <v>0</v>
      </c>
      <c r="R140" t="b">
        <f t="shared" si="8"/>
        <v>0</v>
      </c>
    </row>
    <row r="141" spans="1:18" hidden="1" x14ac:dyDescent="0.35">
      <c r="A141" s="16" t="s">
        <v>101</v>
      </c>
      <c r="B141" s="9" t="s">
        <v>2242</v>
      </c>
      <c r="C141" s="9" t="s">
        <v>2242</v>
      </c>
      <c r="D141" s="9" t="e">
        <f>VLOOKUP(RBE!C141,Permis[[#This Row],[Parties]],1,0)</f>
        <v>#N/A</v>
      </c>
      <c r="E141" s="9" t="s">
        <v>2245</v>
      </c>
      <c r="F141" s="10" t="s">
        <v>2239</v>
      </c>
      <c r="G141" s="10" t="str">
        <f t="shared" si="6"/>
        <v>2022</v>
      </c>
      <c r="H141" s="10">
        <v>5</v>
      </c>
      <c r="I141" s="10">
        <v>5</v>
      </c>
      <c r="J141" s="9" t="s">
        <v>1912</v>
      </c>
      <c r="K141" s="9" t="s">
        <v>1912</v>
      </c>
      <c r="L141" s="9" t="s">
        <v>1905</v>
      </c>
      <c r="M141" s="9">
        <v>0</v>
      </c>
      <c r="N141" s="9" t="s">
        <v>1905</v>
      </c>
      <c r="O141" s="9" t="s">
        <v>1898</v>
      </c>
      <c r="P141" s="16" t="s">
        <v>101</v>
      </c>
      <c r="Q141">
        <f t="shared" si="7"/>
        <v>0</v>
      </c>
      <c r="R141" t="b">
        <f t="shared" si="8"/>
        <v>0</v>
      </c>
    </row>
    <row r="142" spans="1:18" hidden="1" x14ac:dyDescent="0.35">
      <c r="A142" s="16" t="s">
        <v>101</v>
      </c>
      <c r="B142" s="9" t="s">
        <v>2242</v>
      </c>
      <c r="C142" s="9" t="s">
        <v>2242</v>
      </c>
      <c r="D142" s="9" t="e">
        <f>VLOOKUP(RBE!C142,Permis[[#This Row],[Parties]],1,0)</f>
        <v>#N/A</v>
      </c>
      <c r="E142" s="9" t="s">
        <v>2246</v>
      </c>
      <c r="F142" s="10" t="s">
        <v>2239</v>
      </c>
      <c r="G142" s="10" t="str">
        <f t="shared" si="6"/>
        <v>2022</v>
      </c>
      <c r="H142" s="10">
        <v>10</v>
      </c>
      <c r="I142" s="10">
        <v>10</v>
      </c>
      <c r="J142" s="9" t="s">
        <v>1912</v>
      </c>
      <c r="K142" s="9" t="s">
        <v>1912</v>
      </c>
      <c r="L142" s="9" t="s">
        <v>1905</v>
      </c>
      <c r="M142" s="9">
        <v>0</v>
      </c>
      <c r="N142" s="9" t="s">
        <v>1905</v>
      </c>
      <c r="O142" s="9" t="s">
        <v>1898</v>
      </c>
      <c r="P142" s="16" t="s">
        <v>101</v>
      </c>
      <c r="Q142">
        <f t="shared" si="7"/>
        <v>0</v>
      </c>
      <c r="R142" t="b">
        <f t="shared" si="8"/>
        <v>0</v>
      </c>
    </row>
    <row r="143" spans="1:18" hidden="1" x14ac:dyDescent="0.35">
      <c r="A143" s="16" t="s">
        <v>101</v>
      </c>
      <c r="B143" s="9" t="s">
        <v>2247</v>
      </c>
      <c r="C143" s="9" t="s">
        <v>2247</v>
      </c>
      <c r="D143" s="9" t="e">
        <f>VLOOKUP(RBE!C143,Permis[[#This Row],[Parties]],1,0)</f>
        <v>#N/A</v>
      </c>
      <c r="E143" s="9" t="s">
        <v>2248</v>
      </c>
      <c r="F143" s="10" t="s">
        <v>2239</v>
      </c>
      <c r="G143" s="10" t="str">
        <f t="shared" si="6"/>
        <v>2022</v>
      </c>
      <c r="H143" s="10">
        <v>55</v>
      </c>
      <c r="I143" s="10">
        <v>55</v>
      </c>
      <c r="J143" s="9" t="s">
        <v>1912</v>
      </c>
      <c r="K143" s="9" t="s">
        <v>1912</v>
      </c>
      <c r="L143" s="9" t="s">
        <v>1905</v>
      </c>
      <c r="M143" s="9">
        <v>0</v>
      </c>
      <c r="N143" s="9" t="s">
        <v>1905</v>
      </c>
      <c r="O143" s="9" t="s">
        <v>1898</v>
      </c>
      <c r="P143" s="16" t="s">
        <v>101</v>
      </c>
      <c r="Q143">
        <f t="shared" si="7"/>
        <v>0</v>
      </c>
      <c r="R143" t="b">
        <f t="shared" si="8"/>
        <v>0</v>
      </c>
    </row>
    <row r="144" spans="1:18" hidden="1" x14ac:dyDescent="0.35">
      <c r="A144" s="16" t="s">
        <v>101</v>
      </c>
      <c r="B144" s="9" t="s">
        <v>2247</v>
      </c>
      <c r="C144" s="9" t="s">
        <v>2247</v>
      </c>
      <c r="D144" s="9" t="e">
        <f>VLOOKUP(RBE!C144,Permis[[#This Row],[Parties]],1,0)</f>
        <v>#N/A</v>
      </c>
      <c r="E144" s="9" t="s">
        <v>2249</v>
      </c>
      <c r="F144" s="10" t="s">
        <v>2250</v>
      </c>
      <c r="G144" s="10" t="str">
        <f t="shared" si="6"/>
        <v>2022</v>
      </c>
      <c r="H144" s="10" t="s">
        <v>1905</v>
      </c>
      <c r="I144" s="10" t="s">
        <v>1905</v>
      </c>
      <c r="J144" s="9" t="s">
        <v>2251</v>
      </c>
      <c r="K144" s="9" t="s">
        <v>2251</v>
      </c>
      <c r="L144" s="9" t="s">
        <v>1905</v>
      </c>
      <c r="M144" s="9">
        <v>0</v>
      </c>
      <c r="N144" s="9" t="s">
        <v>1905</v>
      </c>
      <c r="O144" s="9" t="s">
        <v>1898</v>
      </c>
      <c r="P144" s="16" t="s">
        <v>101</v>
      </c>
      <c r="Q144">
        <f t="shared" si="7"/>
        <v>0</v>
      </c>
      <c r="R144" t="b">
        <f t="shared" si="8"/>
        <v>0</v>
      </c>
    </row>
    <row r="145" spans="1:18" hidden="1" x14ac:dyDescent="0.35">
      <c r="A145" s="16" t="s">
        <v>101</v>
      </c>
      <c r="B145" s="9" t="s">
        <v>2252</v>
      </c>
      <c r="C145" s="9" t="s">
        <v>2252</v>
      </c>
      <c r="D145" s="9" t="e">
        <f>VLOOKUP(RBE!C145,Permis[[#This Row],[Parties]],1,0)</f>
        <v>#N/A</v>
      </c>
      <c r="E145" s="9" t="s">
        <v>2253</v>
      </c>
      <c r="F145" s="10" t="s">
        <v>2250</v>
      </c>
      <c r="G145" s="10" t="str">
        <f t="shared" si="6"/>
        <v>2022</v>
      </c>
      <c r="H145" s="10" t="s">
        <v>1905</v>
      </c>
      <c r="I145" s="10" t="s">
        <v>1905</v>
      </c>
      <c r="J145" s="9" t="s">
        <v>2254</v>
      </c>
      <c r="K145" s="9" t="s">
        <v>2254</v>
      </c>
      <c r="L145" s="9" t="s">
        <v>2255</v>
      </c>
      <c r="M145" s="9">
        <v>1</v>
      </c>
      <c r="N145" s="9" t="s">
        <v>2256</v>
      </c>
      <c r="O145" s="9" t="s">
        <v>1898</v>
      </c>
      <c r="P145" s="16" t="s">
        <v>101</v>
      </c>
      <c r="Q145">
        <f t="shared" si="7"/>
        <v>0</v>
      </c>
      <c r="R145" t="b">
        <f t="shared" si="8"/>
        <v>0</v>
      </c>
    </row>
    <row r="146" spans="1:18" hidden="1" x14ac:dyDescent="0.35">
      <c r="A146" s="16" t="s">
        <v>101</v>
      </c>
      <c r="B146" s="9" t="s">
        <v>2252</v>
      </c>
      <c r="C146" s="9" t="s">
        <v>2252</v>
      </c>
      <c r="D146" s="9" t="e">
        <f>VLOOKUP(RBE!C146,Permis[[#This Row],[Parties]],1,0)</f>
        <v>#N/A</v>
      </c>
      <c r="E146" s="9" t="s">
        <v>2253</v>
      </c>
      <c r="F146" s="10" t="s">
        <v>2250</v>
      </c>
      <c r="G146" s="10" t="str">
        <f t="shared" si="6"/>
        <v>2022</v>
      </c>
      <c r="H146" s="10" t="s">
        <v>1905</v>
      </c>
      <c r="I146" s="10" t="s">
        <v>1905</v>
      </c>
      <c r="J146" s="9" t="s">
        <v>2254</v>
      </c>
      <c r="K146" s="9" t="s">
        <v>2254</v>
      </c>
      <c r="L146" s="9" t="s">
        <v>2254</v>
      </c>
      <c r="M146" s="9">
        <v>1</v>
      </c>
      <c r="N146" s="9" t="s">
        <v>2256</v>
      </c>
      <c r="O146" s="9" t="s">
        <v>1898</v>
      </c>
      <c r="P146" s="16" t="s">
        <v>101</v>
      </c>
      <c r="Q146">
        <f t="shared" si="7"/>
        <v>0</v>
      </c>
      <c r="R146" t="b">
        <f t="shared" si="8"/>
        <v>0</v>
      </c>
    </row>
    <row r="147" spans="1:18" hidden="1" x14ac:dyDescent="0.35">
      <c r="A147" s="16" t="s">
        <v>101</v>
      </c>
      <c r="B147" s="9" t="s">
        <v>2252</v>
      </c>
      <c r="C147" s="9" t="s">
        <v>2252</v>
      </c>
      <c r="D147" s="9" t="e">
        <f>VLOOKUP(RBE!C147,Permis[[#This Row],[Parties]],1,0)</f>
        <v>#N/A</v>
      </c>
      <c r="E147" s="9" t="s">
        <v>2257</v>
      </c>
      <c r="F147" s="10" t="s">
        <v>2258</v>
      </c>
      <c r="G147" s="10" t="str">
        <f t="shared" si="6"/>
        <v>2022</v>
      </c>
      <c r="H147" s="10">
        <v>25</v>
      </c>
      <c r="I147" s="10">
        <v>25</v>
      </c>
      <c r="J147" s="9" t="s">
        <v>1912</v>
      </c>
      <c r="K147" s="9" t="s">
        <v>1912</v>
      </c>
      <c r="L147" s="9" t="s">
        <v>1905</v>
      </c>
      <c r="M147" s="9">
        <v>0</v>
      </c>
      <c r="N147" s="9" t="s">
        <v>1905</v>
      </c>
      <c r="O147" s="9" t="s">
        <v>1898</v>
      </c>
      <c r="P147" s="16" t="s">
        <v>101</v>
      </c>
      <c r="Q147">
        <f t="shared" si="7"/>
        <v>0</v>
      </c>
      <c r="R147" t="b">
        <f t="shared" si="8"/>
        <v>0</v>
      </c>
    </row>
    <row r="148" spans="1:18" hidden="1" x14ac:dyDescent="0.35">
      <c r="A148" s="16" t="s">
        <v>101</v>
      </c>
      <c r="B148" s="9" t="s">
        <v>2252</v>
      </c>
      <c r="C148" s="9" t="s">
        <v>2252</v>
      </c>
      <c r="D148" s="9" t="e">
        <f>VLOOKUP(RBE!C148,Permis[[#This Row],[Parties]],1,0)</f>
        <v>#N/A</v>
      </c>
      <c r="E148" s="9" t="s">
        <v>2259</v>
      </c>
      <c r="F148" s="10" t="s">
        <v>2258</v>
      </c>
      <c r="G148" s="10" t="str">
        <f t="shared" si="6"/>
        <v>2022</v>
      </c>
      <c r="H148" s="10">
        <v>30</v>
      </c>
      <c r="I148" s="10">
        <v>30</v>
      </c>
      <c r="J148" s="9" t="s">
        <v>1912</v>
      </c>
      <c r="K148" s="9" t="s">
        <v>1912</v>
      </c>
      <c r="L148" s="9" t="s">
        <v>1905</v>
      </c>
      <c r="M148" s="9">
        <v>0</v>
      </c>
      <c r="N148" s="9" t="s">
        <v>1905</v>
      </c>
      <c r="O148" s="9" t="s">
        <v>1898</v>
      </c>
      <c r="P148" s="16" t="s">
        <v>101</v>
      </c>
      <c r="Q148">
        <f t="shared" si="7"/>
        <v>0</v>
      </c>
      <c r="R148" t="b">
        <f t="shared" si="8"/>
        <v>0</v>
      </c>
    </row>
    <row r="149" spans="1:18" hidden="1" x14ac:dyDescent="0.35">
      <c r="A149" s="16" t="s">
        <v>101</v>
      </c>
      <c r="B149" s="9" t="s">
        <v>2252</v>
      </c>
      <c r="C149" s="9" t="s">
        <v>2252</v>
      </c>
      <c r="D149" s="9" t="e">
        <f>VLOOKUP(RBE!C149,Permis[[#This Row],[Parties]],1,0)</f>
        <v>#N/A</v>
      </c>
      <c r="E149" s="9" t="s">
        <v>2260</v>
      </c>
      <c r="F149" s="10" t="s">
        <v>2258</v>
      </c>
      <c r="G149" s="10" t="str">
        <f t="shared" si="6"/>
        <v>2022</v>
      </c>
      <c r="H149" s="10">
        <v>15</v>
      </c>
      <c r="I149" s="10">
        <v>15</v>
      </c>
      <c r="J149" s="9" t="s">
        <v>1912</v>
      </c>
      <c r="K149" s="9" t="s">
        <v>1912</v>
      </c>
      <c r="L149" s="9" t="s">
        <v>1905</v>
      </c>
      <c r="M149" s="9">
        <v>0</v>
      </c>
      <c r="N149" s="9" t="s">
        <v>1905</v>
      </c>
      <c r="O149" s="9" t="s">
        <v>1898</v>
      </c>
      <c r="P149" s="16" t="s">
        <v>101</v>
      </c>
      <c r="Q149">
        <f t="shared" si="7"/>
        <v>0</v>
      </c>
      <c r="R149" t="b">
        <f t="shared" si="8"/>
        <v>0</v>
      </c>
    </row>
    <row r="150" spans="1:18" hidden="1" x14ac:dyDescent="0.35">
      <c r="A150" s="16" t="s">
        <v>101</v>
      </c>
      <c r="B150" s="9" t="s">
        <v>2252</v>
      </c>
      <c r="C150" s="9" t="s">
        <v>2252</v>
      </c>
      <c r="D150" s="9" t="e">
        <f>VLOOKUP(RBE!C150,Permis[[#This Row],[Parties]],1,0)</f>
        <v>#N/A</v>
      </c>
      <c r="E150" s="9" t="s">
        <v>2261</v>
      </c>
      <c r="F150" s="10" t="s">
        <v>2258</v>
      </c>
      <c r="G150" s="10" t="str">
        <f t="shared" si="6"/>
        <v>2022</v>
      </c>
      <c r="H150" s="10">
        <v>30</v>
      </c>
      <c r="I150" s="10">
        <v>30</v>
      </c>
      <c r="J150" s="9" t="s">
        <v>1912</v>
      </c>
      <c r="K150" s="9" t="s">
        <v>1912</v>
      </c>
      <c r="L150" s="9" t="s">
        <v>1905</v>
      </c>
      <c r="M150" s="9">
        <v>0</v>
      </c>
      <c r="N150" s="9" t="s">
        <v>1905</v>
      </c>
      <c r="O150" s="9" t="s">
        <v>1898</v>
      </c>
      <c r="P150" s="16" t="s">
        <v>101</v>
      </c>
      <c r="Q150">
        <f t="shared" si="7"/>
        <v>0</v>
      </c>
      <c r="R150" t="b">
        <f t="shared" si="8"/>
        <v>0</v>
      </c>
    </row>
    <row r="151" spans="1:18" hidden="1" x14ac:dyDescent="0.35">
      <c r="A151" s="16" t="s">
        <v>101</v>
      </c>
      <c r="B151" s="9" t="s">
        <v>2262</v>
      </c>
      <c r="C151" s="9" t="s">
        <v>2262</v>
      </c>
      <c r="D151" s="9" t="e">
        <f>VLOOKUP(RBE!C151,Permis[[#This Row],[Parties]],1,0)</f>
        <v>#N/A</v>
      </c>
      <c r="E151" s="9" t="s">
        <v>2263</v>
      </c>
      <c r="F151" s="10" t="s">
        <v>2264</v>
      </c>
      <c r="G151" s="10" t="str">
        <f t="shared" si="6"/>
        <v>2022</v>
      </c>
      <c r="H151" s="10">
        <v>100</v>
      </c>
      <c r="I151" s="10">
        <v>100</v>
      </c>
      <c r="J151" s="9" t="s">
        <v>1912</v>
      </c>
      <c r="K151" s="9" t="s">
        <v>1912</v>
      </c>
      <c r="L151" s="9" t="s">
        <v>1905</v>
      </c>
      <c r="M151" s="9">
        <v>0</v>
      </c>
      <c r="N151" s="9" t="s">
        <v>1905</v>
      </c>
      <c r="O151" s="9" t="s">
        <v>1898</v>
      </c>
      <c r="P151" s="16" t="s">
        <v>101</v>
      </c>
      <c r="Q151">
        <f t="shared" si="7"/>
        <v>0</v>
      </c>
      <c r="R151" t="b">
        <f t="shared" si="8"/>
        <v>0</v>
      </c>
    </row>
    <row r="152" spans="1:18" hidden="1" x14ac:dyDescent="0.35">
      <c r="A152" s="16" t="s">
        <v>101</v>
      </c>
      <c r="B152" s="9" t="s">
        <v>2265</v>
      </c>
      <c r="C152" s="9" t="s">
        <v>2265</v>
      </c>
      <c r="D152" s="9" t="e">
        <f>VLOOKUP(RBE!C152,Permis[[#This Row],[Parties]],1,0)</f>
        <v>#N/A</v>
      </c>
      <c r="E152" s="9" t="s">
        <v>2266</v>
      </c>
      <c r="F152" s="10" t="s">
        <v>2206</v>
      </c>
      <c r="G152" s="10" t="str">
        <f t="shared" si="6"/>
        <v>2022</v>
      </c>
      <c r="H152" s="10">
        <v>15</v>
      </c>
      <c r="I152" s="10">
        <v>15</v>
      </c>
      <c r="J152" s="9" t="s">
        <v>1912</v>
      </c>
      <c r="K152" s="9" t="s">
        <v>1912</v>
      </c>
      <c r="L152" s="9" t="s">
        <v>1905</v>
      </c>
      <c r="M152" s="9">
        <v>0</v>
      </c>
      <c r="N152" s="9" t="s">
        <v>1905</v>
      </c>
      <c r="O152" s="9" t="s">
        <v>1898</v>
      </c>
      <c r="P152" s="16" t="s">
        <v>101</v>
      </c>
      <c r="Q152">
        <f t="shared" si="7"/>
        <v>0</v>
      </c>
      <c r="R152" t="b">
        <f t="shared" si="8"/>
        <v>0</v>
      </c>
    </row>
    <row r="153" spans="1:18" hidden="1" x14ac:dyDescent="0.35">
      <c r="A153" s="16" t="s">
        <v>101</v>
      </c>
      <c r="B153" s="9" t="s">
        <v>2267</v>
      </c>
      <c r="C153" s="9" t="s">
        <v>2267</v>
      </c>
      <c r="D153" s="9" t="e">
        <f>VLOOKUP(RBE!C153,Permis[[#This Row],[Parties]],1,0)</f>
        <v>#N/A</v>
      </c>
      <c r="E153" s="9" t="s">
        <v>2268</v>
      </c>
      <c r="F153" s="10" t="s">
        <v>2206</v>
      </c>
      <c r="G153" s="10" t="str">
        <f t="shared" si="6"/>
        <v>2022</v>
      </c>
      <c r="H153" s="10">
        <v>55</v>
      </c>
      <c r="I153" s="10">
        <v>55</v>
      </c>
      <c r="J153" s="9" t="s">
        <v>1912</v>
      </c>
      <c r="K153" s="9" t="s">
        <v>1912</v>
      </c>
      <c r="L153" s="9" t="s">
        <v>1905</v>
      </c>
      <c r="M153" s="9">
        <v>0</v>
      </c>
      <c r="N153" s="9" t="s">
        <v>1905</v>
      </c>
      <c r="O153" s="9" t="s">
        <v>1898</v>
      </c>
      <c r="P153" s="16" t="s">
        <v>101</v>
      </c>
      <c r="Q153">
        <f t="shared" si="7"/>
        <v>0</v>
      </c>
      <c r="R153" t="b">
        <f t="shared" si="8"/>
        <v>0</v>
      </c>
    </row>
    <row r="154" spans="1:18" hidden="1" x14ac:dyDescent="0.35">
      <c r="A154" s="16" t="s">
        <v>101</v>
      </c>
      <c r="B154" s="9" t="s">
        <v>2267</v>
      </c>
      <c r="C154" s="9" t="s">
        <v>2267</v>
      </c>
      <c r="D154" s="9" t="e">
        <f>VLOOKUP(RBE!C154,Permis[[#This Row],[Parties]],1,0)</f>
        <v>#N/A</v>
      </c>
      <c r="E154" s="9" t="s">
        <v>2269</v>
      </c>
      <c r="F154" s="10" t="s">
        <v>2270</v>
      </c>
      <c r="G154" s="10" t="str">
        <f t="shared" si="6"/>
        <v>2022</v>
      </c>
      <c r="H154" s="10">
        <v>100</v>
      </c>
      <c r="I154" s="10">
        <v>100</v>
      </c>
      <c r="J154" s="9" t="s">
        <v>1912</v>
      </c>
      <c r="K154" s="9" t="s">
        <v>1912</v>
      </c>
      <c r="L154" s="9" t="s">
        <v>1905</v>
      </c>
      <c r="M154" s="9">
        <v>0</v>
      </c>
      <c r="N154" s="9" t="s">
        <v>1905</v>
      </c>
      <c r="O154" s="9" t="s">
        <v>1898</v>
      </c>
      <c r="P154" s="16" t="s">
        <v>101</v>
      </c>
      <c r="Q154">
        <f t="shared" si="7"/>
        <v>0</v>
      </c>
      <c r="R154" t="b">
        <f t="shared" si="8"/>
        <v>0</v>
      </c>
    </row>
    <row r="155" spans="1:18" hidden="1" x14ac:dyDescent="0.35">
      <c r="A155" s="16" t="s">
        <v>101</v>
      </c>
      <c r="B155" s="9" t="s">
        <v>2267</v>
      </c>
      <c r="C155" s="9" t="s">
        <v>2267</v>
      </c>
      <c r="D155" s="9" t="e">
        <f>VLOOKUP(RBE!C155,Permis[[#This Row],[Parties]],1,0)</f>
        <v>#N/A</v>
      </c>
      <c r="E155" s="9" t="s">
        <v>2271</v>
      </c>
      <c r="F155" s="10" t="s">
        <v>2272</v>
      </c>
      <c r="G155" s="10" t="str">
        <f t="shared" si="6"/>
        <v>2022</v>
      </c>
      <c r="H155" s="10">
        <v>100</v>
      </c>
      <c r="I155" s="10">
        <v>100</v>
      </c>
      <c r="J155" s="9" t="s">
        <v>1912</v>
      </c>
      <c r="K155" s="9" t="s">
        <v>1912</v>
      </c>
      <c r="L155" s="9" t="s">
        <v>1905</v>
      </c>
      <c r="M155" s="9">
        <v>0</v>
      </c>
      <c r="N155" s="9" t="s">
        <v>1905</v>
      </c>
      <c r="O155" s="9" t="s">
        <v>1898</v>
      </c>
      <c r="P155" s="16" t="s">
        <v>101</v>
      </c>
      <c r="Q155">
        <f t="shared" si="7"/>
        <v>0</v>
      </c>
      <c r="R155" t="b">
        <f t="shared" si="8"/>
        <v>0</v>
      </c>
    </row>
    <row r="156" spans="1:18" hidden="1" x14ac:dyDescent="0.35">
      <c r="A156" s="16" t="s">
        <v>101</v>
      </c>
      <c r="B156" s="9" t="s">
        <v>2273</v>
      </c>
      <c r="C156" s="9" t="s">
        <v>2273</v>
      </c>
      <c r="D156" s="9" t="e">
        <f>VLOOKUP(RBE!C156,Permis[[#This Row],[Parties]],1,0)</f>
        <v>#N/A</v>
      </c>
      <c r="E156" s="9" t="s">
        <v>2274</v>
      </c>
      <c r="F156" s="10" t="s">
        <v>2275</v>
      </c>
      <c r="G156" s="10" t="str">
        <f t="shared" si="6"/>
        <v>2022</v>
      </c>
      <c r="H156" s="10">
        <v>100</v>
      </c>
      <c r="I156" s="10">
        <v>100</v>
      </c>
      <c r="J156" s="9" t="s">
        <v>1912</v>
      </c>
      <c r="K156" s="9" t="s">
        <v>1912</v>
      </c>
      <c r="L156" s="9" t="s">
        <v>1905</v>
      </c>
      <c r="M156" s="9">
        <v>0</v>
      </c>
      <c r="N156" s="9" t="s">
        <v>1905</v>
      </c>
      <c r="O156" s="9" t="s">
        <v>1898</v>
      </c>
      <c r="P156" s="16" t="s">
        <v>101</v>
      </c>
      <c r="Q156">
        <f t="shared" si="7"/>
        <v>0</v>
      </c>
      <c r="R156" t="b">
        <f t="shared" si="8"/>
        <v>0</v>
      </c>
    </row>
    <row r="157" spans="1:18" hidden="1" x14ac:dyDescent="0.35">
      <c r="A157" s="16" t="s">
        <v>101</v>
      </c>
      <c r="B157" s="9" t="s">
        <v>2276</v>
      </c>
      <c r="C157" s="9" t="s">
        <v>2276</v>
      </c>
      <c r="D157" s="9" t="e">
        <f>VLOOKUP(RBE!C157,Permis[[#This Row],[Parties]],1,0)</f>
        <v>#N/A</v>
      </c>
      <c r="E157" s="9" t="s">
        <v>2277</v>
      </c>
      <c r="F157" s="10" t="s">
        <v>2278</v>
      </c>
      <c r="G157" s="10" t="str">
        <f t="shared" si="6"/>
        <v>2022</v>
      </c>
      <c r="H157" s="10">
        <v>100</v>
      </c>
      <c r="I157" s="10">
        <v>100</v>
      </c>
      <c r="J157" s="9" t="s">
        <v>1912</v>
      </c>
      <c r="K157" s="9" t="s">
        <v>1912</v>
      </c>
      <c r="L157" s="9" t="s">
        <v>1905</v>
      </c>
      <c r="M157" s="9">
        <v>0</v>
      </c>
      <c r="N157" s="9" t="s">
        <v>1905</v>
      </c>
      <c r="O157" s="9" t="s">
        <v>1898</v>
      </c>
      <c r="P157" s="16" t="s">
        <v>101</v>
      </c>
      <c r="Q157">
        <f t="shared" si="7"/>
        <v>0</v>
      </c>
      <c r="R157" t="b">
        <f t="shared" si="8"/>
        <v>0</v>
      </c>
    </row>
    <row r="158" spans="1:18" hidden="1" x14ac:dyDescent="0.35">
      <c r="A158" s="16" t="s">
        <v>101</v>
      </c>
      <c r="B158" s="9" t="s">
        <v>2279</v>
      </c>
      <c r="C158" s="9" t="s">
        <v>2279</v>
      </c>
      <c r="D158" s="9" t="e">
        <f>VLOOKUP(RBE!C158,Permis[[#This Row],[Parties]],1,0)</f>
        <v>#N/A</v>
      </c>
      <c r="E158" s="9" t="s">
        <v>2280</v>
      </c>
      <c r="F158" s="10" t="s">
        <v>2281</v>
      </c>
      <c r="G158" s="10" t="str">
        <f t="shared" si="6"/>
        <v>2022</v>
      </c>
      <c r="H158" s="10">
        <v>25</v>
      </c>
      <c r="I158" s="10" t="s">
        <v>1905</v>
      </c>
      <c r="J158" s="9" t="s">
        <v>1912</v>
      </c>
      <c r="K158" s="9" t="s">
        <v>1912</v>
      </c>
      <c r="L158" s="9" t="s">
        <v>1905</v>
      </c>
      <c r="M158" s="9">
        <v>0</v>
      </c>
      <c r="N158" s="9" t="s">
        <v>1905</v>
      </c>
      <c r="O158" s="9" t="s">
        <v>1898</v>
      </c>
      <c r="P158" s="16" t="s">
        <v>101</v>
      </c>
      <c r="Q158">
        <f t="shared" si="7"/>
        <v>0</v>
      </c>
      <c r="R158" t="b">
        <f t="shared" si="8"/>
        <v>0</v>
      </c>
    </row>
    <row r="159" spans="1:18" hidden="1" x14ac:dyDescent="0.35">
      <c r="A159" s="16" t="s">
        <v>101</v>
      </c>
      <c r="B159" s="9" t="s">
        <v>2282</v>
      </c>
      <c r="C159" s="9" t="s">
        <v>2282</v>
      </c>
      <c r="D159" s="9" t="e">
        <f>VLOOKUP(RBE!C159,Permis[[#This Row],[Parties]],1,0)</f>
        <v>#N/A</v>
      </c>
      <c r="E159" s="9" t="s">
        <v>2280</v>
      </c>
      <c r="F159" s="10" t="s">
        <v>2281</v>
      </c>
      <c r="G159" s="10" t="str">
        <f t="shared" si="6"/>
        <v>2022</v>
      </c>
      <c r="H159" s="10">
        <v>15</v>
      </c>
      <c r="I159" s="10" t="s">
        <v>1905</v>
      </c>
      <c r="J159" s="9" t="s">
        <v>1912</v>
      </c>
      <c r="K159" s="9" t="s">
        <v>1912</v>
      </c>
      <c r="L159" s="9" t="s">
        <v>1905</v>
      </c>
      <c r="M159" s="9">
        <v>0</v>
      </c>
      <c r="N159" s="9" t="s">
        <v>1905</v>
      </c>
      <c r="O159" s="9" t="s">
        <v>1898</v>
      </c>
      <c r="P159" s="16" t="s">
        <v>101</v>
      </c>
      <c r="Q159">
        <f t="shared" si="7"/>
        <v>0</v>
      </c>
      <c r="R159" t="b">
        <f t="shared" si="8"/>
        <v>0</v>
      </c>
    </row>
    <row r="160" spans="1:18" hidden="1" x14ac:dyDescent="0.35">
      <c r="A160" s="16" t="s">
        <v>101</v>
      </c>
      <c r="B160" s="9" t="s">
        <v>2282</v>
      </c>
      <c r="C160" s="9" t="s">
        <v>2282</v>
      </c>
      <c r="D160" s="9" t="e">
        <f>VLOOKUP(RBE!C160,Permis[[#This Row],[Parties]],1,0)</f>
        <v>#N/A</v>
      </c>
      <c r="E160" s="9" t="s">
        <v>2283</v>
      </c>
      <c r="F160" s="10" t="s">
        <v>2281</v>
      </c>
      <c r="G160" s="10" t="str">
        <f t="shared" si="6"/>
        <v>2022</v>
      </c>
      <c r="H160" s="10">
        <v>60</v>
      </c>
      <c r="I160" s="10" t="s">
        <v>1905</v>
      </c>
      <c r="J160" s="9" t="s">
        <v>1912</v>
      </c>
      <c r="K160" s="9" t="s">
        <v>1912</v>
      </c>
      <c r="L160" s="9" t="s">
        <v>1905</v>
      </c>
      <c r="M160" s="9">
        <v>0</v>
      </c>
      <c r="N160" s="9" t="s">
        <v>1905</v>
      </c>
      <c r="O160" s="9" t="s">
        <v>1898</v>
      </c>
      <c r="P160" s="16" t="s">
        <v>101</v>
      </c>
      <c r="Q160">
        <f t="shared" si="7"/>
        <v>0</v>
      </c>
      <c r="R160" t="b">
        <f t="shared" si="8"/>
        <v>0</v>
      </c>
    </row>
    <row r="161" spans="1:18" hidden="1" x14ac:dyDescent="0.35">
      <c r="A161" s="16" t="s">
        <v>101</v>
      </c>
      <c r="B161" s="9" t="s">
        <v>2282</v>
      </c>
      <c r="C161" s="9" t="s">
        <v>2282</v>
      </c>
      <c r="D161" s="9" t="e">
        <f>VLOOKUP(RBE!C161,Permis[[#This Row],[Parties]],1,0)</f>
        <v>#N/A</v>
      </c>
      <c r="E161" s="9" t="s">
        <v>2284</v>
      </c>
      <c r="F161" s="10" t="s">
        <v>2285</v>
      </c>
      <c r="G161" s="10" t="str">
        <f t="shared" si="6"/>
        <v>2022</v>
      </c>
      <c r="H161" s="10">
        <v>100</v>
      </c>
      <c r="I161" s="10">
        <v>100</v>
      </c>
      <c r="J161" s="9" t="s">
        <v>1912</v>
      </c>
      <c r="K161" s="9" t="s">
        <v>1912</v>
      </c>
      <c r="L161" s="9" t="s">
        <v>1905</v>
      </c>
      <c r="M161" s="9">
        <v>0</v>
      </c>
      <c r="N161" s="9" t="s">
        <v>1905</v>
      </c>
      <c r="O161" s="9" t="s">
        <v>1898</v>
      </c>
      <c r="P161" s="16" t="s">
        <v>101</v>
      </c>
      <c r="Q161">
        <f t="shared" si="7"/>
        <v>0</v>
      </c>
      <c r="R161" t="b">
        <f t="shared" si="8"/>
        <v>0</v>
      </c>
    </row>
    <row r="162" spans="1:18" hidden="1" x14ac:dyDescent="0.35">
      <c r="A162" s="16" t="s">
        <v>101</v>
      </c>
      <c r="B162" s="9" t="s">
        <v>2282</v>
      </c>
      <c r="C162" s="9" t="s">
        <v>2282</v>
      </c>
      <c r="D162" s="9" t="e">
        <f>VLOOKUP(RBE!C162,Permis[[#This Row],[Parties]],1,0)</f>
        <v>#N/A</v>
      </c>
      <c r="E162" s="9" t="s">
        <v>2286</v>
      </c>
      <c r="F162" s="10" t="s">
        <v>2287</v>
      </c>
      <c r="G162" s="10" t="str">
        <f t="shared" si="6"/>
        <v>2023</v>
      </c>
      <c r="H162" s="10">
        <v>67</v>
      </c>
      <c r="I162" s="10" t="s">
        <v>1905</v>
      </c>
      <c r="J162" s="9" t="s">
        <v>1912</v>
      </c>
      <c r="K162" s="9" t="s">
        <v>1912</v>
      </c>
      <c r="L162" s="9" t="s">
        <v>1905</v>
      </c>
      <c r="M162" s="9">
        <v>0</v>
      </c>
      <c r="N162" s="9" t="s">
        <v>1905</v>
      </c>
      <c r="O162" s="9" t="s">
        <v>1898</v>
      </c>
      <c r="P162" s="16" t="s">
        <v>101</v>
      </c>
      <c r="Q162">
        <f t="shared" si="7"/>
        <v>0</v>
      </c>
      <c r="R162" t="b">
        <f t="shared" si="8"/>
        <v>0</v>
      </c>
    </row>
    <row r="163" spans="1:18" hidden="1" x14ac:dyDescent="0.35">
      <c r="A163" s="16" t="s">
        <v>101</v>
      </c>
      <c r="B163" s="9" t="s">
        <v>2282</v>
      </c>
      <c r="C163" s="9" t="s">
        <v>2282</v>
      </c>
      <c r="D163" s="9" t="e">
        <f>VLOOKUP(RBE!C163,Permis[[#This Row],[Parties]],1,0)</f>
        <v>#N/A</v>
      </c>
      <c r="E163" s="9" t="s">
        <v>2288</v>
      </c>
      <c r="F163" s="10" t="s">
        <v>2287</v>
      </c>
      <c r="G163" s="10" t="str">
        <f t="shared" si="6"/>
        <v>2023</v>
      </c>
      <c r="H163" s="10">
        <v>33</v>
      </c>
      <c r="I163" s="10" t="s">
        <v>1905</v>
      </c>
      <c r="J163" s="9" t="s">
        <v>1912</v>
      </c>
      <c r="K163" s="9" t="s">
        <v>1912</v>
      </c>
      <c r="L163" s="9" t="s">
        <v>1905</v>
      </c>
      <c r="M163" s="9">
        <v>0</v>
      </c>
      <c r="N163" s="9" t="s">
        <v>1905</v>
      </c>
      <c r="O163" s="9" t="s">
        <v>1898</v>
      </c>
      <c r="P163" s="16" t="s">
        <v>101</v>
      </c>
      <c r="Q163">
        <f t="shared" si="7"/>
        <v>0</v>
      </c>
      <c r="R163" t="b">
        <f t="shared" si="8"/>
        <v>0</v>
      </c>
    </row>
    <row r="164" spans="1:18" hidden="1" x14ac:dyDescent="0.35">
      <c r="A164" s="16" t="s">
        <v>101</v>
      </c>
      <c r="B164" s="9" t="s">
        <v>2282</v>
      </c>
      <c r="C164" s="9" t="s">
        <v>2282</v>
      </c>
      <c r="D164" s="9" t="e">
        <f>VLOOKUP(RBE!C164,Permis[[#This Row],[Parties]],1,0)</f>
        <v>#N/A</v>
      </c>
      <c r="E164" s="9" t="s">
        <v>2288</v>
      </c>
      <c r="F164" s="10" t="s">
        <v>2289</v>
      </c>
      <c r="G164" s="10" t="str">
        <f t="shared" si="6"/>
        <v>2023</v>
      </c>
      <c r="H164" s="10">
        <v>100</v>
      </c>
      <c r="I164" s="10">
        <v>100</v>
      </c>
      <c r="J164" s="9" t="s">
        <v>1912</v>
      </c>
      <c r="K164" s="9" t="s">
        <v>1912</v>
      </c>
      <c r="L164" s="9" t="s">
        <v>1905</v>
      </c>
      <c r="M164" s="9">
        <v>0</v>
      </c>
      <c r="N164" s="9" t="s">
        <v>1905</v>
      </c>
      <c r="O164" s="9" t="s">
        <v>1898</v>
      </c>
      <c r="P164" s="16" t="s">
        <v>101</v>
      </c>
      <c r="Q164">
        <f t="shared" si="7"/>
        <v>0</v>
      </c>
      <c r="R164" t="b">
        <f t="shared" si="8"/>
        <v>0</v>
      </c>
    </row>
    <row r="165" spans="1:18" hidden="1" x14ac:dyDescent="0.35">
      <c r="A165" s="16" t="s">
        <v>101</v>
      </c>
      <c r="B165" s="9" t="s">
        <v>2290</v>
      </c>
      <c r="C165" s="9" t="s">
        <v>2290</v>
      </c>
      <c r="D165" s="9" t="e">
        <f>VLOOKUP(RBE!C165,Permis[[#This Row],[Parties]],1,0)</f>
        <v>#N/A</v>
      </c>
      <c r="E165" s="9" t="s">
        <v>2291</v>
      </c>
      <c r="F165" s="10" t="s">
        <v>2292</v>
      </c>
      <c r="G165" s="10" t="str">
        <f t="shared" si="6"/>
        <v>2023</v>
      </c>
      <c r="H165" s="10">
        <v>100</v>
      </c>
      <c r="I165" s="10" t="s">
        <v>1905</v>
      </c>
      <c r="J165" s="9" t="s">
        <v>1912</v>
      </c>
      <c r="K165" s="9" t="s">
        <v>1912</v>
      </c>
      <c r="L165" s="9" t="s">
        <v>1905</v>
      </c>
      <c r="M165" s="9">
        <v>0</v>
      </c>
      <c r="N165" s="9" t="s">
        <v>1905</v>
      </c>
      <c r="O165" s="9" t="s">
        <v>1898</v>
      </c>
      <c r="P165" s="16" t="s">
        <v>101</v>
      </c>
      <c r="Q165">
        <f t="shared" si="7"/>
        <v>0</v>
      </c>
      <c r="R165" t="b">
        <f t="shared" si="8"/>
        <v>0</v>
      </c>
    </row>
    <row r="166" spans="1:18" hidden="1" x14ac:dyDescent="0.35">
      <c r="A166" s="16" t="s">
        <v>101</v>
      </c>
      <c r="B166" s="9" t="s">
        <v>2293</v>
      </c>
      <c r="C166" s="9" t="s">
        <v>2293</v>
      </c>
      <c r="D166" s="9" t="e">
        <f>VLOOKUP(RBE!C166,Permis[[#This Row],[Parties]],1,0)</f>
        <v>#N/A</v>
      </c>
      <c r="E166" s="9" t="s">
        <v>2294</v>
      </c>
      <c r="F166" s="10" t="s">
        <v>2295</v>
      </c>
      <c r="G166" s="10" t="str">
        <f t="shared" si="6"/>
        <v>2023</v>
      </c>
      <c r="H166" s="10">
        <v>50</v>
      </c>
      <c r="I166" s="10">
        <v>50</v>
      </c>
      <c r="J166" s="9" t="s">
        <v>1912</v>
      </c>
      <c r="K166" s="9" t="s">
        <v>1912</v>
      </c>
      <c r="L166" s="9" t="s">
        <v>1905</v>
      </c>
      <c r="M166" s="9">
        <v>0</v>
      </c>
      <c r="N166" s="9" t="s">
        <v>1905</v>
      </c>
      <c r="O166" s="9" t="s">
        <v>1898</v>
      </c>
      <c r="P166" s="16" t="s">
        <v>101</v>
      </c>
      <c r="Q166">
        <f t="shared" si="7"/>
        <v>0</v>
      </c>
      <c r="R166" t="b">
        <f t="shared" si="8"/>
        <v>0</v>
      </c>
    </row>
    <row r="167" spans="1:18" hidden="1" x14ac:dyDescent="0.35">
      <c r="A167" s="16" t="s">
        <v>101</v>
      </c>
      <c r="B167" s="9" t="s">
        <v>2296</v>
      </c>
      <c r="C167" s="9" t="s">
        <v>2296</v>
      </c>
      <c r="D167" s="9" t="e">
        <f>VLOOKUP(RBE!C167,Permis[[#This Row],[Parties]],1,0)</f>
        <v>#N/A</v>
      </c>
      <c r="E167" s="9" t="s">
        <v>2297</v>
      </c>
      <c r="F167" s="10" t="s">
        <v>2295</v>
      </c>
      <c r="G167" s="10" t="str">
        <f t="shared" si="6"/>
        <v>2023</v>
      </c>
      <c r="H167" s="10">
        <v>50</v>
      </c>
      <c r="I167" s="10">
        <v>50</v>
      </c>
      <c r="J167" s="9" t="s">
        <v>1912</v>
      </c>
      <c r="K167" s="9" t="s">
        <v>1912</v>
      </c>
      <c r="L167" s="9" t="s">
        <v>1905</v>
      </c>
      <c r="M167" s="9">
        <v>0</v>
      </c>
      <c r="N167" s="9" t="s">
        <v>1905</v>
      </c>
      <c r="O167" s="9" t="s">
        <v>1898</v>
      </c>
      <c r="P167" s="16" t="s">
        <v>101</v>
      </c>
      <c r="Q167">
        <f t="shared" si="7"/>
        <v>0</v>
      </c>
      <c r="R167" t="b">
        <f t="shared" si="8"/>
        <v>0</v>
      </c>
    </row>
    <row r="168" spans="1:18" hidden="1" x14ac:dyDescent="0.35">
      <c r="A168" s="16" t="s">
        <v>101</v>
      </c>
      <c r="B168" s="9" t="s">
        <v>2296</v>
      </c>
      <c r="C168" s="9" t="s">
        <v>2296</v>
      </c>
      <c r="D168" s="9" t="e">
        <f>VLOOKUP(RBE!C168,Permis[[#This Row],[Parties]],1,0)</f>
        <v>#N/A</v>
      </c>
      <c r="E168" s="9" t="s">
        <v>2298</v>
      </c>
      <c r="F168" s="10" t="s">
        <v>2299</v>
      </c>
      <c r="G168" s="10" t="str">
        <f t="shared" si="6"/>
        <v>2023</v>
      </c>
      <c r="H168" s="10">
        <v>100</v>
      </c>
      <c r="I168" s="10">
        <v>100</v>
      </c>
      <c r="J168" s="9" t="s">
        <v>1912</v>
      </c>
      <c r="K168" s="9" t="s">
        <v>1912</v>
      </c>
      <c r="L168" s="9" t="s">
        <v>1905</v>
      </c>
      <c r="M168" s="9">
        <v>0</v>
      </c>
      <c r="N168" s="9" t="s">
        <v>1905</v>
      </c>
      <c r="O168" s="9" t="s">
        <v>1898</v>
      </c>
      <c r="P168" s="16" t="s">
        <v>101</v>
      </c>
      <c r="Q168">
        <f t="shared" si="7"/>
        <v>0</v>
      </c>
      <c r="R168" t="b">
        <f t="shared" si="8"/>
        <v>0</v>
      </c>
    </row>
    <row r="169" spans="1:18" hidden="1" x14ac:dyDescent="0.35">
      <c r="A169" s="16" t="s">
        <v>101</v>
      </c>
      <c r="B169" s="9" t="s">
        <v>2300</v>
      </c>
      <c r="C169" s="9" t="s">
        <v>2300</v>
      </c>
      <c r="D169" s="9" t="e">
        <f>VLOOKUP(RBE!C169,Permis[[#This Row],[Parties]],1,0)</f>
        <v>#N/A</v>
      </c>
      <c r="E169" s="9" t="s">
        <v>2301</v>
      </c>
      <c r="F169" s="10" t="s">
        <v>2302</v>
      </c>
      <c r="G169" s="10" t="str">
        <f t="shared" si="6"/>
        <v>2023</v>
      </c>
      <c r="H169" s="10">
        <v>60</v>
      </c>
      <c r="I169" s="10">
        <v>60</v>
      </c>
      <c r="J169" s="9" t="s">
        <v>1912</v>
      </c>
      <c r="K169" s="9" t="s">
        <v>1912</v>
      </c>
      <c r="L169" s="9" t="s">
        <v>1905</v>
      </c>
      <c r="M169" s="9">
        <v>0</v>
      </c>
      <c r="N169" s="9" t="s">
        <v>1905</v>
      </c>
      <c r="O169" s="9" t="s">
        <v>1898</v>
      </c>
      <c r="P169" s="16" t="s">
        <v>101</v>
      </c>
      <c r="Q169">
        <f t="shared" si="7"/>
        <v>0</v>
      </c>
      <c r="R169" t="b">
        <f t="shared" si="8"/>
        <v>0</v>
      </c>
    </row>
    <row r="170" spans="1:18" hidden="1" x14ac:dyDescent="0.35">
      <c r="A170" s="16" t="s">
        <v>101</v>
      </c>
      <c r="B170" s="9" t="s">
        <v>2303</v>
      </c>
      <c r="C170" s="9" t="s">
        <v>2303</v>
      </c>
      <c r="D170" s="9" t="e">
        <f>VLOOKUP(RBE!C170,Permis[[#This Row],[Parties]],1,0)</f>
        <v>#N/A</v>
      </c>
      <c r="E170" s="9" t="s">
        <v>2304</v>
      </c>
      <c r="F170" s="10" t="s">
        <v>2302</v>
      </c>
      <c r="G170" s="10" t="str">
        <f t="shared" si="6"/>
        <v>2023</v>
      </c>
      <c r="H170" s="10">
        <v>40</v>
      </c>
      <c r="I170" s="10">
        <v>40</v>
      </c>
      <c r="J170" s="9" t="s">
        <v>1912</v>
      </c>
      <c r="K170" s="9" t="s">
        <v>1912</v>
      </c>
      <c r="L170" s="9" t="s">
        <v>1905</v>
      </c>
      <c r="M170" s="9">
        <v>0</v>
      </c>
      <c r="N170" s="9" t="s">
        <v>1905</v>
      </c>
      <c r="O170" s="9" t="s">
        <v>1898</v>
      </c>
      <c r="P170" s="16" t="s">
        <v>101</v>
      </c>
      <c r="Q170">
        <f t="shared" si="7"/>
        <v>0</v>
      </c>
      <c r="R170" t="b">
        <f t="shared" si="8"/>
        <v>0</v>
      </c>
    </row>
    <row r="171" spans="1:18" hidden="1" x14ac:dyDescent="0.35">
      <c r="A171" s="16" t="s">
        <v>101</v>
      </c>
      <c r="B171" s="9" t="s">
        <v>1971</v>
      </c>
      <c r="C171" s="9" t="s">
        <v>3142</v>
      </c>
      <c r="D171" s="9" t="e">
        <f>VLOOKUP(RBE!C171,Permis[[#This Row],[Parties]],1,0)</f>
        <v>#N/A</v>
      </c>
      <c r="E171" s="9" t="s">
        <v>1972</v>
      </c>
      <c r="F171" s="10" t="s">
        <v>1973</v>
      </c>
      <c r="G171" s="10" t="str">
        <f t="shared" si="6"/>
        <v>2021</v>
      </c>
      <c r="H171" s="10">
        <v>15</v>
      </c>
      <c r="I171" s="10">
        <v>15</v>
      </c>
      <c r="J171" s="9" t="s">
        <v>1912</v>
      </c>
      <c r="K171" s="9" t="s">
        <v>1912</v>
      </c>
      <c r="L171" s="9" t="s">
        <v>1905</v>
      </c>
      <c r="M171" s="9">
        <v>0</v>
      </c>
      <c r="N171" s="9" t="s">
        <v>1905</v>
      </c>
      <c r="O171" s="9" t="s">
        <v>1898</v>
      </c>
      <c r="P171" s="16" t="s">
        <v>101</v>
      </c>
      <c r="Q171">
        <f t="shared" si="7"/>
        <v>0</v>
      </c>
      <c r="R171" t="b">
        <f t="shared" si="8"/>
        <v>0</v>
      </c>
    </row>
    <row r="172" spans="1:18" hidden="1" x14ac:dyDescent="0.35">
      <c r="A172" s="16" t="s">
        <v>101</v>
      </c>
      <c r="B172" s="9" t="s">
        <v>2305</v>
      </c>
      <c r="C172" s="9" t="s">
        <v>2305</v>
      </c>
      <c r="D172" s="9" t="e">
        <f>VLOOKUP(RBE!C172,Permis[[#This Row],[Parties]],1,0)</f>
        <v>#N/A</v>
      </c>
      <c r="E172" s="9" t="s">
        <v>2304</v>
      </c>
      <c r="F172" s="10" t="s">
        <v>2306</v>
      </c>
      <c r="G172" s="10" t="str">
        <f t="shared" si="6"/>
        <v>2023</v>
      </c>
      <c r="H172" s="10">
        <v>100</v>
      </c>
      <c r="I172" s="10">
        <v>100</v>
      </c>
      <c r="J172" s="9" t="s">
        <v>1912</v>
      </c>
      <c r="K172" s="9" t="s">
        <v>1912</v>
      </c>
      <c r="L172" s="9" t="s">
        <v>1905</v>
      </c>
      <c r="M172" s="9">
        <v>0</v>
      </c>
      <c r="N172" s="9" t="s">
        <v>1905</v>
      </c>
      <c r="O172" s="9" t="s">
        <v>1898</v>
      </c>
      <c r="P172" s="16" t="s">
        <v>101</v>
      </c>
      <c r="Q172">
        <f t="shared" si="7"/>
        <v>0</v>
      </c>
      <c r="R172" t="b">
        <f t="shared" si="8"/>
        <v>0</v>
      </c>
    </row>
    <row r="173" spans="1:18" hidden="1" x14ac:dyDescent="0.35">
      <c r="A173" s="16" t="s">
        <v>101</v>
      </c>
      <c r="B173" s="9" t="s">
        <v>2305</v>
      </c>
      <c r="C173" s="9" t="s">
        <v>2305</v>
      </c>
      <c r="D173" s="9" t="e">
        <f>VLOOKUP(RBE!C173,Permis[[#This Row],[Parties]],1,0)</f>
        <v>#N/A</v>
      </c>
      <c r="E173" s="9" t="s">
        <v>2307</v>
      </c>
      <c r="F173" s="10" t="s">
        <v>2308</v>
      </c>
      <c r="G173" s="10" t="str">
        <f t="shared" si="6"/>
        <v>2023</v>
      </c>
      <c r="H173" s="10">
        <v>100</v>
      </c>
      <c r="I173" s="10" t="s">
        <v>1905</v>
      </c>
      <c r="J173" s="9" t="s">
        <v>1912</v>
      </c>
      <c r="K173" s="9" t="s">
        <v>1912</v>
      </c>
      <c r="L173" s="9" t="s">
        <v>1905</v>
      </c>
      <c r="M173" s="9">
        <v>0</v>
      </c>
      <c r="N173" s="9" t="s">
        <v>1905</v>
      </c>
      <c r="O173" s="9" t="s">
        <v>1898</v>
      </c>
      <c r="P173" s="16" t="s">
        <v>101</v>
      </c>
      <c r="Q173">
        <f t="shared" si="7"/>
        <v>0</v>
      </c>
      <c r="R173" t="b">
        <f t="shared" si="8"/>
        <v>0</v>
      </c>
    </row>
    <row r="174" spans="1:18" hidden="1" x14ac:dyDescent="0.35">
      <c r="A174" s="16" t="s">
        <v>101</v>
      </c>
      <c r="B174" s="9" t="s">
        <v>2305</v>
      </c>
      <c r="C174" s="9" t="s">
        <v>2305</v>
      </c>
      <c r="D174" s="9" t="e">
        <f>VLOOKUP(RBE!C174,Permis[[#This Row],[Parties]],1,0)</f>
        <v>#N/A</v>
      </c>
      <c r="E174" s="9" t="s">
        <v>2309</v>
      </c>
      <c r="F174" s="10" t="s">
        <v>2310</v>
      </c>
      <c r="G174" s="10" t="str">
        <f t="shared" si="6"/>
        <v>2023</v>
      </c>
      <c r="H174" s="10">
        <v>50</v>
      </c>
      <c r="I174" s="10">
        <v>50</v>
      </c>
      <c r="J174" s="9" t="s">
        <v>1912</v>
      </c>
      <c r="K174" s="9" t="s">
        <v>1912</v>
      </c>
      <c r="L174" s="9" t="s">
        <v>1905</v>
      </c>
      <c r="M174" s="9">
        <v>0</v>
      </c>
      <c r="N174" s="9" t="s">
        <v>1905</v>
      </c>
      <c r="O174" s="9" t="s">
        <v>1898</v>
      </c>
      <c r="P174" s="16" t="s">
        <v>101</v>
      </c>
      <c r="Q174">
        <f t="shared" si="7"/>
        <v>0</v>
      </c>
      <c r="R174" t="b">
        <f t="shared" si="8"/>
        <v>0</v>
      </c>
    </row>
    <row r="175" spans="1:18" hidden="1" x14ac:dyDescent="0.35">
      <c r="A175" s="16" t="s">
        <v>101</v>
      </c>
      <c r="B175" s="9" t="s">
        <v>2311</v>
      </c>
      <c r="C175" s="9" t="s">
        <v>2311</v>
      </c>
      <c r="D175" s="9" t="e">
        <f>VLOOKUP(RBE!C175,Permis[[#This Row],[Parties]],1,0)</f>
        <v>#N/A</v>
      </c>
      <c r="E175" s="9" t="s">
        <v>2312</v>
      </c>
      <c r="F175" s="10" t="s">
        <v>2310</v>
      </c>
      <c r="G175" s="10" t="str">
        <f t="shared" si="6"/>
        <v>2023</v>
      </c>
      <c r="H175" s="10">
        <v>50</v>
      </c>
      <c r="I175" s="10">
        <v>50</v>
      </c>
      <c r="J175" s="9" t="s">
        <v>2212</v>
      </c>
      <c r="K175" s="9" t="s">
        <v>2212</v>
      </c>
      <c r="L175" s="9" t="s">
        <v>1905</v>
      </c>
      <c r="M175" s="9">
        <v>0</v>
      </c>
      <c r="N175" s="9" t="s">
        <v>1905</v>
      </c>
      <c r="O175" s="9" t="s">
        <v>1898</v>
      </c>
      <c r="P175" s="16" t="s">
        <v>101</v>
      </c>
      <c r="Q175">
        <f t="shared" si="7"/>
        <v>0</v>
      </c>
      <c r="R175" t="b">
        <f t="shared" si="8"/>
        <v>0</v>
      </c>
    </row>
    <row r="176" spans="1:18" hidden="1" x14ac:dyDescent="0.35">
      <c r="A176" s="16" t="s">
        <v>101</v>
      </c>
      <c r="B176" s="9" t="s">
        <v>1920</v>
      </c>
      <c r="C176" s="9" t="s">
        <v>3130</v>
      </c>
      <c r="D176" s="9" t="e">
        <f>VLOOKUP(RBE!C176,Permis[[#This Row],[Parties]],1,0)</f>
        <v>#N/A</v>
      </c>
      <c r="E176" s="9" t="s">
        <v>1921</v>
      </c>
      <c r="F176" s="10" t="s">
        <v>1922</v>
      </c>
      <c r="G176" s="10" t="str">
        <f t="shared" si="6"/>
        <v>2021</v>
      </c>
      <c r="H176" s="10">
        <v>100</v>
      </c>
      <c r="I176" s="10">
        <v>100</v>
      </c>
      <c r="J176" s="9" t="s">
        <v>1912</v>
      </c>
      <c r="K176" s="9" t="s">
        <v>1912</v>
      </c>
      <c r="L176" s="9" t="s">
        <v>1905</v>
      </c>
      <c r="M176" s="9">
        <v>0</v>
      </c>
      <c r="N176" s="9" t="s">
        <v>1905</v>
      </c>
      <c r="O176" s="9" t="s">
        <v>1898</v>
      </c>
      <c r="P176" s="16" t="s">
        <v>101</v>
      </c>
      <c r="Q176">
        <f t="shared" si="7"/>
        <v>0</v>
      </c>
      <c r="R176" t="b">
        <f t="shared" si="8"/>
        <v>0</v>
      </c>
    </row>
    <row r="177" spans="1:18" hidden="1" x14ac:dyDescent="0.35">
      <c r="A177" s="16" t="s">
        <v>101</v>
      </c>
      <c r="B177" s="9" t="s">
        <v>2313</v>
      </c>
      <c r="C177" s="9" t="s">
        <v>2313</v>
      </c>
      <c r="D177" s="9" t="e">
        <f>VLOOKUP(RBE!C177,Permis[[#This Row],[Parties]],1,0)</f>
        <v>#N/A</v>
      </c>
      <c r="E177" s="9" t="s">
        <v>2314</v>
      </c>
      <c r="F177" s="10" t="s">
        <v>2315</v>
      </c>
      <c r="G177" s="10" t="str">
        <f t="shared" si="6"/>
        <v>2023</v>
      </c>
      <c r="H177" s="10">
        <v>100</v>
      </c>
      <c r="I177" s="10" t="s">
        <v>1905</v>
      </c>
      <c r="J177" s="9" t="s">
        <v>1912</v>
      </c>
      <c r="K177" s="9" t="s">
        <v>1912</v>
      </c>
      <c r="L177" s="9" t="s">
        <v>1905</v>
      </c>
      <c r="M177" s="9">
        <v>0</v>
      </c>
      <c r="N177" s="9" t="s">
        <v>1905</v>
      </c>
      <c r="O177" s="9" t="s">
        <v>1898</v>
      </c>
      <c r="P177" s="16" t="s">
        <v>101</v>
      </c>
      <c r="Q177">
        <f t="shared" si="7"/>
        <v>0</v>
      </c>
      <c r="R177" t="b">
        <f t="shared" si="8"/>
        <v>0</v>
      </c>
    </row>
    <row r="178" spans="1:18" hidden="1" x14ac:dyDescent="0.35">
      <c r="A178" s="16" t="s">
        <v>101</v>
      </c>
      <c r="B178" s="9" t="s">
        <v>2313</v>
      </c>
      <c r="C178" s="9" t="s">
        <v>2313</v>
      </c>
      <c r="D178" s="9" t="e">
        <f>VLOOKUP(RBE!C178,Permis[[#This Row],[Parties]],1,0)</f>
        <v>#N/A</v>
      </c>
      <c r="E178" s="9" t="s">
        <v>2316</v>
      </c>
      <c r="F178" s="10" t="s">
        <v>2317</v>
      </c>
      <c r="G178" s="10" t="str">
        <f t="shared" si="6"/>
        <v>2023</v>
      </c>
      <c r="H178" s="10">
        <v>100</v>
      </c>
      <c r="I178" s="10">
        <v>100</v>
      </c>
      <c r="J178" s="9" t="s">
        <v>1912</v>
      </c>
      <c r="K178" s="9" t="s">
        <v>1912</v>
      </c>
      <c r="L178" s="9" t="s">
        <v>1905</v>
      </c>
      <c r="M178" s="9">
        <v>0</v>
      </c>
      <c r="N178" s="9" t="s">
        <v>1905</v>
      </c>
      <c r="O178" s="9" t="s">
        <v>1898</v>
      </c>
      <c r="P178" s="16" t="s">
        <v>101</v>
      </c>
      <c r="Q178">
        <f t="shared" si="7"/>
        <v>0</v>
      </c>
      <c r="R178" t="b">
        <f t="shared" si="8"/>
        <v>0</v>
      </c>
    </row>
    <row r="179" spans="1:18" hidden="1" x14ac:dyDescent="0.35">
      <c r="A179" s="16" t="s">
        <v>101</v>
      </c>
      <c r="B179" s="9" t="s">
        <v>2313</v>
      </c>
      <c r="C179" s="9" t="s">
        <v>2313</v>
      </c>
      <c r="D179" s="9" t="e">
        <f>VLOOKUP(RBE!C179,Permis[[#This Row],[Parties]],1,0)</f>
        <v>#N/A</v>
      </c>
      <c r="E179" s="9" t="s">
        <v>2316</v>
      </c>
      <c r="F179" s="10" t="s">
        <v>2318</v>
      </c>
      <c r="G179" s="10" t="str">
        <f t="shared" si="6"/>
        <v>2023</v>
      </c>
      <c r="H179" s="10">
        <v>50</v>
      </c>
      <c r="I179" s="10">
        <v>50</v>
      </c>
      <c r="J179" s="9" t="s">
        <v>1912</v>
      </c>
      <c r="K179" s="9" t="s">
        <v>1912</v>
      </c>
      <c r="L179" s="9" t="s">
        <v>1905</v>
      </c>
      <c r="M179" s="9">
        <v>0</v>
      </c>
      <c r="N179" s="9" t="s">
        <v>1905</v>
      </c>
      <c r="O179" s="9" t="s">
        <v>1898</v>
      </c>
      <c r="P179" s="16" t="s">
        <v>101</v>
      </c>
      <c r="Q179">
        <f t="shared" si="7"/>
        <v>0</v>
      </c>
      <c r="R179" t="b">
        <f t="shared" si="8"/>
        <v>0</v>
      </c>
    </row>
    <row r="180" spans="1:18" hidden="1" x14ac:dyDescent="0.35">
      <c r="A180" s="16" t="s">
        <v>101</v>
      </c>
      <c r="B180" s="9" t="s">
        <v>2319</v>
      </c>
      <c r="C180" s="9" t="s">
        <v>2319</v>
      </c>
      <c r="D180" s="9" t="e">
        <f>VLOOKUP(RBE!C180,Permis[[#This Row],[Parties]],1,0)</f>
        <v>#N/A</v>
      </c>
      <c r="E180" s="9" t="s">
        <v>2316</v>
      </c>
      <c r="F180" s="10" t="s">
        <v>2318</v>
      </c>
      <c r="G180" s="10" t="str">
        <f t="shared" si="6"/>
        <v>2023</v>
      </c>
      <c r="H180" s="10">
        <v>50</v>
      </c>
      <c r="I180" s="10">
        <v>50</v>
      </c>
      <c r="J180" s="9" t="s">
        <v>1912</v>
      </c>
      <c r="K180" s="9" t="s">
        <v>1912</v>
      </c>
      <c r="L180" s="9" t="s">
        <v>1905</v>
      </c>
      <c r="M180" s="9">
        <v>0</v>
      </c>
      <c r="N180" s="9" t="s">
        <v>1905</v>
      </c>
      <c r="O180" s="9" t="s">
        <v>1898</v>
      </c>
      <c r="P180" s="16" t="s">
        <v>101</v>
      </c>
      <c r="Q180">
        <f t="shared" si="7"/>
        <v>0</v>
      </c>
      <c r="R180" t="b">
        <f t="shared" si="8"/>
        <v>0</v>
      </c>
    </row>
    <row r="181" spans="1:18" hidden="1" x14ac:dyDescent="0.35">
      <c r="A181" s="16" t="s">
        <v>101</v>
      </c>
      <c r="B181" s="9" t="s">
        <v>2319</v>
      </c>
      <c r="C181" s="9" t="s">
        <v>2319</v>
      </c>
      <c r="D181" s="9" t="e">
        <f>VLOOKUP(RBE!C181,Permis[[#This Row],[Parties]],1,0)</f>
        <v>#N/A</v>
      </c>
      <c r="E181" s="9" t="s">
        <v>2316</v>
      </c>
      <c r="F181" s="10" t="s">
        <v>2320</v>
      </c>
      <c r="G181" s="10" t="str">
        <f t="shared" si="6"/>
        <v>2023</v>
      </c>
      <c r="H181" s="10" t="s">
        <v>1905</v>
      </c>
      <c r="I181" s="10" t="s">
        <v>1905</v>
      </c>
      <c r="J181" s="9" t="s">
        <v>1912</v>
      </c>
      <c r="K181" s="9" t="s">
        <v>1912</v>
      </c>
      <c r="L181" s="9" t="s">
        <v>1905</v>
      </c>
      <c r="M181" s="9">
        <v>0</v>
      </c>
      <c r="N181" s="9" t="s">
        <v>1905</v>
      </c>
      <c r="O181" s="9" t="s">
        <v>1898</v>
      </c>
      <c r="P181" s="16" t="s">
        <v>101</v>
      </c>
      <c r="Q181">
        <f t="shared" si="7"/>
        <v>0</v>
      </c>
      <c r="R181" t="b">
        <f t="shared" si="8"/>
        <v>0</v>
      </c>
    </row>
    <row r="182" spans="1:18" hidden="1" x14ac:dyDescent="0.35">
      <c r="A182" s="16" t="s">
        <v>101</v>
      </c>
      <c r="B182" s="9" t="s">
        <v>2319</v>
      </c>
      <c r="C182" s="9" t="s">
        <v>2319</v>
      </c>
      <c r="D182" s="9" t="e">
        <f>VLOOKUP(RBE!C182,Permis[[#This Row],[Parties]],1,0)</f>
        <v>#N/A</v>
      </c>
      <c r="E182" s="9" t="s">
        <v>2321</v>
      </c>
      <c r="F182" s="10" t="s">
        <v>2322</v>
      </c>
      <c r="G182" s="10" t="str">
        <f t="shared" si="6"/>
        <v>2023</v>
      </c>
      <c r="H182" s="10" t="s">
        <v>1905</v>
      </c>
      <c r="I182" s="10" t="s">
        <v>1905</v>
      </c>
      <c r="J182" s="9" t="s">
        <v>2323</v>
      </c>
      <c r="K182" s="9" t="s">
        <v>2323</v>
      </c>
      <c r="L182" s="9" t="s">
        <v>1905</v>
      </c>
      <c r="M182" s="9">
        <v>0</v>
      </c>
      <c r="N182" s="9" t="s">
        <v>1905</v>
      </c>
      <c r="O182" s="9" t="s">
        <v>1898</v>
      </c>
      <c r="P182" s="16" t="s">
        <v>101</v>
      </c>
      <c r="Q182">
        <f t="shared" si="7"/>
        <v>0</v>
      </c>
      <c r="R182" t="b">
        <f t="shared" si="8"/>
        <v>0</v>
      </c>
    </row>
    <row r="183" spans="1:18" hidden="1" x14ac:dyDescent="0.35">
      <c r="A183" s="16" t="s">
        <v>101</v>
      </c>
      <c r="B183" s="9" t="s">
        <v>2324</v>
      </c>
      <c r="C183" s="9" t="s">
        <v>2324</v>
      </c>
      <c r="D183" s="9" t="e">
        <f>VLOOKUP(RBE!C183,Permis[[#This Row],[Parties]],1,0)</f>
        <v>#N/A</v>
      </c>
      <c r="E183" s="9" t="s">
        <v>2325</v>
      </c>
      <c r="F183" s="10" t="s">
        <v>2326</v>
      </c>
      <c r="G183" s="10" t="str">
        <f t="shared" si="6"/>
        <v>2023</v>
      </c>
      <c r="H183" s="10" t="s">
        <v>1905</v>
      </c>
      <c r="I183" s="10" t="s">
        <v>1905</v>
      </c>
      <c r="J183" s="9" t="s">
        <v>2327</v>
      </c>
      <c r="K183" s="9" t="s">
        <v>2327</v>
      </c>
      <c r="L183" s="9" t="s">
        <v>1905</v>
      </c>
      <c r="M183" s="9">
        <v>0</v>
      </c>
      <c r="N183" s="9" t="s">
        <v>1905</v>
      </c>
      <c r="O183" s="9" t="s">
        <v>1898</v>
      </c>
      <c r="P183" s="16" t="s">
        <v>101</v>
      </c>
      <c r="Q183">
        <f t="shared" si="7"/>
        <v>0</v>
      </c>
      <c r="R183" t="b">
        <f t="shared" si="8"/>
        <v>0</v>
      </c>
    </row>
    <row r="184" spans="1:18" hidden="1" x14ac:dyDescent="0.35">
      <c r="A184" s="16" t="s">
        <v>101</v>
      </c>
      <c r="B184" s="9" t="s">
        <v>2328</v>
      </c>
      <c r="C184" s="9" t="s">
        <v>2328</v>
      </c>
      <c r="D184" s="9" t="e">
        <f>VLOOKUP(RBE!C184,Permis[[#This Row],[Parties]],1,0)</f>
        <v>#N/A</v>
      </c>
      <c r="E184" s="9" t="s">
        <v>2329</v>
      </c>
      <c r="F184" s="10" t="s">
        <v>2330</v>
      </c>
      <c r="G184" s="10" t="str">
        <f t="shared" si="6"/>
        <v>2023</v>
      </c>
      <c r="H184" s="10">
        <v>50</v>
      </c>
      <c r="I184" s="10">
        <v>50</v>
      </c>
      <c r="J184" s="9" t="s">
        <v>1912</v>
      </c>
      <c r="K184" s="9" t="s">
        <v>1912</v>
      </c>
      <c r="L184" s="9" t="s">
        <v>1905</v>
      </c>
      <c r="M184" s="9">
        <v>0</v>
      </c>
      <c r="N184" s="9" t="s">
        <v>1905</v>
      </c>
      <c r="O184" s="9" t="s">
        <v>1898</v>
      </c>
      <c r="P184" s="16" t="s">
        <v>101</v>
      </c>
      <c r="Q184">
        <f t="shared" si="7"/>
        <v>0</v>
      </c>
      <c r="R184" t="b">
        <f t="shared" si="8"/>
        <v>0</v>
      </c>
    </row>
    <row r="185" spans="1:18" hidden="1" x14ac:dyDescent="0.35">
      <c r="A185" s="16" t="s">
        <v>101</v>
      </c>
      <c r="B185" s="9" t="s">
        <v>2331</v>
      </c>
      <c r="C185" s="9" t="s">
        <v>2331</v>
      </c>
      <c r="D185" s="9" t="e">
        <f>VLOOKUP(RBE!C185,Permis[[#This Row],[Parties]],1,0)</f>
        <v>#N/A</v>
      </c>
      <c r="E185" s="9" t="s">
        <v>2332</v>
      </c>
      <c r="F185" s="10" t="s">
        <v>2330</v>
      </c>
      <c r="G185" s="10" t="str">
        <f t="shared" si="6"/>
        <v>2023</v>
      </c>
      <c r="H185" s="10">
        <v>50</v>
      </c>
      <c r="I185" s="10">
        <v>50</v>
      </c>
      <c r="J185" s="9" t="s">
        <v>1912</v>
      </c>
      <c r="K185" s="9" t="s">
        <v>1912</v>
      </c>
      <c r="L185" s="9" t="s">
        <v>1905</v>
      </c>
      <c r="M185" s="9">
        <v>0</v>
      </c>
      <c r="N185" s="9" t="s">
        <v>1905</v>
      </c>
      <c r="O185" s="9" t="s">
        <v>1898</v>
      </c>
      <c r="P185" s="16" t="s">
        <v>101</v>
      </c>
      <c r="Q185">
        <f t="shared" si="7"/>
        <v>0</v>
      </c>
      <c r="R185" t="b">
        <f t="shared" si="8"/>
        <v>0</v>
      </c>
    </row>
    <row r="186" spans="1:18" hidden="1" x14ac:dyDescent="0.35">
      <c r="A186" s="16" t="s">
        <v>101</v>
      </c>
      <c r="B186" s="9" t="s">
        <v>2331</v>
      </c>
      <c r="C186" s="9" t="s">
        <v>2331</v>
      </c>
      <c r="D186" s="9" t="e">
        <f>VLOOKUP(RBE!C186,Permis[[#This Row],[Parties]],1,0)</f>
        <v>#N/A</v>
      </c>
      <c r="E186" s="9" t="s">
        <v>2333</v>
      </c>
      <c r="F186" s="10" t="s">
        <v>2334</v>
      </c>
      <c r="G186" s="10" t="str">
        <f t="shared" si="6"/>
        <v>2023</v>
      </c>
      <c r="H186" s="10">
        <v>33</v>
      </c>
      <c r="I186" s="10">
        <v>33</v>
      </c>
      <c r="J186" s="9" t="s">
        <v>1912</v>
      </c>
      <c r="K186" s="9" t="s">
        <v>1912</v>
      </c>
      <c r="L186" s="9" t="s">
        <v>1905</v>
      </c>
      <c r="M186" s="9">
        <v>0</v>
      </c>
      <c r="N186" s="9" t="s">
        <v>1905</v>
      </c>
      <c r="O186" s="9" t="s">
        <v>1898</v>
      </c>
      <c r="P186" s="16" t="s">
        <v>101</v>
      </c>
      <c r="Q186">
        <f t="shared" si="7"/>
        <v>0</v>
      </c>
      <c r="R186" t="b">
        <f t="shared" si="8"/>
        <v>0</v>
      </c>
    </row>
    <row r="187" spans="1:18" hidden="1" x14ac:dyDescent="0.35">
      <c r="A187" s="16" t="s">
        <v>101</v>
      </c>
      <c r="B187" s="9" t="s">
        <v>2331</v>
      </c>
      <c r="C187" s="9" t="s">
        <v>2331</v>
      </c>
      <c r="D187" s="9" t="e">
        <f>VLOOKUP(RBE!C187,Permis[[#This Row],[Parties]],1,0)</f>
        <v>#N/A</v>
      </c>
      <c r="E187" s="9" t="s">
        <v>2335</v>
      </c>
      <c r="F187" s="10" t="s">
        <v>2334</v>
      </c>
      <c r="G187" s="10" t="str">
        <f t="shared" si="6"/>
        <v>2023</v>
      </c>
      <c r="H187" s="10">
        <v>33</v>
      </c>
      <c r="I187" s="10">
        <v>33</v>
      </c>
      <c r="J187" s="9" t="s">
        <v>1912</v>
      </c>
      <c r="K187" s="9" t="s">
        <v>1912</v>
      </c>
      <c r="L187" s="9" t="s">
        <v>1905</v>
      </c>
      <c r="M187" s="9">
        <v>0</v>
      </c>
      <c r="N187" s="9" t="s">
        <v>1905</v>
      </c>
      <c r="O187" s="9" t="s">
        <v>1898</v>
      </c>
      <c r="P187" s="16" t="s">
        <v>101</v>
      </c>
      <c r="Q187">
        <f t="shared" si="7"/>
        <v>0</v>
      </c>
      <c r="R187" t="b">
        <f t="shared" si="8"/>
        <v>0</v>
      </c>
    </row>
    <row r="188" spans="1:18" hidden="1" x14ac:dyDescent="0.35">
      <c r="A188" s="16" t="s">
        <v>101</v>
      </c>
      <c r="B188" s="9" t="s">
        <v>2336</v>
      </c>
      <c r="C188" s="9" t="s">
        <v>2336</v>
      </c>
      <c r="D188" s="9" t="e">
        <f>VLOOKUP(RBE!C188,Permis[[#This Row],[Parties]],1,0)</f>
        <v>#N/A</v>
      </c>
      <c r="E188" s="9" t="s">
        <v>2337</v>
      </c>
      <c r="F188" s="10" t="s">
        <v>2334</v>
      </c>
      <c r="G188" s="10" t="str">
        <f t="shared" si="6"/>
        <v>2023</v>
      </c>
      <c r="H188" s="10">
        <v>34</v>
      </c>
      <c r="I188" s="10">
        <v>34</v>
      </c>
      <c r="J188" s="9" t="s">
        <v>2219</v>
      </c>
      <c r="K188" s="9" t="s">
        <v>2219</v>
      </c>
      <c r="L188" s="9" t="s">
        <v>1905</v>
      </c>
      <c r="M188" s="9">
        <v>0</v>
      </c>
      <c r="N188" s="9" t="s">
        <v>1905</v>
      </c>
      <c r="O188" s="9" t="s">
        <v>1898</v>
      </c>
      <c r="P188" s="16" t="s">
        <v>101</v>
      </c>
      <c r="Q188">
        <f t="shared" si="7"/>
        <v>0</v>
      </c>
      <c r="R188" t="b">
        <f t="shared" si="8"/>
        <v>0</v>
      </c>
    </row>
    <row r="189" spans="1:18" hidden="1" x14ac:dyDescent="0.35">
      <c r="A189" s="16" t="s">
        <v>101</v>
      </c>
      <c r="B189" s="9" t="s">
        <v>2338</v>
      </c>
      <c r="C189" s="9" t="s">
        <v>2338</v>
      </c>
      <c r="D189" s="9" t="e">
        <f>VLOOKUP(RBE!C189,Permis[[#This Row],[Parties]],1,0)</f>
        <v>#N/A</v>
      </c>
      <c r="E189" s="9" t="s">
        <v>2339</v>
      </c>
      <c r="F189" s="10" t="s">
        <v>2340</v>
      </c>
      <c r="G189" s="10" t="str">
        <f t="shared" si="6"/>
        <v>2023</v>
      </c>
      <c r="H189" s="10">
        <v>10</v>
      </c>
      <c r="I189" s="10">
        <v>10</v>
      </c>
      <c r="J189" s="9" t="s">
        <v>1912</v>
      </c>
      <c r="K189" s="9" t="s">
        <v>1912</v>
      </c>
      <c r="L189" s="9" t="s">
        <v>1905</v>
      </c>
      <c r="M189" s="9">
        <v>0</v>
      </c>
      <c r="N189" s="9" t="s">
        <v>1905</v>
      </c>
      <c r="O189" s="9" t="s">
        <v>1898</v>
      </c>
      <c r="P189" s="16" t="s">
        <v>101</v>
      </c>
      <c r="Q189">
        <f t="shared" si="7"/>
        <v>0</v>
      </c>
      <c r="R189" t="b">
        <f t="shared" si="8"/>
        <v>0</v>
      </c>
    </row>
    <row r="190" spans="1:18" hidden="1" x14ac:dyDescent="0.35">
      <c r="A190" s="16" t="s">
        <v>101</v>
      </c>
      <c r="B190" s="9" t="s">
        <v>2341</v>
      </c>
      <c r="C190" s="9" t="s">
        <v>2341</v>
      </c>
      <c r="D190" s="9" t="e">
        <f>VLOOKUP(RBE!C190,Permis[[#This Row],[Parties]],1,0)</f>
        <v>#N/A</v>
      </c>
      <c r="E190" s="9" t="s">
        <v>2342</v>
      </c>
      <c r="F190" s="10" t="s">
        <v>2340</v>
      </c>
      <c r="G190" s="10" t="str">
        <f t="shared" si="6"/>
        <v>2023</v>
      </c>
      <c r="H190" s="10">
        <v>35</v>
      </c>
      <c r="I190" s="10">
        <v>35</v>
      </c>
      <c r="J190" s="9" t="s">
        <v>1912</v>
      </c>
      <c r="K190" s="9" t="s">
        <v>1912</v>
      </c>
      <c r="L190" s="9" t="s">
        <v>1905</v>
      </c>
      <c r="M190" s="9">
        <v>0</v>
      </c>
      <c r="N190" s="9" t="s">
        <v>1905</v>
      </c>
      <c r="O190" s="9" t="s">
        <v>1898</v>
      </c>
      <c r="P190" s="16" t="s">
        <v>101</v>
      </c>
      <c r="Q190">
        <f t="shared" si="7"/>
        <v>0</v>
      </c>
      <c r="R190" t="b">
        <f t="shared" si="8"/>
        <v>0</v>
      </c>
    </row>
    <row r="191" spans="1:18" hidden="1" x14ac:dyDescent="0.35">
      <c r="A191" s="16" t="s">
        <v>101</v>
      </c>
      <c r="B191" s="9" t="s">
        <v>2343</v>
      </c>
      <c r="C191" s="9" t="s">
        <v>2343</v>
      </c>
      <c r="D191" s="9" t="e">
        <f>VLOOKUP(RBE!C191,Permis[[#This Row],[Parties]],1,0)</f>
        <v>#N/A</v>
      </c>
      <c r="E191" s="9" t="s">
        <v>2344</v>
      </c>
      <c r="F191" s="10" t="s">
        <v>2340</v>
      </c>
      <c r="G191" s="10" t="str">
        <f t="shared" si="6"/>
        <v>2023</v>
      </c>
      <c r="H191" s="10">
        <v>5</v>
      </c>
      <c r="I191" s="10">
        <v>5</v>
      </c>
      <c r="J191" s="9" t="s">
        <v>1912</v>
      </c>
      <c r="K191" s="9" t="s">
        <v>1912</v>
      </c>
      <c r="L191" s="9" t="s">
        <v>1905</v>
      </c>
      <c r="M191" s="9">
        <v>0</v>
      </c>
      <c r="N191" s="9" t="s">
        <v>1905</v>
      </c>
      <c r="O191" s="9" t="s">
        <v>1898</v>
      </c>
      <c r="P191" s="16" t="s">
        <v>101</v>
      </c>
      <c r="Q191">
        <f t="shared" si="7"/>
        <v>0</v>
      </c>
      <c r="R191" t="b">
        <f t="shared" si="8"/>
        <v>0</v>
      </c>
    </row>
    <row r="192" spans="1:18" hidden="1" x14ac:dyDescent="0.35">
      <c r="A192" s="16" t="s">
        <v>101</v>
      </c>
      <c r="B192" s="9" t="s">
        <v>2345</v>
      </c>
      <c r="C192" s="9" t="s">
        <v>2345</v>
      </c>
      <c r="D192" s="9" t="e">
        <f>VLOOKUP(RBE!C192,Permis[[#This Row],[Parties]],1,0)</f>
        <v>#N/A</v>
      </c>
      <c r="E192" s="9" t="s">
        <v>2346</v>
      </c>
      <c r="F192" s="10" t="s">
        <v>2340</v>
      </c>
      <c r="G192" s="10" t="str">
        <f t="shared" si="6"/>
        <v>2023</v>
      </c>
      <c r="H192" s="10">
        <v>50</v>
      </c>
      <c r="I192" s="10">
        <v>50</v>
      </c>
      <c r="J192" s="9" t="s">
        <v>1912</v>
      </c>
      <c r="K192" s="9" t="s">
        <v>1912</v>
      </c>
      <c r="L192" s="9" t="s">
        <v>1905</v>
      </c>
      <c r="M192" s="9">
        <v>0</v>
      </c>
      <c r="N192" s="9" t="s">
        <v>1905</v>
      </c>
      <c r="O192" s="9" t="s">
        <v>1898</v>
      </c>
      <c r="P192" s="16" t="s">
        <v>101</v>
      </c>
      <c r="Q192">
        <f t="shared" si="7"/>
        <v>0</v>
      </c>
      <c r="R192" t="b">
        <f t="shared" si="8"/>
        <v>0</v>
      </c>
    </row>
    <row r="193" spans="1:18" hidden="1" x14ac:dyDescent="0.35">
      <c r="A193" s="16" t="s">
        <v>101</v>
      </c>
      <c r="B193" s="9" t="s">
        <v>2347</v>
      </c>
      <c r="C193" s="9" t="s">
        <v>2347</v>
      </c>
      <c r="D193" s="9" t="e">
        <f>VLOOKUP(RBE!C193,Permis[[#This Row],[Parties]],1,0)</f>
        <v>#N/A</v>
      </c>
      <c r="E193" s="9" t="s">
        <v>2348</v>
      </c>
      <c r="F193" s="10" t="s">
        <v>2349</v>
      </c>
      <c r="G193" s="10" t="str">
        <f t="shared" si="6"/>
        <v>2023</v>
      </c>
      <c r="H193" s="10">
        <v>100</v>
      </c>
      <c r="I193" s="10">
        <v>100</v>
      </c>
      <c r="J193" s="9" t="s">
        <v>1912</v>
      </c>
      <c r="K193" s="9" t="s">
        <v>1912</v>
      </c>
      <c r="L193" s="9" t="s">
        <v>1905</v>
      </c>
      <c r="M193" s="9">
        <v>0</v>
      </c>
      <c r="N193" s="9" t="s">
        <v>1905</v>
      </c>
      <c r="O193" s="9" t="s">
        <v>1898</v>
      </c>
      <c r="P193" s="16" t="s">
        <v>101</v>
      </c>
      <c r="Q193">
        <f t="shared" si="7"/>
        <v>0</v>
      </c>
      <c r="R193" t="b">
        <f t="shared" si="8"/>
        <v>0</v>
      </c>
    </row>
    <row r="194" spans="1:18" hidden="1" x14ac:dyDescent="0.35">
      <c r="A194" s="16" t="s">
        <v>101</v>
      </c>
      <c r="B194" s="9" t="s">
        <v>2350</v>
      </c>
      <c r="C194" s="9" t="s">
        <v>2350</v>
      </c>
      <c r="D194" s="9" t="e">
        <f>VLOOKUP(RBE!C194,Permis[[#This Row],[Parties]],1,0)</f>
        <v>#N/A</v>
      </c>
      <c r="E194" s="9" t="s">
        <v>2351</v>
      </c>
      <c r="F194" s="10" t="s">
        <v>2352</v>
      </c>
      <c r="G194" s="10" t="str">
        <f t="shared" ref="G194:G257" si="9">LEFT(TRIM(F194),4)</f>
        <v>2023</v>
      </c>
      <c r="H194" s="10">
        <v>30</v>
      </c>
      <c r="I194" s="10" t="s">
        <v>1905</v>
      </c>
      <c r="J194" s="9" t="s">
        <v>1912</v>
      </c>
      <c r="K194" s="9" t="s">
        <v>1912</v>
      </c>
      <c r="L194" s="9" t="s">
        <v>1905</v>
      </c>
      <c r="M194" s="9">
        <v>0</v>
      </c>
      <c r="N194" s="9" t="s">
        <v>1905</v>
      </c>
      <c r="O194" s="9" t="s">
        <v>1898</v>
      </c>
      <c r="P194" s="16" t="s">
        <v>101</v>
      </c>
      <c r="Q194">
        <f t="shared" si="7"/>
        <v>0</v>
      </c>
      <c r="R194" t="b">
        <f t="shared" si="8"/>
        <v>0</v>
      </c>
    </row>
    <row r="195" spans="1:18" hidden="1" x14ac:dyDescent="0.35">
      <c r="A195" s="16" t="s">
        <v>101</v>
      </c>
      <c r="B195" s="9" t="s">
        <v>2353</v>
      </c>
      <c r="C195" s="9" t="s">
        <v>2353</v>
      </c>
      <c r="D195" s="9" t="e">
        <f>VLOOKUP(RBE!C195,Permis[[#This Row],[Parties]],1,0)</f>
        <v>#N/A</v>
      </c>
      <c r="E195" s="9" t="s">
        <v>2351</v>
      </c>
      <c r="F195" s="10" t="s">
        <v>2352</v>
      </c>
      <c r="G195" s="10" t="str">
        <f t="shared" si="9"/>
        <v>2023</v>
      </c>
      <c r="H195" s="10">
        <v>40</v>
      </c>
      <c r="I195" s="10" t="s">
        <v>1905</v>
      </c>
      <c r="J195" s="9" t="s">
        <v>1912</v>
      </c>
      <c r="K195" s="9" t="s">
        <v>1912</v>
      </c>
      <c r="L195" s="9" t="s">
        <v>1905</v>
      </c>
      <c r="M195" s="9">
        <v>0</v>
      </c>
      <c r="N195" s="9" t="s">
        <v>1905</v>
      </c>
      <c r="O195" s="9" t="s">
        <v>1898</v>
      </c>
      <c r="P195" s="16" t="s">
        <v>101</v>
      </c>
      <c r="Q195">
        <f t="shared" ref="Q195:Q258" si="10">IF(J195=K195,0,1)</f>
        <v>0</v>
      </c>
      <c r="R195" t="b">
        <f t="shared" ref="R195:R258" si="11">ISBLANK(K195)</f>
        <v>0</v>
      </c>
    </row>
    <row r="196" spans="1:18" hidden="1" x14ac:dyDescent="0.35">
      <c r="A196" s="16" t="s">
        <v>101</v>
      </c>
      <c r="B196" s="9" t="s">
        <v>1923</v>
      </c>
      <c r="C196" s="9" t="s">
        <v>3131</v>
      </c>
      <c r="D196" s="9" t="e">
        <f>VLOOKUP(RBE!C196,Permis[[#This Row],[Parties]],1,0)</f>
        <v>#N/A</v>
      </c>
      <c r="E196" s="9" t="s">
        <v>1924</v>
      </c>
      <c r="F196" s="10" t="s">
        <v>1925</v>
      </c>
      <c r="G196" s="10" t="str">
        <f t="shared" si="9"/>
        <v>2021</v>
      </c>
      <c r="H196" s="10" t="s">
        <v>1905</v>
      </c>
      <c r="I196" s="10" t="s">
        <v>1905</v>
      </c>
      <c r="J196" s="9" t="s">
        <v>1926</v>
      </c>
      <c r="K196" s="9" t="s">
        <v>1926</v>
      </c>
      <c r="L196" s="9" t="s">
        <v>1905</v>
      </c>
      <c r="M196" s="9">
        <v>0</v>
      </c>
      <c r="N196" s="9" t="s">
        <v>1905</v>
      </c>
      <c r="O196" s="9" t="s">
        <v>1898</v>
      </c>
      <c r="P196" s="16" t="s">
        <v>101</v>
      </c>
      <c r="Q196">
        <f t="shared" si="10"/>
        <v>0</v>
      </c>
      <c r="R196" t="b">
        <f t="shared" si="11"/>
        <v>0</v>
      </c>
    </row>
    <row r="197" spans="1:18" hidden="1" x14ac:dyDescent="0.35">
      <c r="A197" s="16" t="s">
        <v>101</v>
      </c>
      <c r="B197" s="9" t="s">
        <v>1923</v>
      </c>
      <c r="C197" s="9" t="s">
        <v>3131</v>
      </c>
      <c r="D197" s="9" t="e">
        <f>VLOOKUP(RBE!C197,Permis[[#This Row],[Parties]],1,0)</f>
        <v>#N/A</v>
      </c>
      <c r="E197" s="9" t="s">
        <v>1927</v>
      </c>
      <c r="F197" s="10" t="s">
        <v>1928</v>
      </c>
      <c r="G197" s="10" t="str">
        <f t="shared" si="9"/>
        <v>2021</v>
      </c>
      <c r="H197" s="10" t="s">
        <v>1929</v>
      </c>
      <c r="I197" s="10" t="s">
        <v>1929</v>
      </c>
      <c r="J197" s="9" t="s">
        <v>1926</v>
      </c>
      <c r="K197" s="9" t="s">
        <v>1926</v>
      </c>
      <c r="L197" s="9" t="s">
        <v>1905</v>
      </c>
      <c r="M197" s="9">
        <v>0</v>
      </c>
      <c r="N197" s="9" t="s">
        <v>1905</v>
      </c>
      <c r="O197" s="9" t="s">
        <v>1898</v>
      </c>
      <c r="P197" s="16" t="s">
        <v>101</v>
      </c>
      <c r="Q197">
        <f t="shared" si="10"/>
        <v>0</v>
      </c>
      <c r="R197" t="b">
        <f t="shared" si="11"/>
        <v>0</v>
      </c>
    </row>
    <row r="198" spans="1:18" hidden="1" x14ac:dyDescent="0.35">
      <c r="A198" s="16" t="s">
        <v>101</v>
      </c>
      <c r="B198" s="9" t="s">
        <v>2354</v>
      </c>
      <c r="C198" s="9" t="s">
        <v>2354</v>
      </c>
      <c r="D198" s="9" t="e">
        <f>VLOOKUP(RBE!C198,Permis[[#This Row],[Parties]],1,0)</f>
        <v>#N/A</v>
      </c>
      <c r="E198" s="9" t="s">
        <v>2355</v>
      </c>
      <c r="F198" s="10" t="s">
        <v>2352</v>
      </c>
      <c r="G198" s="10" t="str">
        <f t="shared" si="9"/>
        <v>2023</v>
      </c>
      <c r="H198" s="10">
        <v>30</v>
      </c>
      <c r="I198" s="10" t="s">
        <v>1905</v>
      </c>
      <c r="J198" s="9" t="s">
        <v>1912</v>
      </c>
      <c r="K198" s="9" t="s">
        <v>1912</v>
      </c>
      <c r="L198" s="9" t="s">
        <v>1905</v>
      </c>
      <c r="M198" s="9">
        <v>0</v>
      </c>
      <c r="N198" s="9" t="s">
        <v>1905</v>
      </c>
      <c r="O198" s="9" t="s">
        <v>1898</v>
      </c>
      <c r="P198" s="16" t="s">
        <v>101</v>
      </c>
      <c r="Q198">
        <f t="shared" si="10"/>
        <v>0</v>
      </c>
      <c r="R198" t="b">
        <f t="shared" si="11"/>
        <v>0</v>
      </c>
    </row>
    <row r="199" spans="1:18" hidden="1" x14ac:dyDescent="0.35">
      <c r="A199" s="16" t="s">
        <v>101</v>
      </c>
      <c r="B199" s="9" t="s">
        <v>2356</v>
      </c>
      <c r="C199" s="9" t="s">
        <v>2356</v>
      </c>
      <c r="D199" s="9" t="e">
        <f>VLOOKUP(RBE!C199,Permis[[#This Row],[Parties]],1,0)</f>
        <v>#N/A</v>
      </c>
      <c r="E199" s="9" t="s">
        <v>2357</v>
      </c>
      <c r="F199" s="10" t="s">
        <v>2358</v>
      </c>
      <c r="G199" s="10" t="str">
        <f t="shared" si="9"/>
        <v>2023</v>
      </c>
      <c r="H199" s="10">
        <v>100</v>
      </c>
      <c r="I199" s="10" t="s">
        <v>1905</v>
      </c>
      <c r="J199" s="9" t="s">
        <v>1912</v>
      </c>
      <c r="K199" s="9" t="s">
        <v>1912</v>
      </c>
      <c r="L199" s="9" t="s">
        <v>1905</v>
      </c>
      <c r="M199" s="9">
        <v>0</v>
      </c>
      <c r="N199" s="9" t="s">
        <v>1905</v>
      </c>
      <c r="O199" s="9" t="s">
        <v>1898</v>
      </c>
      <c r="P199" s="16" t="s">
        <v>101</v>
      </c>
      <c r="Q199">
        <f t="shared" si="10"/>
        <v>0</v>
      </c>
      <c r="R199" t="b">
        <f t="shared" si="11"/>
        <v>0</v>
      </c>
    </row>
    <row r="200" spans="1:18" hidden="1" x14ac:dyDescent="0.35">
      <c r="A200" s="16" t="s">
        <v>101</v>
      </c>
      <c r="B200" s="9" t="s">
        <v>2356</v>
      </c>
      <c r="C200" s="9" t="s">
        <v>2356</v>
      </c>
      <c r="D200" s="9" t="e">
        <f>VLOOKUP(RBE!C200,Permis[[#This Row],[Parties]],1,0)</f>
        <v>#N/A</v>
      </c>
      <c r="E200" s="9" t="s">
        <v>2359</v>
      </c>
      <c r="F200" s="10" t="s">
        <v>2360</v>
      </c>
      <c r="G200" s="10" t="str">
        <f t="shared" si="9"/>
        <v>2023</v>
      </c>
      <c r="H200" s="10">
        <v>100</v>
      </c>
      <c r="I200" s="10" t="s">
        <v>1905</v>
      </c>
      <c r="J200" s="9" t="s">
        <v>1912</v>
      </c>
      <c r="K200" s="9" t="s">
        <v>1912</v>
      </c>
      <c r="L200" s="9" t="s">
        <v>1905</v>
      </c>
      <c r="M200" s="9">
        <v>0</v>
      </c>
      <c r="N200" s="9" t="s">
        <v>1905</v>
      </c>
      <c r="O200" s="9" t="s">
        <v>1898</v>
      </c>
      <c r="P200" s="16" t="s">
        <v>101</v>
      </c>
      <c r="Q200">
        <f t="shared" si="10"/>
        <v>0</v>
      </c>
      <c r="R200" t="b">
        <f t="shared" si="11"/>
        <v>0</v>
      </c>
    </row>
    <row r="201" spans="1:18" hidden="1" x14ac:dyDescent="0.35">
      <c r="A201" s="16" t="s">
        <v>101</v>
      </c>
      <c r="B201" s="9" t="s">
        <v>2361</v>
      </c>
      <c r="C201" s="9" t="s">
        <v>2361</v>
      </c>
      <c r="D201" s="9" t="e">
        <f>VLOOKUP(RBE!C201,Permis[[#This Row],[Parties]],1,0)</f>
        <v>#N/A</v>
      </c>
      <c r="E201" s="9" t="s">
        <v>2362</v>
      </c>
      <c r="F201" s="10" t="s">
        <v>2363</v>
      </c>
      <c r="G201" s="10" t="str">
        <f t="shared" si="9"/>
        <v>2023</v>
      </c>
      <c r="H201" s="10">
        <v>90</v>
      </c>
      <c r="I201" s="10" t="s">
        <v>1905</v>
      </c>
      <c r="J201" s="9" t="s">
        <v>1912</v>
      </c>
      <c r="K201" s="9" t="s">
        <v>1912</v>
      </c>
      <c r="L201" s="9" t="s">
        <v>1905</v>
      </c>
      <c r="M201" s="9">
        <v>0</v>
      </c>
      <c r="N201" s="9" t="s">
        <v>1905</v>
      </c>
      <c r="O201" s="9" t="s">
        <v>1898</v>
      </c>
      <c r="P201" s="16" t="s">
        <v>101</v>
      </c>
      <c r="Q201">
        <f t="shared" si="10"/>
        <v>0</v>
      </c>
      <c r="R201" t="b">
        <f t="shared" si="11"/>
        <v>0</v>
      </c>
    </row>
    <row r="202" spans="1:18" hidden="1" x14ac:dyDescent="0.35">
      <c r="A202" s="16" t="s">
        <v>101</v>
      </c>
      <c r="B202" s="9" t="s">
        <v>2370</v>
      </c>
      <c r="C202" s="9" t="s">
        <v>3153</v>
      </c>
      <c r="D202" s="9" t="e">
        <f>VLOOKUP(RBE!C202,Permis[[#This Row],[Parties]],1,0)</f>
        <v>#N/A</v>
      </c>
      <c r="E202" s="9" t="s">
        <v>2371</v>
      </c>
      <c r="F202" s="10" t="s">
        <v>2372</v>
      </c>
      <c r="G202" s="10" t="str">
        <f t="shared" si="9"/>
        <v>2023</v>
      </c>
      <c r="H202" s="10">
        <v>20</v>
      </c>
      <c r="I202" s="10">
        <v>20</v>
      </c>
      <c r="J202" s="9" t="s">
        <v>1912</v>
      </c>
      <c r="K202" s="9" t="s">
        <v>1912</v>
      </c>
      <c r="L202" s="9" t="s">
        <v>1905</v>
      </c>
      <c r="M202" s="9">
        <v>0</v>
      </c>
      <c r="N202" s="9" t="s">
        <v>1905</v>
      </c>
      <c r="O202" s="9" t="s">
        <v>1898</v>
      </c>
      <c r="P202" s="16" t="s">
        <v>101</v>
      </c>
      <c r="Q202">
        <f t="shared" si="10"/>
        <v>0</v>
      </c>
      <c r="R202" t="b">
        <f t="shared" si="11"/>
        <v>0</v>
      </c>
    </row>
    <row r="203" spans="1:18" hidden="1" x14ac:dyDescent="0.35">
      <c r="A203" s="16" t="s">
        <v>101</v>
      </c>
      <c r="B203" s="9" t="s">
        <v>2364</v>
      </c>
      <c r="C203" s="9" t="s">
        <v>2364</v>
      </c>
      <c r="D203" s="9" t="e">
        <f>VLOOKUP(RBE!C203,Permis[[#This Row],[Parties]],1,0)</f>
        <v>#N/A</v>
      </c>
      <c r="E203" s="9" t="s">
        <v>2365</v>
      </c>
      <c r="F203" s="10" t="s">
        <v>2363</v>
      </c>
      <c r="G203" s="10" t="str">
        <f t="shared" si="9"/>
        <v>2023</v>
      </c>
      <c r="H203" s="10">
        <v>10</v>
      </c>
      <c r="I203" s="10" t="s">
        <v>1905</v>
      </c>
      <c r="J203" s="9" t="s">
        <v>1912</v>
      </c>
      <c r="K203" s="9" t="s">
        <v>1912</v>
      </c>
      <c r="L203" s="9" t="s">
        <v>1905</v>
      </c>
      <c r="M203" s="9">
        <v>0</v>
      </c>
      <c r="N203" s="9" t="s">
        <v>1905</v>
      </c>
      <c r="O203" s="9" t="s">
        <v>1898</v>
      </c>
      <c r="P203" s="16" t="s">
        <v>101</v>
      </c>
      <c r="Q203">
        <f t="shared" si="10"/>
        <v>0</v>
      </c>
      <c r="R203" t="b">
        <f t="shared" si="11"/>
        <v>0</v>
      </c>
    </row>
    <row r="204" spans="1:18" hidden="1" x14ac:dyDescent="0.35">
      <c r="A204" s="16" t="s">
        <v>101</v>
      </c>
      <c r="B204" s="9" t="s">
        <v>2366</v>
      </c>
      <c r="C204" s="9" t="s">
        <v>2366</v>
      </c>
      <c r="D204" s="9" t="e">
        <f>VLOOKUP(RBE!C204,Permis[[#This Row],[Parties]],1,0)</f>
        <v>#N/A</v>
      </c>
      <c r="E204" s="9" t="s">
        <v>2367</v>
      </c>
      <c r="F204" s="10" t="s">
        <v>2368</v>
      </c>
      <c r="G204" s="10" t="str">
        <f t="shared" si="9"/>
        <v>2023</v>
      </c>
      <c r="H204" s="10">
        <v>50</v>
      </c>
      <c r="I204" s="10">
        <v>50</v>
      </c>
      <c r="J204" s="9" t="s">
        <v>1912</v>
      </c>
      <c r="K204" s="9" t="s">
        <v>1912</v>
      </c>
      <c r="L204" s="9" t="s">
        <v>1905</v>
      </c>
      <c r="M204" s="9">
        <v>0</v>
      </c>
      <c r="N204" s="9" t="s">
        <v>1905</v>
      </c>
      <c r="O204" s="9" t="s">
        <v>1898</v>
      </c>
      <c r="P204" s="16" t="s">
        <v>101</v>
      </c>
      <c r="Q204">
        <f t="shared" si="10"/>
        <v>0</v>
      </c>
      <c r="R204" t="b">
        <f t="shared" si="11"/>
        <v>0</v>
      </c>
    </row>
    <row r="205" spans="1:18" hidden="1" x14ac:dyDescent="0.35">
      <c r="A205" s="16" t="s">
        <v>101</v>
      </c>
      <c r="B205" s="9" t="s">
        <v>2366</v>
      </c>
      <c r="C205" s="9" t="s">
        <v>2366</v>
      </c>
      <c r="D205" s="9" t="e">
        <f>VLOOKUP(RBE!C205,Permis[[#This Row],[Parties]],1,0)</f>
        <v>#N/A</v>
      </c>
      <c r="E205" s="9" t="s">
        <v>2369</v>
      </c>
      <c r="F205" s="10" t="s">
        <v>2368</v>
      </c>
      <c r="G205" s="10" t="str">
        <f t="shared" si="9"/>
        <v>2023</v>
      </c>
      <c r="H205" s="10">
        <v>50</v>
      </c>
      <c r="I205" s="10">
        <v>50</v>
      </c>
      <c r="J205" s="9" t="s">
        <v>1912</v>
      </c>
      <c r="K205" s="9" t="s">
        <v>1912</v>
      </c>
      <c r="L205" s="9" t="s">
        <v>1905</v>
      </c>
      <c r="M205" s="9">
        <v>0</v>
      </c>
      <c r="N205" s="9" t="s">
        <v>1905</v>
      </c>
      <c r="O205" s="9" t="s">
        <v>1898</v>
      </c>
      <c r="P205" s="16" t="s">
        <v>101</v>
      </c>
      <c r="Q205">
        <f t="shared" si="10"/>
        <v>0</v>
      </c>
      <c r="R205" t="b">
        <f t="shared" si="11"/>
        <v>0</v>
      </c>
    </row>
    <row r="206" spans="1:18" hidden="1" x14ac:dyDescent="0.35">
      <c r="A206" s="16" t="s">
        <v>101</v>
      </c>
      <c r="B206" s="9" t="s">
        <v>2373</v>
      </c>
      <c r="C206" s="9" t="s">
        <v>2373</v>
      </c>
      <c r="D206" s="9" t="e">
        <f>VLOOKUP(RBE!C206,Permis[[#This Row],[Parties]],1,0)</f>
        <v>#N/A</v>
      </c>
      <c r="E206" s="9" t="s">
        <v>2371</v>
      </c>
      <c r="F206" s="10" t="s">
        <v>2372</v>
      </c>
      <c r="G206" s="10" t="str">
        <f t="shared" si="9"/>
        <v>2023</v>
      </c>
      <c r="H206" s="10">
        <v>40</v>
      </c>
      <c r="I206" s="10">
        <v>40</v>
      </c>
      <c r="J206" s="9" t="s">
        <v>1912</v>
      </c>
      <c r="K206" s="9" t="s">
        <v>1912</v>
      </c>
      <c r="L206" s="9" t="s">
        <v>1905</v>
      </c>
      <c r="M206" s="9">
        <v>0</v>
      </c>
      <c r="N206" s="9" t="s">
        <v>1905</v>
      </c>
      <c r="O206" s="9" t="s">
        <v>1898</v>
      </c>
      <c r="P206" s="16" t="s">
        <v>101</v>
      </c>
      <c r="Q206">
        <f t="shared" si="10"/>
        <v>0</v>
      </c>
      <c r="R206" t="b">
        <f t="shared" si="11"/>
        <v>0</v>
      </c>
    </row>
    <row r="207" spans="1:18" hidden="1" x14ac:dyDescent="0.35">
      <c r="A207" s="16" t="s">
        <v>101</v>
      </c>
      <c r="B207" s="9" t="s">
        <v>2373</v>
      </c>
      <c r="C207" s="9" t="s">
        <v>2373</v>
      </c>
      <c r="D207" s="9" t="e">
        <f>VLOOKUP(RBE!C207,Permis[[#This Row],[Parties]],1,0)</f>
        <v>#N/A</v>
      </c>
      <c r="E207" s="9" t="s">
        <v>2374</v>
      </c>
      <c r="F207" s="10" t="s">
        <v>2372</v>
      </c>
      <c r="G207" s="10" t="str">
        <f t="shared" si="9"/>
        <v>2023</v>
      </c>
      <c r="H207" s="10">
        <v>40</v>
      </c>
      <c r="I207" s="10">
        <v>40</v>
      </c>
      <c r="J207" s="9" t="s">
        <v>1912</v>
      </c>
      <c r="K207" s="9" t="s">
        <v>1912</v>
      </c>
      <c r="L207" s="9" t="s">
        <v>1905</v>
      </c>
      <c r="M207" s="9">
        <v>0</v>
      </c>
      <c r="N207" s="9" t="s">
        <v>1905</v>
      </c>
      <c r="O207" s="9" t="s">
        <v>1898</v>
      </c>
      <c r="P207" s="16" t="s">
        <v>101</v>
      </c>
      <c r="Q207">
        <f t="shared" si="10"/>
        <v>0</v>
      </c>
      <c r="R207" t="b">
        <f t="shared" si="11"/>
        <v>0</v>
      </c>
    </row>
    <row r="208" spans="1:18" hidden="1" x14ac:dyDescent="0.35">
      <c r="A208" s="16" t="s">
        <v>101</v>
      </c>
      <c r="B208" s="9" t="s">
        <v>2375</v>
      </c>
      <c r="C208" s="9" t="s">
        <v>2375</v>
      </c>
      <c r="D208" s="9" t="e">
        <f>VLOOKUP(RBE!C208,Permis[[#This Row],[Parties]],1,0)</f>
        <v>#N/A</v>
      </c>
      <c r="E208" s="9" t="s">
        <v>2376</v>
      </c>
      <c r="F208" s="10" t="s">
        <v>2377</v>
      </c>
      <c r="G208" s="10" t="str">
        <f t="shared" si="9"/>
        <v>2023</v>
      </c>
      <c r="H208" s="10" t="s">
        <v>1905</v>
      </c>
      <c r="I208" s="10" t="s">
        <v>1905</v>
      </c>
      <c r="J208" s="9" t="s">
        <v>2181</v>
      </c>
      <c r="K208" s="9" t="s">
        <v>2181</v>
      </c>
      <c r="L208" s="9" t="s">
        <v>1905</v>
      </c>
      <c r="M208" s="9">
        <v>0</v>
      </c>
      <c r="N208" s="9" t="s">
        <v>1905</v>
      </c>
      <c r="O208" s="9" t="s">
        <v>1898</v>
      </c>
      <c r="P208" s="16" t="s">
        <v>101</v>
      </c>
      <c r="Q208">
        <f t="shared" si="10"/>
        <v>0</v>
      </c>
      <c r="R208" t="b">
        <f t="shared" si="11"/>
        <v>0</v>
      </c>
    </row>
    <row r="209" spans="1:18" hidden="1" x14ac:dyDescent="0.35">
      <c r="A209" s="16" t="s">
        <v>101</v>
      </c>
      <c r="B209" s="9" t="s">
        <v>2378</v>
      </c>
      <c r="C209" s="9" t="s">
        <v>2378</v>
      </c>
      <c r="D209" s="9" t="e">
        <f>VLOOKUP(RBE!C209,Permis[[#This Row],[Parties]],1,0)</f>
        <v>#N/A</v>
      </c>
      <c r="E209" s="9" t="s">
        <v>2379</v>
      </c>
      <c r="F209" s="10" t="s">
        <v>2377</v>
      </c>
      <c r="G209" s="10" t="str">
        <f t="shared" si="9"/>
        <v>2023</v>
      </c>
      <c r="H209" s="10" t="s">
        <v>1905</v>
      </c>
      <c r="I209" s="10" t="s">
        <v>1905</v>
      </c>
      <c r="J209" s="9" t="s">
        <v>1926</v>
      </c>
      <c r="K209" s="9" t="s">
        <v>1926</v>
      </c>
      <c r="L209" s="9" t="s">
        <v>1905</v>
      </c>
      <c r="M209" s="9">
        <v>0</v>
      </c>
      <c r="N209" s="9" t="s">
        <v>1905</v>
      </c>
      <c r="O209" s="9" t="s">
        <v>1898</v>
      </c>
      <c r="P209" s="16" t="s">
        <v>101</v>
      </c>
      <c r="Q209">
        <f t="shared" si="10"/>
        <v>0</v>
      </c>
      <c r="R209" t="b">
        <f t="shared" si="11"/>
        <v>0</v>
      </c>
    </row>
    <row r="210" spans="1:18" hidden="1" x14ac:dyDescent="0.35">
      <c r="A210" s="16" t="s">
        <v>101</v>
      </c>
      <c r="B210" s="9" t="s">
        <v>2378</v>
      </c>
      <c r="C210" s="9" t="s">
        <v>2378</v>
      </c>
      <c r="D210" s="9" t="e">
        <f>VLOOKUP(RBE!C210,Permis[[#This Row],[Parties]],1,0)</f>
        <v>#N/A</v>
      </c>
      <c r="E210" s="9" t="s">
        <v>2380</v>
      </c>
      <c r="F210" s="10" t="s">
        <v>2381</v>
      </c>
      <c r="G210" s="10" t="str">
        <f t="shared" si="9"/>
        <v>2023</v>
      </c>
      <c r="H210" s="10">
        <v>50</v>
      </c>
      <c r="I210" s="10">
        <v>50</v>
      </c>
      <c r="J210" s="9" t="s">
        <v>1912</v>
      </c>
      <c r="K210" s="9" t="s">
        <v>1912</v>
      </c>
      <c r="L210" s="9" t="s">
        <v>1905</v>
      </c>
      <c r="M210" s="9">
        <v>0</v>
      </c>
      <c r="N210" s="9" t="s">
        <v>1905</v>
      </c>
      <c r="O210" s="9" t="s">
        <v>1898</v>
      </c>
      <c r="P210" s="16" t="s">
        <v>101</v>
      </c>
      <c r="Q210">
        <f t="shared" si="10"/>
        <v>0</v>
      </c>
      <c r="R210" t="b">
        <f t="shared" si="11"/>
        <v>0</v>
      </c>
    </row>
    <row r="211" spans="1:18" hidden="1" x14ac:dyDescent="0.35">
      <c r="A211" s="16" t="s">
        <v>101</v>
      </c>
      <c r="B211" s="9" t="s">
        <v>2378</v>
      </c>
      <c r="C211" s="9" t="s">
        <v>2378</v>
      </c>
      <c r="D211" s="9" t="e">
        <f>VLOOKUP(RBE!C211,Permis[[#This Row],[Parties]],1,0)</f>
        <v>#N/A</v>
      </c>
      <c r="E211" s="9" t="s">
        <v>2382</v>
      </c>
      <c r="F211" s="10" t="s">
        <v>2381</v>
      </c>
      <c r="G211" s="10" t="str">
        <f t="shared" si="9"/>
        <v>2023</v>
      </c>
      <c r="H211" s="10">
        <v>50</v>
      </c>
      <c r="I211" s="10">
        <v>50</v>
      </c>
      <c r="J211" s="9" t="s">
        <v>1912</v>
      </c>
      <c r="K211" s="9" t="s">
        <v>1912</v>
      </c>
      <c r="L211" s="9" t="s">
        <v>1905</v>
      </c>
      <c r="M211" s="9">
        <v>0</v>
      </c>
      <c r="N211" s="9" t="s">
        <v>1905</v>
      </c>
      <c r="O211" s="9" t="s">
        <v>1898</v>
      </c>
      <c r="P211" s="16" t="s">
        <v>101</v>
      </c>
      <c r="Q211">
        <f t="shared" si="10"/>
        <v>0</v>
      </c>
      <c r="R211" t="b">
        <f t="shared" si="11"/>
        <v>0</v>
      </c>
    </row>
    <row r="212" spans="1:18" hidden="1" x14ac:dyDescent="0.35">
      <c r="A212" s="16" t="s">
        <v>101</v>
      </c>
      <c r="B212" s="9" t="s">
        <v>2383</v>
      </c>
      <c r="C212" s="9" t="s">
        <v>2383</v>
      </c>
      <c r="D212" s="9" t="e">
        <f>VLOOKUP(RBE!C212,Permis[[#This Row],[Parties]],1,0)</f>
        <v>#N/A</v>
      </c>
      <c r="E212" s="9" t="s">
        <v>2384</v>
      </c>
      <c r="F212" s="10" t="s">
        <v>2385</v>
      </c>
      <c r="G212" s="10" t="str">
        <f t="shared" si="9"/>
        <v>2023</v>
      </c>
      <c r="H212" s="10">
        <v>20</v>
      </c>
      <c r="I212" s="10">
        <v>20</v>
      </c>
      <c r="J212" s="9" t="s">
        <v>1912</v>
      </c>
      <c r="K212" s="9" t="s">
        <v>1912</v>
      </c>
      <c r="L212" s="9" t="s">
        <v>1905</v>
      </c>
      <c r="M212" s="9">
        <v>0</v>
      </c>
      <c r="N212" s="9" t="s">
        <v>1905</v>
      </c>
      <c r="O212" s="9" t="s">
        <v>1898</v>
      </c>
      <c r="P212" s="16" t="s">
        <v>101</v>
      </c>
      <c r="Q212">
        <f t="shared" si="10"/>
        <v>0</v>
      </c>
      <c r="R212" t="b">
        <f t="shared" si="11"/>
        <v>0</v>
      </c>
    </row>
    <row r="213" spans="1:18" hidden="1" x14ac:dyDescent="0.35">
      <c r="A213" s="16" t="s">
        <v>101</v>
      </c>
      <c r="B213" s="9" t="s">
        <v>2383</v>
      </c>
      <c r="C213" s="9" t="s">
        <v>2383</v>
      </c>
      <c r="D213" s="9" t="e">
        <f>VLOOKUP(RBE!C213,Permis[[#This Row],[Parties]],1,0)</f>
        <v>#N/A</v>
      </c>
      <c r="E213" s="9" t="s">
        <v>2386</v>
      </c>
      <c r="F213" s="10" t="s">
        <v>2385</v>
      </c>
      <c r="G213" s="10" t="str">
        <f t="shared" si="9"/>
        <v>2023</v>
      </c>
      <c r="H213" s="10">
        <v>20</v>
      </c>
      <c r="I213" s="10">
        <v>20</v>
      </c>
      <c r="J213" s="9" t="s">
        <v>1912</v>
      </c>
      <c r="K213" s="9" t="s">
        <v>1912</v>
      </c>
      <c r="L213" s="9" t="s">
        <v>1905</v>
      </c>
      <c r="M213" s="9">
        <v>0</v>
      </c>
      <c r="N213" s="9" t="s">
        <v>1905</v>
      </c>
      <c r="O213" s="9" t="s">
        <v>1898</v>
      </c>
      <c r="P213" s="16" t="s">
        <v>101</v>
      </c>
      <c r="Q213">
        <f t="shared" si="10"/>
        <v>0</v>
      </c>
      <c r="R213" t="b">
        <f t="shared" si="11"/>
        <v>0</v>
      </c>
    </row>
    <row r="214" spans="1:18" hidden="1" x14ac:dyDescent="0.35">
      <c r="A214" s="16" t="s">
        <v>101</v>
      </c>
      <c r="B214" s="9" t="s">
        <v>2387</v>
      </c>
      <c r="C214" s="9" t="s">
        <v>2387</v>
      </c>
      <c r="D214" s="9" t="e">
        <f>VLOOKUP(RBE!C214,Permis[[#This Row],[Parties]],1,0)</f>
        <v>#N/A</v>
      </c>
      <c r="E214" s="9" t="s">
        <v>2388</v>
      </c>
      <c r="F214" s="10" t="s">
        <v>2385</v>
      </c>
      <c r="G214" s="10" t="str">
        <f t="shared" si="9"/>
        <v>2023</v>
      </c>
      <c r="H214" s="10">
        <v>20</v>
      </c>
      <c r="I214" s="10">
        <v>20</v>
      </c>
      <c r="J214" s="9" t="s">
        <v>1912</v>
      </c>
      <c r="K214" s="9" t="s">
        <v>1912</v>
      </c>
      <c r="L214" s="9" t="s">
        <v>1905</v>
      </c>
      <c r="M214" s="9">
        <v>0</v>
      </c>
      <c r="N214" s="9" t="s">
        <v>1905</v>
      </c>
      <c r="O214" s="9" t="s">
        <v>1898</v>
      </c>
      <c r="P214" s="16" t="s">
        <v>101</v>
      </c>
      <c r="Q214">
        <f t="shared" si="10"/>
        <v>0</v>
      </c>
      <c r="R214" t="b">
        <f t="shared" si="11"/>
        <v>0</v>
      </c>
    </row>
    <row r="215" spans="1:18" hidden="1" x14ac:dyDescent="0.35">
      <c r="A215" s="16" t="s">
        <v>101</v>
      </c>
      <c r="B215" s="9" t="s">
        <v>2387</v>
      </c>
      <c r="C215" s="9" t="s">
        <v>2387</v>
      </c>
      <c r="D215" s="9" t="e">
        <f>VLOOKUP(RBE!C215,Permis[[#This Row],[Parties]],1,0)</f>
        <v>#N/A</v>
      </c>
      <c r="E215" s="9" t="s">
        <v>2389</v>
      </c>
      <c r="F215" s="10" t="s">
        <v>2385</v>
      </c>
      <c r="G215" s="10" t="str">
        <f t="shared" si="9"/>
        <v>2023</v>
      </c>
      <c r="H215" s="10">
        <v>20</v>
      </c>
      <c r="I215" s="10">
        <v>20</v>
      </c>
      <c r="J215" s="9" t="s">
        <v>1912</v>
      </c>
      <c r="K215" s="9" t="s">
        <v>1912</v>
      </c>
      <c r="L215" s="9" t="s">
        <v>1905</v>
      </c>
      <c r="M215" s="9">
        <v>0</v>
      </c>
      <c r="N215" s="9" t="s">
        <v>1905</v>
      </c>
      <c r="O215" s="9" t="s">
        <v>1898</v>
      </c>
      <c r="P215" s="16" t="s">
        <v>101</v>
      </c>
      <c r="Q215">
        <f t="shared" si="10"/>
        <v>0</v>
      </c>
      <c r="R215" t="b">
        <f t="shared" si="11"/>
        <v>0</v>
      </c>
    </row>
    <row r="216" spans="1:18" hidden="1" x14ac:dyDescent="0.35">
      <c r="A216" s="16" t="s">
        <v>101</v>
      </c>
      <c r="B216" s="9" t="s">
        <v>2390</v>
      </c>
      <c r="C216" s="9" t="s">
        <v>2390</v>
      </c>
      <c r="D216" s="9" t="e">
        <f>VLOOKUP(RBE!C216,Permis[[#This Row],[Parties]],1,0)</f>
        <v>#N/A</v>
      </c>
      <c r="E216" s="9" t="s">
        <v>2391</v>
      </c>
      <c r="F216" s="10" t="s">
        <v>2385</v>
      </c>
      <c r="G216" s="10" t="str">
        <f t="shared" si="9"/>
        <v>2023</v>
      </c>
      <c r="H216" s="10">
        <v>20</v>
      </c>
      <c r="I216" s="10">
        <v>20</v>
      </c>
      <c r="J216" s="9" t="s">
        <v>1912</v>
      </c>
      <c r="K216" s="9" t="s">
        <v>1912</v>
      </c>
      <c r="L216" s="9" t="s">
        <v>1905</v>
      </c>
      <c r="M216" s="9">
        <v>0</v>
      </c>
      <c r="N216" s="9" t="s">
        <v>1905</v>
      </c>
      <c r="O216" s="9" t="s">
        <v>1898</v>
      </c>
      <c r="P216" s="16" t="s">
        <v>101</v>
      </c>
      <c r="Q216">
        <f t="shared" si="10"/>
        <v>0</v>
      </c>
      <c r="R216" t="b">
        <f t="shared" si="11"/>
        <v>0</v>
      </c>
    </row>
    <row r="217" spans="1:18" hidden="1" x14ac:dyDescent="0.35">
      <c r="A217" s="16" t="s">
        <v>101</v>
      </c>
      <c r="B217" s="9" t="s">
        <v>2390</v>
      </c>
      <c r="C217" s="9" t="s">
        <v>2390</v>
      </c>
      <c r="D217" s="9" t="e">
        <f>VLOOKUP(RBE!C217,Permis[[#This Row],[Parties]],1,0)</f>
        <v>#N/A</v>
      </c>
      <c r="E217" s="9" t="s">
        <v>2392</v>
      </c>
      <c r="F217" s="10" t="s">
        <v>2393</v>
      </c>
      <c r="G217" s="10" t="str">
        <f t="shared" si="9"/>
        <v>2023</v>
      </c>
      <c r="H217" s="10">
        <v>100</v>
      </c>
      <c r="I217" s="10" t="s">
        <v>1905</v>
      </c>
      <c r="J217" s="9" t="s">
        <v>1912</v>
      </c>
      <c r="K217" s="9" t="s">
        <v>1912</v>
      </c>
      <c r="L217" s="9" t="s">
        <v>1905</v>
      </c>
      <c r="M217" s="9">
        <v>0</v>
      </c>
      <c r="N217" s="9" t="s">
        <v>1905</v>
      </c>
      <c r="O217" s="9" t="s">
        <v>1898</v>
      </c>
      <c r="P217" s="16" t="s">
        <v>101</v>
      </c>
      <c r="Q217">
        <f t="shared" si="10"/>
        <v>0</v>
      </c>
      <c r="R217" t="b">
        <f t="shared" si="11"/>
        <v>0</v>
      </c>
    </row>
    <row r="218" spans="1:18" hidden="1" x14ac:dyDescent="0.35">
      <c r="A218" s="16" t="s">
        <v>101</v>
      </c>
      <c r="B218" s="9" t="s">
        <v>2390</v>
      </c>
      <c r="C218" s="9" t="s">
        <v>2390</v>
      </c>
      <c r="D218" s="9" t="e">
        <f>VLOOKUP(RBE!C218,Permis[[#This Row],[Parties]],1,0)</f>
        <v>#N/A</v>
      </c>
      <c r="E218" s="9" t="s">
        <v>2394</v>
      </c>
      <c r="F218" s="10" t="s">
        <v>2395</v>
      </c>
      <c r="G218" s="10" t="str">
        <f t="shared" si="9"/>
        <v>2023</v>
      </c>
      <c r="H218" s="10" t="s">
        <v>1905</v>
      </c>
      <c r="I218" s="10" t="s">
        <v>1905</v>
      </c>
      <c r="J218" s="9" t="s">
        <v>1912</v>
      </c>
      <c r="K218" s="9" t="s">
        <v>1912</v>
      </c>
      <c r="L218" s="9" t="s">
        <v>1905</v>
      </c>
      <c r="M218" s="9">
        <v>0</v>
      </c>
      <c r="N218" s="9" t="s">
        <v>1905</v>
      </c>
      <c r="O218" s="9" t="s">
        <v>1898</v>
      </c>
      <c r="P218" s="16" t="s">
        <v>101</v>
      </c>
      <c r="Q218">
        <f t="shared" si="10"/>
        <v>0</v>
      </c>
      <c r="R218" t="b">
        <f t="shared" si="11"/>
        <v>0</v>
      </c>
    </row>
    <row r="219" spans="1:18" hidden="1" x14ac:dyDescent="0.35">
      <c r="A219" s="16" t="s">
        <v>101</v>
      </c>
      <c r="B219" s="9" t="s">
        <v>2396</v>
      </c>
      <c r="C219" s="9" t="s">
        <v>2396</v>
      </c>
      <c r="D219" s="9" t="e">
        <f>VLOOKUP(RBE!C219,Permis[[#This Row],[Parties]],1,0)</f>
        <v>#N/A</v>
      </c>
      <c r="E219" s="9" t="s">
        <v>2397</v>
      </c>
      <c r="F219" s="10" t="s">
        <v>2398</v>
      </c>
      <c r="G219" s="10" t="str">
        <f t="shared" si="9"/>
        <v>2023</v>
      </c>
      <c r="H219" s="10">
        <v>15</v>
      </c>
      <c r="I219" s="10">
        <v>15</v>
      </c>
      <c r="J219" s="9" t="s">
        <v>1912</v>
      </c>
      <c r="K219" s="9" t="s">
        <v>1912</v>
      </c>
      <c r="L219" s="9" t="s">
        <v>1905</v>
      </c>
      <c r="M219" s="9">
        <v>0</v>
      </c>
      <c r="N219" s="9" t="s">
        <v>1905</v>
      </c>
      <c r="O219" s="9" t="s">
        <v>1898</v>
      </c>
      <c r="P219" s="16" t="s">
        <v>101</v>
      </c>
      <c r="Q219">
        <f t="shared" si="10"/>
        <v>0</v>
      </c>
      <c r="R219" t="b">
        <f t="shared" si="11"/>
        <v>0</v>
      </c>
    </row>
    <row r="220" spans="1:18" hidden="1" x14ac:dyDescent="0.35">
      <c r="A220" s="16" t="s">
        <v>101</v>
      </c>
      <c r="B220" s="9" t="s">
        <v>2396</v>
      </c>
      <c r="C220" s="9" t="s">
        <v>2396</v>
      </c>
      <c r="D220" s="9" t="e">
        <f>VLOOKUP(RBE!C220,Permis[[#This Row],[Parties]],1,0)</f>
        <v>#N/A</v>
      </c>
      <c r="E220" s="9" t="s">
        <v>2399</v>
      </c>
      <c r="F220" s="10" t="s">
        <v>2398</v>
      </c>
      <c r="G220" s="10" t="str">
        <f t="shared" si="9"/>
        <v>2023</v>
      </c>
      <c r="H220" s="10">
        <v>15</v>
      </c>
      <c r="I220" s="10">
        <v>15</v>
      </c>
      <c r="J220" s="9" t="s">
        <v>1912</v>
      </c>
      <c r="K220" s="9" t="s">
        <v>1912</v>
      </c>
      <c r="L220" s="9" t="s">
        <v>1905</v>
      </c>
      <c r="M220" s="9">
        <v>0</v>
      </c>
      <c r="N220" s="9" t="s">
        <v>1905</v>
      </c>
      <c r="O220" s="9" t="s">
        <v>1898</v>
      </c>
      <c r="P220" s="16" t="s">
        <v>101</v>
      </c>
      <c r="Q220">
        <f t="shared" si="10"/>
        <v>0</v>
      </c>
      <c r="R220" t="b">
        <f t="shared" si="11"/>
        <v>0</v>
      </c>
    </row>
    <row r="221" spans="1:18" hidden="1" x14ac:dyDescent="0.35">
      <c r="A221" s="16" t="s">
        <v>101</v>
      </c>
      <c r="B221" s="9" t="s">
        <v>2396</v>
      </c>
      <c r="C221" s="9" t="s">
        <v>2396</v>
      </c>
      <c r="D221" s="9" t="e">
        <f>VLOOKUP(RBE!C221,Permis[[#This Row],[Parties]],1,0)</f>
        <v>#N/A</v>
      </c>
      <c r="E221" s="9" t="s">
        <v>2400</v>
      </c>
      <c r="F221" s="10" t="s">
        <v>2401</v>
      </c>
      <c r="G221" s="10" t="str">
        <f t="shared" si="9"/>
        <v>2023</v>
      </c>
      <c r="H221" s="10" t="s">
        <v>1905</v>
      </c>
      <c r="I221" s="10" t="s">
        <v>1905</v>
      </c>
      <c r="J221" s="9" t="s">
        <v>1912</v>
      </c>
      <c r="K221" s="9" t="s">
        <v>1912</v>
      </c>
      <c r="L221" s="9" t="s">
        <v>1905</v>
      </c>
      <c r="M221" s="9">
        <v>0</v>
      </c>
      <c r="N221" s="9" t="s">
        <v>1905</v>
      </c>
      <c r="O221" s="9" t="s">
        <v>1898</v>
      </c>
      <c r="P221" s="16" t="s">
        <v>101</v>
      </c>
      <c r="Q221">
        <f t="shared" si="10"/>
        <v>0</v>
      </c>
      <c r="R221" t="b">
        <f t="shared" si="11"/>
        <v>0</v>
      </c>
    </row>
    <row r="222" spans="1:18" hidden="1" x14ac:dyDescent="0.35">
      <c r="A222" s="16" t="s">
        <v>101</v>
      </c>
      <c r="B222" s="9" t="s">
        <v>2396</v>
      </c>
      <c r="C222" s="9" t="s">
        <v>2396</v>
      </c>
      <c r="D222" s="9" t="e">
        <f>VLOOKUP(RBE!C222,Permis[[#This Row],[Parties]],1,0)</f>
        <v>#N/A</v>
      </c>
      <c r="E222" s="9" t="s">
        <v>2402</v>
      </c>
      <c r="F222" s="10" t="s">
        <v>2398</v>
      </c>
      <c r="G222" s="10" t="str">
        <f t="shared" si="9"/>
        <v>2023</v>
      </c>
      <c r="H222" s="10">
        <v>15</v>
      </c>
      <c r="I222" s="10">
        <v>15</v>
      </c>
      <c r="J222" s="9" t="s">
        <v>1912</v>
      </c>
      <c r="K222" s="9" t="s">
        <v>1912</v>
      </c>
      <c r="L222" s="9" t="s">
        <v>1905</v>
      </c>
      <c r="M222" s="9">
        <v>0</v>
      </c>
      <c r="N222" s="9" t="s">
        <v>1905</v>
      </c>
      <c r="O222" s="9" t="s">
        <v>1898</v>
      </c>
      <c r="P222" s="16" t="s">
        <v>101</v>
      </c>
      <c r="Q222">
        <f t="shared" si="10"/>
        <v>0</v>
      </c>
      <c r="R222" t="b">
        <f t="shared" si="11"/>
        <v>0</v>
      </c>
    </row>
    <row r="223" spans="1:18" hidden="1" x14ac:dyDescent="0.35">
      <c r="A223" s="16" t="s">
        <v>101</v>
      </c>
      <c r="B223" s="9" t="s">
        <v>2403</v>
      </c>
      <c r="C223" s="9" t="s">
        <v>2403</v>
      </c>
      <c r="D223" s="9" t="e">
        <f>VLOOKUP(RBE!C223,Permis[[#This Row],[Parties]],1,0)</f>
        <v>#N/A</v>
      </c>
      <c r="E223" s="9" t="s">
        <v>2404</v>
      </c>
      <c r="F223" s="10" t="s">
        <v>2405</v>
      </c>
      <c r="G223" s="10" t="str">
        <f t="shared" si="9"/>
        <v>2023</v>
      </c>
      <c r="H223" s="10">
        <v>5</v>
      </c>
      <c r="I223" s="10" t="s">
        <v>1905</v>
      </c>
      <c r="J223" s="9" t="s">
        <v>1912</v>
      </c>
      <c r="K223" s="9" t="s">
        <v>1912</v>
      </c>
      <c r="L223" s="9" t="s">
        <v>1905</v>
      </c>
      <c r="M223" s="9">
        <v>0</v>
      </c>
      <c r="N223" s="9" t="s">
        <v>1905</v>
      </c>
      <c r="O223" s="9" t="s">
        <v>1898</v>
      </c>
      <c r="P223" s="16" t="s">
        <v>101</v>
      </c>
      <c r="Q223">
        <f t="shared" si="10"/>
        <v>0</v>
      </c>
      <c r="R223" t="b">
        <f t="shared" si="11"/>
        <v>0</v>
      </c>
    </row>
    <row r="224" spans="1:18" hidden="1" x14ac:dyDescent="0.35">
      <c r="A224" s="16" t="s">
        <v>101</v>
      </c>
      <c r="B224" s="9" t="s">
        <v>2406</v>
      </c>
      <c r="C224" s="9" t="s">
        <v>2406</v>
      </c>
      <c r="D224" s="9" t="e">
        <f>VLOOKUP(RBE!C224,Permis[[#This Row],[Parties]],1,0)</f>
        <v>#N/A</v>
      </c>
      <c r="E224" s="9" t="s">
        <v>2407</v>
      </c>
      <c r="F224" s="10" t="s">
        <v>2405</v>
      </c>
      <c r="G224" s="10" t="str">
        <f t="shared" si="9"/>
        <v>2023</v>
      </c>
      <c r="H224" s="10">
        <v>5</v>
      </c>
      <c r="I224" s="10" t="s">
        <v>1905</v>
      </c>
      <c r="J224" s="9" t="s">
        <v>1912</v>
      </c>
      <c r="K224" s="9" t="s">
        <v>1912</v>
      </c>
      <c r="L224" s="9" t="s">
        <v>1905</v>
      </c>
      <c r="M224" s="9">
        <v>0</v>
      </c>
      <c r="N224" s="9" t="s">
        <v>1905</v>
      </c>
      <c r="O224" s="9" t="s">
        <v>1898</v>
      </c>
      <c r="P224" s="16" t="s">
        <v>101</v>
      </c>
      <c r="Q224">
        <f t="shared" si="10"/>
        <v>0</v>
      </c>
      <c r="R224" t="b">
        <f t="shared" si="11"/>
        <v>0</v>
      </c>
    </row>
    <row r="225" spans="1:18" hidden="1" x14ac:dyDescent="0.35">
      <c r="A225" s="16" t="s">
        <v>101</v>
      </c>
      <c r="B225" s="9" t="s">
        <v>2408</v>
      </c>
      <c r="C225" s="9" t="s">
        <v>2408</v>
      </c>
      <c r="D225" s="9" t="e">
        <f>VLOOKUP(RBE!C225,Permis[[#This Row],[Parties]],1,0)</f>
        <v>#N/A</v>
      </c>
      <c r="E225" s="9" t="s">
        <v>2409</v>
      </c>
      <c r="F225" s="10" t="s">
        <v>2405</v>
      </c>
      <c r="G225" s="10" t="str">
        <f t="shared" si="9"/>
        <v>2023</v>
      </c>
      <c r="H225" s="10">
        <v>90</v>
      </c>
      <c r="I225" s="10" t="s">
        <v>1905</v>
      </c>
      <c r="J225" s="9" t="s">
        <v>1912</v>
      </c>
      <c r="K225" s="9" t="s">
        <v>1912</v>
      </c>
      <c r="L225" s="9" t="s">
        <v>1905</v>
      </c>
      <c r="M225" s="9">
        <v>0</v>
      </c>
      <c r="N225" s="9" t="s">
        <v>1905</v>
      </c>
      <c r="O225" s="9" t="s">
        <v>1898</v>
      </c>
      <c r="P225" s="16" t="s">
        <v>101</v>
      </c>
      <c r="Q225">
        <f t="shared" si="10"/>
        <v>0</v>
      </c>
      <c r="R225" t="b">
        <f t="shared" si="11"/>
        <v>0</v>
      </c>
    </row>
    <row r="226" spans="1:18" hidden="1" x14ac:dyDescent="0.35">
      <c r="A226" s="16" t="s">
        <v>101</v>
      </c>
      <c r="B226" s="9" t="s">
        <v>2408</v>
      </c>
      <c r="C226" s="9" t="s">
        <v>2408</v>
      </c>
      <c r="D226" s="9" t="e">
        <f>VLOOKUP(RBE!C226,Permis[[#This Row],[Parties]],1,0)</f>
        <v>#N/A</v>
      </c>
      <c r="E226" s="9" t="s">
        <v>2410</v>
      </c>
      <c r="F226" s="10" t="s">
        <v>2411</v>
      </c>
      <c r="G226" s="10" t="str">
        <f t="shared" si="9"/>
        <v>2023</v>
      </c>
      <c r="H226" s="10">
        <v>50</v>
      </c>
      <c r="I226" s="10">
        <v>50</v>
      </c>
      <c r="J226" s="9" t="s">
        <v>2251</v>
      </c>
      <c r="K226" s="9" t="s">
        <v>2251</v>
      </c>
      <c r="L226" s="9" t="s">
        <v>1905</v>
      </c>
      <c r="M226" s="9">
        <v>0</v>
      </c>
      <c r="N226" s="9" t="s">
        <v>1905</v>
      </c>
      <c r="O226" s="9" t="s">
        <v>1898</v>
      </c>
      <c r="P226" s="16" t="s">
        <v>101</v>
      </c>
      <c r="Q226">
        <f t="shared" si="10"/>
        <v>0</v>
      </c>
      <c r="R226" t="b">
        <f t="shared" si="11"/>
        <v>0</v>
      </c>
    </row>
    <row r="227" spans="1:18" hidden="1" x14ac:dyDescent="0.35">
      <c r="A227" s="16" t="s">
        <v>101</v>
      </c>
      <c r="B227" s="9" t="s">
        <v>2412</v>
      </c>
      <c r="C227" s="9" t="s">
        <v>2412</v>
      </c>
      <c r="D227" s="9" t="e">
        <f>VLOOKUP(RBE!C227,Permis[[#This Row],[Parties]],1,0)</f>
        <v>#N/A</v>
      </c>
      <c r="E227" s="9" t="s">
        <v>2413</v>
      </c>
      <c r="F227" s="10" t="s">
        <v>2411</v>
      </c>
      <c r="G227" s="10" t="str">
        <f t="shared" si="9"/>
        <v>2023</v>
      </c>
      <c r="H227" s="10">
        <v>50</v>
      </c>
      <c r="I227" s="10">
        <v>50</v>
      </c>
      <c r="J227" s="9" t="s">
        <v>2251</v>
      </c>
      <c r="K227" s="9" t="s">
        <v>2251</v>
      </c>
      <c r="L227" s="9" t="s">
        <v>1905</v>
      </c>
      <c r="M227" s="9">
        <v>0</v>
      </c>
      <c r="N227" s="9" t="s">
        <v>1905</v>
      </c>
      <c r="O227" s="9" t="s">
        <v>1898</v>
      </c>
      <c r="P227" s="16" t="s">
        <v>101</v>
      </c>
      <c r="Q227">
        <f t="shared" si="10"/>
        <v>0</v>
      </c>
      <c r="R227" t="b">
        <f t="shared" si="11"/>
        <v>0</v>
      </c>
    </row>
    <row r="228" spans="1:18" hidden="1" x14ac:dyDescent="0.35">
      <c r="A228" s="16" t="s">
        <v>101</v>
      </c>
      <c r="B228" s="9" t="s">
        <v>2414</v>
      </c>
      <c r="C228" s="9" t="s">
        <v>2414</v>
      </c>
      <c r="D228" s="9" t="e">
        <f>VLOOKUP(RBE!C228,Permis[[#This Row],[Parties]],1,0)</f>
        <v>#N/A</v>
      </c>
      <c r="E228" s="9" t="s">
        <v>2415</v>
      </c>
      <c r="F228" s="10" t="s">
        <v>2416</v>
      </c>
      <c r="G228" s="10" t="str">
        <f t="shared" si="9"/>
        <v>2023</v>
      </c>
      <c r="H228" s="10">
        <v>30</v>
      </c>
      <c r="I228" s="10">
        <v>30</v>
      </c>
      <c r="J228" s="9" t="s">
        <v>1912</v>
      </c>
      <c r="K228" s="9" t="s">
        <v>1912</v>
      </c>
      <c r="L228" s="9" t="s">
        <v>1905</v>
      </c>
      <c r="M228" s="9">
        <v>0</v>
      </c>
      <c r="N228" s="9" t="s">
        <v>1905</v>
      </c>
      <c r="O228" s="9" t="s">
        <v>1898</v>
      </c>
      <c r="P228" s="16" t="s">
        <v>101</v>
      </c>
      <c r="Q228">
        <f t="shared" si="10"/>
        <v>0</v>
      </c>
      <c r="R228" t="b">
        <f t="shared" si="11"/>
        <v>0</v>
      </c>
    </row>
    <row r="229" spans="1:18" hidden="1" x14ac:dyDescent="0.35">
      <c r="A229" s="16" t="s">
        <v>101</v>
      </c>
      <c r="B229" s="9" t="s">
        <v>2417</v>
      </c>
      <c r="C229" s="9" t="s">
        <v>2417</v>
      </c>
      <c r="D229" s="9" t="e">
        <f>VLOOKUP(RBE!C229,Permis[[#This Row],[Parties]],1,0)</f>
        <v>#N/A</v>
      </c>
      <c r="E229" s="9" t="s">
        <v>2418</v>
      </c>
      <c r="F229" s="10" t="s">
        <v>2416</v>
      </c>
      <c r="G229" s="10" t="str">
        <f t="shared" si="9"/>
        <v>2023</v>
      </c>
      <c r="H229" s="10">
        <v>70</v>
      </c>
      <c r="I229" s="10">
        <v>70</v>
      </c>
      <c r="J229" s="9" t="s">
        <v>1965</v>
      </c>
      <c r="K229" s="9" t="s">
        <v>1965</v>
      </c>
      <c r="L229" s="9" t="s">
        <v>1905</v>
      </c>
      <c r="M229" s="9">
        <v>0</v>
      </c>
      <c r="N229" s="9" t="s">
        <v>1905</v>
      </c>
      <c r="O229" s="9" t="s">
        <v>1898</v>
      </c>
      <c r="P229" s="16" t="s">
        <v>101</v>
      </c>
      <c r="Q229">
        <f t="shared" si="10"/>
        <v>0</v>
      </c>
      <c r="R229" t="b">
        <f t="shared" si="11"/>
        <v>0</v>
      </c>
    </row>
    <row r="230" spans="1:18" hidden="1" x14ac:dyDescent="0.35">
      <c r="A230" s="16" t="s">
        <v>101</v>
      </c>
      <c r="B230" s="9" t="s">
        <v>2419</v>
      </c>
      <c r="C230" s="9" t="s">
        <v>2419</v>
      </c>
      <c r="D230" s="9" t="e">
        <f>VLOOKUP(RBE!C230,Permis[[#This Row],[Parties]],1,0)</f>
        <v>#N/A</v>
      </c>
      <c r="E230" s="9" t="s">
        <v>2420</v>
      </c>
      <c r="F230" s="10" t="s">
        <v>2421</v>
      </c>
      <c r="G230" s="10" t="str">
        <f t="shared" si="9"/>
        <v>2023</v>
      </c>
      <c r="H230" s="10" t="s">
        <v>1905</v>
      </c>
      <c r="I230" s="10" t="s">
        <v>1905</v>
      </c>
      <c r="J230" s="9" t="s">
        <v>2251</v>
      </c>
      <c r="K230" s="9" t="s">
        <v>2251</v>
      </c>
      <c r="L230" s="9" t="s">
        <v>1905</v>
      </c>
      <c r="M230" s="9">
        <v>0</v>
      </c>
      <c r="N230" s="9" t="s">
        <v>1905</v>
      </c>
      <c r="O230" s="9" t="s">
        <v>1898</v>
      </c>
      <c r="P230" s="16" t="s">
        <v>101</v>
      </c>
      <c r="Q230">
        <f t="shared" si="10"/>
        <v>0</v>
      </c>
      <c r="R230" t="b">
        <f t="shared" si="11"/>
        <v>0</v>
      </c>
    </row>
    <row r="231" spans="1:18" hidden="1" x14ac:dyDescent="0.35">
      <c r="A231" s="16" t="s">
        <v>101</v>
      </c>
      <c r="B231" s="9" t="s">
        <v>1930</v>
      </c>
      <c r="C231" s="9" t="s">
        <v>3132</v>
      </c>
      <c r="D231" s="9" t="e">
        <f>VLOOKUP(RBE!C231,Permis[[#This Row],[Parties]],1,0)</f>
        <v>#N/A</v>
      </c>
      <c r="E231" s="9" t="s">
        <v>1931</v>
      </c>
      <c r="F231" s="10" t="s">
        <v>1932</v>
      </c>
      <c r="G231" s="10" t="str">
        <f t="shared" si="9"/>
        <v>2021</v>
      </c>
      <c r="H231" s="10">
        <v>100</v>
      </c>
      <c r="I231" s="10">
        <v>100</v>
      </c>
      <c r="J231" s="9" t="s">
        <v>1912</v>
      </c>
      <c r="K231" s="9" t="s">
        <v>1912</v>
      </c>
      <c r="L231" s="9" t="s">
        <v>1905</v>
      </c>
      <c r="M231" s="9">
        <v>0</v>
      </c>
      <c r="N231" s="9" t="s">
        <v>1905</v>
      </c>
      <c r="O231" s="9" t="s">
        <v>1898</v>
      </c>
      <c r="P231" s="16" t="s">
        <v>101</v>
      </c>
      <c r="Q231">
        <f t="shared" si="10"/>
        <v>0</v>
      </c>
      <c r="R231" t="b">
        <f t="shared" si="11"/>
        <v>0</v>
      </c>
    </row>
    <row r="232" spans="1:18" hidden="1" x14ac:dyDescent="0.35">
      <c r="A232" s="16" t="s">
        <v>101</v>
      </c>
      <c r="B232" s="9" t="s">
        <v>2422</v>
      </c>
      <c r="C232" s="9" t="s">
        <v>2422</v>
      </c>
      <c r="D232" s="9" t="e">
        <f>VLOOKUP(RBE!C232,Permis[[#This Row],[Parties]],1,0)</f>
        <v>#N/A</v>
      </c>
      <c r="E232" s="9" t="s">
        <v>2420</v>
      </c>
      <c r="F232" s="10" t="s">
        <v>2421</v>
      </c>
      <c r="G232" s="10" t="str">
        <f t="shared" si="9"/>
        <v>2023</v>
      </c>
      <c r="H232" s="10" t="s">
        <v>1905</v>
      </c>
      <c r="I232" s="10" t="s">
        <v>1905</v>
      </c>
      <c r="J232" s="9" t="s">
        <v>2254</v>
      </c>
      <c r="K232" s="9" t="s">
        <v>2254</v>
      </c>
      <c r="L232" s="9" t="s">
        <v>2255</v>
      </c>
      <c r="M232" s="9">
        <v>1</v>
      </c>
      <c r="N232" s="9" t="s">
        <v>2256</v>
      </c>
      <c r="O232" s="9" t="s">
        <v>1898</v>
      </c>
      <c r="P232" s="16" t="s">
        <v>101</v>
      </c>
      <c r="Q232">
        <f t="shared" si="10"/>
        <v>0</v>
      </c>
      <c r="R232" t="b">
        <f t="shared" si="11"/>
        <v>0</v>
      </c>
    </row>
    <row r="233" spans="1:18" hidden="1" x14ac:dyDescent="0.35">
      <c r="A233" s="16" t="s">
        <v>101</v>
      </c>
      <c r="B233" s="9" t="s">
        <v>2422</v>
      </c>
      <c r="C233" s="9" t="s">
        <v>2422</v>
      </c>
      <c r="D233" s="9" t="e">
        <f>VLOOKUP(RBE!C233,Permis[[#This Row],[Parties]],1,0)</f>
        <v>#N/A</v>
      </c>
      <c r="E233" s="9" t="s">
        <v>2423</v>
      </c>
      <c r="F233" s="10" t="s">
        <v>2421</v>
      </c>
      <c r="G233" s="10" t="str">
        <f t="shared" si="9"/>
        <v>2023</v>
      </c>
      <c r="H233" s="10" t="s">
        <v>1905</v>
      </c>
      <c r="I233" s="10" t="s">
        <v>1905</v>
      </c>
      <c r="J233" s="9" t="s">
        <v>2254</v>
      </c>
      <c r="K233" s="9" t="s">
        <v>2254</v>
      </c>
      <c r="L233" s="9" t="s">
        <v>2254</v>
      </c>
      <c r="M233" s="9">
        <v>1</v>
      </c>
      <c r="N233" s="9" t="s">
        <v>2256</v>
      </c>
      <c r="O233" s="9" t="s">
        <v>1898</v>
      </c>
      <c r="P233" s="16" t="s">
        <v>101</v>
      </c>
      <c r="Q233">
        <f t="shared" si="10"/>
        <v>0</v>
      </c>
      <c r="R233" t="b">
        <f t="shared" si="11"/>
        <v>0</v>
      </c>
    </row>
    <row r="234" spans="1:18" hidden="1" x14ac:dyDescent="0.35">
      <c r="A234" s="16" t="s">
        <v>101</v>
      </c>
      <c r="B234" s="9" t="s">
        <v>2424</v>
      </c>
      <c r="C234" s="9" t="s">
        <v>2424</v>
      </c>
      <c r="D234" s="9" t="e">
        <f>VLOOKUP(RBE!C234,Permis[[#This Row],[Parties]],1,0)</f>
        <v>#N/A</v>
      </c>
      <c r="E234" s="9" t="s">
        <v>2423</v>
      </c>
      <c r="F234" s="10" t="s">
        <v>2425</v>
      </c>
      <c r="G234" s="10" t="str">
        <f t="shared" si="9"/>
        <v>2023</v>
      </c>
      <c r="H234" s="10">
        <v>100</v>
      </c>
      <c r="I234" s="10">
        <v>100</v>
      </c>
      <c r="J234" s="9" t="s">
        <v>1912</v>
      </c>
      <c r="K234" s="9" t="s">
        <v>1912</v>
      </c>
      <c r="L234" s="9" t="s">
        <v>1905</v>
      </c>
      <c r="M234" s="9">
        <v>0</v>
      </c>
      <c r="N234" s="9" t="s">
        <v>1905</v>
      </c>
      <c r="O234" s="9" t="s">
        <v>1898</v>
      </c>
      <c r="P234" s="16" t="s">
        <v>101</v>
      </c>
      <c r="Q234">
        <f t="shared" si="10"/>
        <v>0</v>
      </c>
      <c r="R234" t="b">
        <f t="shared" si="11"/>
        <v>0</v>
      </c>
    </row>
    <row r="235" spans="1:18" hidden="1" x14ac:dyDescent="0.35">
      <c r="A235" s="16" t="s">
        <v>101</v>
      </c>
      <c r="B235" s="9" t="s">
        <v>2436</v>
      </c>
      <c r="C235" s="9" t="s">
        <v>2436</v>
      </c>
      <c r="D235" s="9" t="e">
        <f>VLOOKUP(RBE!C235,Permis[[#This Row],[Parties]],1,0)</f>
        <v>#N/A</v>
      </c>
      <c r="E235" s="9" t="s">
        <v>2435</v>
      </c>
      <c r="F235" s="10" t="s">
        <v>2433</v>
      </c>
      <c r="G235" s="10" t="str">
        <f t="shared" si="9"/>
        <v>2023</v>
      </c>
      <c r="H235" s="10">
        <v>20</v>
      </c>
      <c r="I235" s="10">
        <v>20</v>
      </c>
      <c r="J235" s="9" t="s">
        <v>1912</v>
      </c>
      <c r="K235" s="9" t="s">
        <v>1912</v>
      </c>
      <c r="L235" s="9" t="s">
        <v>1905</v>
      </c>
      <c r="M235" s="9">
        <v>0</v>
      </c>
      <c r="N235" s="9" t="s">
        <v>1905</v>
      </c>
      <c r="O235" s="9" t="s">
        <v>1898</v>
      </c>
      <c r="P235" s="16" t="s">
        <v>101</v>
      </c>
      <c r="Q235">
        <f t="shared" si="10"/>
        <v>0</v>
      </c>
      <c r="R235" t="b">
        <f t="shared" si="11"/>
        <v>0</v>
      </c>
    </row>
    <row r="236" spans="1:18" hidden="1" x14ac:dyDescent="0.35">
      <c r="A236" s="16" t="s">
        <v>101</v>
      </c>
      <c r="B236" s="9" t="s">
        <v>2436</v>
      </c>
      <c r="C236" s="9" t="s">
        <v>2436</v>
      </c>
      <c r="D236" s="9" t="e">
        <f>VLOOKUP(RBE!C236,Permis[[#This Row],[Parties]],1,0)</f>
        <v>#N/A</v>
      </c>
      <c r="E236" s="9" t="s">
        <v>2435</v>
      </c>
      <c r="F236" s="10" t="s">
        <v>2433</v>
      </c>
      <c r="G236" s="10" t="str">
        <f t="shared" si="9"/>
        <v>2023</v>
      </c>
      <c r="H236" s="10">
        <v>30</v>
      </c>
      <c r="I236" s="10">
        <v>30</v>
      </c>
      <c r="J236" s="9" t="s">
        <v>1912</v>
      </c>
      <c r="K236" s="9" t="s">
        <v>1912</v>
      </c>
      <c r="L236" s="9" t="s">
        <v>1905</v>
      </c>
      <c r="M236" s="9">
        <v>0</v>
      </c>
      <c r="N236" s="9" t="s">
        <v>1905</v>
      </c>
      <c r="O236" s="9" t="s">
        <v>1898</v>
      </c>
      <c r="P236" s="16" t="s">
        <v>101</v>
      </c>
      <c r="Q236">
        <f t="shared" si="10"/>
        <v>0</v>
      </c>
      <c r="R236" t="b">
        <f t="shared" si="11"/>
        <v>0</v>
      </c>
    </row>
    <row r="237" spans="1:18" hidden="1" x14ac:dyDescent="0.35">
      <c r="A237" s="16" t="s">
        <v>101</v>
      </c>
      <c r="B237" s="9" t="s">
        <v>2426</v>
      </c>
      <c r="C237" s="9" t="s">
        <v>3154</v>
      </c>
      <c r="D237" s="9" t="e">
        <f>VLOOKUP(RBE!C237,Permis[[#This Row],[Parties]],1,0)</f>
        <v>#N/A</v>
      </c>
      <c r="E237" s="9" t="s">
        <v>2427</v>
      </c>
      <c r="F237" s="10" t="s">
        <v>2398</v>
      </c>
      <c r="G237" s="10" t="str">
        <f t="shared" si="9"/>
        <v>2023</v>
      </c>
      <c r="H237" s="10">
        <v>15</v>
      </c>
      <c r="I237" s="10">
        <v>15</v>
      </c>
      <c r="J237" s="9" t="s">
        <v>1912</v>
      </c>
      <c r="K237" s="9" t="s">
        <v>1912</v>
      </c>
      <c r="L237" s="9" t="s">
        <v>1905</v>
      </c>
      <c r="M237" s="9">
        <v>0</v>
      </c>
      <c r="N237" s="9" t="s">
        <v>1905</v>
      </c>
      <c r="O237" s="9" t="s">
        <v>1898</v>
      </c>
      <c r="P237" s="16" t="s">
        <v>101</v>
      </c>
      <c r="Q237">
        <f t="shared" si="10"/>
        <v>0</v>
      </c>
      <c r="R237" t="b">
        <f t="shared" si="11"/>
        <v>0</v>
      </c>
    </row>
    <row r="238" spans="1:18" hidden="1" x14ac:dyDescent="0.35">
      <c r="A238" s="16" t="s">
        <v>101</v>
      </c>
      <c r="B238" s="9" t="s">
        <v>2437</v>
      </c>
      <c r="C238" s="9" t="s">
        <v>2437</v>
      </c>
      <c r="D238" s="9" t="e">
        <f>VLOOKUP(RBE!C238,Permis[[#This Row],[Parties]],1,0)</f>
        <v>#N/A</v>
      </c>
      <c r="E238" s="9" t="s">
        <v>2435</v>
      </c>
      <c r="F238" s="10" t="s">
        <v>2438</v>
      </c>
      <c r="G238" s="10" t="str">
        <f t="shared" si="9"/>
        <v>2023</v>
      </c>
      <c r="H238" s="10">
        <v>15</v>
      </c>
      <c r="I238" s="10">
        <v>15</v>
      </c>
      <c r="J238" s="9" t="s">
        <v>1912</v>
      </c>
      <c r="K238" s="9" t="s">
        <v>1912</v>
      </c>
      <c r="L238" s="9" t="s">
        <v>1905</v>
      </c>
      <c r="M238" s="9">
        <v>0</v>
      </c>
      <c r="N238" s="9" t="s">
        <v>1905</v>
      </c>
      <c r="O238" s="9" t="s">
        <v>1898</v>
      </c>
      <c r="P238" s="16" t="s">
        <v>101</v>
      </c>
      <c r="Q238">
        <f t="shared" si="10"/>
        <v>0</v>
      </c>
      <c r="R238" t="b">
        <f t="shared" si="11"/>
        <v>0</v>
      </c>
    </row>
    <row r="239" spans="1:18" hidden="1" x14ac:dyDescent="0.35">
      <c r="A239" s="16" t="s">
        <v>101</v>
      </c>
      <c r="B239" s="9" t="s">
        <v>2428</v>
      </c>
      <c r="C239" s="9" t="s">
        <v>3155</v>
      </c>
      <c r="D239" s="9" t="e">
        <f>VLOOKUP(RBE!C239,Permis[[#This Row],[Parties]],1,0)</f>
        <v>#N/A</v>
      </c>
      <c r="E239" s="9" t="s">
        <v>2429</v>
      </c>
      <c r="F239" s="10" t="s">
        <v>2398</v>
      </c>
      <c r="G239" s="10" t="str">
        <f t="shared" si="9"/>
        <v>2023</v>
      </c>
      <c r="H239" s="10">
        <v>40</v>
      </c>
      <c r="I239" s="10">
        <v>40</v>
      </c>
      <c r="J239" s="9" t="s">
        <v>1912</v>
      </c>
      <c r="K239" s="9" t="s">
        <v>1912</v>
      </c>
      <c r="L239" s="9" t="s">
        <v>1905</v>
      </c>
      <c r="M239" s="9">
        <v>0</v>
      </c>
      <c r="N239" s="9" t="s">
        <v>1905</v>
      </c>
      <c r="O239" s="9" t="s">
        <v>1898</v>
      </c>
      <c r="P239" s="16" t="s">
        <v>101</v>
      </c>
      <c r="Q239">
        <f t="shared" si="10"/>
        <v>0</v>
      </c>
      <c r="R239" t="b">
        <f t="shared" si="11"/>
        <v>0</v>
      </c>
    </row>
    <row r="240" spans="1:18" hidden="1" x14ac:dyDescent="0.35">
      <c r="A240" s="16" t="s">
        <v>101</v>
      </c>
      <c r="B240" s="9" t="s">
        <v>2428</v>
      </c>
      <c r="C240" s="9" t="s">
        <v>3155</v>
      </c>
      <c r="D240" s="9" t="e">
        <f>VLOOKUP(RBE!C240,Permis[[#This Row],[Parties]],1,0)</f>
        <v>#N/A</v>
      </c>
      <c r="E240" s="9" t="s">
        <v>2430</v>
      </c>
      <c r="F240" s="10" t="s">
        <v>2431</v>
      </c>
      <c r="G240" s="10" t="str">
        <f t="shared" si="9"/>
        <v>2023</v>
      </c>
      <c r="H240" s="10">
        <v>100</v>
      </c>
      <c r="I240" s="10">
        <v>100</v>
      </c>
      <c r="J240" s="9" t="s">
        <v>1912</v>
      </c>
      <c r="K240" s="9" t="s">
        <v>1912</v>
      </c>
      <c r="L240" s="9" t="s">
        <v>1905</v>
      </c>
      <c r="M240" s="9">
        <v>0</v>
      </c>
      <c r="N240" s="9" t="s">
        <v>1905</v>
      </c>
      <c r="O240" s="9" t="s">
        <v>1898</v>
      </c>
      <c r="P240" s="16" t="s">
        <v>101</v>
      </c>
      <c r="Q240">
        <f t="shared" si="10"/>
        <v>0</v>
      </c>
      <c r="R240" t="b">
        <f t="shared" si="11"/>
        <v>0</v>
      </c>
    </row>
    <row r="241" spans="1:18" hidden="1" x14ac:dyDescent="0.35">
      <c r="A241" s="16" t="s">
        <v>101</v>
      </c>
      <c r="B241" s="9" t="s">
        <v>2428</v>
      </c>
      <c r="C241" s="9" t="s">
        <v>3155</v>
      </c>
      <c r="D241" s="9" t="e">
        <f>VLOOKUP(RBE!C241,Permis[[#This Row],[Parties]],1,0)</f>
        <v>#N/A</v>
      </c>
      <c r="E241" s="9" t="s">
        <v>2432</v>
      </c>
      <c r="F241" s="10" t="s">
        <v>2433</v>
      </c>
      <c r="G241" s="10" t="str">
        <f t="shared" si="9"/>
        <v>2023</v>
      </c>
      <c r="H241" s="10">
        <v>20</v>
      </c>
      <c r="I241" s="10">
        <v>20</v>
      </c>
      <c r="J241" s="9" t="s">
        <v>1912</v>
      </c>
      <c r="K241" s="9" t="s">
        <v>1912</v>
      </c>
      <c r="L241" s="9" t="s">
        <v>1905</v>
      </c>
      <c r="M241" s="9">
        <v>0</v>
      </c>
      <c r="N241" s="9" t="s">
        <v>1905</v>
      </c>
      <c r="O241" s="9" t="s">
        <v>1898</v>
      </c>
      <c r="P241" s="16" t="s">
        <v>101</v>
      </c>
      <c r="Q241">
        <f t="shared" si="10"/>
        <v>0</v>
      </c>
      <c r="R241" t="b">
        <f t="shared" si="11"/>
        <v>0</v>
      </c>
    </row>
    <row r="242" spans="1:18" hidden="1" x14ac:dyDescent="0.35">
      <c r="A242" s="16" t="s">
        <v>101</v>
      </c>
      <c r="B242" s="9" t="s">
        <v>2434</v>
      </c>
      <c r="C242" s="9" t="s">
        <v>3156</v>
      </c>
      <c r="D242" s="9" t="e">
        <f>VLOOKUP(RBE!C242,Permis[[#This Row],[Parties]],1,0)</f>
        <v>#N/A</v>
      </c>
      <c r="E242" s="9" t="s">
        <v>2435</v>
      </c>
      <c r="F242" s="10" t="s">
        <v>2433</v>
      </c>
      <c r="G242" s="10" t="str">
        <f t="shared" si="9"/>
        <v>2023</v>
      </c>
      <c r="H242" s="10">
        <v>30</v>
      </c>
      <c r="I242" s="10">
        <v>30</v>
      </c>
      <c r="J242" s="9" t="s">
        <v>1912</v>
      </c>
      <c r="K242" s="9" t="s">
        <v>1912</v>
      </c>
      <c r="L242" s="9" t="s">
        <v>1905</v>
      </c>
      <c r="M242" s="9">
        <v>0</v>
      </c>
      <c r="N242" s="9" t="s">
        <v>1905</v>
      </c>
      <c r="O242" s="9" t="s">
        <v>1898</v>
      </c>
      <c r="P242" s="16" t="s">
        <v>101</v>
      </c>
      <c r="Q242">
        <f t="shared" si="10"/>
        <v>0</v>
      </c>
      <c r="R242" t="b">
        <f t="shared" si="11"/>
        <v>0</v>
      </c>
    </row>
    <row r="243" spans="1:18" hidden="1" x14ac:dyDescent="0.35">
      <c r="A243" s="16" t="s">
        <v>101</v>
      </c>
      <c r="B243" s="9" t="s">
        <v>1974</v>
      </c>
      <c r="C243" s="9" t="s">
        <v>3143</v>
      </c>
      <c r="D243" s="9" t="e">
        <f>VLOOKUP(RBE!C243,Permis[[#This Row],[Parties]],1,0)</f>
        <v>#N/A</v>
      </c>
      <c r="E243" s="9" t="s">
        <v>1975</v>
      </c>
      <c r="F243" s="10" t="s">
        <v>1969</v>
      </c>
      <c r="G243" s="10" t="str">
        <f t="shared" si="9"/>
        <v>2021</v>
      </c>
      <c r="H243" s="10">
        <v>30</v>
      </c>
      <c r="I243" s="10">
        <v>30</v>
      </c>
      <c r="J243" s="9" t="s">
        <v>1912</v>
      </c>
      <c r="K243" s="9" t="s">
        <v>1912</v>
      </c>
      <c r="L243" s="9" t="s">
        <v>1905</v>
      </c>
      <c r="M243" s="9">
        <v>0</v>
      </c>
      <c r="N243" s="9" t="s">
        <v>1905</v>
      </c>
      <c r="O243" s="9" t="s">
        <v>1898</v>
      </c>
      <c r="P243" s="16" t="s">
        <v>101</v>
      </c>
      <c r="Q243">
        <f t="shared" si="10"/>
        <v>0</v>
      </c>
      <c r="R243" t="b">
        <f t="shared" si="11"/>
        <v>0</v>
      </c>
    </row>
    <row r="244" spans="1:18" hidden="1" x14ac:dyDescent="0.35">
      <c r="A244" s="16" t="s">
        <v>101</v>
      </c>
      <c r="B244" s="9" t="s">
        <v>2439</v>
      </c>
      <c r="C244" s="9" t="s">
        <v>2439</v>
      </c>
      <c r="D244" s="9" t="e">
        <f>VLOOKUP(RBE!C244,Permis[[#This Row],[Parties]],1,0)</f>
        <v>#N/A</v>
      </c>
      <c r="E244" s="9" t="s">
        <v>2440</v>
      </c>
      <c r="F244" s="10" t="s">
        <v>2438</v>
      </c>
      <c r="G244" s="10" t="str">
        <f t="shared" si="9"/>
        <v>2023</v>
      </c>
      <c r="H244" s="10">
        <v>50</v>
      </c>
      <c r="I244" s="10">
        <v>50</v>
      </c>
      <c r="J244" s="9" t="s">
        <v>1912</v>
      </c>
      <c r="K244" s="9" t="s">
        <v>1912</v>
      </c>
      <c r="L244" s="9" t="s">
        <v>1905</v>
      </c>
      <c r="M244" s="9">
        <v>0</v>
      </c>
      <c r="N244" s="9" t="s">
        <v>1905</v>
      </c>
      <c r="O244" s="9" t="s">
        <v>1898</v>
      </c>
      <c r="P244" s="16" t="s">
        <v>101</v>
      </c>
      <c r="Q244">
        <f t="shared" si="10"/>
        <v>0</v>
      </c>
      <c r="R244" t="b">
        <f t="shared" si="11"/>
        <v>0</v>
      </c>
    </row>
    <row r="245" spans="1:18" hidden="1" x14ac:dyDescent="0.35">
      <c r="A245" s="16" t="s">
        <v>101</v>
      </c>
      <c r="B245" s="9" t="s">
        <v>2439</v>
      </c>
      <c r="C245" s="9" t="s">
        <v>2439</v>
      </c>
      <c r="D245" s="9" t="e">
        <f>VLOOKUP(RBE!C245,Permis[[#This Row],[Parties]],1,0)</f>
        <v>#N/A</v>
      </c>
      <c r="E245" s="9" t="s">
        <v>2441</v>
      </c>
      <c r="F245" s="10" t="s">
        <v>2438</v>
      </c>
      <c r="G245" s="10" t="str">
        <f t="shared" si="9"/>
        <v>2023</v>
      </c>
      <c r="H245" s="10">
        <v>10</v>
      </c>
      <c r="I245" s="10">
        <v>10</v>
      </c>
      <c r="J245" s="9" t="s">
        <v>1912</v>
      </c>
      <c r="K245" s="9" t="s">
        <v>1912</v>
      </c>
      <c r="L245" s="9" t="s">
        <v>1905</v>
      </c>
      <c r="M245" s="9">
        <v>0</v>
      </c>
      <c r="N245" s="9" t="s">
        <v>1905</v>
      </c>
      <c r="O245" s="9" t="s">
        <v>1898</v>
      </c>
      <c r="P245" s="16" t="s">
        <v>101</v>
      </c>
      <c r="Q245">
        <f t="shared" si="10"/>
        <v>0</v>
      </c>
      <c r="R245" t="b">
        <f t="shared" si="11"/>
        <v>0</v>
      </c>
    </row>
    <row r="246" spans="1:18" hidden="1" x14ac:dyDescent="0.35">
      <c r="A246" s="16" t="s">
        <v>101</v>
      </c>
      <c r="B246" s="9" t="s">
        <v>2442</v>
      </c>
      <c r="C246" s="9" t="s">
        <v>2442</v>
      </c>
      <c r="D246" s="9" t="e">
        <f>VLOOKUP(RBE!C246,Permis[[#This Row],[Parties]],1,0)</f>
        <v>#N/A</v>
      </c>
      <c r="E246" s="9" t="s">
        <v>2443</v>
      </c>
      <c r="F246" s="10" t="s">
        <v>2438</v>
      </c>
      <c r="G246" s="10" t="str">
        <f t="shared" si="9"/>
        <v>2023</v>
      </c>
      <c r="H246" s="10">
        <v>25</v>
      </c>
      <c r="I246" s="10">
        <v>25</v>
      </c>
      <c r="J246" s="9" t="s">
        <v>1912</v>
      </c>
      <c r="K246" s="9" t="s">
        <v>1912</v>
      </c>
      <c r="L246" s="9" t="s">
        <v>1905</v>
      </c>
      <c r="M246" s="9">
        <v>0</v>
      </c>
      <c r="N246" s="9" t="s">
        <v>1905</v>
      </c>
      <c r="O246" s="9" t="s">
        <v>1898</v>
      </c>
      <c r="P246" s="16" t="s">
        <v>101</v>
      </c>
      <c r="Q246">
        <f t="shared" si="10"/>
        <v>0</v>
      </c>
      <c r="R246" t="b">
        <f t="shared" si="11"/>
        <v>0</v>
      </c>
    </row>
    <row r="247" spans="1:18" hidden="1" x14ac:dyDescent="0.35">
      <c r="A247" s="16" t="s">
        <v>101</v>
      </c>
      <c r="B247" s="9" t="s">
        <v>2442</v>
      </c>
      <c r="C247" s="9" t="s">
        <v>2442</v>
      </c>
      <c r="D247" s="9" t="e">
        <f>VLOOKUP(RBE!C247,Permis[[#This Row],[Parties]],1,0)</f>
        <v>#N/A</v>
      </c>
      <c r="E247" s="9" t="s">
        <v>2444</v>
      </c>
      <c r="F247" s="10" t="s">
        <v>2445</v>
      </c>
      <c r="G247" s="10" t="str">
        <f t="shared" si="9"/>
        <v>2023</v>
      </c>
      <c r="H247" s="10">
        <v>34</v>
      </c>
      <c r="I247" s="10" t="s">
        <v>1905</v>
      </c>
      <c r="J247" s="9" t="s">
        <v>1912</v>
      </c>
      <c r="K247" s="9" t="s">
        <v>1912</v>
      </c>
      <c r="L247" s="9" t="s">
        <v>1905</v>
      </c>
      <c r="M247" s="9">
        <v>0</v>
      </c>
      <c r="N247" s="9" t="s">
        <v>1905</v>
      </c>
      <c r="O247" s="9" t="s">
        <v>1898</v>
      </c>
      <c r="P247" s="16" t="s">
        <v>101</v>
      </c>
      <c r="Q247">
        <f t="shared" si="10"/>
        <v>0</v>
      </c>
      <c r="R247" t="b">
        <f t="shared" si="11"/>
        <v>0</v>
      </c>
    </row>
    <row r="248" spans="1:18" hidden="1" x14ac:dyDescent="0.35">
      <c r="A248" s="16" t="s">
        <v>101</v>
      </c>
      <c r="B248" s="9" t="s">
        <v>2442</v>
      </c>
      <c r="C248" s="9" t="s">
        <v>2442</v>
      </c>
      <c r="D248" s="9" t="e">
        <f>VLOOKUP(RBE!C248,Permis[[#This Row],[Parties]],1,0)</f>
        <v>#N/A</v>
      </c>
      <c r="E248" s="9" t="s">
        <v>2446</v>
      </c>
      <c r="F248" s="10" t="s">
        <v>2447</v>
      </c>
      <c r="G248" s="10" t="str">
        <f t="shared" si="9"/>
        <v>2023</v>
      </c>
      <c r="H248" s="10">
        <v>2</v>
      </c>
      <c r="I248" s="10" t="s">
        <v>1905</v>
      </c>
      <c r="J248" s="9" t="s">
        <v>1912</v>
      </c>
      <c r="K248" s="9" t="s">
        <v>1912</v>
      </c>
      <c r="L248" s="9" t="s">
        <v>1905</v>
      </c>
      <c r="M248" s="9">
        <v>0</v>
      </c>
      <c r="N248" s="9" t="s">
        <v>1905</v>
      </c>
      <c r="O248" s="9" t="s">
        <v>1898</v>
      </c>
      <c r="P248" s="16" t="s">
        <v>101</v>
      </c>
      <c r="Q248">
        <f t="shared" si="10"/>
        <v>0</v>
      </c>
      <c r="R248" t="b">
        <f t="shared" si="11"/>
        <v>0</v>
      </c>
    </row>
    <row r="249" spans="1:18" hidden="1" x14ac:dyDescent="0.35">
      <c r="A249" s="16" t="s">
        <v>101</v>
      </c>
      <c r="B249" s="9" t="s">
        <v>2448</v>
      </c>
      <c r="C249" s="9" t="s">
        <v>2448</v>
      </c>
      <c r="D249" s="9" t="e">
        <f>VLOOKUP(RBE!C249,Permis[[#This Row],[Parties]],1,0)</f>
        <v>#N/A</v>
      </c>
      <c r="E249" s="9" t="s">
        <v>2449</v>
      </c>
      <c r="F249" s="10" t="s">
        <v>2450</v>
      </c>
      <c r="G249" s="10" t="str">
        <f t="shared" si="9"/>
        <v>2023</v>
      </c>
      <c r="H249" s="10">
        <v>50</v>
      </c>
      <c r="I249" s="10">
        <v>50</v>
      </c>
      <c r="J249" s="9" t="s">
        <v>1912</v>
      </c>
      <c r="K249" s="9" t="s">
        <v>1912</v>
      </c>
      <c r="L249" s="9" t="s">
        <v>1905</v>
      </c>
      <c r="M249" s="9">
        <v>0</v>
      </c>
      <c r="N249" s="9" t="s">
        <v>1905</v>
      </c>
      <c r="O249" s="9" t="s">
        <v>1898</v>
      </c>
      <c r="P249" s="16" t="s">
        <v>101</v>
      </c>
      <c r="Q249">
        <f t="shared" si="10"/>
        <v>0</v>
      </c>
      <c r="R249" t="b">
        <f t="shared" si="11"/>
        <v>0</v>
      </c>
    </row>
    <row r="250" spans="1:18" hidden="1" x14ac:dyDescent="0.35">
      <c r="A250" s="16" t="s">
        <v>101</v>
      </c>
      <c r="B250" s="9" t="s">
        <v>2448</v>
      </c>
      <c r="C250" s="9" t="s">
        <v>2448</v>
      </c>
      <c r="D250" s="9" t="e">
        <f>VLOOKUP(RBE!C250,Permis[[#This Row],[Parties]],1,0)</f>
        <v>#N/A</v>
      </c>
      <c r="E250" s="9" t="s">
        <v>2451</v>
      </c>
      <c r="F250" s="10" t="s">
        <v>2450</v>
      </c>
      <c r="G250" s="10" t="str">
        <f t="shared" si="9"/>
        <v>2023</v>
      </c>
      <c r="H250" s="10">
        <v>50</v>
      </c>
      <c r="I250" s="10">
        <v>50</v>
      </c>
      <c r="J250" s="9" t="s">
        <v>1912</v>
      </c>
      <c r="K250" s="9" t="s">
        <v>1912</v>
      </c>
      <c r="L250" s="9" t="s">
        <v>1905</v>
      </c>
      <c r="M250" s="9">
        <v>0</v>
      </c>
      <c r="N250" s="9" t="s">
        <v>1905</v>
      </c>
      <c r="O250" s="9" t="s">
        <v>1898</v>
      </c>
      <c r="P250" s="16" t="s">
        <v>101</v>
      </c>
      <c r="Q250">
        <f t="shared" si="10"/>
        <v>0</v>
      </c>
      <c r="R250" t="b">
        <f t="shared" si="11"/>
        <v>0</v>
      </c>
    </row>
    <row r="251" spans="1:18" hidden="1" x14ac:dyDescent="0.35">
      <c r="A251" s="16" t="s">
        <v>101</v>
      </c>
      <c r="B251" s="9" t="s">
        <v>2452</v>
      </c>
      <c r="C251" s="9" t="s">
        <v>2452</v>
      </c>
      <c r="D251" s="9" t="e">
        <f>VLOOKUP(RBE!C251,Permis[[#This Row],[Parties]],1,0)</f>
        <v>#N/A</v>
      </c>
      <c r="E251" s="9" t="s">
        <v>2453</v>
      </c>
      <c r="F251" s="10" t="s">
        <v>2454</v>
      </c>
      <c r="G251" s="10" t="str">
        <f t="shared" si="9"/>
        <v>2023</v>
      </c>
      <c r="H251" s="10" t="s">
        <v>1905</v>
      </c>
      <c r="I251" s="10" t="s">
        <v>1905</v>
      </c>
      <c r="J251" s="9" t="s">
        <v>2179</v>
      </c>
      <c r="K251" s="9" t="s">
        <v>2179</v>
      </c>
      <c r="L251" s="9" t="s">
        <v>1905</v>
      </c>
      <c r="M251" s="9">
        <v>0</v>
      </c>
      <c r="N251" s="9" t="s">
        <v>1905</v>
      </c>
      <c r="O251" s="9" t="s">
        <v>1898</v>
      </c>
      <c r="P251" s="16" t="s">
        <v>101</v>
      </c>
      <c r="Q251">
        <f t="shared" si="10"/>
        <v>0</v>
      </c>
      <c r="R251" t="b">
        <f t="shared" si="11"/>
        <v>0</v>
      </c>
    </row>
    <row r="252" spans="1:18" hidden="1" x14ac:dyDescent="0.35">
      <c r="A252" s="16" t="s">
        <v>101</v>
      </c>
      <c r="B252" s="9" t="s">
        <v>2455</v>
      </c>
      <c r="C252" s="9" t="s">
        <v>2455</v>
      </c>
      <c r="D252" s="9" t="e">
        <f>VLOOKUP(RBE!C252,Permis[[#This Row],[Parties]],1,0)</f>
        <v>#N/A</v>
      </c>
      <c r="E252" s="9" t="s">
        <v>2456</v>
      </c>
      <c r="F252" s="10" t="s">
        <v>2457</v>
      </c>
      <c r="G252" s="10" t="str">
        <f t="shared" si="9"/>
        <v>2023</v>
      </c>
      <c r="H252" s="10">
        <v>50</v>
      </c>
      <c r="I252" s="10">
        <v>50</v>
      </c>
      <c r="J252" s="9" t="s">
        <v>1912</v>
      </c>
      <c r="K252" s="9" t="s">
        <v>1912</v>
      </c>
      <c r="L252" s="9" t="s">
        <v>1905</v>
      </c>
      <c r="M252" s="9">
        <v>0</v>
      </c>
      <c r="N252" s="9" t="s">
        <v>1905</v>
      </c>
      <c r="O252" s="9" t="s">
        <v>1898</v>
      </c>
      <c r="P252" s="16" t="s">
        <v>101</v>
      </c>
      <c r="Q252">
        <f t="shared" si="10"/>
        <v>0</v>
      </c>
      <c r="R252" t="b">
        <f t="shared" si="11"/>
        <v>0</v>
      </c>
    </row>
    <row r="253" spans="1:18" hidden="1" x14ac:dyDescent="0.35">
      <c r="A253" s="16" t="s">
        <v>101</v>
      </c>
      <c r="B253" s="9" t="s">
        <v>2455</v>
      </c>
      <c r="C253" s="9" t="s">
        <v>2455</v>
      </c>
      <c r="D253" s="9" t="e">
        <f>VLOOKUP(RBE!C253,Permis[[#This Row],[Parties]],1,0)</f>
        <v>#N/A</v>
      </c>
      <c r="E253" s="9" t="s">
        <v>2458</v>
      </c>
      <c r="F253" s="10" t="s">
        <v>2457</v>
      </c>
      <c r="G253" s="10" t="str">
        <f t="shared" si="9"/>
        <v>2023</v>
      </c>
      <c r="H253" s="10">
        <v>50</v>
      </c>
      <c r="I253" s="10">
        <v>50</v>
      </c>
      <c r="J253" s="9" t="s">
        <v>2018</v>
      </c>
      <c r="K253" s="9" t="s">
        <v>2018</v>
      </c>
      <c r="L253" s="9" t="s">
        <v>1905</v>
      </c>
      <c r="M253" s="9">
        <v>0</v>
      </c>
      <c r="N253" s="9" t="s">
        <v>1905</v>
      </c>
      <c r="O253" s="9" t="s">
        <v>1898</v>
      </c>
      <c r="P253" s="16" t="s">
        <v>101</v>
      </c>
      <c r="Q253">
        <f t="shared" si="10"/>
        <v>0</v>
      </c>
      <c r="R253" t="b">
        <f t="shared" si="11"/>
        <v>0</v>
      </c>
    </row>
    <row r="254" spans="1:18" hidden="1" x14ac:dyDescent="0.35">
      <c r="A254" s="16" t="s">
        <v>101</v>
      </c>
      <c r="B254" s="9" t="s">
        <v>2455</v>
      </c>
      <c r="C254" s="9" t="s">
        <v>2455</v>
      </c>
      <c r="D254" s="9" t="e">
        <f>VLOOKUP(RBE!C254,Permis[[#This Row],[Parties]],1,0)</f>
        <v>#N/A</v>
      </c>
      <c r="E254" s="9" t="s">
        <v>2459</v>
      </c>
      <c r="F254" s="10" t="s">
        <v>2460</v>
      </c>
      <c r="G254" s="10" t="str">
        <f t="shared" si="9"/>
        <v>2023</v>
      </c>
      <c r="H254" s="10" t="s">
        <v>1905</v>
      </c>
      <c r="I254" s="10" t="s">
        <v>1905</v>
      </c>
      <c r="J254" s="9" t="s">
        <v>1912</v>
      </c>
      <c r="K254" s="9" t="s">
        <v>1912</v>
      </c>
      <c r="L254" s="9" t="s">
        <v>1905</v>
      </c>
      <c r="M254" s="9">
        <v>0</v>
      </c>
      <c r="N254" s="9" t="s">
        <v>1905</v>
      </c>
      <c r="O254" s="9" t="s">
        <v>1898</v>
      </c>
      <c r="P254" s="16" t="s">
        <v>101</v>
      </c>
      <c r="Q254">
        <f t="shared" si="10"/>
        <v>0</v>
      </c>
      <c r="R254" t="b">
        <f t="shared" si="11"/>
        <v>0</v>
      </c>
    </row>
    <row r="255" spans="1:18" hidden="1" x14ac:dyDescent="0.35">
      <c r="A255" s="16" t="s">
        <v>101</v>
      </c>
      <c r="B255" s="9" t="s">
        <v>2455</v>
      </c>
      <c r="C255" s="9" t="s">
        <v>2455</v>
      </c>
      <c r="D255" s="9" t="e">
        <f>VLOOKUP(RBE!C255,Permis[[#This Row],[Parties]],1,0)</f>
        <v>#N/A</v>
      </c>
      <c r="E255" s="9" t="s">
        <v>2461</v>
      </c>
      <c r="F255" s="10" t="s">
        <v>2460</v>
      </c>
      <c r="G255" s="10" t="str">
        <f t="shared" si="9"/>
        <v>2023</v>
      </c>
      <c r="H255" s="10" t="s">
        <v>1905</v>
      </c>
      <c r="I255" s="10" t="s">
        <v>1905</v>
      </c>
      <c r="J255" s="9" t="s">
        <v>1912</v>
      </c>
      <c r="K255" s="9" t="s">
        <v>1912</v>
      </c>
      <c r="L255" s="9" t="s">
        <v>1905</v>
      </c>
      <c r="M255" s="9" t="s">
        <v>1905</v>
      </c>
      <c r="N255" s="9" t="s">
        <v>1905</v>
      </c>
      <c r="O255" s="9" t="s">
        <v>1898</v>
      </c>
      <c r="P255" s="16" t="s">
        <v>101</v>
      </c>
      <c r="Q255">
        <f t="shared" si="10"/>
        <v>0</v>
      </c>
      <c r="R255" t="b">
        <f t="shared" si="11"/>
        <v>0</v>
      </c>
    </row>
    <row r="256" spans="1:18" hidden="1" x14ac:dyDescent="0.35">
      <c r="A256" s="16" t="s">
        <v>101</v>
      </c>
      <c r="B256" s="9" t="s">
        <v>2455</v>
      </c>
      <c r="C256" s="9" t="s">
        <v>2455</v>
      </c>
      <c r="D256" s="9" t="e">
        <f>VLOOKUP(RBE!C256,Permis[[#This Row],[Parties]],1,0)</f>
        <v>#N/A</v>
      </c>
      <c r="E256" s="9" t="s">
        <v>2462</v>
      </c>
      <c r="F256" s="10" t="s">
        <v>2460</v>
      </c>
      <c r="G256" s="10" t="str">
        <f t="shared" si="9"/>
        <v>2023</v>
      </c>
      <c r="H256" s="10" t="s">
        <v>1905</v>
      </c>
      <c r="I256" s="10" t="s">
        <v>1905</v>
      </c>
      <c r="J256" s="9" t="s">
        <v>1912</v>
      </c>
      <c r="K256" s="9" t="s">
        <v>1912</v>
      </c>
      <c r="L256" s="9" t="s">
        <v>1905</v>
      </c>
      <c r="M256" s="9">
        <v>0</v>
      </c>
      <c r="N256" s="9" t="s">
        <v>1905</v>
      </c>
      <c r="O256" s="9" t="s">
        <v>1898</v>
      </c>
      <c r="P256" s="16" t="s">
        <v>101</v>
      </c>
      <c r="Q256">
        <f t="shared" si="10"/>
        <v>0</v>
      </c>
      <c r="R256" t="b">
        <f t="shared" si="11"/>
        <v>0</v>
      </c>
    </row>
    <row r="257" spans="1:18" hidden="1" x14ac:dyDescent="0.35">
      <c r="A257" s="16" t="s">
        <v>101</v>
      </c>
      <c r="B257" s="9" t="s">
        <v>2463</v>
      </c>
      <c r="C257" s="9" t="s">
        <v>2463</v>
      </c>
      <c r="D257" s="9" t="e">
        <f>VLOOKUP(RBE!C257,Permis[[#This Row],[Parties]],1,0)</f>
        <v>#N/A</v>
      </c>
      <c r="E257" s="9" t="s">
        <v>2464</v>
      </c>
      <c r="F257" s="10" t="s">
        <v>2465</v>
      </c>
      <c r="G257" s="10" t="str">
        <f t="shared" si="9"/>
        <v>2023</v>
      </c>
      <c r="H257" s="10">
        <v>100</v>
      </c>
      <c r="I257" s="10" t="s">
        <v>2466</v>
      </c>
      <c r="J257" s="9" t="s">
        <v>1912</v>
      </c>
      <c r="K257" s="9" t="s">
        <v>1912</v>
      </c>
      <c r="L257" s="9" t="s">
        <v>1905</v>
      </c>
      <c r="M257" s="9">
        <v>0</v>
      </c>
      <c r="N257" s="9" t="s">
        <v>1905</v>
      </c>
      <c r="O257" s="9" t="s">
        <v>1898</v>
      </c>
      <c r="P257" s="16" t="s">
        <v>101</v>
      </c>
      <c r="Q257">
        <f t="shared" si="10"/>
        <v>0</v>
      </c>
      <c r="R257" t="b">
        <f t="shared" si="11"/>
        <v>0</v>
      </c>
    </row>
    <row r="258" spans="1:18" hidden="1" x14ac:dyDescent="0.35">
      <c r="A258" s="16" t="s">
        <v>101</v>
      </c>
      <c r="B258" s="9" t="s">
        <v>2463</v>
      </c>
      <c r="C258" s="9" t="s">
        <v>2463</v>
      </c>
      <c r="D258" s="9" t="e">
        <f>VLOOKUP(RBE!C258,Permis[[#This Row],[Parties]],1,0)</f>
        <v>#N/A</v>
      </c>
      <c r="E258" s="9" t="s">
        <v>2467</v>
      </c>
      <c r="F258" s="10" t="s">
        <v>2468</v>
      </c>
      <c r="G258" s="10" t="str">
        <f t="shared" ref="G258:G321" si="12">LEFT(TRIM(F258),4)</f>
        <v>2023</v>
      </c>
      <c r="H258" s="10" t="s">
        <v>1905</v>
      </c>
      <c r="I258" s="10" t="s">
        <v>1905</v>
      </c>
      <c r="J258" s="9" t="s">
        <v>1912</v>
      </c>
      <c r="K258" s="9" t="s">
        <v>1912</v>
      </c>
      <c r="L258" s="9" t="s">
        <v>1905</v>
      </c>
      <c r="M258" s="9">
        <v>0</v>
      </c>
      <c r="N258" s="9" t="s">
        <v>1905</v>
      </c>
      <c r="O258" s="9" t="s">
        <v>1898</v>
      </c>
      <c r="P258" s="16" t="s">
        <v>101</v>
      </c>
      <c r="Q258">
        <f t="shared" si="10"/>
        <v>0</v>
      </c>
      <c r="R258" t="b">
        <f t="shared" si="11"/>
        <v>0</v>
      </c>
    </row>
    <row r="259" spans="1:18" hidden="1" x14ac:dyDescent="0.35">
      <c r="A259" s="16" t="s">
        <v>101</v>
      </c>
      <c r="B259" s="9" t="s">
        <v>2469</v>
      </c>
      <c r="C259" s="9" t="s">
        <v>2469</v>
      </c>
      <c r="D259" s="9" t="e">
        <f>VLOOKUP(RBE!C259,Permis[[#This Row],[Parties]],1,0)</f>
        <v>#N/A</v>
      </c>
      <c r="E259" s="9" t="s">
        <v>2470</v>
      </c>
      <c r="F259" s="10" t="s">
        <v>2471</v>
      </c>
      <c r="G259" s="10" t="str">
        <f t="shared" si="12"/>
        <v>2023</v>
      </c>
      <c r="H259" s="10">
        <v>70</v>
      </c>
      <c r="I259" s="10">
        <v>70</v>
      </c>
      <c r="J259" s="9" t="s">
        <v>1912</v>
      </c>
      <c r="K259" s="9" t="s">
        <v>1912</v>
      </c>
      <c r="L259" s="9" t="s">
        <v>1905</v>
      </c>
      <c r="M259" s="9">
        <v>0</v>
      </c>
      <c r="N259" s="9" t="s">
        <v>1905</v>
      </c>
      <c r="O259" s="9" t="s">
        <v>1898</v>
      </c>
      <c r="P259" s="16" t="s">
        <v>101</v>
      </c>
      <c r="Q259">
        <f t="shared" ref="Q259:Q322" si="13">IF(J259=K259,0,1)</f>
        <v>0</v>
      </c>
      <c r="R259" t="b">
        <f t="shared" ref="R259:R322" si="14">ISBLANK(K259)</f>
        <v>0</v>
      </c>
    </row>
    <row r="260" spans="1:18" hidden="1" x14ac:dyDescent="0.35">
      <c r="A260" s="16" t="s">
        <v>101</v>
      </c>
      <c r="B260" s="9" t="s">
        <v>2472</v>
      </c>
      <c r="C260" s="9" t="s">
        <v>2472</v>
      </c>
      <c r="D260" s="9" t="e">
        <f>VLOOKUP(RBE!C260,Permis[[#This Row],[Parties]],1,0)</f>
        <v>#N/A</v>
      </c>
      <c r="E260" s="9" t="s">
        <v>2473</v>
      </c>
      <c r="F260" s="10" t="s">
        <v>2471</v>
      </c>
      <c r="G260" s="10" t="str">
        <f t="shared" si="12"/>
        <v>2023</v>
      </c>
      <c r="H260" s="10">
        <v>30</v>
      </c>
      <c r="I260" s="10">
        <v>30</v>
      </c>
      <c r="J260" s="9" t="s">
        <v>1912</v>
      </c>
      <c r="K260" s="9" t="s">
        <v>1912</v>
      </c>
      <c r="L260" s="9" t="s">
        <v>1905</v>
      </c>
      <c r="M260" s="9">
        <v>0</v>
      </c>
      <c r="N260" s="9" t="s">
        <v>1905</v>
      </c>
      <c r="O260" s="9" t="s">
        <v>1898</v>
      </c>
      <c r="P260" s="16" t="s">
        <v>101</v>
      </c>
      <c r="Q260">
        <f t="shared" si="13"/>
        <v>0</v>
      </c>
      <c r="R260" t="b">
        <f t="shared" si="14"/>
        <v>0</v>
      </c>
    </row>
    <row r="261" spans="1:18" hidden="1" x14ac:dyDescent="0.35">
      <c r="A261" s="16" t="s">
        <v>101</v>
      </c>
      <c r="B261" s="9" t="s">
        <v>2474</v>
      </c>
      <c r="C261" s="9" t="s">
        <v>2474</v>
      </c>
      <c r="D261" s="9" t="e">
        <f>VLOOKUP(RBE!C261,Permis[[#This Row],[Parties]],1,0)</f>
        <v>#N/A</v>
      </c>
      <c r="E261" s="9" t="s">
        <v>2473</v>
      </c>
      <c r="F261" s="10" t="s">
        <v>2475</v>
      </c>
      <c r="G261" s="10" t="str">
        <f t="shared" si="12"/>
        <v>2023</v>
      </c>
      <c r="H261" s="10">
        <v>100</v>
      </c>
      <c r="I261" s="10" t="s">
        <v>1905</v>
      </c>
      <c r="J261" s="9" t="s">
        <v>1912</v>
      </c>
      <c r="K261" s="9" t="s">
        <v>1912</v>
      </c>
      <c r="L261" s="9" t="s">
        <v>1905</v>
      </c>
      <c r="M261" s="9">
        <v>0</v>
      </c>
      <c r="N261" s="9" t="s">
        <v>1905</v>
      </c>
      <c r="O261" s="9" t="s">
        <v>1898</v>
      </c>
      <c r="P261" s="16" t="s">
        <v>101</v>
      </c>
      <c r="Q261">
        <f t="shared" si="13"/>
        <v>0</v>
      </c>
      <c r="R261" t="b">
        <f t="shared" si="14"/>
        <v>0</v>
      </c>
    </row>
    <row r="262" spans="1:18" hidden="1" x14ac:dyDescent="0.35">
      <c r="A262" s="16" t="s">
        <v>101</v>
      </c>
      <c r="B262" s="9" t="s">
        <v>2474</v>
      </c>
      <c r="C262" s="9" t="s">
        <v>2474</v>
      </c>
      <c r="D262" s="9" t="e">
        <f>VLOOKUP(RBE!C262,Permis[[#This Row],[Parties]],1,0)</f>
        <v>#N/A</v>
      </c>
      <c r="E262" s="9" t="s">
        <v>2476</v>
      </c>
      <c r="F262" s="10" t="s">
        <v>2477</v>
      </c>
      <c r="G262" s="10" t="str">
        <f t="shared" si="12"/>
        <v>2023</v>
      </c>
      <c r="H262" s="10">
        <v>100</v>
      </c>
      <c r="I262" s="10">
        <v>100</v>
      </c>
      <c r="J262" s="9" t="s">
        <v>1912</v>
      </c>
      <c r="K262" s="9" t="s">
        <v>1912</v>
      </c>
      <c r="L262" s="9" t="s">
        <v>1905</v>
      </c>
      <c r="M262" s="9">
        <v>0</v>
      </c>
      <c r="N262" s="9" t="s">
        <v>1905</v>
      </c>
      <c r="O262" s="9" t="s">
        <v>1898</v>
      </c>
      <c r="P262" s="16" t="s">
        <v>101</v>
      </c>
      <c r="Q262">
        <f t="shared" si="13"/>
        <v>0</v>
      </c>
      <c r="R262" t="b">
        <f t="shared" si="14"/>
        <v>0</v>
      </c>
    </row>
    <row r="263" spans="1:18" hidden="1" x14ac:dyDescent="0.35">
      <c r="A263" s="16" t="s">
        <v>101</v>
      </c>
      <c r="B263" s="9" t="s">
        <v>2478</v>
      </c>
      <c r="C263" s="9" t="s">
        <v>2478</v>
      </c>
      <c r="D263" s="9" t="e">
        <f>VLOOKUP(RBE!C263,Permis[[#This Row],[Parties]],1,0)</f>
        <v>#N/A</v>
      </c>
      <c r="E263" s="9" t="s">
        <v>2479</v>
      </c>
      <c r="F263" s="10" t="s">
        <v>2480</v>
      </c>
      <c r="G263" s="10" t="str">
        <f t="shared" si="12"/>
        <v>2023</v>
      </c>
      <c r="H263" s="10">
        <v>100</v>
      </c>
      <c r="I263" s="10" t="s">
        <v>1905</v>
      </c>
      <c r="J263" s="9" t="s">
        <v>1912</v>
      </c>
      <c r="K263" s="9" t="s">
        <v>1912</v>
      </c>
      <c r="L263" s="9" t="s">
        <v>1905</v>
      </c>
      <c r="M263" s="9">
        <v>0</v>
      </c>
      <c r="N263" s="9" t="s">
        <v>1905</v>
      </c>
      <c r="O263" s="9" t="s">
        <v>1898</v>
      </c>
      <c r="P263" s="16" t="s">
        <v>101</v>
      </c>
      <c r="Q263">
        <f t="shared" si="13"/>
        <v>0</v>
      </c>
      <c r="R263" t="b">
        <f t="shared" si="14"/>
        <v>0</v>
      </c>
    </row>
    <row r="264" spans="1:18" hidden="1" x14ac:dyDescent="0.35">
      <c r="A264" s="16" t="s">
        <v>101</v>
      </c>
      <c r="B264" s="9" t="s">
        <v>1976</v>
      </c>
      <c r="C264" s="9" t="s">
        <v>3144</v>
      </c>
      <c r="D264" s="9" t="e">
        <f>VLOOKUP(RBE!C264,Permis[[#This Row],[Parties]],1,0)</f>
        <v>#N/A</v>
      </c>
      <c r="E264" s="9" t="s">
        <v>1977</v>
      </c>
      <c r="F264" s="10" t="s">
        <v>1978</v>
      </c>
      <c r="G264" s="10" t="str">
        <f t="shared" si="12"/>
        <v>2021</v>
      </c>
      <c r="H264" s="10">
        <v>48</v>
      </c>
      <c r="I264" s="10">
        <v>48</v>
      </c>
      <c r="J264" s="9" t="s">
        <v>1912</v>
      </c>
      <c r="K264" s="9" t="s">
        <v>1912</v>
      </c>
      <c r="L264" s="9" t="s">
        <v>1905</v>
      </c>
      <c r="M264" s="9">
        <v>0</v>
      </c>
      <c r="N264" s="9" t="s">
        <v>1905</v>
      </c>
      <c r="O264" s="9" t="s">
        <v>1898</v>
      </c>
      <c r="P264" s="16" t="s">
        <v>101</v>
      </c>
      <c r="Q264">
        <f t="shared" si="13"/>
        <v>0</v>
      </c>
      <c r="R264" t="b">
        <f t="shared" si="14"/>
        <v>0</v>
      </c>
    </row>
    <row r="265" spans="1:18" hidden="1" x14ac:dyDescent="0.35">
      <c r="A265" s="16" t="s">
        <v>101</v>
      </c>
      <c r="B265" s="9" t="s">
        <v>1976</v>
      </c>
      <c r="C265" s="9" t="s">
        <v>3144</v>
      </c>
      <c r="D265" s="9" t="e">
        <f>VLOOKUP(RBE!C265,Permis[[#This Row],[Parties]],1,0)</f>
        <v>#N/A</v>
      </c>
      <c r="E265" s="9" t="s">
        <v>1979</v>
      </c>
      <c r="F265" s="10" t="s">
        <v>1978</v>
      </c>
      <c r="G265" s="10" t="str">
        <f t="shared" si="12"/>
        <v>2021</v>
      </c>
      <c r="H265" s="10">
        <v>52</v>
      </c>
      <c r="I265" s="10">
        <v>52</v>
      </c>
      <c r="J265" s="9" t="s">
        <v>1912</v>
      </c>
      <c r="K265" s="9" t="s">
        <v>1912</v>
      </c>
      <c r="L265" s="9" t="s">
        <v>1905</v>
      </c>
      <c r="M265" s="9">
        <v>0</v>
      </c>
      <c r="N265" s="9" t="s">
        <v>1905</v>
      </c>
      <c r="O265" s="9" t="s">
        <v>1898</v>
      </c>
      <c r="P265" s="16" t="s">
        <v>101</v>
      </c>
      <c r="Q265">
        <f t="shared" si="13"/>
        <v>0</v>
      </c>
      <c r="R265" t="b">
        <f t="shared" si="14"/>
        <v>0</v>
      </c>
    </row>
    <row r="266" spans="1:18" hidden="1" x14ac:dyDescent="0.35">
      <c r="A266" s="16" t="s">
        <v>101</v>
      </c>
      <c r="B266" s="9" t="s">
        <v>1976</v>
      </c>
      <c r="C266" s="9" t="s">
        <v>3144</v>
      </c>
      <c r="D266" s="9" t="e">
        <f>VLOOKUP(RBE!C266,Permis[[#This Row],[Parties]],1,0)</f>
        <v>#N/A</v>
      </c>
      <c r="E266" s="9" t="s">
        <v>1980</v>
      </c>
      <c r="F266" s="10" t="s">
        <v>1981</v>
      </c>
      <c r="G266" s="10" t="str">
        <f t="shared" si="12"/>
        <v>2021</v>
      </c>
      <c r="H266" s="10">
        <v>100</v>
      </c>
      <c r="I266" s="10">
        <v>100</v>
      </c>
      <c r="J266" s="9" t="s">
        <v>1912</v>
      </c>
      <c r="K266" s="9" t="s">
        <v>1912</v>
      </c>
      <c r="L266" s="9" t="s">
        <v>1905</v>
      </c>
      <c r="M266" s="9">
        <v>0</v>
      </c>
      <c r="N266" s="9" t="s">
        <v>1905</v>
      </c>
      <c r="O266" s="9" t="s">
        <v>1898</v>
      </c>
      <c r="P266" s="16" t="s">
        <v>101</v>
      </c>
      <c r="Q266">
        <f t="shared" si="13"/>
        <v>0</v>
      </c>
      <c r="R266" t="b">
        <f t="shared" si="14"/>
        <v>0</v>
      </c>
    </row>
    <row r="267" spans="1:18" hidden="1" x14ac:dyDescent="0.35">
      <c r="A267" s="16" t="s">
        <v>101</v>
      </c>
      <c r="B267" s="9" t="s">
        <v>2481</v>
      </c>
      <c r="C267" s="9" t="s">
        <v>2481</v>
      </c>
      <c r="D267" s="9" t="e">
        <f>VLOOKUP(RBE!C267,Permis[[#This Row],[Parties]],1,0)</f>
        <v>#N/A</v>
      </c>
      <c r="E267" s="9" t="s">
        <v>2482</v>
      </c>
      <c r="F267" s="10" t="s">
        <v>2483</v>
      </c>
      <c r="G267" s="10" t="str">
        <f t="shared" si="12"/>
        <v>2023</v>
      </c>
      <c r="H267" s="10">
        <v>100</v>
      </c>
      <c r="I267" s="10">
        <v>100</v>
      </c>
      <c r="J267" s="9" t="s">
        <v>1912</v>
      </c>
      <c r="K267" s="9" t="s">
        <v>1912</v>
      </c>
      <c r="L267" s="9" t="s">
        <v>1905</v>
      </c>
      <c r="M267" s="9">
        <v>0</v>
      </c>
      <c r="N267" s="9" t="s">
        <v>1905</v>
      </c>
      <c r="O267" s="9" t="s">
        <v>1898</v>
      </c>
      <c r="P267" s="16" t="s">
        <v>101</v>
      </c>
      <c r="Q267">
        <f t="shared" si="13"/>
        <v>0</v>
      </c>
      <c r="R267" t="b">
        <f t="shared" si="14"/>
        <v>0</v>
      </c>
    </row>
    <row r="268" spans="1:18" hidden="1" x14ac:dyDescent="0.35">
      <c r="A268" s="16" t="s">
        <v>101</v>
      </c>
      <c r="B268" s="9" t="s">
        <v>2484</v>
      </c>
      <c r="C268" s="9" t="s">
        <v>2484</v>
      </c>
      <c r="D268" s="9" t="e">
        <f>VLOOKUP(RBE!C268,Permis[[#This Row],[Parties]],1,0)</f>
        <v>#N/A</v>
      </c>
      <c r="E268" s="9" t="s">
        <v>2482</v>
      </c>
      <c r="F268" s="10" t="s">
        <v>2485</v>
      </c>
      <c r="G268" s="10" t="str">
        <f t="shared" si="12"/>
        <v>2023</v>
      </c>
      <c r="H268" s="10" t="s">
        <v>1905</v>
      </c>
      <c r="I268" s="10" t="s">
        <v>1905</v>
      </c>
      <c r="J268" s="9" t="s">
        <v>1912</v>
      </c>
      <c r="K268" s="9" t="s">
        <v>1912</v>
      </c>
      <c r="L268" s="9" t="s">
        <v>1905</v>
      </c>
      <c r="M268" s="9">
        <v>0</v>
      </c>
      <c r="N268" s="9" t="s">
        <v>1905</v>
      </c>
      <c r="O268" s="9" t="s">
        <v>1898</v>
      </c>
      <c r="P268" s="16" t="s">
        <v>101</v>
      </c>
      <c r="Q268">
        <f t="shared" si="13"/>
        <v>0</v>
      </c>
      <c r="R268" t="b">
        <f t="shared" si="14"/>
        <v>0</v>
      </c>
    </row>
    <row r="269" spans="1:18" hidden="1" x14ac:dyDescent="0.35">
      <c r="A269" s="16" t="s">
        <v>101</v>
      </c>
      <c r="B269" s="9" t="s">
        <v>2486</v>
      </c>
      <c r="C269" s="9" t="s">
        <v>2486</v>
      </c>
      <c r="D269" s="9" t="e">
        <f>VLOOKUP(RBE!C269,Permis[[#This Row],[Parties]],1,0)</f>
        <v>#N/A</v>
      </c>
      <c r="E269" s="9" t="s">
        <v>2482</v>
      </c>
      <c r="F269" s="10" t="s">
        <v>2487</v>
      </c>
      <c r="G269" s="10" t="str">
        <f t="shared" si="12"/>
        <v>2023</v>
      </c>
      <c r="H269" s="10" t="s">
        <v>1905</v>
      </c>
      <c r="I269" s="10" t="s">
        <v>1905</v>
      </c>
      <c r="J269" s="9" t="s">
        <v>1926</v>
      </c>
      <c r="K269" s="9" t="s">
        <v>1926</v>
      </c>
      <c r="L269" s="9" t="s">
        <v>1905</v>
      </c>
      <c r="M269" s="9">
        <v>0</v>
      </c>
      <c r="N269" s="9" t="s">
        <v>1905</v>
      </c>
      <c r="O269" s="9" t="s">
        <v>1898</v>
      </c>
      <c r="P269" s="16" t="s">
        <v>101</v>
      </c>
      <c r="Q269">
        <f t="shared" si="13"/>
        <v>0</v>
      </c>
      <c r="R269" t="b">
        <f t="shared" si="14"/>
        <v>0</v>
      </c>
    </row>
    <row r="270" spans="1:18" hidden="1" x14ac:dyDescent="0.35">
      <c r="A270" s="16" t="s">
        <v>101</v>
      </c>
      <c r="B270" s="9" t="s">
        <v>2488</v>
      </c>
      <c r="C270" s="9" t="s">
        <v>3148</v>
      </c>
      <c r="D270" s="9" t="e">
        <f>VLOOKUP(RBE!C270,Permis[[#This Row],[Parties]],1,0)</f>
        <v>#N/A</v>
      </c>
      <c r="E270" s="9" t="s">
        <v>2489</v>
      </c>
      <c r="F270" s="10" t="s">
        <v>2487</v>
      </c>
      <c r="G270" s="10" t="str">
        <f t="shared" si="12"/>
        <v>2023</v>
      </c>
      <c r="H270" s="10" t="s">
        <v>1905</v>
      </c>
      <c r="I270" s="10" t="s">
        <v>1905</v>
      </c>
      <c r="J270" s="9" t="s">
        <v>2254</v>
      </c>
      <c r="K270" s="9" t="s">
        <v>2254</v>
      </c>
      <c r="L270" s="9" t="s">
        <v>2255</v>
      </c>
      <c r="M270" s="9">
        <v>1</v>
      </c>
      <c r="N270" s="9" t="s">
        <v>2256</v>
      </c>
      <c r="O270" s="9" t="s">
        <v>1898</v>
      </c>
      <c r="P270" s="16" t="s">
        <v>101</v>
      </c>
      <c r="Q270">
        <f t="shared" si="13"/>
        <v>0</v>
      </c>
      <c r="R270" t="b">
        <f t="shared" si="14"/>
        <v>0</v>
      </c>
    </row>
    <row r="271" spans="1:18" hidden="1" x14ac:dyDescent="0.35">
      <c r="A271" s="16" t="s">
        <v>101</v>
      </c>
      <c r="B271" s="9" t="s">
        <v>2488</v>
      </c>
      <c r="C271" s="9" t="s">
        <v>3148</v>
      </c>
      <c r="D271" s="9" t="e">
        <f>VLOOKUP(RBE!C271,Permis[[#This Row],[Parties]],1,0)</f>
        <v>#N/A</v>
      </c>
      <c r="E271" s="9" t="s">
        <v>2490</v>
      </c>
      <c r="F271" s="10" t="s">
        <v>2487</v>
      </c>
      <c r="G271" s="10" t="str">
        <f t="shared" si="12"/>
        <v>2023</v>
      </c>
      <c r="H271" s="10" t="s">
        <v>1905</v>
      </c>
      <c r="I271" s="10" t="s">
        <v>1905</v>
      </c>
      <c r="J271" s="9" t="s">
        <v>2254</v>
      </c>
      <c r="K271" s="9" t="s">
        <v>2254</v>
      </c>
      <c r="L271" s="9" t="s">
        <v>2254</v>
      </c>
      <c r="M271" s="9">
        <v>1</v>
      </c>
      <c r="N271" s="9" t="s">
        <v>2256</v>
      </c>
      <c r="O271" s="9" t="s">
        <v>1898</v>
      </c>
      <c r="P271" s="16" t="s">
        <v>101</v>
      </c>
      <c r="Q271">
        <f t="shared" si="13"/>
        <v>0</v>
      </c>
      <c r="R271" t="b">
        <f t="shared" si="14"/>
        <v>0</v>
      </c>
    </row>
    <row r="272" spans="1:18" hidden="1" x14ac:dyDescent="0.35">
      <c r="A272" s="16" t="s">
        <v>101</v>
      </c>
      <c r="B272" s="9" t="s">
        <v>2491</v>
      </c>
      <c r="C272" s="9" t="s">
        <v>2491</v>
      </c>
      <c r="D272" s="9" t="e">
        <f>VLOOKUP(RBE!C272,Permis[[#This Row],[Parties]],1,0)</f>
        <v>#N/A</v>
      </c>
      <c r="E272" s="9" t="s">
        <v>2492</v>
      </c>
      <c r="F272" s="10" t="s">
        <v>2493</v>
      </c>
      <c r="G272" s="10" t="str">
        <f t="shared" si="12"/>
        <v>2023</v>
      </c>
      <c r="H272" s="10">
        <v>55</v>
      </c>
      <c r="I272" s="10" t="s">
        <v>1905</v>
      </c>
      <c r="J272" s="9" t="s">
        <v>1912</v>
      </c>
      <c r="K272" s="9" t="s">
        <v>1912</v>
      </c>
      <c r="L272" s="9" t="s">
        <v>1905</v>
      </c>
      <c r="M272" s="9">
        <v>0</v>
      </c>
      <c r="N272" s="9" t="s">
        <v>1905</v>
      </c>
      <c r="O272" s="9" t="s">
        <v>1898</v>
      </c>
      <c r="P272" s="16" t="s">
        <v>101</v>
      </c>
      <c r="Q272">
        <f t="shared" si="13"/>
        <v>0</v>
      </c>
      <c r="R272" t="b">
        <f t="shared" si="14"/>
        <v>0</v>
      </c>
    </row>
    <row r="273" spans="1:18" hidden="1" x14ac:dyDescent="0.35">
      <c r="A273" s="16" t="s">
        <v>101</v>
      </c>
      <c r="B273" s="9" t="s">
        <v>2491</v>
      </c>
      <c r="C273" s="9" t="s">
        <v>2491</v>
      </c>
      <c r="D273" s="9" t="e">
        <f>VLOOKUP(RBE!C273,Permis[[#This Row],[Parties]],1,0)</f>
        <v>#N/A</v>
      </c>
      <c r="E273" s="9" t="s">
        <v>2494</v>
      </c>
      <c r="F273" s="10" t="s">
        <v>2493</v>
      </c>
      <c r="G273" s="10" t="str">
        <f t="shared" si="12"/>
        <v>2023</v>
      </c>
      <c r="H273" s="10">
        <v>45</v>
      </c>
      <c r="I273" s="10">
        <v>45</v>
      </c>
      <c r="J273" s="9" t="s">
        <v>1912</v>
      </c>
      <c r="K273" s="9" t="s">
        <v>1912</v>
      </c>
      <c r="L273" s="9" t="s">
        <v>1905</v>
      </c>
      <c r="M273" s="9">
        <v>0</v>
      </c>
      <c r="N273" s="9" t="s">
        <v>1905</v>
      </c>
      <c r="O273" s="9" t="s">
        <v>1898</v>
      </c>
      <c r="P273" s="16" t="s">
        <v>101</v>
      </c>
      <c r="Q273">
        <f t="shared" si="13"/>
        <v>0</v>
      </c>
      <c r="R273" t="b">
        <f t="shared" si="14"/>
        <v>0</v>
      </c>
    </row>
    <row r="274" spans="1:18" hidden="1" x14ac:dyDescent="0.35">
      <c r="A274" s="16" t="s">
        <v>101</v>
      </c>
      <c r="B274" s="9" t="s">
        <v>2495</v>
      </c>
      <c r="C274" s="9" t="s">
        <v>2495</v>
      </c>
      <c r="D274" s="9" t="e">
        <f>VLOOKUP(RBE!C274,Permis[[#This Row],[Parties]],1,0)</f>
        <v>#N/A</v>
      </c>
      <c r="E274" s="9" t="s">
        <v>2496</v>
      </c>
      <c r="F274" s="10" t="s">
        <v>2497</v>
      </c>
      <c r="G274" s="10" t="str">
        <f t="shared" si="12"/>
        <v>2023</v>
      </c>
      <c r="H274" s="10">
        <v>5</v>
      </c>
      <c r="I274" s="10">
        <v>5</v>
      </c>
      <c r="J274" s="9" t="s">
        <v>1912</v>
      </c>
      <c r="K274" s="9" t="s">
        <v>1912</v>
      </c>
      <c r="L274" s="9" t="s">
        <v>1905</v>
      </c>
      <c r="M274" s="9">
        <v>0</v>
      </c>
      <c r="N274" s="9" t="s">
        <v>1905</v>
      </c>
      <c r="O274" s="9" t="s">
        <v>1898</v>
      </c>
      <c r="P274" s="16" t="s">
        <v>101</v>
      </c>
      <c r="Q274">
        <f t="shared" si="13"/>
        <v>0</v>
      </c>
      <c r="R274" t="b">
        <f t="shared" si="14"/>
        <v>0</v>
      </c>
    </row>
    <row r="275" spans="1:18" hidden="1" x14ac:dyDescent="0.35">
      <c r="A275" s="16" t="s">
        <v>101</v>
      </c>
      <c r="B275" s="9" t="s">
        <v>2495</v>
      </c>
      <c r="C275" s="9" t="s">
        <v>2495</v>
      </c>
      <c r="D275" s="9" t="e">
        <f>VLOOKUP(RBE!C275,Permis[[#This Row],[Parties]],1,0)</f>
        <v>#N/A</v>
      </c>
      <c r="E275" s="9" t="s">
        <v>2496</v>
      </c>
      <c r="F275" s="10" t="s">
        <v>2497</v>
      </c>
      <c r="G275" s="10" t="str">
        <f t="shared" si="12"/>
        <v>2023</v>
      </c>
      <c r="H275" s="10">
        <v>5</v>
      </c>
      <c r="I275" s="10">
        <v>5</v>
      </c>
      <c r="J275" s="9" t="s">
        <v>1912</v>
      </c>
      <c r="K275" s="9" t="s">
        <v>1912</v>
      </c>
      <c r="L275" s="9" t="s">
        <v>1905</v>
      </c>
      <c r="M275" s="9">
        <v>0</v>
      </c>
      <c r="N275" s="9" t="s">
        <v>1905</v>
      </c>
      <c r="O275" s="9" t="s">
        <v>1898</v>
      </c>
      <c r="P275" s="16" t="s">
        <v>101</v>
      </c>
      <c r="Q275">
        <f t="shared" si="13"/>
        <v>0</v>
      </c>
      <c r="R275" t="b">
        <f t="shared" si="14"/>
        <v>0</v>
      </c>
    </row>
    <row r="276" spans="1:18" hidden="1" x14ac:dyDescent="0.35">
      <c r="A276" s="16" t="s">
        <v>101</v>
      </c>
      <c r="B276" s="9" t="s">
        <v>2498</v>
      </c>
      <c r="C276" s="9" t="s">
        <v>2498</v>
      </c>
      <c r="D276" s="9" t="e">
        <f>VLOOKUP(RBE!C276,Permis[[#This Row],[Parties]],1,0)</f>
        <v>#N/A</v>
      </c>
      <c r="E276" s="9" t="s">
        <v>2499</v>
      </c>
      <c r="F276" s="10" t="s">
        <v>2497</v>
      </c>
      <c r="G276" s="10" t="str">
        <f t="shared" si="12"/>
        <v>2023</v>
      </c>
      <c r="H276" s="10">
        <v>5</v>
      </c>
      <c r="I276" s="10">
        <v>5</v>
      </c>
      <c r="J276" s="9" t="s">
        <v>1912</v>
      </c>
      <c r="K276" s="9" t="s">
        <v>1912</v>
      </c>
      <c r="L276" s="9" t="s">
        <v>1905</v>
      </c>
      <c r="M276" s="9">
        <v>0</v>
      </c>
      <c r="N276" s="9" t="s">
        <v>1905</v>
      </c>
      <c r="O276" s="9" t="s">
        <v>1898</v>
      </c>
      <c r="P276" s="16" t="s">
        <v>101</v>
      </c>
      <c r="Q276">
        <f t="shared" si="13"/>
        <v>0</v>
      </c>
      <c r="R276" t="b">
        <f t="shared" si="14"/>
        <v>0</v>
      </c>
    </row>
    <row r="277" spans="1:18" hidden="1" x14ac:dyDescent="0.35">
      <c r="A277" s="16" t="s">
        <v>101</v>
      </c>
      <c r="B277" s="9" t="s">
        <v>2498</v>
      </c>
      <c r="C277" s="9" t="s">
        <v>2498</v>
      </c>
      <c r="D277" s="9" t="e">
        <f>VLOOKUP(RBE!C277,Permis[[#This Row],[Parties]],1,0)</f>
        <v>#N/A</v>
      </c>
      <c r="E277" s="9" t="s">
        <v>2500</v>
      </c>
      <c r="F277" s="10" t="s">
        <v>2497</v>
      </c>
      <c r="G277" s="10" t="str">
        <f t="shared" si="12"/>
        <v>2023</v>
      </c>
      <c r="H277" s="10">
        <v>70</v>
      </c>
      <c r="I277" s="10">
        <v>70</v>
      </c>
      <c r="J277" s="9" t="s">
        <v>1912</v>
      </c>
      <c r="K277" s="9" t="s">
        <v>1912</v>
      </c>
      <c r="L277" s="9" t="s">
        <v>1905</v>
      </c>
      <c r="M277" s="9">
        <v>0</v>
      </c>
      <c r="N277" s="9" t="s">
        <v>1905</v>
      </c>
      <c r="O277" s="9" t="s">
        <v>1898</v>
      </c>
      <c r="P277" s="16" t="s">
        <v>101</v>
      </c>
      <c r="Q277">
        <f t="shared" si="13"/>
        <v>0</v>
      </c>
      <c r="R277" t="b">
        <f t="shared" si="14"/>
        <v>0</v>
      </c>
    </row>
    <row r="278" spans="1:18" hidden="1" x14ac:dyDescent="0.35">
      <c r="A278" s="16" t="s">
        <v>101</v>
      </c>
      <c r="B278" s="9" t="s">
        <v>2498</v>
      </c>
      <c r="C278" s="9" t="s">
        <v>2498</v>
      </c>
      <c r="D278" s="9" t="e">
        <f>VLOOKUP(RBE!C278,Permis[[#This Row],[Parties]],1,0)</f>
        <v>#N/A</v>
      </c>
      <c r="E278" s="9" t="s">
        <v>2500</v>
      </c>
      <c r="F278" s="10" t="s">
        <v>2497</v>
      </c>
      <c r="G278" s="10" t="str">
        <f t="shared" si="12"/>
        <v>2023</v>
      </c>
      <c r="H278" s="10">
        <v>5</v>
      </c>
      <c r="I278" s="10">
        <v>5</v>
      </c>
      <c r="J278" s="9" t="s">
        <v>1912</v>
      </c>
      <c r="K278" s="9" t="s">
        <v>1912</v>
      </c>
      <c r="L278" s="9" t="s">
        <v>1905</v>
      </c>
      <c r="M278" s="9">
        <v>0</v>
      </c>
      <c r="N278" s="9" t="s">
        <v>1905</v>
      </c>
      <c r="O278" s="9" t="s">
        <v>1898</v>
      </c>
      <c r="P278" s="16" t="s">
        <v>101</v>
      </c>
      <c r="Q278">
        <f t="shared" si="13"/>
        <v>0</v>
      </c>
      <c r="R278" t="b">
        <f t="shared" si="14"/>
        <v>0</v>
      </c>
    </row>
    <row r="279" spans="1:18" hidden="1" x14ac:dyDescent="0.35">
      <c r="A279" s="16" t="s">
        <v>101</v>
      </c>
      <c r="B279" s="9" t="s">
        <v>2498</v>
      </c>
      <c r="C279" s="9" t="s">
        <v>2498</v>
      </c>
      <c r="D279" s="9" t="e">
        <f>VLOOKUP(RBE!C279,Permis[[#This Row],[Parties]],1,0)</f>
        <v>#N/A</v>
      </c>
      <c r="E279" s="9" t="s">
        <v>2501</v>
      </c>
      <c r="F279" s="10" t="s">
        <v>2497</v>
      </c>
      <c r="G279" s="10" t="str">
        <f t="shared" si="12"/>
        <v>2023</v>
      </c>
      <c r="H279" s="10">
        <v>5</v>
      </c>
      <c r="I279" s="10">
        <v>5</v>
      </c>
      <c r="J279" s="9" t="s">
        <v>1912</v>
      </c>
      <c r="K279" s="9" t="s">
        <v>1912</v>
      </c>
      <c r="L279" s="9" t="s">
        <v>1905</v>
      </c>
      <c r="M279" s="9">
        <v>0</v>
      </c>
      <c r="N279" s="9" t="s">
        <v>1905</v>
      </c>
      <c r="O279" s="9" t="s">
        <v>1898</v>
      </c>
      <c r="P279" s="16" t="s">
        <v>101</v>
      </c>
      <c r="Q279">
        <f t="shared" si="13"/>
        <v>0</v>
      </c>
      <c r="R279" t="b">
        <f t="shared" si="14"/>
        <v>0</v>
      </c>
    </row>
    <row r="280" spans="1:18" hidden="1" x14ac:dyDescent="0.35">
      <c r="A280" s="16" t="s">
        <v>101</v>
      </c>
      <c r="B280" s="9" t="s">
        <v>2498</v>
      </c>
      <c r="C280" s="9" t="s">
        <v>2498</v>
      </c>
      <c r="D280" s="9" t="e">
        <f>VLOOKUP(RBE!C280,Permis[[#This Row],[Parties]],1,0)</f>
        <v>#N/A</v>
      </c>
      <c r="E280" s="9" t="s">
        <v>2502</v>
      </c>
      <c r="F280" s="10" t="s">
        <v>2497</v>
      </c>
      <c r="G280" s="10" t="str">
        <f t="shared" si="12"/>
        <v>2023</v>
      </c>
      <c r="H280" s="10">
        <v>5</v>
      </c>
      <c r="I280" s="10">
        <v>5</v>
      </c>
      <c r="J280" s="9" t="s">
        <v>1912</v>
      </c>
      <c r="K280" s="9" t="s">
        <v>1912</v>
      </c>
      <c r="L280" s="9" t="s">
        <v>1905</v>
      </c>
      <c r="M280" s="9">
        <v>0</v>
      </c>
      <c r="N280" s="9" t="s">
        <v>1905</v>
      </c>
      <c r="O280" s="9" t="s">
        <v>1898</v>
      </c>
      <c r="P280" s="16" t="s">
        <v>101</v>
      </c>
      <c r="Q280">
        <f t="shared" si="13"/>
        <v>0</v>
      </c>
      <c r="R280" t="b">
        <f t="shared" si="14"/>
        <v>0</v>
      </c>
    </row>
    <row r="281" spans="1:18" hidden="1" x14ac:dyDescent="0.35">
      <c r="A281" s="16" t="s">
        <v>101</v>
      </c>
      <c r="B281" s="9" t="s">
        <v>2503</v>
      </c>
      <c r="C281" s="9" t="s">
        <v>2503</v>
      </c>
      <c r="D281" s="9" t="e">
        <f>VLOOKUP(RBE!C281,Permis[[#This Row],[Parties]],1,0)</f>
        <v>#N/A</v>
      </c>
      <c r="E281" s="9" t="s">
        <v>2504</v>
      </c>
      <c r="F281" s="10" t="s">
        <v>2505</v>
      </c>
      <c r="G281" s="10" t="str">
        <f t="shared" si="12"/>
        <v>2023</v>
      </c>
      <c r="H281" s="10">
        <v>100</v>
      </c>
      <c r="I281" s="10">
        <v>100</v>
      </c>
      <c r="J281" s="9" t="s">
        <v>1912</v>
      </c>
      <c r="K281" s="9" t="s">
        <v>1912</v>
      </c>
      <c r="L281" s="9" t="s">
        <v>1905</v>
      </c>
      <c r="M281" s="9">
        <v>0</v>
      </c>
      <c r="N281" s="9" t="s">
        <v>1905</v>
      </c>
      <c r="O281" s="9" t="s">
        <v>1898</v>
      </c>
      <c r="P281" s="16" t="s">
        <v>101</v>
      </c>
      <c r="Q281">
        <f t="shared" si="13"/>
        <v>0</v>
      </c>
      <c r="R281" t="b">
        <f t="shared" si="14"/>
        <v>0</v>
      </c>
    </row>
    <row r="282" spans="1:18" hidden="1" x14ac:dyDescent="0.35">
      <c r="A282" s="16" t="s">
        <v>101</v>
      </c>
      <c r="B282" s="9" t="s">
        <v>2506</v>
      </c>
      <c r="C282" s="9" t="s">
        <v>2506</v>
      </c>
      <c r="D282" s="9" t="e">
        <f>VLOOKUP(RBE!C282,Permis[[#This Row],[Parties]],1,0)</f>
        <v>#N/A</v>
      </c>
      <c r="E282" s="9" t="s">
        <v>2507</v>
      </c>
      <c r="F282" s="10" t="s">
        <v>2508</v>
      </c>
      <c r="G282" s="10" t="str">
        <f t="shared" si="12"/>
        <v>2023</v>
      </c>
      <c r="H282" s="10">
        <v>100</v>
      </c>
      <c r="I282" s="10">
        <v>100</v>
      </c>
      <c r="J282" s="9" t="s">
        <v>1912</v>
      </c>
      <c r="K282" s="9" t="s">
        <v>1912</v>
      </c>
      <c r="L282" s="9" t="s">
        <v>1905</v>
      </c>
      <c r="M282" s="9">
        <v>0</v>
      </c>
      <c r="N282" s="9" t="s">
        <v>1905</v>
      </c>
      <c r="O282" s="9" t="s">
        <v>1898</v>
      </c>
      <c r="P282" s="16" t="s">
        <v>101</v>
      </c>
      <c r="Q282">
        <f t="shared" si="13"/>
        <v>0</v>
      </c>
      <c r="R282" t="b">
        <f t="shared" si="14"/>
        <v>0</v>
      </c>
    </row>
    <row r="283" spans="1:18" hidden="1" x14ac:dyDescent="0.35">
      <c r="A283" s="16" t="s">
        <v>101</v>
      </c>
      <c r="B283" s="9" t="s">
        <v>2506</v>
      </c>
      <c r="C283" s="9" t="s">
        <v>2506</v>
      </c>
      <c r="D283" s="9" t="e">
        <f>VLOOKUP(RBE!C283,Permis[[#This Row],[Parties]],1,0)</f>
        <v>#N/A</v>
      </c>
      <c r="E283" s="9" t="s">
        <v>2509</v>
      </c>
      <c r="F283" s="10" t="s">
        <v>2510</v>
      </c>
      <c r="G283" s="10" t="str">
        <f t="shared" si="12"/>
        <v>2023</v>
      </c>
      <c r="H283" s="10" t="s">
        <v>1905</v>
      </c>
      <c r="I283" s="10" t="s">
        <v>1905</v>
      </c>
      <c r="J283" s="9" t="s">
        <v>2185</v>
      </c>
      <c r="K283" s="9" t="s">
        <v>2185</v>
      </c>
      <c r="L283" s="9" t="s">
        <v>1905</v>
      </c>
      <c r="M283" s="9">
        <v>0</v>
      </c>
      <c r="N283" s="9" t="s">
        <v>1905</v>
      </c>
      <c r="O283" s="9" t="s">
        <v>1898</v>
      </c>
      <c r="P283" s="16" t="s">
        <v>101</v>
      </c>
      <c r="Q283">
        <f t="shared" si="13"/>
        <v>0</v>
      </c>
      <c r="R283" t="b">
        <f t="shared" si="14"/>
        <v>0</v>
      </c>
    </row>
    <row r="284" spans="1:18" hidden="1" x14ac:dyDescent="0.35">
      <c r="A284" s="16" t="s">
        <v>101</v>
      </c>
      <c r="B284" s="9" t="s">
        <v>2511</v>
      </c>
      <c r="C284" s="9" t="s">
        <v>2511</v>
      </c>
      <c r="D284" s="9" t="e">
        <f>VLOOKUP(RBE!C284,Permis[[#This Row],[Parties]],1,0)</f>
        <v>#N/A</v>
      </c>
      <c r="E284" s="9" t="s">
        <v>2512</v>
      </c>
      <c r="F284" s="10" t="s">
        <v>2513</v>
      </c>
      <c r="G284" s="10" t="str">
        <f t="shared" si="12"/>
        <v>2023</v>
      </c>
      <c r="H284" s="10" t="s">
        <v>1905</v>
      </c>
      <c r="I284" s="10" t="s">
        <v>1905</v>
      </c>
      <c r="J284" s="9" t="s">
        <v>1912</v>
      </c>
      <c r="K284" s="9" t="s">
        <v>1912</v>
      </c>
      <c r="L284" s="9" t="s">
        <v>1905</v>
      </c>
      <c r="M284" s="9">
        <v>0</v>
      </c>
      <c r="N284" s="9" t="s">
        <v>1905</v>
      </c>
      <c r="O284" s="9" t="s">
        <v>1898</v>
      </c>
      <c r="P284" s="16" t="s">
        <v>101</v>
      </c>
      <c r="Q284">
        <f t="shared" si="13"/>
        <v>0</v>
      </c>
      <c r="R284" t="b">
        <f t="shared" si="14"/>
        <v>0</v>
      </c>
    </row>
    <row r="285" spans="1:18" hidden="1" x14ac:dyDescent="0.35">
      <c r="A285" s="16" t="s">
        <v>101</v>
      </c>
      <c r="B285" s="9" t="s">
        <v>2514</v>
      </c>
      <c r="C285" s="9" t="s">
        <v>2514</v>
      </c>
      <c r="D285" s="9" t="e">
        <f>VLOOKUP(RBE!C285,Permis[[#This Row],[Parties]],1,0)</f>
        <v>#N/A</v>
      </c>
      <c r="E285" s="9" t="s">
        <v>2515</v>
      </c>
      <c r="F285" s="10" t="s">
        <v>2513</v>
      </c>
      <c r="G285" s="10" t="str">
        <f t="shared" si="12"/>
        <v>2023</v>
      </c>
      <c r="H285" s="10" t="s">
        <v>1905</v>
      </c>
      <c r="I285" s="10" t="s">
        <v>1905</v>
      </c>
      <c r="J285" s="9" t="s">
        <v>1912</v>
      </c>
      <c r="K285" s="9" t="s">
        <v>1912</v>
      </c>
      <c r="L285" s="9" t="s">
        <v>1905</v>
      </c>
      <c r="M285" s="9">
        <v>0</v>
      </c>
      <c r="N285" s="9" t="s">
        <v>1905</v>
      </c>
      <c r="O285" s="9" t="s">
        <v>1898</v>
      </c>
      <c r="P285" s="16" t="s">
        <v>101</v>
      </c>
      <c r="Q285">
        <f t="shared" si="13"/>
        <v>0</v>
      </c>
      <c r="R285" t="b">
        <f t="shared" si="14"/>
        <v>0</v>
      </c>
    </row>
    <row r="286" spans="1:18" hidden="1" x14ac:dyDescent="0.35">
      <c r="A286" s="16" t="s">
        <v>101</v>
      </c>
      <c r="B286" s="9" t="s">
        <v>2514</v>
      </c>
      <c r="C286" s="9" t="s">
        <v>2514</v>
      </c>
      <c r="D286" s="9" t="e">
        <f>VLOOKUP(RBE!C286,Permis[[#This Row],[Parties]],1,0)</f>
        <v>#N/A</v>
      </c>
      <c r="E286" s="9" t="s">
        <v>2515</v>
      </c>
      <c r="F286" s="10" t="s">
        <v>2513</v>
      </c>
      <c r="G286" s="10" t="str">
        <f t="shared" si="12"/>
        <v>2023</v>
      </c>
      <c r="H286" s="10" t="s">
        <v>1905</v>
      </c>
      <c r="I286" s="10" t="s">
        <v>1905</v>
      </c>
      <c r="J286" s="9" t="s">
        <v>1912</v>
      </c>
      <c r="K286" s="9" t="s">
        <v>1912</v>
      </c>
      <c r="L286" s="9" t="s">
        <v>1905</v>
      </c>
      <c r="M286" s="9">
        <v>0</v>
      </c>
      <c r="N286" s="9" t="s">
        <v>1905</v>
      </c>
      <c r="O286" s="9" t="s">
        <v>1898</v>
      </c>
      <c r="P286" s="16" t="s">
        <v>101</v>
      </c>
      <c r="Q286">
        <f t="shared" si="13"/>
        <v>0</v>
      </c>
      <c r="R286" t="b">
        <f t="shared" si="14"/>
        <v>0</v>
      </c>
    </row>
    <row r="287" spans="1:18" hidden="1" x14ac:dyDescent="0.35">
      <c r="A287" s="16" t="s">
        <v>101</v>
      </c>
      <c r="B287" s="9" t="s">
        <v>2514</v>
      </c>
      <c r="C287" s="9" t="s">
        <v>2514</v>
      </c>
      <c r="D287" s="9" t="e">
        <f>VLOOKUP(RBE!C287,Permis[[#This Row],[Parties]],1,0)</f>
        <v>#N/A</v>
      </c>
      <c r="E287" s="9" t="s">
        <v>2515</v>
      </c>
      <c r="F287" s="10" t="s">
        <v>2516</v>
      </c>
      <c r="G287" s="10" t="str">
        <f t="shared" si="12"/>
        <v>2023</v>
      </c>
      <c r="H287" s="10">
        <v>10</v>
      </c>
      <c r="I287" s="10">
        <v>10</v>
      </c>
      <c r="J287" s="9" t="s">
        <v>1912</v>
      </c>
      <c r="K287" s="9" t="s">
        <v>1912</v>
      </c>
      <c r="L287" s="9" t="s">
        <v>1905</v>
      </c>
      <c r="M287" s="9">
        <v>0</v>
      </c>
      <c r="N287" s="9" t="s">
        <v>1905</v>
      </c>
      <c r="O287" s="9" t="s">
        <v>1898</v>
      </c>
      <c r="P287" s="16" t="s">
        <v>101</v>
      </c>
      <c r="Q287">
        <f t="shared" si="13"/>
        <v>0</v>
      </c>
      <c r="R287" t="b">
        <f t="shared" si="14"/>
        <v>0</v>
      </c>
    </row>
    <row r="288" spans="1:18" hidden="1" x14ac:dyDescent="0.35">
      <c r="A288" s="16" t="s">
        <v>101</v>
      </c>
      <c r="B288" s="9" t="s">
        <v>2517</v>
      </c>
      <c r="C288" s="9" t="s">
        <v>2517</v>
      </c>
      <c r="D288" s="9" t="e">
        <f>VLOOKUP(RBE!C288,Permis[[#This Row],[Parties]],1,0)</f>
        <v>#N/A</v>
      </c>
      <c r="E288" s="9" t="s">
        <v>2518</v>
      </c>
      <c r="F288" s="10" t="s">
        <v>2516</v>
      </c>
      <c r="G288" s="10" t="str">
        <f t="shared" si="12"/>
        <v>2023</v>
      </c>
      <c r="H288" s="10">
        <v>10</v>
      </c>
      <c r="I288" s="10">
        <v>10</v>
      </c>
      <c r="J288" s="9" t="s">
        <v>1912</v>
      </c>
      <c r="K288" s="9" t="s">
        <v>1912</v>
      </c>
      <c r="L288" s="9" t="s">
        <v>1905</v>
      </c>
      <c r="M288" s="9">
        <v>0</v>
      </c>
      <c r="N288" s="9" t="s">
        <v>1905</v>
      </c>
      <c r="O288" s="9" t="s">
        <v>1898</v>
      </c>
      <c r="P288" s="16" t="s">
        <v>101</v>
      </c>
      <c r="Q288">
        <f t="shared" si="13"/>
        <v>0</v>
      </c>
      <c r="R288" t="b">
        <f t="shared" si="14"/>
        <v>0</v>
      </c>
    </row>
    <row r="289" spans="1:18" hidden="1" x14ac:dyDescent="0.35">
      <c r="A289" s="16" t="s">
        <v>101</v>
      </c>
      <c r="B289" s="9" t="s">
        <v>2519</v>
      </c>
      <c r="C289" s="9" t="s">
        <v>2519</v>
      </c>
      <c r="D289" s="9" t="e">
        <f>VLOOKUP(RBE!C289,Permis[[#This Row],[Parties]],1,0)</f>
        <v>#N/A</v>
      </c>
      <c r="E289" s="9" t="s">
        <v>2520</v>
      </c>
      <c r="F289" s="10" t="s">
        <v>2516</v>
      </c>
      <c r="G289" s="10" t="str">
        <f t="shared" si="12"/>
        <v>2023</v>
      </c>
      <c r="H289" s="10">
        <v>70</v>
      </c>
      <c r="I289" s="10">
        <v>70</v>
      </c>
      <c r="J289" s="9" t="s">
        <v>1912</v>
      </c>
      <c r="K289" s="9" t="s">
        <v>1912</v>
      </c>
      <c r="L289" s="9" t="s">
        <v>1905</v>
      </c>
      <c r="M289" s="9">
        <v>0</v>
      </c>
      <c r="N289" s="9" t="s">
        <v>1905</v>
      </c>
      <c r="O289" s="9" t="s">
        <v>1898</v>
      </c>
      <c r="P289" s="16" t="s">
        <v>101</v>
      </c>
      <c r="Q289">
        <f t="shared" si="13"/>
        <v>0</v>
      </c>
      <c r="R289" t="b">
        <f t="shared" si="14"/>
        <v>0</v>
      </c>
    </row>
    <row r="290" spans="1:18" hidden="1" x14ac:dyDescent="0.35">
      <c r="A290" s="16" t="s">
        <v>101</v>
      </c>
      <c r="B290" s="9" t="s">
        <v>2519</v>
      </c>
      <c r="C290" s="9" t="s">
        <v>2519</v>
      </c>
      <c r="D290" s="9" t="e">
        <f>VLOOKUP(RBE!C290,Permis[[#This Row],[Parties]],1,0)</f>
        <v>#N/A</v>
      </c>
      <c r="E290" s="9" t="s">
        <v>2521</v>
      </c>
      <c r="F290" s="10" t="s">
        <v>2516</v>
      </c>
      <c r="G290" s="10" t="str">
        <f t="shared" si="12"/>
        <v>2023</v>
      </c>
      <c r="H290" s="10">
        <v>10</v>
      </c>
      <c r="I290" s="10">
        <v>10</v>
      </c>
      <c r="J290" s="9" t="s">
        <v>1912</v>
      </c>
      <c r="K290" s="9" t="s">
        <v>1912</v>
      </c>
      <c r="L290" s="9" t="s">
        <v>1905</v>
      </c>
      <c r="M290" s="9">
        <v>0</v>
      </c>
      <c r="N290" s="9" t="s">
        <v>1905</v>
      </c>
      <c r="O290" s="9" t="s">
        <v>1898</v>
      </c>
      <c r="P290" s="16" t="s">
        <v>101</v>
      </c>
      <c r="Q290">
        <f t="shared" si="13"/>
        <v>0</v>
      </c>
      <c r="R290" t="b">
        <f t="shared" si="14"/>
        <v>0</v>
      </c>
    </row>
    <row r="291" spans="1:18" hidden="1" x14ac:dyDescent="0.35">
      <c r="A291" s="16" t="s">
        <v>101</v>
      </c>
      <c r="B291" s="9" t="s">
        <v>2522</v>
      </c>
      <c r="C291" s="9" t="s">
        <v>2522</v>
      </c>
      <c r="D291" s="9" t="e">
        <f>VLOOKUP(RBE!C291,Permis[[#This Row],[Parties]],1,0)</f>
        <v>#N/A</v>
      </c>
      <c r="E291" s="9" t="s">
        <v>2523</v>
      </c>
      <c r="F291" s="10" t="s">
        <v>2524</v>
      </c>
      <c r="G291" s="10" t="str">
        <f t="shared" si="12"/>
        <v>2023</v>
      </c>
      <c r="H291" s="10" t="s">
        <v>1905</v>
      </c>
      <c r="I291" s="10" t="s">
        <v>1905</v>
      </c>
      <c r="J291" s="9" t="s">
        <v>1912</v>
      </c>
      <c r="K291" s="9" t="s">
        <v>1912</v>
      </c>
      <c r="L291" s="9" t="s">
        <v>1905</v>
      </c>
      <c r="M291" s="9">
        <v>0</v>
      </c>
      <c r="N291" s="9" t="s">
        <v>1905</v>
      </c>
      <c r="O291" s="9" t="s">
        <v>1898</v>
      </c>
      <c r="P291" s="16" t="s">
        <v>101</v>
      </c>
      <c r="Q291">
        <f t="shared" si="13"/>
        <v>0</v>
      </c>
      <c r="R291" t="b">
        <f t="shared" si="14"/>
        <v>0</v>
      </c>
    </row>
    <row r="292" spans="1:18" hidden="1" x14ac:dyDescent="0.35">
      <c r="A292" s="16" t="s">
        <v>101</v>
      </c>
      <c r="B292" s="9" t="s">
        <v>2522</v>
      </c>
      <c r="C292" s="9" t="s">
        <v>2522</v>
      </c>
      <c r="D292" s="9" t="e">
        <f>VLOOKUP(RBE!C292,Permis[[#This Row],[Parties]],1,0)</f>
        <v>#N/A</v>
      </c>
      <c r="E292" s="9" t="s">
        <v>2525</v>
      </c>
      <c r="F292" s="10" t="s">
        <v>2526</v>
      </c>
      <c r="G292" s="10" t="str">
        <f t="shared" si="12"/>
        <v>2023</v>
      </c>
      <c r="H292" s="10" t="s">
        <v>1905</v>
      </c>
      <c r="I292" s="10" t="s">
        <v>1905</v>
      </c>
      <c r="J292" s="9" t="s">
        <v>1912</v>
      </c>
      <c r="K292" s="9" t="s">
        <v>1912</v>
      </c>
      <c r="L292" s="9" t="s">
        <v>1905</v>
      </c>
      <c r="M292" s="9">
        <v>0</v>
      </c>
      <c r="N292" s="9" t="s">
        <v>1905</v>
      </c>
      <c r="O292" s="9" t="s">
        <v>1898</v>
      </c>
      <c r="P292" s="16" t="s">
        <v>101</v>
      </c>
      <c r="Q292">
        <f t="shared" si="13"/>
        <v>0</v>
      </c>
      <c r="R292" t="b">
        <f t="shared" si="14"/>
        <v>0</v>
      </c>
    </row>
    <row r="293" spans="1:18" hidden="1" x14ac:dyDescent="0.35">
      <c r="A293" s="16" t="s">
        <v>101</v>
      </c>
      <c r="B293" s="9" t="s">
        <v>1933</v>
      </c>
      <c r="C293" s="9" t="s">
        <v>3133</v>
      </c>
      <c r="D293" s="9" t="e">
        <f>VLOOKUP(RBE!C293,Permis[[#This Row],[Parties]],1,0)</f>
        <v>#N/A</v>
      </c>
      <c r="E293" s="9" t="s">
        <v>1934</v>
      </c>
      <c r="F293" s="10" t="s">
        <v>1914</v>
      </c>
      <c r="G293" s="10" t="str">
        <f t="shared" si="12"/>
        <v>2021</v>
      </c>
      <c r="H293" s="10">
        <v>20</v>
      </c>
      <c r="I293" s="10">
        <v>20</v>
      </c>
      <c r="J293" s="9" t="s">
        <v>1912</v>
      </c>
      <c r="K293" s="9" t="s">
        <v>1912</v>
      </c>
      <c r="L293" s="9" t="s">
        <v>1905</v>
      </c>
      <c r="M293" s="9">
        <v>0</v>
      </c>
      <c r="N293" s="9" t="s">
        <v>1905</v>
      </c>
      <c r="O293" s="9" t="s">
        <v>1898</v>
      </c>
      <c r="P293" s="16" t="s">
        <v>101</v>
      </c>
      <c r="Q293">
        <f t="shared" si="13"/>
        <v>0</v>
      </c>
      <c r="R293" t="b">
        <f t="shared" si="14"/>
        <v>0</v>
      </c>
    </row>
    <row r="294" spans="1:18" hidden="1" x14ac:dyDescent="0.35">
      <c r="A294" s="16" t="s">
        <v>101</v>
      </c>
      <c r="B294" s="9" t="s">
        <v>1933</v>
      </c>
      <c r="C294" s="9" t="s">
        <v>3133</v>
      </c>
      <c r="D294" s="9" t="e">
        <f>VLOOKUP(RBE!C294,Permis[[#This Row],[Parties]],1,0)</f>
        <v>#N/A</v>
      </c>
      <c r="E294" s="9" t="s">
        <v>1935</v>
      </c>
      <c r="F294" s="10" t="s">
        <v>1936</v>
      </c>
      <c r="G294" s="10" t="str">
        <f t="shared" si="12"/>
        <v>2021</v>
      </c>
      <c r="H294" s="10" t="s">
        <v>1905</v>
      </c>
      <c r="I294" s="10" t="s">
        <v>1905</v>
      </c>
      <c r="J294" s="9" t="s">
        <v>1912</v>
      </c>
      <c r="K294" s="9" t="s">
        <v>1912</v>
      </c>
      <c r="L294" s="9" t="s">
        <v>1905</v>
      </c>
      <c r="M294" s="9">
        <v>0</v>
      </c>
      <c r="N294" s="9" t="s">
        <v>1905</v>
      </c>
      <c r="O294" s="9" t="s">
        <v>1898</v>
      </c>
      <c r="P294" s="16" t="s">
        <v>101</v>
      </c>
      <c r="Q294">
        <f t="shared" si="13"/>
        <v>0</v>
      </c>
      <c r="R294" t="b">
        <f t="shared" si="14"/>
        <v>0</v>
      </c>
    </row>
    <row r="295" spans="1:18" hidden="1" x14ac:dyDescent="0.35">
      <c r="A295" s="16" t="s">
        <v>101</v>
      </c>
      <c r="B295" s="9" t="s">
        <v>1933</v>
      </c>
      <c r="C295" s="9" t="s">
        <v>3133</v>
      </c>
      <c r="D295" s="9" t="e">
        <f>VLOOKUP(RBE!C295,Permis[[#This Row],[Parties]],1,0)</f>
        <v>#N/A</v>
      </c>
      <c r="E295" s="9" t="s">
        <v>1937</v>
      </c>
      <c r="F295" s="10" t="s">
        <v>1936</v>
      </c>
      <c r="G295" s="10" t="str">
        <f t="shared" si="12"/>
        <v>2021</v>
      </c>
      <c r="H295" s="10" t="s">
        <v>1905</v>
      </c>
      <c r="I295" s="10" t="s">
        <v>1905</v>
      </c>
      <c r="J295" s="9" t="s">
        <v>1926</v>
      </c>
      <c r="K295" s="9" t="s">
        <v>1926</v>
      </c>
      <c r="L295" s="9" t="s">
        <v>1905</v>
      </c>
      <c r="M295" s="9">
        <v>0</v>
      </c>
      <c r="N295" s="9" t="s">
        <v>1905</v>
      </c>
      <c r="O295" s="9" t="s">
        <v>1898</v>
      </c>
      <c r="P295" s="16" t="s">
        <v>101</v>
      </c>
      <c r="Q295">
        <f t="shared" si="13"/>
        <v>0</v>
      </c>
      <c r="R295" t="b">
        <f t="shared" si="14"/>
        <v>0</v>
      </c>
    </row>
    <row r="296" spans="1:18" hidden="1" x14ac:dyDescent="0.35">
      <c r="A296" s="16" t="s">
        <v>101</v>
      </c>
      <c r="B296" s="9" t="s">
        <v>2527</v>
      </c>
      <c r="C296" s="9" t="s">
        <v>2527</v>
      </c>
      <c r="D296" s="9" t="e">
        <f>VLOOKUP(RBE!C296,Permis[[#This Row],[Parties]],1,0)</f>
        <v>#N/A</v>
      </c>
      <c r="E296" s="9" t="s">
        <v>2528</v>
      </c>
      <c r="F296" s="10" t="s">
        <v>2526</v>
      </c>
      <c r="G296" s="10" t="str">
        <f t="shared" si="12"/>
        <v>2023</v>
      </c>
      <c r="H296" s="10" t="s">
        <v>1905</v>
      </c>
      <c r="I296" s="10" t="s">
        <v>1905</v>
      </c>
      <c r="J296" s="9" t="s">
        <v>1912</v>
      </c>
      <c r="K296" s="9" t="s">
        <v>1912</v>
      </c>
      <c r="L296" s="9" t="s">
        <v>1905</v>
      </c>
      <c r="M296" s="9">
        <v>0</v>
      </c>
      <c r="N296" s="9" t="s">
        <v>1905</v>
      </c>
      <c r="O296" s="9" t="s">
        <v>1898</v>
      </c>
      <c r="P296" s="16" t="s">
        <v>101</v>
      </c>
      <c r="Q296">
        <f t="shared" si="13"/>
        <v>0</v>
      </c>
      <c r="R296" t="b">
        <f t="shared" si="14"/>
        <v>0</v>
      </c>
    </row>
    <row r="297" spans="1:18" hidden="1" x14ac:dyDescent="0.35">
      <c r="A297" s="16" t="s">
        <v>101</v>
      </c>
      <c r="B297" s="9" t="s">
        <v>2529</v>
      </c>
      <c r="C297" s="9" t="s">
        <v>2529</v>
      </c>
      <c r="D297" s="9" t="e">
        <f>VLOOKUP(RBE!C297,Permis[[#This Row],[Parties]],1,0)</f>
        <v>#N/A</v>
      </c>
      <c r="E297" s="9" t="s">
        <v>2530</v>
      </c>
      <c r="F297" s="10" t="s">
        <v>2531</v>
      </c>
      <c r="G297" s="10" t="str">
        <f t="shared" si="12"/>
        <v>2023</v>
      </c>
      <c r="H297" s="10">
        <v>60</v>
      </c>
      <c r="I297" s="10">
        <v>60</v>
      </c>
      <c r="J297" s="9" t="s">
        <v>1912</v>
      </c>
      <c r="K297" s="9" t="s">
        <v>1912</v>
      </c>
      <c r="L297" s="9" t="s">
        <v>1905</v>
      </c>
      <c r="M297" s="9">
        <v>0</v>
      </c>
      <c r="N297" s="9" t="s">
        <v>1905</v>
      </c>
      <c r="O297" s="9" t="s">
        <v>1898</v>
      </c>
      <c r="P297" s="16" t="s">
        <v>101</v>
      </c>
      <c r="Q297">
        <f t="shared" si="13"/>
        <v>0</v>
      </c>
      <c r="R297" t="b">
        <f t="shared" si="14"/>
        <v>0</v>
      </c>
    </row>
    <row r="298" spans="1:18" hidden="1" x14ac:dyDescent="0.35">
      <c r="A298" s="16" t="s">
        <v>101</v>
      </c>
      <c r="B298" s="9" t="s">
        <v>2532</v>
      </c>
      <c r="C298" s="9" t="s">
        <v>2532</v>
      </c>
      <c r="D298" s="9" t="e">
        <f>VLOOKUP(RBE!C298,Permis[[#This Row],[Parties]],1,0)</f>
        <v>#N/A</v>
      </c>
      <c r="E298" s="9" t="s">
        <v>2533</v>
      </c>
      <c r="F298" s="10" t="s">
        <v>2531</v>
      </c>
      <c r="G298" s="10" t="str">
        <f t="shared" si="12"/>
        <v>2023</v>
      </c>
      <c r="H298" s="10">
        <v>20</v>
      </c>
      <c r="I298" s="10">
        <v>20</v>
      </c>
      <c r="J298" s="9" t="s">
        <v>1912</v>
      </c>
      <c r="K298" s="9" t="s">
        <v>1912</v>
      </c>
      <c r="L298" s="9" t="s">
        <v>1905</v>
      </c>
      <c r="M298" s="9">
        <v>0</v>
      </c>
      <c r="N298" s="9" t="s">
        <v>1905</v>
      </c>
      <c r="O298" s="9" t="s">
        <v>1898</v>
      </c>
      <c r="P298" s="16" t="s">
        <v>101</v>
      </c>
      <c r="Q298">
        <f t="shared" si="13"/>
        <v>0</v>
      </c>
      <c r="R298" t="b">
        <f t="shared" si="14"/>
        <v>0</v>
      </c>
    </row>
    <row r="299" spans="1:18" hidden="1" x14ac:dyDescent="0.35">
      <c r="A299" s="16" t="s">
        <v>101</v>
      </c>
      <c r="B299" s="9" t="s">
        <v>2534</v>
      </c>
      <c r="C299" s="9" t="s">
        <v>2534</v>
      </c>
      <c r="D299" s="9" t="e">
        <f>VLOOKUP(RBE!C299,Permis[[#This Row],[Parties]],1,0)</f>
        <v>#N/A</v>
      </c>
      <c r="E299" s="9" t="s">
        <v>2535</v>
      </c>
      <c r="F299" s="10" t="s">
        <v>2531</v>
      </c>
      <c r="G299" s="10" t="str">
        <f t="shared" si="12"/>
        <v>2023</v>
      </c>
      <c r="H299" s="10">
        <v>20</v>
      </c>
      <c r="I299" s="10">
        <v>20</v>
      </c>
      <c r="J299" s="9" t="s">
        <v>1912</v>
      </c>
      <c r="K299" s="9" t="s">
        <v>1912</v>
      </c>
      <c r="L299" s="9" t="s">
        <v>1905</v>
      </c>
      <c r="M299" s="9">
        <v>0</v>
      </c>
      <c r="N299" s="9" t="s">
        <v>1905</v>
      </c>
      <c r="O299" s="9" t="s">
        <v>1898</v>
      </c>
      <c r="P299" s="16" t="s">
        <v>101</v>
      </c>
      <c r="Q299">
        <f t="shared" si="13"/>
        <v>0</v>
      </c>
      <c r="R299" t="b">
        <f t="shared" si="14"/>
        <v>0</v>
      </c>
    </row>
    <row r="300" spans="1:18" hidden="1" x14ac:dyDescent="0.35">
      <c r="A300" s="16" t="s">
        <v>101</v>
      </c>
      <c r="B300" s="9" t="s">
        <v>2534</v>
      </c>
      <c r="C300" s="9" t="s">
        <v>2534</v>
      </c>
      <c r="D300" s="9" t="e">
        <f>VLOOKUP(RBE!C300,Permis[[#This Row],[Parties]],1,0)</f>
        <v>#N/A</v>
      </c>
      <c r="E300" s="9" t="s">
        <v>2536</v>
      </c>
      <c r="F300" s="10" t="s">
        <v>2537</v>
      </c>
      <c r="G300" s="10" t="str">
        <f t="shared" si="12"/>
        <v>2023</v>
      </c>
      <c r="H300" s="10" t="s">
        <v>1905</v>
      </c>
      <c r="I300" s="10" t="s">
        <v>1905</v>
      </c>
      <c r="J300" s="9" t="s">
        <v>1926</v>
      </c>
      <c r="K300" s="9" t="s">
        <v>1926</v>
      </c>
      <c r="L300" s="9" t="s">
        <v>1905</v>
      </c>
      <c r="M300" s="9">
        <v>0</v>
      </c>
      <c r="N300" s="9" t="s">
        <v>1905</v>
      </c>
      <c r="O300" s="9" t="s">
        <v>1898</v>
      </c>
      <c r="P300" s="16" t="s">
        <v>101</v>
      </c>
      <c r="Q300">
        <f t="shared" si="13"/>
        <v>0</v>
      </c>
      <c r="R300" t="b">
        <f t="shared" si="14"/>
        <v>0</v>
      </c>
    </row>
    <row r="301" spans="1:18" hidden="1" x14ac:dyDescent="0.35">
      <c r="A301" s="16" t="s">
        <v>101</v>
      </c>
      <c r="B301" s="9" t="s">
        <v>2538</v>
      </c>
      <c r="C301" s="9" t="s">
        <v>2538</v>
      </c>
      <c r="D301" s="9" t="e">
        <f>VLOOKUP(RBE!C301,Permis[[#This Row],[Parties]],1,0)</f>
        <v>#N/A</v>
      </c>
      <c r="E301" s="9" t="s">
        <v>2539</v>
      </c>
      <c r="F301" s="10" t="s">
        <v>2540</v>
      </c>
      <c r="G301" s="10" t="str">
        <f t="shared" si="12"/>
        <v>2023</v>
      </c>
      <c r="H301" s="10">
        <v>14</v>
      </c>
      <c r="I301" s="10" t="s">
        <v>1905</v>
      </c>
      <c r="J301" s="9" t="s">
        <v>1912</v>
      </c>
      <c r="K301" s="9" t="s">
        <v>1912</v>
      </c>
      <c r="L301" s="9" t="s">
        <v>1905</v>
      </c>
      <c r="M301" s="9">
        <v>0</v>
      </c>
      <c r="N301" s="9" t="s">
        <v>1905</v>
      </c>
      <c r="O301" s="9" t="s">
        <v>1898</v>
      </c>
      <c r="P301" s="16" t="s">
        <v>101</v>
      </c>
      <c r="Q301">
        <f t="shared" si="13"/>
        <v>0</v>
      </c>
      <c r="R301" t="b">
        <f t="shared" si="14"/>
        <v>0</v>
      </c>
    </row>
    <row r="302" spans="1:18" hidden="1" x14ac:dyDescent="0.35">
      <c r="A302" s="16" t="s">
        <v>101</v>
      </c>
      <c r="B302" s="9" t="s">
        <v>2541</v>
      </c>
      <c r="C302" s="9" t="s">
        <v>2541</v>
      </c>
      <c r="D302" s="9" t="e">
        <f>VLOOKUP(RBE!C302,Permis[[#This Row],[Parties]],1,0)</f>
        <v>#N/A</v>
      </c>
      <c r="E302" s="9" t="s">
        <v>2542</v>
      </c>
      <c r="F302" s="10" t="s">
        <v>2540</v>
      </c>
      <c r="G302" s="10" t="str">
        <f t="shared" si="12"/>
        <v>2023</v>
      </c>
      <c r="H302" s="10">
        <v>30</v>
      </c>
      <c r="I302" s="10" t="s">
        <v>1905</v>
      </c>
      <c r="J302" s="9" t="s">
        <v>1926</v>
      </c>
      <c r="K302" s="9" t="s">
        <v>1926</v>
      </c>
      <c r="L302" s="9" t="s">
        <v>1905</v>
      </c>
      <c r="M302" s="9">
        <v>0</v>
      </c>
      <c r="N302" s="9" t="s">
        <v>1905</v>
      </c>
      <c r="O302" s="9" t="s">
        <v>1898</v>
      </c>
      <c r="P302" s="16" t="s">
        <v>101</v>
      </c>
      <c r="Q302">
        <f t="shared" si="13"/>
        <v>0</v>
      </c>
      <c r="R302" t="b">
        <f t="shared" si="14"/>
        <v>0</v>
      </c>
    </row>
    <row r="303" spans="1:18" hidden="1" x14ac:dyDescent="0.35">
      <c r="A303" s="16" t="s">
        <v>101</v>
      </c>
      <c r="B303" s="9" t="s">
        <v>2541</v>
      </c>
      <c r="C303" s="9" t="s">
        <v>2541</v>
      </c>
      <c r="D303" s="9" t="e">
        <f>VLOOKUP(RBE!C303,Permis[[#This Row],[Parties]],1,0)</f>
        <v>#N/A</v>
      </c>
      <c r="E303" s="9" t="s">
        <v>2542</v>
      </c>
      <c r="F303" s="10" t="s">
        <v>2540</v>
      </c>
      <c r="G303" s="10" t="str">
        <f t="shared" si="12"/>
        <v>2023</v>
      </c>
      <c r="H303" s="10">
        <v>14</v>
      </c>
      <c r="I303" s="10" t="s">
        <v>1905</v>
      </c>
      <c r="J303" s="9" t="s">
        <v>1926</v>
      </c>
      <c r="K303" s="9" t="s">
        <v>1926</v>
      </c>
      <c r="L303" s="9" t="s">
        <v>1905</v>
      </c>
      <c r="M303" s="9">
        <v>0</v>
      </c>
      <c r="N303" s="9" t="s">
        <v>1905</v>
      </c>
      <c r="O303" s="9" t="s">
        <v>1898</v>
      </c>
      <c r="P303" s="16" t="s">
        <v>101</v>
      </c>
      <c r="Q303">
        <f t="shared" si="13"/>
        <v>0</v>
      </c>
      <c r="R303" t="b">
        <f t="shared" si="14"/>
        <v>0</v>
      </c>
    </row>
    <row r="304" spans="1:18" hidden="1" x14ac:dyDescent="0.35">
      <c r="A304" s="16" t="s">
        <v>101</v>
      </c>
      <c r="B304" s="9" t="s">
        <v>2543</v>
      </c>
      <c r="C304" s="9" t="s">
        <v>2543</v>
      </c>
      <c r="D304" s="9" t="e">
        <f>VLOOKUP(RBE!C304,Permis[[#This Row],[Parties]],1,0)</f>
        <v>#N/A</v>
      </c>
      <c r="E304" s="9" t="s">
        <v>2544</v>
      </c>
      <c r="F304" s="10" t="s">
        <v>2540</v>
      </c>
      <c r="G304" s="10" t="str">
        <f t="shared" si="12"/>
        <v>2023</v>
      </c>
      <c r="H304" s="10">
        <v>14</v>
      </c>
      <c r="I304" s="10" t="s">
        <v>1905</v>
      </c>
      <c r="J304" s="9" t="s">
        <v>1912</v>
      </c>
      <c r="K304" s="9" t="s">
        <v>1912</v>
      </c>
      <c r="L304" s="9" t="s">
        <v>1905</v>
      </c>
      <c r="M304" s="9">
        <v>0</v>
      </c>
      <c r="N304" s="9" t="s">
        <v>1905</v>
      </c>
      <c r="O304" s="9" t="s">
        <v>1898</v>
      </c>
      <c r="P304" s="16" t="s">
        <v>101</v>
      </c>
      <c r="Q304">
        <f t="shared" si="13"/>
        <v>0</v>
      </c>
      <c r="R304" t="b">
        <f t="shared" si="14"/>
        <v>0</v>
      </c>
    </row>
    <row r="305" spans="1:18" hidden="1" x14ac:dyDescent="0.35">
      <c r="A305" s="16" t="s">
        <v>101</v>
      </c>
      <c r="B305" s="9" t="s">
        <v>2543</v>
      </c>
      <c r="C305" s="9" t="s">
        <v>2543</v>
      </c>
      <c r="D305" s="9" t="e">
        <f>VLOOKUP(RBE!C305,Permis[[#This Row],[Parties]],1,0)</f>
        <v>#N/A</v>
      </c>
      <c r="E305" s="9" t="s">
        <v>2545</v>
      </c>
      <c r="F305" s="10" t="s">
        <v>2540</v>
      </c>
      <c r="G305" s="10" t="str">
        <f t="shared" si="12"/>
        <v>2023</v>
      </c>
      <c r="H305" s="10">
        <v>13</v>
      </c>
      <c r="I305" s="10" t="s">
        <v>1905</v>
      </c>
      <c r="J305" s="9" t="s">
        <v>1912</v>
      </c>
      <c r="K305" s="9" t="s">
        <v>1912</v>
      </c>
      <c r="L305" s="9" t="s">
        <v>1905</v>
      </c>
      <c r="M305" s="9">
        <v>0</v>
      </c>
      <c r="N305" s="9" t="s">
        <v>1905</v>
      </c>
      <c r="O305" s="9" t="s">
        <v>1898</v>
      </c>
      <c r="P305" s="16" t="s">
        <v>101</v>
      </c>
      <c r="Q305">
        <f t="shared" si="13"/>
        <v>0</v>
      </c>
      <c r="R305" t="b">
        <f t="shared" si="14"/>
        <v>0</v>
      </c>
    </row>
    <row r="306" spans="1:18" hidden="1" x14ac:dyDescent="0.35">
      <c r="A306" s="16" t="s">
        <v>101</v>
      </c>
      <c r="B306" s="9" t="s">
        <v>2546</v>
      </c>
      <c r="C306" s="9" t="s">
        <v>2546</v>
      </c>
      <c r="D306" s="9" t="e">
        <f>VLOOKUP(RBE!C306,Permis[[#This Row],[Parties]],1,0)</f>
        <v>#N/A</v>
      </c>
      <c r="E306" s="9" t="s">
        <v>2547</v>
      </c>
      <c r="F306" s="10" t="s">
        <v>2540</v>
      </c>
      <c r="G306" s="10" t="str">
        <f t="shared" si="12"/>
        <v>2023</v>
      </c>
      <c r="H306" s="10">
        <v>15</v>
      </c>
      <c r="I306" s="10" t="s">
        <v>1905</v>
      </c>
      <c r="J306" s="9" t="s">
        <v>1926</v>
      </c>
      <c r="K306" s="9" t="s">
        <v>1926</v>
      </c>
      <c r="L306" s="9" t="s">
        <v>1905</v>
      </c>
      <c r="M306" s="9">
        <v>0</v>
      </c>
      <c r="N306" s="9" t="s">
        <v>1905</v>
      </c>
      <c r="O306" s="9" t="s">
        <v>1898</v>
      </c>
      <c r="P306" s="16" t="s">
        <v>101</v>
      </c>
      <c r="Q306">
        <f t="shared" si="13"/>
        <v>0</v>
      </c>
      <c r="R306" t="b">
        <f t="shared" si="14"/>
        <v>0</v>
      </c>
    </row>
    <row r="307" spans="1:18" hidden="1" x14ac:dyDescent="0.35">
      <c r="A307" s="16" t="s">
        <v>101</v>
      </c>
      <c r="B307" s="9" t="s">
        <v>2548</v>
      </c>
      <c r="C307" s="9" t="s">
        <v>2548</v>
      </c>
      <c r="D307" s="9" t="e">
        <f>VLOOKUP(RBE!C307,Permis[[#This Row],[Parties]],1,0)</f>
        <v>#N/A</v>
      </c>
      <c r="E307" s="9" t="s">
        <v>2547</v>
      </c>
      <c r="F307" s="10" t="s">
        <v>2549</v>
      </c>
      <c r="G307" s="10" t="str">
        <f t="shared" si="12"/>
        <v>2023</v>
      </c>
      <c r="H307" s="10" t="s">
        <v>1905</v>
      </c>
      <c r="I307" s="10" t="s">
        <v>1905</v>
      </c>
      <c r="J307" s="9" t="s">
        <v>2550</v>
      </c>
      <c r="K307" s="9" t="s">
        <v>2550</v>
      </c>
      <c r="L307" s="9" t="s">
        <v>1905</v>
      </c>
      <c r="M307" s="9">
        <v>0</v>
      </c>
      <c r="N307" s="9" t="s">
        <v>1905</v>
      </c>
      <c r="O307" s="9" t="s">
        <v>1898</v>
      </c>
      <c r="P307" s="16" t="s">
        <v>101</v>
      </c>
      <c r="Q307">
        <f t="shared" si="13"/>
        <v>0</v>
      </c>
      <c r="R307" t="b">
        <f t="shared" si="14"/>
        <v>0</v>
      </c>
    </row>
    <row r="308" spans="1:18" hidden="1" x14ac:dyDescent="0.35">
      <c r="A308" s="16" t="s">
        <v>101</v>
      </c>
      <c r="B308" s="9" t="s">
        <v>2551</v>
      </c>
      <c r="C308" s="9" t="s">
        <v>2551</v>
      </c>
      <c r="D308" s="9" t="e">
        <f>VLOOKUP(RBE!C308,Permis[[#This Row],[Parties]],1,0)</f>
        <v>#N/A</v>
      </c>
      <c r="E308" s="9" t="s">
        <v>2547</v>
      </c>
      <c r="F308" s="10" t="s">
        <v>2549</v>
      </c>
      <c r="G308" s="10" t="str">
        <f t="shared" si="12"/>
        <v>2023</v>
      </c>
      <c r="H308" s="10" t="s">
        <v>1905</v>
      </c>
      <c r="I308" s="10" t="s">
        <v>1905</v>
      </c>
      <c r="J308" s="9" t="s">
        <v>1912</v>
      </c>
      <c r="K308" s="9" t="s">
        <v>1912</v>
      </c>
      <c r="L308" s="9" t="s">
        <v>1905</v>
      </c>
      <c r="M308" s="9">
        <v>0</v>
      </c>
      <c r="N308" s="9" t="s">
        <v>1905</v>
      </c>
      <c r="O308" s="9" t="s">
        <v>1898</v>
      </c>
      <c r="P308" s="16" t="s">
        <v>101</v>
      </c>
      <c r="Q308">
        <f t="shared" si="13"/>
        <v>0</v>
      </c>
      <c r="R308" t="b">
        <f t="shared" si="14"/>
        <v>0</v>
      </c>
    </row>
    <row r="309" spans="1:18" hidden="1" x14ac:dyDescent="0.35">
      <c r="A309" s="16" t="s">
        <v>101</v>
      </c>
      <c r="B309" s="9" t="s">
        <v>2551</v>
      </c>
      <c r="C309" s="9" t="s">
        <v>2551</v>
      </c>
      <c r="D309" s="9" t="e">
        <f>VLOOKUP(RBE!C309,Permis[[#This Row],[Parties]],1,0)</f>
        <v>#N/A</v>
      </c>
      <c r="E309" s="9" t="s">
        <v>2547</v>
      </c>
      <c r="F309" s="10" t="s">
        <v>2552</v>
      </c>
      <c r="G309" s="10" t="str">
        <f t="shared" si="12"/>
        <v>2023</v>
      </c>
      <c r="H309" s="10">
        <v>100</v>
      </c>
      <c r="I309" s="10" t="s">
        <v>1905</v>
      </c>
      <c r="J309" s="9" t="s">
        <v>1912</v>
      </c>
      <c r="K309" s="9" t="s">
        <v>1912</v>
      </c>
      <c r="L309" s="9" t="s">
        <v>1905</v>
      </c>
      <c r="M309" s="9">
        <v>0</v>
      </c>
      <c r="N309" s="9" t="s">
        <v>1905</v>
      </c>
      <c r="O309" s="9" t="s">
        <v>1898</v>
      </c>
      <c r="P309" s="16" t="s">
        <v>101</v>
      </c>
      <c r="Q309">
        <f t="shared" si="13"/>
        <v>0</v>
      </c>
      <c r="R309" t="b">
        <f t="shared" si="14"/>
        <v>0</v>
      </c>
    </row>
    <row r="310" spans="1:18" hidden="1" x14ac:dyDescent="0.35">
      <c r="A310" s="16" t="s">
        <v>101</v>
      </c>
      <c r="B310" s="9" t="s">
        <v>2553</v>
      </c>
      <c r="C310" s="9" t="s">
        <v>2553</v>
      </c>
      <c r="D310" s="9" t="e">
        <f>VLOOKUP(RBE!C310,Permis[[#This Row],[Parties]],1,0)</f>
        <v>#N/A</v>
      </c>
      <c r="E310" s="9" t="s">
        <v>2554</v>
      </c>
      <c r="F310" s="10" t="s">
        <v>2555</v>
      </c>
      <c r="G310" s="10" t="str">
        <f t="shared" si="12"/>
        <v>2023</v>
      </c>
      <c r="H310" s="10">
        <v>100</v>
      </c>
      <c r="I310" s="10" t="s">
        <v>1905</v>
      </c>
      <c r="J310" s="9" t="s">
        <v>1912</v>
      </c>
      <c r="K310" s="9" t="s">
        <v>1912</v>
      </c>
      <c r="L310" s="9" t="s">
        <v>1905</v>
      </c>
      <c r="M310" s="9">
        <v>0</v>
      </c>
      <c r="N310" s="9" t="s">
        <v>1905</v>
      </c>
      <c r="O310" s="9" t="s">
        <v>1898</v>
      </c>
      <c r="P310" s="16" t="s">
        <v>101</v>
      </c>
      <c r="Q310">
        <f t="shared" si="13"/>
        <v>0</v>
      </c>
      <c r="R310" t="b">
        <f t="shared" si="14"/>
        <v>0</v>
      </c>
    </row>
    <row r="311" spans="1:18" hidden="1" x14ac:dyDescent="0.35">
      <c r="A311" s="16" t="s">
        <v>101</v>
      </c>
      <c r="B311" s="9" t="s">
        <v>2553</v>
      </c>
      <c r="C311" s="9" t="s">
        <v>2553</v>
      </c>
      <c r="D311" s="9" t="e">
        <f>VLOOKUP(RBE!C311,Permis[[#This Row],[Parties]],1,0)</f>
        <v>#N/A</v>
      </c>
      <c r="E311" s="9" t="s">
        <v>2556</v>
      </c>
      <c r="F311" s="10" t="s">
        <v>2557</v>
      </c>
      <c r="G311" s="10" t="str">
        <f t="shared" si="12"/>
        <v>2023</v>
      </c>
      <c r="H311" s="10" t="s">
        <v>1905</v>
      </c>
      <c r="I311" s="10" t="s">
        <v>1905</v>
      </c>
      <c r="J311" s="9" t="s">
        <v>1912</v>
      </c>
      <c r="K311" s="9" t="s">
        <v>1912</v>
      </c>
      <c r="L311" s="9" t="s">
        <v>1905</v>
      </c>
      <c r="M311" s="9">
        <v>0</v>
      </c>
      <c r="N311" s="9" t="s">
        <v>1905</v>
      </c>
      <c r="O311" s="9" t="s">
        <v>1898</v>
      </c>
      <c r="P311" s="16" t="s">
        <v>101</v>
      </c>
      <c r="Q311">
        <f t="shared" si="13"/>
        <v>0</v>
      </c>
      <c r="R311" t="b">
        <f t="shared" si="14"/>
        <v>0</v>
      </c>
    </row>
    <row r="312" spans="1:18" hidden="1" x14ac:dyDescent="0.35">
      <c r="A312" s="16" t="s">
        <v>101</v>
      </c>
      <c r="B312" s="9" t="s">
        <v>2558</v>
      </c>
      <c r="C312" s="9" t="s">
        <v>2558</v>
      </c>
      <c r="D312" s="9" t="e">
        <f>VLOOKUP(RBE!C312,Permis[[#This Row],[Parties]],1,0)</f>
        <v>#N/A</v>
      </c>
      <c r="E312" s="9" t="s">
        <v>2559</v>
      </c>
      <c r="F312" s="10" t="s">
        <v>2560</v>
      </c>
      <c r="G312" s="10" t="str">
        <f t="shared" si="12"/>
        <v>2023</v>
      </c>
      <c r="H312" s="10">
        <v>100</v>
      </c>
      <c r="I312" s="10" t="s">
        <v>1905</v>
      </c>
      <c r="J312" s="9" t="s">
        <v>1912</v>
      </c>
      <c r="K312" s="9" t="s">
        <v>1912</v>
      </c>
      <c r="L312" s="9" t="s">
        <v>1905</v>
      </c>
      <c r="M312" s="9">
        <v>0</v>
      </c>
      <c r="N312" s="9" t="s">
        <v>1905</v>
      </c>
      <c r="O312" s="9" t="s">
        <v>1898</v>
      </c>
      <c r="P312" s="16" t="s">
        <v>101</v>
      </c>
      <c r="Q312">
        <f t="shared" si="13"/>
        <v>0</v>
      </c>
      <c r="R312" t="b">
        <f t="shared" si="14"/>
        <v>0</v>
      </c>
    </row>
    <row r="313" spans="1:18" hidden="1" x14ac:dyDescent="0.35">
      <c r="A313" s="16" t="s">
        <v>101</v>
      </c>
      <c r="B313" s="9" t="s">
        <v>2558</v>
      </c>
      <c r="C313" s="9" t="s">
        <v>2558</v>
      </c>
      <c r="D313" s="9" t="e">
        <f>VLOOKUP(RBE!C313,Permis[[#This Row],[Parties]],1,0)</f>
        <v>#N/A</v>
      </c>
      <c r="E313" s="9" t="s">
        <v>2561</v>
      </c>
      <c r="F313" s="10" t="s">
        <v>2562</v>
      </c>
      <c r="G313" s="10" t="str">
        <f t="shared" si="12"/>
        <v>2023</v>
      </c>
      <c r="H313" s="10">
        <v>100</v>
      </c>
      <c r="I313" s="10">
        <v>100</v>
      </c>
      <c r="J313" s="9" t="s">
        <v>1912</v>
      </c>
      <c r="K313" s="9" t="s">
        <v>1912</v>
      </c>
      <c r="L313" s="9" t="s">
        <v>1905</v>
      </c>
      <c r="M313" s="9">
        <v>0</v>
      </c>
      <c r="N313" s="9" t="s">
        <v>1905</v>
      </c>
      <c r="O313" s="9" t="s">
        <v>1898</v>
      </c>
      <c r="P313" s="16" t="s">
        <v>101</v>
      </c>
      <c r="Q313">
        <f t="shared" si="13"/>
        <v>0</v>
      </c>
      <c r="R313" t="b">
        <f t="shared" si="14"/>
        <v>0</v>
      </c>
    </row>
    <row r="314" spans="1:18" hidden="1" x14ac:dyDescent="0.35">
      <c r="A314" s="16" t="s">
        <v>101</v>
      </c>
      <c r="B314" s="9" t="s">
        <v>2558</v>
      </c>
      <c r="C314" s="9" t="s">
        <v>2558</v>
      </c>
      <c r="D314" s="9" t="e">
        <f>VLOOKUP(RBE!C314,Permis[[#This Row],[Parties]],1,0)</f>
        <v>#N/A</v>
      </c>
      <c r="E314" s="9" t="s">
        <v>2563</v>
      </c>
      <c r="F314" s="10" t="s">
        <v>2564</v>
      </c>
      <c r="G314" s="10" t="str">
        <f t="shared" si="12"/>
        <v>2023</v>
      </c>
      <c r="H314" s="10">
        <v>33</v>
      </c>
      <c r="I314" s="10">
        <v>33</v>
      </c>
      <c r="J314" s="9" t="s">
        <v>1912</v>
      </c>
      <c r="K314" s="9" t="s">
        <v>1912</v>
      </c>
      <c r="L314" s="9" t="s">
        <v>1905</v>
      </c>
      <c r="M314" s="9">
        <v>0</v>
      </c>
      <c r="N314" s="9" t="s">
        <v>1905</v>
      </c>
      <c r="O314" s="9" t="s">
        <v>1898</v>
      </c>
      <c r="P314" s="16" t="s">
        <v>101</v>
      </c>
      <c r="Q314">
        <f t="shared" si="13"/>
        <v>0</v>
      </c>
      <c r="R314" t="b">
        <f t="shared" si="14"/>
        <v>0</v>
      </c>
    </row>
    <row r="315" spans="1:18" hidden="1" x14ac:dyDescent="0.35">
      <c r="A315" s="16" t="s">
        <v>101</v>
      </c>
      <c r="B315" s="9" t="s">
        <v>2565</v>
      </c>
      <c r="C315" s="9" t="s">
        <v>2565</v>
      </c>
      <c r="D315" s="9" t="e">
        <f>VLOOKUP(RBE!C315,Permis[[#This Row],[Parties]],1,0)</f>
        <v>#N/A</v>
      </c>
      <c r="E315" s="9" t="s">
        <v>2566</v>
      </c>
      <c r="F315" s="10" t="s">
        <v>2567</v>
      </c>
      <c r="G315" s="10" t="str">
        <f t="shared" si="12"/>
        <v>2023</v>
      </c>
      <c r="H315" s="10">
        <v>100</v>
      </c>
      <c r="I315" s="10">
        <v>100</v>
      </c>
      <c r="J315" s="9" t="s">
        <v>1912</v>
      </c>
      <c r="K315" s="9" t="s">
        <v>1912</v>
      </c>
      <c r="L315" s="9" t="s">
        <v>1905</v>
      </c>
      <c r="M315" s="9">
        <v>0</v>
      </c>
      <c r="N315" s="9" t="s">
        <v>1905</v>
      </c>
      <c r="O315" s="9" t="s">
        <v>1898</v>
      </c>
      <c r="P315" s="16" t="s">
        <v>101</v>
      </c>
      <c r="Q315">
        <f t="shared" si="13"/>
        <v>0</v>
      </c>
      <c r="R315" t="b">
        <f t="shared" si="14"/>
        <v>0</v>
      </c>
    </row>
    <row r="316" spans="1:18" hidden="1" x14ac:dyDescent="0.35">
      <c r="A316" s="16" t="s">
        <v>101</v>
      </c>
      <c r="B316" s="9" t="s">
        <v>2565</v>
      </c>
      <c r="C316" s="9" t="s">
        <v>2565</v>
      </c>
      <c r="D316" s="9" t="e">
        <f>VLOOKUP(RBE!C316,Permis[[#This Row],[Parties]],1,0)</f>
        <v>#N/A</v>
      </c>
      <c r="E316" s="9" t="s">
        <v>2568</v>
      </c>
      <c r="F316" s="10" t="s">
        <v>2569</v>
      </c>
      <c r="G316" s="10" t="str">
        <f t="shared" si="12"/>
        <v>2023</v>
      </c>
      <c r="H316" s="10">
        <v>100</v>
      </c>
      <c r="I316" s="10" t="s">
        <v>1905</v>
      </c>
      <c r="J316" s="9" t="s">
        <v>1912</v>
      </c>
      <c r="K316" s="9" t="s">
        <v>1912</v>
      </c>
      <c r="L316" s="9" t="s">
        <v>1905</v>
      </c>
      <c r="M316" s="9">
        <v>0</v>
      </c>
      <c r="N316" s="9" t="s">
        <v>1905</v>
      </c>
      <c r="O316" s="9" t="s">
        <v>1898</v>
      </c>
      <c r="P316" s="16" t="s">
        <v>101</v>
      </c>
      <c r="Q316">
        <f t="shared" si="13"/>
        <v>0</v>
      </c>
      <c r="R316" t="b">
        <f t="shared" si="14"/>
        <v>0</v>
      </c>
    </row>
    <row r="317" spans="1:18" hidden="1" x14ac:dyDescent="0.35">
      <c r="A317" s="16" t="s">
        <v>101</v>
      </c>
      <c r="B317" s="9" t="s">
        <v>2565</v>
      </c>
      <c r="C317" s="9" t="s">
        <v>2565</v>
      </c>
      <c r="D317" s="9" t="e">
        <f>VLOOKUP(RBE!C317,Permis[[#This Row],[Parties]],1,0)</f>
        <v>#N/A</v>
      </c>
      <c r="E317" s="9" t="s">
        <v>2570</v>
      </c>
      <c r="F317" s="10" t="s">
        <v>2564</v>
      </c>
      <c r="G317" s="10" t="str">
        <f t="shared" si="12"/>
        <v>2023</v>
      </c>
      <c r="H317" s="10">
        <v>33</v>
      </c>
      <c r="I317" s="10">
        <v>33</v>
      </c>
      <c r="J317" s="9" t="s">
        <v>1912</v>
      </c>
      <c r="K317" s="9" t="s">
        <v>1912</v>
      </c>
      <c r="L317" s="9" t="s">
        <v>1905</v>
      </c>
      <c r="M317" s="9">
        <v>0</v>
      </c>
      <c r="N317" s="9" t="s">
        <v>1905</v>
      </c>
      <c r="O317" s="9" t="s">
        <v>1898</v>
      </c>
      <c r="P317" s="16" t="s">
        <v>101</v>
      </c>
      <c r="Q317">
        <f t="shared" si="13"/>
        <v>0</v>
      </c>
      <c r="R317" t="b">
        <f t="shared" si="14"/>
        <v>0</v>
      </c>
    </row>
    <row r="318" spans="1:18" hidden="1" x14ac:dyDescent="0.35">
      <c r="A318" s="16" t="s">
        <v>101</v>
      </c>
      <c r="B318" s="9" t="s">
        <v>2571</v>
      </c>
      <c r="C318" s="9" t="s">
        <v>2571</v>
      </c>
      <c r="D318" s="9" t="e">
        <f>VLOOKUP(RBE!C318,Permis[[#This Row],[Parties]],1,0)</f>
        <v>#N/A</v>
      </c>
      <c r="E318" s="9" t="s">
        <v>2572</v>
      </c>
      <c r="F318" s="10" t="s">
        <v>2564</v>
      </c>
      <c r="G318" s="10" t="str">
        <f t="shared" si="12"/>
        <v>2023</v>
      </c>
      <c r="H318" s="10">
        <v>34</v>
      </c>
      <c r="I318" s="10">
        <v>34</v>
      </c>
      <c r="J318" s="9" t="s">
        <v>1912</v>
      </c>
      <c r="K318" s="9" t="s">
        <v>1912</v>
      </c>
      <c r="L318" s="9" t="s">
        <v>1905</v>
      </c>
      <c r="M318" s="9">
        <v>0</v>
      </c>
      <c r="N318" s="9" t="s">
        <v>1905</v>
      </c>
      <c r="O318" s="9" t="s">
        <v>1898</v>
      </c>
      <c r="P318" s="16" t="s">
        <v>101</v>
      </c>
      <c r="Q318">
        <f t="shared" si="13"/>
        <v>0</v>
      </c>
      <c r="R318" t="b">
        <f t="shared" si="14"/>
        <v>0</v>
      </c>
    </row>
    <row r="319" spans="1:18" hidden="1" x14ac:dyDescent="0.35">
      <c r="A319" s="16" t="s">
        <v>101</v>
      </c>
      <c r="B319" s="9" t="s">
        <v>2571</v>
      </c>
      <c r="C319" s="9" t="s">
        <v>2571</v>
      </c>
      <c r="D319" s="9" t="e">
        <f>VLOOKUP(RBE!C319,Permis[[#This Row],[Parties]],1,0)</f>
        <v>#N/A</v>
      </c>
      <c r="E319" s="9" t="s">
        <v>2572</v>
      </c>
      <c r="F319" s="10" t="s">
        <v>2573</v>
      </c>
      <c r="G319" s="10" t="str">
        <f t="shared" si="12"/>
        <v>2024</v>
      </c>
      <c r="H319" s="10">
        <v>100</v>
      </c>
      <c r="I319" s="10">
        <v>100</v>
      </c>
      <c r="J319" s="9" t="s">
        <v>1912</v>
      </c>
      <c r="K319" s="9" t="s">
        <v>1912</v>
      </c>
      <c r="L319" s="9" t="s">
        <v>1905</v>
      </c>
      <c r="M319" s="9">
        <v>0</v>
      </c>
      <c r="N319" s="9" t="s">
        <v>1905</v>
      </c>
      <c r="O319" s="9" t="s">
        <v>1898</v>
      </c>
      <c r="P319" s="16" t="s">
        <v>101</v>
      </c>
      <c r="Q319">
        <f t="shared" si="13"/>
        <v>0</v>
      </c>
      <c r="R319" t="b">
        <f t="shared" si="14"/>
        <v>0</v>
      </c>
    </row>
    <row r="320" spans="1:18" hidden="1" x14ac:dyDescent="0.35">
      <c r="A320" s="16" t="s">
        <v>101</v>
      </c>
      <c r="B320" s="9" t="s">
        <v>2571</v>
      </c>
      <c r="C320" s="9" t="s">
        <v>2571</v>
      </c>
      <c r="D320" s="9" t="e">
        <f>VLOOKUP(RBE!C320,Permis[[#This Row],[Parties]],1,0)</f>
        <v>#N/A</v>
      </c>
      <c r="E320" s="9" t="s">
        <v>2574</v>
      </c>
      <c r="F320" s="10" t="s">
        <v>2575</v>
      </c>
      <c r="G320" s="10" t="str">
        <f t="shared" si="12"/>
        <v>2024</v>
      </c>
      <c r="H320" s="10">
        <v>100</v>
      </c>
      <c r="I320" s="10">
        <v>100</v>
      </c>
      <c r="J320" s="9" t="s">
        <v>1912</v>
      </c>
      <c r="K320" s="9" t="s">
        <v>1912</v>
      </c>
      <c r="L320" s="9" t="s">
        <v>1905</v>
      </c>
      <c r="M320" s="9">
        <v>0</v>
      </c>
      <c r="N320" s="9" t="s">
        <v>1905</v>
      </c>
      <c r="O320" s="9" t="s">
        <v>1898</v>
      </c>
      <c r="P320" s="16" t="s">
        <v>101</v>
      </c>
      <c r="Q320">
        <f t="shared" si="13"/>
        <v>0</v>
      </c>
      <c r="R320" t="b">
        <f t="shared" si="14"/>
        <v>0</v>
      </c>
    </row>
    <row r="321" spans="1:18" hidden="1" x14ac:dyDescent="0.35">
      <c r="A321" s="16" t="s">
        <v>101</v>
      </c>
      <c r="B321" s="9" t="s">
        <v>2576</v>
      </c>
      <c r="C321" s="9" t="s">
        <v>2576</v>
      </c>
      <c r="D321" s="9" t="e">
        <f>VLOOKUP(RBE!C321,Permis[[#This Row],[Parties]],1,0)</f>
        <v>#N/A</v>
      </c>
      <c r="E321" s="9" t="s">
        <v>2577</v>
      </c>
      <c r="F321" s="10" t="s">
        <v>2578</v>
      </c>
      <c r="G321" s="10" t="str">
        <f t="shared" si="12"/>
        <v>2024</v>
      </c>
      <c r="H321" s="10" t="s">
        <v>1905</v>
      </c>
      <c r="I321" s="10" t="s">
        <v>1905</v>
      </c>
      <c r="J321" s="9" t="s">
        <v>2550</v>
      </c>
      <c r="K321" s="9" t="s">
        <v>2550</v>
      </c>
      <c r="L321" s="9" t="s">
        <v>1905</v>
      </c>
      <c r="M321" s="9">
        <v>0</v>
      </c>
      <c r="N321" s="9" t="s">
        <v>1905</v>
      </c>
      <c r="O321" s="9" t="s">
        <v>1898</v>
      </c>
      <c r="P321" s="16" t="s">
        <v>101</v>
      </c>
      <c r="Q321">
        <f t="shared" si="13"/>
        <v>0</v>
      </c>
      <c r="R321" t="b">
        <f t="shared" si="14"/>
        <v>0</v>
      </c>
    </row>
    <row r="322" spans="1:18" hidden="1" x14ac:dyDescent="0.35">
      <c r="A322" s="16" t="s">
        <v>101</v>
      </c>
      <c r="B322" s="9" t="s">
        <v>2576</v>
      </c>
      <c r="C322" s="9" t="s">
        <v>2576</v>
      </c>
      <c r="D322" s="9" t="e">
        <f>VLOOKUP(RBE!C322,Permis[[#This Row],[Parties]],1,0)</f>
        <v>#N/A</v>
      </c>
      <c r="E322" s="9" t="s">
        <v>2579</v>
      </c>
      <c r="F322" s="10" t="s">
        <v>2580</v>
      </c>
      <c r="G322" s="10" t="str">
        <f t="shared" ref="G322:G385" si="15">LEFT(TRIM(F322),4)</f>
        <v>2024</v>
      </c>
      <c r="H322" s="10">
        <v>33</v>
      </c>
      <c r="I322" s="10">
        <v>33</v>
      </c>
      <c r="J322" s="9" t="s">
        <v>1912</v>
      </c>
      <c r="K322" s="9" t="s">
        <v>1912</v>
      </c>
      <c r="L322" s="9" t="s">
        <v>1905</v>
      </c>
      <c r="M322" s="9">
        <v>0</v>
      </c>
      <c r="N322" s="9" t="s">
        <v>1905</v>
      </c>
      <c r="O322" s="9" t="s">
        <v>1898</v>
      </c>
      <c r="P322" s="16" t="s">
        <v>101</v>
      </c>
      <c r="Q322">
        <f t="shared" si="13"/>
        <v>0</v>
      </c>
      <c r="R322" t="b">
        <f t="shared" si="14"/>
        <v>0</v>
      </c>
    </row>
    <row r="323" spans="1:18" hidden="1" x14ac:dyDescent="0.35">
      <c r="A323" s="16" t="s">
        <v>101</v>
      </c>
      <c r="B323" s="9" t="s">
        <v>2576</v>
      </c>
      <c r="C323" s="9" t="s">
        <v>2576</v>
      </c>
      <c r="D323" s="9" t="e">
        <f>VLOOKUP(RBE!C323,Permis[[#This Row],[Parties]],1,0)</f>
        <v>#N/A</v>
      </c>
      <c r="E323" s="9" t="s">
        <v>2581</v>
      </c>
      <c r="F323" s="10" t="s">
        <v>2580</v>
      </c>
      <c r="G323" s="10" t="str">
        <f t="shared" si="15"/>
        <v>2024</v>
      </c>
      <c r="H323" s="10">
        <v>34</v>
      </c>
      <c r="I323" s="10">
        <v>34</v>
      </c>
      <c r="J323" s="9" t="s">
        <v>1912</v>
      </c>
      <c r="K323" s="9" t="s">
        <v>1912</v>
      </c>
      <c r="L323" s="9" t="s">
        <v>1905</v>
      </c>
      <c r="M323" s="9">
        <v>0</v>
      </c>
      <c r="N323" s="9" t="s">
        <v>1905</v>
      </c>
      <c r="O323" s="9" t="s">
        <v>1898</v>
      </c>
      <c r="P323" s="16" t="s">
        <v>101</v>
      </c>
      <c r="Q323">
        <f t="shared" ref="Q323:Q386" si="16">IF(J323=K323,0,1)</f>
        <v>0</v>
      </c>
      <c r="R323" t="b">
        <f t="shared" ref="R323:R386" si="17">ISBLANK(K323)</f>
        <v>0</v>
      </c>
    </row>
    <row r="324" spans="1:18" hidden="1" x14ac:dyDescent="0.35">
      <c r="A324" s="16" t="s">
        <v>101</v>
      </c>
      <c r="B324" s="9" t="s">
        <v>2576</v>
      </c>
      <c r="C324" s="9" t="s">
        <v>2576</v>
      </c>
      <c r="D324" s="9" t="e">
        <f>VLOOKUP(RBE!C324,Permis[[#This Row],[Parties]],1,0)</f>
        <v>#N/A</v>
      </c>
      <c r="E324" s="9" t="s">
        <v>2582</v>
      </c>
      <c r="F324" s="10" t="s">
        <v>2580</v>
      </c>
      <c r="G324" s="10" t="str">
        <f t="shared" si="15"/>
        <v>2024</v>
      </c>
      <c r="H324" s="10">
        <v>33</v>
      </c>
      <c r="I324" s="10">
        <v>33</v>
      </c>
      <c r="J324" s="9" t="s">
        <v>1912</v>
      </c>
      <c r="K324" s="9" t="s">
        <v>1912</v>
      </c>
      <c r="L324" s="9" t="s">
        <v>1905</v>
      </c>
      <c r="M324" s="9">
        <v>0</v>
      </c>
      <c r="N324" s="9" t="s">
        <v>1905</v>
      </c>
      <c r="O324" s="9" t="s">
        <v>1898</v>
      </c>
      <c r="P324" s="16" t="s">
        <v>101</v>
      </c>
      <c r="Q324">
        <f t="shared" si="16"/>
        <v>0</v>
      </c>
      <c r="R324" t="b">
        <f t="shared" si="17"/>
        <v>0</v>
      </c>
    </row>
    <row r="325" spans="1:18" hidden="1" x14ac:dyDescent="0.35">
      <c r="A325" s="16" t="s">
        <v>101</v>
      </c>
      <c r="B325" s="9" t="s">
        <v>2583</v>
      </c>
      <c r="C325" s="9" t="s">
        <v>2583</v>
      </c>
      <c r="D325" s="9" t="e">
        <f>VLOOKUP(RBE!C325,Permis[[#This Row],[Parties]],1,0)</f>
        <v>#N/A</v>
      </c>
      <c r="E325" s="9" t="s">
        <v>2584</v>
      </c>
      <c r="F325" s="10" t="s">
        <v>2585</v>
      </c>
      <c r="G325" s="10" t="str">
        <f t="shared" si="15"/>
        <v>2024</v>
      </c>
      <c r="H325" s="10">
        <v>25</v>
      </c>
      <c r="I325" s="10">
        <v>25</v>
      </c>
      <c r="J325" s="9" t="s">
        <v>1912</v>
      </c>
      <c r="K325" s="9" t="s">
        <v>1912</v>
      </c>
      <c r="L325" s="9" t="s">
        <v>1905</v>
      </c>
      <c r="M325" s="9">
        <v>0</v>
      </c>
      <c r="N325" s="9" t="s">
        <v>1905</v>
      </c>
      <c r="O325" s="9" t="s">
        <v>1898</v>
      </c>
      <c r="P325" s="16" t="s">
        <v>101</v>
      </c>
      <c r="Q325">
        <f t="shared" si="16"/>
        <v>0</v>
      </c>
      <c r="R325" t="b">
        <f t="shared" si="17"/>
        <v>0</v>
      </c>
    </row>
    <row r="326" spans="1:18" hidden="1" x14ac:dyDescent="0.35">
      <c r="A326" s="16" t="s">
        <v>101</v>
      </c>
      <c r="B326" s="9" t="s">
        <v>2586</v>
      </c>
      <c r="C326" s="9" t="s">
        <v>2586</v>
      </c>
      <c r="D326" s="9" t="e">
        <f>VLOOKUP(RBE!C326,Permis[[#This Row],[Parties]],1,0)</f>
        <v>#N/A</v>
      </c>
      <c r="E326" s="9" t="s">
        <v>2587</v>
      </c>
      <c r="F326" s="10" t="s">
        <v>2585</v>
      </c>
      <c r="G326" s="10" t="str">
        <f t="shared" si="15"/>
        <v>2024</v>
      </c>
      <c r="H326" s="10">
        <v>75</v>
      </c>
      <c r="I326" s="10">
        <v>75</v>
      </c>
      <c r="J326" s="9" t="s">
        <v>1912</v>
      </c>
      <c r="K326" s="9" t="s">
        <v>1912</v>
      </c>
      <c r="L326" s="9" t="s">
        <v>1905</v>
      </c>
      <c r="M326" s="9">
        <v>0</v>
      </c>
      <c r="N326" s="9" t="s">
        <v>1905</v>
      </c>
      <c r="O326" s="9" t="s">
        <v>1898</v>
      </c>
      <c r="P326" s="16" t="s">
        <v>101</v>
      </c>
      <c r="Q326">
        <f t="shared" si="16"/>
        <v>0</v>
      </c>
      <c r="R326" t="b">
        <f t="shared" si="17"/>
        <v>0</v>
      </c>
    </row>
    <row r="327" spans="1:18" hidden="1" x14ac:dyDescent="0.35">
      <c r="A327" s="16" t="s">
        <v>101</v>
      </c>
      <c r="B327" s="9" t="s">
        <v>2586</v>
      </c>
      <c r="C327" s="9" t="s">
        <v>2586</v>
      </c>
      <c r="D327" s="9" t="e">
        <f>VLOOKUP(RBE!C327,Permis[[#This Row],[Parties]],1,0)</f>
        <v>#N/A</v>
      </c>
      <c r="E327" s="9" t="s">
        <v>2588</v>
      </c>
      <c r="F327" s="10" t="s">
        <v>2589</v>
      </c>
      <c r="G327" s="10" t="str">
        <f t="shared" si="15"/>
        <v>2024</v>
      </c>
      <c r="H327" s="10" t="s">
        <v>1905</v>
      </c>
      <c r="I327" s="10" t="s">
        <v>1905</v>
      </c>
      <c r="J327" s="9" t="s">
        <v>1912</v>
      </c>
      <c r="K327" s="9" t="s">
        <v>1912</v>
      </c>
      <c r="L327" s="9" t="s">
        <v>1905</v>
      </c>
      <c r="M327" s="9">
        <v>0</v>
      </c>
      <c r="N327" s="9" t="s">
        <v>1905</v>
      </c>
      <c r="O327" s="9" t="s">
        <v>1898</v>
      </c>
      <c r="P327" s="16" t="s">
        <v>101</v>
      </c>
      <c r="Q327">
        <f t="shared" si="16"/>
        <v>0</v>
      </c>
      <c r="R327" t="b">
        <f t="shared" si="17"/>
        <v>0</v>
      </c>
    </row>
    <row r="328" spans="1:18" hidden="1" x14ac:dyDescent="0.35">
      <c r="A328" s="16" t="s">
        <v>101</v>
      </c>
      <c r="B328" s="9" t="s">
        <v>2586</v>
      </c>
      <c r="C328" s="9" t="s">
        <v>2586</v>
      </c>
      <c r="D328" s="9" t="e">
        <f>VLOOKUP(RBE!C328,Permis[[#This Row],[Parties]],1,0)</f>
        <v>#N/A</v>
      </c>
      <c r="E328" s="9" t="s">
        <v>2590</v>
      </c>
      <c r="F328" s="10" t="s">
        <v>2591</v>
      </c>
      <c r="G328" s="10" t="str">
        <f t="shared" si="15"/>
        <v>2024</v>
      </c>
      <c r="H328" s="10" t="s">
        <v>1905</v>
      </c>
      <c r="I328" s="10" t="s">
        <v>1905</v>
      </c>
      <c r="J328" s="9" t="s">
        <v>1926</v>
      </c>
      <c r="K328" s="9" t="s">
        <v>1926</v>
      </c>
      <c r="L328" s="9" t="s">
        <v>1905</v>
      </c>
      <c r="M328" s="9">
        <v>0</v>
      </c>
      <c r="N328" s="9" t="s">
        <v>1905</v>
      </c>
      <c r="O328" s="9" t="s">
        <v>1898</v>
      </c>
      <c r="P328" s="16" t="s">
        <v>101</v>
      </c>
      <c r="Q328">
        <f t="shared" si="16"/>
        <v>0</v>
      </c>
      <c r="R328" t="b">
        <f t="shared" si="17"/>
        <v>0</v>
      </c>
    </row>
    <row r="329" spans="1:18" hidden="1" x14ac:dyDescent="0.35">
      <c r="A329" s="16" t="s">
        <v>101</v>
      </c>
      <c r="B329" s="9" t="s">
        <v>2592</v>
      </c>
      <c r="C329" s="9" t="s">
        <v>2592</v>
      </c>
      <c r="D329" s="9" t="e">
        <f>VLOOKUP(RBE!C329,Permis[[#This Row],[Parties]],1,0)</f>
        <v>#N/A</v>
      </c>
      <c r="E329" s="9" t="s">
        <v>2593</v>
      </c>
      <c r="F329" s="10" t="s">
        <v>2594</v>
      </c>
      <c r="G329" s="10" t="str">
        <f t="shared" si="15"/>
        <v>2024</v>
      </c>
      <c r="H329" s="10">
        <v>50</v>
      </c>
      <c r="I329" s="10">
        <v>50</v>
      </c>
      <c r="J329" s="9" t="s">
        <v>1912</v>
      </c>
      <c r="K329" s="9" t="s">
        <v>1912</v>
      </c>
      <c r="L329" s="9" t="s">
        <v>1905</v>
      </c>
      <c r="M329" s="9">
        <v>0</v>
      </c>
      <c r="N329" s="9" t="s">
        <v>1905</v>
      </c>
      <c r="O329" s="9" t="s">
        <v>1898</v>
      </c>
      <c r="P329" s="16" t="s">
        <v>101</v>
      </c>
      <c r="Q329">
        <f t="shared" si="16"/>
        <v>0</v>
      </c>
      <c r="R329" t="b">
        <f t="shared" si="17"/>
        <v>0</v>
      </c>
    </row>
    <row r="330" spans="1:18" hidden="1" x14ac:dyDescent="0.35">
      <c r="A330" s="16" t="s">
        <v>101</v>
      </c>
      <c r="B330" s="9" t="s">
        <v>2595</v>
      </c>
      <c r="C330" s="9" t="s">
        <v>2595</v>
      </c>
      <c r="D330" s="9" t="e">
        <f>VLOOKUP(RBE!C330,Permis[[#This Row],[Parties]],1,0)</f>
        <v>#N/A</v>
      </c>
      <c r="E330" s="9" t="s">
        <v>2596</v>
      </c>
      <c r="F330" s="10" t="s">
        <v>2594</v>
      </c>
      <c r="G330" s="10" t="str">
        <f t="shared" si="15"/>
        <v>2024</v>
      </c>
      <c r="H330" s="10">
        <v>50</v>
      </c>
      <c r="I330" s="10">
        <v>50</v>
      </c>
      <c r="J330" s="9" t="s">
        <v>1912</v>
      </c>
      <c r="K330" s="9" t="s">
        <v>1912</v>
      </c>
      <c r="L330" s="9" t="s">
        <v>1905</v>
      </c>
      <c r="M330" s="9">
        <v>0</v>
      </c>
      <c r="N330" s="9" t="s">
        <v>1905</v>
      </c>
      <c r="O330" s="9" t="s">
        <v>1898</v>
      </c>
      <c r="P330" s="16" t="s">
        <v>101</v>
      </c>
      <c r="Q330">
        <f t="shared" si="16"/>
        <v>0</v>
      </c>
      <c r="R330" t="b">
        <f t="shared" si="17"/>
        <v>0</v>
      </c>
    </row>
    <row r="331" spans="1:18" hidden="1" x14ac:dyDescent="0.35">
      <c r="A331" s="16" t="s">
        <v>101</v>
      </c>
      <c r="B331" s="9" t="s">
        <v>2597</v>
      </c>
      <c r="C331" s="9" t="s">
        <v>2597</v>
      </c>
      <c r="D331" s="9" t="e">
        <f>VLOOKUP(RBE!C331,Permis[[#This Row],[Parties]],1,0)</f>
        <v>#N/A</v>
      </c>
      <c r="E331" s="9" t="s">
        <v>2598</v>
      </c>
      <c r="F331" s="10" t="s">
        <v>2599</v>
      </c>
      <c r="G331" s="10" t="str">
        <f t="shared" si="15"/>
        <v>2024</v>
      </c>
      <c r="H331" s="10">
        <v>100</v>
      </c>
      <c r="I331" s="10">
        <v>100</v>
      </c>
      <c r="J331" s="9" t="s">
        <v>1912</v>
      </c>
      <c r="K331" s="9" t="s">
        <v>1912</v>
      </c>
      <c r="L331" s="9" t="s">
        <v>1905</v>
      </c>
      <c r="M331" s="9">
        <v>0</v>
      </c>
      <c r="N331" s="9" t="s">
        <v>1905</v>
      </c>
      <c r="O331" s="9" t="s">
        <v>1898</v>
      </c>
      <c r="P331" s="16" t="s">
        <v>101</v>
      </c>
      <c r="Q331">
        <f t="shared" si="16"/>
        <v>0</v>
      </c>
      <c r="R331" t="b">
        <f t="shared" si="17"/>
        <v>0</v>
      </c>
    </row>
    <row r="332" spans="1:18" hidden="1" x14ac:dyDescent="0.35">
      <c r="A332" s="16" t="s">
        <v>101</v>
      </c>
      <c r="B332" s="9" t="s">
        <v>2600</v>
      </c>
      <c r="C332" s="9" t="s">
        <v>2600</v>
      </c>
      <c r="D332" s="9" t="e">
        <f>VLOOKUP(RBE!C332,Permis[[#This Row],[Parties]],1,0)</f>
        <v>#N/A</v>
      </c>
      <c r="E332" s="9" t="s">
        <v>2601</v>
      </c>
      <c r="F332" s="10" t="s">
        <v>2602</v>
      </c>
      <c r="G332" s="10" t="str">
        <f t="shared" si="15"/>
        <v>2024</v>
      </c>
      <c r="H332" s="10">
        <v>100</v>
      </c>
      <c r="I332" s="10" t="s">
        <v>1905</v>
      </c>
      <c r="J332" s="9" t="s">
        <v>1912</v>
      </c>
      <c r="K332" s="9" t="s">
        <v>1912</v>
      </c>
      <c r="L332" s="9" t="s">
        <v>1905</v>
      </c>
      <c r="M332" s="9">
        <v>0</v>
      </c>
      <c r="N332" s="9" t="s">
        <v>1905</v>
      </c>
      <c r="O332" s="9" t="s">
        <v>1898</v>
      </c>
      <c r="P332" s="16" t="s">
        <v>101</v>
      </c>
      <c r="Q332">
        <f t="shared" si="16"/>
        <v>0</v>
      </c>
      <c r="R332" t="b">
        <f t="shared" si="17"/>
        <v>0</v>
      </c>
    </row>
    <row r="333" spans="1:18" hidden="1" x14ac:dyDescent="0.35">
      <c r="A333" s="16" t="s">
        <v>101</v>
      </c>
      <c r="B333" s="9" t="s">
        <v>2600</v>
      </c>
      <c r="C333" s="9" t="s">
        <v>2600</v>
      </c>
      <c r="D333" s="9" t="e">
        <f>VLOOKUP(RBE!C333,Permis[[#This Row],[Parties]],1,0)</f>
        <v>#N/A</v>
      </c>
      <c r="E333" s="9" t="s">
        <v>2603</v>
      </c>
      <c r="F333" s="10" t="s">
        <v>2604</v>
      </c>
      <c r="G333" s="10" t="str">
        <f t="shared" si="15"/>
        <v>2024</v>
      </c>
      <c r="H333" s="10">
        <v>100</v>
      </c>
      <c r="I333" s="10">
        <v>100</v>
      </c>
      <c r="J333" s="9" t="s">
        <v>1912</v>
      </c>
      <c r="K333" s="9" t="s">
        <v>1912</v>
      </c>
      <c r="L333" s="9" t="s">
        <v>1905</v>
      </c>
      <c r="M333" s="9">
        <v>0</v>
      </c>
      <c r="N333" s="9" t="s">
        <v>1905</v>
      </c>
      <c r="O333" s="9" t="s">
        <v>1898</v>
      </c>
      <c r="P333" s="16" t="s">
        <v>101</v>
      </c>
      <c r="Q333">
        <f t="shared" si="16"/>
        <v>0</v>
      </c>
      <c r="R333" t="b">
        <f t="shared" si="17"/>
        <v>0</v>
      </c>
    </row>
    <row r="334" spans="1:18" hidden="1" x14ac:dyDescent="0.35">
      <c r="A334" s="16" t="s">
        <v>101</v>
      </c>
      <c r="B334" s="9" t="s">
        <v>2600</v>
      </c>
      <c r="C334" s="9" t="s">
        <v>2600</v>
      </c>
      <c r="D334" s="9" t="e">
        <f>VLOOKUP(RBE!C334,Permis[[#This Row],[Parties]],1,0)</f>
        <v>#N/A</v>
      </c>
      <c r="E334" s="9" t="s">
        <v>2605</v>
      </c>
      <c r="F334" s="10" t="s">
        <v>2606</v>
      </c>
      <c r="G334" s="10" t="str">
        <f t="shared" si="15"/>
        <v>2024</v>
      </c>
      <c r="H334" s="10">
        <v>25</v>
      </c>
      <c r="I334" s="10">
        <v>25</v>
      </c>
      <c r="J334" s="9" t="s">
        <v>1912</v>
      </c>
      <c r="K334" s="9" t="s">
        <v>1912</v>
      </c>
      <c r="L334" s="9" t="s">
        <v>1905</v>
      </c>
      <c r="M334" s="9">
        <v>0</v>
      </c>
      <c r="N334" s="9" t="s">
        <v>1905</v>
      </c>
      <c r="O334" s="9" t="s">
        <v>1898</v>
      </c>
      <c r="P334" s="16" t="s">
        <v>101</v>
      </c>
      <c r="Q334">
        <f t="shared" si="16"/>
        <v>0</v>
      </c>
      <c r="R334" t="b">
        <f t="shared" si="17"/>
        <v>0</v>
      </c>
    </row>
    <row r="335" spans="1:18" hidden="1" x14ac:dyDescent="0.35">
      <c r="A335" s="16" t="s">
        <v>101</v>
      </c>
      <c r="B335" s="9" t="s">
        <v>2607</v>
      </c>
      <c r="C335" s="9" t="s">
        <v>2607</v>
      </c>
      <c r="D335" s="9" t="e">
        <f>VLOOKUP(RBE!C335,Permis[[#This Row],[Parties]],1,0)</f>
        <v>#N/A</v>
      </c>
      <c r="E335" s="9" t="s">
        <v>2608</v>
      </c>
      <c r="F335" s="10" t="s">
        <v>2606</v>
      </c>
      <c r="G335" s="10" t="str">
        <f t="shared" si="15"/>
        <v>2024</v>
      </c>
      <c r="H335" s="10">
        <v>75</v>
      </c>
      <c r="I335" s="10">
        <v>75</v>
      </c>
      <c r="J335" s="9" t="s">
        <v>1912</v>
      </c>
      <c r="K335" s="9" t="s">
        <v>1912</v>
      </c>
      <c r="L335" s="9" t="s">
        <v>1905</v>
      </c>
      <c r="M335" s="9">
        <v>0</v>
      </c>
      <c r="N335" s="9" t="s">
        <v>1905</v>
      </c>
      <c r="O335" s="9" t="s">
        <v>1898</v>
      </c>
      <c r="P335" s="16" t="s">
        <v>101</v>
      </c>
      <c r="Q335">
        <f t="shared" si="16"/>
        <v>0</v>
      </c>
      <c r="R335" t="b">
        <f t="shared" si="17"/>
        <v>0</v>
      </c>
    </row>
    <row r="336" spans="1:18" hidden="1" x14ac:dyDescent="0.35">
      <c r="A336" s="16" t="s">
        <v>101</v>
      </c>
      <c r="B336" s="9" t="s">
        <v>2609</v>
      </c>
      <c r="C336" s="9" t="s">
        <v>2609</v>
      </c>
      <c r="D336" s="9" t="e">
        <f>VLOOKUP(RBE!C336,Permis[[#This Row],[Parties]],1,0)</f>
        <v>#N/A</v>
      </c>
      <c r="E336" s="9" t="s">
        <v>2610</v>
      </c>
      <c r="F336" s="10" t="s">
        <v>2611</v>
      </c>
      <c r="G336" s="10" t="str">
        <f t="shared" si="15"/>
        <v>2024</v>
      </c>
      <c r="H336" s="10" t="s">
        <v>1905</v>
      </c>
      <c r="I336" s="10" t="s">
        <v>1905</v>
      </c>
      <c r="J336" s="9" t="s">
        <v>1912</v>
      </c>
      <c r="K336" s="9" t="s">
        <v>1912</v>
      </c>
      <c r="L336" s="9" t="s">
        <v>1905</v>
      </c>
      <c r="M336" s="9">
        <v>0</v>
      </c>
      <c r="N336" s="9" t="s">
        <v>1905</v>
      </c>
      <c r="O336" s="9" t="s">
        <v>1898</v>
      </c>
      <c r="P336" s="16" t="s">
        <v>101</v>
      </c>
      <c r="Q336">
        <f t="shared" si="16"/>
        <v>0</v>
      </c>
      <c r="R336" t="b">
        <f t="shared" si="17"/>
        <v>0</v>
      </c>
    </row>
    <row r="337" spans="1:18" hidden="1" x14ac:dyDescent="0.35">
      <c r="A337" s="16" t="s">
        <v>101</v>
      </c>
      <c r="B337" s="9" t="s">
        <v>2612</v>
      </c>
      <c r="C337" s="9" t="s">
        <v>2612</v>
      </c>
      <c r="D337" s="9" t="e">
        <f>VLOOKUP(RBE!C337,Permis[[#This Row],[Parties]],1,0)</f>
        <v>#N/A</v>
      </c>
      <c r="E337" s="9" t="s">
        <v>2613</v>
      </c>
      <c r="F337" s="10" t="s">
        <v>2614</v>
      </c>
      <c r="G337" s="10" t="str">
        <f t="shared" si="15"/>
        <v>2024</v>
      </c>
      <c r="H337" s="10">
        <v>50</v>
      </c>
      <c r="I337" s="10">
        <v>50</v>
      </c>
      <c r="J337" s="9" t="s">
        <v>1912</v>
      </c>
      <c r="K337" s="9" t="s">
        <v>1912</v>
      </c>
      <c r="L337" s="9" t="s">
        <v>1905</v>
      </c>
      <c r="M337" s="9">
        <v>0</v>
      </c>
      <c r="N337" s="9" t="s">
        <v>1905</v>
      </c>
      <c r="O337" s="9" t="s">
        <v>1898</v>
      </c>
      <c r="P337" s="16" t="s">
        <v>101</v>
      </c>
      <c r="Q337">
        <f t="shared" si="16"/>
        <v>0</v>
      </c>
      <c r="R337" t="b">
        <f t="shared" si="17"/>
        <v>0</v>
      </c>
    </row>
    <row r="338" spans="1:18" hidden="1" x14ac:dyDescent="0.35">
      <c r="A338" s="16" t="s">
        <v>101</v>
      </c>
      <c r="B338" s="9" t="s">
        <v>2612</v>
      </c>
      <c r="C338" s="9" t="s">
        <v>2612</v>
      </c>
      <c r="D338" s="9" t="e">
        <f>VLOOKUP(RBE!C338,Permis[[#This Row],[Parties]],1,0)</f>
        <v>#N/A</v>
      </c>
      <c r="E338" s="9" t="s">
        <v>2615</v>
      </c>
      <c r="F338" s="10" t="s">
        <v>2614</v>
      </c>
      <c r="G338" s="10" t="str">
        <f t="shared" si="15"/>
        <v>2024</v>
      </c>
      <c r="H338" s="10">
        <v>50</v>
      </c>
      <c r="I338" s="10">
        <v>50</v>
      </c>
      <c r="J338" s="9" t="s">
        <v>1912</v>
      </c>
      <c r="K338" s="9" t="s">
        <v>1912</v>
      </c>
      <c r="L338" s="9" t="s">
        <v>1905</v>
      </c>
      <c r="M338" s="9">
        <v>0</v>
      </c>
      <c r="N338" s="9" t="s">
        <v>1905</v>
      </c>
      <c r="O338" s="9" t="s">
        <v>1898</v>
      </c>
      <c r="P338" s="16" t="s">
        <v>101</v>
      </c>
      <c r="Q338">
        <f t="shared" si="16"/>
        <v>0</v>
      </c>
      <c r="R338" t="b">
        <f t="shared" si="17"/>
        <v>0</v>
      </c>
    </row>
    <row r="339" spans="1:18" hidden="1" x14ac:dyDescent="0.35">
      <c r="A339" s="16" t="s">
        <v>101</v>
      </c>
      <c r="B339" s="9" t="s">
        <v>2612</v>
      </c>
      <c r="C339" s="9" t="s">
        <v>2612</v>
      </c>
      <c r="D339" s="9" t="e">
        <f>VLOOKUP(RBE!C339,Permis[[#This Row],[Parties]],1,0)</f>
        <v>#N/A</v>
      </c>
      <c r="E339" s="9" t="s">
        <v>2616</v>
      </c>
      <c r="F339" s="10" t="s">
        <v>2617</v>
      </c>
      <c r="G339" s="10" t="str">
        <f t="shared" si="15"/>
        <v>2024</v>
      </c>
      <c r="H339" s="10">
        <v>25</v>
      </c>
      <c r="I339" s="10">
        <v>25</v>
      </c>
      <c r="J339" s="9" t="s">
        <v>1912</v>
      </c>
      <c r="K339" s="9" t="s">
        <v>1912</v>
      </c>
      <c r="L339" s="9" t="s">
        <v>1905</v>
      </c>
      <c r="M339" s="9">
        <v>0</v>
      </c>
      <c r="N339" s="9" t="s">
        <v>1905</v>
      </c>
      <c r="O339" s="9" t="s">
        <v>1898</v>
      </c>
      <c r="P339" s="16" t="s">
        <v>101</v>
      </c>
      <c r="Q339">
        <f t="shared" si="16"/>
        <v>0</v>
      </c>
      <c r="R339" t="b">
        <f t="shared" si="17"/>
        <v>0</v>
      </c>
    </row>
    <row r="340" spans="1:18" hidden="1" x14ac:dyDescent="0.35">
      <c r="A340" s="16" t="s">
        <v>101</v>
      </c>
      <c r="B340" s="9" t="s">
        <v>2618</v>
      </c>
      <c r="C340" s="9" t="s">
        <v>2618</v>
      </c>
      <c r="D340" s="9" t="e">
        <f>VLOOKUP(RBE!C340,Permis[[#This Row],[Parties]],1,0)</f>
        <v>#N/A</v>
      </c>
      <c r="E340" s="9" t="s">
        <v>2619</v>
      </c>
      <c r="F340" s="10" t="s">
        <v>2620</v>
      </c>
      <c r="G340" s="10" t="str">
        <f t="shared" si="15"/>
        <v>2024</v>
      </c>
      <c r="H340" s="10">
        <v>5</v>
      </c>
      <c r="I340" s="10">
        <v>5</v>
      </c>
      <c r="J340" s="9" t="s">
        <v>1912</v>
      </c>
      <c r="K340" s="9" t="s">
        <v>1912</v>
      </c>
      <c r="L340" s="9" t="s">
        <v>1905</v>
      </c>
      <c r="M340" s="9">
        <v>0</v>
      </c>
      <c r="N340" s="9" t="s">
        <v>1905</v>
      </c>
      <c r="O340" s="9" t="s">
        <v>1898</v>
      </c>
      <c r="P340" s="16" t="s">
        <v>101</v>
      </c>
      <c r="Q340">
        <f t="shared" si="16"/>
        <v>0</v>
      </c>
      <c r="R340" t="b">
        <f t="shared" si="17"/>
        <v>0</v>
      </c>
    </row>
    <row r="341" spans="1:18" hidden="1" x14ac:dyDescent="0.35">
      <c r="A341" s="16" t="s">
        <v>101</v>
      </c>
      <c r="B341" s="9" t="s">
        <v>2618</v>
      </c>
      <c r="C341" s="9" t="s">
        <v>2618</v>
      </c>
      <c r="D341" s="9" t="e">
        <f>VLOOKUP(RBE!C341,Permis[[#This Row],[Parties]],1,0)</f>
        <v>#N/A</v>
      </c>
      <c r="E341" s="9" t="s">
        <v>2619</v>
      </c>
      <c r="F341" s="10" t="s">
        <v>2620</v>
      </c>
      <c r="G341" s="10" t="str">
        <f t="shared" si="15"/>
        <v>2024</v>
      </c>
      <c r="H341" s="10">
        <v>95</v>
      </c>
      <c r="I341" s="10">
        <v>95</v>
      </c>
      <c r="J341" s="9" t="s">
        <v>1912</v>
      </c>
      <c r="K341" s="9" t="s">
        <v>1912</v>
      </c>
      <c r="L341" s="9" t="s">
        <v>1905</v>
      </c>
      <c r="M341" s="9">
        <v>0</v>
      </c>
      <c r="N341" s="9" t="s">
        <v>1905</v>
      </c>
      <c r="O341" s="9" t="s">
        <v>1898</v>
      </c>
      <c r="P341" s="16" t="s">
        <v>101</v>
      </c>
      <c r="Q341">
        <f t="shared" si="16"/>
        <v>0</v>
      </c>
      <c r="R341" t="b">
        <f t="shared" si="17"/>
        <v>0</v>
      </c>
    </row>
    <row r="342" spans="1:18" hidden="1" x14ac:dyDescent="0.35">
      <c r="A342" s="16" t="s">
        <v>101</v>
      </c>
      <c r="B342" s="9" t="s">
        <v>2621</v>
      </c>
      <c r="C342" s="9" t="s">
        <v>2621</v>
      </c>
      <c r="D342" s="9" t="e">
        <f>VLOOKUP(RBE!C342,Permis[[#This Row],[Parties]],1,0)</f>
        <v>#N/A</v>
      </c>
      <c r="E342" s="9" t="s">
        <v>2622</v>
      </c>
      <c r="F342" s="10" t="s">
        <v>2623</v>
      </c>
      <c r="G342" s="10" t="str">
        <f t="shared" si="15"/>
        <v>2024</v>
      </c>
      <c r="H342" s="10">
        <v>20</v>
      </c>
      <c r="I342" s="10">
        <v>20</v>
      </c>
      <c r="J342" s="9" t="s">
        <v>1912</v>
      </c>
      <c r="K342" s="9" t="s">
        <v>1912</v>
      </c>
      <c r="L342" s="9" t="s">
        <v>1905</v>
      </c>
      <c r="M342" s="9">
        <v>0</v>
      </c>
      <c r="N342" s="9" t="s">
        <v>1905</v>
      </c>
      <c r="O342" s="9" t="s">
        <v>1898</v>
      </c>
      <c r="P342" s="16" t="s">
        <v>101</v>
      </c>
      <c r="Q342">
        <f t="shared" si="16"/>
        <v>0</v>
      </c>
      <c r="R342" t="b">
        <f t="shared" si="17"/>
        <v>0</v>
      </c>
    </row>
    <row r="343" spans="1:18" hidden="1" x14ac:dyDescent="0.35">
      <c r="A343" s="16" t="s">
        <v>101</v>
      </c>
      <c r="B343" s="9" t="s">
        <v>2624</v>
      </c>
      <c r="C343" s="9" t="s">
        <v>2624</v>
      </c>
      <c r="D343" s="9" t="e">
        <f>VLOOKUP(RBE!C343,Permis[[#This Row],[Parties]],1,0)</f>
        <v>#N/A</v>
      </c>
      <c r="E343" s="9" t="s">
        <v>2625</v>
      </c>
      <c r="F343" s="10" t="s">
        <v>2623</v>
      </c>
      <c r="G343" s="10" t="str">
        <f t="shared" si="15"/>
        <v>2024</v>
      </c>
      <c r="H343" s="10">
        <v>80</v>
      </c>
      <c r="I343" s="10">
        <v>80</v>
      </c>
      <c r="J343" s="9" t="s">
        <v>1912</v>
      </c>
      <c r="K343" s="9" t="s">
        <v>1912</v>
      </c>
      <c r="L343" s="9" t="s">
        <v>1905</v>
      </c>
      <c r="M343" s="9">
        <v>0</v>
      </c>
      <c r="N343" s="9" t="s">
        <v>1905</v>
      </c>
      <c r="O343" s="9" t="s">
        <v>1898</v>
      </c>
      <c r="P343" s="16" t="s">
        <v>101</v>
      </c>
      <c r="Q343">
        <f t="shared" si="16"/>
        <v>0</v>
      </c>
      <c r="R343" t="b">
        <f t="shared" si="17"/>
        <v>0</v>
      </c>
    </row>
    <row r="344" spans="1:18" hidden="1" x14ac:dyDescent="0.35">
      <c r="A344" s="16" t="s">
        <v>101</v>
      </c>
      <c r="B344" s="9" t="s">
        <v>2570</v>
      </c>
      <c r="C344" s="9" t="s">
        <v>2570</v>
      </c>
      <c r="D344" s="9" t="e">
        <f>VLOOKUP(RBE!C344,Permis[[#This Row],[Parties]],1,0)</f>
        <v>#N/A</v>
      </c>
      <c r="E344" s="9" t="s">
        <v>2626</v>
      </c>
      <c r="F344" s="10" t="s">
        <v>2627</v>
      </c>
      <c r="G344" s="10" t="str">
        <f t="shared" si="15"/>
        <v>2024</v>
      </c>
      <c r="H344" s="10">
        <v>5</v>
      </c>
      <c r="I344" s="10">
        <v>5</v>
      </c>
      <c r="J344" s="9" t="s">
        <v>1912</v>
      </c>
      <c r="K344" s="9" t="s">
        <v>1912</v>
      </c>
      <c r="L344" s="9" t="s">
        <v>1905</v>
      </c>
      <c r="M344" s="9">
        <v>0</v>
      </c>
      <c r="N344" s="9" t="s">
        <v>1905</v>
      </c>
      <c r="O344" s="9" t="s">
        <v>1898</v>
      </c>
      <c r="P344" s="16" t="s">
        <v>101</v>
      </c>
      <c r="Q344">
        <f t="shared" si="16"/>
        <v>0</v>
      </c>
      <c r="R344" t="b">
        <f t="shared" si="17"/>
        <v>0</v>
      </c>
    </row>
    <row r="345" spans="1:18" hidden="1" x14ac:dyDescent="0.35">
      <c r="A345" s="16" t="s">
        <v>101</v>
      </c>
      <c r="B345" s="9" t="s">
        <v>2628</v>
      </c>
      <c r="C345" s="9" t="s">
        <v>2628</v>
      </c>
      <c r="D345" s="9" t="e">
        <f>VLOOKUP(RBE!C345,Permis[[#This Row],[Parties]],1,0)</f>
        <v>#N/A</v>
      </c>
      <c r="E345" s="9" t="s">
        <v>2629</v>
      </c>
      <c r="F345" s="10" t="s">
        <v>2627</v>
      </c>
      <c r="G345" s="10" t="str">
        <f t="shared" si="15"/>
        <v>2024</v>
      </c>
      <c r="H345" s="10">
        <v>90</v>
      </c>
      <c r="I345" s="10">
        <v>90</v>
      </c>
      <c r="J345" s="9" t="s">
        <v>1912</v>
      </c>
      <c r="K345" s="9" t="s">
        <v>1912</v>
      </c>
      <c r="L345" s="9" t="s">
        <v>1905</v>
      </c>
      <c r="M345" s="9">
        <v>0</v>
      </c>
      <c r="N345" s="9" t="s">
        <v>1905</v>
      </c>
      <c r="O345" s="9" t="s">
        <v>1898</v>
      </c>
      <c r="P345" s="16" t="s">
        <v>101</v>
      </c>
      <c r="Q345">
        <f t="shared" si="16"/>
        <v>0</v>
      </c>
      <c r="R345" t="b">
        <f t="shared" si="17"/>
        <v>0</v>
      </c>
    </row>
    <row r="346" spans="1:18" hidden="1" x14ac:dyDescent="0.35">
      <c r="A346" s="16" t="s">
        <v>101</v>
      </c>
      <c r="B346" s="9" t="s">
        <v>2630</v>
      </c>
      <c r="C346" s="9" t="s">
        <v>2630</v>
      </c>
      <c r="D346" s="9" t="e">
        <f>VLOOKUP(RBE!C346,Permis[[#This Row],[Parties]],1,0)</f>
        <v>#N/A</v>
      </c>
      <c r="E346" s="9" t="s">
        <v>2631</v>
      </c>
      <c r="F346" s="10" t="s">
        <v>2627</v>
      </c>
      <c r="G346" s="10" t="str">
        <f t="shared" si="15"/>
        <v>2024</v>
      </c>
      <c r="H346" s="10">
        <v>5</v>
      </c>
      <c r="I346" s="10">
        <v>5</v>
      </c>
      <c r="J346" s="9" t="s">
        <v>1912</v>
      </c>
      <c r="K346" s="9" t="s">
        <v>1912</v>
      </c>
      <c r="L346" s="9" t="s">
        <v>1905</v>
      </c>
      <c r="M346" s="9">
        <v>0</v>
      </c>
      <c r="N346" s="9" t="s">
        <v>1905</v>
      </c>
      <c r="O346" s="9" t="s">
        <v>1898</v>
      </c>
      <c r="P346" s="16" t="s">
        <v>101</v>
      </c>
      <c r="Q346">
        <f t="shared" si="16"/>
        <v>0</v>
      </c>
      <c r="R346" t="b">
        <f t="shared" si="17"/>
        <v>0</v>
      </c>
    </row>
    <row r="347" spans="1:18" hidden="1" x14ac:dyDescent="0.35">
      <c r="A347" s="16" t="s">
        <v>101</v>
      </c>
      <c r="B347" s="9" t="s">
        <v>1938</v>
      </c>
      <c r="C347" s="9" t="s">
        <v>3134</v>
      </c>
      <c r="D347" s="9" t="e">
        <f>VLOOKUP(RBE!C347,Permis[[#This Row],[Parties]],1,0)</f>
        <v>#N/A</v>
      </c>
      <c r="E347" s="9" t="s">
        <v>1939</v>
      </c>
      <c r="F347" s="10" t="s">
        <v>1936</v>
      </c>
      <c r="G347" s="10" t="str">
        <f t="shared" si="15"/>
        <v>2021</v>
      </c>
      <c r="H347" s="10" t="s">
        <v>1905</v>
      </c>
      <c r="I347" s="10" t="s">
        <v>1905</v>
      </c>
      <c r="J347" s="9" t="s">
        <v>1926</v>
      </c>
      <c r="K347" s="9" t="s">
        <v>1926</v>
      </c>
      <c r="L347" s="9" t="s">
        <v>1905</v>
      </c>
      <c r="M347" s="9">
        <v>0</v>
      </c>
      <c r="N347" s="9" t="s">
        <v>1905</v>
      </c>
      <c r="O347" s="9" t="s">
        <v>1898</v>
      </c>
      <c r="P347" s="16" t="s">
        <v>101</v>
      </c>
      <c r="Q347">
        <f t="shared" si="16"/>
        <v>0</v>
      </c>
      <c r="R347" t="b">
        <f t="shared" si="17"/>
        <v>0</v>
      </c>
    </row>
    <row r="348" spans="1:18" hidden="1" x14ac:dyDescent="0.35">
      <c r="A348" s="16" t="s">
        <v>101</v>
      </c>
      <c r="B348" s="9" t="s">
        <v>2632</v>
      </c>
      <c r="C348" s="9" t="s">
        <v>2632</v>
      </c>
      <c r="D348" s="9" t="e">
        <f>VLOOKUP(RBE!C348,Permis[[#This Row],[Parties]],1,0)</f>
        <v>#N/A</v>
      </c>
      <c r="E348" s="9" t="s">
        <v>2633</v>
      </c>
      <c r="F348" s="10" t="s">
        <v>2634</v>
      </c>
      <c r="G348" s="10" t="str">
        <f t="shared" si="15"/>
        <v>2024</v>
      </c>
      <c r="H348" s="10" t="s">
        <v>1905</v>
      </c>
      <c r="I348" s="10" t="s">
        <v>1905</v>
      </c>
      <c r="J348" s="9" t="s">
        <v>1912</v>
      </c>
      <c r="K348" s="9" t="s">
        <v>1912</v>
      </c>
      <c r="L348" s="9" t="s">
        <v>1905</v>
      </c>
      <c r="M348" s="9">
        <v>0</v>
      </c>
      <c r="N348" s="9" t="s">
        <v>1905</v>
      </c>
      <c r="O348" s="9" t="s">
        <v>1898</v>
      </c>
      <c r="P348" s="16" t="s">
        <v>101</v>
      </c>
      <c r="Q348">
        <f t="shared" si="16"/>
        <v>0</v>
      </c>
      <c r="R348" t="b">
        <f t="shared" si="17"/>
        <v>0</v>
      </c>
    </row>
    <row r="349" spans="1:18" hidden="1" x14ac:dyDescent="0.35">
      <c r="A349" s="16" t="s">
        <v>101</v>
      </c>
      <c r="B349" s="9" t="s">
        <v>2635</v>
      </c>
      <c r="C349" s="9" t="s">
        <v>2635</v>
      </c>
      <c r="D349" s="9" t="e">
        <f>VLOOKUP(RBE!C349,Permis[[#This Row],[Parties]],1,0)</f>
        <v>#N/A</v>
      </c>
      <c r="E349" s="9" t="s">
        <v>2636</v>
      </c>
      <c r="F349" s="10" t="s">
        <v>2637</v>
      </c>
      <c r="G349" s="10" t="str">
        <f t="shared" si="15"/>
        <v>2024</v>
      </c>
      <c r="H349" s="10">
        <v>100</v>
      </c>
      <c r="I349" s="10">
        <v>100</v>
      </c>
      <c r="J349" s="9" t="s">
        <v>1912</v>
      </c>
      <c r="K349" s="9" t="s">
        <v>1912</v>
      </c>
      <c r="L349" s="9" t="s">
        <v>1905</v>
      </c>
      <c r="M349" s="9">
        <v>0</v>
      </c>
      <c r="N349" s="9" t="s">
        <v>1905</v>
      </c>
      <c r="O349" s="9" t="s">
        <v>1898</v>
      </c>
      <c r="P349" s="16" t="s">
        <v>101</v>
      </c>
      <c r="Q349">
        <f t="shared" si="16"/>
        <v>0</v>
      </c>
      <c r="R349" t="b">
        <f t="shared" si="17"/>
        <v>0</v>
      </c>
    </row>
    <row r="350" spans="1:18" hidden="1" x14ac:dyDescent="0.35">
      <c r="A350" s="16" t="s">
        <v>101</v>
      </c>
      <c r="B350" s="9" t="s">
        <v>1982</v>
      </c>
      <c r="C350" s="9" t="s">
        <v>3145</v>
      </c>
      <c r="D350" s="9" t="e">
        <f>VLOOKUP(RBE!C350,Permis[[#This Row],[Parties]],1,0)</f>
        <v>#N/A</v>
      </c>
      <c r="E350" s="9" t="s">
        <v>1983</v>
      </c>
      <c r="F350" s="10" t="s">
        <v>1953</v>
      </c>
      <c r="G350" s="10" t="str">
        <f t="shared" si="15"/>
        <v>2021</v>
      </c>
      <c r="H350" s="10">
        <v>30</v>
      </c>
      <c r="I350" s="10" t="s">
        <v>1905</v>
      </c>
      <c r="J350" s="9" t="s">
        <v>1912</v>
      </c>
      <c r="K350" s="9" t="s">
        <v>1912</v>
      </c>
      <c r="L350" s="9" t="s">
        <v>1905</v>
      </c>
      <c r="M350" s="9">
        <v>0</v>
      </c>
      <c r="N350" s="9" t="s">
        <v>1905</v>
      </c>
      <c r="O350" s="9" t="s">
        <v>1898</v>
      </c>
      <c r="P350" s="16" t="s">
        <v>101</v>
      </c>
      <c r="Q350">
        <f t="shared" si="16"/>
        <v>0</v>
      </c>
      <c r="R350" t="b">
        <f t="shared" si="17"/>
        <v>0</v>
      </c>
    </row>
    <row r="351" spans="1:18" hidden="1" x14ac:dyDescent="0.35">
      <c r="A351" s="16" t="s">
        <v>101</v>
      </c>
      <c r="B351" s="9" t="s">
        <v>2638</v>
      </c>
      <c r="C351" s="9" t="s">
        <v>2638</v>
      </c>
      <c r="D351" s="9" t="e">
        <f>VLOOKUP(RBE!C351,Permis[[#This Row],[Parties]],1,0)</f>
        <v>#N/A</v>
      </c>
      <c r="E351" s="9" t="s">
        <v>2639</v>
      </c>
      <c r="F351" s="10" t="s">
        <v>2617</v>
      </c>
      <c r="G351" s="10" t="str">
        <f t="shared" si="15"/>
        <v>2024</v>
      </c>
      <c r="H351" s="10">
        <v>75</v>
      </c>
      <c r="I351" s="10">
        <v>75</v>
      </c>
      <c r="J351" s="9" t="s">
        <v>1912</v>
      </c>
      <c r="K351" s="9" t="s">
        <v>1912</v>
      </c>
      <c r="L351" s="9" t="s">
        <v>1905</v>
      </c>
      <c r="M351" s="9">
        <v>0</v>
      </c>
      <c r="N351" s="9" t="s">
        <v>1905</v>
      </c>
      <c r="O351" s="9" t="s">
        <v>1898</v>
      </c>
      <c r="P351" s="16" t="s">
        <v>101</v>
      </c>
      <c r="Q351">
        <f t="shared" si="16"/>
        <v>0</v>
      </c>
      <c r="R351" t="b">
        <f t="shared" si="17"/>
        <v>0</v>
      </c>
    </row>
    <row r="352" spans="1:18" hidden="1" x14ac:dyDescent="0.35">
      <c r="A352" s="16" t="s">
        <v>101</v>
      </c>
      <c r="B352" s="9" t="s">
        <v>2640</v>
      </c>
      <c r="C352" s="9" t="s">
        <v>2640</v>
      </c>
      <c r="D352" s="9" t="e">
        <f>VLOOKUP(RBE!C352,Permis[[#This Row],[Parties]],1,0)</f>
        <v>#N/A</v>
      </c>
      <c r="E352" s="9" t="s">
        <v>2641</v>
      </c>
      <c r="F352" s="10" t="s">
        <v>2642</v>
      </c>
      <c r="G352" s="10" t="str">
        <f t="shared" si="15"/>
        <v>2024</v>
      </c>
      <c r="H352" s="10">
        <v>30</v>
      </c>
      <c r="I352" s="10">
        <v>30</v>
      </c>
      <c r="J352" s="9" t="s">
        <v>1912</v>
      </c>
      <c r="K352" s="9" t="s">
        <v>1912</v>
      </c>
      <c r="L352" s="9" t="s">
        <v>1905</v>
      </c>
      <c r="M352" s="9">
        <v>0</v>
      </c>
      <c r="N352" s="9" t="s">
        <v>1905</v>
      </c>
      <c r="O352" s="9" t="s">
        <v>1898</v>
      </c>
      <c r="P352" s="16" t="s">
        <v>101</v>
      </c>
      <c r="Q352">
        <f t="shared" si="16"/>
        <v>0</v>
      </c>
      <c r="R352" t="b">
        <f t="shared" si="17"/>
        <v>0</v>
      </c>
    </row>
    <row r="353" spans="1:18" hidden="1" x14ac:dyDescent="0.35">
      <c r="A353" s="16" t="s">
        <v>101</v>
      </c>
      <c r="B353" s="9" t="s">
        <v>2643</v>
      </c>
      <c r="C353" s="9" t="s">
        <v>2643</v>
      </c>
      <c r="D353" s="9" t="e">
        <f>VLOOKUP(RBE!C353,Permis[[#This Row],[Parties]],1,0)</f>
        <v>#N/A</v>
      </c>
      <c r="E353" s="9" t="s">
        <v>2644</v>
      </c>
      <c r="F353" s="10" t="s">
        <v>2642</v>
      </c>
      <c r="G353" s="10" t="str">
        <f t="shared" si="15"/>
        <v>2024</v>
      </c>
      <c r="H353" s="10">
        <v>30</v>
      </c>
      <c r="I353" s="10">
        <v>30</v>
      </c>
      <c r="J353" s="9" t="s">
        <v>1912</v>
      </c>
      <c r="K353" s="9" t="s">
        <v>1912</v>
      </c>
      <c r="L353" s="9" t="s">
        <v>1905</v>
      </c>
      <c r="M353" s="9">
        <v>0</v>
      </c>
      <c r="N353" s="9" t="s">
        <v>1905</v>
      </c>
      <c r="O353" s="9" t="s">
        <v>1898</v>
      </c>
      <c r="P353" s="16" t="s">
        <v>101</v>
      </c>
      <c r="Q353">
        <f t="shared" si="16"/>
        <v>0</v>
      </c>
      <c r="R353" t="b">
        <f t="shared" si="17"/>
        <v>0</v>
      </c>
    </row>
    <row r="354" spans="1:18" hidden="1" x14ac:dyDescent="0.35">
      <c r="A354" s="16" t="s">
        <v>101</v>
      </c>
      <c r="B354" s="9" t="s">
        <v>2645</v>
      </c>
      <c r="C354" s="9" t="s">
        <v>2645</v>
      </c>
      <c r="D354" s="9" t="e">
        <f>VLOOKUP(RBE!C354,Permis[[#This Row],[Parties]],1,0)</f>
        <v>#N/A</v>
      </c>
      <c r="E354" s="9" t="s">
        <v>2646</v>
      </c>
      <c r="F354" s="10" t="s">
        <v>2642</v>
      </c>
      <c r="G354" s="10" t="str">
        <f t="shared" si="15"/>
        <v>2024</v>
      </c>
      <c r="H354" s="10">
        <v>40</v>
      </c>
      <c r="I354" s="10">
        <v>40</v>
      </c>
      <c r="J354" s="9" t="s">
        <v>1912</v>
      </c>
      <c r="K354" s="9" t="s">
        <v>1912</v>
      </c>
      <c r="L354" s="9" t="s">
        <v>1905</v>
      </c>
      <c r="M354" s="9">
        <v>0</v>
      </c>
      <c r="N354" s="9" t="s">
        <v>1905</v>
      </c>
      <c r="O354" s="9" t="s">
        <v>1898</v>
      </c>
      <c r="P354" s="16" t="s">
        <v>101</v>
      </c>
      <c r="Q354">
        <f t="shared" si="16"/>
        <v>0</v>
      </c>
      <c r="R354" t="b">
        <f t="shared" si="17"/>
        <v>0</v>
      </c>
    </row>
    <row r="355" spans="1:18" hidden="1" x14ac:dyDescent="0.35">
      <c r="A355" s="16" t="s">
        <v>101</v>
      </c>
      <c r="B355" s="9" t="s">
        <v>2645</v>
      </c>
      <c r="C355" s="9" t="s">
        <v>2645</v>
      </c>
      <c r="D355" s="9" t="e">
        <f>VLOOKUP(RBE!C355,Permis[[#This Row],[Parties]],1,0)</f>
        <v>#N/A</v>
      </c>
      <c r="E355" s="9" t="s">
        <v>2647</v>
      </c>
      <c r="F355" s="10" t="s">
        <v>2648</v>
      </c>
      <c r="G355" s="10" t="str">
        <f t="shared" si="15"/>
        <v>2024</v>
      </c>
      <c r="H355" s="10">
        <v>100</v>
      </c>
      <c r="I355" s="10">
        <v>100</v>
      </c>
      <c r="J355" s="9" t="s">
        <v>1912</v>
      </c>
      <c r="K355" s="9" t="s">
        <v>1912</v>
      </c>
      <c r="L355" s="9" t="s">
        <v>1905</v>
      </c>
      <c r="M355" s="9">
        <v>0</v>
      </c>
      <c r="N355" s="9" t="s">
        <v>1905</v>
      </c>
      <c r="O355" s="9" t="s">
        <v>1898</v>
      </c>
      <c r="P355" s="16" t="s">
        <v>101</v>
      </c>
      <c r="Q355">
        <f t="shared" si="16"/>
        <v>0</v>
      </c>
      <c r="R355" t="b">
        <f t="shared" si="17"/>
        <v>0</v>
      </c>
    </row>
    <row r="356" spans="1:18" hidden="1" x14ac:dyDescent="0.35">
      <c r="A356" s="16" t="s">
        <v>101</v>
      </c>
      <c r="B356" s="9" t="s">
        <v>2645</v>
      </c>
      <c r="C356" s="9" t="s">
        <v>2645</v>
      </c>
      <c r="D356" s="9" t="e">
        <f>VLOOKUP(RBE!C356,Permis[[#This Row],[Parties]],1,0)</f>
        <v>#N/A</v>
      </c>
      <c r="E356" s="9" t="s">
        <v>2649</v>
      </c>
      <c r="F356" s="10" t="s">
        <v>2650</v>
      </c>
      <c r="G356" s="10" t="str">
        <f t="shared" si="15"/>
        <v>2024</v>
      </c>
      <c r="H356" s="10">
        <v>100</v>
      </c>
      <c r="I356" s="10">
        <v>100</v>
      </c>
      <c r="J356" s="9" t="s">
        <v>1912</v>
      </c>
      <c r="K356" s="9" t="s">
        <v>1912</v>
      </c>
      <c r="L356" s="9" t="s">
        <v>1905</v>
      </c>
      <c r="M356" s="9">
        <v>0</v>
      </c>
      <c r="N356" s="9" t="s">
        <v>1905</v>
      </c>
      <c r="O356" s="9" t="s">
        <v>1898</v>
      </c>
      <c r="P356" s="16" t="s">
        <v>101</v>
      </c>
      <c r="Q356">
        <f t="shared" si="16"/>
        <v>0</v>
      </c>
      <c r="R356" t="b">
        <f t="shared" si="17"/>
        <v>0</v>
      </c>
    </row>
    <row r="357" spans="1:18" hidden="1" x14ac:dyDescent="0.35">
      <c r="A357" s="16" t="s">
        <v>101</v>
      </c>
      <c r="B357" s="9" t="s">
        <v>2651</v>
      </c>
      <c r="C357" s="9" t="s">
        <v>2651</v>
      </c>
      <c r="D357" s="9" t="e">
        <f>VLOOKUP(RBE!C357,Permis[[#This Row],[Parties]],1,0)</f>
        <v>#N/A</v>
      </c>
      <c r="E357" s="9" t="s">
        <v>2652</v>
      </c>
      <c r="F357" s="10" t="s">
        <v>2653</v>
      </c>
      <c r="G357" s="10" t="str">
        <f t="shared" si="15"/>
        <v>2024</v>
      </c>
      <c r="H357" s="10">
        <v>14</v>
      </c>
      <c r="I357" s="10" t="s">
        <v>1905</v>
      </c>
      <c r="J357" s="9" t="s">
        <v>2654</v>
      </c>
      <c r="K357" s="9" t="s">
        <v>2654</v>
      </c>
      <c r="L357" s="9" t="s">
        <v>1905</v>
      </c>
      <c r="M357" s="9">
        <v>0</v>
      </c>
      <c r="N357" s="9" t="s">
        <v>1905</v>
      </c>
      <c r="O357" s="9" t="s">
        <v>1898</v>
      </c>
      <c r="P357" s="16" t="s">
        <v>101</v>
      </c>
      <c r="Q357">
        <f t="shared" si="16"/>
        <v>0</v>
      </c>
      <c r="R357" t="b">
        <f t="shared" si="17"/>
        <v>0</v>
      </c>
    </row>
    <row r="358" spans="1:18" hidden="1" x14ac:dyDescent="0.35">
      <c r="A358" s="16" t="s">
        <v>101</v>
      </c>
      <c r="B358" s="9" t="s">
        <v>2651</v>
      </c>
      <c r="C358" s="9" t="s">
        <v>2651</v>
      </c>
      <c r="D358" s="9" t="e">
        <f>VLOOKUP(RBE!C358,Permis[[#This Row],[Parties]],1,0)</f>
        <v>#N/A</v>
      </c>
      <c r="E358" s="9" t="s">
        <v>2655</v>
      </c>
      <c r="F358" s="10" t="s">
        <v>2653</v>
      </c>
      <c r="G358" s="10" t="str">
        <f t="shared" si="15"/>
        <v>2024</v>
      </c>
      <c r="H358" s="10">
        <v>23</v>
      </c>
      <c r="I358" s="10" t="s">
        <v>1905</v>
      </c>
      <c r="J358" s="9" t="s">
        <v>1912</v>
      </c>
      <c r="K358" s="9" t="s">
        <v>1912</v>
      </c>
      <c r="L358" s="9" t="s">
        <v>1905</v>
      </c>
      <c r="M358" s="9">
        <v>0</v>
      </c>
      <c r="N358" s="9" t="s">
        <v>1905</v>
      </c>
      <c r="O358" s="9" t="s">
        <v>1898</v>
      </c>
      <c r="P358" s="16" t="s">
        <v>101</v>
      </c>
      <c r="Q358">
        <f t="shared" si="16"/>
        <v>0</v>
      </c>
      <c r="R358" t="b">
        <f t="shared" si="17"/>
        <v>0</v>
      </c>
    </row>
    <row r="359" spans="1:18" hidden="1" x14ac:dyDescent="0.35">
      <c r="A359" s="16" t="s">
        <v>101</v>
      </c>
      <c r="B359" s="9" t="s">
        <v>2651</v>
      </c>
      <c r="C359" s="9" t="s">
        <v>2651</v>
      </c>
      <c r="D359" s="9" t="e">
        <f>VLOOKUP(RBE!C359,Permis[[#This Row],[Parties]],1,0)</f>
        <v>#N/A</v>
      </c>
      <c r="E359" s="9" t="s">
        <v>2656</v>
      </c>
      <c r="F359" s="10" t="s">
        <v>2653</v>
      </c>
      <c r="G359" s="10" t="str">
        <f t="shared" si="15"/>
        <v>2024</v>
      </c>
      <c r="H359" s="10">
        <v>13</v>
      </c>
      <c r="I359" s="10" t="s">
        <v>1905</v>
      </c>
      <c r="J359" s="9" t="s">
        <v>1912</v>
      </c>
      <c r="K359" s="9" t="s">
        <v>1912</v>
      </c>
      <c r="L359" s="9" t="s">
        <v>1905</v>
      </c>
      <c r="M359" s="9">
        <v>0</v>
      </c>
      <c r="N359" s="9" t="s">
        <v>1905</v>
      </c>
      <c r="O359" s="9" t="s">
        <v>1898</v>
      </c>
      <c r="P359" s="16" t="s">
        <v>101</v>
      </c>
      <c r="Q359">
        <f t="shared" si="16"/>
        <v>0</v>
      </c>
      <c r="R359" t="b">
        <f t="shared" si="17"/>
        <v>0</v>
      </c>
    </row>
    <row r="360" spans="1:18" hidden="1" x14ac:dyDescent="0.35">
      <c r="A360" s="16" t="s">
        <v>101</v>
      </c>
      <c r="B360" s="9" t="s">
        <v>2657</v>
      </c>
      <c r="C360" s="9" t="s">
        <v>2657</v>
      </c>
      <c r="D360" s="9" t="e">
        <f>VLOOKUP(RBE!C360,Permis[[#This Row],[Parties]],1,0)</f>
        <v>#N/A</v>
      </c>
      <c r="E360" s="9" t="s">
        <v>2656</v>
      </c>
      <c r="F360" s="10" t="s">
        <v>2658</v>
      </c>
      <c r="G360" s="10" t="str">
        <f t="shared" si="15"/>
        <v>2024</v>
      </c>
      <c r="H360" s="10">
        <v>50</v>
      </c>
      <c r="I360" s="10">
        <v>50</v>
      </c>
      <c r="J360" s="9" t="s">
        <v>1912</v>
      </c>
      <c r="K360" s="9" t="s">
        <v>1912</v>
      </c>
      <c r="L360" s="9" t="s">
        <v>1905</v>
      </c>
      <c r="M360" s="9">
        <v>0</v>
      </c>
      <c r="N360" s="9" t="s">
        <v>1905</v>
      </c>
      <c r="O360" s="9" t="s">
        <v>1898</v>
      </c>
      <c r="P360" s="16" t="s">
        <v>101</v>
      </c>
      <c r="Q360">
        <f t="shared" si="16"/>
        <v>0</v>
      </c>
      <c r="R360" t="b">
        <f t="shared" si="17"/>
        <v>0</v>
      </c>
    </row>
    <row r="361" spans="1:18" hidden="1" x14ac:dyDescent="0.35">
      <c r="A361" s="16" t="s">
        <v>101</v>
      </c>
      <c r="B361" s="9" t="s">
        <v>2659</v>
      </c>
      <c r="C361" s="9" t="s">
        <v>2659</v>
      </c>
      <c r="D361" s="9" t="e">
        <f>VLOOKUP(RBE!C361,Permis[[#This Row],[Parties]],1,0)</f>
        <v>#N/A</v>
      </c>
      <c r="E361" s="9" t="s">
        <v>2660</v>
      </c>
      <c r="F361" s="10" t="s">
        <v>2661</v>
      </c>
      <c r="G361" s="10" t="str">
        <f t="shared" si="15"/>
        <v>2024</v>
      </c>
      <c r="H361" s="10">
        <v>100</v>
      </c>
      <c r="I361" s="10">
        <v>100</v>
      </c>
      <c r="J361" s="9" t="s">
        <v>1912</v>
      </c>
      <c r="K361" s="9" t="s">
        <v>1912</v>
      </c>
      <c r="L361" s="9" t="s">
        <v>1905</v>
      </c>
      <c r="M361" s="9">
        <v>0</v>
      </c>
      <c r="N361" s="9" t="s">
        <v>1905</v>
      </c>
      <c r="O361" s="9" t="s">
        <v>1898</v>
      </c>
      <c r="P361" s="16" t="s">
        <v>101</v>
      </c>
      <c r="Q361">
        <f t="shared" si="16"/>
        <v>0</v>
      </c>
      <c r="R361" t="b">
        <f t="shared" si="17"/>
        <v>0</v>
      </c>
    </row>
    <row r="362" spans="1:18" x14ac:dyDescent="0.35">
      <c r="A362" s="16" t="s">
        <v>101</v>
      </c>
      <c r="B362" s="9" t="s">
        <v>2662</v>
      </c>
      <c r="C362" s="9" t="s">
        <v>2662</v>
      </c>
      <c r="D362" s="9" t="e">
        <f>VLOOKUP(RBE!C362,Permis[[#This Row],[Parties]],1,0)</f>
        <v>#N/A</v>
      </c>
      <c r="E362" s="9" t="s">
        <v>2660</v>
      </c>
      <c r="F362" s="10" t="s">
        <v>2663</v>
      </c>
      <c r="G362" s="10" t="str">
        <f t="shared" si="15"/>
        <v>2024</v>
      </c>
      <c r="H362" s="10">
        <v>150</v>
      </c>
      <c r="I362" s="10">
        <v>150</v>
      </c>
      <c r="J362" s="9" t="s">
        <v>1912</v>
      </c>
      <c r="K362" s="9" t="s">
        <v>1912</v>
      </c>
      <c r="L362" s="9" t="s">
        <v>1905</v>
      </c>
      <c r="M362" s="9">
        <v>0</v>
      </c>
      <c r="N362" s="9" t="s">
        <v>1905</v>
      </c>
      <c r="O362" s="9" t="s">
        <v>1898</v>
      </c>
      <c r="P362" s="16" t="s">
        <v>101</v>
      </c>
      <c r="Q362">
        <f t="shared" si="16"/>
        <v>0</v>
      </c>
      <c r="R362" t="b">
        <f t="shared" si="17"/>
        <v>0</v>
      </c>
    </row>
    <row r="363" spans="1:18" x14ac:dyDescent="0.35">
      <c r="A363" s="16" t="s">
        <v>101</v>
      </c>
      <c r="B363" s="9" t="s">
        <v>2616</v>
      </c>
      <c r="C363" s="9" t="s">
        <v>2616</v>
      </c>
      <c r="D363" s="9" t="e">
        <f>VLOOKUP(RBE!C363,Permis[[#This Row],[Parties]],1,0)</f>
        <v>#N/A</v>
      </c>
      <c r="E363" s="9" t="s">
        <v>2664</v>
      </c>
      <c r="F363" s="10" t="s">
        <v>2665</v>
      </c>
      <c r="G363" s="10" t="str">
        <f t="shared" si="15"/>
        <v>2024</v>
      </c>
      <c r="H363" s="10">
        <v>200</v>
      </c>
      <c r="I363" s="10">
        <v>200</v>
      </c>
      <c r="J363" s="9" t="s">
        <v>1912</v>
      </c>
      <c r="K363" s="9" t="s">
        <v>1912</v>
      </c>
      <c r="L363" s="9" t="s">
        <v>1905</v>
      </c>
      <c r="M363" s="9">
        <v>0</v>
      </c>
      <c r="N363" s="9" t="s">
        <v>1905</v>
      </c>
      <c r="O363" s="9" t="s">
        <v>1898</v>
      </c>
      <c r="P363" s="16" t="s">
        <v>101</v>
      </c>
      <c r="Q363">
        <f t="shared" si="16"/>
        <v>0</v>
      </c>
      <c r="R363" t="b">
        <f t="shared" si="17"/>
        <v>0</v>
      </c>
    </row>
    <row r="364" spans="1:18" hidden="1" x14ac:dyDescent="0.35">
      <c r="A364" s="16" t="s">
        <v>101</v>
      </c>
      <c r="B364" s="9" t="s">
        <v>2666</v>
      </c>
      <c r="C364" s="9" t="s">
        <v>2666</v>
      </c>
      <c r="D364" s="9" t="e">
        <f>VLOOKUP(RBE!C364,Permis[[#This Row],[Parties]],1,0)</f>
        <v>#N/A</v>
      </c>
      <c r="E364" s="9" t="s">
        <v>2667</v>
      </c>
      <c r="F364" s="10" t="s">
        <v>2653</v>
      </c>
      <c r="G364" s="10" t="str">
        <f t="shared" si="15"/>
        <v>2024</v>
      </c>
      <c r="H364" s="10">
        <v>50</v>
      </c>
      <c r="I364" s="10" t="s">
        <v>1905</v>
      </c>
      <c r="J364" s="9" t="s">
        <v>2654</v>
      </c>
      <c r="K364" s="9" t="s">
        <v>2654</v>
      </c>
      <c r="L364" s="9" t="s">
        <v>1905</v>
      </c>
      <c r="M364" s="9">
        <v>0</v>
      </c>
      <c r="N364" s="9" t="s">
        <v>1905</v>
      </c>
      <c r="O364" s="9" t="s">
        <v>1898</v>
      </c>
      <c r="P364" s="16" t="s">
        <v>101</v>
      </c>
      <c r="Q364">
        <f t="shared" si="16"/>
        <v>0</v>
      </c>
      <c r="R364" t="b">
        <f t="shared" si="17"/>
        <v>0</v>
      </c>
    </row>
    <row r="365" spans="1:18" hidden="1" x14ac:dyDescent="0.35">
      <c r="A365" s="16" t="s">
        <v>101</v>
      </c>
      <c r="B365" s="9" t="s">
        <v>2666</v>
      </c>
      <c r="C365" s="9" t="s">
        <v>2666</v>
      </c>
      <c r="D365" s="9" t="e">
        <f>VLOOKUP(RBE!C365,Permis[[#This Row],[Parties]],1,0)</f>
        <v>#N/A</v>
      </c>
      <c r="E365" s="9" t="s">
        <v>2668</v>
      </c>
      <c r="F365" s="10" t="s">
        <v>2669</v>
      </c>
      <c r="G365" s="10" t="str">
        <f t="shared" si="15"/>
        <v>2024</v>
      </c>
      <c r="H365" s="10" t="s">
        <v>1905</v>
      </c>
      <c r="I365" s="10">
        <v>70</v>
      </c>
      <c r="J365" s="9" t="s">
        <v>1912</v>
      </c>
      <c r="K365" s="9" t="s">
        <v>1912</v>
      </c>
      <c r="L365" s="9" t="s">
        <v>1905</v>
      </c>
      <c r="M365" s="9" t="s">
        <v>1905</v>
      </c>
      <c r="N365" s="9" t="s">
        <v>1905</v>
      </c>
      <c r="O365" s="9" t="s">
        <v>1898</v>
      </c>
      <c r="P365" s="16" t="s">
        <v>101</v>
      </c>
      <c r="Q365">
        <f t="shared" si="16"/>
        <v>0</v>
      </c>
      <c r="R365" t="b">
        <f t="shared" si="17"/>
        <v>0</v>
      </c>
    </row>
    <row r="366" spans="1:18" hidden="1" x14ac:dyDescent="0.35">
      <c r="A366" s="16" t="s">
        <v>101</v>
      </c>
      <c r="B366" s="9" t="s">
        <v>2666</v>
      </c>
      <c r="C366" s="9" t="s">
        <v>2666</v>
      </c>
      <c r="D366" s="9" t="e">
        <f>VLOOKUP(RBE!C366,Permis[[#This Row],[Parties]],1,0)</f>
        <v>#N/A</v>
      </c>
      <c r="E366" s="9" t="s">
        <v>2670</v>
      </c>
      <c r="F366" s="10" t="s">
        <v>2669</v>
      </c>
      <c r="G366" s="10" t="str">
        <f t="shared" si="15"/>
        <v>2024</v>
      </c>
      <c r="H366" s="10">
        <v>30</v>
      </c>
      <c r="I366" s="10">
        <v>30</v>
      </c>
      <c r="J366" s="9" t="s">
        <v>1912</v>
      </c>
      <c r="K366" s="9" t="s">
        <v>1912</v>
      </c>
      <c r="L366" s="9" t="s">
        <v>1905</v>
      </c>
      <c r="M366" s="9">
        <v>0</v>
      </c>
      <c r="N366" s="9" t="s">
        <v>1905</v>
      </c>
      <c r="O366" s="9" t="s">
        <v>1898</v>
      </c>
      <c r="P366" s="16" t="s">
        <v>101</v>
      </c>
      <c r="Q366">
        <f t="shared" si="16"/>
        <v>0</v>
      </c>
      <c r="R366" t="b">
        <f t="shared" si="17"/>
        <v>0</v>
      </c>
    </row>
    <row r="367" spans="1:18" hidden="1" x14ac:dyDescent="0.35">
      <c r="A367" s="16" t="s">
        <v>101</v>
      </c>
      <c r="B367" s="9" t="s">
        <v>2666</v>
      </c>
      <c r="C367" s="9" t="s">
        <v>2666</v>
      </c>
      <c r="D367" s="9" t="e">
        <f>VLOOKUP(RBE!C367,Permis[[#This Row],[Parties]],1,0)</f>
        <v>#N/A</v>
      </c>
      <c r="E367" s="9" t="s">
        <v>2671</v>
      </c>
      <c r="F367" s="10" t="s">
        <v>2672</v>
      </c>
      <c r="G367" s="10" t="str">
        <f t="shared" si="15"/>
        <v>2024</v>
      </c>
      <c r="H367" s="10">
        <v>100</v>
      </c>
      <c r="I367" s="10">
        <v>100</v>
      </c>
      <c r="J367" s="9" t="s">
        <v>1912</v>
      </c>
      <c r="K367" s="9" t="s">
        <v>1912</v>
      </c>
      <c r="L367" s="9" t="s">
        <v>1905</v>
      </c>
      <c r="M367" s="9">
        <v>0</v>
      </c>
      <c r="N367" s="9" t="s">
        <v>1905</v>
      </c>
      <c r="O367" s="9" t="s">
        <v>1898</v>
      </c>
      <c r="P367" s="16" t="s">
        <v>101</v>
      </c>
      <c r="Q367">
        <f t="shared" si="16"/>
        <v>0</v>
      </c>
      <c r="R367" t="b">
        <f t="shared" si="17"/>
        <v>0</v>
      </c>
    </row>
    <row r="368" spans="1:18" hidden="1" x14ac:dyDescent="0.35">
      <c r="A368" s="16" t="s">
        <v>101</v>
      </c>
      <c r="B368" s="9" t="s">
        <v>2666</v>
      </c>
      <c r="C368" s="9" t="s">
        <v>2666</v>
      </c>
      <c r="D368" s="9" t="e">
        <f>VLOOKUP(RBE!C368,Permis[[#This Row],[Parties]],1,0)</f>
        <v>#N/A</v>
      </c>
      <c r="E368" s="9" t="s">
        <v>2673</v>
      </c>
      <c r="F368" s="10" t="s">
        <v>2674</v>
      </c>
      <c r="G368" s="10" t="str">
        <f t="shared" si="15"/>
        <v>2024</v>
      </c>
      <c r="H368" s="10">
        <v>100</v>
      </c>
      <c r="I368" s="10" t="s">
        <v>1905</v>
      </c>
      <c r="J368" s="9" t="s">
        <v>1912</v>
      </c>
      <c r="K368" s="9" t="s">
        <v>1912</v>
      </c>
      <c r="L368" s="9" t="s">
        <v>1905</v>
      </c>
      <c r="M368" s="9">
        <v>0</v>
      </c>
      <c r="N368" s="9" t="s">
        <v>1905</v>
      </c>
      <c r="O368" s="9" t="s">
        <v>1898</v>
      </c>
      <c r="P368" s="16" t="s">
        <v>101</v>
      </c>
      <c r="Q368">
        <f t="shared" si="16"/>
        <v>0</v>
      </c>
      <c r="R368" t="b">
        <f t="shared" si="17"/>
        <v>0</v>
      </c>
    </row>
    <row r="369" spans="1:18" hidden="1" x14ac:dyDescent="0.35">
      <c r="A369" s="16" t="s">
        <v>101</v>
      </c>
      <c r="B369" s="9" t="s">
        <v>2666</v>
      </c>
      <c r="C369" s="9" t="s">
        <v>2666</v>
      </c>
      <c r="D369" s="9" t="e">
        <f>VLOOKUP(RBE!C369,Permis[[#This Row],[Parties]],1,0)</f>
        <v>#N/A</v>
      </c>
      <c r="E369" s="9" t="s">
        <v>2675</v>
      </c>
      <c r="F369" s="10" t="s">
        <v>2676</v>
      </c>
      <c r="G369" s="10" t="str">
        <f t="shared" si="15"/>
        <v>2024</v>
      </c>
      <c r="H369" s="10" t="s">
        <v>1905</v>
      </c>
      <c r="I369" s="10" t="s">
        <v>1905</v>
      </c>
      <c r="J369" s="9" t="s">
        <v>1912</v>
      </c>
      <c r="K369" s="9" t="s">
        <v>1912</v>
      </c>
      <c r="L369" s="9" t="s">
        <v>1905</v>
      </c>
      <c r="M369" s="9">
        <v>0</v>
      </c>
      <c r="N369" s="9" t="s">
        <v>1905</v>
      </c>
      <c r="O369" s="9" t="s">
        <v>1898</v>
      </c>
      <c r="P369" s="16" t="s">
        <v>101</v>
      </c>
      <c r="Q369">
        <f t="shared" si="16"/>
        <v>0</v>
      </c>
      <c r="R369" t="b">
        <f t="shared" si="17"/>
        <v>0</v>
      </c>
    </row>
    <row r="370" spans="1:18" hidden="1" x14ac:dyDescent="0.35">
      <c r="A370" s="16" t="s">
        <v>101</v>
      </c>
      <c r="B370" s="9" t="s">
        <v>2666</v>
      </c>
      <c r="C370" s="9" t="s">
        <v>2666</v>
      </c>
      <c r="D370" s="9" t="e">
        <f>VLOOKUP(RBE!C370,Permis[[#This Row],[Parties]],1,0)</f>
        <v>#N/A</v>
      </c>
      <c r="E370" s="9" t="s">
        <v>2677</v>
      </c>
      <c r="F370" s="10" t="s">
        <v>2678</v>
      </c>
      <c r="G370" s="10" t="str">
        <f t="shared" si="15"/>
        <v>2024</v>
      </c>
      <c r="H370" s="10">
        <v>100</v>
      </c>
      <c r="I370" s="10">
        <v>100</v>
      </c>
      <c r="J370" s="9" t="s">
        <v>1912</v>
      </c>
      <c r="K370" s="9" t="s">
        <v>1912</v>
      </c>
      <c r="L370" s="9" t="s">
        <v>1905</v>
      </c>
      <c r="M370" s="9">
        <v>0</v>
      </c>
      <c r="N370" s="9" t="s">
        <v>1905</v>
      </c>
      <c r="O370" s="9" t="s">
        <v>1898</v>
      </c>
      <c r="P370" s="16" t="s">
        <v>101</v>
      </c>
      <c r="Q370">
        <f t="shared" si="16"/>
        <v>0</v>
      </c>
      <c r="R370" t="b">
        <f t="shared" si="17"/>
        <v>0</v>
      </c>
    </row>
    <row r="371" spans="1:18" hidden="1" x14ac:dyDescent="0.35">
      <c r="A371" s="16" t="s">
        <v>101</v>
      </c>
      <c r="B371" s="9" t="s">
        <v>2679</v>
      </c>
      <c r="C371" s="9" t="s">
        <v>2679</v>
      </c>
      <c r="D371" s="9" t="e">
        <f>VLOOKUP(RBE!C371,Permis[[#This Row],[Parties]],1,0)</f>
        <v>#N/A</v>
      </c>
      <c r="E371" s="9" t="s">
        <v>2680</v>
      </c>
      <c r="F371" s="10" t="s">
        <v>2681</v>
      </c>
      <c r="G371" s="10" t="str">
        <f t="shared" si="15"/>
        <v>2024</v>
      </c>
      <c r="H371" s="10">
        <v>50</v>
      </c>
      <c r="I371" s="10">
        <v>50</v>
      </c>
      <c r="J371" s="9" t="s">
        <v>1912</v>
      </c>
      <c r="K371" s="9" t="s">
        <v>1912</v>
      </c>
      <c r="L371" s="9" t="s">
        <v>1905</v>
      </c>
      <c r="M371" s="9">
        <v>0</v>
      </c>
      <c r="N371" s="9" t="s">
        <v>1905</v>
      </c>
      <c r="O371" s="9" t="s">
        <v>1898</v>
      </c>
      <c r="P371" s="16" t="s">
        <v>101</v>
      </c>
      <c r="Q371">
        <f t="shared" si="16"/>
        <v>0</v>
      </c>
      <c r="R371" t="b">
        <f t="shared" si="17"/>
        <v>0</v>
      </c>
    </row>
    <row r="372" spans="1:18" hidden="1" x14ac:dyDescent="0.35">
      <c r="A372" s="16" t="s">
        <v>101</v>
      </c>
      <c r="B372" s="9" t="s">
        <v>2682</v>
      </c>
      <c r="C372" s="9" t="s">
        <v>2682</v>
      </c>
      <c r="D372" s="9" t="e">
        <f>VLOOKUP(RBE!C372,Permis[[#This Row],[Parties]],1,0)</f>
        <v>#N/A</v>
      </c>
      <c r="E372" s="9" t="s">
        <v>2683</v>
      </c>
      <c r="F372" s="10" t="s">
        <v>2681</v>
      </c>
      <c r="G372" s="10" t="str">
        <f t="shared" si="15"/>
        <v>2024</v>
      </c>
      <c r="H372" s="10">
        <v>50</v>
      </c>
      <c r="I372" s="10">
        <v>50</v>
      </c>
      <c r="J372" s="9" t="s">
        <v>1912</v>
      </c>
      <c r="K372" s="9" t="s">
        <v>1912</v>
      </c>
      <c r="L372" s="9" t="s">
        <v>1905</v>
      </c>
      <c r="M372" s="9">
        <v>0</v>
      </c>
      <c r="N372" s="9" t="s">
        <v>1905</v>
      </c>
      <c r="O372" s="9" t="s">
        <v>1898</v>
      </c>
      <c r="P372" s="16" t="s">
        <v>101</v>
      </c>
      <c r="Q372">
        <f t="shared" si="16"/>
        <v>0</v>
      </c>
      <c r="R372" t="b">
        <f t="shared" si="17"/>
        <v>0</v>
      </c>
    </row>
    <row r="373" spans="1:18" hidden="1" x14ac:dyDescent="0.35">
      <c r="A373" s="16" t="s">
        <v>101</v>
      </c>
      <c r="B373" s="9" t="s">
        <v>2682</v>
      </c>
      <c r="C373" s="9" t="s">
        <v>2682</v>
      </c>
      <c r="D373" s="9" t="e">
        <f>VLOOKUP(RBE!C373,Permis[[#This Row],[Parties]],1,0)</f>
        <v>#N/A</v>
      </c>
      <c r="E373" s="9" t="s">
        <v>2684</v>
      </c>
      <c r="F373" s="10" t="s">
        <v>2685</v>
      </c>
      <c r="G373" s="10" t="str">
        <f t="shared" si="15"/>
        <v>2024</v>
      </c>
      <c r="H373" s="10">
        <v>90</v>
      </c>
      <c r="I373" s="10" t="s">
        <v>1905</v>
      </c>
      <c r="J373" s="9" t="s">
        <v>1912</v>
      </c>
      <c r="K373" s="9" t="s">
        <v>1912</v>
      </c>
      <c r="L373" s="9" t="s">
        <v>1905</v>
      </c>
      <c r="M373" s="9">
        <v>0</v>
      </c>
      <c r="N373" s="9" t="s">
        <v>1905</v>
      </c>
      <c r="O373" s="9" t="s">
        <v>1898</v>
      </c>
      <c r="P373" s="16" t="s">
        <v>101</v>
      </c>
      <c r="Q373">
        <f t="shared" si="16"/>
        <v>0</v>
      </c>
      <c r="R373" t="b">
        <f t="shared" si="17"/>
        <v>0</v>
      </c>
    </row>
    <row r="374" spans="1:18" hidden="1" x14ac:dyDescent="0.35">
      <c r="A374" s="16" t="s">
        <v>101</v>
      </c>
      <c r="B374" s="9" t="s">
        <v>2682</v>
      </c>
      <c r="C374" s="9" t="s">
        <v>2682</v>
      </c>
      <c r="D374" s="9" t="e">
        <f>VLOOKUP(RBE!C374,Permis[[#This Row],[Parties]],1,0)</f>
        <v>#N/A</v>
      </c>
      <c r="E374" s="9" t="s">
        <v>2686</v>
      </c>
      <c r="F374" s="10" t="s">
        <v>2687</v>
      </c>
      <c r="G374" s="10" t="str">
        <f t="shared" si="15"/>
        <v>2024</v>
      </c>
      <c r="H374" s="10">
        <v>50</v>
      </c>
      <c r="I374" s="10" t="s">
        <v>1905</v>
      </c>
      <c r="J374" s="9" t="s">
        <v>1912</v>
      </c>
      <c r="K374" s="9" t="s">
        <v>1912</v>
      </c>
      <c r="L374" s="9" t="s">
        <v>1905</v>
      </c>
      <c r="M374" s="9">
        <v>0</v>
      </c>
      <c r="N374" s="9" t="s">
        <v>1905</v>
      </c>
      <c r="O374" s="9" t="s">
        <v>1898</v>
      </c>
      <c r="P374" s="16" t="s">
        <v>101</v>
      </c>
      <c r="Q374">
        <f t="shared" si="16"/>
        <v>0</v>
      </c>
      <c r="R374" t="b">
        <f t="shared" si="17"/>
        <v>0</v>
      </c>
    </row>
    <row r="375" spans="1:18" hidden="1" x14ac:dyDescent="0.35">
      <c r="A375" s="16" t="s">
        <v>101</v>
      </c>
      <c r="B375" s="9" t="s">
        <v>2688</v>
      </c>
      <c r="C375" s="9" t="s">
        <v>2688</v>
      </c>
      <c r="D375" s="9" t="e">
        <f>VLOOKUP(RBE!C375,Permis[[#This Row],[Parties]],1,0)</f>
        <v>#N/A</v>
      </c>
      <c r="E375" s="9" t="s">
        <v>2689</v>
      </c>
      <c r="F375" s="10" t="s">
        <v>2687</v>
      </c>
      <c r="G375" s="10" t="str">
        <f t="shared" si="15"/>
        <v>2024</v>
      </c>
      <c r="H375" s="10">
        <v>50</v>
      </c>
      <c r="I375" s="10" t="s">
        <v>1905</v>
      </c>
      <c r="J375" s="9" t="s">
        <v>1912</v>
      </c>
      <c r="K375" s="9" t="s">
        <v>1912</v>
      </c>
      <c r="L375" s="9" t="s">
        <v>1905</v>
      </c>
      <c r="M375" s="9">
        <v>0</v>
      </c>
      <c r="N375" s="9" t="s">
        <v>1905</v>
      </c>
      <c r="O375" s="9" t="s">
        <v>1898</v>
      </c>
      <c r="P375" s="16" t="s">
        <v>101</v>
      </c>
      <c r="Q375">
        <f t="shared" si="16"/>
        <v>0</v>
      </c>
      <c r="R375" t="b">
        <f t="shared" si="17"/>
        <v>0</v>
      </c>
    </row>
    <row r="376" spans="1:18" hidden="1" x14ac:dyDescent="0.35">
      <c r="A376" s="16" t="s">
        <v>101</v>
      </c>
      <c r="B376" s="9" t="s">
        <v>2688</v>
      </c>
      <c r="C376" s="9" t="s">
        <v>2688</v>
      </c>
      <c r="D376" s="9" t="e">
        <f>VLOOKUP(RBE!C376,Permis[[#This Row],[Parties]],1,0)</f>
        <v>#N/A</v>
      </c>
      <c r="E376" s="9" t="s">
        <v>2690</v>
      </c>
      <c r="F376" s="10" t="s">
        <v>2685</v>
      </c>
      <c r="G376" s="10" t="str">
        <f t="shared" si="15"/>
        <v>2024</v>
      </c>
      <c r="H376" s="10">
        <v>10</v>
      </c>
      <c r="I376" s="10" t="s">
        <v>1905</v>
      </c>
      <c r="J376" s="9" t="s">
        <v>1912</v>
      </c>
      <c r="K376" s="9" t="s">
        <v>1912</v>
      </c>
      <c r="L376" s="9" t="s">
        <v>1905</v>
      </c>
      <c r="M376" s="9">
        <v>0</v>
      </c>
      <c r="N376" s="9" t="s">
        <v>1905</v>
      </c>
      <c r="O376" s="9" t="s">
        <v>1898</v>
      </c>
      <c r="P376" s="16" t="s">
        <v>101</v>
      </c>
      <c r="Q376">
        <f t="shared" si="16"/>
        <v>0</v>
      </c>
      <c r="R376" t="b">
        <f t="shared" si="17"/>
        <v>0</v>
      </c>
    </row>
    <row r="377" spans="1:18" hidden="1" x14ac:dyDescent="0.35">
      <c r="A377" s="16" t="s">
        <v>101</v>
      </c>
      <c r="B377" s="9" t="s">
        <v>2688</v>
      </c>
      <c r="C377" s="9" t="s">
        <v>2688</v>
      </c>
      <c r="D377" s="9" t="e">
        <f>VLOOKUP(RBE!C377,Permis[[#This Row],[Parties]],1,0)</f>
        <v>#N/A</v>
      </c>
      <c r="E377" s="9" t="s">
        <v>2691</v>
      </c>
      <c r="F377" s="10" t="s">
        <v>2692</v>
      </c>
      <c r="G377" s="10" t="str">
        <f t="shared" si="15"/>
        <v>2024</v>
      </c>
      <c r="H377" s="10">
        <v>21</v>
      </c>
      <c r="I377" s="10">
        <v>21</v>
      </c>
      <c r="J377" s="9" t="s">
        <v>1912</v>
      </c>
      <c r="K377" s="9" t="s">
        <v>1912</v>
      </c>
      <c r="L377" s="9" t="s">
        <v>1905</v>
      </c>
      <c r="M377" s="9">
        <v>0</v>
      </c>
      <c r="N377" s="9" t="s">
        <v>1905</v>
      </c>
      <c r="O377" s="9" t="s">
        <v>1898</v>
      </c>
      <c r="P377" s="16" t="s">
        <v>101</v>
      </c>
      <c r="Q377">
        <f t="shared" si="16"/>
        <v>0</v>
      </c>
      <c r="R377" t="b">
        <f t="shared" si="17"/>
        <v>0</v>
      </c>
    </row>
    <row r="378" spans="1:18" hidden="1" x14ac:dyDescent="0.35">
      <c r="A378" s="16" t="s">
        <v>101</v>
      </c>
      <c r="B378" s="9" t="s">
        <v>2693</v>
      </c>
      <c r="C378" s="9" t="s">
        <v>2693</v>
      </c>
      <c r="D378" s="9" t="e">
        <f>VLOOKUP(RBE!C378,Permis[[#This Row],[Parties]],1,0)</f>
        <v>#N/A</v>
      </c>
      <c r="E378" s="9" t="s">
        <v>2694</v>
      </c>
      <c r="F378" s="10" t="s">
        <v>2692</v>
      </c>
      <c r="G378" s="10" t="str">
        <f t="shared" si="15"/>
        <v>2024</v>
      </c>
      <c r="H378" s="10">
        <v>27</v>
      </c>
      <c r="I378" s="10">
        <v>27</v>
      </c>
      <c r="J378" s="9" t="s">
        <v>1912</v>
      </c>
      <c r="K378" s="9" t="s">
        <v>1912</v>
      </c>
      <c r="L378" s="9" t="s">
        <v>1905</v>
      </c>
      <c r="M378" s="9">
        <v>0</v>
      </c>
      <c r="N378" s="9" t="s">
        <v>1905</v>
      </c>
      <c r="O378" s="9" t="s">
        <v>1898</v>
      </c>
      <c r="P378" s="16" t="s">
        <v>101</v>
      </c>
      <c r="Q378">
        <f t="shared" si="16"/>
        <v>0</v>
      </c>
      <c r="R378" t="b">
        <f t="shared" si="17"/>
        <v>0</v>
      </c>
    </row>
    <row r="379" spans="1:18" hidden="1" x14ac:dyDescent="0.35">
      <c r="A379" s="16" t="s">
        <v>101</v>
      </c>
      <c r="B379" s="9" t="s">
        <v>2693</v>
      </c>
      <c r="C379" s="9" t="s">
        <v>2693</v>
      </c>
      <c r="D379" s="9" t="e">
        <f>VLOOKUP(RBE!C379,Permis[[#This Row],[Parties]],1,0)</f>
        <v>#N/A</v>
      </c>
      <c r="E379" s="9" t="s">
        <v>2695</v>
      </c>
      <c r="F379" s="10" t="s">
        <v>2692</v>
      </c>
      <c r="G379" s="10" t="str">
        <f t="shared" si="15"/>
        <v>2024</v>
      </c>
      <c r="H379" s="10">
        <v>5</v>
      </c>
      <c r="I379" s="10">
        <v>5</v>
      </c>
      <c r="J379" s="9" t="s">
        <v>1912</v>
      </c>
      <c r="K379" s="9" t="s">
        <v>1912</v>
      </c>
      <c r="L379" s="9" t="s">
        <v>1905</v>
      </c>
      <c r="M379" s="9">
        <v>0</v>
      </c>
      <c r="N379" s="9" t="s">
        <v>1905</v>
      </c>
      <c r="O379" s="9" t="s">
        <v>1898</v>
      </c>
      <c r="P379" s="16" t="s">
        <v>101</v>
      </c>
      <c r="Q379">
        <f t="shared" si="16"/>
        <v>0</v>
      </c>
      <c r="R379" t="b">
        <f t="shared" si="17"/>
        <v>0</v>
      </c>
    </row>
    <row r="380" spans="1:18" hidden="1" x14ac:dyDescent="0.35">
      <c r="A380" s="16" t="s">
        <v>101</v>
      </c>
      <c r="B380" s="9" t="s">
        <v>2696</v>
      </c>
      <c r="C380" s="9" t="s">
        <v>2696</v>
      </c>
      <c r="D380" s="9" t="e">
        <f>VLOOKUP(RBE!C380,Permis[[#This Row],[Parties]],1,0)</f>
        <v>#N/A</v>
      </c>
      <c r="E380" s="9" t="s">
        <v>2697</v>
      </c>
      <c r="F380" s="10" t="s">
        <v>2692</v>
      </c>
      <c r="G380" s="10" t="str">
        <f t="shared" si="15"/>
        <v>2024</v>
      </c>
      <c r="H380" s="10">
        <v>5</v>
      </c>
      <c r="I380" s="10">
        <v>5</v>
      </c>
      <c r="J380" s="9" t="s">
        <v>1912</v>
      </c>
      <c r="K380" s="9" t="s">
        <v>1912</v>
      </c>
      <c r="L380" s="9" t="s">
        <v>1905</v>
      </c>
      <c r="M380" s="9">
        <v>0</v>
      </c>
      <c r="N380" s="9" t="s">
        <v>1905</v>
      </c>
      <c r="O380" s="9" t="s">
        <v>1898</v>
      </c>
      <c r="P380" s="16" t="s">
        <v>101</v>
      </c>
      <c r="Q380">
        <f t="shared" si="16"/>
        <v>0</v>
      </c>
      <c r="R380" t="b">
        <f t="shared" si="17"/>
        <v>0</v>
      </c>
    </row>
    <row r="381" spans="1:18" hidden="1" x14ac:dyDescent="0.35">
      <c r="A381" s="16" t="s">
        <v>101</v>
      </c>
      <c r="B381" s="9" t="s">
        <v>2696</v>
      </c>
      <c r="C381" s="9" t="s">
        <v>2696</v>
      </c>
      <c r="D381" s="9" t="e">
        <f>VLOOKUP(RBE!C381,Permis[[#This Row],[Parties]],1,0)</f>
        <v>#N/A</v>
      </c>
      <c r="E381" s="9" t="s">
        <v>2697</v>
      </c>
      <c r="F381" s="10" t="s">
        <v>2692</v>
      </c>
      <c r="G381" s="10" t="str">
        <f t="shared" si="15"/>
        <v>2024</v>
      </c>
      <c r="H381" s="10">
        <v>23</v>
      </c>
      <c r="I381" s="10">
        <v>23</v>
      </c>
      <c r="J381" s="9" t="s">
        <v>1912</v>
      </c>
      <c r="K381" s="9" t="s">
        <v>1912</v>
      </c>
      <c r="L381" s="9" t="s">
        <v>1905</v>
      </c>
      <c r="M381" s="9">
        <v>0</v>
      </c>
      <c r="N381" s="9" t="s">
        <v>1905</v>
      </c>
      <c r="O381" s="9" t="s">
        <v>1898</v>
      </c>
      <c r="P381" s="16" t="s">
        <v>101</v>
      </c>
      <c r="Q381">
        <f t="shared" si="16"/>
        <v>0</v>
      </c>
      <c r="R381" t="b">
        <f t="shared" si="17"/>
        <v>0</v>
      </c>
    </row>
    <row r="382" spans="1:18" hidden="1" x14ac:dyDescent="0.35">
      <c r="A382" s="16" t="s">
        <v>101</v>
      </c>
      <c r="B382" s="9" t="s">
        <v>2696</v>
      </c>
      <c r="C382" s="9" t="s">
        <v>2696</v>
      </c>
      <c r="D382" s="9" t="e">
        <f>VLOOKUP(RBE!C382,Permis[[#This Row],[Parties]],1,0)</f>
        <v>#N/A</v>
      </c>
      <c r="E382" s="9" t="s">
        <v>2698</v>
      </c>
      <c r="F382" s="10" t="s">
        <v>2692</v>
      </c>
      <c r="G382" s="10" t="str">
        <f t="shared" si="15"/>
        <v>2024</v>
      </c>
      <c r="H382" s="10">
        <v>5</v>
      </c>
      <c r="I382" s="10">
        <v>5</v>
      </c>
      <c r="J382" s="9" t="s">
        <v>1912</v>
      </c>
      <c r="K382" s="9" t="s">
        <v>1912</v>
      </c>
      <c r="L382" s="9" t="s">
        <v>1905</v>
      </c>
      <c r="M382" s="9">
        <v>0</v>
      </c>
      <c r="N382" s="9" t="s">
        <v>1905</v>
      </c>
      <c r="O382" s="9" t="s">
        <v>1898</v>
      </c>
      <c r="P382" s="16" t="s">
        <v>101</v>
      </c>
      <c r="Q382">
        <f t="shared" si="16"/>
        <v>0</v>
      </c>
      <c r="R382" t="b">
        <f t="shared" si="17"/>
        <v>0</v>
      </c>
    </row>
    <row r="383" spans="1:18" hidden="1" x14ac:dyDescent="0.35">
      <c r="A383" s="16" t="s">
        <v>101</v>
      </c>
      <c r="B383" s="9" t="s">
        <v>2699</v>
      </c>
      <c r="C383" s="9" t="s">
        <v>2699</v>
      </c>
      <c r="D383" s="9" t="e">
        <f>VLOOKUP(RBE!C383,Permis[[#This Row],[Parties]],1,0)</f>
        <v>#N/A</v>
      </c>
      <c r="E383" s="9" t="s">
        <v>2700</v>
      </c>
      <c r="F383" s="10" t="s">
        <v>2692</v>
      </c>
      <c r="G383" s="10" t="str">
        <f t="shared" si="15"/>
        <v>2024</v>
      </c>
      <c r="H383" s="10">
        <v>5</v>
      </c>
      <c r="I383" s="10">
        <v>5</v>
      </c>
      <c r="J383" s="9" t="s">
        <v>1912</v>
      </c>
      <c r="K383" s="9" t="s">
        <v>1912</v>
      </c>
      <c r="L383" s="9" t="s">
        <v>1905</v>
      </c>
      <c r="M383" s="9">
        <v>0</v>
      </c>
      <c r="N383" s="9" t="s">
        <v>1905</v>
      </c>
      <c r="O383" s="9" t="s">
        <v>1898</v>
      </c>
      <c r="P383" s="16" t="s">
        <v>101</v>
      </c>
      <c r="Q383">
        <f t="shared" si="16"/>
        <v>0</v>
      </c>
      <c r="R383" t="b">
        <f t="shared" si="17"/>
        <v>0</v>
      </c>
    </row>
    <row r="384" spans="1:18" hidden="1" x14ac:dyDescent="0.35">
      <c r="A384" s="16" t="s">
        <v>101</v>
      </c>
      <c r="B384" s="9" t="s">
        <v>2701</v>
      </c>
      <c r="C384" s="9" t="s">
        <v>2701</v>
      </c>
      <c r="D384" s="9" t="e">
        <f>VLOOKUP(RBE!C384,Permis[[#This Row],[Parties]],1,0)</f>
        <v>#N/A</v>
      </c>
      <c r="E384" s="9" t="s">
        <v>2700</v>
      </c>
      <c r="F384" s="10" t="s">
        <v>2692</v>
      </c>
      <c r="G384" s="10" t="str">
        <f t="shared" si="15"/>
        <v>2024</v>
      </c>
      <c r="H384" s="10">
        <v>4</v>
      </c>
      <c r="I384" s="10">
        <v>4</v>
      </c>
      <c r="J384" s="9" t="s">
        <v>1912</v>
      </c>
      <c r="K384" s="9" t="s">
        <v>1912</v>
      </c>
      <c r="L384" s="9" t="s">
        <v>1905</v>
      </c>
      <c r="M384" s="9">
        <v>0</v>
      </c>
      <c r="N384" s="9" t="s">
        <v>1905</v>
      </c>
      <c r="O384" s="9" t="s">
        <v>1898</v>
      </c>
      <c r="P384" s="16" t="s">
        <v>101</v>
      </c>
      <c r="Q384">
        <f t="shared" si="16"/>
        <v>0</v>
      </c>
      <c r="R384" t="b">
        <f t="shared" si="17"/>
        <v>0</v>
      </c>
    </row>
    <row r="385" spans="1:18" hidden="1" x14ac:dyDescent="0.35">
      <c r="A385" s="16" t="s">
        <v>101</v>
      </c>
      <c r="B385" s="9" t="s">
        <v>2701</v>
      </c>
      <c r="C385" s="9" t="s">
        <v>2701</v>
      </c>
      <c r="D385" s="9" t="e">
        <f>VLOOKUP(RBE!C385,Permis[[#This Row],[Parties]],1,0)</f>
        <v>#N/A</v>
      </c>
      <c r="E385" s="9" t="s">
        <v>2702</v>
      </c>
      <c r="F385" s="10" t="s">
        <v>2692</v>
      </c>
      <c r="G385" s="10" t="str">
        <f t="shared" si="15"/>
        <v>2024</v>
      </c>
      <c r="H385" s="10">
        <v>5</v>
      </c>
      <c r="I385" s="10">
        <v>5</v>
      </c>
      <c r="J385" s="9" t="s">
        <v>1912</v>
      </c>
      <c r="K385" s="9" t="s">
        <v>1912</v>
      </c>
      <c r="L385" s="9" t="s">
        <v>1905</v>
      </c>
      <c r="M385" s="9">
        <v>0</v>
      </c>
      <c r="N385" s="9" t="s">
        <v>1905</v>
      </c>
      <c r="O385" s="9" t="s">
        <v>1898</v>
      </c>
      <c r="P385" s="16" t="s">
        <v>101</v>
      </c>
      <c r="Q385">
        <f t="shared" si="16"/>
        <v>0</v>
      </c>
      <c r="R385" t="b">
        <f t="shared" si="17"/>
        <v>0</v>
      </c>
    </row>
    <row r="386" spans="1:18" hidden="1" x14ac:dyDescent="0.35">
      <c r="A386" s="16" t="s">
        <v>101</v>
      </c>
      <c r="B386" s="9" t="s">
        <v>2703</v>
      </c>
      <c r="C386" s="9" t="s">
        <v>2703</v>
      </c>
      <c r="D386" s="9" t="e">
        <f>VLOOKUP(RBE!C386,Permis[[#This Row],[Parties]],1,0)</f>
        <v>#N/A</v>
      </c>
      <c r="E386" s="9" t="s">
        <v>2704</v>
      </c>
      <c r="F386" s="10" t="s">
        <v>2705</v>
      </c>
      <c r="G386" s="10" t="str">
        <f t="shared" ref="G386:G449" si="18">LEFT(TRIM(F386),4)</f>
        <v>2024</v>
      </c>
      <c r="H386" s="10">
        <v>40</v>
      </c>
      <c r="I386" s="10">
        <v>40</v>
      </c>
      <c r="J386" s="9" t="s">
        <v>1912</v>
      </c>
      <c r="K386" s="9" t="s">
        <v>1912</v>
      </c>
      <c r="L386" s="9" t="s">
        <v>1905</v>
      </c>
      <c r="M386" s="9">
        <v>0</v>
      </c>
      <c r="N386" s="9" t="s">
        <v>1905</v>
      </c>
      <c r="O386" s="9" t="s">
        <v>1898</v>
      </c>
      <c r="P386" s="16" t="s">
        <v>101</v>
      </c>
      <c r="Q386">
        <f t="shared" si="16"/>
        <v>0</v>
      </c>
      <c r="R386" t="b">
        <f t="shared" si="17"/>
        <v>0</v>
      </c>
    </row>
    <row r="387" spans="1:18" hidden="1" x14ac:dyDescent="0.35">
      <c r="A387" s="16" t="s">
        <v>101</v>
      </c>
      <c r="B387" s="9" t="s">
        <v>2706</v>
      </c>
      <c r="C387" s="9" t="s">
        <v>2706</v>
      </c>
      <c r="D387" s="9" t="e">
        <f>VLOOKUP(RBE!C387,Permis[[#This Row],[Parties]],1,0)</f>
        <v>#N/A</v>
      </c>
      <c r="E387" s="9" t="s">
        <v>2707</v>
      </c>
      <c r="F387" s="10" t="s">
        <v>2705</v>
      </c>
      <c r="G387" s="10" t="str">
        <f t="shared" si="18"/>
        <v>2024</v>
      </c>
      <c r="H387" s="10">
        <v>30</v>
      </c>
      <c r="I387" s="10">
        <v>30</v>
      </c>
      <c r="J387" s="9" t="s">
        <v>1912</v>
      </c>
      <c r="K387" s="9" t="s">
        <v>1912</v>
      </c>
      <c r="L387" s="9" t="s">
        <v>1905</v>
      </c>
      <c r="M387" s="9">
        <v>0</v>
      </c>
      <c r="N387" s="9" t="s">
        <v>1905</v>
      </c>
      <c r="O387" s="9" t="s">
        <v>1898</v>
      </c>
      <c r="P387" s="16" t="s">
        <v>101</v>
      </c>
      <c r="Q387">
        <f t="shared" ref="Q387:Q450" si="19">IF(J387=K387,0,1)</f>
        <v>0</v>
      </c>
      <c r="R387" t="b">
        <f t="shared" ref="R387:R450" si="20">ISBLANK(K387)</f>
        <v>0</v>
      </c>
    </row>
    <row r="388" spans="1:18" hidden="1" x14ac:dyDescent="0.35">
      <c r="A388" s="16" t="s">
        <v>101</v>
      </c>
      <c r="B388" s="9" t="s">
        <v>2708</v>
      </c>
      <c r="C388" s="9" t="s">
        <v>2708</v>
      </c>
      <c r="D388" s="9" t="e">
        <f>VLOOKUP(RBE!C388,Permis[[#This Row],[Parties]],1,0)</f>
        <v>#N/A</v>
      </c>
      <c r="E388" s="9" t="s">
        <v>2709</v>
      </c>
      <c r="F388" s="10" t="s">
        <v>2705</v>
      </c>
      <c r="G388" s="10" t="str">
        <f t="shared" si="18"/>
        <v>2024</v>
      </c>
      <c r="H388" s="10">
        <v>30</v>
      </c>
      <c r="I388" s="10">
        <v>30</v>
      </c>
      <c r="J388" s="9" t="s">
        <v>1912</v>
      </c>
      <c r="K388" s="9" t="s">
        <v>1912</v>
      </c>
      <c r="L388" s="9" t="s">
        <v>1905</v>
      </c>
      <c r="M388" s="9">
        <v>0</v>
      </c>
      <c r="N388" s="9" t="s">
        <v>1905</v>
      </c>
      <c r="O388" s="9" t="s">
        <v>1898</v>
      </c>
      <c r="P388" s="16" t="s">
        <v>101</v>
      </c>
      <c r="Q388">
        <f t="shared" si="19"/>
        <v>0</v>
      </c>
      <c r="R388" t="b">
        <f t="shared" si="20"/>
        <v>0</v>
      </c>
    </row>
    <row r="389" spans="1:18" hidden="1" x14ac:dyDescent="0.35">
      <c r="A389" s="16" t="s">
        <v>101</v>
      </c>
      <c r="B389" s="9" t="s">
        <v>902</v>
      </c>
      <c r="C389" s="9" t="s">
        <v>902</v>
      </c>
      <c r="D389" s="9" t="e">
        <f>VLOOKUP(RBE!C389,Permis[[#This Row],[Parties]],1,0)</f>
        <v>#N/A</v>
      </c>
      <c r="E389" s="9" t="s">
        <v>2710</v>
      </c>
      <c r="F389" s="10" t="s">
        <v>2711</v>
      </c>
      <c r="G389" s="10" t="str">
        <f t="shared" si="18"/>
        <v>2024</v>
      </c>
      <c r="H389" s="10">
        <v>50</v>
      </c>
      <c r="I389" s="10">
        <v>50</v>
      </c>
      <c r="J389" s="9" t="s">
        <v>1912</v>
      </c>
      <c r="K389" s="9" t="s">
        <v>1912</v>
      </c>
      <c r="L389" s="9" t="s">
        <v>1905</v>
      </c>
      <c r="M389" s="9">
        <v>0</v>
      </c>
      <c r="N389" s="9" t="s">
        <v>1905</v>
      </c>
      <c r="O389" s="9" t="s">
        <v>1898</v>
      </c>
      <c r="P389" s="16" t="s">
        <v>101</v>
      </c>
      <c r="Q389">
        <f t="shared" si="19"/>
        <v>0</v>
      </c>
      <c r="R389" t="b">
        <f t="shared" si="20"/>
        <v>0</v>
      </c>
    </row>
    <row r="390" spans="1:18" hidden="1" x14ac:dyDescent="0.35">
      <c r="A390" s="16" t="s">
        <v>101</v>
      </c>
      <c r="B390" s="9" t="s">
        <v>2712</v>
      </c>
      <c r="C390" s="9" t="s">
        <v>2712</v>
      </c>
      <c r="D390" s="9" t="e">
        <f>VLOOKUP(RBE!C390,Permis[[#This Row],[Parties]],1,0)</f>
        <v>#N/A</v>
      </c>
      <c r="E390" s="9" t="s">
        <v>2713</v>
      </c>
      <c r="F390" s="10" t="s">
        <v>2711</v>
      </c>
      <c r="G390" s="10" t="str">
        <f t="shared" si="18"/>
        <v>2024</v>
      </c>
      <c r="H390" s="10">
        <v>50</v>
      </c>
      <c r="I390" s="10">
        <v>50</v>
      </c>
      <c r="J390" s="9" t="s">
        <v>1912</v>
      </c>
      <c r="K390" s="9" t="s">
        <v>1912</v>
      </c>
      <c r="L390" s="9" t="s">
        <v>1905</v>
      </c>
      <c r="M390" s="9">
        <v>0</v>
      </c>
      <c r="N390" s="9" t="s">
        <v>1905</v>
      </c>
      <c r="O390" s="9" t="s">
        <v>1898</v>
      </c>
      <c r="P390" s="16" t="s">
        <v>101</v>
      </c>
      <c r="Q390">
        <f t="shared" si="19"/>
        <v>0</v>
      </c>
      <c r="R390" t="b">
        <f t="shared" si="20"/>
        <v>0</v>
      </c>
    </row>
    <row r="391" spans="1:18" hidden="1" x14ac:dyDescent="0.35">
      <c r="A391" s="16" t="s">
        <v>101</v>
      </c>
      <c r="B391" s="9" t="s">
        <v>2712</v>
      </c>
      <c r="C391" s="9" t="s">
        <v>2712</v>
      </c>
      <c r="D391" s="9" t="e">
        <f>VLOOKUP(RBE!C391,Permis[[#This Row],[Parties]],1,0)</f>
        <v>#N/A</v>
      </c>
      <c r="E391" s="9" t="s">
        <v>2714</v>
      </c>
      <c r="F391" s="10" t="s">
        <v>2715</v>
      </c>
      <c r="G391" s="10" t="str">
        <f t="shared" si="18"/>
        <v>2024</v>
      </c>
      <c r="H391" s="10" t="s">
        <v>1905</v>
      </c>
      <c r="I391" s="10" t="s">
        <v>1905</v>
      </c>
      <c r="J391" s="9" t="s">
        <v>1912</v>
      </c>
      <c r="K391" s="9" t="s">
        <v>1912</v>
      </c>
      <c r="L391" s="9" t="s">
        <v>1905</v>
      </c>
      <c r="M391" s="9">
        <v>0</v>
      </c>
      <c r="N391" s="9" t="s">
        <v>1905</v>
      </c>
      <c r="O391" s="9" t="s">
        <v>1898</v>
      </c>
      <c r="P391" s="16" t="s">
        <v>101</v>
      </c>
      <c r="Q391">
        <f t="shared" si="19"/>
        <v>0</v>
      </c>
      <c r="R391" t="b">
        <f t="shared" si="20"/>
        <v>0</v>
      </c>
    </row>
    <row r="392" spans="1:18" hidden="1" x14ac:dyDescent="0.35">
      <c r="A392" s="16" t="s">
        <v>101</v>
      </c>
      <c r="B392" s="9" t="s">
        <v>2712</v>
      </c>
      <c r="C392" s="9" t="s">
        <v>2712</v>
      </c>
      <c r="D392" s="9" t="e">
        <f>VLOOKUP(RBE!C392,Permis[[#This Row],[Parties]],1,0)</f>
        <v>#N/A</v>
      </c>
      <c r="E392" s="9" t="s">
        <v>2716</v>
      </c>
      <c r="F392" s="10" t="s">
        <v>2717</v>
      </c>
      <c r="G392" s="10" t="str">
        <f t="shared" si="18"/>
        <v>2024</v>
      </c>
      <c r="H392" s="10" t="s">
        <v>1905</v>
      </c>
      <c r="I392" s="10" t="s">
        <v>1905</v>
      </c>
      <c r="J392" s="9" t="s">
        <v>2718</v>
      </c>
      <c r="K392" s="9" t="s">
        <v>2718</v>
      </c>
      <c r="L392" s="9" t="s">
        <v>1905</v>
      </c>
      <c r="M392" s="9">
        <v>0</v>
      </c>
      <c r="N392" s="9" t="s">
        <v>1905</v>
      </c>
      <c r="O392" s="9" t="s">
        <v>1898</v>
      </c>
      <c r="P392" s="16" t="s">
        <v>101</v>
      </c>
      <c r="Q392">
        <f t="shared" si="19"/>
        <v>0</v>
      </c>
      <c r="R392" t="b">
        <f t="shared" si="20"/>
        <v>0</v>
      </c>
    </row>
    <row r="393" spans="1:18" hidden="1" x14ac:dyDescent="0.35">
      <c r="A393" s="16" t="s">
        <v>101</v>
      </c>
      <c r="B393" s="9" t="s">
        <v>2719</v>
      </c>
      <c r="C393" s="9" t="s">
        <v>2719</v>
      </c>
      <c r="D393" s="9" t="e">
        <f>VLOOKUP(RBE!C393,Permis[[#This Row],[Parties]],1,0)</f>
        <v>#N/A</v>
      </c>
      <c r="E393" s="9" t="s">
        <v>2720</v>
      </c>
      <c r="F393" s="10" t="s">
        <v>2721</v>
      </c>
      <c r="G393" s="10" t="str">
        <f t="shared" si="18"/>
        <v>2024</v>
      </c>
      <c r="H393" s="10">
        <v>30</v>
      </c>
      <c r="I393" s="10">
        <v>30</v>
      </c>
      <c r="J393" s="9" t="s">
        <v>1912</v>
      </c>
      <c r="K393" s="9" t="s">
        <v>1912</v>
      </c>
      <c r="L393" s="9" t="s">
        <v>1905</v>
      </c>
      <c r="M393" s="9">
        <v>0</v>
      </c>
      <c r="N393" s="9" t="s">
        <v>1905</v>
      </c>
      <c r="O393" s="9" t="s">
        <v>1898</v>
      </c>
      <c r="P393" s="16" t="s">
        <v>101</v>
      </c>
      <c r="Q393">
        <f t="shared" si="19"/>
        <v>0</v>
      </c>
      <c r="R393" t="b">
        <f t="shared" si="20"/>
        <v>0</v>
      </c>
    </row>
    <row r="394" spans="1:18" hidden="1" x14ac:dyDescent="0.35">
      <c r="A394" s="16" t="s">
        <v>101</v>
      </c>
      <c r="B394" s="9" t="s">
        <v>2719</v>
      </c>
      <c r="C394" s="9" t="s">
        <v>2719</v>
      </c>
      <c r="D394" s="9" t="e">
        <f>VLOOKUP(RBE!C394,Permis[[#This Row],[Parties]],1,0)</f>
        <v>#N/A</v>
      </c>
      <c r="E394" s="9" t="s">
        <v>2722</v>
      </c>
      <c r="F394" s="10" t="s">
        <v>2721</v>
      </c>
      <c r="G394" s="10" t="str">
        <f t="shared" si="18"/>
        <v>2024</v>
      </c>
      <c r="H394" s="10">
        <v>30</v>
      </c>
      <c r="I394" s="10">
        <v>30</v>
      </c>
      <c r="J394" s="9" t="s">
        <v>1912</v>
      </c>
      <c r="K394" s="9" t="s">
        <v>1912</v>
      </c>
      <c r="L394" s="9" t="s">
        <v>1905</v>
      </c>
      <c r="M394" s="9">
        <v>0</v>
      </c>
      <c r="N394" s="9" t="s">
        <v>1905</v>
      </c>
      <c r="O394" s="9" t="s">
        <v>1898</v>
      </c>
      <c r="P394" s="16" t="s">
        <v>101</v>
      </c>
      <c r="Q394">
        <f t="shared" si="19"/>
        <v>0</v>
      </c>
      <c r="R394" t="b">
        <f t="shared" si="20"/>
        <v>0</v>
      </c>
    </row>
    <row r="395" spans="1:18" hidden="1" x14ac:dyDescent="0.35">
      <c r="A395" s="16" t="s">
        <v>101</v>
      </c>
      <c r="B395" s="9" t="s">
        <v>2719</v>
      </c>
      <c r="C395" s="9" t="s">
        <v>2719</v>
      </c>
      <c r="D395" s="9" t="e">
        <f>VLOOKUP(RBE!C395,Permis[[#This Row],[Parties]],1,0)</f>
        <v>#N/A</v>
      </c>
      <c r="E395" s="9" t="s">
        <v>2723</v>
      </c>
      <c r="F395" s="10" t="s">
        <v>2721</v>
      </c>
      <c r="G395" s="10" t="str">
        <f t="shared" si="18"/>
        <v>2024</v>
      </c>
      <c r="H395" s="10">
        <v>40</v>
      </c>
      <c r="I395" s="10">
        <v>40</v>
      </c>
      <c r="J395" s="9" t="s">
        <v>1912</v>
      </c>
      <c r="K395" s="9" t="s">
        <v>1912</v>
      </c>
      <c r="L395" s="9" t="s">
        <v>1905</v>
      </c>
      <c r="M395" s="9">
        <v>0</v>
      </c>
      <c r="N395" s="9" t="s">
        <v>1905</v>
      </c>
      <c r="O395" s="9" t="s">
        <v>1898</v>
      </c>
      <c r="P395" s="16" t="s">
        <v>101</v>
      </c>
      <c r="Q395">
        <f t="shared" si="19"/>
        <v>0</v>
      </c>
      <c r="R395" t="b">
        <f t="shared" si="20"/>
        <v>0</v>
      </c>
    </row>
    <row r="396" spans="1:18" hidden="1" x14ac:dyDescent="0.35">
      <c r="A396" s="16" t="s">
        <v>101</v>
      </c>
      <c r="B396" s="9" t="s">
        <v>2719</v>
      </c>
      <c r="C396" s="9" t="s">
        <v>2719</v>
      </c>
      <c r="D396" s="9" t="e">
        <f>VLOOKUP(RBE!C396,Permis[[#This Row],[Parties]],1,0)</f>
        <v>#N/A</v>
      </c>
      <c r="E396" s="9" t="s">
        <v>2724</v>
      </c>
      <c r="F396" s="10" t="s">
        <v>2725</v>
      </c>
      <c r="G396" s="10" t="str">
        <f t="shared" si="18"/>
        <v>2024</v>
      </c>
      <c r="H396" s="10">
        <v>100</v>
      </c>
      <c r="I396" s="10">
        <v>100</v>
      </c>
      <c r="J396" s="9" t="s">
        <v>1912</v>
      </c>
      <c r="K396" s="9" t="s">
        <v>1912</v>
      </c>
      <c r="L396" s="9" t="s">
        <v>1905</v>
      </c>
      <c r="M396" s="9">
        <v>0</v>
      </c>
      <c r="N396" s="9" t="s">
        <v>1905</v>
      </c>
      <c r="O396" s="9" t="s">
        <v>1898</v>
      </c>
      <c r="P396" s="16" t="s">
        <v>101</v>
      </c>
      <c r="Q396">
        <f t="shared" si="19"/>
        <v>0</v>
      </c>
      <c r="R396" t="b">
        <f t="shared" si="20"/>
        <v>0</v>
      </c>
    </row>
    <row r="397" spans="1:18" hidden="1" x14ac:dyDescent="0.35">
      <c r="A397" s="16" t="s">
        <v>101</v>
      </c>
      <c r="B397" s="9" t="s">
        <v>2719</v>
      </c>
      <c r="C397" s="9" t="s">
        <v>2719</v>
      </c>
      <c r="D397" s="9" t="e">
        <f>VLOOKUP(RBE!C397,Permis[[#This Row],[Parties]],1,0)</f>
        <v>#N/A</v>
      </c>
      <c r="E397" s="9" t="s">
        <v>2726</v>
      </c>
      <c r="F397" s="10" t="s">
        <v>2727</v>
      </c>
      <c r="G397" s="10" t="str">
        <f t="shared" si="18"/>
        <v>2024</v>
      </c>
      <c r="H397" s="10" t="s">
        <v>1905</v>
      </c>
      <c r="I397" s="10" t="s">
        <v>1905</v>
      </c>
      <c r="J397" s="9" t="s">
        <v>1912</v>
      </c>
      <c r="K397" s="9" t="s">
        <v>1912</v>
      </c>
      <c r="L397" s="9" t="s">
        <v>1905</v>
      </c>
      <c r="M397" s="9">
        <v>0</v>
      </c>
      <c r="N397" s="9" t="s">
        <v>1905</v>
      </c>
      <c r="O397" s="9" t="s">
        <v>1898</v>
      </c>
      <c r="P397" s="16" t="s">
        <v>101</v>
      </c>
      <c r="Q397">
        <f t="shared" si="19"/>
        <v>0</v>
      </c>
      <c r="R397" t="b">
        <f t="shared" si="20"/>
        <v>0</v>
      </c>
    </row>
    <row r="398" spans="1:18" hidden="1" x14ac:dyDescent="0.35">
      <c r="A398" s="16" t="s">
        <v>101</v>
      </c>
      <c r="B398" s="9" t="s">
        <v>2728</v>
      </c>
      <c r="C398" s="9" t="s">
        <v>2728</v>
      </c>
      <c r="D398" s="9" t="e">
        <f>VLOOKUP(RBE!C398,Permis[[#This Row],[Parties]],1,0)</f>
        <v>#N/A</v>
      </c>
      <c r="E398" s="9" t="s">
        <v>2729</v>
      </c>
      <c r="F398" s="10" t="s">
        <v>2730</v>
      </c>
      <c r="G398" s="10" t="str">
        <f t="shared" si="18"/>
        <v>2024</v>
      </c>
      <c r="H398" s="10">
        <v>5</v>
      </c>
      <c r="I398" s="10">
        <v>5</v>
      </c>
      <c r="J398" s="9" t="s">
        <v>1912</v>
      </c>
      <c r="K398" s="9" t="s">
        <v>1912</v>
      </c>
      <c r="L398" s="9" t="s">
        <v>1905</v>
      </c>
      <c r="M398" s="9">
        <v>0</v>
      </c>
      <c r="N398" s="9" t="s">
        <v>1905</v>
      </c>
      <c r="O398" s="9" t="s">
        <v>1898</v>
      </c>
      <c r="P398" s="16" t="s">
        <v>101</v>
      </c>
      <c r="Q398">
        <f t="shared" si="19"/>
        <v>0</v>
      </c>
      <c r="R398" t="b">
        <f t="shared" si="20"/>
        <v>0</v>
      </c>
    </row>
    <row r="399" spans="1:18" hidden="1" x14ac:dyDescent="0.35">
      <c r="A399" s="16" t="s">
        <v>101</v>
      </c>
      <c r="B399" s="9" t="s">
        <v>2728</v>
      </c>
      <c r="C399" s="9" t="s">
        <v>2728</v>
      </c>
      <c r="D399" s="9" t="e">
        <f>VLOOKUP(RBE!C399,Permis[[#This Row],[Parties]],1,0)</f>
        <v>#N/A</v>
      </c>
      <c r="E399" s="9" t="s">
        <v>2731</v>
      </c>
      <c r="F399" s="10" t="s">
        <v>2730</v>
      </c>
      <c r="G399" s="10" t="str">
        <f t="shared" si="18"/>
        <v>2024</v>
      </c>
      <c r="H399" s="10">
        <v>5</v>
      </c>
      <c r="I399" s="10">
        <v>5</v>
      </c>
      <c r="J399" s="9" t="s">
        <v>1912</v>
      </c>
      <c r="K399" s="9" t="s">
        <v>1912</v>
      </c>
      <c r="L399" s="9" t="s">
        <v>1905</v>
      </c>
      <c r="M399" s="9">
        <v>0</v>
      </c>
      <c r="N399" s="9" t="s">
        <v>1905</v>
      </c>
      <c r="O399" s="9" t="s">
        <v>1898</v>
      </c>
      <c r="P399" s="16" t="s">
        <v>101</v>
      </c>
      <c r="Q399">
        <f t="shared" si="19"/>
        <v>0</v>
      </c>
      <c r="R399" t="b">
        <f t="shared" si="20"/>
        <v>0</v>
      </c>
    </row>
    <row r="400" spans="1:18" hidden="1" x14ac:dyDescent="0.35">
      <c r="A400" s="16" t="s">
        <v>101</v>
      </c>
      <c r="B400" s="9" t="s">
        <v>2728</v>
      </c>
      <c r="C400" s="9" t="s">
        <v>2728</v>
      </c>
      <c r="D400" s="9" t="e">
        <f>VLOOKUP(RBE!C400,Permis[[#This Row],[Parties]],1,0)</f>
        <v>#N/A</v>
      </c>
      <c r="E400" s="9" t="s">
        <v>2731</v>
      </c>
      <c r="F400" s="10" t="s">
        <v>2730</v>
      </c>
      <c r="G400" s="10" t="str">
        <f t="shared" si="18"/>
        <v>2024</v>
      </c>
      <c r="H400" s="10">
        <v>90</v>
      </c>
      <c r="I400" s="10">
        <v>90</v>
      </c>
      <c r="J400" s="9" t="s">
        <v>1912</v>
      </c>
      <c r="K400" s="9" t="s">
        <v>1912</v>
      </c>
      <c r="L400" s="9" t="s">
        <v>1905</v>
      </c>
      <c r="M400" s="9">
        <v>0</v>
      </c>
      <c r="N400" s="9" t="s">
        <v>1905</v>
      </c>
      <c r="O400" s="9" t="s">
        <v>1898</v>
      </c>
      <c r="P400" s="16" t="s">
        <v>101</v>
      </c>
      <c r="Q400">
        <f t="shared" si="19"/>
        <v>0</v>
      </c>
      <c r="R400" t="b">
        <f t="shared" si="20"/>
        <v>0</v>
      </c>
    </row>
    <row r="401" spans="1:18" hidden="1" x14ac:dyDescent="0.35">
      <c r="A401" s="16" t="s">
        <v>101</v>
      </c>
      <c r="B401" s="9" t="s">
        <v>2728</v>
      </c>
      <c r="C401" s="9" t="s">
        <v>2728</v>
      </c>
      <c r="D401" s="9" t="e">
        <f>VLOOKUP(RBE!C401,Permis[[#This Row],[Parties]],1,0)</f>
        <v>#N/A</v>
      </c>
      <c r="E401" s="9" t="s">
        <v>2732</v>
      </c>
      <c r="F401" s="10" t="s">
        <v>2733</v>
      </c>
      <c r="G401" s="10" t="str">
        <f t="shared" si="18"/>
        <v>2025</v>
      </c>
      <c r="H401" s="10" t="s">
        <v>1905</v>
      </c>
      <c r="I401" s="10" t="s">
        <v>1905</v>
      </c>
      <c r="J401" s="9" t="s">
        <v>1912</v>
      </c>
      <c r="K401" s="9"/>
      <c r="L401" s="9">
        <v>0</v>
      </c>
      <c r="M401" s="9" t="s">
        <v>1905</v>
      </c>
      <c r="N401" s="9" t="s">
        <v>1905</v>
      </c>
      <c r="O401" s="9" t="s">
        <v>1898</v>
      </c>
      <c r="P401" s="16" t="s">
        <v>101</v>
      </c>
      <c r="Q401">
        <f t="shared" si="19"/>
        <v>1</v>
      </c>
      <c r="R401" t="b">
        <f t="shared" si="20"/>
        <v>1</v>
      </c>
    </row>
    <row r="402" spans="1:18" hidden="1" x14ac:dyDescent="0.35">
      <c r="A402" s="16" t="s">
        <v>101</v>
      </c>
      <c r="B402" s="9" t="s">
        <v>2734</v>
      </c>
      <c r="C402" s="9" t="s">
        <v>2734</v>
      </c>
      <c r="D402" s="9" t="e">
        <f>VLOOKUP(RBE!C402,Permis[[#This Row],[Parties]],1,0)</f>
        <v>#N/A</v>
      </c>
      <c r="E402" s="9" t="s">
        <v>2735</v>
      </c>
      <c r="F402" s="10" t="s">
        <v>2736</v>
      </c>
      <c r="G402" s="10" t="str">
        <f t="shared" si="18"/>
        <v>2025</v>
      </c>
      <c r="H402" s="10" t="s">
        <v>1905</v>
      </c>
      <c r="I402" s="10" t="s">
        <v>1905</v>
      </c>
      <c r="J402" s="9" t="s">
        <v>1912</v>
      </c>
      <c r="K402" s="9"/>
      <c r="L402" s="9">
        <v>0</v>
      </c>
      <c r="M402" s="9" t="s">
        <v>1905</v>
      </c>
      <c r="N402" s="9" t="s">
        <v>1905</v>
      </c>
      <c r="O402" s="9" t="s">
        <v>1898</v>
      </c>
      <c r="P402" s="16" t="s">
        <v>101</v>
      </c>
      <c r="Q402">
        <f t="shared" si="19"/>
        <v>1</v>
      </c>
      <c r="R402" t="b">
        <f t="shared" si="20"/>
        <v>1</v>
      </c>
    </row>
    <row r="403" spans="1:18" hidden="1" x14ac:dyDescent="0.35">
      <c r="A403" s="16" t="s">
        <v>101</v>
      </c>
      <c r="B403" s="9" t="s">
        <v>2737</v>
      </c>
      <c r="C403" s="9" t="s">
        <v>2737</v>
      </c>
      <c r="D403" s="9" t="e">
        <f>VLOOKUP(RBE!C403,Permis[[#This Row],[Parties]],1,0)</f>
        <v>#N/A</v>
      </c>
      <c r="E403" s="9" t="s">
        <v>2738</v>
      </c>
      <c r="F403" s="10" t="s">
        <v>2739</v>
      </c>
      <c r="G403" s="10" t="str">
        <f t="shared" si="18"/>
        <v>2025</v>
      </c>
      <c r="H403" s="10">
        <v>100</v>
      </c>
      <c r="I403" s="10" t="s">
        <v>1905</v>
      </c>
      <c r="J403" s="9" t="s">
        <v>1912</v>
      </c>
      <c r="K403" s="9"/>
      <c r="L403" s="9">
        <v>0</v>
      </c>
      <c r="M403" s="9" t="s">
        <v>1905</v>
      </c>
      <c r="N403" s="9" t="s">
        <v>1905</v>
      </c>
      <c r="O403" s="9" t="s">
        <v>1898</v>
      </c>
      <c r="P403" s="16" t="s">
        <v>101</v>
      </c>
      <c r="Q403">
        <f t="shared" si="19"/>
        <v>1</v>
      </c>
      <c r="R403" t="b">
        <f t="shared" si="20"/>
        <v>1</v>
      </c>
    </row>
    <row r="404" spans="1:18" hidden="1" x14ac:dyDescent="0.35">
      <c r="A404" s="16" t="s">
        <v>101</v>
      </c>
      <c r="B404" s="9" t="s">
        <v>2737</v>
      </c>
      <c r="C404" s="9" t="s">
        <v>2737</v>
      </c>
      <c r="D404" s="9" t="e">
        <f>VLOOKUP(RBE!C404,Permis[[#This Row],[Parties]],1,0)</f>
        <v>#N/A</v>
      </c>
      <c r="E404" s="9" t="s">
        <v>2740</v>
      </c>
      <c r="F404" s="10" t="s">
        <v>2741</v>
      </c>
      <c r="G404" s="10" t="str">
        <f t="shared" si="18"/>
        <v>2025</v>
      </c>
      <c r="H404" s="10">
        <v>100</v>
      </c>
      <c r="I404" s="10">
        <v>100</v>
      </c>
      <c r="J404" s="9" t="s">
        <v>1912</v>
      </c>
      <c r="K404" s="9"/>
      <c r="L404" s="9">
        <v>0</v>
      </c>
      <c r="M404" s="9" t="s">
        <v>1905</v>
      </c>
      <c r="N404" s="9" t="s">
        <v>1905</v>
      </c>
      <c r="O404" s="9" t="s">
        <v>1898</v>
      </c>
      <c r="P404" s="16" t="s">
        <v>101</v>
      </c>
      <c r="Q404">
        <f t="shared" si="19"/>
        <v>1</v>
      </c>
      <c r="R404" t="b">
        <f t="shared" si="20"/>
        <v>1</v>
      </c>
    </row>
    <row r="405" spans="1:18" hidden="1" x14ac:dyDescent="0.35">
      <c r="A405" s="16" t="s">
        <v>101</v>
      </c>
      <c r="B405" s="9" t="s">
        <v>2737</v>
      </c>
      <c r="C405" s="9" t="s">
        <v>2737</v>
      </c>
      <c r="D405" s="9" t="e">
        <f>VLOOKUP(RBE!C405,Permis[[#This Row],[Parties]],1,0)</f>
        <v>#N/A</v>
      </c>
      <c r="E405" s="9" t="s">
        <v>2742</v>
      </c>
      <c r="F405" s="10" t="s">
        <v>2743</v>
      </c>
      <c r="G405" s="10" t="str">
        <f t="shared" si="18"/>
        <v>2025</v>
      </c>
      <c r="H405" s="10">
        <v>100</v>
      </c>
      <c r="I405" s="10">
        <v>100</v>
      </c>
      <c r="J405" s="9" t="s">
        <v>1912</v>
      </c>
      <c r="K405" s="9"/>
      <c r="L405" s="9">
        <v>0</v>
      </c>
      <c r="M405" s="9" t="s">
        <v>1905</v>
      </c>
      <c r="N405" s="9" t="s">
        <v>1905</v>
      </c>
      <c r="O405" s="9" t="s">
        <v>1898</v>
      </c>
      <c r="P405" s="16" t="s">
        <v>101</v>
      </c>
      <c r="Q405">
        <f t="shared" si="19"/>
        <v>1</v>
      </c>
      <c r="R405" t="b">
        <f t="shared" si="20"/>
        <v>1</v>
      </c>
    </row>
    <row r="406" spans="1:18" hidden="1" x14ac:dyDescent="0.35">
      <c r="A406" s="16" t="s">
        <v>101</v>
      </c>
      <c r="B406" s="9" t="s">
        <v>2737</v>
      </c>
      <c r="C406" s="9" t="s">
        <v>2737</v>
      </c>
      <c r="D406" s="9" t="e">
        <f>VLOOKUP(RBE!C406,Permis[[#This Row],[Parties]],1,0)</f>
        <v>#N/A</v>
      </c>
      <c r="E406" s="9" t="s">
        <v>2744</v>
      </c>
      <c r="F406" s="10" t="s">
        <v>2745</v>
      </c>
      <c r="G406" s="10" t="str">
        <f t="shared" si="18"/>
        <v>2025</v>
      </c>
      <c r="H406" s="10">
        <v>25</v>
      </c>
      <c r="I406" s="10">
        <v>25</v>
      </c>
      <c r="J406" s="9" t="s">
        <v>1912</v>
      </c>
      <c r="K406" s="9"/>
      <c r="L406" s="9">
        <v>0</v>
      </c>
      <c r="M406" s="9" t="s">
        <v>1905</v>
      </c>
      <c r="N406" s="9" t="s">
        <v>1905</v>
      </c>
      <c r="O406" s="9" t="s">
        <v>1898</v>
      </c>
      <c r="P406" s="16" t="s">
        <v>101</v>
      </c>
      <c r="Q406">
        <f t="shared" si="19"/>
        <v>1</v>
      </c>
      <c r="R406" t="b">
        <f t="shared" si="20"/>
        <v>1</v>
      </c>
    </row>
    <row r="407" spans="1:18" hidden="1" x14ac:dyDescent="0.35">
      <c r="A407" s="16" t="s">
        <v>101</v>
      </c>
      <c r="B407" s="9" t="s">
        <v>2746</v>
      </c>
      <c r="C407" s="9" t="s">
        <v>2746</v>
      </c>
      <c r="D407" s="9" t="e">
        <f>VLOOKUP(RBE!C407,Permis[[#This Row],[Parties]],1,0)</f>
        <v>#N/A</v>
      </c>
      <c r="E407" s="9" t="s">
        <v>2747</v>
      </c>
      <c r="F407" s="10" t="s">
        <v>2745</v>
      </c>
      <c r="G407" s="10" t="str">
        <f t="shared" si="18"/>
        <v>2025</v>
      </c>
      <c r="H407" s="10">
        <v>50</v>
      </c>
      <c r="I407" s="10">
        <v>50</v>
      </c>
      <c r="J407" s="9" t="s">
        <v>1912</v>
      </c>
      <c r="K407" s="9"/>
      <c r="L407" s="9">
        <v>0</v>
      </c>
      <c r="M407" s="9" t="s">
        <v>1905</v>
      </c>
      <c r="N407" s="9" t="s">
        <v>1905</v>
      </c>
      <c r="O407" s="9" t="s">
        <v>1898</v>
      </c>
      <c r="P407" s="16" t="s">
        <v>101</v>
      </c>
      <c r="Q407">
        <f t="shared" si="19"/>
        <v>1</v>
      </c>
      <c r="R407" t="b">
        <f t="shared" si="20"/>
        <v>1</v>
      </c>
    </row>
    <row r="408" spans="1:18" hidden="1" x14ac:dyDescent="0.35">
      <c r="A408" s="16" t="s">
        <v>101</v>
      </c>
      <c r="B408" s="9" t="s">
        <v>2748</v>
      </c>
      <c r="C408" s="9" t="s">
        <v>2748</v>
      </c>
      <c r="D408" s="9" t="e">
        <f>VLOOKUP(RBE!C408,Permis[[#This Row],[Parties]],1,0)</f>
        <v>#N/A</v>
      </c>
      <c r="E408" s="9" t="s">
        <v>2749</v>
      </c>
      <c r="F408" s="10" t="s">
        <v>2745</v>
      </c>
      <c r="G408" s="10" t="str">
        <f t="shared" si="18"/>
        <v>2025</v>
      </c>
      <c r="H408" s="10">
        <v>25</v>
      </c>
      <c r="I408" s="10">
        <v>25</v>
      </c>
      <c r="J408" s="9" t="s">
        <v>1912</v>
      </c>
      <c r="K408" s="9"/>
      <c r="L408" s="9">
        <v>0</v>
      </c>
      <c r="M408" s="9" t="s">
        <v>1905</v>
      </c>
      <c r="N408" s="9" t="s">
        <v>1905</v>
      </c>
      <c r="O408" s="9" t="s">
        <v>1898</v>
      </c>
      <c r="P408" s="16" t="s">
        <v>101</v>
      </c>
      <c r="Q408">
        <f t="shared" si="19"/>
        <v>1</v>
      </c>
      <c r="R408" t="b">
        <f t="shared" si="20"/>
        <v>1</v>
      </c>
    </row>
    <row r="409" spans="1:18" hidden="1" x14ac:dyDescent="0.35">
      <c r="A409" s="16" t="s">
        <v>101</v>
      </c>
      <c r="B409" s="9" t="s">
        <v>2750</v>
      </c>
      <c r="C409" s="9" t="s">
        <v>2750</v>
      </c>
      <c r="D409" s="9" t="e">
        <f>VLOOKUP(RBE!C409,Permis[[#This Row],[Parties]],1,0)</f>
        <v>#N/A</v>
      </c>
      <c r="E409" s="9" t="s">
        <v>2751</v>
      </c>
      <c r="F409" s="10" t="s">
        <v>2752</v>
      </c>
      <c r="G409" s="10" t="str">
        <f t="shared" si="18"/>
        <v>2025</v>
      </c>
      <c r="H409" s="10">
        <v>100</v>
      </c>
      <c r="I409" s="10">
        <v>100</v>
      </c>
      <c r="J409" s="9" t="s">
        <v>1912</v>
      </c>
      <c r="K409" s="9"/>
      <c r="L409" s="9">
        <v>0</v>
      </c>
      <c r="M409" s="9" t="s">
        <v>1905</v>
      </c>
      <c r="N409" s="9" t="s">
        <v>1905</v>
      </c>
      <c r="O409" s="9" t="s">
        <v>1898</v>
      </c>
      <c r="P409" s="16" t="s">
        <v>101</v>
      </c>
      <c r="Q409">
        <f t="shared" si="19"/>
        <v>1</v>
      </c>
      <c r="R409" t="b">
        <f t="shared" si="20"/>
        <v>1</v>
      </c>
    </row>
    <row r="410" spans="1:18" hidden="1" x14ac:dyDescent="0.35">
      <c r="A410" s="16" t="s">
        <v>101</v>
      </c>
      <c r="B410" s="9" t="s">
        <v>2753</v>
      </c>
      <c r="C410" s="9" t="s">
        <v>2753</v>
      </c>
      <c r="D410" s="9" t="e">
        <f>VLOOKUP(RBE!C410,Permis[[#This Row],[Parties]],1,0)</f>
        <v>#N/A</v>
      </c>
      <c r="E410" s="9" t="s">
        <v>2754</v>
      </c>
      <c r="F410" s="10" t="s">
        <v>2755</v>
      </c>
      <c r="G410" s="10" t="str">
        <f t="shared" si="18"/>
        <v>2025</v>
      </c>
      <c r="H410" s="10" t="s">
        <v>1905</v>
      </c>
      <c r="I410" s="10" t="s">
        <v>1905</v>
      </c>
      <c r="J410" s="9" t="s">
        <v>1912</v>
      </c>
      <c r="K410" s="9"/>
      <c r="L410" s="9">
        <v>0</v>
      </c>
      <c r="M410" s="9" t="s">
        <v>1905</v>
      </c>
      <c r="N410" s="9" t="s">
        <v>1905</v>
      </c>
      <c r="O410" s="9" t="s">
        <v>1898</v>
      </c>
      <c r="P410" s="16" t="s">
        <v>101</v>
      </c>
      <c r="Q410">
        <f t="shared" si="19"/>
        <v>1</v>
      </c>
      <c r="R410" t="b">
        <f t="shared" si="20"/>
        <v>1</v>
      </c>
    </row>
    <row r="411" spans="1:18" hidden="1" x14ac:dyDescent="0.35">
      <c r="A411" s="16" t="s">
        <v>101</v>
      </c>
      <c r="B411" s="9" t="s">
        <v>1940</v>
      </c>
      <c r="C411" s="9" t="s">
        <v>3135</v>
      </c>
      <c r="D411" s="9" t="e">
        <f>VLOOKUP(RBE!C411,Permis[[#This Row],[Parties]],1,0)</f>
        <v>#N/A</v>
      </c>
      <c r="E411" s="9" t="s">
        <v>1941</v>
      </c>
      <c r="F411" s="10" t="s">
        <v>1936</v>
      </c>
      <c r="G411" s="10" t="str">
        <f t="shared" si="18"/>
        <v>2021</v>
      </c>
      <c r="H411" s="10">
        <v>60</v>
      </c>
      <c r="I411" s="10">
        <v>60</v>
      </c>
      <c r="J411" s="9" t="s">
        <v>1912</v>
      </c>
      <c r="K411" s="9" t="s">
        <v>1912</v>
      </c>
      <c r="L411" s="9" t="s">
        <v>1905</v>
      </c>
      <c r="M411" s="9">
        <v>0</v>
      </c>
      <c r="N411" s="9" t="s">
        <v>1905</v>
      </c>
      <c r="O411" s="9" t="s">
        <v>1898</v>
      </c>
      <c r="P411" s="16" t="s">
        <v>101</v>
      </c>
      <c r="Q411">
        <f t="shared" si="19"/>
        <v>0</v>
      </c>
      <c r="R411" t="b">
        <f t="shared" si="20"/>
        <v>0</v>
      </c>
    </row>
    <row r="412" spans="1:18" hidden="1" x14ac:dyDescent="0.35">
      <c r="A412" s="16" t="s">
        <v>101</v>
      </c>
      <c r="B412" s="9" t="s">
        <v>1940</v>
      </c>
      <c r="C412" s="9" t="s">
        <v>3135</v>
      </c>
      <c r="D412" s="9" t="e">
        <f>VLOOKUP(RBE!C412,Permis[[#This Row],[Parties]],1,0)</f>
        <v>#N/A</v>
      </c>
      <c r="E412" s="9" t="s">
        <v>1942</v>
      </c>
      <c r="F412" s="10" t="s">
        <v>1936</v>
      </c>
      <c r="G412" s="10" t="str">
        <f t="shared" si="18"/>
        <v>2021</v>
      </c>
      <c r="H412" s="10" t="s">
        <v>1905</v>
      </c>
      <c r="I412" s="10" t="s">
        <v>1905</v>
      </c>
      <c r="J412" s="9" t="s">
        <v>1926</v>
      </c>
      <c r="K412" s="9" t="s">
        <v>1926</v>
      </c>
      <c r="L412" s="9" t="s">
        <v>1905</v>
      </c>
      <c r="M412" s="9">
        <v>0</v>
      </c>
      <c r="N412" s="9" t="s">
        <v>1905</v>
      </c>
      <c r="O412" s="9" t="s">
        <v>1898</v>
      </c>
      <c r="P412" s="16" t="s">
        <v>101</v>
      </c>
      <c r="Q412">
        <f t="shared" si="19"/>
        <v>0</v>
      </c>
      <c r="R412" t="b">
        <f t="shared" si="20"/>
        <v>0</v>
      </c>
    </row>
    <row r="413" spans="1:18" hidden="1" x14ac:dyDescent="0.35">
      <c r="A413" s="16" t="s">
        <v>101</v>
      </c>
      <c r="B413" s="9" t="s">
        <v>2756</v>
      </c>
      <c r="C413" s="9" t="s">
        <v>2756</v>
      </c>
      <c r="D413" s="9" t="e">
        <f>VLOOKUP(RBE!C413,Permis[[#This Row],[Parties]],1,0)</f>
        <v>#N/A</v>
      </c>
      <c r="E413" s="9" t="s">
        <v>2757</v>
      </c>
      <c r="F413" s="10" t="s">
        <v>2758</v>
      </c>
      <c r="G413" s="10" t="str">
        <f t="shared" si="18"/>
        <v>2025</v>
      </c>
      <c r="H413" s="10">
        <v>34</v>
      </c>
      <c r="I413" s="10">
        <v>34</v>
      </c>
      <c r="J413" s="9" t="s">
        <v>1912</v>
      </c>
      <c r="K413" s="9"/>
      <c r="L413" s="9">
        <v>0</v>
      </c>
      <c r="M413" s="9" t="s">
        <v>1905</v>
      </c>
      <c r="N413" s="9" t="s">
        <v>1905</v>
      </c>
      <c r="O413" s="9" t="s">
        <v>1898</v>
      </c>
      <c r="P413" s="16" t="s">
        <v>101</v>
      </c>
      <c r="Q413">
        <f t="shared" si="19"/>
        <v>1</v>
      </c>
      <c r="R413" t="b">
        <f t="shared" si="20"/>
        <v>1</v>
      </c>
    </row>
    <row r="414" spans="1:18" hidden="1" x14ac:dyDescent="0.35">
      <c r="A414" s="16" t="s">
        <v>101</v>
      </c>
      <c r="B414" s="9" t="s">
        <v>2756</v>
      </c>
      <c r="C414" s="9" t="s">
        <v>2756</v>
      </c>
      <c r="D414" s="9" t="e">
        <f>VLOOKUP(RBE!C414,Permis[[#This Row],[Parties]],1,0)</f>
        <v>#N/A</v>
      </c>
      <c r="E414" s="9" t="s">
        <v>2759</v>
      </c>
      <c r="F414" s="10" t="s">
        <v>2758</v>
      </c>
      <c r="G414" s="10" t="str">
        <f t="shared" si="18"/>
        <v>2025</v>
      </c>
      <c r="H414" s="10" t="s">
        <v>1905</v>
      </c>
      <c r="I414" s="10" t="s">
        <v>1905</v>
      </c>
      <c r="J414" s="9" t="s">
        <v>1912</v>
      </c>
      <c r="K414" s="9"/>
      <c r="L414" s="9">
        <v>0</v>
      </c>
      <c r="M414" s="9" t="s">
        <v>1905</v>
      </c>
      <c r="N414" s="9" t="s">
        <v>1905</v>
      </c>
      <c r="O414" s="9" t="s">
        <v>1898</v>
      </c>
      <c r="P414" s="16" t="s">
        <v>101</v>
      </c>
      <c r="Q414">
        <f t="shared" si="19"/>
        <v>1</v>
      </c>
      <c r="R414" t="b">
        <f t="shared" si="20"/>
        <v>1</v>
      </c>
    </row>
    <row r="415" spans="1:18" hidden="1" x14ac:dyDescent="0.35">
      <c r="A415" s="16" t="s">
        <v>101</v>
      </c>
      <c r="B415" s="9" t="s">
        <v>2756</v>
      </c>
      <c r="C415" s="9" t="s">
        <v>2756</v>
      </c>
      <c r="D415" s="9" t="e">
        <f>VLOOKUP(RBE!C415,Permis[[#This Row],[Parties]],1,0)</f>
        <v>#N/A</v>
      </c>
      <c r="E415" s="9" t="s">
        <v>2760</v>
      </c>
      <c r="F415" s="10" t="s">
        <v>2758</v>
      </c>
      <c r="G415" s="10" t="str">
        <f t="shared" si="18"/>
        <v>2025</v>
      </c>
      <c r="H415" s="10" t="s">
        <v>1905</v>
      </c>
      <c r="I415" s="10" t="s">
        <v>1905</v>
      </c>
      <c r="J415" s="9" t="s">
        <v>1912</v>
      </c>
      <c r="K415" s="9"/>
      <c r="L415" s="9">
        <v>0</v>
      </c>
      <c r="M415" s="9" t="s">
        <v>1905</v>
      </c>
      <c r="N415" s="9" t="s">
        <v>1905</v>
      </c>
      <c r="O415" s="9" t="s">
        <v>1898</v>
      </c>
      <c r="P415" s="16" t="s">
        <v>101</v>
      </c>
      <c r="Q415">
        <f t="shared" si="19"/>
        <v>1</v>
      </c>
      <c r="R415" t="b">
        <f t="shared" si="20"/>
        <v>1</v>
      </c>
    </row>
    <row r="416" spans="1:18" hidden="1" x14ac:dyDescent="0.35">
      <c r="A416" s="16" t="s">
        <v>101</v>
      </c>
      <c r="B416" s="9" t="s">
        <v>2761</v>
      </c>
      <c r="C416" s="9" t="s">
        <v>2761</v>
      </c>
      <c r="D416" s="9" t="e">
        <f>VLOOKUP(RBE!C416,Permis[[#This Row],[Parties]],1,0)</f>
        <v>#N/A</v>
      </c>
      <c r="E416" s="9" t="s">
        <v>2762</v>
      </c>
      <c r="F416" s="10" t="s">
        <v>2758</v>
      </c>
      <c r="G416" s="10" t="str">
        <f t="shared" si="18"/>
        <v>2025</v>
      </c>
      <c r="H416" s="10">
        <v>10</v>
      </c>
      <c r="I416" s="10">
        <v>10</v>
      </c>
      <c r="J416" s="9" t="s">
        <v>1912</v>
      </c>
      <c r="K416" s="9"/>
      <c r="L416" s="9">
        <v>0</v>
      </c>
      <c r="M416" s="9" t="s">
        <v>1905</v>
      </c>
      <c r="N416" s="9" t="s">
        <v>1905</v>
      </c>
      <c r="O416" s="9" t="s">
        <v>1898</v>
      </c>
      <c r="P416" s="16" t="s">
        <v>101</v>
      </c>
      <c r="Q416">
        <f t="shared" si="19"/>
        <v>1</v>
      </c>
      <c r="R416" t="b">
        <f t="shared" si="20"/>
        <v>1</v>
      </c>
    </row>
    <row r="417" spans="1:18" hidden="1" x14ac:dyDescent="0.35">
      <c r="A417" s="16" t="s">
        <v>101</v>
      </c>
      <c r="B417" s="9" t="s">
        <v>2761</v>
      </c>
      <c r="C417" s="9" t="s">
        <v>2761</v>
      </c>
      <c r="D417" s="9" t="e">
        <f>VLOOKUP(RBE!C417,Permis[[#This Row],[Parties]],1,0)</f>
        <v>#N/A</v>
      </c>
      <c r="E417" s="9" t="s">
        <v>2763</v>
      </c>
      <c r="F417" s="10" t="s">
        <v>2764</v>
      </c>
      <c r="G417" s="10" t="str">
        <f t="shared" si="18"/>
        <v>2025</v>
      </c>
      <c r="H417" s="10">
        <v>100</v>
      </c>
      <c r="I417" s="10">
        <v>100</v>
      </c>
      <c r="J417" s="9" t="s">
        <v>1912</v>
      </c>
      <c r="K417" s="9"/>
      <c r="L417" s="9">
        <v>0</v>
      </c>
      <c r="M417" s="9" t="s">
        <v>1905</v>
      </c>
      <c r="N417" s="9" t="s">
        <v>1905</v>
      </c>
      <c r="O417" s="9" t="s">
        <v>1898</v>
      </c>
      <c r="P417" s="16" t="s">
        <v>101</v>
      </c>
      <c r="Q417">
        <f t="shared" si="19"/>
        <v>1</v>
      </c>
      <c r="R417" t="b">
        <f t="shared" si="20"/>
        <v>1</v>
      </c>
    </row>
    <row r="418" spans="1:18" hidden="1" x14ac:dyDescent="0.35">
      <c r="A418" s="16" t="s">
        <v>101</v>
      </c>
      <c r="B418" s="9" t="s">
        <v>2761</v>
      </c>
      <c r="C418" s="9" t="s">
        <v>2761</v>
      </c>
      <c r="D418" s="9" t="e">
        <f>VLOOKUP(RBE!C418,Permis[[#This Row],[Parties]],1,0)</f>
        <v>#N/A</v>
      </c>
      <c r="E418" s="9" t="s">
        <v>2765</v>
      </c>
      <c r="F418" s="10" t="s">
        <v>2766</v>
      </c>
      <c r="G418" s="10" t="str">
        <f t="shared" si="18"/>
        <v>2025</v>
      </c>
      <c r="H418" s="10">
        <v>100</v>
      </c>
      <c r="I418" s="10">
        <v>100</v>
      </c>
      <c r="J418" s="9" t="s">
        <v>1912</v>
      </c>
      <c r="K418" s="9"/>
      <c r="L418" s="9">
        <v>0</v>
      </c>
      <c r="M418" s="9" t="s">
        <v>1905</v>
      </c>
      <c r="N418" s="9" t="s">
        <v>1905</v>
      </c>
      <c r="O418" s="9" t="s">
        <v>1898</v>
      </c>
      <c r="P418" s="16" t="s">
        <v>101</v>
      </c>
      <c r="Q418">
        <f t="shared" si="19"/>
        <v>1</v>
      </c>
      <c r="R418" t="b">
        <f t="shared" si="20"/>
        <v>1</v>
      </c>
    </row>
    <row r="419" spans="1:18" hidden="1" x14ac:dyDescent="0.35">
      <c r="A419" s="16" t="s">
        <v>101</v>
      </c>
      <c r="B419" s="9" t="s">
        <v>2761</v>
      </c>
      <c r="C419" s="9" t="s">
        <v>2761</v>
      </c>
      <c r="D419" s="9" t="e">
        <f>VLOOKUP(RBE!C419,Permis[[#This Row],[Parties]],1,0)</f>
        <v>#N/A</v>
      </c>
      <c r="E419" s="9" t="s">
        <v>2767</v>
      </c>
      <c r="F419" s="10" t="s">
        <v>2768</v>
      </c>
      <c r="G419" s="10" t="str">
        <f t="shared" si="18"/>
        <v>2025</v>
      </c>
      <c r="H419" s="10">
        <v>25</v>
      </c>
      <c r="I419" s="10">
        <v>25</v>
      </c>
      <c r="J419" s="9" t="s">
        <v>1912</v>
      </c>
      <c r="K419" s="9"/>
      <c r="L419" s="9">
        <v>0</v>
      </c>
      <c r="M419" s="9" t="s">
        <v>1905</v>
      </c>
      <c r="N419" s="9" t="s">
        <v>1905</v>
      </c>
      <c r="O419" s="9" t="s">
        <v>1898</v>
      </c>
      <c r="P419" s="16" t="s">
        <v>101</v>
      </c>
      <c r="Q419">
        <f t="shared" si="19"/>
        <v>1</v>
      </c>
      <c r="R419" t="b">
        <f t="shared" si="20"/>
        <v>1</v>
      </c>
    </row>
    <row r="420" spans="1:18" hidden="1" x14ac:dyDescent="0.35">
      <c r="A420" s="16" t="s">
        <v>101</v>
      </c>
      <c r="B420" s="9" t="s">
        <v>2769</v>
      </c>
      <c r="C420" s="9" t="s">
        <v>2769</v>
      </c>
      <c r="D420" s="9" t="e">
        <f>VLOOKUP(RBE!C420,Permis[[#This Row],[Parties]],1,0)</f>
        <v>#N/A</v>
      </c>
      <c r="E420" s="9" t="s">
        <v>2770</v>
      </c>
      <c r="F420" s="10" t="s">
        <v>2768</v>
      </c>
      <c r="G420" s="10" t="str">
        <f t="shared" si="18"/>
        <v>2025</v>
      </c>
      <c r="H420" s="10">
        <v>25</v>
      </c>
      <c r="I420" s="10">
        <v>25</v>
      </c>
      <c r="J420" s="9" t="s">
        <v>1912</v>
      </c>
      <c r="K420" s="9"/>
      <c r="L420" s="9">
        <v>0</v>
      </c>
      <c r="M420" s="9" t="s">
        <v>1905</v>
      </c>
      <c r="N420" s="9" t="s">
        <v>1905</v>
      </c>
      <c r="O420" s="9" t="s">
        <v>1898</v>
      </c>
      <c r="P420" s="16" t="s">
        <v>101</v>
      </c>
      <c r="Q420">
        <f t="shared" si="19"/>
        <v>1</v>
      </c>
      <c r="R420" t="b">
        <f t="shared" si="20"/>
        <v>1</v>
      </c>
    </row>
    <row r="421" spans="1:18" hidden="1" x14ac:dyDescent="0.35">
      <c r="A421" s="16" t="s">
        <v>101</v>
      </c>
      <c r="B421" s="9" t="s">
        <v>2771</v>
      </c>
      <c r="C421" s="9" t="s">
        <v>2771</v>
      </c>
      <c r="D421" s="9" t="e">
        <f>VLOOKUP(RBE!C421,Permis[[#This Row],[Parties]],1,0)</f>
        <v>#N/A</v>
      </c>
      <c r="E421" s="9" t="s">
        <v>2770</v>
      </c>
      <c r="F421" s="10" t="s">
        <v>2768</v>
      </c>
      <c r="G421" s="10" t="str">
        <f t="shared" si="18"/>
        <v>2025</v>
      </c>
      <c r="H421" s="10">
        <v>50</v>
      </c>
      <c r="I421" s="10">
        <v>50</v>
      </c>
      <c r="J421" s="9" t="s">
        <v>1912</v>
      </c>
      <c r="K421" s="9"/>
      <c r="L421" s="9">
        <v>0</v>
      </c>
      <c r="M421" s="9" t="s">
        <v>1905</v>
      </c>
      <c r="N421" s="9" t="s">
        <v>1905</v>
      </c>
      <c r="O421" s="9" t="s">
        <v>1898</v>
      </c>
      <c r="P421" s="16" t="s">
        <v>101</v>
      </c>
      <c r="Q421">
        <f t="shared" si="19"/>
        <v>1</v>
      </c>
      <c r="R421" t="b">
        <f t="shared" si="20"/>
        <v>1</v>
      </c>
    </row>
    <row r="422" spans="1:18" hidden="1" x14ac:dyDescent="0.35">
      <c r="A422" s="16" t="s">
        <v>101</v>
      </c>
      <c r="B422" s="9" t="s">
        <v>2771</v>
      </c>
      <c r="C422" s="9" t="s">
        <v>2771</v>
      </c>
      <c r="D422" s="9" t="e">
        <f>VLOOKUP(RBE!C422,Permis[[#This Row],[Parties]],1,0)</f>
        <v>#N/A</v>
      </c>
      <c r="E422" s="9" t="s">
        <v>2772</v>
      </c>
      <c r="F422" s="10" t="s">
        <v>2773</v>
      </c>
      <c r="G422" s="10" t="str">
        <f t="shared" si="18"/>
        <v>2025</v>
      </c>
      <c r="H422" s="10" t="s">
        <v>2774</v>
      </c>
      <c r="I422" s="10" t="s">
        <v>2774</v>
      </c>
      <c r="J422" s="9" t="s">
        <v>1912</v>
      </c>
      <c r="K422" s="9"/>
      <c r="L422" s="9">
        <v>0</v>
      </c>
      <c r="M422" s="9" t="s">
        <v>1905</v>
      </c>
      <c r="N422" s="9" t="s">
        <v>1905</v>
      </c>
      <c r="O422" s="9" t="s">
        <v>1898</v>
      </c>
      <c r="P422" s="16" t="s">
        <v>101</v>
      </c>
      <c r="Q422">
        <f t="shared" si="19"/>
        <v>1</v>
      </c>
      <c r="R422" t="b">
        <f t="shared" si="20"/>
        <v>1</v>
      </c>
    </row>
    <row r="423" spans="1:18" hidden="1" x14ac:dyDescent="0.35">
      <c r="A423" s="16" t="s">
        <v>101</v>
      </c>
      <c r="B423" s="9" t="s">
        <v>2771</v>
      </c>
      <c r="C423" s="9" t="s">
        <v>2771</v>
      </c>
      <c r="D423" s="9" t="e">
        <f>VLOOKUP(RBE!C423,Permis[[#This Row],[Parties]],1,0)</f>
        <v>#N/A</v>
      </c>
      <c r="E423" s="9" t="s">
        <v>2775</v>
      </c>
      <c r="F423" s="10" t="s">
        <v>2773</v>
      </c>
      <c r="G423" s="10" t="str">
        <f t="shared" si="18"/>
        <v>2025</v>
      </c>
      <c r="H423" s="10" t="s">
        <v>2776</v>
      </c>
      <c r="I423" s="10" t="s">
        <v>2776</v>
      </c>
      <c r="J423" s="9" t="s">
        <v>1912</v>
      </c>
      <c r="K423" s="9"/>
      <c r="L423" s="9">
        <v>0</v>
      </c>
      <c r="M423" s="9" t="s">
        <v>1905</v>
      </c>
      <c r="N423" s="9" t="s">
        <v>1905</v>
      </c>
      <c r="O423" s="9" t="s">
        <v>1898</v>
      </c>
      <c r="P423" s="16" t="s">
        <v>101</v>
      </c>
      <c r="Q423">
        <f t="shared" si="19"/>
        <v>1</v>
      </c>
      <c r="R423" t="b">
        <f t="shared" si="20"/>
        <v>1</v>
      </c>
    </row>
    <row r="424" spans="1:18" hidden="1" x14ac:dyDescent="0.35">
      <c r="A424" s="16" t="s">
        <v>101</v>
      </c>
      <c r="B424" s="9" t="s">
        <v>2777</v>
      </c>
      <c r="C424" s="9" t="s">
        <v>2777</v>
      </c>
      <c r="D424" s="9" t="e">
        <f>VLOOKUP(RBE!C424,Permis[[#This Row],[Parties]],1,0)</f>
        <v>#N/A</v>
      </c>
      <c r="E424" s="9" t="s">
        <v>2775</v>
      </c>
      <c r="F424" s="10" t="s">
        <v>2773</v>
      </c>
      <c r="G424" s="10" t="str">
        <f t="shared" si="18"/>
        <v>2025</v>
      </c>
      <c r="H424" s="10" t="s">
        <v>2778</v>
      </c>
      <c r="I424" s="10" t="s">
        <v>2778</v>
      </c>
      <c r="J424" s="9" t="s">
        <v>2219</v>
      </c>
      <c r="K424" s="9"/>
      <c r="L424" s="9">
        <v>0</v>
      </c>
      <c r="M424" s="9" t="s">
        <v>1905</v>
      </c>
      <c r="N424" s="9" t="s">
        <v>1905</v>
      </c>
      <c r="O424" s="9" t="s">
        <v>1898</v>
      </c>
      <c r="P424" s="16" t="s">
        <v>101</v>
      </c>
      <c r="Q424">
        <f t="shared" si="19"/>
        <v>1</v>
      </c>
      <c r="R424" t="b">
        <f t="shared" si="20"/>
        <v>1</v>
      </c>
    </row>
    <row r="425" spans="1:18" hidden="1" x14ac:dyDescent="0.35">
      <c r="A425" s="16" t="s">
        <v>101</v>
      </c>
      <c r="B425" s="9" t="s">
        <v>1984</v>
      </c>
      <c r="C425" s="9" t="s">
        <v>3157</v>
      </c>
      <c r="D425" s="9" t="e">
        <f>VLOOKUP(RBE!C425,Permis[[#This Row],[Parties]],1,0)</f>
        <v>#N/A</v>
      </c>
      <c r="E425" s="9" t="s">
        <v>1985</v>
      </c>
      <c r="F425" s="10" t="s">
        <v>1953</v>
      </c>
      <c r="G425" s="10" t="str">
        <f t="shared" si="18"/>
        <v>2021</v>
      </c>
      <c r="H425" s="10">
        <v>30</v>
      </c>
      <c r="I425" s="10" t="s">
        <v>1905</v>
      </c>
      <c r="J425" s="9" t="s">
        <v>1912</v>
      </c>
      <c r="K425" s="9" t="s">
        <v>1912</v>
      </c>
      <c r="L425" s="9" t="s">
        <v>1905</v>
      </c>
      <c r="M425" s="9">
        <v>0</v>
      </c>
      <c r="N425" s="9" t="s">
        <v>1905</v>
      </c>
      <c r="O425" s="9" t="s">
        <v>1898</v>
      </c>
      <c r="P425" s="16" t="s">
        <v>101</v>
      </c>
      <c r="Q425">
        <f t="shared" si="19"/>
        <v>0</v>
      </c>
      <c r="R425" t="b">
        <f t="shared" si="20"/>
        <v>0</v>
      </c>
    </row>
    <row r="426" spans="1:18" hidden="1" x14ac:dyDescent="0.35">
      <c r="A426" s="16" t="s">
        <v>101</v>
      </c>
      <c r="B426" s="9" t="s">
        <v>2779</v>
      </c>
      <c r="C426" s="9" t="s">
        <v>2779</v>
      </c>
      <c r="D426" s="9" t="e">
        <f>VLOOKUP(RBE!C426,Permis[[#This Row],[Parties]],1,0)</f>
        <v>#N/A</v>
      </c>
      <c r="E426" s="9" t="s">
        <v>2780</v>
      </c>
      <c r="F426" s="10" t="s">
        <v>2781</v>
      </c>
      <c r="G426" s="10" t="str">
        <f t="shared" si="18"/>
        <v>2025</v>
      </c>
      <c r="H426" s="10">
        <v>75</v>
      </c>
      <c r="I426" s="10">
        <v>75</v>
      </c>
      <c r="J426" s="9" t="s">
        <v>1912</v>
      </c>
      <c r="K426" s="9"/>
      <c r="L426" s="9">
        <v>0</v>
      </c>
      <c r="M426" s="9" t="s">
        <v>1905</v>
      </c>
      <c r="N426" s="9" t="s">
        <v>1905</v>
      </c>
      <c r="O426" s="9" t="s">
        <v>1898</v>
      </c>
      <c r="P426" s="16" t="s">
        <v>101</v>
      </c>
      <c r="Q426">
        <f t="shared" si="19"/>
        <v>1</v>
      </c>
      <c r="R426" t="b">
        <f t="shared" si="20"/>
        <v>1</v>
      </c>
    </row>
    <row r="427" spans="1:18" hidden="1" x14ac:dyDescent="0.35">
      <c r="A427" s="16" t="s">
        <v>101</v>
      </c>
      <c r="B427" s="9" t="s">
        <v>2779</v>
      </c>
      <c r="C427" s="9" t="s">
        <v>2779</v>
      </c>
      <c r="D427" s="9" t="e">
        <f>VLOOKUP(RBE!C427,Permis[[#This Row],[Parties]],1,0)</f>
        <v>#N/A</v>
      </c>
      <c r="E427" s="9" t="s">
        <v>2782</v>
      </c>
      <c r="F427" s="10" t="s">
        <v>2781</v>
      </c>
      <c r="G427" s="10" t="str">
        <f t="shared" si="18"/>
        <v>2025</v>
      </c>
      <c r="H427" s="10">
        <v>25</v>
      </c>
      <c r="I427" s="10">
        <v>25</v>
      </c>
      <c r="J427" s="9" t="s">
        <v>1912</v>
      </c>
      <c r="K427" s="9"/>
      <c r="L427" s="9">
        <v>0</v>
      </c>
      <c r="M427" s="9" t="s">
        <v>1905</v>
      </c>
      <c r="N427" s="9" t="s">
        <v>1905</v>
      </c>
      <c r="O427" s="9" t="s">
        <v>1898</v>
      </c>
      <c r="P427" s="16" t="s">
        <v>101</v>
      </c>
      <c r="Q427">
        <f t="shared" si="19"/>
        <v>1</v>
      </c>
      <c r="R427" t="b">
        <f t="shared" si="20"/>
        <v>1</v>
      </c>
    </row>
    <row r="428" spans="1:18" hidden="1" x14ac:dyDescent="0.35">
      <c r="A428" s="16" t="s">
        <v>101</v>
      </c>
      <c r="B428" s="9" t="s">
        <v>2779</v>
      </c>
      <c r="C428" s="9" t="s">
        <v>2779</v>
      </c>
      <c r="D428" s="9" t="e">
        <f>VLOOKUP(RBE!C428,Permis[[#This Row],[Parties]],1,0)</f>
        <v>#N/A</v>
      </c>
      <c r="E428" s="9" t="s">
        <v>2783</v>
      </c>
      <c r="F428" s="10" t="s">
        <v>2784</v>
      </c>
      <c r="G428" s="10" t="str">
        <f t="shared" si="18"/>
        <v>2025</v>
      </c>
      <c r="H428" s="10">
        <v>20</v>
      </c>
      <c r="I428" s="10">
        <v>20</v>
      </c>
      <c r="J428" s="9" t="s">
        <v>1912</v>
      </c>
      <c r="K428" s="9"/>
      <c r="L428" s="9">
        <v>0</v>
      </c>
      <c r="M428" s="9" t="s">
        <v>1905</v>
      </c>
      <c r="N428" s="9" t="s">
        <v>1905</v>
      </c>
      <c r="O428" s="9" t="s">
        <v>1898</v>
      </c>
      <c r="P428" s="16" t="s">
        <v>101</v>
      </c>
      <c r="Q428">
        <f t="shared" si="19"/>
        <v>1</v>
      </c>
      <c r="R428" t="b">
        <f t="shared" si="20"/>
        <v>1</v>
      </c>
    </row>
    <row r="429" spans="1:18" hidden="1" x14ac:dyDescent="0.35">
      <c r="A429" s="16" t="s">
        <v>101</v>
      </c>
      <c r="B429" s="9" t="s">
        <v>2785</v>
      </c>
      <c r="C429" s="9" t="s">
        <v>2785</v>
      </c>
      <c r="D429" s="9" t="e">
        <f>VLOOKUP(RBE!C429,Permis[[#This Row],[Parties]],1,0)</f>
        <v>#N/A</v>
      </c>
      <c r="E429" s="9" t="s">
        <v>2783</v>
      </c>
      <c r="F429" s="10" t="s">
        <v>2784</v>
      </c>
      <c r="G429" s="10" t="str">
        <f t="shared" si="18"/>
        <v>2025</v>
      </c>
      <c r="H429" s="10">
        <v>80</v>
      </c>
      <c r="I429" s="10">
        <v>80</v>
      </c>
      <c r="J429" s="9" t="s">
        <v>1912</v>
      </c>
      <c r="K429" s="9"/>
      <c r="L429" s="9">
        <v>0</v>
      </c>
      <c r="M429" s="9" t="s">
        <v>1905</v>
      </c>
      <c r="N429" s="9" t="s">
        <v>1905</v>
      </c>
      <c r="O429" s="9" t="s">
        <v>1898</v>
      </c>
      <c r="P429" s="16" t="s">
        <v>101</v>
      </c>
      <c r="Q429">
        <f t="shared" si="19"/>
        <v>1</v>
      </c>
      <c r="R429" t="b">
        <f t="shared" si="20"/>
        <v>1</v>
      </c>
    </row>
    <row r="430" spans="1:18" hidden="1" x14ac:dyDescent="0.35">
      <c r="A430" s="16" t="s">
        <v>101</v>
      </c>
      <c r="B430" s="9" t="s">
        <v>2786</v>
      </c>
      <c r="C430" s="9" t="s">
        <v>2786</v>
      </c>
      <c r="D430" s="9" t="e">
        <f>VLOOKUP(RBE!C430,Permis[[#This Row],[Parties]],1,0)</f>
        <v>#N/A</v>
      </c>
      <c r="E430" s="9" t="s">
        <v>2783</v>
      </c>
      <c r="F430" s="10" t="s">
        <v>2787</v>
      </c>
      <c r="G430" s="10" t="str">
        <f t="shared" si="18"/>
        <v>2025</v>
      </c>
      <c r="H430" s="10">
        <v>100</v>
      </c>
      <c r="I430" s="10">
        <v>100</v>
      </c>
      <c r="J430" s="9" t="s">
        <v>1912</v>
      </c>
      <c r="K430" s="9"/>
      <c r="L430" s="9">
        <v>0</v>
      </c>
      <c r="M430" s="9" t="s">
        <v>1905</v>
      </c>
      <c r="N430" s="9" t="s">
        <v>1905</v>
      </c>
      <c r="O430" s="9" t="s">
        <v>1898</v>
      </c>
      <c r="P430" s="16" t="s">
        <v>101</v>
      </c>
      <c r="Q430">
        <f t="shared" si="19"/>
        <v>1</v>
      </c>
      <c r="R430" t="b">
        <f t="shared" si="20"/>
        <v>1</v>
      </c>
    </row>
    <row r="431" spans="1:18" hidden="1" x14ac:dyDescent="0.35">
      <c r="A431" s="16" t="s">
        <v>101</v>
      </c>
      <c r="B431" s="9" t="s">
        <v>2788</v>
      </c>
      <c r="C431" s="9" t="s">
        <v>2788</v>
      </c>
      <c r="D431" s="9" t="e">
        <f>VLOOKUP(RBE!C431,Permis[[#This Row],[Parties]],1,0)</f>
        <v>#N/A</v>
      </c>
      <c r="E431" s="9" t="s">
        <v>2789</v>
      </c>
      <c r="F431" s="10" t="s">
        <v>2790</v>
      </c>
      <c r="G431" s="10" t="str">
        <f t="shared" si="18"/>
        <v>2025</v>
      </c>
      <c r="H431" s="10">
        <v>100</v>
      </c>
      <c r="I431" s="10">
        <v>100</v>
      </c>
      <c r="J431" s="9" t="s">
        <v>1912</v>
      </c>
      <c r="K431" s="9"/>
      <c r="L431" s="9">
        <v>0</v>
      </c>
      <c r="M431" s="9" t="s">
        <v>1905</v>
      </c>
      <c r="N431" s="9" t="s">
        <v>1905</v>
      </c>
      <c r="O431" s="9" t="s">
        <v>1898</v>
      </c>
      <c r="P431" s="16" t="s">
        <v>101</v>
      </c>
      <c r="Q431">
        <f t="shared" si="19"/>
        <v>1</v>
      </c>
      <c r="R431" t="b">
        <f t="shared" si="20"/>
        <v>1</v>
      </c>
    </row>
    <row r="432" spans="1:18" hidden="1" x14ac:dyDescent="0.35">
      <c r="A432" s="16" t="s">
        <v>101</v>
      </c>
      <c r="B432" s="9" t="s">
        <v>2788</v>
      </c>
      <c r="C432" s="9" t="s">
        <v>2788</v>
      </c>
      <c r="D432" s="9" t="e">
        <f>VLOOKUP(RBE!C432,Permis[[#This Row],[Parties]],1,0)</f>
        <v>#N/A</v>
      </c>
      <c r="E432" s="9" t="s">
        <v>2791</v>
      </c>
      <c r="F432" s="10" t="s">
        <v>2792</v>
      </c>
      <c r="G432" s="10" t="str">
        <f t="shared" si="18"/>
        <v>2025</v>
      </c>
      <c r="H432" s="10">
        <v>70</v>
      </c>
      <c r="I432" s="10">
        <v>70</v>
      </c>
      <c r="J432" s="9" t="s">
        <v>1912</v>
      </c>
      <c r="K432" s="9"/>
      <c r="L432" s="9">
        <v>0</v>
      </c>
      <c r="M432" s="9" t="s">
        <v>1905</v>
      </c>
      <c r="N432" s="9" t="s">
        <v>1905</v>
      </c>
      <c r="O432" s="9" t="s">
        <v>1898</v>
      </c>
      <c r="P432" s="16" t="s">
        <v>101</v>
      </c>
      <c r="Q432">
        <f t="shared" si="19"/>
        <v>1</v>
      </c>
      <c r="R432" t="b">
        <f t="shared" si="20"/>
        <v>1</v>
      </c>
    </row>
    <row r="433" spans="1:18" hidden="1" x14ac:dyDescent="0.35">
      <c r="A433" s="16" t="s">
        <v>101</v>
      </c>
      <c r="B433" s="9" t="s">
        <v>2788</v>
      </c>
      <c r="C433" s="9" t="s">
        <v>2788</v>
      </c>
      <c r="D433" s="9" t="e">
        <f>VLOOKUP(RBE!C433,Permis[[#This Row],[Parties]],1,0)</f>
        <v>#N/A</v>
      </c>
      <c r="E433" s="9" t="s">
        <v>2793</v>
      </c>
      <c r="F433" s="10" t="s">
        <v>2792</v>
      </c>
      <c r="G433" s="10" t="str">
        <f t="shared" si="18"/>
        <v>2025</v>
      </c>
      <c r="H433" s="10">
        <v>5</v>
      </c>
      <c r="I433" s="10">
        <v>5</v>
      </c>
      <c r="J433" s="9" t="s">
        <v>1912</v>
      </c>
      <c r="K433" s="9"/>
      <c r="L433" s="9">
        <v>0</v>
      </c>
      <c r="M433" s="9" t="s">
        <v>1905</v>
      </c>
      <c r="N433" s="9" t="s">
        <v>1905</v>
      </c>
      <c r="O433" s="9" t="s">
        <v>1898</v>
      </c>
      <c r="P433" s="16" t="s">
        <v>101</v>
      </c>
      <c r="Q433">
        <f t="shared" si="19"/>
        <v>1</v>
      </c>
      <c r="R433" t="b">
        <f t="shared" si="20"/>
        <v>1</v>
      </c>
    </row>
    <row r="434" spans="1:18" hidden="1" x14ac:dyDescent="0.35">
      <c r="A434" s="16" t="s">
        <v>101</v>
      </c>
      <c r="B434" s="9" t="s">
        <v>2788</v>
      </c>
      <c r="C434" s="9" t="s">
        <v>2788</v>
      </c>
      <c r="D434" s="9" t="e">
        <f>VLOOKUP(RBE!C434,Permis[[#This Row],[Parties]],1,0)</f>
        <v>#N/A</v>
      </c>
      <c r="E434" s="9" t="s">
        <v>2794</v>
      </c>
      <c r="F434" s="10" t="s">
        <v>2792</v>
      </c>
      <c r="G434" s="10" t="str">
        <f t="shared" si="18"/>
        <v>2025</v>
      </c>
      <c r="H434" s="10">
        <v>5</v>
      </c>
      <c r="I434" s="10">
        <v>5</v>
      </c>
      <c r="J434" s="9" t="s">
        <v>1912</v>
      </c>
      <c r="K434" s="9"/>
      <c r="L434" s="9">
        <v>0</v>
      </c>
      <c r="M434" s="9" t="s">
        <v>1905</v>
      </c>
      <c r="N434" s="9" t="s">
        <v>1905</v>
      </c>
      <c r="O434" s="9" t="s">
        <v>1898</v>
      </c>
      <c r="P434" s="16" t="s">
        <v>101</v>
      </c>
      <c r="Q434">
        <f t="shared" si="19"/>
        <v>1</v>
      </c>
      <c r="R434" t="b">
        <f t="shared" si="20"/>
        <v>1</v>
      </c>
    </row>
    <row r="435" spans="1:18" hidden="1" x14ac:dyDescent="0.35">
      <c r="A435" s="16" t="s">
        <v>101</v>
      </c>
      <c r="B435" s="9" t="s">
        <v>2788</v>
      </c>
      <c r="C435" s="9" t="s">
        <v>2788</v>
      </c>
      <c r="D435" s="9" t="e">
        <f>VLOOKUP(RBE!C435,Permis[[#This Row],[Parties]],1,0)</f>
        <v>#N/A</v>
      </c>
      <c r="E435" s="9" t="s">
        <v>2795</v>
      </c>
      <c r="F435" s="10" t="s">
        <v>2792</v>
      </c>
      <c r="G435" s="10" t="str">
        <f t="shared" si="18"/>
        <v>2025</v>
      </c>
      <c r="H435" s="10">
        <v>5</v>
      </c>
      <c r="I435" s="10">
        <v>5</v>
      </c>
      <c r="J435" s="9" t="s">
        <v>1912</v>
      </c>
      <c r="K435" s="9"/>
      <c r="L435" s="9">
        <v>0</v>
      </c>
      <c r="M435" s="9" t="s">
        <v>1905</v>
      </c>
      <c r="N435" s="9" t="s">
        <v>1905</v>
      </c>
      <c r="O435" s="9" t="s">
        <v>1898</v>
      </c>
      <c r="P435" s="16" t="s">
        <v>101</v>
      </c>
      <c r="Q435">
        <f t="shared" si="19"/>
        <v>1</v>
      </c>
      <c r="R435" t="b">
        <f t="shared" si="20"/>
        <v>1</v>
      </c>
    </row>
    <row r="436" spans="1:18" hidden="1" x14ac:dyDescent="0.35">
      <c r="A436" s="16" t="s">
        <v>101</v>
      </c>
      <c r="B436" s="9" t="s">
        <v>2788</v>
      </c>
      <c r="C436" s="9" t="s">
        <v>2788</v>
      </c>
      <c r="D436" s="9" t="e">
        <f>VLOOKUP(RBE!C436,Permis[[#This Row],[Parties]],1,0)</f>
        <v>#N/A</v>
      </c>
      <c r="E436" s="9" t="s">
        <v>2796</v>
      </c>
      <c r="F436" s="10" t="s">
        <v>2792</v>
      </c>
      <c r="G436" s="10" t="str">
        <f t="shared" si="18"/>
        <v>2025</v>
      </c>
      <c r="H436" s="10">
        <v>5</v>
      </c>
      <c r="I436" s="10">
        <v>5</v>
      </c>
      <c r="J436" s="9" t="s">
        <v>1912</v>
      </c>
      <c r="K436" s="9"/>
      <c r="L436" s="9">
        <v>0</v>
      </c>
      <c r="M436" s="9" t="s">
        <v>1905</v>
      </c>
      <c r="N436" s="9" t="s">
        <v>1905</v>
      </c>
      <c r="O436" s="9" t="s">
        <v>1898</v>
      </c>
      <c r="P436" s="16" t="s">
        <v>101</v>
      </c>
      <c r="Q436">
        <f t="shared" si="19"/>
        <v>1</v>
      </c>
      <c r="R436" t="b">
        <f t="shared" si="20"/>
        <v>1</v>
      </c>
    </row>
    <row r="437" spans="1:18" hidden="1" x14ac:dyDescent="0.35">
      <c r="A437" s="16" t="s">
        <v>101</v>
      </c>
      <c r="B437" s="9" t="s">
        <v>2788</v>
      </c>
      <c r="C437" s="9" t="s">
        <v>2788</v>
      </c>
      <c r="D437" s="9" t="e">
        <f>VLOOKUP(RBE!C437,Permis[[#This Row],[Parties]],1,0)</f>
        <v>#N/A</v>
      </c>
      <c r="E437" s="9" t="s">
        <v>2797</v>
      </c>
      <c r="F437" s="10" t="s">
        <v>2792</v>
      </c>
      <c r="G437" s="10" t="str">
        <f t="shared" si="18"/>
        <v>2025</v>
      </c>
      <c r="H437" s="10">
        <v>10</v>
      </c>
      <c r="I437" s="10">
        <v>10</v>
      </c>
      <c r="J437" s="9" t="s">
        <v>1912</v>
      </c>
      <c r="K437" s="9"/>
      <c r="L437" s="9">
        <v>0</v>
      </c>
      <c r="M437" s="9" t="s">
        <v>1905</v>
      </c>
      <c r="N437" s="9" t="s">
        <v>1905</v>
      </c>
      <c r="O437" s="9" t="s">
        <v>1898</v>
      </c>
      <c r="P437" s="16" t="s">
        <v>101</v>
      </c>
      <c r="Q437">
        <f t="shared" si="19"/>
        <v>1</v>
      </c>
      <c r="R437" t="b">
        <f t="shared" si="20"/>
        <v>1</v>
      </c>
    </row>
    <row r="438" spans="1:18" hidden="1" x14ac:dyDescent="0.35">
      <c r="A438" s="16" t="s">
        <v>101</v>
      </c>
      <c r="B438" s="9" t="s">
        <v>2798</v>
      </c>
      <c r="C438" s="9" t="s">
        <v>2798</v>
      </c>
      <c r="D438" s="9" t="e">
        <f>VLOOKUP(RBE!C438,Permis[[#This Row],[Parties]],1,0)</f>
        <v>#N/A</v>
      </c>
      <c r="E438" s="9" t="s">
        <v>2799</v>
      </c>
      <c r="F438" s="10" t="s">
        <v>2800</v>
      </c>
      <c r="G438" s="10" t="str">
        <f t="shared" si="18"/>
        <v>2025</v>
      </c>
      <c r="H438" s="10" t="s">
        <v>1905</v>
      </c>
      <c r="I438" s="10" t="s">
        <v>1905</v>
      </c>
      <c r="J438" s="9" t="s">
        <v>1912</v>
      </c>
      <c r="K438" s="9"/>
      <c r="L438" s="9">
        <v>1</v>
      </c>
      <c r="M438" s="9" t="s">
        <v>2801</v>
      </c>
      <c r="N438" s="9" t="s">
        <v>2802</v>
      </c>
      <c r="O438" s="9" t="s">
        <v>1898</v>
      </c>
      <c r="P438" s="16" t="s">
        <v>101</v>
      </c>
      <c r="Q438">
        <f t="shared" si="19"/>
        <v>1</v>
      </c>
      <c r="R438" t="b">
        <f t="shared" si="20"/>
        <v>1</v>
      </c>
    </row>
    <row r="439" spans="1:18" hidden="1" x14ac:dyDescent="0.35">
      <c r="A439" s="16" t="s">
        <v>101</v>
      </c>
      <c r="B439" s="9" t="s">
        <v>2798</v>
      </c>
      <c r="C439" s="9" t="s">
        <v>2798</v>
      </c>
      <c r="D439" s="9" t="e">
        <f>VLOOKUP(RBE!C439,Permis[[#This Row],[Parties]],1,0)</f>
        <v>#N/A</v>
      </c>
      <c r="E439" s="9" t="s">
        <v>2708</v>
      </c>
      <c r="F439" s="10" t="s">
        <v>2800</v>
      </c>
      <c r="G439" s="10" t="str">
        <f t="shared" si="18"/>
        <v>2025</v>
      </c>
      <c r="H439" s="10" t="s">
        <v>1905</v>
      </c>
      <c r="I439" s="10" t="s">
        <v>1905</v>
      </c>
      <c r="J439" s="9" t="s">
        <v>1912</v>
      </c>
      <c r="K439" s="9"/>
      <c r="L439" s="9">
        <v>1</v>
      </c>
      <c r="M439" s="9" t="s">
        <v>2801</v>
      </c>
      <c r="N439" s="9" t="s">
        <v>2802</v>
      </c>
      <c r="O439" s="9" t="s">
        <v>1898</v>
      </c>
      <c r="P439" s="16" t="s">
        <v>101</v>
      </c>
      <c r="Q439">
        <f t="shared" si="19"/>
        <v>1</v>
      </c>
      <c r="R439" t="b">
        <f t="shared" si="20"/>
        <v>1</v>
      </c>
    </row>
    <row r="440" spans="1:18" hidden="1" x14ac:dyDescent="0.35">
      <c r="A440" s="16" t="s">
        <v>101</v>
      </c>
      <c r="B440" s="9" t="s">
        <v>2798</v>
      </c>
      <c r="C440" s="9" t="s">
        <v>2798</v>
      </c>
      <c r="D440" s="9" t="e">
        <f>VLOOKUP(RBE!C440,Permis[[#This Row],[Parties]],1,0)</f>
        <v>#N/A</v>
      </c>
      <c r="E440" s="9" t="s">
        <v>2803</v>
      </c>
      <c r="F440" s="10" t="s">
        <v>2804</v>
      </c>
      <c r="G440" s="10" t="str">
        <f t="shared" si="18"/>
        <v>2025</v>
      </c>
      <c r="H440" s="10">
        <v>49</v>
      </c>
      <c r="I440" s="10">
        <v>49</v>
      </c>
      <c r="J440" s="9" t="s">
        <v>1912</v>
      </c>
      <c r="K440" s="9"/>
      <c r="L440" s="9">
        <v>0</v>
      </c>
      <c r="M440" s="9" t="s">
        <v>1905</v>
      </c>
      <c r="N440" s="9" t="s">
        <v>1905</v>
      </c>
      <c r="O440" s="9" t="s">
        <v>1898</v>
      </c>
      <c r="P440" s="16" t="s">
        <v>101</v>
      </c>
      <c r="Q440">
        <f t="shared" si="19"/>
        <v>1</v>
      </c>
      <c r="R440" t="b">
        <f t="shared" si="20"/>
        <v>1</v>
      </c>
    </row>
    <row r="441" spans="1:18" hidden="1" x14ac:dyDescent="0.35">
      <c r="A441" s="16" t="s">
        <v>101</v>
      </c>
      <c r="B441" s="9" t="s">
        <v>2805</v>
      </c>
      <c r="C441" s="9" t="s">
        <v>2805</v>
      </c>
      <c r="D441" s="9" t="e">
        <f>VLOOKUP(RBE!C441,Permis[[#This Row],[Parties]],1,0)</f>
        <v>#N/A</v>
      </c>
      <c r="E441" s="9" t="s">
        <v>2806</v>
      </c>
      <c r="F441" s="10" t="s">
        <v>2804</v>
      </c>
      <c r="G441" s="10" t="str">
        <f t="shared" si="18"/>
        <v>2025</v>
      </c>
      <c r="H441" s="10">
        <v>51</v>
      </c>
      <c r="I441" s="10">
        <v>51</v>
      </c>
      <c r="J441" s="9" t="s">
        <v>1912</v>
      </c>
      <c r="K441" s="9"/>
      <c r="L441" s="9">
        <v>0</v>
      </c>
      <c r="M441" s="9" t="s">
        <v>1905</v>
      </c>
      <c r="N441" s="9" t="s">
        <v>1905</v>
      </c>
      <c r="O441" s="9" t="s">
        <v>1898</v>
      </c>
      <c r="P441" s="16" t="s">
        <v>101</v>
      </c>
      <c r="Q441">
        <f t="shared" si="19"/>
        <v>1</v>
      </c>
      <c r="R441" t="b">
        <f t="shared" si="20"/>
        <v>1</v>
      </c>
    </row>
    <row r="442" spans="1:18" hidden="1" x14ac:dyDescent="0.35">
      <c r="A442" s="16" t="s">
        <v>101</v>
      </c>
      <c r="B442" s="9" t="s">
        <v>2805</v>
      </c>
      <c r="C442" s="9" t="s">
        <v>2805</v>
      </c>
      <c r="D442" s="9" t="e">
        <f>VLOOKUP(RBE!C442,Permis[[#This Row],[Parties]],1,0)</f>
        <v>#N/A</v>
      </c>
      <c r="E442" s="9" t="s">
        <v>2807</v>
      </c>
      <c r="F442" s="10" t="s">
        <v>2808</v>
      </c>
      <c r="G442" s="10" t="str">
        <f t="shared" si="18"/>
        <v>2025</v>
      </c>
      <c r="H442" s="10" t="s">
        <v>1905</v>
      </c>
      <c r="I442" s="10" t="s">
        <v>1905</v>
      </c>
      <c r="J442" s="9" t="s">
        <v>1912</v>
      </c>
      <c r="K442" s="9"/>
      <c r="L442" s="9" t="s">
        <v>1905</v>
      </c>
      <c r="M442" s="9" t="s">
        <v>1905</v>
      </c>
      <c r="N442" s="9" t="s">
        <v>1905</v>
      </c>
      <c r="O442" s="9" t="s">
        <v>1898</v>
      </c>
      <c r="P442" s="16" t="s">
        <v>101</v>
      </c>
      <c r="Q442">
        <f t="shared" si="19"/>
        <v>1</v>
      </c>
      <c r="R442" t="b">
        <f t="shared" si="20"/>
        <v>1</v>
      </c>
    </row>
    <row r="443" spans="1:18" hidden="1" x14ac:dyDescent="0.35">
      <c r="A443" s="16" t="s">
        <v>101</v>
      </c>
      <c r="B443" s="9" t="s">
        <v>2805</v>
      </c>
      <c r="C443" s="9" t="s">
        <v>2805</v>
      </c>
      <c r="D443" s="9" t="e">
        <f>VLOOKUP(RBE!C443,Permis[[#This Row],[Parties]],1,0)</f>
        <v>#N/A</v>
      </c>
      <c r="E443" s="9" t="s">
        <v>2809</v>
      </c>
      <c r="F443" s="10" t="s">
        <v>2810</v>
      </c>
      <c r="G443" s="10" t="str">
        <f t="shared" si="18"/>
        <v>2025</v>
      </c>
      <c r="H443" s="10" t="s">
        <v>1905</v>
      </c>
      <c r="I443" s="10" t="s">
        <v>1905</v>
      </c>
      <c r="J443" s="9" t="s">
        <v>1912</v>
      </c>
      <c r="K443" s="9"/>
      <c r="L443" s="9">
        <v>0</v>
      </c>
      <c r="M443" s="9" t="s">
        <v>1905</v>
      </c>
      <c r="N443" s="9" t="s">
        <v>1905</v>
      </c>
      <c r="O443" s="9" t="s">
        <v>1898</v>
      </c>
      <c r="P443" s="16" t="s">
        <v>101</v>
      </c>
      <c r="Q443">
        <f t="shared" si="19"/>
        <v>1</v>
      </c>
      <c r="R443" t="b">
        <f t="shared" si="20"/>
        <v>1</v>
      </c>
    </row>
    <row r="444" spans="1:18" hidden="1" x14ac:dyDescent="0.35">
      <c r="A444" s="16" t="s">
        <v>101</v>
      </c>
      <c r="B444" s="9" t="s">
        <v>2811</v>
      </c>
      <c r="C444" s="9" t="s">
        <v>2811</v>
      </c>
      <c r="D444" s="9" t="e">
        <f>VLOOKUP(RBE!C444,Permis[[#This Row],[Parties]],1,0)</f>
        <v>#N/A</v>
      </c>
      <c r="E444" s="9" t="s">
        <v>2812</v>
      </c>
      <c r="F444" s="10" t="s">
        <v>2810</v>
      </c>
      <c r="G444" s="10" t="str">
        <f t="shared" si="18"/>
        <v>2025</v>
      </c>
      <c r="H444" s="10" t="s">
        <v>1905</v>
      </c>
      <c r="I444" s="10" t="s">
        <v>1905</v>
      </c>
      <c r="J444" s="9" t="s">
        <v>1912</v>
      </c>
      <c r="K444" s="9"/>
      <c r="L444" s="9">
        <v>0</v>
      </c>
      <c r="M444" s="9" t="s">
        <v>1905</v>
      </c>
      <c r="N444" s="9" t="s">
        <v>1905</v>
      </c>
      <c r="O444" s="9" t="s">
        <v>1898</v>
      </c>
      <c r="P444" s="16" t="s">
        <v>101</v>
      </c>
      <c r="Q444">
        <f t="shared" si="19"/>
        <v>1</v>
      </c>
      <c r="R444" t="b">
        <f t="shared" si="20"/>
        <v>1</v>
      </c>
    </row>
    <row r="445" spans="1:18" hidden="1" x14ac:dyDescent="0.35">
      <c r="A445" s="16" t="s">
        <v>101</v>
      </c>
      <c r="B445" s="9" t="s">
        <v>2811</v>
      </c>
      <c r="C445" s="9" t="s">
        <v>2811</v>
      </c>
      <c r="D445" s="9" t="e">
        <f>VLOOKUP(RBE!C445,Permis[[#This Row],[Parties]],1,0)</f>
        <v>#N/A</v>
      </c>
      <c r="E445" s="9" t="s">
        <v>2813</v>
      </c>
      <c r="F445" s="10" t="s">
        <v>2814</v>
      </c>
      <c r="G445" s="10" t="str">
        <f t="shared" si="18"/>
        <v>2025</v>
      </c>
      <c r="H445" s="10">
        <v>100</v>
      </c>
      <c r="I445" s="10" t="s">
        <v>1905</v>
      </c>
      <c r="J445" s="9" t="s">
        <v>1912</v>
      </c>
      <c r="K445" s="9"/>
      <c r="L445" s="9">
        <v>0</v>
      </c>
      <c r="M445" s="9" t="s">
        <v>1905</v>
      </c>
      <c r="N445" s="9" t="s">
        <v>1905</v>
      </c>
      <c r="O445" s="9" t="s">
        <v>1898</v>
      </c>
      <c r="P445" s="16" t="s">
        <v>101</v>
      </c>
      <c r="Q445">
        <f t="shared" si="19"/>
        <v>1</v>
      </c>
      <c r="R445" t="b">
        <f t="shared" si="20"/>
        <v>1</v>
      </c>
    </row>
    <row r="446" spans="1:18" hidden="1" x14ac:dyDescent="0.35">
      <c r="A446" s="16" t="s">
        <v>101</v>
      </c>
      <c r="B446" s="9" t="s">
        <v>2815</v>
      </c>
      <c r="C446" s="9" t="s">
        <v>2815</v>
      </c>
      <c r="D446" s="9" t="e">
        <f>VLOOKUP(RBE!C446,Permis[[#This Row],[Parties]],1,0)</f>
        <v>#N/A</v>
      </c>
      <c r="E446" s="9" t="s">
        <v>2816</v>
      </c>
      <c r="F446" s="10" t="s">
        <v>2817</v>
      </c>
      <c r="G446" s="10" t="str">
        <f t="shared" si="18"/>
        <v>2025</v>
      </c>
      <c r="H446" s="10">
        <v>100</v>
      </c>
      <c r="I446" s="10">
        <v>100</v>
      </c>
      <c r="J446" s="9" t="s">
        <v>1912</v>
      </c>
      <c r="K446" s="9"/>
      <c r="L446" s="9">
        <v>0</v>
      </c>
      <c r="M446" s="9" t="s">
        <v>1905</v>
      </c>
      <c r="N446" s="9" t="s">
        <v>1905</v>
      </c>
      <c r="O446" s="9" t="s">
        <v>1898</v>
      </c>
      <c r="P446" s="16" t="s">
        <v>101</v>
      </c>
      <c r="Q446">
        <f t="shared" si="19"/>
        <v>1</v>
      </c>
      <c r="R446" t="b">
        <f t="shared" si="20"/>
        <v>1</v>
      </c>
    </row>
    <row r="447" spans="1:18" hidden="1" x14ac:dyDescent="0.35">
      <c r="A447" s="16" t="s">
        <v>101</v>
      </c>
      <c r="B447" s="9" t="s">
        <v>1943</v>
      </c>
      <c r="C447" s="9" t="s">
        <v>3136</v>
      </c>
      <c r="D447" s="9" t="e">
        <f>VLOOKUP(RBE!C447,Permis[[#This Row],[Parties]],1,0)</f>
        <v>#N/A</v>
      </c>
      <c r="E447" s="9" t="s">
        <v>1944</v>
      </c>
      <c r="F447" s="10" t="s">
        <v>1945</v>
      </c>
      <c r="G447" s="10" t="str">
        <f t="shared" si="18"/>
        <v>2021</v>
      </c>
      <c r="H447" s="10">
        <v>25</v>
      </c>
      <c r="I447" s="10">
        <v>25</v>
      </c>
      <c r="J447" s="9" t="s">
        <v>1912</v>
      </c>
      <c r="K447" s="9" t="s">
        <v>1912</v>
      </c>
      <c r="L447" s="9" t="s">
        <v>1905</v>
      </c>
      <c r="M447" s="9">
        <v>0</v>
      </c>
      <c r="N447" s="9" t="s">
        <v>1905</v>
      </c>
      <c r="O447" s="9" t="s">
        <v>1898</v>
      </c>
      <c r="P447" s="16" t="s">
        <v>101</v>
      </c>
      <c r="Q447">
        <f t="shared" si="19"/>
        <v>0</v>
      </c>
      <c r="R447" t="b">
        <f t="shared" si="20"/>
        <v>0</v>
      </c>
    </row>
    <row r="448" spans="1:18" hidden="1" x14ac:dyDescent="0.35">
      <c r="A448" s="16" t="s">
        <v>101</v>
      </c>
      <c r="B448" s="9" t="s">
        <v>1943</v>
      </c>
      <c r="C448" s="9" t="s">
        <v>3136</v>
      </c>
      <c r="D448" s="9" t="e">
        <f>VLOOKUP(RBE!C448,Permis[[#This Row],[Parties]],1,0)</f>
        <v>#N/A</v>
      </c>
      <c r="E448" s="9" t="s">
        <v>1946</v>
      </c>
      <c r="F448" s="10" t="s">
        <v>1945</v>
      </c>
      <c r="G448" s="10" t="str">
        <f t="shared" si="18"/>
        <v>2021</v>
      </c>
      <c r="H448" s="10">
        <v>20</v>
      </c>
      <c r="I448" s="10">
        <v>20</v>
      </c>
      <c r="J448" s="9" t="s">
        <v>1912</v>
      </c>
      <c r="K448" s="9" t="s">
        <v>1912</v>
      </c>
      <c r="L448" s="9" t="s">
        <v>1905</v>
      </c>
      <c r="M448" s="9">
        <v>0</v>
      </c>
      <c r="N448" s="9" t="s">
        <v>1905</v>
      </c>
      <c r="O448" s="9" t="s">
        <v>1898</v>
      </c>
      <c r="P448" s="16" t="s">
        <v>101</v>
      </c>
      <c r="Q448">
        <f t="shared" si="19"/>
        <v>0</v>
      </c>
      <c r="R448" t="b">
        <f t="shared" si="20"/>
        <v>0</v>
      </c>
    </row>
    <row r="449" spans="1:18" hidden="1" x14ac:dyDescent="0.35">
      <c r="A449" s="16" t="s">
        <v>101</v>
      </c>
      <c r="B449" s="9" t="s">
        <v>1986</v>
      </c>
      <c r="C449" s="9" t="s">
        <v>3146</v>
      </c>
      <c r="D449" s="9" t="e">
        <f>VLOOKUP(RBE!C449,Permis[[#This Row],[Parties]],1,0)</f>
        <v>#N/A</v>
      </c>
      <c r="E449" s="9" t="s">
        <v>1987</v>
      </c>
      <c r="F449" s="10" t="s">
        <v>1988</v>
      </c>
      <c r="G449" s="10" t="str">
        <f t="shared" si="18"/>
        <v>2021</v>
      </c>
      <c r="H449" s="10" t="s">
        <v>1905</v>
      </c>
      <c r="I449" s="10" t="s">
        <v>1905</v>
      </c>
      <c r="J449" s="9" t="s">
        <v>1989</v>
      </c>
      <c r="K449" s="9" t="s">
        <v>1989</v>
      </c>
      <c r="L449" s="9" t="s">
        <v>1905</v>
      </c>
      <c r="M449" s="9">
        <v>0</v>
      </c>
      <c r="N449" s="9" t="s">
        <v>1905</v>
      </c>
      <c r="O449" s="9" t="s">
        <v>1898</v>
      </c>
      <c r="P449" s="16" t="s">
        <v>101</v>
      </c>
      <c r="Q449">
        <f t="shared" si="19"/>
        <v>0</v>
      </c>
      <c r="R449" t="b">
        <f t="shared" si="20"/>
        <v>0</v>
      </c>
    </row>
    <row r="450" spans="1:18" hidden="1" x14ac:dyDescent="0.35">
      <c r="A450" s="16" t="s">
        <v>101</v>
      </c>
      <c r="B450" s="9" t="s">
        <v>1986</v>
      </c>
      <c r="C450" s="9" t="s">
        <v>3146</v>
      </c>
      <c r="D450" s="9" t="e">
        <f>VLOOKUP(RBE!C450,Permis[[#This Row],[Parties]],1,0)</f>
        <v>#N/A</v>
      </c>
      <c r="E450" s="9" t="s">
        <v>1990</v>
      </c>
      <c r="F450" s="10" t="s">
        <v>1991</v>
      </c>
      <c r="G450" s="10" t="str">
        <f t="shared" ref="G450:G513" si="21">LEFT(TRIM(F450),4)</f>
        <v>2021</v>
      </c>
      <c r="H450" s="10" t="s">
        <v>1905</v>
      </c>
      <c r="I450" s="10" t="s">
        <v>1905</v>
      </c>
      <c r="J450" s="9" t="s">
        <v>1912</v>
      </c>
      <c r="K450" s="9" t="s">
        <v>1912</v>
      </c>
      <c r="L450" s="9" t="s">
        <v>1905</v>
      </c>
      <c r="M450" s="9">
        <v>0</v>
      </c>
      <c r="N450" s="9" t="s">
        <v>1905</v>
      </c>
      <c r="O450" s="9" t="s">
        <v>1898</v>
      </c>
      <c r="P450" s="16" t="s">
        <v>101</v>
      </c>
      <c r="Q450">
        <f t="shared" si="19"/>
        <v>0</v>
      </c>
      <c r="R450" t="b">
        <f t="shared" si="20"/>
        <v>0</v>
      </c>
    </row>
    <row r="451" spans="1:18" hidden="1" x14ac:dyDescent="0.35">
      <c r="A451" s="16" t="s">
        <v>299</v>
      </c>
      <c r="B451" s="9" t="s">
        <v>2818</v>
      </c>
      <c r="C451" s="9" t="s">
        <v>2818</v>
      </c>
      <c r="D451" s="9" t="e">
        <f>VLOOKUP(RBE!C451,Permis[[#This Row],[Parties]],1,0)</f>
        <v>#N/A</v>
      </c>
      <c r="E451" s="9" t="s">
        <v>2819</v>
      </c>
      <c r="F451" s="10" t="s">
        <v>2820</v>
      </c>
      <c r="G451" s="10" t="str">
        <f t="shared" si="21"/>
        <v>2021</v>
      </c>
      <c r="H451" s="10" t="s">
        <v>1905</v>
      </c>
      <c r="I451" s="10" t="s">
        <v>1905</v>
      </c>
      <c r="J451" s="9" t="s">
        <v>1912</v>
      </c>
      <c r="K451" s="9" t="s">
        <v>1912</v>
      </c>
      <c r="L451" s="9" t="s">
        <v>1905</v>
      </c>
      <c r="M451" s="9">
        <v>0</v>
      </c>
      <c r="N451" s="9" t="s">
        <v>1905</v>
      </c>
      <c r="O451" s="9" t="s">
        <v>1898</v>
      </c>
      <c r="P451" s="16" t="s">
        <v>299</v>
      </c>
      <c r="Q451">
        <f t="shared" ref="Q451:Q514" si="22">IF(J451=K451,0,1)</f>
        <v>0</v>
      </c>
      <c r="R451" t="b">
        <f t="shared" ref="R451:R514" si="23">ISBLANK(K451)</f>
        <v>0</v>
      </c>
    </row>
    <row r="452" spans="1:18" hidden="1" x14ac:dyDescent="0.35">
      <c r="A452" s="16" t="s">
        <v>299</v>
      </c>
      <c r="B452" s="9" t="s">
        <v>2818</v>
      </c>
      <c r="C452" s="9" t="s">
        <v>2818</v>
      </c>
      <c r="D452" s="9" t="e">
        <f>VLOOKUP(RBE!C452,Permis[[#This Row],[Parties]],1,0)</f>
        <v>#N/A</v>
      </c>
      <c r="E452" s="9" t="s">
        <v>2821</v>
      </c>
      <c r="F452" s="10" t="s">
        <v>2822</v>
      </c>
      <c r="G452" s="10" t="str">
        <f t="shared" si="21"/>
        <v>2022</v>
      </c>
      <c r="H452" s="10" t="s">
        <v>1905</v>
      </c>
      <c r="I452" s="10" t="s">
        <v>1905</v>
      </c>
      <c r="J452" s="9" t="s">
        <v>1912</v>
      </c>
      <c r="K452" s="9" t="s">
        <v>1912</v>
      </c>
      <c r="L452" s="9" t="s">
        <v>1905</v>
      </c>
      <c r="M452" s="9">
        <v>0</v>
      </c>
      <c r="N452" s="9" t="s">
        <v>1905</v>
      </c>
      <c r="O452" s="9" t="s">
        <v>1898</v>
      </c>
      <c r="P452" s="16" t="s">
        <v>299</v>
      </c>
      <c r="Q452">
        <f t="shared" si="22"/>
        <v>0</v>
      </c>
      <c r="R452" t="b">
        <f t="shared" si="23"/>
        <v>0</v>
      </c>
    </row>
    <row r="453" spans="1:18" hidden="1" x14ac:dyDescent="0.35">
      <c r="A453" s="16" t="s">
        <v>299</v>
      </c>
      <c r="B453" s="9" t="s">
        <v>2823</v>
      </c>
      <c r="C453" s="9" t="s">
        <v>2823</v>
      </c>
      <c r="D453" s="9" t="e">
        <f>VLOOKUP(RBE!C453,Permis[[#This Row],[Parties]],1,0)</f>
        <v>#N/A</v>
      </c>
      <c r="E453" s="9" t="s">
        <v>2824</v>
      </c>
      <c r="F453" s="10" t="s">
        <v>2825</v>
      </c>
      <c r="G453" s="10" t="str">
        <f t="shared" si="21"/>
        <v>2023</v>
      </c>
      <c r="H453" s="10" t="s">
        <v>1905</v>
      </c>
      <c r="I453" s="10" t="s">
        <v>1905</v>
      </c>
      <c r="J453" s="9" t="s">
        <v>1912</v>
      </c>
      <c r="K453" s="9" t="s">
        <v>1912</v>
      </c>
      <c r="L453" s="9" t="s">
        <v>1905</v>
      </c>
      <c r="M453" s="9">
        <v>0</v>
      </c>
      <c r="N453" s="9" t="s">
        <v>1905</v>
      </c>
      <c r="O453" s="9" t="s">
        <v>1898</v>
      </c>
      <c r="P453" s="16" t="s">
        <v>299</v>
      </c>
      <c r="Q453">
        <f t="shared" si="22"/>
        <v>0</v>
      </c>
      <c r="R453" t="b">
        <f t="shared" si="23"/>
        <v>0</v>
      </c>
    </row>
    <row r="454" spans="1:18" hidden="1" x14ac:dyDescent="0.35">
      <c r="A454" s="16" t="s">
        <v>299</v>
      </c>
      <c r="B454" s="9" t="s">
        <v>2823</v>
      </c>
      <c r="C454" s="9" t="s">
        <v>2823</v>
      </c>
      <c r="D454" s="9" t="e">
        <f>VLOOKUP(RBE!C454,Permis[[#This Row],[Parties]],1,0)</f>
        <v>#N/A</v>
      </c>
      <c r="E454" s="9" t="s">
        <v>2826</v>
      </c>
      <c r="F454" s="10" t="s">
        <v>2827</v>
      </c>
      <c r="G454" s="10" t="str">
        <f t="shared" si="21"/>
        <v>2023</v>
      </c>
      <c r="H454" s="10" t="s">
        <v>1905</v>
      </c>
      <c r="I454" s="10" t="s">
        <v>1905</v>
      </c>
      <c r="J454" s="9" t="s">
        <v>1912</v>
      </c>
      <c r="K454" s="9" t="s">
        <v>1912</v>
      </c>
      <c r="L454" s="9" t="s">
        <v>1905</v>
      </c>
      <c r="M454" s="9">
        <v>0</v>
      </c>
      <c r="N454" s="9" t="s">
        <v>1905</v>
      </c>
      <c r="O454" s="9" t="s">
        <v>1898</v>
      </c>
      <c r="P454" s="16" t="s">
        <v>299</v>
      </c>
      <c r="Q454">
        <f t="shared" si="22"/>
        <v>0</v>
      </c>
      <c r="R454" t="b">
        <f t="shared" si="23"/>
        <v>0</v>
      </c>
    </row>
    <row r="455" spans="1:18" hidden="1" x14ac:dyDescent="0.35">
      <c r="A455" s="16" t="s">
        <v>299</v>
      </c>
      <c r="B455" s="9" t="s">
        <v>2828</v>
      </c>
      <c r="C455" s="9" t="s">
        <v>2828</v>
      </c>
      <c r="D455" s="9" t="e">
        <f>VLOOKUP(RBE!C455,Permis[[#This Row],[Parties]],1,0)</f>
        <v>#N/A</v>
      </c>
      <c r="E455" s="9" t="s">
        <v>2829</v>
      </c>
      <c r="F455" s="10" t="s">
        <v>2830</v>
      </c>
      <c r="G455" s="10" t="str">
        <f t="shared" si="21"/>
        <v>2023</v>
      </c>
      <c r="H455" s="10" t="s">
        <v>1905</v>
      </c>
      <c r="I455" s="10" t="s">
        <v>1905</v>
      </c>
      <c r="J455" s="9" t="s">
        <v>1912</v>
      </c>
      <c r="K455" s="9" t="s">
        <v>1912</v>
      </c>
      <c r="L455" s="9" t="s">
        <v>1905</v>
      </c>
      <c r="M455" s="9">
        <v>0</v>
      </c>
      <c r="N455" s="9" t="s">
        <v>1905</v>
      </c>
      <c r="O455" s="9" t="s">
        <v>1898</v>
      </c>
      <c r="P455" s="16" t="s">
        <v>299</v>
      </c>
      <c r="Q455">
        <f t="shared" si="22"/>
        <v>0</v>
      </c>
      <c r="R455" t="b">
        <f t="shared" si="23"/>
        <v>0</v>
      </c>
    </row>
    <row r="456" spans="1:18" hidden="1" x14ac:dyDescent="0.35">
      <c r="A456" s="16" t="s">
        <v>299</v>
      </c>
      <c r="B456" s="9" t="s">
        <v>2828</v>
      </c>
      <c r="C456" s="9" t="s">
        <v>2828</v>
      </c>
      <c r="D456" s="9" t="e">
        <f>VLOOKUP(RBE!C456,Permis[[#This Row],[Parties]],1,0)</f>
        <v>#N/A</v>
      </c>
      <c r="E456" s="9" t="s">
        <v>2831</v>
      </c>
      <c r="F456" s="10" t="s">
        <v>2832</v>
      </c>
      <c r="G456" s="10" t="str">
        <f t="shared" si="21"/>
        <v>2023</v>
      </c>
      <c r="H456" s="10" t="s">
        <v>1905</v>
      </c>
      <c r="I456" s="10" t="s">
        <v>1905</v>
      </c>
      <c r="J456" s="9" t="s">
        <v>1912</v>
      </c>
      <c r="K456" s="9" t="s">
        <v>1912</v>
      </c>
      <c r="L456" s="9" t="s">
        <v>1905</v>
      </c>
      <c r="M456" s="9">
        <v>0</v>
      </c>
      <c r="N456" s="9" t="s">
        <v>1905</v>
      </c>
      <c r="O456" s="9" t="s">
        <v>1898</v>
      </c>
      <c r="P456" s="16" t="s">
        <v>299</v>
      </c>
      <c r="Q456">
        <f t="shared" si="22"/>
        <v>0</v>
      </c>
      <c r="R456" t="b">
        <f t="shared" si="23"/>
        <v>0</v>
      </c>
    </row>
    <row r="457" spans="1:18" hidden="1" x14ac:dyDescent="0.35">
      <c r="A457" s="16" t="s">
        <v>299</v>
      </c>
      <c r="B457" s="9" t="s">
        <v>2828</v>
      </c>
      <c r="C457" s="9" t="s">
        <v>2828</v>
      </c>
      <c r="D457" s="9" t="e">
        <f>VLOOKUP(RBE!C457,Permis[[#This Row],[Parties]],1,0)</f>
        <v>#N/A</v>
      </c>
      <c r="E457" s="9" t="s">
        <v>2833</v>
      </c>
      <c r="F457" s="10" t="s">
        <v>2834</v>
      </c>
      <c r="G457" s="10" t="str">
        <f t="shared" si="21"/>
        <v>2023</v>
      </c>
      <c r="H457" s="10" t="s">
        <v>1905</v>
      </c>
      <c r="I457" s="10" t="s">
        <v>1905</v>
      </c>
      <c r="J457" s="9" t="s">
        <v>1912</v>
      </c>
      <c r="K457" s="9" t="s">
        <v>1912</v>
      </c>
      <c r="L457" s="9" t="s">
        <v>1905</v>
      </c>
      <c r="M457" s="9">
        <v>0</v>
      </c>
      <c r="N457" s="9" t="s">
        <v>1905</v>
      </c>
      <c r="O457" s="9" t="s">
        <v>1898</v>
      </c>
      <c r="P457" s="16" t="s">
        <v>299</v>
      </c>
      <c r="Q457">
        <f t="shared" si="22"/>
        <v>0</v>
      </c>
      <c r="R457" t="b">
        <f t="shared" si="23"/>
        <v>0</v>
      </c>
    </row>
    <row r="458" spans="1:18" hidden="1" x14ac:dyDescent="0.35">
      <c r="A458" s="16" t="s">
        <v>853</v>
      </c>
      <c r="B458" s="9" t="s">
        <v>2828</v>
      </c>
      <c r="C458" s="9" t="s">
        <v>2828</v>
      </c>
      <c r="D458" s="9" t="e">
        <f>VLOOKUP(RBE!C458,Permis[[#This Row],[Parties]],1,0)</f>
        <v>#N/A</v>
      </c>
      <c r="E458" s="9" t="s">
        <v>2835</v>
      </c>
      <c r="F458" s="10" t="s">
        <v>2836</v>
      </c>
      <c r="G458" s="10" t="str">
        <f t="shared" si="21"/>
        <v>2021</v>
      </c>
      <c r="H458" s="10" t="s">
        <v>1905</v>
      </c>
      <c r="I458" s="10" t="s">
        <v>1905</v>
      </c>
      <c r="J458" s="9" t="s">
        <v>1912</v>
      </c>
      <c r="K458" s="9" t="s">
        <v>1912</v>
      </c>
      <c r="L458" s="9" t="s">
        <v>1905</v>
      </c>
      <c r="M458" s="9">
        <v>0</v>
      </c>
      <c r="N458" s="9" t="s">
        <v>1905</v>
      </c>
      <c r="O458" s="9" t="s">
        <v>1898</v>
      </c>
      <c r="P458" s="16" t="s">
        <v>853</v>
      </c>
      <c r="Q458">
        <f t="shared" si="22"/>
        <v>0</v>
      </c>
      <c r="R458" t="b">
        <f t="shared" si="23"/>
        <v>0</v>
      </c>
    </row>
    <row r="459" spans="1:18" hidden="1" x14ac:dyDescent="0.35">
      <c r="A459" s="16" t="s">
        <v>853</v>
      </c>
      <c r="B459" s="9" t="s">
        <v>2828</v>
      </c>
      <c r="C459" s="9" t="s">
        <v>2828</v>
      </c>
      <c r="D459" s="9" t="e">
        <f>VLOOKUP(RBE!C459,Permis[[#This Row],[Parties]],1,0)</f>
        <v>#N/A</v>
      </c>
      <c r="E459" s="9" t="s">
        <v>2835</v>
      </c>
      <c r="F459" s="10" t="s">
        <v>2837</v>
      </c>
      <c r="G459" s="10" t="str">
        <f t="shared" si="21"/>
        <v>2022</v>
      </c>
      <c r="H459" s="10">
        <v>100</v>
      </c>
      <c r="I459" s="10">
        <v>100</v>
      </c>
      <c r="J459" s="9" t="s">
        <v>1912</v>
      </c>
      <c r="K459" s="9" t="s">
        <v>1912</v>
      </c>
      <c r="L459" s="9" t="s">
        <v>1905</v>
      </c>
      <c r="M459" s="9">
        <v>0</v>
      </c>
      <c r="N459" s="9" t="s">
        <v>1905</v>
      </c>
      <c r="O459" s="9" t="s">
        <v>1898</v>
      </c>
      <c r="P459" s="16" t="s">
        <v>853</v>
      </c>
      <c r="Q459">
        <f t="shared" si="22"/>
        <v>0</v>
      </c>
      <c r="R459" t="b">
        <f t="shared" si="23"/>
        <v>0</v>
      </c>
    </row>
    <row r="460" spans="1:18" hidden="1" x14ac:dyDescent="0.35">
      <c r="A460" s="16" t="s">
        <v>1627</v>
      </c>
      <c r="B460" s="9" t="s">
        <v>2838</v>
      </c>
      <c r="C460" s="9" t="s">
        <v>2838</v>
      </c>
      <c r="D460" s="9" t="e">
        <f>VLOOKUP(RBE!C460,Permis[[#This Row],[Parties]],1,0)</f>
        <v>#N/A</v>
      </c>
      <c r="E460" s="9" t="s">
        <v>2839</v>
      </c>
      <c r="F460" s="10" t="s">
        <v>2840</v>
      </c>
      <c r="G460" s="10" t="str">
        <f t="shared" si="21"/>
        <v>2022</v>
      </c>
      <c r="H460" s="10" t="s">
        <v>1905</v>
      </c>
      <c r="I460" s="10" t="s">
        <v>1905</v>
      </c>
      <c r="J460" s="9" t="s">
        <v>1912</v>
      </c>
      <c r="K460" s="9" t="s">
        <v>1912</v>
      </c>
      <c r="L460" s="9" t="s">
        <v>1905</v>
      </c>
      <c r="M460" s="9">
        <v>0</v>
      </c>
      <c r="N460" s="9" t="s">
        <v>1905</v>
      </c>
      <c r="O460" s="9" t="s">
        <v>1898</v>
      </c>
      <c r="P460" s="16" t="s">
        <v>1627</v>
      </c>
      <c r="Q460">
        <f t="shared" si="22"/>
        <v>0</v>
      </c>
      <c r="R460" t="b">
        <f t="shared" si="23"/>
        <v>0</v>
      </c>
    </row>
    <row r="461" spans="1:18" hidden="1" x14ac:dyDescent="0.35">
      <c r="A461" s="16" t="s">
        <v>1627</v>
      </c>
      <c r="B461" s="9" t="s">
        <v>2838</v>
      </c>
      <c r="C461" s="9" t="s">
        <v>2838</v>
      </c>
      <c r="D461" s="9" t="e">
        <f>VLOOKUP(RBE!C461,Permis[[#This Row],[Parties]],1,0)</f>
        <v>#N/A</v>
      </c>
      <c r="E461" s="9" t="s">
        <v>2839</v>
      </c>
      <c r="F461" s="10" t="s">
        <v>2841</v>
      </c>
      <c r="G461" s="10" t="str">
        <f t="shared" si="21"/>
        <v>2022</v>
      </c>
      <c r="H461" s="10" t="s">
        <v>1905</v>
      </c>
      <c r="I461" s="10" t="s">
        <v>1905</v>
      </c>
      <c r="J461" s="9" t="s">
        <v>1912</v>
      </c>
      <c r="K461" s="9" t="s">
        <v>1912</v>
      </c>
      <c r="L461" s="9" t="s">
        <v>1905</v>
      </c>
      <c r="M461" s="9">
        <v>0</v>
      </c>
      <c r="N461" s="9" t="s">
        <v>1905</v>
      </c>
      <c r="O461" s="9" t="s">
        <v>1898</v>
      </c>
      <c r="P461" s="16" t="s">
        <v>1627</v>
      </c>
      <c r="Q461">
        <f t="shared" si="22"/>
        <v>0</v>
      </c>
      <c r="R461" t="b">
        <f t="shared" si="23"/>
        <v>0</v>
      </c>
    </row>
    <row r="462" spans="1:18" hidden="1" x14ac:dyDescent="0.35">
      <c r="A462" s="16" t="s">
        <v>1627</v>
      </c>
      <c r="B462" s="9" t="s">
        <v>2842</v>
      </c>
      <c r="C462" s="9" t="s">
        <v>2842</v>
      </c>
      <c r="D462" s="9" t="e">
        <f>VLOOKUP(RBE!C462,Permis[[#This Row],[Parties]],1,0)</f>
        <v>#N/A</v>
      </c>
      <c r="E462" s="9" t="s">
        <v>2843</v>
      </c>
      <c r="F462" s="10" t="s">
        <v>2844</v>
      </c>
      <c r="G462" s="10" t="str">
        <f t="shared" si="21"/>
        <v>2023</v>
      </c>
      <c r="H462" s="10" t="s">
        <v>1905</v>
      </c>
      <c r="I462" s="10" t="s">
        <v>1905</v>
      </c>
      <c r="J462" s="9" t="s">
        <v>2845</v>
      </c>
      <c r="K462" s="9" t="s">
        <v>2845</v>
      </c>
      <c r="L462" s="9" t="s">
        <v>1905</v>
      </c>
      <c r="M462" s="9">
        <v>0</v>
      </c>
      <c r="N462" s="9" t="s">
        <v>1905</v>
      </c>
      <c r="O462" s="9" t="s">
        <v>1898</v>
      </c>
      <c r="P462" s="16" t="s">
        <v>1627</v>
      </c>
      <c r="Q462">
        <f t="shared" si="22"/>
        <v>0</v>
      </c>
      <c r="R462" t="b">
        <f t="shared" si="23"/>
        <v>0</v>
      </c>
    </row>
    <row r="463" spans="1:18" hidden="1" x14ac:dyDescent="0.35">
      <c r="A463" s="16" t="s">
        <v>2846</v>
      </c>
      <c r="B463" s="9" t="s">
        <v>2842</v>
      </c>
      <c r="C463" s="9" t="s">
        <v>2842</v>
      </c>
      <c r="D463" s="9" t="e">
        <f>VLOOKUP(RBE!C463,Permis[[#This Row],[Parties]],1,0)</f>
        <v>#N/A</v>
      </c>
      <c r="E463" s="9" t="s">
        <v>2847</v>
      </c>
      <c r="F463" s="10" t="s">
        <v>2848</v>
      </c>
      <c r="G463" s="10" t="str">
        <f t="shared" si="21"/>
        <v>2022</v>
      </c>
      <c r="H463" s="10">
        <v>5</v>
      </c>
      <c r="I463" s="10" t="s">
        <v>1905</v>
      </c>
      <c r="J463" s="9" t="s">
        <v>1912</v>
      </c>
      <c r="K463" s="9" t="s">
        <v>1912</v>
      </c>
      <c r="L463" s="9" t="s">
        <v>1905</v>
      </c>
      <c r="M463" s="9">
        <v>0</v>
      </c>
      <c r="N463" s="9" t="s">
        <v>1905</v>
      </c>
      <c r="O463" s="9" t="s">
        <v>1898</v>
      </c>
      <c r="P463" s="16" t="s">
        <v>2846</v>
      </c>
      <c r="Q463">
        <f t="shared" si="22"/>
        <v>0</v>
      </c>
      <c r="R463" t="b">
        <f t="shared" si="23"/>
        <v>0</v>
      </c>
    </row>
    <row r="464" spans="1:18" hidden="1" x14ac:dyDescent="0.35">
      <c r="A464" s="16" t="s">
        <v>2846</v>
      </c>
      <c r="B464" s="9" t="s">
        <v>2842</v>
      </c>
      <c r="C464" s="9" t="s">
        <v>2842</v>
      </c>
      <c r="D464" s="9" t="e">
        <f>VLOOKUP(RBE!C464,Permis[[#This Row],[Parties]],1,0)</f>
        <v>#N/A</v>
      </c>
      <c r="E464" s="9" t="s">
        <v>2849</v>
      </c>
      <c r="F464" s="10" t="s">
        <v>2848</v>
      </c>
      <c r="G464" s="10" t="str">
        <f t="shared" si="21"/>
        <v>2022</v>
      </c>
      <c r="H464" s="10">
        <v>55</v>
      </c>
      <c r="I464" s="10" t="s">
        <v>1905</v>
      </c>
      <c r="J464" s="9" t="s">
        <v>1912</v>
      </c>
      <c r="K464" s="9" t="s">
        <v>1912</v>
      </c>
      <c r="L464" s="9" t="s">
        <v>1905</v>
      </c>
      <c r="M464" s="9">
        <v>0</v>
      </c>
      <c r="N464" s="9" t="s">
        <v>1905</v>
      </c>
      <c r="O464" s="9" t="s">
        <v>1898</v>
      </c>
      <c r="P464" s="16" t="s">
        <v>2846</v>
      </c>
      <c r="Q464">
        <f t="shared" si="22"/>
        <v>0</v>
      </c>
      <c r="R464" t="b">
        <f t="shared" si="23"/>
        <v>0</v>
      </c>
    </row>
    <row r="465" spans="1:18" hidden="1" x14ac:dyDescent="0.35">
      <c r="A465" s="16" t="s">
        <v>2846</v>
      </c>
      <c r="B465" s="9" t="s">
        <v>2842</v>
      </c>
      <c r="C465" s="9" t="s">
        <v>2842</v>
      </c>
      <c r="D465" s="9" t="e">
        <f>VLOOKUP(RBE!C465,Permis[[#This Row],[Parties]],1,0)</f>
        <v>#N/A</v>
      </c>
      <c r="E465" s="9" t="s">
        <v>2850</v>
      </c>
      <c r="F465" s="10" t="s">
        <v>2848</v>
      </c>
      <c r="G465" s="10" t="str">
        <f t="shared" si="21"/>
        <v>2022</v>
      </c>
      <c r="H465" s="10">
        <v>40</v>
      </c>
      <c r="I465" s="10" t="s">
        <v>1905</v>
      </c>
      <c r="J465" s="9" t="s">
        <v>2323</v>
      </c>
      <c r="K465" s="9" t="s">
        <v>2323</v>
      </c>
      <c r="L465" s="9" t="s">
        <v>1905</v>
      </c>
      <c r="M465" s="9" t="s">
        <v>1905</v>
      </c>
      <c r="N465" s="9" t="s">
        <v>1905</v>
      </c>
      <c r="O465" s="9" t="s">
        <v>1898</v>
      </c>
      <c r="P465" s="16" t="s">
        <v>2846</v>
      </c>
      <c r="Q465">
        <f t="shared" si="22"/>
        <v>0</v>
      </c>
      <c r="R465" t="b">
        <f t="shared" si="23"/>
        <v>0</v>
      </c>
    </row>
    <row r="466" spans="1:18" hidden="1" x14ac:dyDescent="0.35">
      <c r="A466" s="16" t="s">
        <v>2846</v>
      </c>
      <c r="B466" s="9" t="s">
        <v>2842</v>
      </c>
      <c r="C466" s="9" t="s">
        <v>2842</v>
      </c>
      <c r="D466" s="9" t="e">
        <f>VLOOKUP(RBE!C466,Permis[[#This Row],[Parties]],1,0)</f>
        <v>#N/A</v>
      </c>
      <c r="E466" s="9" t="s">
        <v>2851</v>
      </c>
      <c r="F466" s="10" t="s">
        <v>2852</v>
      </c>
      <c r="G466" s="10" t="str">
        <f t="shared" si="21"/>
        <v>2023</v>
      </c>
      <c r="H466" s="10" t="s">
        <v>1905</v>
      </c>
      <c r="I466" s="10" t="s">
        <v>1905</v>
      </c>
      <c r="J466" s="9" t="s">
        <v>1912</v>
      </c>
      <c r="K466" s="9" t="s">
        <v>1912</v>
      </c>
      <c r="L466" s="9" t="s">
        <v>1905</v>
      </c>
      <c r="M466" s="9">
        <v>0</v>
      </c>
      <c r="N466" s="9" t="s">
        <v>1905</v>
      </c>
      <c r="O466" s="9" t="s">
        <v>1898</v>
      </c>
      <c r="P466" s="16" t="s">
        <v>2846</v>
      </c>
      <c r="Q466">
        <f t="shared" si="22"/>
        <v>0</v>
      </c>
      <c r="R466" t="b">
        <f t="shared" si="23"/>
        <v>0</v>
      </c>
    </row>
    <row r="467" spans="1:18" hidden="1" x14ac:dyDescent="0.35">
      <c r="A467" s="16" t="s">
        <v>2846</v>
      </c>
      <c r="B467" s="9" t="s">
        <v>2842</v>
      </c>
      <c r="C467" s="9" t="s">
        <v>2842</v>
      </c>
      <c r="D467" s="9" t="e">
        <f>VLOOKUP(RBE!C467,Permis[[#This Row],[Parties]],1,0)</f>
        <v>#N/A</v>
      </c>
      <c r="E467" s="9" t="s">
        <v>2853</v>
      </c>
      <c r="F467" s="10" t="s">
        <v>2852</v>
      </c>
      <c r="G467" s="10" t="str">
        <f t="shared" si="21"/>
        <v>2023</v>
      </c>
      <c r="H467" s="10" t="s">
        <v>1905</v>
      </c>
      <c r="I467" s="10" t="s">
        <v>1905</v>
      </c>
      <c r="J467" s="9" t="s">
        <v>1912</v>
      </c>
      <c r="K467" s="9" t="s">
        <v>1912</v>
      </c>
      <c r="L467" s="9" t="s">
        <v>1905</v>
      </c>
      <c r="M467" s="9">
        <v>0</v>
      </c>
      <c r="N467" s="9" t="s">
        <v>1905</v>
      </c>
      <c r="O467" s="9" t="s">
        <v>1898</v>
      </c>
      <c r="P467" s="16" t="s">
        <v>2846</v>
      </c>
      <c r="Q467">
        <f t="shared" si="22"/>
        <v>0</v>
      </c>
      <c r="R467" t="b">
        <f t="shared" si="23"/>
        <v>0</v>
      </c>
    </row>
    <row r="468" spans="1:18" hidden="1" x14ac:dyDescent="0.35">
      <c r="A468" s="16" t="s">
        <v>2846</v>
      </c>
      <c r="B468" s="9" t="s">
        <v>2842</v>
      </c>
      <c r="C468" s="9" t="s">
        <v>2842</v>
      </c>
      <c r="D468" s="9" t="e">
        <f>VLOOKUP(RBE!C468,Permis[[#This Row],[Parties]],1,0)</f>
        <v>#N/A</v>
      </c>
      <c r="E468" s="9" t="s">
        <v>2854</v>
      </c>
      <c r="F468" s="10" t="s">
        <v>2852</v>
      </c>
      <c r="G468" s="10" t="str">
        <f t="shared" si="21"/>
        <v>2023</v>
      </c>
      <c r="H468" s="10" t="s">
        <v>1905</v>
      </c>
      <c r="I468" s="10" t="s">
        <v>1905</v>
      </c>
      <c r="J468" s="9" t="s">
        <v>1912</v>
      </c>
      <c r="K468" s="9" t="s">
        <v>1912</v>
      </c>
      <c r="L468" s="9" t="s">
        <v>1905</v>
      </c>
      <c r="M468" s="9">
        <v>0</v>
      </c>
      <c r="N468" s="9" t="s">
        <v>1905</v>
      </c>
      <c r="O468" s="9" t="s">
        <v>1898</v>
      </c>
      <c r="P468" s="16" t="s">
        <v>2846</v>
      </c>
      <c r="Q468">
        <f t="shared" si="22"/>
        <v>0</v>
      </c>
      <c r="R468" t="b">
        <f t="shared" si="23"/>
        <v>0</v>
      </c>
    </row>
    <row r="469" spans="1:18" hidden="1" x14ac:dyDescent="0.35">
      <c r="A469" s="16" t="s">
        <v>2846</v>
      </c>
      <c r="B469" s="9" t="s">
        <v>2842</v>
      </c>
      <c r="C469" s="9" t="s">
        <v>2842</v>
      </c>
      <c r="D469" s="9" t="e">
        <f>VLOOKUP(RBE!C469,Permis[[#This Row],[Parties]],1,0)</f>
        <v>#N/A</v>
      </c>
      <c r="E469" s="9" t="s">
        <v>2855</v>
      </c>
      <c r="F469" s="10" t="s">
        <v>2852</v>
      </c>
      <c r="G469" s="10" t="str">
        <f t="shared" si="21"/>
        <v>2023</v>
      </c>
      <c r="H469" s="10" t="s">
        <v>1905</v>
      </c>
      <c r="I469" s="10" t="s">
        <v>1905</v>
      </c>
      <c r="J469" s="9" t="s">
        <v>1912</v>
      </c>
      <c r="K469" s="9" t="s">
        <v>1912</v>
      </c>
      <c r="L469" s="9" t="s">
        <v>1905</v>
      </c>
      <c r="M469" s="9">
        <v>0</v>
      </c>
      <c r="N469" s="9" t="s">
        <v>1905</v>
      </c>
      <c r="O469" s="9" t="s">
        <v>1898</v>
      </c>
      <c r="P469" s="16" t="s">
        <v>2846</v>
      </c>
      <c r="Q469">
        <f t="shared" si="22"/>
        <v>0</v>
      </c>
      <c r="R469" t="b">
        <f t="shared" si="23"/>
        <v>0</v>
      </c>
    </row>
    <row r="470" spans="1:18" hidden="1" x14ac:dyDescent="0.35">
      <c r="A470" s="16" t="s">
        <v>2846</v>
      </c>
      <c r="B470" s="9" t="s">
        <v>2842</v>
      </c>
      <c r="C470" s="9" t="s">
        <v>2842</v>
      </c>
      <c r="D470" s="9" t="e">
        <f>VLOOKUP(RBE!C470,Permis[[#This Row],[Parties]],1,0)</f>
        <v>#N/A</v>
      </c>
      <c r="E470" s="9" t="s">
        <v>2856</v>
      </c>
      <c r="F470" s="10" t="s">
        <v>2852</v>
      </c>
      <c r="G470" s="10" t="str">
        <f t="shared" si="21"/>
        <v>2023</v>
      </c>
      <c r="H470" s="10" t="s">
        <v>1905</v>
      </c>
      <c r="I470" s="10" t="s">
        <v>1905</v>
      </c>
      <c r="J470" s="9" t="s">
        <v>1912</v>
      </c>
      <c r="K470" s="9" t="s">
        <v>1912</v>
      </c>
      <c r="L470" s="9" t="s">
        <v>1905</v>
      </c>
      <c r="M470" s="9">
        <v>0</v>
      </c>
      <c r="N470" s="9" t="s">
        <v>1905</v>
      </c>
      <c r="O470" s="9" t="s">
        <v>1898</v>
      </c>
      <c r="P470" s="16" t="s">
        <v>2846</v>
      </c>
      <c r="Q470">
        <f t="shared" si="22"/>
        <v>0</v>
      </c>
      <c r="R470" t="b">
        <f t="shared" si="23"/>
        <v>0</v>
      </c>
    </row>
    <row r="471" spans="1:18" hidden="1" x14ac:dyDescent="0.35">
      <c r="A471" s="16" t="s">
        <v>2846</v>
      </c>
      <c r="B471" s="9" t="s">
        <v>2857</v>
      </c>
      <c r="C471" s="9" t="s">
        <v>2857</v>
      </c>
      <c r="D471" s="9" t="e">
        <f>VLOOKUP(RBE!C471,Permis[[#This Row],[Parties]],1,0)</f>
        <v>#N/A</v>
      </c>
      <c r="E471" s="9" t="s">
        <v>2858</v>
      </c>
      <c r="F471" s="10" t="s">
        <v>2852</v>
      </c>
      <c r="G471" s="10" t="str">
        <f t="shared" si="21"/>
        <v>2023</v>
      </c>
      <c r="H471" s="10" t="s">
        <v>1905</v>
      </c>
      <c r="I471" s="10" t="s">
        <v>1905</v>
      </c>
      <c r="J471" s="9" t="s">
        <v>1912</v>
      </c>
      <c r="K471" s="9" t="s">
        <v>1912</v>
      </c>
      <c r="L471" s="9" t="s">
        <v>1905</v>
      </c>
      <c r="M471" s="9">
        <v>0</v>
      </c>
      <c r="N471" s="9" t="s">
        <v>1905</v>
      </c>
      <c r="O471" s="9" t="s">
        <v>1898</v>
      </c>
      <c r="P471" s="16" t="s">
        <v>2846</v>
      </c>
      <c r="Q471">
        <f t="shared" si="22"/>
        <v>0</v>
      </c>
      <c r="R471" t="b">
        <f t="shared" si="23"/>
        <v>0</v>
      </c>
    </row>
    <row r="472" spans="1:18" hidden="1" x14ac:dyDescent="0.35">
      <c r="A472" s="16" t="s">
        <v>2846</v>
      </c>
      <c r="B472" s="9" t="s">
        <v>2857</v>
      </c>
      <c r="C472" s="9" t="s">
        <v>2857</v>
      </c>
      <c r="D472" s="9" t="e">
        <f>VLOOKUP(RBE!C472,Permis[[#This Row],[Parties]],1,0)</f>
        <v>#N/A</v>
      </c>
      <c r="E472" s="9" t="s">
        <v>2859</v>
      </c>
      <c r="F472" s="10" t="s">
        <v>2852</v>
      </c>
      <c r="G472" s="10" t="str">
        <f t="shared" si="21"/>
        <v>2023</v>
      </c>
      <c r="H472" s="10" t="s">
        <v>1905</v>
      </c>
      <c r="I472" s="10" t="s">
        <v>1905</v>
      </c>
      <c r="J472" s="9" t="s">
        <v>1912</v>
      </c>
      <c r="K472" s="9" t="s">
        <v>1912</v>
      </c>
      <c r="L472" s="9" t="s">
        <v>1905</v>
      </c>
      <c r="M472" s="9">
        <v>0</v>
      </c>
      <c r="N472" s="9" t="s">
        <v>1905</v>
      </c>
      <c r="O472" s="9" t="s">
        <v>1898</v>
      </c>
      <c r="P472" s="16" t="s">
        <v>2846</v>
      </c>
      <c r="Q472">
        <f t="shared" si="22"/>
        <v>0</v>
      </c>
      <c r="R472" t="b">
        <f t="shared" si="23"/>
        <v>0</v>
      </c>
    </row>
    <row r="473" spans="1:18" hidden="1" x14ac:dyDescent="0.35">
      <c r="A473" s="16" t="s">
        <v>2846</v>
      </c>
      <c r="B473" s="9" t="s">
        <v>2857</v>
      </c>
      <c r="C473" s="9" t="s">
        <v>2857</v>
      </c>
      <c r="D473" s="9" t="e">
        <f>VLOOKUP(RBE!C473,Permis[[#This Row],[Parties]],1,0)</f>
        <v>#N/A</v>
      </c>
      <c r="E473" s="9" t="s">
        <v>2860</v>
      </c>
      <c r="F473" s="10" t="s">
        <v>2852</v>
      </c>
      <c r="G473" s="10" t="str">
        <f t="shared" si="21"/>
        <v>2023</v>
      </c>
      <c r="H473" s="10" t="s">
        <v>1905</v>
      </c>
      <c r="I473" s="10" t="s">
        <v>1905</v>
      </c>
      <c r="J473" s="9" t="s">
        <v>1912</v>
      </c>
      <c r="K473" s="9" t="s">
        <v>1912</v>
      </c>
      <c r="L473" s="9" t="s">
        <v>1905</v>
      </c>
      <c r="M473" s="9">
        <v>0</v>
      </c>
      <c r="N473" s="9" t="s">
        <v>1905</v>
      </c>
      <c r="O473" s="9" t="s">
        <v>1898</v>
      </c>
      <c r="P473" s="16" t="s">
        <v>2846</v>
      </c>
      <c r="Q473">
        <f t="shared" si="22"/>
        <v>0</v>
      </c>
      <c r="R473" t="b">
        <f t="shared" si="23"/>
        <v>0</v>
      </c>
    </row>
    <row r="474" spans="1:18" hidden="1" x14ac:dyDescent="0.35">
      <c r="A474" s="16" t="s">
        <v>2846</v>
      </c>
      <c r="B474" s="9" t="s">
        <v>2861</v>
      </c>
      <c r="C474" s="9" t="s">
        <v>2861</v>
      </c>
      <c r="D474" s="9" t="e">
        <f>VLOOKUP(RBE!C474,Permis[[#This Row],[Parties]],1,0)</f>
        <v>#N/A</v>
      </c>
      <c r="E474" s="9" t="s">
        <v>2862</v>
      </c>
      <c r="F474" s="10" t="s">
        <v>2852</v>
      </c>
      <c r="G474" s="10" t="str">
        <f t="shared" si="21"/>
        <v>2023</v>
      </c>
      <c r="H474" s="10" t="s">
        <v>1905</v>
      </c>
      <c r="I474" s="10" t="s">
        <v>1905</v>
      </c>
      <c r="J474" s="9" t="s">
        <v>1912</v>
      </c>
      <c r="K474" s="9" t="s">
        <v>1912</v>
      </c>
      <c r="L474" s="9" t="s">
        <v>1905</v>
      </c>
      <c r="M474" s="9">
        <v>0</v>
      </c>
      <c r="N474" s="9" t="s">
        <v>1905</v>
      </c>
      <c r="O474" s="9" t="s">
        <v>1898</v>
      </c>
      <c r="P474" s="16" t="s">
        <v>2846</v>
      </c>
      <c r="Q474">
        <f t="shared" si="22"/>
        <v>0</v>
      </c>
      <c r="R474" t="b">
        <f t="shared" si="23"/>
        <v>0</v>
      </c>
    </row>
    <row r="475" spans="1:18" hidden="1" x14ac:dyDescent="0.35">
      <c r="A475" s="16" t="s">
        <v>2846</v>
      </c>
      <c r="B475" s="9" t="s">
        <v>2863</v>
      </c>
      <c r="C475" s="9" t="s">
        <v>2863</v>
      </c>
      <c r="D475" s="9" t="e">
        <f>VLOOKUP(RBE!C475,Permis[[#This Row],[Parties]],1,0)</f>
        <v>#N/A</v>
      </c>
      <c r="E475" s="9" t="s">
        <v>2864</v>
      </c>
      <c r="F475" s="10" t="s">
        <v>2852</v>
      </c>
      <c r="G475" s="10" t="str">
        <f t="shared" si="21"/>
        <v>2023</v>
      </c>
      <c r="H475" s="10" t="s">
        <v>1905</v>
      </c>
      <c r="I475" s="10" t="s">
        <v>1905</v>
      </c>
      <c r="J475" s="9" t="s">
        <v>1912</v>
      </c>
      <c r="K475" s="9" t="s">
        <v>1912</v>
      </c>
      <c r="L475" s="9" t="s">
        <v>1905</v>
      </c>
      <c r="M475" s="9">
        <v>0</v>
      </c>
      <c r="N475" s="9" t="s">
        <v>1905</v>
      </c>
      <c r="O475" s="9" t="s">
        <v>1898</v>
      </c>
      <c r="P475" s="16" t="s">
        <v>2846</v>
      </c>
      <c r="Q475">
        <f t="shared" si="22"/>
        <v>0</v>
      </c>
      <c r="R475" t="b">
        <f t="shared" si="23"/>
        <v>0</v>
      </c>
    </row>
    <row r="476" spans="1:18" hidden="1" x14ac:dyDescent="0.35">
      <c r="A476" s="16" t="s">
        <v>2846</v>
      </c>
      <c r="B476" s="9" t="s">
        <v>2865</v>
      </c>
      <c r="C476" s="9" t="s">
        <v>2865</v>
      </c>
      <c r="D476" s="9" t="e">
        <f>VLOOKUP(RBE!C476,Permis[[#This Row],[Parties]],1,0)</f>
        <v>#N/A</v>
      </c>
      <c r="E476" s="9" t="s">
        <v>2866</v>
      </c>
      <c r="F476" s="10" t="s">
        <v>2852</v>
      </c>
      <c r="G476" s="10" t="str">
        <f t="shared" si="21"/>
        <v>2023</v>
      </c>
      <c r="H476" s="10" t="s">
        <v>1905</v>
      </c>
      <c r="I476" s="10" t="s">
        <v>1905</v>
      </c>
      <c r="J476" s="9" t="s">
        <v>1912</v>
      </c>
      <c r="K476" s="9" t="s">
        <v>1912</v>
      </c>
      <c r="L476" s="9" t="s">
        <v>1905</v>
      </c>
      <c r="M476" s="9">
        <v>0</v>
      </c>
      <c r="N476" s="9" t="s">
        <v>1905</v>
      </c>
      <c r="O476" s="9" t="s">
        <v>1898</v>
      </c>
      <c r="P476" s="16" t="s">
        <v>2846</v>
      </c>
      <c r="Q476">
        <f t="shared" si="22"/>
        <v>0</v>
      </c>
      <c r="R476" t="b">
        <f t="shared" si="23"/>
        <v>0</v>
      </c>
    </row>
    <row r="477" spans="1:18" hidden="1" x14ac:dyDescent="0.35">
      <c r="A477" s="16" t="s">
        <v>2846</v>
      </c>
      <c r="B477" s="9" t="s">
        <v>2865</v>
      </c>
      <c r="C477" s="9" t="s">
        <v>2865</v>
      </c>
      <c r="D477" s="9" t="e">
        <f>VLOOKUP(RBE!C477,Permis[[#This Row],[Parties]],1,0)</f>
        <v>#N/A</v>
      </c>
      <c r="E477" s="9" t="s">
        <v>2867</v>
      </c>
      <c r="F477" s="10" t="s">
        <v>2852</v>
      </c>
      <c r="G477" s="10" t="str">
        <f t="shared" si="21"/>
        <v>2023</v>
      </c>
      <c r="H477" s="10" t="s">
        <v>1905</v>
      </c>
      <c r="I477" s="10" t="s">
        <v>1905</v>
      </c>
      <c r="J477" s="9" t="s">
        <v>1912</v>
      </c>
      <c r="K477" s="9" t="s">
        <v>1912</v>
      </c>
      <c r="L477" s="9" t="s">
        <v>1905</v>
      </c>
      <c r="M477" s="9">
        <v>0</v>
      </c>
      <c r="N477" s="9" t="s">
        <v>1905</v>
      </c>
      <c r="O477" s="9" t="s">
        <v>1898</v>
      </c>
      <c r="P477" s="16" t="s">
        <v>2846</v>
      </c>
      <c r="Q477">
        <f t="shared" si="22"/>
        <v>0</v>
      </c>
      <c r="R477" t="b">
        <f t="shared" si="23"/>
        <v>0</v>
      </c>
    </row>
    <row r="478" spans="1:18" hidden="1" x14ac:dyDescent="0.35">
      <c r="A478" s="16" t="s">
        <v>101</v>
      </c>
      <c r="B478" s="9" t="s">
        <v>1947</v>
      </c>
      <c r="C478" s="9" t="s">
        <v>3137</v>
      </c>
      <c r="D478" s="9" t="e">
        <f>VLOOKUP(RBE!C478,Permis[[#This Row],[Parties]],1,0)</f>
        <v>#N/A</v>
      </c>
      <c r="E478" s="9" t="s">
        <v>1948</v>
      </c>
      <c r="F478" s="10" t="s">
        <v>1945</v>
      </c>
      <c r="G478" s="10" t="str">
        <f t="shared" si="21"/>
        <v>2021</v>
      </c>
      <c r="H478" s="10">
        <v>55</v>
      </c>
      <c r="I478" s="10">
        <v>55</v>
      </c>
      <c r="J478" s="9" t="s">
        <v>1912</v>
      </c>
      <c r="K478" s="9" t="s">
        <v>1912</v>
      </c>
      <c r="L478" s="9" t="s">
        <v>1905</v>
      </c>
      <c r="M478" s="9">
        <v>0</v>
      </c>
      <c r="N478" s="9" t="s">
        <v>1905</v>
      </c>
      <c r="O478" s="9" t="s">
        <v>1898</v>
      </c>
      <c r="P478" s="16" t="s">
        <v>101</v>
      </c>
      <c r="Q478">
        <f t="shared" si="22"/>
        <v>0</v>
      </c>
      <c r="R478" t="b">
        <f t="shared" si="23"/>
        <v>0</v>
      </c>
    </row>
    <row r="479" spans="1:18" hidden="1" x14ac:dyDescent="0.35">
      <c r="A479" s="16" t="s">
        <v>2846</v>
      </c>
      <c r="B479" s="9" t="s">
        <v>2868</v>
      </c>
      <c r="C479" s="9" t="s">
        <v>2868</v>
      </c>
      <c r="D479" s="9" t="e">
        <f>VLOOKUP(RBE!C479,Permis[[#This Row],[Parties]],1,0)</f>
        <v>#N/A</v>
      </c>
      <c r="E479" s="9" t="s">
        <v>2753</v>
      </c>
      <c r="F479" s="10" t="s">
        <v>2852</v>
      </c>
      <c r="G479" s="10" t="str">
        <f t="shared" si="21"/>
        <v>2023</v>
      </c>
      <c r="H479" s="10" t="s">
        <v>1905</v>
      </c>
      <c r="I479" s="10" t="s">
        <v>1905</v>
      </c>
      <c r="J479" s="9" t="s">
        <v>1912</v>
      </c>
      <c r="K479" s="9" t="s">
        <v>1912</v>
      </c>
      <c r="L479" s="9" t="s">
        <v>1905</v>
      </c>
      <c r="M479" s="9">
        <v>0</v>
      </c>
      <c r="N479" s="9" t="s">
        <v>1905</v>
      </c>
      <c r="O479" s="9" t="s">
        <v>1898</v>
      </c>
      <c r="P479" s="16" t="s">
        <v>2846</v>
      </c>
      <c r="Q479">
        <f t="shared" si="22"/>
        <v>0</v>
      </c>
      <c r="R479" t="b">
        <f t="shared" si="23"/>
        <v>0</v>
      </c>
    </row>
    <row r="480" spans="1:18" hidden="1" x14ac:dyDescent="0.35">
      <c r="A480" s="16" t="s">
        <v>2846</v>
      </c>
      <c r="B480" s="9" t="s">
        <v>2868</v>
      </c>
      <c r="C480" s="9" t="s">
        <v>2868</v>
      </c>
      <c r="D480" s="9" t="e">
        <f>VLOOKUP(RBE!C480,Permis[[#This Row],[Parties]],1,0)</f>
        <v>#N/A</v>
      </c>
      <c r="E480" s="9" t="s">
        <v>2869</v>
      </c>
      <c r="F480" s="10" t="s">
        <v>2852</v>
      </c>
      <c r="G480" s="10" t="str">
        <f t="shared" si="21"/>
        <v>2023</v>
      </c>
      <c r="H480" s="10" t="s">
        <v>1905</v>
      </c>
      <c r="I480" s="10" t="s">
        <v>1905</v>
      </c>
      <c r="J480" s="9" t="s">
        <v>1912</v>
      </c>
      <c r="K480" s="9" t="s">
        <v>1912</v>
      </c>
      <c r="L480" s="9" t="s">
        <v>1905</v>
      </c>
      <c r="M480" s="9">
        <v>0</v>
      </c>
      <c r="N480" s="9" t="s">
        <v>1905</v>
      </c>
      <c r="O480" s="9" t="s">
        <v>1898</v>
      </c>
      <c r="P480" s="16" t="s">
        <v>2846</v>
      </c>
      <c r="Q480">
        <f t="shared" si="22"/>
        <v>0</v>
      </c>
      <c r="R480" t="b">
        <f t="shared" si="23"/>
        <v>0</v>
      </c>
    </row>
    <row r="481" spans="1:18" hidden="1" x14ac:dyDescent="0.35">
      <c r="A481" s="16" t="s">
        <v>2846</v>
      </c>
      <c r="B481" s="9" t="s">
        <v>2868</v>
      </c>
      <c r="C481" s="9" t="s">
        <v>2868</v>
      </c>
      <c r="D481" s="9" t="e">
        <f>VLOOKUP(RBE!C481,Permis[[#This Row],[Parties]],1,0)</f>
        <v>#N/A</v>
      </c>
      <c r="E481" s="9" t="s">
        <v>2870</v>
      </c>
      <c r="F481" s="10" t="s">
        <v>2852</v>
      </c>
      <c r="G481" s="10" t="str">
        <f t="shared" si="21"/>
        <v>2023</v>
      </c>
      <c r="H481" s="10" t="s">
        <v>1905</v>
      </c>
      <c r="I481" s="10" t="s">
        <v>1905</v>
      </c>
      <c r="J481" s="9" t="s">
        <v>1912</v>
      </c>
      <c r="K481" s="9" t="s">
        <v>1912</v>
      </c>
      <c r="L481" s="9" t="s">
        <v>1905</v>
      </c>
      <c r="M481" s="9">
        <v>0</v>
      </c>
      <c r="N481" s="9" t="s">
        <v>1905</v>
      </c>
      <c r="O481" s="9" t="s">
        <v>1898</v>
      </c>
      <c r="P481" s="16" t="s">
        <v>2846</v>
      </c>
      <c r="Q481">
        <f t="shared" si="22"/>
        <v>0</v>
      </c>
      <c r="R481" t="b">
        <f t="shared" si="23"/>
        <v>0</v>
      </c>
    </row>
    <row r="482" spans="1:18" hidden="1" x14ac:dyDescent="0.35">
      <c r="A482" s="16" t="s">
        <v>2846</v>
      </c>
      <c r="B482" s="9" t="s">
        <v>2868</v>
      </c>
      <c r="C482" s="9" t="s">
        <v>2868</v>
      </c>
      <c r="D482" s="9" t="e">
        <f>VLOOKUP(RBE!C482,Permis[[#This Row],[Parties]],1,0)</f>
        <v>#N/A</v>
      </c>
      <c r="E482" s="9" t="s">
        <v>2871</v>
      </c>
      <c r="F482" s="10" t="s">
        <v>2852</v>
      </c>
      <c r="G482" s="10" t="str">
        <f t="shared" si="21"/>
        <v>2023</v>
      </c>
      <c r="H482" s="10" t="s">
        <v>1905</v>
      </c>
      <c r="I482" s="10" t="s">
        <v>1905</v>
      </c>
      <c r="J482" s="9" t="s">
        <v>1912</v>
      </c>
      <c r="K482" s="9" t="s">
        <v>1912</v>
      </c>
      <c r="L482" s="9" t="s">
        <v>1905</v>
      </c>
      <c r="M482" s="9">
        <v>0</v>
      </c>
      <c r="N482" s="9" t="s">
        <v>1905</v>
      </c>
      <c r="O482" s="9" t="s">
        <v>1898</v>
      </c>
      <c r="P482" s="16" t="s">
        <v>2846</v>
      </c>
      <c r="Q482">
        <f t="shared" si="22"/>
        <v>0</v>
      </c>
      <c r="R482" t="b">
        <f t="shared" si="23"/>
        <v>0</v>
      </c>
    </row>
    <row r="483" spans="1:18" hidden="1" x14ac:dyDescent="0.35">
      <c r="A483" s="16" t="s">
        <v>2846</v>
      </c>
      <c r="B483" s="9" t="s">
        <v>2868</v>
      </c>
      <c r="C483" s="9" t="s">
        <v>2868</v>
      </c>
      <c r="D483" s="9" t="e">
        <f>VLOOKUP(RBE!C483,Permis[[#This Row],[Parties]],1,0)</f>
        <v>#N/A</v>
      </c>
      <c r="E483" s="9" t="s">
        <v>2871</v>
      </c>
      <c r="F483" s="10" t="s">
        <v>2852</v>
      </c>
      <c r="G483" s="10" t="str">
        <f t="shared" si="21"/>
        <v>2023</v>
      </c>
      <c r="H483" s="10" t="s">
        <v>1905</v>
      </c>
      <c r="I483" s="10" t="s">
        <v>1905</v>
      </c>
      <c r="J483" s="9" t="s">
        <v>1912</v>
      </c>
      <c r="K483" s="9" t="s">
        <v>1912</v>
      </c>
      <c r="L483" s="9" t="s">
        <v>1905</v>
      </c>
      <c r="M483" s="9">
        <v>0</v>
      </c>
      <c r="N483" s="9" t="s">
        <v>1905</v>
      </c>
      <c r="O483" s="9" t="s">
        <v>1898</v>
      </c>
      <c r="P483" s="16" t="s">
        <v>2846</v>
      </c>
      <c r="Q483">
        <f t="shared" si="22"/>
        <v>0</v>
      </c>
      <c r="R483" t="b">
        <f t="shared" si="23"/>
        <v>0</v>
      </c>
    </row>
    <row r="484" spans="1:18" hidden="1" x14ac:dyDescent="0.35">
      <c r="A484" s="16" t="s">
        <v>2846</v>
      </c>
      <c r="B484" s="9" t="s">
        <v>2868</v>
      </c>
      <c r="C484" s="9" t="s">
        <v>2868</v>
      </c>
      <c r="D484" s="9" t="e">
        <f>VLOOKUP(RBE!C484,Permis[[#This Row],[Parties]],1,0)</f>
        <v>#N/A</v>
      </c>
      <c r="E484" s="9" t="s">
        <v>2872</v>
      </c>
      <c r="F484" s="10" t="s">
        <v>2852</v>
      </c>
      <c r="G484" s="10" t="str">
        <f t="shared" si="21"/>
        <v>2023</v>
      </c>
      <c r="H484" s="10" t="s">
        <v>1905</v>
      </c>
      <c r="I484" s="10" t="s">
        <v>1905</v>
      </c>
      <c r="J484" s="9" t="s">
        <v>1912</v>
      </c>
      <c r="K484" s="9" t="s">
        <v>1912</v>
      </c>
      <c r="L484" s="9" t="s">
        <v>1905</v>
      </c>
      <c r="M484" s="9">
        <v>0</v>
      </c>
      <c r="N484" s="9" t="s">
        <v>1905</v>
      </c>
      <c r="O484" s="9" t="s">
        <v>1898</v>
      </c>
      <c r="P484" s="16" t="s">
        <v>2846</v>
      </c>
      <c r="Q484">
        <f t="shared" si="22"/>
        <v>0</v>
      </c>
      <c r="R484" t="b">
        <f t="shared" si="23"/>
        <v>0</v>
      </c>
    </row>
    <row r="485" spans="1:18" hidden="1" x14ac:dyDescent="0.35">
      <c r="A485" s="16" t="s">
        <v>2846</v>
      </c>
      <c r="B485" s="9" t="s">
        <v>2868</v>
      </c>
      <c r="C485" s="9" t="s">
        <v>2868</v>
      </c>
      <c r="D485" s="9" t="e">
        <f>VLOOKUP(RBE!C485,Permis[[#This Row],[Parties]],1,0)</f>
        <v>#N/A</v>
      </c>
      <c r="E485" s="9" t="s">
        <v>2873</v>
      </c>
      <c r="F485" s="10" t="s">
        <v>2852</v>
      </c>
      <c r="G485" s="10" t="str">
        <f t="shared" si="21"/>
        <v>2023</v>
      </c>
      <c r="H485" s="10" t="s">
        <v>1905</v>
      </c>
      <c r="I485" s="10" t="s">
        <v>1905</v>
      </c>
      <c r="J485" s="9" t="s">
        <v>1912</v>
      </c>
      <c r="K485" s="9" t="s">
        <v>1912</v>
      </c>
      <c r="L485" s="9" t="s">
        <v>1905</v>
      </c>
      <c r="M485" s="9">
        <v>0</v>
      </c>
      <c r="N485" s="9" t="s">
        <v>1905</v>
      </c>
      <c r="O485" s="9" t="s">
        <v>1898</v>
      </c>
      <c r="P485" s="16" t="s">
        <v>2846</v>
      </c>
      <c r="Q485">
        <f t="shared" si="22"/>
        <v>0</v>
      </c>
      <c r="R485" t="b">
        <f t="shared" si="23"/>
        <v>0</v>
      </c>
    </row>
    <row r="486" spans="1:18" hidden="1" x14ac:dyDescent="0.35">
      <c r="A486" s="16" t="s">
        <v>2846</v>
      </c>
      <c r="B486" s="9" t="s">
        <v>2874</v>
      </c>
      <c r="C486" s="9" t="s">
        <v>2874</v>
      </c>
      <c r="D486" s="9" t="e">
        <f>VLOOKUP(RBE!C486,Permis[[#This Row],[Parties]],1,0)</f>
        <v>#N/A</v>
      </c>
      <c r="E486" s="9" t="s">
        <v>2875</v>
      </c>
      <c r="F486" s="10" t="s">
        <v>2852</v>
      </c>
      <c r="G486" s="10" t="str">
        <f t="shared" si="21"/>
        <v>2023</v>
      </c>
      <c r="H486" s="10" t="s">
        <v>1905</v>
      </c>
      <c r="I486" s="10" t="s">
        <v>1905</v>
      </c>
      <c r="J486" s="9" t="s">
        <v>1912</v>
      </c>
      <c r="K486" s="9" t="s">
        <v>1912</v>
      </c>
      <c r="L486" s="9" t="s">
        <v>1905</v>
      </c>
      <c r="M486" s="9">
        <v>0</v>
      </c>
      <c r="N486" s="9" t="s">
        <v>1905</v>
      </c>
      <c r="O486" s="9" t="s">
        <v>1898</v>
      </c>
      <c r="P486" s="16" t="s">
        <v>2846</v>
      </c>
      <c r="Q486">
        <f t="shared" si="22"/>
        <v>0</v>
      </c>
      <c r="R486" t="b">
        <f t="shared" si="23"/>
        <v>0</v>
      </c>
    </row>
    <row r="487" spans="1:18" hidden="1" x14ac:dyDescent="0.35">
      <c r="A487" s="16" t="s">
        <v>2846</v>
      </c>
      <c r="B487" s="9" t="s">
        <v>2876</v>
      </c>
      <c r="C487" s="9" t="s">
        <v>2876</v>
      </c>
      <c r="D487" s="9" t="e">
        <f>VLOOKUP(RBE!C487,Permis[[#This Row],[Parties]],1,0)</f>
        <v>#N/A</v>
      </c>
      <c r="E487" s="9" t="s">
        <v>2875</v>
      </c>
      <c r="F487" s="10" t="s">
        <v>2852</v>
      </c>
      <c r="G487" s="10" t="str">
        <f t="shared" si="21"/>
        <v>2023</v>
      </c>
      <c r="H487" s="10" t="s">
        <v>1905</v>
      </c>
      <c r="I487" s="10" t="s">
        <v>1905</v>
      </c>
      <c r="J487" s="9" t="s">
        <v>1912</v>
      </c>
      <c r="K487" s="9" t="s">
        <v>1912</v>
      </c>
      <c r="L487" s="9" t="s">
        <v>1905</v>
      </c>
      <c r="M487" s="9">
        <v>0</v>
      </c>
      <c r="N487" s="9" t="s">
        <v>1905</v>
      </c>
      <c r="O487" s="9" t="s">
        <v>1898</v>
      </c>
      <c r="P487" s="16" t="s">
        <v>2846</v>
      </c>
      <c r="Q487">
        <f t="shared" si="22"/>
        <v>0</v>
      </c>
      <c r="R487" t="b">
        <f t="shared" si="23"/>
        <v>0</v>
      </c>
    </row>
    <row r="488" spans="1:18" hidden="1" x14ac:dyDescent="0.35">
      <c r="A488" s="16" t="s">
        <v>2846</v>
      </c>
      <c r="B488" s="9" t="s">
        <v>2877</v>
      </c>
      <c r="C488" s="9" t="s">
        <v>2877</v>
      </c>
      <c r="D488" s="9" t="e">
        <f>VLOOKUP(RBE!C488,Permis[[#This Row],[Parties]],1,0)</f>
        <v>#N/A</v>
      </c>
      <c r="E488" s="9" t="s">
        <v>2878</v>
      </c>
      <c r="F488" s="10" t="s">
        <v>2852</v>
      </c>
      <c r="G488" s="10" t="str">
        <f t="shared" si="21"/>
        <v>2023</v>
      </c>
      <c r="H488" s="10" t="s">
        <v>1905</v>
      </c>
      <c r="I488" s="10" t="s">
        <v>1905</v>
      </c>
      <c r="J488" s="9" t="s">
        <v>1912</v>
      </c>
      <c r="K488" s="9" t="s">
        <v>1912</v>
      </c>
      <c r="L488" s="9" t="s">
        <v>1905</v>
      </c>
      <c r="M488" s="9">
        <v>0</v>
      </c>
      <c r="N488" s="9" t="s">
        <v>1905</v>
      </c>
      <c r="O488" s="9" t="s">
        <v>1898</v>
      </c>
      <c r="P488" s="16" t="s">
        <v>2846</v>
      </c>
      <c r="Q488">
        <f t="shared" si="22"/>
        <v>0</v>
      </c>
      <c r="R488" t="b">
        <f t="shared" si="23"/>
        <v>0</v>
      </c>
    </row>
    <row r="489" spans="1:18" hidden="1" x14ac:dyDescent="0.35">
      <c r="A489" s="16" t="s">
        <v>2846</v>
      </c>
      <c r="B489" s="9" t="s">
        <v>2879</v>
      </c>
      <c r="C489" s="9" t="s">
        <v>2879</v>
      </c>
      <c r="D489" s="9" t="e">
        <f>VLOOKUP(RBE!C489,Permis[[#This Row],[Parties]],1,0)</f>
        <v>#N/A</v>
      </c>
      <c r="E489" s="9" t="s">
        <v>2880</v>
      </c>
      <c r="F489" s="10" t="s">
        <v>2852</v>
      </c>
      <c r="G489" s="10" t="str">
        <f t="shared" si="21"/>
        <v>2023</v>
      </c>
      <c r="H489" s="10" t="s">
        <v>1905</v>
      </c>
      <c r="I489" s="10" t="s">
        <v>1905</v>
      </c>
      <c r="J489" s="9" t="s">
        <v>1912</v>
      </c>
      <c r="K489" s="9" t="s">
        <v>1912</v>
      </c>
      <c r="L489" s="9" t="s">
        <v>1905</v>
      </c>
      <c r="M489" s="9">
        <v>0</v>
      </c>
      <c r="N489" s="9" t="s">
        <v>1905</v>
      </c>
      <c r="O489" s="9" t="s">
        <v>1898</v>
      </c>
      <c r="P489" s="16" t="s">
        <v>2846</v>
      </c>
      <c r="Q489">
        <f t="shared" si="22"/>
        <v>0</v>
      </c>
      <c r="R489" t="b">
        <f t="shared" si="23"/>
        <v>0</v>
      </c>
    </row>
    <row r="490" spans="1:18" hidden="1" x14ac:dyDescent="0.35">
      <c r="A490" s="16" t="s">
        <v>2846</v>
      </c>
      <c r="B490" s="9" t="s">
        <v>2881</v>
      </c>
      <c r="C490" s="9" t="s">
        <v>2881</v>
      </c>
      <c r="D490" s="9" t="e">
        <f>VLOOKUP(RBE!C490,Permis[[#This Row],[Parties]],1,0)</f>
        <v>#N/A</v>
      </c>
      <c r="E490" s="9" t="s">
        <v>2882</v>
      </c>
      <c r="F490" s="10" t="s">
        <v>2852</v>
      </c>
      <c r="G490" s="10" t="str">
        <f t="shared" si="21"/>
        <v>2023</v>
      </c>
      <c r="H490" s="10" t="s">
        <v>1905</v>
      </c>
      <c r="I490" s="10" t="s">
        <v>1905</v>
      </c>
      <c r="J490" s="9" t="s">
        <v>1912</v>
      </c>
      <c r="K490" s="9" t="s">
        <v>1912</v>
      </c>
      <c r="L490" s="9" t="s">
        <v>1905</v>
      </c>
      <c r="M490" s="9">
        <v>0</v>
      </c>
      <c r="N490" s="9" t="s">
        <v>1905</v>
      </c>
      <c r="O490" s="9" t="s">
        <v>1898</v>
      </c>
      <c r="P490" s="16" t="s">
        <v>2846</v>
      </c>
      <c r="Q490">
        <f t="shared" si="22"/>
        <v>0</v>
      </c>
      <c r="R490" t="b">
        <f t="shared" si="23"/>
        <v>0</v>
      </c>
    </row>
    <row r="491" spans="1:18" hidden="1" x14ac:dyDescent="0.35">
      <c r="A491" s="16" t="s">
        <v>2846</v>
      </c>
      <c r="B491" s="9" t="s">
        <v>2881</v>
      </c>
      <c r="C491" s="9" t="s">
        <v>2881</v>
      </c>
      <c r="D491" s="9" t="e">
        <f>VLOOKUP(RBE!C491,Permis[[#This Row],[Parties]],1,0)</f>
        <v>#N/A</v>
      </c>
      <c r="E491" s="9" t="s">
        <v>2883</v>
      </c>
      <c r="F491" s="10" t="s">
        <v>2852</v>
      </c>
      <c r="G491" s="10" t="str">
        <f t="shared" si="21"/>
        <v>2023</v>
      </c>
      <c r="H491" s="10" t="s">
        <v>1905</v>
      </c>
      <c r="I491" s="10" t="s">
        <v>1905</v>
      </c>
      <c r="J491" s="9" t="s">
        <v>1912</v>
      </c>
      <c r="K491" s="9" t="s">
        <v>1912</v>
      </c>
      <c r="L491" s="9" t="s">
        <v>1905</v>
      </c>
      <c r="M491" s="9">
        <v>0</v>
      </c>
      <c r="N491" s="9" t="s">
        <v>1905</v>
      </c>
      <c r="O491" s="9" t="s">
        <v>1898</v>
      </c>
      <c r="P491" s="16" t="s">
        <v>2846</v>
      </c>
      <c r="Q491">
        <f t="shared" si="22"/>
        <v>0</v>
      </c>
      <c r="R491" t="b">
        <f t="shared" si="23"/>
        <v>0</v>
      </c>
    </row>
    <row r="492" spans="1:18" hidden="1" x14ac:dyDescent="0.35">
      <c r="A492" s="16" t="s">
        <v>2846</v>
      </c>
      <c r="B492" s="9" t="s">
        <v>2881</v>
      </c>
      <c r="C492" s="9" t="s">
        <v>2881</v>
      </c>
      <c r="D492" s="9" t="e">
        <f>VLOOKUP(RBE!C492,Permis[[#This Row],[Parties]],1,0)</f>
        <v>#N/A</v>
      </c>
      <c r="E492" s="9" t="s">
        <v>2884</v>
      </c>
      <c r="F492" s="10" t="s">
        <v>2852</v>
      </c>
      <c r="G492" s="10" t="str">
        <f t="shared" si="21"/>
        <v>2023</v>
      </c>
      <c r="H492" s="10" t="s">
        <v>1905</v>
      </c>
      <c r="I492" s="10" t="s">
        <v>1905</v>
      </c>
      <c r="J492" s="9" t="s">
        <v>1912</v>
      </c>
      <c r="K492" s="9" t="s">
        <v>1912</v>
      </c>
      <c r="L492" s="9" t="s">
        <v>1905</v>
      </c>
      <c r="M492" s="9">
        <v>0</v>
      </c>
      <c r="N492" s="9" t="s">
        <v>1905</v>
      </c>
      <c r="O492" s="9" t="s">
        <v>1898</v>
      </c>
      <c r="P492" s="16" t="s">
        <v>2846</v>
      </c>
      <c r="Q492">
        <f t="shared" si="22"/>
        <v>0</v>
      </c>
      <c r="R492" t="b">
        <f t="shared" si="23"/>
        <v>0</v>
      </c>
    </row>
    <row r="493" spans="1:18" hidden="1" x14ac:dyDescent="0.35">
      <c r="A493" s="16" t="s">
        <v>2846</v>
      </c>
      <c r="B493" s="9" t="s">
        <v>2885</v>
      </c>
      <c r="C493" s="9" t="s">
        <v>2885</v>
      </c>
      <c r="D493" s="9" t="e">
        <f>VLOOKUP(RBE!C493,Permis[[#This Row],[Parties]],1,0)</f>
        <v>#N/A</v>
      </c>
      <c r="E493" s="9" t="s">
        <v>2886</v>
      </c>
      <c r="F493" s="10" t="s">
        <v>2852</v>
      </c>
      <c r="G493" s="10" t="str">
        <f t="shared" si="21"/>
        <v>2023</v>
      </c>
      <c r="H493" s="10" t="s">
        <v>1905</v>
      </c>
      <c r="I493" s="10" t="s">
        <v>1905</v>
      </c>
      <c r="J493" s="9" t="s">
        <v>1912</v>
      </c>
      <c r="K493" s="9" t="s">
        <v>1912</v>
      </c>
      <c r="L493" s="9" t="s">
        <v>1905</v>
      </c>
      <c r="M493" s="9">
        <v>0</v>
      </c>
      <c r="N493" s="9" t="s">
        <v>1905</v>
      </c>
      <c r="O493" s="9" t="s">
        <v>1898</v>
      </c>
      <c r="P493" s="16" t="s">
        <v>2846</v>
      </c>
      <c r="Q493">
        <f t="shared" si="22"/>
        <v>0</v>
      </c>
      <c r="R493" t="b">
        <f t="shared" si="23"/>
        <v>0</v>
      </c>
    </row>
    <row r="494" spans="1:18" hidden="1" x14ac:dyDescent="0.35">
      <c r="A494" s="16" t="s">
        <v>2846</v>
      </c>
      <c r="B494" s="9" t="s">
        <v>2887</v>
      </c>
      <c r="C494" s="9" t="s">
        <v>3149</v>
      </c>
      <c r="D494" s="9" t="e">
        <f>VLOOKUP(RBE!C494,Permis[[#This Row],[Parties]],1,0)</f>
        <v>#N/A</v>
      </c>
      <c r="E494" s="9" t="s">
        <v>2888</v>
      </c>
      <c r="F494" s="10" t="s">
        <v>2889</v>
      </c>
      <c r="G494" s="10" t="str">
        <f t="shared" si="21"/>
        <v>2023</v>
      </c>
      <c r="H494" s="10">
        <v>20</v>
      </c>
      <c r="I494" s="10" t="s">
        <v>1905</v>
      </c>
      <c r="J494" s="9" t="s">
        <v>1912</v>
      </c>
      <c r="K494" s="9" t="s">
        <v>1912</v>
      </c>
      <c r="L494" s="9" t="s">
        <v>1905</v>
      </c>
      <c r="M494" s="9">
        <v>0</v>
      </c>
      <c r="N494" s="9" t="s">
        <v>1905</v>
      </c>
      <c r="O494" s="9" t="s">
        <v>1898</v>
      </c>
      <c r="P494" s="16" t="s">
        <v>2846</v>
      </c>
      <c r="Q494">
        <f t="shared" si="22"/>
        <v>0</v>
      </c>
      <c r="R494" t="b">
        <f t="shared" si="23"/>
        <v>0</v>
      </c>
    </row>
    <row r="495" spans="1:18" hidden="1" x14ac:dyDescent="0.35">
      <c r="A495" s="16" t="s">
        <v>2846</v>
      </c>
      <c r="B495" s="9" t="s">
        <v>2887</v>
      </c>
      <c r="C495" s="9" t="s">
        <v>3149</v>
      </c>
      <c r="D495" s="9" t="e">
        <f>VLOOKUP(RBE!C495,Permis[[#This Row],[Parties]],1,0)</f>
        <v>#N/A</v>
      </c>
      <c r="E495" s="9" t="s">
        <v>2890</v>
      </c>
      <c r="F495" s="10" t="s">
        <v>2889</v>
      </c>
      <c r="G495" s="10" t="str">
        <f t="shared" si="21"/>
        <v>2023</v>
      </c>
      <c r="H495" s="10">
        <v>80</v>
      </c>
      <c r="I495" s="10" t="s">
        <v>1905</v>
      </c>
      <c r="J495" s="9" t="s">
        <v>1912</v>
      </c>
      <c r="K495" s="9" t="s">
        <v>1912</v>
      </c>
      <c r="L495" s="9" t="s">
        <v>1905</v>
      </c>
      <c r="M495" s="9">
        <v>0</v>
      </c>
      <c r="N495" s="9" t="s">
        <v>1905</v>
      </c>
      <c r="O495" s="9" t="s">
        <v>1898</v>
      </c>
      <c r="P495" s="16" t="s">
        <v>2846</v>
      </c>
      <c r="Q495">
        <f t="shared" si="22"/>
        <v>0</v>
      </c>
      <c r="R495" t="b">
        <f t="shared" si="23"/>
        <v>0</v>
      </c>
    </row>
    <row r="496" spans="1:18" hidden="1" x14ac:dyDescent="0.35">
      <c r="A496" s="16" t="s">
        <v>2846</v>
      </c>
      <c r="B496" s="9" t="s">
        <v>2887</v>
      </c>
      <c r="C496" s="9" t="s">
        <v>3149</v>
      </c>
      <c r="D496" s="9" t="e">
        <f>VLOOKUP(RBE!C496,Permis[[#This Row],[Parties]],1,0)</f>
        <v>#N/A</v>
      </c>
      <c r="E496" s="9" t="s">
        <v>2891</v>
      </c>
      <c r="F496" s="10" t="s">
        <v>2892</v>
      </c>
      <c r="G496" s="10" t="str">
        <f t="shared" si="21"/>
        <v>2023</v>
      </c>
      <c r="H496" s="10" t="s">
        <v>1905</v>
      </c>
      <c r="I496" s="10" t="s">
        <v>1905</v>
      </c>
      <c r="J496" s="9" t="s">
        <v>1912</v>
      </c>
      <c r="K496" s="9" t="s">
        <v>1912</v>
      </c>
      <c r="L496" s="9" t="s">
        <v>1905</v>
      </c>
      <c r="M496" s="9">
        <v>0</v>
      </c>
      <c r="N496" s="9" t="s">
        <v>1905</v>
      </c>
      <c r="O496" s="9" t="s">
        <v>1898</v>
      </c>
      <c r="P496" s="16" t="s">
        <v>2846</v>
      </c>
      <c r="Q496">
        <f t="shared" si="22"/>
        <v>0</v>
      </c>
      <c r="R496" t="b">
        <f t="shared" si="23"/>
        <v>0</v>
      </c>
    </row>
    <row r="497" spans="1:18" hidden="1" x14ac:dyDescent="0.35">
      <c r="A497" s="16" t="s">
        <v>101</v>
      </c>
      <c r="B497" s="9" t="s">
        <v>1992</v>
      </c>
      <c r="C497" s="9" t="s">
        <v>3147</v>
      </c>
      <c r="D497" s="9" t="e">
        <f>VLOOKUP(RBE!C497,Permis[[#This Row],[Parties]],1,0)</f>
        <v>#N/A</v>
      </c>
      <c r="E497" s="9" t="s">
        <v>1993</v>
      </c>
      <c r="F497" s="10" t="s">
        <v>1962</v>
      </c>
      <c r="G497" s="10" t="str">
        <f t="shared" si="21"/>
        <v>2021</v>
      </c>
      <c r="H497" s="10">
        <v>20</v>
      </c>
      <c r="I497" s="10" t="s">
        <v>1905</v>
      </c>
      <c r="J497" s="9" t="s">
        <v>1912</v>
      </c>
      <c r="K497" s="9" t="s">
        <v>1912</v>
      </c>
      <c r="L497" s="9" t="s">
        <v>1905</v>
      </c>
      <c r="M497" s="9">
        <v>0</v>
      </c>
      <c r="N497" s="9" t="s">
        <v>1905</v>
      </c>
      <c r="O497" s="9" t="s">
        <v>1898</v>
      </c>
      <c r="P497" s="16" t="s">
        <v>101</v>
      </c>
      <c r="Q497">
        <f t="shared" si="22"/>
        <v>0</v>
      </c>
      <c r="R497" t="b">
        <f t="shared" si="23"/>
        <v>0</v>
      </c>
    </row>
    <row r="498" spans="1:18" hidden="1" x14ac:dyDescent="0.35">
      <c r="A498" s="16" t="s">
        <v>2846</v>
      </c>
      <c r="B498" s="9" t="s">
        <v>2893</v>
      </c>
      <c r="C498" s="9" t="s">
        <v>2893</v>
      </c>
      <c r="D498" s="9" t="e">
        <f>VLOOKUP(RBE!C498,Permis[[#This Row],[Parties]],1,0)</f>
        <v>#N/A</v>
      </c>
      <c r="E498" s="9" t="s">
        <v>2894</v>
      </c>
      <c r="F498" s="10" t="s">
        <v>2892</v>
      </c>
      <c r="G498" s="10" t="str">
        <f t="shared" si="21"/>
        <v>2023</v>
      </c>
      <c r="H498" s="10" t="s">
        <v>1905</v>
      </c>
      <c r="I498" s="10" t="s">
        <v>1905</v>
      </c>
      <c r="J498" s="9" t="s">
        <v>1912</v>
      </c>
      <c r="K498" s="9" t="s">
        <v>1912</v>
      </c>
      <c r="L498" s="9" t="s">
        <v>1905</v>
      </c>
      <c r="M498" s="9">
        <v>0</v>
      </c>
      <c r="N498" s="9" t="s">
        <v>1905</v>
      </c>
      <c r="O498" s="9" t="s">
        <v>1898</v>
      </c>
      <c r="P498" s="16" t="s">
        <v>2846</v>
      </c>
      <c r="Q498">
        <f t="shared" si="22"/>
        <v>0</v>
      </c>
      <c r="R498" t="b">
        <f t="shared" si="23"/>
        <v>0</v>
      </c>
    </row>
    <row r="499" spans="1:18" hidden="1" x14ac:dyDescent="0.35">
      <c r="A499" s="16" t="s">
        <v>2846</v>
      </c>
      <c r="B499" s="9" t="s">
        <v>2893</v>
      </c>
      <c r="C499" s="9" t="s">
        <v>2893</v>
      </c>
      <c r="D499" s="9" t="e">
        <f>VLOOKUP(RBE!C499,Permis[[#This Row],[Parties]],1,0)</f>
        <v>#N/A</v>
      </c>
      <c r="E499" s="9" t="s">
        <v>2895</v>
      </c>
      <c r="F499" s="10" t="s">
        <v>2892</v>
      </c>
      <c r="G499" s="10" t="str">
        <f t="shared" si="21"/>
        <v>2023</v>
      </c>
      <c r="H499" s="10" t="s">
        <v>1905</v>
      </c>
      <c r="I499" s="10" t="s">
        <v>1905</v>
      </c>
      <c r="J499" s="9" t="s">
        <v>1912</v>
      </c>
      <c r="K499" s="9" t="s">
        <v>1912</v>
      </c>
      <c r="L499" s="9" t="s">
        <v>1905</v>
      </c>
      <c r="M499" s="9">
        <v>0</v>
      </c>
      <c r="N499" s="9" t="s">
        <v>1905</v>
      </c>
      <c r="O499" s="9" t="s">
        <v>1898</v>
      </c>
      <c r="P499" s="16" t="s">
        <v>2846</v>
      </c>
      <c r="Q499">
        <f t="shared" si="22"/>
        <v>0</v>
      </c>
      <c r="R499" t="b">
        <f t="shared" si="23"/>
        <v>0</v>
      </c>
    </row>
    <row r="500" spans="1:18" hidden="1" x14ac:dyDescent="0.35">
      <c r="A500" s="16" t="s">
        <v>2846</v>
      </c>
      <c r="B500" s="9" t="s">
        <v>2896</v>
      </c>
      <c r="C500" s="9" t="s">
        <v>2896</v>
      </c>
      <c r="D500" s="9" t="e">
        <f>VLOOKUP(RBE!C500,Permis[[#This Row],[Parties]],1,0)</f>
        <v>#N/A</v>
      </c>
      <c r="E500" s="9" t="s">
        <v>2897</v>
      </c>
      <c r="F500" s="10" t="s">
        <v>2898</v>
      </c>
      <c r="G500" s="10" t="str">
        <f t="shared" si="21"/>
        <v>2023</v>
      </c>
      <c r="H500" s="10">
        <v>15</v>
      </c>
      <c r="I500" s="10" t="s">
        <v>1905</v>
      </c>
      <c r="J500" s="9" t="s">
        <v>1912</v>
      </c>
      <c r="K500" s="9" t="s">
        <v>1912</v>
      </c>
      <c r="L500" s="9" t="s">
        <v>1905</v>
      </c>
      <c r="M500" s="9">
        <v>0</v>
      </c>
      <c r="N500" s="9" t="s">
        <v>1905</v>
      </c>
      <c r="O500" s="9" t="s">
        <v>1898</v>
      </c>
      <c r="P500" s="16" t="s">
        <v>2846</v>
      </c>
      <c r="Q500">
        <f t="shared" si="22"/>
        <v>0</v>
      </c>
      <c r="R500" t="b">
        <f t="shared" si="23"/>
        <v>0</v>
      </c>
    </row>
    <row r="501" spans="1:18" hidden="1" x14ac:dyDescent="0.35">
      <c r="A501" s="16" t="s">
        <v>2846</v>
      </c>
      <c r="B501" s="9" t="s">
        <v>2896</v>
      </c>
      <c r="C501" s="9" t="s">
        <v>2896</v>
      </c>
      <c r="D501" s="9" t="e">
        <f>VLOOKUP(RBE!C501,Permis[[#This Row],[Parties]],1,0)</f>
        <v>#N/A</v>
      </c>
      <c r="E501" s="9" t="s">
        <v>2899</v>
      </c>
      <c r="F501" s="10" t="s">
        <v>2898</v>
      </c>
      <c r="G501" s="10" t="str">
        <f t="shared" si="21"/>
        <v>2023</v>
      </c>
      <c r="H501" s="10">
        <v>35</v>
      </c>
      <c r="I501" s="10" t="s">
        <v>1905</v>
      </c>
      <c r="J501" s="9" t="s">
        <v>1912</v>
      </c>
      <c r="K501" s="9" t="s">
        <v>1912</v>
      </c>
      <c r="L501" s="9" t="s">
        <v>1905</v>
      </c>
      <c r="M501" s="9">
        <v>0</v>
      </c>
      <c r="N501" s="9" t="s">
        <v>1905</v>
      </c>
      <c r="O501" s="9" t="s">
        <v>1898</v>
      </c>
      <c r="P501" s="16" t="s">
        <v>2846</v>
      </c>
      <c r="Q501">
        <f t="shared" si="22"/>
        <v>0</v>
      </c>
      <c r="R501" t="b">
        <f t="shared" si="23"/>
        <v>0</v>
      </c>
    </row>
    <row r="502" spans="1:18" hidden="1" x14ac:dyDescent="0.35">
      <c r="A502" s="16" t="s">
        <v>2846</v>
      </c>
      <c r="B502" s="9" t="s">
        <v>2900</v>
      </c>
      <c r="C502" s="9" t="s">
        <v>2900</v>
      </c>
      <c r="D502" s="9" t="e">
        <f>VLOOKUP(RBE!C502,Permis[[#This Row],[Parties]],1,0)</f>
        <v>#N/A</v>
      </c>
      <c r="E502" s="9" t="s">
        <v>2901</v>
      </c>
      <c r="F502" s="10" t="s">
        <v>2898</v>
      </c>
      <c r="G502" s="10" t="str">
        <f t="shared" si="21"/>
        <v>2023</v>
      </c>
      <c r="H502" s="10">
        <v>18</v>
      </c>
      <c r="I502" s="10" t="s">
        <v>1905</v>
      </c>
      <c r="J502" s="9" t="s">
        <v>1912</v>
      </c>
      <c r="K502" s="9" t="s">
        <v>1912</v>
      </c>
      <c r="L502" s="9" t="s">
        <v>1905</v>
      </c>
      <c r="M502" s="9">
        <v>0</v>
      </c>
      <c r="N502" s="9" t="s">
        <v>1905</v>
      </c>
      <c r="O502" s="9" t="s">
        <v>1898</v>
      </c>
      <c r="P502" s="16" t="s">
        <v>2846</v>
      </c>
      <c r="Q502">
        <f t="shared" si="22"/>
        <v>0</v>
      </c>
      <c r="R502" t="b">
        <f t="shared" si="23"/>
        <v>0</v>
      </c>
    </row>
    <row r="503" spans="1:18" hidden="1" x14ac:dyDescent="0.35">
      <c r="A503" s="16" t="s">
        <v>2846</v>
      </c>
      <c r="B503" s="9" t="s">
        <v>2900</v>
      </c>
      <c r="C503" s="9" t="s">
        <v>2900</v>
      </c>
      <c r="D503" s="9" t="e">
        <f>VLOOKUP(RBE!C503,Permis[[#This Row],[Parties]],1,0)</f>
        <v>#N/A</v>
      </c>
      <c r="E503" s="9" t="s">
        <v>2902</v>
      </c>
      <c r="F503" s="10" t="s">
        <v>2898</v>
      </c>
      <c r="G503" s="10" t="str">
        <f t="shared" si="21"/>
        <v>2023</v>
      </c>
      <c r="H503" s="10">
        <v>32</v>
      </c>
      <c r="I503" s="10" t="s">
        <v>1905</v>
      </c>
      <c r="J503" s="9" t="s">
        <v>1912</v>
      </c>
      <c r="K503" s="9" t="s">
        <v>1912</v>
      </c>
      <c r="L503" s="9" t="s">
        <v>1905</v>
      </c>
      <c r="M503" s="9">
        <v>0</v>
      </c>
      <c r="N503" s="9" t="s">
        <v>1905</v>
      </c>
      <c r="O503" s="9" t="s">
        <v>1898</v>
      </c>
      <c r="P503" s="16" t="s">
        <v>2846</v>
      </c>
      <c r="Q503">
        <f t="shared" si="22"/>
        <v>0</v>
      </c>
      <c r="R503" t="b">
        <f t="shared" si="23"/>
        <v>0</v>
      </c>
    </row>
    <row r="504" spans="1:18" hidden="1" x14ac:dyDescent="0.35">
      <c r="A504" s="16" t="s">
        <v>2846</v>
      </c>
      <c r="B504" s="9" t="s">
        <v>2900</v>
      </c>
      <c r="C504" s="9" t="s">
        <v>2900</v>
      </c>
      <c r="D504" s="9" t="e">
        <f>VLOOKUP(RBE!C504,Permis[[#This Row],[Parties]],1,0)</f>
        <v>#N/A</v>
      </c>
      <c r="E504" s="9" t="s">
        <v>2902</v>
      </c>
      <c r="F504" s="10" t="s">
        <v>2903</v>
      </c>
      <c r="G504" s="10" t="str">
        <f t="shared" si="21"/>
        <v>2023</v>
      </c>
      <c r="H504" s="10" t="s">
        <v>1905</v>
      </c>
      <c r="I504" s="10" t="s">
        <v>1905</v>
      </c>
      <c r="J504" s="9" t="s">
        <v>1912</v>
      </c>
      <c r="K504" s="9" t="s">
        <v>1912</v>
      </c>
      <c r="L504" s="9" t="s">
        <v>1905</v>
      </c>
      <c r="M504" s="9">
        <v>0</v>
      </c>
      <c r="N504" s="9" t="s">
        <v>1905</v>
      </c>
      <c r="O504" s="9" t="s">
        <v>1898</v>
      </c>
      <c r="P504" s="16" t="s">
        <v>2846</v>
      </c>
      <c r="Q504">
        <f t="shared" si="22"/>
        <v>0</v>
      </c>
      <c r="R504" t="b">
        <f t="shared" si="23"/>
        <v>0</v>
      </c>
    </row>
    <row r="505" spans="1:18" hidden="1" x14ac:dyDescent="0.35">
      <c r="A505" s="16" t="s">
        <v>2846</v>
      </c>
      <c r="B505" s="9" t="s">
        <v>2904</v>
      </c>
      <c r="C505" s="9" t="s">
        <v>2904</v>
      </c>
      <c r="D505" s="9" t="e">
        <f>VLOOKUP(RBE!C505,Permis[[#This Row],[Parties]],1,0)</f>
        <v>#N/A</v>
      </c>
      <c r="E505" s="9" t="s">
        <v>2905</v>
      </c>
      <c r="F505" s="10" t="s">
        <v>2903</v>
      </c>
      <c r="G505" s="10" t="str">
        <f t="shared" si="21"/>
        <v>2023</v>
      </c>
      <c r="H505" s="10" t="s">
        <v>1905</v>
      </c>
      <c r="I505" s="10" t="s">
        <v>1905</v>
      </c>
      <c r="J505" s="9" t="s">
        <v>1912</v>
      </c>
      <c r="K505" s="9" t="s">
        <v>1912</v>
      </c>
      <c r="L505" s="9" t="s">
        <v>1905</v>
      </c>
      <c r="M505" s="9">
        <v>0</v>
      </c>
      <c r="N505" s="9" t="s">
        <v>1905</v>
      </c>
      <c r="O505" s="9" t="s">
        <v>1898</v>
      </c>
      <c r="P505" s="16" t="s">
        <v>2846</v>
      </c>
      <c r="Q505">
        <f t="shared" si="22"/>
        <v>0</v>
      </c>
      <c r="R505" t="b">
        <f t="shared" si="23"/>
        <v>0</v>
      </c>
    </row>
    <row r="506" spans="1:18" hidden="1" x14ac:dyDescent="0.35">
      <c r="A506" s="16" t="s">
        <v>2846</v>
      </c>
      <c r="B506" s="9" t="s">
        <v>2906</v>
      </c>
      <c r="C506" s="9" t="s">
        <v>2906</v>
      </c>
      <c r="D506" s="9" t="e">
        <f>VLOOKUP(RBE!C506,Permis[[#This Row],[Parties]],1,0)</f>
        <v>#N/A</v>
      </c>
      <c r="E506" s="9" t="s">
        <v>2907</v>
      </c>
      <c r="F506" s="10" t="s">
        <v>2903</v>
      </c>
      <c r="G506" s="10" t="str">
        <f t="shared" si="21"/>
        <v>2023</v>
      </c>
      <c r="H506" s="10" t="s">
        <v>1905</v>
      </c>
      <c r="I506" s="10" t="s">
        <v>1905</v>
      </c>
      <c r="J506" s="9" t="s">
        <v>1912</v>
      </c>
      <c r="K506" s="9" t="s">
        <v>1912</v>
      </c>
      <c r="L506" s="9" t="s">
        <v>1905</v>
      </c>
      <c r="M506" s="9">
        <v>0</v>
      </c>
      <c r="N506" s="9" t="s">
        <v>1905</v>
      </c>
      <c r="O506" s="9" t="s">
        <v>1898</v>
      </c>
      <c r="P506" s="16" t="s">
        <v>2846</v>
      </c>
      <c r="Q506">
        <f t="shared" si="22"/>
        <v>0</v>
      </c>
      <c r="R506" t="b">
        <f t="shared" si="23"/>
        <v>0</v>
      </c>
    </row>
    <row r="507" spans="1:18" hidden="1" x14ac:dyDescent="0.35">
      <c r="A507" s="16" t="s">
        <v>2846</v>
      </c>
      <c r="B507" s="9" t="s">
        <v>2908</v>
      </c>
      <c r="C507" s="9" t="s">
        <v>2908</v>
      </c>
      <c r="D507" s="9" t="e">
        <f>VLOOKUP(RBE!C507,Permis[[#This Row],[Parties]],1,0)</f>
        <v>#N/A</v>
      </c>
      <c r="E507" s="9" t="s">
        <v>2909</v>
      </c>
      <c r="F507" s="10" t="s">
        <v>2903</v>
      </c>
      <c r="G507" s="10" t="str">
        <f t="shared" si="21"/>
        <v>2023</v>
      </c>
      <c r="H507" s="10" t="s">
        <v>1905</v>
      </c>
      <c r="I507" s="10" t="s">
        <v>1905</v>
      </c>
      <c r="J507" s="9" t="s">
        <v>1912</v>
      </c>
      <c r="K507" s="9" t="s">
        <v>1912</v>
      </c>
      <c r="L507" s="9" t="s">
        <v>1905</v>
      </c>
      <c r="M507" s="9">
        <v>0</v>
      </c>
      <c r="N507" s="9" t="s">
        <v>1905</v>
      </c>
      <c r="O507" s="9" t="s">
        <v>1898</v>
      </c>
      <c r="P507" s="16" t="s">
        <v>2846</v>
      </c>
      <c r="Q507">
        <f t="shared" si="22"/>
        <v>0</v>
      </c>
      <c r="R507" t="b">
        <f t="shared" si="23"/>
        <v>0</v>
      </c>
    </row>
    <row r="508" spans="1:18" hidden="1" x14ac:dyDescent="0.35">
      <c r="A508" s="16" t="s">
        <v>2846</v>
      </c>
      <c r="B508" s="9" t="s">
        <v>2910</v>
      </c>
      <c r="C508" s="9" t="s">
        <v>2910</v>
      </c>
      <c r="D508" s="9" t="e">
        <f>VLOOKUP(RBE!C508,Permis[[#This Row],[Parties]],1,0)</f>
        <v>#N/A</v>
      </c>
      <c r="E508" s="9" t="s">
        <v>2911</v>
      </c>
      <c r="F508" s="10" t="s">
        <v>2903</v>
      </c>
      <c r="G508" s="10" t="str">
        <f t="shared" si="21"/>
        <v>2023</v>
      </c>
      <c r="H508" s="10" t="s">
        <v>1905</v>
      </c>
      <c r="I508" s="10" t="s">
        <v>1905</v>
      </c>
      <c r="J508" s="9" t="s">
        <v>1912</v>
      </c>
      <c r="K508" s="9" t="s">
        <v>1912</v>
      </c>
      <c r="L508" s="9" t="s">
        <v>1905</v>
      </c>
      <c r="M508" s="9">
        <v>0</v>
      </c>
      <c r="N508" s="9" t="s">
        <v>1905</v>
      </c>
      <c r="O508" s="9" t="s">
        <v>1898</v>
      </c>
      <c r="P508" s="16" t="s">
        <v>2846</v>
      </c>
      <c r="Q508">
        <f t="shared" si="22"/>
        <v>0</v>
      </c>
      <c r="R508" t="b">
        <f t="shared" si="23"/>
        <v>0</v>
      </c>
    </row>
    <row r="509" spans="1:18" hidden="1" x14ac:dyDescent="0.35">
      <c r="A509" s="16" t="s">
        <v>2846</v>
      </c>
      <c r="B509" s="9" t="s">
        <v>2912</v>
      </c>
      <c r="C509" s="9" t="s">
        <v>2912</v>
      </c>
      <c r="D509" s="9" t="e">
        <f>VLOOKUP(RBE!C509,Permis[[#This Row],[Parties]],1,0)</f>
        <v>#N/A</v>
      </c>
      <c r="E509" s="9" t="s">
        <v>2913</v>
      </c>
      <c r="F509" s="10" t="s">
        <v>2903</v>
      </c>
      <c r="G509" s="10" t="str">
        <f t="shared" si="21"/>
        <v>2023</v>
      </c>
      <c r="H509" s="10" t="s">
        <v>1905</v>
      </c>
      <c r="I509" s="10" t="s">
        <v>1905</v>
      </c>
      <c r="J509" s="9" t="s">
        <v>1912</v>
      </c>
      <c r="K509" s="9" t="s">
        <v>1912</v>
      </c>
      <c r="L509" s="9" t="s">
        <v>1905</v>
      </c>
      <c r="M509" s="9">
        <v>0</v>
      </c>
      <c r="N509" s="9" t="s">
        <v>1905</v>
      </c>
      <c r="O509" s="9" t="s">
        <v>1898</v>
      </c>
      <c r="P509" s="16" t="s">
        <v>2846</v>
      </c>
      <c r="Q509">
        <f t="shared" si="22"/>
        <v>0</v>
      </c>
      <c r="R509" t="b">
        <f t="shared" si="23"/>
        <v>0</v>
      </c>
    </row>
    <row r="510" spans="1:18" hidden="1" x14ac:dyDescent="0.35">
      <c r="A510" s="16" t="s">
        <v>2846</v>
      </c>
      <c r="B510" s="9" t="s">
        <v>2914</v>
      </c>
      <c r="C510" s="9" t="s">
        <v>2914</v>
      </c>
      <c r="D510" s="9" t="e">
        <f>VLOOKUP(RBE!C510,Permis[[#This Row],[Parties]],1,0)</f>
        <v>#N/A</v>
      </c>
      <c r="E510" s="9" t="s">
        <v>2915</v>
      </c>
      <c r="F510" s="10" t="s">
        <v>2916</v>
      </c>
      <c r="G510" s="10" t="str">
        <f t="shared" si="21"/>
        <v>2023</v>
      </c>
      <c r="H510" s="10">
        <v>100</v>
      </c>
      <c r="I510" s="10" t="s">
        <v>1905</v>
      </c>
      <c r="J510" s="9" t="s">
        <v>1912</v>
      </c>
      <c r="K510" s="9" t="s">
        <v>1912</v>
      </c>
      <c r="L510" s="9" t="s">
        <v>1905</v>
      </c>
      <c r="M510" s="9">
        <v>0</v>
      </c>
      <c r="N510" s="9" t="s">
        <v>1905</v>
      </c>
      <c r="O510" s="9" t="s">
        <v>1898</v>
      </c>
      <c r="P510" s="16" t="s">
        <v>2846</v>
      </c>
      <c r="Q510">
        <f t="shared" si="22"/>
        <v>0</v>
      </c>
      <c r="R510" t="b">
        <f t="shared" si="23"/>
        <v>0</v>
      </c>
    </row>
    <row r="511" spans="1:18" hidden="1" x14ac:dyDescent="0.35">
      <c r="A511" s="16" t="s">
        <v>2846</v>
      </c>
      <c r="B511" s="9" t="s">
        <v>2914</v>
      </c>
      <c r="C511" s="9" t="s">
        <v>2914</v>
      </c>
      <c r="D511" s="9" t="e">
        <f>VLOOKUP(RBE!C511,Permis[[#This Row],[Parties]],1,0)</f>
        <v>#N/A</v>
      </c>
      <c r="E511" s="9" t="s">
        <v>2917</v>
      </c>
      <c r="F511" s="10" t="s">
        <v>2918</v>
      </c>
      <c r="G511" s="10" t="str">
        <f t="shared" si="21"/>
        <v>2023</v>
      </c>
      <c r="H511" s="10">
        <v>100</v>
      </c>
      <c r="I511" s="10" t="s">
        <v>1905</v>
      </c>
      <c r="J511" s="9" t="s">
        <v>1912</v>
      </c>
      <c r="K511" s="9" t="s">
        <v>1912</v>
      </c>
      <c r="L511" s="9" t="s">
        <v>1905</v>
      </c>
      <c r="M511" s="9">
        <v>0</v>
      </c>
      <c r="N511" s="9" t="s">
        <v>1905</v>
      </c>
      <c r="O511" s="9" t="s">
        <v>1898</v>
      </c>
      <c r="P511" s="16" t="s">
        <v>2846</v>
      </c>
      <c r="Q511">
        <f t="shared" si="22"/>
        <v>0</v>
      </c>
      <c r="R511" t="b">
        <f t="shared" si="23"/>
        <v>0</v>
      </c>
    </row>
    <row r="512" spans="1:18" hidden="1" x14ac:dyDescent="0.35">
      <c r="A512" s="16" t="s">
        <v>2846</v>
      </c>
      <c r="B512" s="9" t="s">
        <v>2919</v>
      </c>
      <c r="C512" s="9" t="s">
        <v>2919</v>
      </c>
      <c r="D512" s="9" t="e">
        <f>VLOOKUP(RBE!C512,Permis[[#This Row],[Parties]],1,0)</f>
        <v>#N/A</v>
      </c>
      <c r="E512" s="9" t="s">
        <v>2920</v>
      </c>
      <c r="F512" s="10" t="s">
        <v>2921</v>
      </c>
      <c r="G512" s="10" t="str">
        <f t="shared" si="21"/>
        <v>2023</v>
      </c>
      <c r="H512" s="10" t="s">
        <v>1905</v>
      </c>
      <c r="I512" s="10" t="s">
        <v>1905</v>
      </c>
      <c r="J512" s="9" t="s">
        <v>1912</v>
      </c>
      <c r="K512" s="9" t="s">
        <v>1912</v>
      </c>
      <c r="L512" s="9" t="s">
        <v>1905</v>
      </c>
      <c r="M512" s="9">
        <v>0</v>
      </c>
      <c r="N512" s="9" t="s">
        <v>1905</v>
      </c>
      <c r="O512" s="9" t="s">
        <v>1898</v>
      </c>
      <c r="P512" s="16" t="s">
        <v>2846</v>
      </c>
      <c r="Q512">
        <f t="shared" si="22"/>
        <v>0</v>
      </c>
      <c r="R512" t="b">
        <f t="shared" si="23"/>
        <v>0</v>
      </c>
    </row>
    <row r="513" spans="1:18" hidden="1" x14ac:dyDescent="0.35">
      <c r="A513" s="16" t="s">
        <v>2846</v>
      </c>
      <c r="B513" s="9" t="s">
        <v>2919</v>
      </c>
      <c r="C513" s="9" t="s">
        <v>2919</v>
      </c>
      <c r="D513" s="9" t="e">
        <f>VLOOKUP(RBE!C513,Permis[[#This Row],[Parties]],1,0)</f>
        <v>#N/A</v>
      </c>
      <c r="E513" s="9" t="s">
        <v>2922</v>
      </c>
      <c r="F513" s="10" t="s">
        <v>2921</v>
      </c>
      <c r="G513" s="10" t="str">
        <f t="shared" si="21"/>
        <v>2023</v>
      </c>
      <c r="H513" s="10" t="s">
        <v>1905</v>
      </c>
      <c r="I513" s="10" t="s">
        <v>1905</v>
      </c>
      <c r="J513" s="9" t="s">
        <v>1912</v>
      </c>
      <c r="K513" s="9" t="s">
        <v>1912</v>
      </c>
      <c r="L513" s="9" t="s">
        <v>1905</v>
      </c>
      <c r="M513" s="9">
        <v>0</v>
      </c>
      <c r="N513" s="9" t="s">
        <v>1905</v>
      </c>
      <c r="O513" s="9" t="s">
        <v>1898</v>
      </c>
      <c r="P513" s="16" t="s">
        <v>2846</v>
      </c>
      <c r="Q513">
        <f t="shared" si="22"/>
        <v>0</v>
      </c>
      <c r="R513" t="b">
        <f t="shared" si="23"/>
        <v>0</v>
      </c>
    </row>
    <row r="514" spans="1:18" hidden="1" x14ac:dyDescent="0.35">
      <c r="A514" s="16" t="s">
        <v>2846</v>
      </c>
      <c r="B514" s="9" t="s">
        <v>2923</v>
      </c>
      <c r="C514" s="9" t="s">
        <v>2923</v>
      </c>
      <c r="D514" s="9" t="e">
        <f>VLOOKUP(RBE!C514,Permis[[#This Row],[Parties]],1,0)</f>
        <v>#N/A</v>
      </c>
      <c r="E514" s="9" t="s">
        <v>2924</v>
      </c>
      <c r="F514" s="10" t="s">
        <v>2921</v>
      </c>
      <c r="G514" s="10" t="str">
        <f t="shared" ref="G514:G577" si="24">LEFT(TRIM(F514),4)</f>
        <v>2023</v>
      </c>
      <c r="H514" s="10" t="s">
        <v>1905</v>
      </c>
      <c r="I514" s="10" t="s">
        <v>1905</v>
      </c>
      <c r="J514" s="9" t="s">
        <v>1912</v>
      </c>
      <c r="K514" s="9" t="s">
        <v>1912</v>
      </c>
      <c r="L514" s="9" t="s">
        <v>1905</v>
      </c>
      <c r="M514" s="9">
        <v>0</v>
      </c>
      <c r="N514" s="9" t="s">
        <v>1905</v>
      </c>
      <c r="O514" s="9" t="s">
        <v>1898</v>
      </c>
      <c r="P514" s="16" t="s">
        <v>2846</v>
      </c>
      <c r="Q514">
        <f t="shared" si="22"/>
        <v>0</v>
      </c>
      <c r="R514" t="b">
        <f t="shared" si="23"/>
        <v>0</v>
      </c>
    </row>
    <row r="515" spans="1:18" hidden="1" x14ac:dyDescent="0.35">
      <c r="A515" s="16" t="s">
        <v>2846</v>
      </c>
      <c r="B515" s="9" t="s">
        <v>2925</v>
      </c>
      <c r="C515" s="9" t="s">
        <v>2925</v>
      </c>
      <c r="D515" s="9" t="e">
        <f>VLOOKUP(RBE!C515,Permis[[#This Row],[Parties]],1,0)</f>
        <v>#N/A</v>
      </c>
      <c r="E515" s="9" t="s">
        <v>2926</v>
      </c>
      <c r="F515" s="10" t="s">
        <v>2927</v>
      </c>
      <c r="G515" s="10" t="str">
        <f t="shared" si="24"/>
        <v>2023</v>
      </c>
      <c r="H515" s="10" t="s">
        <v>1905</v>
      </c>
      <c r="I515" s="10" t="s">
        <v>1905</v>
      </c>
      <c r="J515" s="9" t="s">
        <v>1912</v>
      </c>
      <c r="K515" s="9" t="s">
        <v>1912</v>
      </c>
      <c r="L515" s="9" t="s">
        <v>1905</v>
      </c>
      <c r="M515" s="9">
        <v>0</v>
      </c>
      <c r="N515" s="9" t="s">
        <v>1905</v>
      </c>
      <c r="O515" s="9" t="s">
        <v>1898</v>
      </c>
      <c r="P515" s="16" t="s">
        <v>2846</v>
      </c>
      <c r="Q515">
        <f t="shared" ref="Q515:Q578" si="25">IF(J515=K515,0,1)</f>
        <v>0</v>
      </c>
      <c r="R515" t="b">
        <f t="shared" ref="R515:R578" si="26">ISBLANK(K515)</f>
        <v>0</v>
      </c>
    </row>
    <row r="516" spans="1:18" hidden="1" x14ac:dyDescent="0.35">
      <c r="A516" s="16" t="s">
        <v>2846</v>
      </c>
      <c r="B516" s="9" t="s">
        <v>2925</v>
      </c>
      <c r="C516" s="9" t="s">
        <v>2925</v>
      </c>
      <c r="D516" s="9" t="e">
        <f>VLOOKUP(RBE!C516,Permis[[#This Row],[Parties]],1,0)</f>
        <v>#N/A</v>
      </c>
      <c r="E516" s="9" t="s">
        <v>2928</v>
      </c>
      <c r="F516" s="10" t="s">
        <v>2927</v>
      </c>
      <c r="G516" s="10" t="str">
        <f t="shared" si="24"/>
        <v>2023</v>
      </c>
      <c r="H516" s="10" t="s">
        <v>1905</v>
      </c>
      <c r="I516" s="10" t="s">
        <v>1905</v>
      </c>
      <c r="J516" s="9" t="s">
        <v>1912</v>
      </c>
      <c r="K516" s="9" t="s">
        <v>1912</v>
      </c>
      <c r="L516" s="9" t="s">
        <v>1905</v>
      </c>
      <c r="M516" s="9">
        <v>0</v>
      </c>
      <c r="N516" s="9" t="s">
        <v>1905</v>
      </c>
      <c r="O516" s="9" t="s">
        <v>1898</v>
      </c>
      <c r="P516" s="16" t="s">
        <v>2846</v>
      </c>
      <c r="Q516">
        <f t="shared" si="25"/>
        <v>0</v>
      </c>
      <c r="R516" t="b">
        <f t="shared" si="26"/>
        <v>0</v>
      </c>
    </row>
    <row r="517" spans="1:18" hidden="1" x14ac:dyDescent="0.35">
      <c r="A517" s="16" t="s">
        <v>2846</v>
      </c>
      <c r="B517" s="9" t="s">
        <v>2925</v>
      </c>
      <c r="C517" s="9" t="s">
        <v>2925</v>
      </c>
      <c r="D517" s="9" t="e">
        <f>VLOOKUP(RBE!C517,Permis[[#This Row],[Parties]],1,0)</f>
        <v>#N/A</v>
      </c>
      <c r="E517" s="9" t="s">
        <v>2929</v>
      </c>
      <c r="F517" s="10" t="s">
        <v>2927</v>
      </c>
      <c r="G517" s="10" t="str">
        <f t="shared" si="24"/>
        <v>2023</v>
      </c>
      <c r="H517" s="10" t="s">
        <v>1905</v>
      </c>
      <c r="I517" s="10" t="s">
        <v>1905</v>
      </c>
      <c r="J517" s="9" t="s">
        <v>1912</v>
      </c>
      <c r="K517" s="9" t="s">
        <v>1912</v>
      </c>
      <c r="L517" s="9" t="s">
        <v>1905</v>
      </c>
      <c r="M517" s="9">
        <v>0</v>
      </c>
      <c r="N517" s="9" t="s">
        <v>1905</v>
      </c>
      <c r="O517" s="9" t="s">
        <v>1898</v>
      </c>
      <c r="P517" s="16" t="s">
        <v>2846</v>
      </c>
      <c r="Q517">
        <f t="shared" si="25"/>
        <v>0</v>
      </c>
      <c r="R517" t="b">
        <f t="shared" si="26"/>
        <v>0</v>
      </c>
    </row>
    <row r="518" spans="1:18" hidden="1" x14ac:dyDescent="0.35">
      <c r="A518" s="16" t="s">
        <v>2846</v>
      </c>
      <c r="B518" s="9" t="s">
        <v>2925</v>
      </c>
      <c r="C518" s="9" t="s">
        <v>2925</v>
      </c>
      <c r="D518" s="9" t="e">
        <f>VLOOKUP(RBE!C518,Permis[[#This Row],[Parties]],1,0)</f>
        <v>#N/A</v>
      </c>
      <c r="E518" s="9" t="s">
        <v>2930</v>
      </c>
      <c r="F518" s="10" t="s">
        <v>2931</v>
      </c>
      <c r="G518" s="10" t="str">
        <f t="shared" si="24"/>
        <v>2023</v>
      </c>
      <c r="H518" s="10" t="s">
        <v>1905</v>
      </c>
      <c r="I518" s="10" t="s">
        <v>1905</v>
      </c>
      <c r="J518" s="9" t="s">
        <v>1912</v>
      </c>
      <c r="K518" s="9" t="s">
        <v>1912</v>
      </c>
      <c r="L518" s="9" t="s">
        <v>1905</v>
      </c>
      <c r="M518" s="9">
        <v>0</v>
      </c>
      <c r="N518" s="9" t="s">
        <v>1905</v>
      </c>
      <c r="O518" s="9" t="s">
        <v>1898</v>
      </c>
      <c r="P518" s="16" t="s">
        <v>2846</v>
      </c>
      <c r="Q518">
        <f t="shared" si="25"/>
        <v>0</v>
      </c>
      <c r="R518" t="b">
        <f t="shared" si="26"/>
        <v>0</v>
      </c>
    </row>
    <row r="519" spans="1:18" hidden="1" x14ac:dyDescent="0.35">
      <c r="A519" s="16" t="s">
        <v>101</v>
      </c>
      <c r="B519" s="9" t="s">
        <v>1949</v>
      </c>
      <c r="C519" s="9" t="s">
        <v>3138</v>
      </c>
      <c r="D519" s="9" t="e">
        <f>VLOOKUP(RBE!C519,Permis[[#This Row],[Parties]],1,0)</f>
        <v>#N/A</v>
      </c>
      <c r="E519" s="9" t="s">
        <v>1950</v>
      </c>
      <c r="F519" s="10" t="s">
        <v>1951</v>
      </c>
      <c r="G519" s="10" t="str">
        <f t="shared" si="24"/>
        <v>2021</v>
      </c>
      <c r="H519" s="10">
        <v>100</v>
      </c>
      <c r="I519" s="10">
        <v>100</v>
      </c>
      <c r="J519" s="9" t="s">
        <v>1912</v>
      </c>
      <c r="K519" s="9" t="s">
        <v>1912</v>
      </c>
      <c r="L519" s="9" t="s">
        <v>1905</v>
      </c>
      <c r="M519" s="9">
        <v>0</v>
      </c>
      <c r="N519" s="9" t="s">
        <v>1905</v>
      </c>
      <c r="O519" s="9" t="s">
        <v>1898</v>
      </c>
      <c r="P519" s="16" t="s">
        <v>101</v>
      </c>
      <c r="Q519">
        <f t="shared" si="25"/>
        <v>0</v>
      </c>
      <c r="R519" t="b">
        <f t="shared" si="26"/>
        <v>0</v>
      </c>
    </row>
    <row r="520" spans="1:18" hidden="1" x14ac:dyDescent="0.35">
      <c r="A520" s="16" t="s">
        <v>101</v>
      </c>
      <c r="B520" s="9" t="s">
        <v>1949</v>
      </c>
      <c r="C520" s="9" t="s">
        <v>3138</v>
      </c>
      <c r="D520" s="9" t="e">
        <f>VLOOKUP(RBE!C520,Permis[[#This Row],[Parties]],1,0)</f>
        <v>#N/A</v>
      </c>
      <c r="E520" s="9" t="s">
        <v>1952</v>
      </c>
      <c r="F520" s="10" t="s">
        <v>1953</v>
      </c>
      <c r="G520" s="10" t="str">
        <f t="shared" si="24"/>
        <v>2021</v>
      </c>
      <c r="H520" s="10">
        <v>10</v>
      </c>
      <c r="I520" s="10" t="s">
        <v>1905</v>
      </c>
      <c r="J520" s="9" t="s">
        <v>1912</v>
      </c>
      <c r="K520" s="9" t="s">
        <v>1912</v>
      </c>
      <c r="L520" s="9" t="s">
        <v>1905</v>
      </c>
      <c r="M520" s="9">
        <v>0</v>
      </c>
      <c r="N520" s="9" t="s">
        <v>1905</v>
      </c>
      <c r="O520" s="9" t="s">
        <v>1898</v>
      </c>
      <c r="P520" s="16" t="s">
        <v>101</v>
      </c>
      <c r="Q520">
        <f t="shared" si="25"/>
        <v>0</v>
      </c>
      <c r="R520" t="b">
        <f t="shared" si="26"/>
        <v>0</v>
      </c>
    </row>
    <row r="521" spans="1:18" hidden="1" x14ac:dyDescent="0.35">
      <c r="A521" s="16" t="s">
        <v>101</v>
      </c>
      <c r="B521" s="9" t="s">
        <v>1949</v>
      </c>
      <c r="C521" s="9" t="s">
        <v>3138</v>
      </c>
      <c r="D521" s="9" t="e">
        <f>VLOOKUP(RBE!C521,Permis[[#This Row],[Parties]],1,0)</f>
        <v>#N/A</v>
      </c>
      <c r="E521" s="9" t="s">
        <v>1954</v>
      </c>
      <c r="F521" s="10" t="s">
        <v>1955</v>
      </c>
      <c r="G521" s="10" t="str">
        <f t="shared" si="24"/>
        <v>2021</v>
      </c>
      <c r="H521" s="10">
        <v>100</v>
      </c>
      <c r="I521" s="10" t="s">
        <v>1905</v>
      </c>
      <c r="J521" s="9" t="s">
        <v>1912</v>
      </c>
      <c r="K521" s="9" t="s">
        <v>1912</v>
      </c>
      <c r="L521" s="9" t="s">
        <v>1905</v>
      </c>
      <c r="M521" s="9">
        <v>0</v>
      </c>
      <c r="N521" s="9" t="s">
        <v>1905</v>
      </c>
      <c r="O521" s="9" t="s">
        <v>1898</v>
      </c>
      <c r="P521" s="16" t="s">
        <v>101</v>
      </c>
      <c r="Q521">
        <f t="shared" si="25"/>
        <v>0</v>
      </c>
      <c r="R521" t="b">
        <f t="shared" si="26"/>
        <v>0</v>
      </c>
    </row>
    <row r="522" spans="1:18" hidden="1" x14ac:dyDescent="0.35">
      <c r="A522" s="16" t="s">
        <v>101</v>
      </c>
      <c r="B522" s="9" t="s">
        <v>1949</v>
      </c>
      <c r="C522" s="9" t="s">
        <v>3138</v>
      </c>
      <c r="D522" s="9" t="e">
        <f>VLOOKUP(RBE!C522,Permis[[#This Row],[Parties]],1,0)</f>
        <v>#N/A</v>
      </c>
      <c r="E522" s="9" t="s">
        <v>1956</v>
      </c>
      <c r="F522" s="10" t="s">
        <v>1953</v>
      </c>
      <c r="G522" s="10" t="str">
        <f t="shared" si="24"/>
        <v>2021</v>
      </c>
      <c r="H522" s="10">
        <v>15</v>
      </c>
      <c r="I522" s="10" t="s">
        <v>1905</v>
      </c>
      <c r="J522" s="9" t="s">
        <v>1912</v>
      </c>
      <c r="K522" s="9" t="s">
        <v>1912</v>
      </c>
      <c r="L522" s="9" t="s">
        <v>1905</v>
      </c>
      <c r="M522" s="9">
        <v>0</v>
      </c>
      <c r="N522" s="9" t="s">
        <v>1905</v>
      </c>
      <c r="O522" s="9" t="s">
        <v>1898</v>
      </c>
      <c r="P522" s="16" t="s">
        <v>101</v>
      </c>
      <c r="Q522">
        <f t="shared" si="25"/>
        <v>0</v>
      </c>
      <c r="R522" t="b">
        <f t="shared" si="26"/>
        <v>0</v>
      </c>
    </row>
    <row r="523" spans="1:18" hidden="1" x14ac:dyDescent="0.35">
      <c r="A523" s="16" t="s">
        <v>2846</v>
      </c>
      <c r="B523" s="9" t="s">
        <v>538</v>
      </c>
      <c r="C523" s="9" t="s">
        <v>538</v>
      </c>
      <c r="D523" s="9" t="e">
        <f>VLOOKUP(RBE!C523,Permis[[#This Row],[Parties]],1,0)</f>
        <v>#N/A</v>
      </c>
      <c r="E523" s="9" t="s">
        <v>2932</v>
      </c>
      <c r="F523" s="10" t="s">
        <v>2931</v>
      </c>
      <c r="G523" s="10" t="str">
        <f t="shared" si="24"/>
        <v>2023</v>
      </c>
      <c r="H523" s="10" t="s">
        <v>1905</v>
      </c>
      <c r="I523" s="10" t="s">
        <v>1905</v>
      </c>
      <c r="J523" s="9" t="s">
        <v>1912</v>
      </c>
      <c r="K523" s="9" t="s">
        <v>1912</v>
      </c>
      <c r="L523" s="9" t="s">
        <v>1905</v>
      </c>
      <c r="M523" s="9">
        <v>0</v>
      </c>
      <c r="N523" s="9" t="s">
        <v>1905</v>
      </c>
      <c r="O523" s="9" t="s">
        <v>1898</v>
      </c>
      <c r="P523" s="16" t="s">
        <v>2846</v>
      </c>
      <c r="Q523">
        <f t="shared" si="25"/>
        <v>0</v>
      </c>
      <c r="R523" t="b">
        <f t="shared" si="26"/>
        <v>0</v>
      </c>
    </row>
    <row r="524" spans="1:18" hidden="1" x14ac:dyDescent="0.35">
      <c r="A524" s="16" t="s">
        <v>2846</v>
      </c>
      <c r="B524" s="9" t="s">
        <v>2933</v>
      </c>
      <c r="C524" s="9" t="s">
        <v>2933</v>
      </c>
      <c r="D524" s="9" t="e">
        <f>VLOOKUP(RBE!C524,Permis[[#This Row],[Parties]],1,0)</f>
        <v>#N/A</v>
      </c>
      <c r="E524" s="9" t="s">
        <v>2934</v>
      </c>
      <c r="F524" s="10" t="s">
        <v>2931</v>
      </c>
      <c r="G524" s="10" t="str">
        <f t="shared" si="24"/>
        <v>2023</v>
      </c>
      <c r="H524" s="10" t="s">
        <v>1905</v>
      </c>
      <c r="I524" s="10" t="s">
        <v>1905</v>
      </c>
      <c r="J524" s="9" t="s">
        <v>1912</v>
      </c>
      <c r="K524" s="9" t="s">
        <v>1912</v>
      </c>
      <c r="L524" s="9" t="s">
        <v>1905</v>
      </c>
      <c r="M524" s="9">
        <v>0</v>
      </c>
      <c r="N524" s="9" t="s">
        <v>1905</v>
      </c>
      <c r="O524" s="9" t="s">
        <v>1898</v>
      </c>
      <c r="P524" s="16" t="s">
        <v>2846</v>
      </c>
      <c r="Q524">
        <f t="shared" si="25"/>
        <v>0</v>
      </c>
      <c r="R524" t="b">
        <f t="shared" si="26"/>
        <v>0</v>
      </c>
    </row>
    <row r="525" spans="1:18" hidden="1" x14ac:dyDescent="0.35">
      <c r="A525" s="16" t="s">
        <v>2846</v>
      </c>
      <c r="B525" s="9" t="s">
        <v>2933</v>
      </c>
      <c r="C525" s="9" t="s">
        <v>2933</v>
      </c>
      <c r="D525" s="9" t="e">
        <f>VLOOKUP(RBE!C525,Permis[[#This Row],[Parties]],1,0)</f>
        <v>#N/A</v>
      </c>
      <c r="E525" s="9" t="s">
        <v>2934</v>
      </c>
      <c r="F525" s="10" t="s">
        <v>2935</v>
      </c>
      <c r="G525" s="10" t="str">
        <f t="shared" si="24"/>
        <v>2023</v>
      </c>
      <c r="H525" s="10" t="s">
        <v>1905</v>
      </c>
      <c r="I525" s="10" t="s">
        <v>1905</v>
      </c>
      <c r="J525" s="9" t="s">
        <v>1912</v>
      </c>
      <c r="K525" s="9" t="s">
        <v>1912</v>
      </c>
      <c r="L525" s="9" t="s">
        <v>1905</v>
      </c>
      <c r="M525" s="9">
        <v>0</v>
      </c>
      <c r="N525" s="9" t="s">
        <v>1905</v>
      </c>
      <c r="O525" s="9" t="s">
        <v>1898</v>
      </c>
      <c r="P525" s="16" t="s">
        <v>2846</v>
      </c>
      <c r="Q525">
        <f t="shared" si="25"/>
        <v>0</v>
      </c>
      <c r="R525" t="b">
        <f t="shared" si="26"/>
        <v>0</v>
      </c>
    </row>
    <row r="526" spans="1:18" hidden="1" x14ac:dyDescent="0.35">
      <c r="A526" s="16" t="s">
        <v>2846</v>
      </c>
      <c r="B526" s="9" t="s">
        <v>2936</v>
      </c>
      <c r="C526" s="9" t="s">
        <v>2936</v>
      </c>
      <c r="D526" s="9" t="e">
        <f>VLOOKUP(RBE!C526,Permis[[#This Row],[Parties]],1,0)</f>
        <v>#N/A</v>
      </c>
      <c r="E526" s="9" t="s">
        <v>2937</v>
      </c>
      <c r="F526" s="10" t="s">
        <v>2935</v>
      </c>
      <c r="G526" s="10" t="str">
        <f t="shared" si="24"/>
        <v>2023</v>
      </c>
      <c r="H526" s="10" t="s">
        <v>1905</v>
      </c>
      <c r="I526" s="10" t="s">
        <v>1905</v>
      </c>
      <c r="J526" s="9" t="s">
        <v>1912</v>
      </c>
      <c r="K526" s="9" t="s">
        <v>1912</v>
      </c>
      <c r="L526" s="9" t="s">
        <v>1905</v>
      </c>
      <c r="M526" s="9">
        <v>0</v>
      </c>
      <c r="N526" s="9" t="s">
        <v>1905</v>
      </c>
      <c r="O526" s="9" t="s">
        <v>1898</v>
      </c>
      <c r="P526" s="16" t="s">
        <v>2846</v>
      </c>
      <c r="Q526">
        <f t="shared" si="25"/>
        <v>0</v>
      </c>
      <c r="R526" t="b">
        <f t="shared" si="26"/>
        <v>0</v>
      </c>
    </row>
    <row r="527" spans="1:18" hidden="1" x14ac:dyDescent="0.35">
      <c r="A527" s="16" t="s">
        <v>2846</v>
      </c>
      <c r="B527" s="9" t="s">
        <v>2938</v>
      </c>
      <c r="C527" s="9" t="s">
        <v>2938</v>
      </c>
      <c r="D527" s="9" t="e">
        <f>VLOOKUP(RBE!C527,Permis[[#This Row],[Parties]],1,0)</f>
        <v>#N/A</v>
      </c>
      <c r="E527" s="9" t="s">
        <v>2939</v>
      </c>
      <c r="F527" s="10" t="s">
        <v>2935</v>
      </c>
      <c r="G527" s="10" t="str">
        <f t="shared" si="24"/>
        <v>2023</v>
      </c>
      <c r="H527" s="10" t="s">
        <v>1905</v>
      </c>
      <c r="I527" s="10" t="s">
        <v>1905</v>
      </c>
      <c r="J527" s="9" t="s">
        <v>1912</v>
      </c>
      <c r="K527" s="9" t="s">
        <v>1912</v>
      </c>
      <c r="L527" s="9" t="s">
        <v>1905</v>
      </c>
      <c r="M527" s="9">
        <v>0</v>
      </c>
      <c r="N527" s="9" t="s">
        <v>1905</v>
      </c>
      <c r="O527" s="9" t="s">
        <v>1898</v>
      </c>
      <c r="P527" s="16" t="s">
        <v>2846</v>
      </c>
      <c r="Q527">
        <f t="shared" si="25"/>
        <v>0</v>
      </c>
      <c r="R527" t="b">
        <f t="shared" si="26"/>
        <v>0</v>
      </c>
    </row>
    <row r="528" spans="1:18" hidden="1" x14ac:dyDescent="0.35">
      <c r="A528" s="16" t="s">
        <v>2846</v>
      </c>
      <c r="B528" s="9" t="s">
        <v>2940</v>
      </c>
      <c r="C528" s="9" t="s">
        <v>2940</v>
      </c>
      <c r="D528" s="9" t="e">
        <f>VLOOKUP(RBE!C528,Permis[[#This Row],[Parties]],1,0)</f>
        <v>#N/A</v>
      </c>
      <c r="E528" s="9" t="s">
        <v>2941</v>
      </c>
      <c r="F528" s="10" t="s">
        <v>2935</v>
      </c>
      <c r="G528" s="10" t="str">
        <f t="shared" si="24"/>
        <v>2023</v>
      </c>
      <c r="H528" s="10" t="s">
        <v>1905</v>
      </c>
      <c r="I528" s="10" t="s">
        <v>1905</v>
      </c>
      <c r="J528" s="9" t="s">
        <v>1912</v>
      </c>
      <c r="K528" s="9" t="s">
        <v>1912</v>
      </c>
      <c r="L528" s="9" t="s">
        <v>1905</v>
      </c>
      <c r="M528" s="9">
        <v>0</v>
      </c>
      <c r="N528" s="9" t="s">
        <v>1905</v>
      </c>
      <c r="O528" s="9" t="s">
        <v>1898</v>
      </c>
      <c r="P528" s="16" t="s">
        <v>2846</v>
      </c>
      <c r="Q528">
        <f t="shared" si="25"/>
        <v>0</v>
      </c>
      <c r="R528" t="b">
        <f t="shared" si="26"/>
        <v>0</v>
      </c>
    </row>
    <row r="529" spans="1:18" hidden="1" x14ac:dyDescent="0.35">
      <c r="A529" s="16" t="s">
        <v>2846</v>
      </c>
      <c r="B529" s="9" t="s">
        <v>2942</v>
      </c>
      <c r="C529" s="9" t="s">
        <v>2942</v>
      </c>
      <c r="D529" s="9" t="e">
        <f>VLOOKUP(RBE!C529,Permis[[#This Row],[Parties]],1,0)</f>
        <v>#N/A</v>
      </c>
      <c r="E529" s="9" t="s">
        <v>1406</v>
      </c>
      <c r="F529" s="10" t="s">
        <v>2935</v>
      </c>
      <c r="G529" s="10" t="str">
        <f t="shared" si="24"/>
        <v>2023</v>
      </c>
      <c r="H529" s="10" t="s">
        <v>1905</v>
      </c>
      <c r="I529" s="10" t="s">
        <v>1905</v>
      </c>
      <c r="J529" s="9" t="s">
        <v>1912</v>
      </c>
      <c r="K529" s="9" t="s">
        <v>1912</v>
      </c>
      <c r="L529" s="9" t="s">
        <v>1905</v>
      </c>
      <c r="M529" s="9">
        <v>0</v>
      </c>
      <c r="N529" s="9" t="s">
        <v>1905</v>
      </c>
      <c r="O529" s="9" t="s">
        <v>1898</v>
      </c>
      <c r="P529" s="16" t="s">
        <v>2846</v>
      </c>
      <c r="Q529">
        <f t="shared" si="25"/>
        <v>0</v>
      </c>
      <c r="R529" t="b">
        <f t="shared" si="26"/>
        <v>0</v>
      </c>
    </row>
    <row r="530" spans="1:18" hidden="1" x14ac:dyDescent="0.35">
      <c r="A530" s="16" t="s">
        <v>2846</v>
      </c>
      <c r="B530" s="9" t="s">
        <v>2942</v>
      </c>
      <c r="C530" s="9" t="s">
        <v>2942</v>
      </c>
      <c r="D530" s="9" t="e">
        <f>VLOOKUP(RBE!C530,Permis[[#This Row],[Parties]],1,0)</f>
        <v>#N/A</v>
      </c>
      <c r="E530" s="9" t="s">
        <v>2943</v>
      </c>
      <c r="F530" s="10" t="s">
        <v>2935</v>
      </c>
      <c r="G530" s="10" t="str">
        <f t="shared" si="24"/>
        <v>2023</v>
      </c>
      <c r="H530" s="10" t="s">
        <v>1905</v>
      </c>
      <c r="I530" s="10" t="s">
        <v>1905</v>
      </c>
      <c r="J530" s="9" t="s">
        <v>1912</v>
      </c>
      <c r="K530" s="9" t="s">
        <v>1912</v>
      </c>
      <c r="L530" s="9" t="s">
        <v>1905</v>
      </c>
      <c r="M530" s="9">
        <v>0</v>
      </c>
      <c r="N530" s="9" t="s">
        <v>1905</v>
      </c>
      <c r="O530" s="9" t="s">
        <v>1898</v>
      </c>
      <c r="P530" s="16" t="s">
        <v>2846</v>
      </c>
      <c r="Q530">
        <f t="shared" si="25"/>
        <v>0</v>
      </c>
      <c r="R530" t="b">
        <f t="shared" si="26"/>
        <v>0</v>
      </c>
    </row>
    <row r="531" spans="1:18" hidden="1" x14ac:dyDescent="0.35">
      <c r="A531" s="16" t="s">
        <v>2846</v>
      </c>
      <c r="B531" s="9" t="s">
        <v>2944</v>
      </c>
      <c r="C531" s="9" t="s">
        <v>2944</v>
      </c>
      <c r="D531" s="9" t="e">
        <f>VLOOKUP(RBE!C531,Permis[[#This Row],[Parties]],1,0)</f>
        <v>#N/A</v>
      </c>
      <c r="E531" s="9" t="s">
        <v>2945</v>
      </c>
      <c r="F531" s="10" t="s">
        <v>2935</v>
      </c>
      <c r="G531" s="10" t="str">
        <f t="shared" si="24"/>
        <v>2023</v>
      </c>
      <c r="H531" s="10" t="s">
        <v>1905</v>
      </c>
      <c r="I531" s="10" t="s">
        <v>1905</v>
      </c>
      <c r="J531" s="9" t="s">
        <v>1912</v>
      </c>
      <c r="K531" s="9" t="s">
        <v>1912</v>
      </c>
      <c r="L531" s="9" t="s">
        <v>1905</v>
      </c>
      <c r="M531" s="9">
        <v>0</v>
      </c>
      <c r="N531" s="9" t="s">
        <v>1905</v>
      </c>
      <c r="O531" s="9" t="s">
        <v>1898</v>
      </c>
      <c r="P531" s="16" t="s">
        <v>2846</v>
      </c>
      <c r="Q531">
        <f t="shared" si="25"/>
        <v>0</v>
      </c>
      <c r="R531" t="b">
        <f t="shared" si="26"/>
        <v>0</v>
      </c>
    </row>
    <row r="532" spans="1:18" hidden="1" x14ac:dyDescent="0.35">
      <c r="A532" s="16" t="s">
        <v>2846</v>
      </c>
      <c r="B532" s="9" t="s">
        <v>2944</v>
      </c>
      <c r="C532" s="9" t="s">
        <v>2944</v>
      </c>
      <c r="D532" s="9" t="e">
        <f>VLOOKUP(RBE!C532,Permis[[#This Row],[Parties]],1,0)</f>
        <v>#N/A</v>
      </c>
      <c r="E532" s="9" t="s">
        <v>2946</v>
      </c>
      <c r="F532" s="10" t="s">
        <v>2935</v>
      </c>
      <c r="G532" s="10" t="str">
        <f t="shared" si="24"/>
        <v>2023</v>
      </c>
      <c r="H532" s="10" t="s">
        <v>1905</v>
      </c>
      <c r="I532" s="10" t="s">
        <v>1905</v>
      </c>
      <c r="J532" s="9" t="s">
        <v>1912</v>
      </c>
      <c r="K532" s="9" t="s">
        <v>1912</v>
      </c>
      <c r="L532" s="9" t="s">
        <v>1905</v>
      </c>
      <c r="M532" s="9">
        <v>0</v>
      </c>
      <c r="N532" s="9" t="s">
        <v>1905</v>
      </c>
      <c r="O532" s="9" t="s">
        <v>1898</v>
      </c>
      <c r="P532" s="16" t="s">
        <v>2846</v>
      </c>
      <c r="Q532">
        <f t="shared" si="25"/>
        <v>0</v>
      </c>
      <c r="R532" t="b">
        <f t="shared" si="26"/>
        <v>0</v>
      </c>
    </row>
    <row r="533" spans="1:18" hidden="1" x14ac:dyDescent="0.35">
      <c r="A533" s="16" t="s">
        <v>2846</v>
      </c>
      <c r="B533" s="9" t="s">
        <v>2944</v>
      </c>
      <c r="C533" s="9" t="s">
        <v>2944</v>
      </c>
      <c r="D533" s="9" t="e">
        <f>VLOOKUP(RBE!C533,Permis[[#This Row],[Parties]],1,0)</f>
        <v>#N/A</v>
      </c>
      <c r="E533" s="9" t="s">
        <v>2947</v>
      </c>
      <c r="F533" s="10" t="s">
        <v>2935</v>
      </c>
      <c r="G533" s="10" t="str">
        <f t="shared" si="24"/>
        <v>2023</v>
      </c>
      <c r="H533" s="10" t="s">
        <v>1905</v>
      </c>
      <c r="I533" s="10" t="s">
        <v>1905</v>
      </c>
      <c r="J533" s="9" t="s">
        <v>1912</v>
      </c>
      <c r="K533" s="9" t="s">
        <v>1912</v>
      </c>
      <c r="L533" s="9" t="s">
        <v>1905</v>
      </c>
      <c r="M533" s="9">
        <v>0</v>
      </c>
      <c r="N533" s="9" t="s">
        <v>1905</v>
      </c>
      <c r="O533" s="9" t="s">
        <v>1898</v>
      </c>
      <c r="P533" s="16" t="s">
        <v>2846</v>
      </c>
      <c r="Q533">
        <f t="shared" si="25"/>
        <v>0</v>
      </c>
      <c r="R533" t="b">
        <f t="shared" si="26"/>
        <v>0</v>
      </c>
    </row>
    <row r="534" spans="1:18" hidden="1" x14ac:dyDescent="0.35">
      <c r="A534" s="16" t="s">
        <v>2846</v>
      </c>
      <c r="B534" s="9" t="s">
        <v>2944</v>
      </c>
      <c r="C534" s="9" t="s">
        <v>2944</v>
      </c>
      <c r="D534" s="9" t="e">
        <f>VLOOKUP(RBE!C534,Permis[[#This Row],[Parties]],1,0)</f>
        <v>#N/A</v>
      </c>
      <c r="E534" s="9" t="s">
        <v>2948</v>
      </c>
      <c r="F534" s="10" t="s">
        <v>2935</v>
      </c>
      <c r="G534" s="10" t="str">
        <f t="shared" si="24"/>
        <v>2023</v>
      </c>
      <c r="H534" s="10" t="s">
        <v>1905</v>
      </c>
      <c r="I534" s="10" t="s">
        <v>1905</v>
      </c>
      <c r="J534" s="9" t="s">
        <v>1912</v>
      </c>
      <c r="K534" s="9" t="s">
        <v>1912</v>
      </c>
      <c r="L534" s="9" t="s">
        <v>1905</v>
      </c>
      <c r="M534" s="9">
        <v>0</v>
      </c>
      <c r="N534" s="9" t="s">
        <v>1905</v>
      </c>
      <c r="O534" s="9" t="s">
        <v>1898</v>
      </c>
      <c r="P534" s="16" t="s">
        <v>2846</v>
      </c>
      <c r="Q534">
        <f t="shared" si="25"/>
        <v>0</v>
      </c>
      <c r="R534" t="b">
        <f t="shared" si="26"/>
        <v>0</v>
      </c>
    </row>
    <row r="535" spans="1:18" hidden="1" x14ac:dyDescent="0.35">
      <c r="A535" s="16" t="s">
        <v>2846</v>
      </c>
      <c r="B535" s="9" t="s">
        <v>2949</v>
      </c>
      <c r="C535" s="9" t="s">
        <v>2949</v>
      </c>
      <c r="D535" s="9" t="e">
        <f>VLOOKUP(RBE!C535,Permis[[#This Row],[Parties]],1,0)</f>
        <v>#N/A</v>
      </c>
      <c r="E535" s="9" t="s">
        <v>2950</v>
      </c>
      <c r="F535" s="10" t="s">
        <v>2935</v>
      </c>
      <c r="G535" s="10" t="str">
        <f t="shared" si="24"/>
        <v>2023</v>
      </c>
      <c r="H535" s="10" t="s">
        <v>1905</v>
      </c>
      <c r="I535" s="10" t="s">
        <v>1905</v>
      </c>
      <c r="J535" s="9" t="s">
        <v>1912</v>
      </c>
      <c r="K535" s="9" t="s">
        <v>1912</v>
      </c>
      <c r="L535" s="9" t="s">
        <v>1905</v>
      </c>
      <c r="M535" s="9">
        <v>0</v>
      </c>
      <c r="N535" s="9" t="s">
        <v>1905</v>
      </c>
      <c r="O535" s="9" t="s">
        <v>1898</v>
      </c>
      <c r="P535" s="16" t="s">
        <v>2846</v>
      </c>
      <c r="Q535">
        <f t="shared" si="25"/>
        <v>0</v>
      </c>
      <c r="R535" t="b">
        <f t="shared" si="26"/>
        <v>0</v>
      </c>
    </row>
    <row r="536" spans="1:18" hidden="1" x14ac:dyDescent="0.35">
      <c r="A536" s="16" t="s">
        <v>2846</v>
      </c>
      <c r="B536" s="9" t="s">
        <v>2949</v>
      </c>
      <c r="C536" s="9" t="s">
        <v>2949</v>
      </c>
      <c r="D536" s="9" t="e">
        <f>VLOOKUP(RBE!C536,Permis[[#This Row],[Parties]],1,0)</f>
        <v>#N/A</v>
      </c>
      <c r="E536" s="9" t="s">
        <v>2951</v>
      </c>
      <c r="F536" s="10" t="s">
        <v>2935</v>
      </c>
      <c r="G536" s="10" t="str">
        <f t="shared" si="24"/>
        <v>2023</v>
      </c>
      <c r="H536" s="10" t="s">
        <v>1905</v>
      </c>
      <c r="I536" s="10" t="s">
        <v>1905</v>
      </c>
      <c r="J536" s="9" t="s">
        <v>1912</v>
      </c>
      <c r="K536" s="9" t="s">
        <v>1912</v>
      </c>
      <c r="L536" s="9" t="s">
        <v>1905</v>
      </c>
      <c r="M536" s="9">
        <v>0</v>
      </c>
      <c r="N536" s="9" t="s">
        <v>1905</v>
      </c>
      <c r="O536" s="9" t="s">
        <v>1898</v>
      </c>
      <c r="P536" s="16" t="s">
        <v>2846</v>
      </c>
      <c r="Q536">
        <f t="shared" si="25"/>
        <v>0</v>
      </c>
      <c r="R536" t="b">
        <f t="shared" si="26"/>
        <v>0</v>
      </c>
    </row>
    <row r="537" spans="1:18" hidden="1" x14ac:dyDescent="0.35">
      <c r="A537" s="16" t="s">
        <v>2846</v>
      </c>
      <c r="B537" s="9" t="s">
        <v>2949</v>
      </c>
      <c r="C537" s="9" t="s">
        <v>2949</v>
      </c>
      <c r="D537" s="9" t="e">
        <f>VLOOKUP(RBE!C537,Permis[[#This Row],[Parties]],1,0)</f>
        <v>#N/A</v>
      </c>
      <c r="E537" s="9" t="s">
        <v>2952</v>
      </c>
      <c r="F537" s="10" t="s">
        <v>2953</v>
      </c>
      <c r="G537" s="10" t="str">
        <f t="shared" si="24"/>
        <v>2024</v>
      </c>
      <c r="H537" s="10" t="s">
        <v>1905</v>
      </c>
      <c r="I537" s="10" t="s">
        <v>1905</v>
      </c>
      <c r="J537" s="9" t="s">
        <v>1912</v>
      </c>
      <c r="K537" s="9" t="s">
        <v>1912</v>
      </c>
      <c r="L537" s="9" t="s">
        <v>1905</v>
      </c>
      <c r="M537" s="9">
        <v>0</v>
      </c>
      <c r="N537" s="9" t="s">
        <v>1905</v>
      </c>
      <c r="O537" s="9" t="s">
        <v>1898</v>
      </c>
      <c r="P537" s="16" t="s">
        <v>2846</v>
      </c>
      <c r="Q537">
        <f t="shared" si="25"/>
        <v>0</v>
      </c>
      <c r="R537" t="b">
        <f t="shared" si="26"/>
        <v>0</v>
      </c>
    </row>
    <row r="538" spans="1:18" hidden="1" x14ac:dyDescent="0.35">
      <c r="A538" s="16" t="s">
        <v>2846</v>
      </c>
      <c r="B538" s="9" t="s">
        <v>2954</v>
      </c>
      <c r="C538" s="9" t="s">
        <v>2954</v>
      </c>
      <c r="D538" s="9" t="e">
        <f>VLOOKUP(RBE!C538,Permis[[#This Row],[Parties]],1,0)</f>
        <v>#N/A</v>
      </c>
      <c r="E538" s="9" t="s">
        <v>2955</v>
      </c>
      <c r="F538" s="10" t="s">
        <v>2953</v>
      </c>
      <c r="G538" s="10" t="str">
        <f t="shared" si="24"/>
        <v>2024</v>
      </c>
      <c r="H538" s="10" t="s">
        <v>1905</v>
      </c>
      <c r="I538" s="10" t="s">
        <v>1905</v>
      </c>
      <c r="J538" s="9" t="s">
        <v>1912</v>
      </c>
      <c r="K538" s="9" t="s">
        <v>1912</v>
      </c>
      <c r="L538" s="9" t="s">
        <v>1905</v>
      </c>
      <c r="M538" s="9">
        <v>0</v>
      </c>
      <c r="N538" s="9" t="s">
        <v>1905</v>
      </c>
      <c r="O538" s="9" t="s">
        <v>1898</v>
      </c>
      <c r="P538" s="16" t="s">
        <v>2846</v>
      </c>
      <c r="Q538">
        <f t="shared" si="25"/>
        <v>0</v>
      </c>
      <c r="R538" t="b">
        <f t="shared" si="26"/>
        <v>0</v>
      </c>
    </row>
    <row r="539" spans="1:18" hidden="1" x14ac:dyDescent="0.35">
      <c r="A539" s="16" t="s">
        <v>2846</v>
      </c>
      <c r="B539" s="9" t="s">
        <v>2954</v>
      </c>
      <c r="C539" s="9" t="s">
        <v>2954</v>
      </c>
      <c r="D539" s="9" t="e">
        <f>VLOOKUP(RBE!C539,Permis[[#This Row],[Parties]],1,0)</f>
        <v>#N/A</v>
      </c>
      <c r="E539" s="9" t="s">
        <v>2956</v>
      </c>
      <c r="F539" s="10" t="s">
        <v>2953</v>
      </c>
      <c r="G539" s="10" t="str">
        <f t="shared" si="24"/>
        <v>2024</v>
      </c>
      <c r="H539" s="10" t="s">
        <v>1905</v>
      </c>
      <c r="I539" s="10" t="s">
        <v>1905</v>
      </c>
      <c r="J539" s="9" t="s">
        <v>1912</v>
      </c>
      <c r="K539" s="9" t="s">
        <v>1912</v>
      </c>
      <c r="L539" s="9" t="s">
        <v>1905</v>
      </c>
      <c r="M539" s="9">
        <v>0</v>
      </c>
      <c r="N539" s="9" t="s">
        <v>1905</v>
      </c>
      <c r="O539" s="9" t="s">
        <v>1898</v>
      </c>
      <c r="P539" s="16" t="s">
        <v>2846</v>
      </c>
      <c r="Q539">
        <f t="shared" si="25"/>
        <v>0</v>
      </c>
      <c r="R539" t="b">
        <f t="shared" si="26"/>
        <v>0</v>
      </c>
    </row>
    <row r="540" spans="1:18" hidden="1" x14ac:dyDescent="0.35">
      <c r="A540" s="16" t="s">
        <v>2846</v>
      </c>
      <c r="B540" s="9" t="s">
        <v>2957</v>
      </c>
      <c r="C540" s="9" t="s">
        <v>2957</v>
      </c>
      <c r="D540" s="9" t="e">
        <f>VLOOKUP(RBE!C540,Permis[[#This Row],[Parties]],1,0)</f>
        <v>#N/A</v>
      </c>
      <c r="E540" s="9" t="s">
        <v>2958</v>
      </c>
      <c r="F540" s="10" t="s">
        <v>2959</v>
      </c>
      <c r="G540" s="10" t="str">
        <f t="shared" si="24"/>
        <v>2025</v>
      </c>
      <c r="H540" s="10" t="s">
        <v>1905</v>
      </c>
      <c r="I540" s="10" t="s">
        <v>1905</v>
      </c>
      <c r="J540" s="9" t="s">
        <v>1912</v>
      </c>
      <c r="K540" s="9"/>
      <c r="L540" s="9">
        <v>0</v>
      </c>
      <c r="M540" s="9" t="s">
        <v>1905</v>
      </c>
      <c r="N540" s="9" t="s">
        <v>1905</v>
      </c>
      <c r="O540" s="9" t="s">
        <v>1898</v>
      </c>
      <c r="P540" s="16" t="s">
        <v>2846</v>
      </c>
      <c r="Q540">
        <f t="shared" si="25"/>
        <v>1</v>
      </c>
      <c r="R540" t="b">
        <f t="shared" si="26"/>
        <v>1</v>
      </c>
    </row>
    <row r="541" spans="1:18" hidden="1" x14ac:dyDescent="0.35">
      <c r="A541" s="16" t="s">
        <v>2846</v>
      </c>
      <c r="B541" s="9" t="s">
        <v>2957</v>
      </c>
      <c r="C541" s="9" t="s">
        <v>2957</v>
      </c>
      <c r="D541" s="9" t="e">
        <f>VLOOKUP(RBE!C541,Permis[[#This Row],[Parties]],1,0)</f>
        <v>#N/A</v>
      </c>
      <c r="E541" s="9" t="s">
        <v>2960</v>
      </c>
      <c r="F541" s="10" t="s">
        <v>2959</v>
      </c>
      <c r="G541" s="10" t="str">
        <f t="shared" si="24"/>
        <v>2025</v>
      </c>
      <c r="H541" s="10" t="s">
        <v>1905</v>
      </c>
      <c r="I541" s="10" t="s">
        <v>1905</v>
      </c>
      <c r="J541" s="9" t="s">
        <v>1912</v>
      </c>
      <c r="K541" s="9"/>
      <c r="L541" s="9">
        <v>0</v>
      </c>
      <c r="M541" s="9" t="s">
        <v>1905</v>
      </c>
      <c r="N541" s="9" t="s">
        <v>1905</v>
      </c>
      <c r="O541" s="9" t="s">
        <v>1898</v>
      </c>
      <c r="P541" s="16" t="s">
        <v>2846</v>
      </c>
      <c r="Q541">
        <f t="shared" si="25"/>
        <v>1</v>
      </c>
      <c r="R541" t="b">
        <f t="shared" si="26"/>
        <v>1</v>
      </c>
    </row>
    <row r="542" spans="1:18" hidden="1" x14ac:dyDescent="0.35">
      <c r="A542" s="16" t="s">
        <v>2846</v>
      </c>
      <c r="B542" s="9" t="s">
        <v>2957</v>
      </c>
      <c r="C542" s="9" t="s">
        <v>2957</v>
      </c>
      <c r="D542" s="9" t="e">
        <f>VLOOKUP(RBE!C542,Permis[[#This Row],[Parties]],1,0)</f>
        <v>#N/A</v>
      </c>
      <c r="E542" s="9" t="s">
        <v>2961</v>
      </c>
      <c r="F542" s="10" t="s">
        <v>2959</v>
      </c>
      <c r="G542" s="10" t="str">
        <f t="shared" si="24"/>
        <v>2025</v>
      </c>
      <c r="H542" s="10" t="s">
        <v>1905</v>
      </c>
      <c r="I542" s="10" t="s">
        <v>1905</v>
      </c>
      <c r="J542" s="9" t="s">
        <v>1912</v>
      </c>
      <c r="K542" s="9"/>
      <c r="L542" s="9">
        <v>0</v>
      </c>
      <c r="M542" s="9" t="s">
        <v>1905</v>
      </c>
      <c r="N542" s="9" t="s">
        <v>1905</v>
      </c>
      <c r="O542" s="9" t="s">
        <v>1898</v>
      </c>
      <c r="P542" s="16" t="s">
        <v>2846</v>
      </c>
      <c r="Q542">
        <f t="shared" si="25"/>
        <v>1</v>
      </c>
      <c r="R542" t="b">
        <f t="shared" si="26"/>
        <v>1</v>
      </c>
    </row>
    <row r="543" spans="1:18" hidden="1" x14ac:dyDescent="0.35">
      <c r="A543" s="16" t="s">
        <v>2846</v>
      </c>
      <c r="B543" s="9" t="s">
        <v>2962</v>
      </c>
      <c r="C543" s="9" t="s">
        <v>2962</v>
      </c>
      <c r="D543" s="9" t="e">
        <f>VLOOKUP(RBE!C543,Permis[[#This Row],[Parties]],1,0)</f>
        <v>#N/A</v>
      </c>
      <c r="E543" s="9" t="s">
        <v>2963</v>
      </c>
      <c r="F543" s="10" t="s">
        <v>2964</v>
      </c>
      <c r="G543" s="10" t="str">
        <f t="shared" si="24"/>
        <v>2025</v>
      </c>
      <c r="H543" s="10" t="s">
        <v>1905</v>
      </c>
      <c r="I543" s="10" t="s">
        <v>1905</v>
      </c>
      <c r="J543" s="9" t="s">
        <v>1912</v>
      </c>
      <c r="K543" s="9"/>
      <c r="L543" s="9">
        <v>0</v>
      </c>
      <c r="M543" s="9" t="s">
        <v>1905</v>
      </c>
      <c r="N543" s="9" t="s">
        <v>1905</v>
      </c>
      <c r="O543" s="9" t="s">
        <v>1898</v>
      </c>
      <c r="P543" s="16" t="s">
        <v>2846</v>
      </c>
      <c r="Q543">
        <f t="shared" si="25"/>
        <v>1</v>
      </c>
      <c r="R543" t="b">
        <f t="shared" si="26"/>
        <v>1</v>
      </c>
    </row>
    <row r="544" spans="1:18" hidden="1" x14ac:dyDescent="0.35">
      <c r="A544" s="16" t="s">
        <v>2846</v>
      </c>
      <c r="B544" s="9" t="s">
        <v>2965</v>
      </c>
      <c r="C544" s="9" t="s">
        <v>2965</v>
      </c>
      <c r="D544" s="9" t="e">
        <f>VLOOKUP(RBE!C544,Permis[[#This Row],[Parties]],1,0)</f>
        <v>#N/A</v>
      </c>
      <c r="E544" s="9" t="s">
        <v>2963</v>
      </c>
      <c r="F544" s="10" t="s">
        <v>2964</v>
      </c>
      <c r="G544" s="10" t="str">
        <f t="shared" si="24"/>
        <v>2025</v>
      </c>
      <c r="H544" s="10" t="s">
        <v>1905</v>
      </c>
      <c r="I544" s="10" t="s">
        <v>1905</v>
      </c>
      <c r="J544" s="9" t="s">
        <v>1912</v>
      </c>
      <c r="K544" s="9"/>
      <c r="L544" s="9">
        <v>0</v>
      </c>
      <c r="M544" s="9" t="s">
        <v>1905</v>
      </c>
      <c r="N544" s="9" t="s">
        <v>1905</v>
      </c>
      <c r="O544" s="9" t="s">
        <v>1898</v>
      </c>
      <c r="P544" s="16" t="s">
        <v>2846</v>
      </c>
      <c r="Q544">
        <f t="shared" si="25"/>
        <v>1</v>
      </c>
      <c r="R544" t="b">
        <f t="shared" si="26"/>
        <v>1</v>
      </c>
    </row>
    <row r="545" spans="1:18" hidden="1" x14ac:dyDescent="0.35">
      <c r="A545" s="16" t="s">
        <v>2846</v>
      </c>
      <c r="B545" s="9" t="s">
        <v>2966</v>
      </c>
      <c r="C545" s="9" t="s">
        <v>2966</v>
      </c>
      <c r="D545" s="9" t="e">
        <f>VLOOKUP(RBE!C545,Permis[[#This Row],[Parties]],1,0)</f>
        <v>#N/A</v>
      </c>
      <c r="E545" s="9" t="s">
        <v>2967</v>
      </c>
      <c r="F545" s="10" t="s">
        <v>2964</v>
      </c>
      <c r="G545" s="10" t="str">
        <f t="shared" si="24"/>
        <v>2025</v>
      </c>
      <c r="H545" s="10" t="s">
        <v>1905</v>
      </c>
      <c r="I545" s="10" t="s">
        <v>1905</v>
      </c>
      <c r="J545" s="9" t="s">
        <v>1912</v>
      </c>
      <c r="K545" s="9"/>
      <c r="L545" s="9" t="s">
        <v>1905</v>
      </c>
      <c r="M545" s="9" t="s">
        <v>1905</v>
      </c>
      <c r="N545" s="9" t="s">
        <v>1905</v>
      </c>
      <c r="O545" s="9" t="s">
        <v>1898</v>
      </c>
      <c r="P545" s="16" t="s">
        <v>2846</v>
      </c>
      <c r="Q545">
        <f t="shared" si="25"/>
        <v>1</v>
      </c>
      <c r="R545" t="b">
        <f t="shared" si="26"/>
        <v>1</v>
      </c>
    </row>
    <row r="546" spans="1:18" hidden="1" x14ac:dyDescent="0.35">
      <c r="A546" s="16" t="s">
        <v>2846</v>
      </c>
      <c r="B546" s="9" t="s">
        <v>2968</v>
      </c>
      <c r="C546" s="9" t="s">
        <v>2968</v>
      </c>
      <c r="D546" s="9" t="e">
        <f>VLOOKUP(RBE!C546,Permis[[#This Row],[Parties]],1,0)</f>
        <v>#N/A</v>
      </c>
      <c r="E546" s="9" t="s">
        <v>2969</v>
      </c>
      <c r="F546" s="10" t="s">
        <v>2970</v>
      </c>
      <c r="G546" s="10" t="str">
        <f t="shared" si="24"/>
        <v>2025</v>
      </c>
      <c r="H546" s="10" t="s">
        <v>1905</v>
      </c>
      <c r="I546" s="10" t="s">
        <v>1905</v>
      </c>
      <c r="J546" s="9" t="s">
        <v>1912</v>
      </c>
      <c r="K546" s="9"/>
      <c r="L546" s="9">
        <v>0</v>
      </c>
      <c r="M546" s="9" t="s">
        <v>1905</v>
      </c>
      <c r="N546" s="9" t="s">
        <v>1905</v>
      </c>
      <c r="O546" s="9" t="s">
        <v>1898</v>
      </c>
      <c r="P546" s="16" t="s">
        <v>2846</v>
      </c>
      <c r="Q546">
        <f t="shared" si="25"/>
        <v>1</v>
      </c>
      <c r="R546" t="b">
        <f t="shared" si="26"/>
        <v>1</v>
      </c>
    </row>
    <row r="547" spans="1:18" hidden="1" x14ac:dyDescent="0.35">
      <c r="A547" s="16" t="s">
        <v>101</v>
      </c>
      <c r="B547" s="9" t="s">
        <v>1957</v>
      </c>
      <c r="C547" s="9" t="s">
        <v>3139</v>
      </c>
      <c r="D547" s="9" t="e">
        <f>VLOOKUP(RBE!C547,Permis[[#This Row],[Parties]],1,0)</f>
        <v>#N/A</v>
      </c>
      <c r="E547" s="9" t="s">
        <v>1958</v>
      </c>
      <c r="F547" s="10" t="s">
        <v>1959</v>
      </c>
      <c r="G547" s="10" t="str">
        <f t="shared" si="24"/>
        <v>2021</v>
      </c>
      <c r="H547" s="10">
        <v>50</v>
      </c>
      <c r="I547" s="10">
        <v>50</v>
      </c>
      <c r="J547" s="9" t="s">
        <v>1912</v>
      </c>
      <c r="K547" s="9" t="s">
        <v>1912</v>
      </c>
      <c r="L547" s="9" t="s">
        <v>1905</v>
      </c>
      <c r="M547" s="9">
        <v>0</v>
      </c>
      <c r="N547" s="9" t="s">
        <v>1905</v>
      </c>
      <c r="O547" s="9" t="s">
        <v>1898</v>
      </c>
      <c r="P547" s="16" t="s">
        <v>101</v>
      </c>
      <c r="Q547">
        <f t="shared" si="25"/>
        <v>0</v>
      </c>
      <c r="R547" t="b">
        <f t="shared" si="26"/>
        <v>0</v>
      </c>
    </row>
    <row r="548" spans="1:18" hidden="1" x14ac:dyDescent="0.35">
      <c r="A548" s="16" t="s">
        <v>2846</v>
      </c>
      <c r="B548" s="9" t="s">
        <v>2971</v>
      </c>
      <c r="C548" s="9" t="s">
        <v>2971</v>
      </c>
      <c r="D548" s="9" t="e">
        <f>VLOOKUP(RBE!C548,Permis[[#This Row],[Parties]],1,0)</f>
        <v>#N/A</v>
      </c>
      <c r="E548" s="9" t="s">
        <v>2972</v>
      </c>
      <c r="F548" s="10" t="s">
        <v>2973</v>
      </c>
      <c r="G548" s="10" t="str">
        <f t="shared" si="24"/>
        <v>2025</v>
      </c>
      <c r="H548" s="10" t="s">
        <v>1905</v>
      </c>
      <c r="I548" s="10" t="s">
        <v>1905</v>
      </c>
      <c r="J548" s="9" t="s">
        <v>1912</v>
      </c>
      <c r="K548" s="9"/>
      <c r="L548" s="9">
        <v>0</v>
      </c>
      <c r="M548" s="9" t="s">
        <v>1905</v>
      </c>
      <c r="N548" s="9" t="s">
        <v>1905</v>
      </c>
      <c r="O548" s="9" t="s">
        <v>1898</v>
      </c>
      <c r="P548" s="16" t="s">
        <v>2846</v>
      </c>
      <c r="Q548">
        <f t="shared" si="25"/>
        <v>1</v>
      </c>
      <c r="R548" t="b">
        <f t="shared" si="26"/>
        <v>1</v>
      </c>
    </row>
    <row r="549" spans="1:18" hidden="1" x14ac:dyDescent="0.35">
      <c r="A549" s="16" t="s">
        <v>2846</v>
      </c>
      <c r="B549" s="9" t="s">
        <v>2971</v>
      </c>
      <c r="C549" s="9" t="s">
        <v>2971</v>
      </c>
      <c r="D549" s="9" t="e">
        <f>VLOOKUP(RBE!C549,Permis[[#This Row],[Parties]],1,0)</f>
        <v>#N/A</v>
      </c>
      <c r="E549" s="9" t="s">
        <v>2974</v>
      </c>
      <c r="F549" s="10" t="s">
        <v>2973</v>
      </c>
      <c r="G549" s="10" t="str">
        <f t="shared" si="24"/>
        <v>2025</v>
      </c>
      <c r="H549" s="10" t="s">
        <v>1905</v>
      </c>
      <c r="I549" s="10" t="s">
        <v>1905</v>
      </c>
      <c r="J549" s="9" t="s">
        <v>1912</v>
      </c>
      <c r="K549" s="9"/>
      <c r="L549" s="9">
        <v>0</v>
      </c>
      <c r="M549" s="9" t="s">
        <v>1905</v>
      </c>
      <c r="N549" s="9" t="s">
        <v>1905</v>
      </c>
      <c r="O549" s="9" t="s">
        <v>1898</v>
      </c>
      <c r="P549" s="16" t="s">
        <v>2846</v>
      </c>
      <c r="Q549">
        <f t="shared" si="25"/>
        <v>1</v>
      </c>
      <c r="R549" t="b">
        <f t="shared" si="26"/>
        <v>1</v>
      </c>
    </row>
    <row r="550" spans="1:18" hidden="1" x14ac:dyDescent="0.35">
      <c r="A550" s="16" t="s">
        <v>2846</v>
      </c>
      <c r="B550" s="9" t="s">
        <v>2971</v>
      </c>
      <c r="C550" s="9" t="s">
        <v>2971</v>
      </c>
      <c r="D550" s="9" t="e">
        <f>VLOOKUP(RBE!C550,Permis[[#This Row],[Parties]],1,0)</f>
        <v>#N/A</v>
      </c>
      <c r="E550" s="9" t="s">
        <v>2975</v>
      </c>
      <c r="F550" s="10" t="s">
        <v>2973</v>
      </c>
      <c r="G550" s="10" t="str">
        <f t="shared" si="24"/>
        <v>2025</v>
      </c>
      <c r="H550" s="10" t="s">
        <v>1905</v>
      </c>
      <c r="I550" s="10" t="s">
        <v>1905</v>
      </c>
      <c r="J550" s="9" t="s">
        <v>1912</v>
      </c>
      <c r="K550" s="9"/>
      <c r="L550" s="9">
        <v>0</v>
      </c>
      <c r="M550" s="9" t="s">
        <v>1905</v>
      </c>
      <c r="N550" s="9" t="s">
        <v>1905</v>
      </c>
      <c r="O550" s="9" t="s">
        <v>1898</v>
      </c>
      <c r="P550" s="16" t="s">
        <v>2846</v>
      </c>
      <c r="Q550">
        <f t="shared" si="25"/>
        <v>1</v>
      </c>
      <c r="R550" t="b">
        <f t="shared" si="26"/>
        <v>1</v>
      </c>
    </row>
    <row r="551" spans="1:18" hidden="1" x14ac:dyDescent="0.35">
      <c r="A551" s="16" t="s">
        <v>2846</v>
      </c>
      <c r="B551" s="9" t="s">
        <v>2971</v>
      </c>
      <c r="C551" s="9" t="s">
        <v>2971</v>
      </c>
      <c r="D551" s="9" t="e">
        <f>VLOOKUP(RBE!C551,Permis[[#This Row],[Parties]],1,0)</f>
        <v>#N/A</v>
      </c>
      <c r="E551" s="9" t="s">
        <v>2976</v>
      </c>
      <c r="F551" s="10" t="s">
        <v>2977</v>
      </c>
      <c r="G551" s="10" t="str">
        <f t="shared" si="24"/>
        <v>2025</v>
      </c>
      <c r="H551" s="10" t="s">
        <v>1905</v>
      </c>
      <c r="I551" s="10" t="s">
        <v>1905</v>
      </c>
      <c r="J551" s="9" t="s">
        <v>1912</v>
      </c>
      <c r="K551" s="9"/>
      <c r="L551" s="9">
        <v>0</v>
      </c>
      <c r="M551" s="9" t="s">
        <v>1905</v>
      </c>
      <c r="N551" s="9" t="s">
        <v>1905</v>
      </c>
      <c r="O551" s="9" t="s">
        <v>1898</v>
      </c>
      <c r="P551" s="16" t="s">
        <v>2846</v>
      </c>
      <c r="Q551">
        <f t="shared" si="25"/>
        <v>1</v>
      </c>
      <c r="R551" t="b">
        <f t="shared" si="26"/>
        <v>1</v>
      </c>
    </row>
    <row r="552" spans="1:18" hidden="1" x14ac:dyDescent="0.35">
      <c r="A552" s="16" t="s">
        <v>2846</v>
      </c>
      <c r="B552" s="9" t="s">
        <v>2978</v>
      </c>
      <c r="C552" s="9" t="s">
        <v>2978</v>
      </c>
      <c r="D552" s="9" t="e">
        <f>VLOOKUP(RBE!C552,Permis[[#This Row],[Parties]],1,0)</f>
        <v>#N/A</v>
      </c>
      <c r="E552" s="9" t="s">
        <v>2979</v>
      </c>
      <c r="F552" s="10" t="s">
        <v>2977</v>
      </c>
      <c r="G552" s="10" t="str">
        <f t="shared" si="24"/>
        <v>2025</v>
      </c>
      <c r="H552" s="10" t="s">
        <v>1905</v>
      </c>
      <c r="I552" s="10" t="s">
        <v>1905</v>
      </c>
      <c r="J552" s="9" t="s">
        <v>1912</v>
      </c>
      <c r="K552" s="9"/>
      <c r="L552" s="9">
        <v>0</v>
      </c>
      <c r="M552" s="9" t="s">
        <v>1905</v>
      </c>
      <c r="N552" s="9" t="s">
        <v>1905</v>
      </c>
      <c r="O552" s="9" t="s">
        <v>1898</v>
      </c>
      <c r="P552" s="16" t="s">
        <v>2846</v>
      </c>
      <c r="Q552">
        <f t="shared" si="25"/>
        <v>1</v>
      </c>
      <c r="R552" t="b">
        <f t="shared" si="26"/>
        <v>1</v>
      </c>
    </row>
    <row r="553" spans="1:18" hidden="1" x14ac:dyDescent="0.35">
      <c r="A553" s="16" t="s">
        <v>2846</v>
      </c>
      <c r="B553" s="9" t="s">
        <v>2980</v>
      </c>
      <c r="C553" s="9" t="s">
        <v>2980</v>
      </c>
      <c r="D553" s="9" t="e">
        <f>VLOOKUP(RBE!C553,Permis[[#This Row],[Parties]],1,0)</f>
        <v>#N/A</v>
      </c>
      <c r="E553" s="9" t="s">
        <v>2981</v>
      </c>
      <c r="F553" s="10" t="s">
        <v>2977</v>
      </c>
      <c r="G553" s="10" t="str">
        <f t="shared" si="24"/>
        <v>2025</v>
      </c>
      <c r="H553" s="10" t="s">
        <v>1905</v>
      </c>
      <c r="I553" s="10" t="s">
        <v>1905</v>
      </c>
      <c r="J553" s="9" t="s">
        <v>1912</v>
      </c>
      <c r="K553" s="9"/>
      <c r="L553" s="9">
        <v>0</v>
      </c>
      <c r="M553" s="9" t="s">
        <v>1905</v>
      </c>
      <c r="N553" s="9" t="s">
        <v>1905</v>
      </c>
      <c r="O553" s="9" t="s">
        <v>1898</v>
      </c>
      <c r="P553" s="16" t="s">
        <v>2846</v>
      </c>
      <c r="Q553">
        <f t="shared" si="25"/>
        <v>1</v>
      </c>
      <c r="R553" t="b">
        <f t="shared" si="26"/>
        <v>1</v>
      </c>
    </row>
    <row r="554" spans="1:18" hidden="1" x14ac:dyDescent="0.35">
      <c r="A554" s="16" t="s">
        <v>2846</v>
      </c>
      <c r="B554" s="9" t="s">
        <v>2982</v>
      </c>
      <c r="C554" s="9" t="s">
        <v>2982</v>
      </c>
      <c r="D554" s="9" t="e">
        <f>VLOOKUP(RBE!C554,Permis[[#This Row],[Parties]],1,0)</f>
        <v>#N/A</v>
      </c>
      <c r="E554" s="9" t="s">
        <v>2983</v>
      </c>
      <c r="F554" s="10" t="s">
        <v>2984</v>
      </c>
      <c r="G554" s="10" t="str">
        <f t="shared" si="24"/>
        <v>2025</v>
      </c>
      <c r="H554" s="10" t="s">
        <v>1905</v>
      </c>
      <c r="I554" s="10" t="s">
        <v>1905</v>
      </c>
      <c r="J554" s="9" t="s">
        <v>1912</v>
      </c>
      <c r="K554" s="9"/>
      <c r="L554" s="9">
        <v>0</v>
      </c>
      <c r="M554" s="9" t="s">
        <v>1905</v>
      </c>
      <c r="N554" s="9" t="s">
        <v>1905</v>
      </c>
      <c r="O554" s="9" t="s">
        <v>1898</v>
      </c>
      <c r="P554" s="16" t="s">
        <v>2846</v>
      </c>
      <c r="Q554">
        <f t="shared" si="25"/>
        <v>1</v>
      </c>
      <c r="R554" t="b">
        <f t="shared" si="26"/>
        <v>1</v>
      </c>
    </row>
    <row r="555" spans="1:18" hidden="1" x14ac:dyDescent="0.35">
      <c r="A555" s="16" t="s">
        <v>2846</v>
      </c>
      <c r="B555" s="9" t="s">
        <v>2985</v>
      </c>
      <c r="C555" s="9" t="s">
        <v>2985</v>
      </c>
      <c r="D555" s="9" t="e">
        <f>VLOOKUP(RBE!C555,Permis[[#This Row],[Parties]],1,0)</f>
        <v>#N/A</v>
      </c>
      <c r="E555" s="9" t="s">
        <v>2986</v>
      </c>
      <c r="F555" s="10" t="s">
        <v>2984</v>
      </c>
      <c r="G555" s="10" t="str">
        <f t="shared" si="24"/>
        <v>2025</v>
      </c>
      <c r="H555" s="10" t="s">
        <v>1905</v>
      </c>
      <c r="I555" s="10" t="s">
        <v>1905</v>
      </c>
      <c r="J555" s="9" t="s">
        <v>1912</v>
      </c>
      <c r="K555" s="9"/>
      <c r="L555" s="9">
        <v>0</v>
      </c>
      <c r="M555" s="9" t="s">
        <v>1905</v>
      </c>
      <c r="N555" s="9" t="s">
        <v>1905</v>
      </c>
      <c r="O555" s="9" t="s">
        <v>1898</v>
      </c>
      <c r="P555" s="16" t="s">
        <v>2846</v>
      </c>
      <c r="Q555">
        <f t="shared" si="25"/>
        <v>1</v>
      </c>
      <c r="R555" t="b">
        <f t="shared" si="26"/>
        <v>1</v>
      </c>
    </row>
    <row r="556" spans="1:18" hidden="1" x14ac:dyDescent="0.35">
      <c r="A556" s="16" t="s">
        <v>2846</v>
      </c>
      <c r="B556" s="9" t="s">
        <v>2987</v>
      </c>
      <c r="C556" s="9" t="s">
        <v>2987</v>
      </c>
      <c r="D556" s="9" t="e">
        <f>VLOOKUP(RBE!C556,Permis[[#This Row],[Parties]],1,0)</f>
        <v>#N/A</v>
      </c>
      <c r="E556" s="9" t="s">
        <v>2986</v>
      </c>
      <c r="F556" s="10" t="s">
        <v>2988</v>
      </c>
      <c r="G556" s="10" t="str">
        <f t="shared" si="24"/>
        <v>2025</v>
      </c>
      <c r="H556" s="10" t="s">
        <v>1905</v>
      </c>
      <c r="I556" s="10" t="s">
        <v>1905</v>
      </c>
      <c r="J556" s="9" t="s">
        <v>1912</v>
      </c>
      <c r="K556" s="9"/>
      <c r="L556" s="9">
        <v>0</v>
      </c>
      <c r="M556" s="9" t="s">
        <v>1905</v>
      </c>
      <c r="N556" s="9" t="s">
        <v>1905</v>
      </c>
      <c r="O556" s="9" t="s">
        <v>1898</v>
      </c>
      <c r="P556" s="16" t="s">
        <v>2846</v>
      </c>
      <c r="Q556">
        <f t="shared" si="25"/>
        <v>1</v>
      </c>
      <c r="R556" t="b">
        <f t="shared" si="26"/>
        <v>1</v>
      </c>
    </row>
    <row r="557" spans="1:18" hidden="1" x14ac:dyDescent="0.35">
      <c r="A557" s="16" t="s">
        <v>2846</v>
      </c>
      <c r="B557" s="9" t="s">
        <v>2989</v>
      </c>
      <c r="C557" s="9" t="s">
        <v>2989</v>
      </c>
      <c r="D557" s="9" t="e">
        <f>VLOOKUP(RBE!C557,Permis[[#This Row],[Parties]],1,0)</f>
        <v>#VALUE!</v>
      </c>
      <c r="E557" s="9" t="s">
        <v>2990</v>
      </c>
      <c r="F557" s="10" t="s">
        <v>2988</v>
      </c>
      <c r="G557" s="10" t="str">
        <f t="shared" si="24"/>
        <v>2025</v>
      </c>
      <c r="H557" s="10" t="s">
        <v>1905</v>
      </c>
      <c r="I557" s="10" t="s">
        <v>1905</v>
      </c>
      <c r="J557" s="9" t="s">
        <v>1912</v>
      </c>
      <c r="K557" s="9"/>
      <c r="L557" s="9">
        <v>0</v>
      </c>
      <c r="M557" s="9" t="s">
        <v>1905</v>
      </c>
      <c r="N557" s="9" t="s">
        <v>1905</v>
      </c>
      <c r="O557" s="9" t="s">
        <v>1898</v>
      </c>
      <c r="P557" s="16" t="s">
        <v>2846</v>
      </c>
      <c r="Q557">
        <f t="shared" si="25"/>
        <v>1</v>
      </c>
      <c r="R557" t="b">
        <f t="shared" si="26"/>
        <v>1</v>
      </c>
    </row>
    <row r="558" spans="1:18" hidden="1" x14ac:dyDescent="0.35">
      <c r="A558" s="16" t="s">
        <v>2846</v>
      </c>
      <c r="B558" s="9" t="s">
        <v>2991</v>
      </c>
      <c r="C558" s="9" t="s">
        <v>2991</v>
      </c>
      <c r="D558" s="9" t="e">
        <f>VLOOKUP(RBE!C558,Permis[[#This Row],[Parties]],1,0)</f>
        <v>#VALUE!</v>
      </c>
      <c r="E558" s="9" t="s">
        <v>2992</v>
      </c>
      <c r="F558" s="10" t="s">
        <v>2988</v>
      </c>
      <c r="G558" s="10" t="str">
        <f t="shared" si="24"/>
        <v>2025</v>
      </c>
      <c r="H558" s="10" t="s">
        <v>1905</v>
      </c>
      <c r="I558" s="10" t="s">
        <v>1905</v>
      </c>
      <c r="J558" s="9" t="s">
        <v>1912</v>
      </c>
      <c r="K558" s="9"/>
      <c r="L558" s="9">
        <v>0</v>
      </c>
      <c r="M558" s="9" t="s">
        <v>1905</v>
      </c>
      <c r="N558" s="9" t="s">
        <v>1905</v>
      </c>
      <c r="O558" s="9" t="s">
        <v>1898</v>
      </c>
      <c r="P558" s="16" t="s">
        <v>2846</v>
      </c>
      <c r="Q558">
        <f t="shared" si="25"/>
        <v>1</v>
      </c>
      <c r="R558" t="b">
        <f t="shared" si="26"/>
        <v>1</v>
      </c>
    </row>
    <row r="559" spans="1:18" hidden="1" x14ac:dyDescent="0.35">
      <c r="A559" s="16" t="s">
        <v>2846</v>
      </c>
      <c r="B559" s="9" t="s">
        <v>2991</v>
      </c>
      <c r="C559" s="9" t="s">
        <v>2991</v>
      </c>
      <c r="D559" s="9" t="e">
        <f>VLOOKUP(RBE!C559,Permis[[#This Row],[Parties]],1,0)</f>
        <v>#VALUE!</v>
      </c>
      <c r="E559" s="9" t="s">
        <v>2993</v>
      </c>
      <c r="F559" s="10" t="s">
        <v>2994</v>
      </c>
      <c r="G559" s="10" t="str">
        <f t="shared" si="24"/>
        <v>2025</v>
      </c>
      <c r="H559" s="10">
        <v>50</v>
      </c>
      <c r="I559" s="10">
        <v>50</v>
      </c>
      <c r="J559" s="9" t="s">
        <v>1912</v>
      </c>
      <c r="K559" s="9"/>
      <c r="L559" s="9">
        <v>0</v>
      </c>
      <c r="M559" s="9" t="s">
        <v>1905</v>
      </c>
      <c r="N559" s="9" t="s">
        <v>1905</v>
      </c>
      <c r="O559" s="9" t="s">
        <v>1898</v>
      </c>
      <c r="P559" s="16" t="s">
        <v>2846</v>
      </c>
      <c r="Q559">
        <f t="shared" si="25"/>
        <v>1</v>
      </c>
      <c r="R559" t="b">
        <f t="shared" si="26"/>
        <v>1</v>
      </c>
    </row>
    <row r="560" spans="1:18" hidden="1" x14ac:dyDescent="0.35">
      <c r="A560" s="16" t="s">
        <v>2846</v>
      </c>
      <c r="B560" s="9" t="s">
        <v>2991</v>
      </c>
      <c r="C560" s="9" t="s">
        <v>2991</v>
      </c>
      <c r="D560" s="9" t="e">
        <f>VLOOKUP(RBE!C560,Permis[[#This Row],[Parties]],1,0)</f>
        <v>#VALUE!</v>
      </c>
      <c r="E560" s="9" t="s">
        <v>2995</v>
      </c>
      <c r="F560" s="10" t="s">
        <v>2996</v>
      </c>
      <c r="G560" s="10" t="str">
        <f t="shared" si="24"/>
        <v>2025</v>
      </c>
      <c r="H560" s="10">
        <v>40</v>
      </c>
      <c r="I560" s="10" t="s">
        <v>1905</v>
      </c>
      <c r="J560" s="9" t="s">
        <v>1912</v>
      </c>
      <c r="K560" s="9"/>
      <c r="L560" s="9">
        <v>0</v>
      </c>
      <c r="M560" s="9" t="s">
        <v>1905</v>
      </c>
      <c r="N560" s="9" t="s">
        <v>1905</v>
      </c>
      <c r="O560" s="9" t="s">
        <v>1898</v>
      </c>
      <c r="P560" s="16" t="s">
        <v>2846</v>
      </c>
      <c r="Q560">
        <f t="shared" si="25"/>
        <v>1</v>
      </c>
      <c r="R560" t="b">
        <f t="shared" si="26"/>
        <v>1</v>
      </c>
    </row>
    <row r="561" spans="1:18" hidden="1" x14ac:dyDescent="0.35">
      <c r="A561" s="16" t="s">
        <v>2846</v>
      </c>
      <c r="B561" s="9" t="s">
        <v>2991</v>
      </c>
      <c r="C561" s="9" t="s">
        <v>2991</v>
      </c>
      <c r="D561" s="9" t="e">
        <f>VLOOKUP(RBE!C561,Permis[[#This Row],[Parties]],1,0)</f>
        <v>#VALUE!</v>
      </c>
      <c r="E561" s="9" t="s">
        <v>2997</v>
      </c>
      <c r="F561" s="10" t="s">
        <v>2998</v>
      </c>
      <c r="G561" s="10" t="str">
        <f t="shared" si="24"/>
        <v>2025</v>
      </c>
      <c r="H561" s="10">
        <v>1</v>
      </c>
      <c r="I561" s="10" t="s">
        <v>1905</v>
      </c>
      <c r="J561" s="9" t="s">
        <v>1912</v>
      </c>
      <c r="K561" s="9"/>
      <c r="L561" s="9">
        <v>0</v>
      </c>
      <c r="M561" s="9" t="s">
        <v>1905</v>
      </c>
      <c r="N561" s="9" t="s">
        <v>1905</v>
      </c>
      <c r="O561" s="9" t="s">
        <v>1898</v>
      </c>
      <c r="P561" s="16" t="s">
        <v>2846</v>
      </c>
      <c r="Q561">
        <f t="shared" si="25"/>
        <v>1</v>
      </c>
      <c r="R561" t="b">
        <f t="shared" si="26"/>
        <v>1</v>
      </c>
    </row>
    <row r="562" spans="1:18" hidden="1" x14ac:dyDescent="0.35">
      <c r="A562" s="16" t="s">
        <v>2846</v>
      </c>
      <c r="B562" s="9" t="s">
        <v>2991</v>
      </c>
      <c r="C562" s="9" t="s">
        <v>2991</v>
      </c>
      <c r="D562" s="9" t="e">
        <f>VLOOKUP(RBE!C562,Permis[[#This Row],[Parties]],1,0)</f>
        <v>#VALUE!</v>
      </c>
      <c r="E562" s="9" t="s">
        <v>2999</v>
      </c>
      <c r="F562" s="10" t="s">
        <v>2998</v>
      </c>
      <c r="G562" s="10" t="str">
        <f t="shared" si="24"/>
        <v>2025</v>
      </c>
      <c r="H562" s="10">
        <v>10</v>
      </c>
      <c r="I562" s="10" t="s">
        <v>1905</v>
      </c>
      <c r="J562" s="9" t="s">
        <v>1912</v>
      </c>
      <c r="K562" s="9"/>
      <c r="L562" s="9">
        <v>0</v>
      </c>
      <c r="M562" s="9" t="s">
        <v>1905</v>
      </c>
      <c r="N562" s="9" t="s">
        <v>1905</v>
      </c>
      <c r="O562" s="9" t="s">
        <v>1898</v>
      </c>
      <c r="P562" s="16" t="s">
        <v>2846</v>
      </c>
      <c r="Q562">
        <f t="shared" si="25"/>
        <v>1</v>
      </c>
      <c r="R562" t="b">
        <f t="shared" si="26"/>
        <v>1</v>
      </c>
    </row>
    <row r="563" spans="1:18" hidden="1" x14ac:dyDescent="0.35">
      <c r="A563" s="16" t="s">
        <v>2846</v>
      </c>
      <c r="B563" s="9" t="s">
        <v>2991</v>
      </c>
      <c r="C563" s="9" t="s">
        <v>2991</v>
      </c>
      <c r="D563" s="9" t="e">
        <f>VLOOKUP(RBE!C563,Permis[[#This Row],[Parties]],1,0)</f>
        <v>#VALUE!</v>
      </c>
      <c r="E563" s="9" t="s">
        <v>3000</v>
      </c>
      <c r="F563" s="10" t="s">
        <v>2998</v>
      </c>
      <c r="G563" s="10" t="str">
        <f t="shared" si="24"/>
        <v>2025</v>
      </c>
      <c r="H563" s="10">
        <v>29</v>
      </c>
      <c r="I563" s="10" t="s">
        <v>1905</v>
      </c>
      <c r="J563" s="9" t="s">
        <v>1912</v>
      </c>
      <c r="K563" s="9"/>
      <c r="L563" s="9">
        <v>0</v>
      </c>
      <c r="M563" s="9" t="s">
        <v>1905</v>
      </c>
      <c r="N563" s="9" t="s">
        <v>1905</v>
      </c>
      <c r="O563" s="9" t="s">
        <v>1898</v>
      </c>
      <c r="P563" s="16" t="s">
        <v>2846</v>
      </c>
      <c r="Q563">
        <f t="shared" si="25"/>
        <v>1</v>
      </c>
      <c r="R563" t="b">
        <f t="shared" si="26"/>
        <v>1</v>
      </c>
    </row>
    <row r="564" spans="1:18" hidden="1" x14ac:dyDescent="0.35">
      <c r="A564" s="16" t="s">
        <v>2846</v>
      </c>
      <c r="B564" s="9" t="s">
        <v>2991</v>
      </c>
      <c r="C564" s="9" t="s">
        <v>2991</v>
      </c>
      <c r="D564" s="9" t="e">
        <f>VLOOKUP(RBE!C564,Permis[[#This Row],[Parties]],1,0)</f>
        <v>#VALUE!</v>
      </c>
      <c r="E564" s="9" t="s">
        <v>3001</v>
      </c>
      <c r="F564" s="10" t="s">
        <v>2998</v>
      </c>
      <c r="G564" s="10" t="str">
        <f t="shared" si="24"/>
        <v>2025</v>
      </c>
      <c r="H564" s="10">
        <v>60</v>
      </c>
      <c r="I564" s="10" t="s">
        <v>1905</v>
      </c>
      <c r="J564" s="9" t="s">
        <v>1912</v>
      </c>
      <c r="K564" s="9"/>
      <c r="L564" s="9">
        <v>0</v>
      </c>
      <c r="M564" s="9" t="s">
        <v>1905</v>
      </c>
      <c r="N564" s="9" t="s">
        <v>1905</v>
      </c>
      <c r="O564" s="9" t="s">
        <v>1898</v>
      </c>
      <c r="P564" s="16" t="s">
        <v>2846</v>
      </c>
      <c r="Q564">
        <f t="shared" si="25"/>
        <v>1</v>
      </c>
      <c r="R564" t="b">
        <f t="shared" si="26"/>
        <v>1</v>
      </c>
    </row>
    <row r="565" spans="1:18" hidden="1" x14ac:dyDescent="0.35">
      <c r="A565" s="16" t="s">
        <v>3002</v>
      </c>
      <c r="B565" s="9" t="s">
        <v>2991</v>
      </c>
      <c r="C565" s="9" t="s">
        <v>2991</v>
      </c>
      <c r="D565" s="9" t="e">
        <f>VLOOKUP(RBE!C565,Permis[[#This Row],[Parties]],1,0)</f>
        <v>#VALUE!</v>
      </c>
      <c r="E565" s="9" t="s">
        <v>3003</v>
      </c>
      <c r="F565" s="10" t="s">
        <v>3004</v>
      </c>
      <c r="G565" s="10" t="str">
        <f t="shared" si="24"/>
        <v>2023</v>
      </c>
      <c r="H565" s="10" t="s">
        <v>1905</v>
      </c>
      <c r="I565" s="10" t="s">
        <v>1905</v>
      </c>
      <c r="J565" s="9" t="s">
        <v>2018</v>
      </c>
      <c r="K565" s="9" t="s">
        <v>2018</v>
      </c>
      <c r="L565" s="9" t="s">
        <v>1905</v>
      </c>
      <c r="M565" s="9">
        <v>0</v>
      </c>
      <c r="N565" s="9" t="s">
        <v>1905</v>
      </c>
      <c r="O565" s="9" t="s">
        <v>1898</v>
      </c>
      <c r="P565" s="16" t="s">
        <v>3002</v>
      </c>
      <c r="Q565">
        <f t="shared" si="25"/>
        <v>0</v>
      </c>
      <c r="R565" t="b">
        <f t="shared" si="26"/>
        <v>0</v>
      </c>
    </row>
    <row r="566" spans="1:18" hidden="1" x14ac:dyDescent="0.35">
      <c r="A566" s="16" t="s">
        <v>3002</v>
      </c>
      <c r="B566" s="9" t="s">
        <v>2991</v>
      </c>
      <c r="C566" s="9" t="s">
        <v>2991</v>
      </c>
      <c r="D566" s="9" t="e">
        <f>VLOOKUP(RBE!C566,Permis[[#This Row],[Parties]],1,0)</f>
        <v>#VALUE!</v>
      </c>
      <c r="E566" s="9" t="s">
        <v>3005</v>
      </c>
      <c r="F566" s="10" t="s">
        <v>3004</v>
      </c>
      <c r="G566" s="10" t="str">
        <f t="shared" si="24"/>
        <v>2023</v>
      </c>
      <c r="H566" s="10" t="s">
        <v>1905</v>
      </c>
      <c r="I566" s="10" t="s">
        <v>1905</v>
      </c>
      <c r="J566" s="9" t="s">
        <v>1912</v>
      </c>
      <c r="K566" s="9" t="s">
        <v>1912</v>
      </c>
      <c r="L566" s="9" t="s">
        <v>1905</v>
      </c>
      <c r="M566" s="9">
        <v>0</v>
      </c>
      <c r="N566" s="9" t="s">
        <v>1905</v>
      </c>
      <c r="O566" s="9" t="s">
        <v>1898</v>
      </c>
      <c r="P566" s="16" t="s">
        <v>3002</v>
      </c>
      <c r="Q566">
        <f t="shared" si="25"/>
        <v>0</v>
      </c>
      <c r="R566" t="b">
        <f t="shared" si="26"/>
        <v>0</v>
      </c>
    </row>
    <row r="567" spans="1:18" hidden="1" x14ac:dyDescent="0.35">
      <c r="A567" s="16" t="s">
        <v>3002</v>
      </c>
      <c r="B567" s="9" t="s">
        <v>2991</v>
      </c>
      <c r="C567" s="9" t="s">
        <v>2991</v>
      </c>
      <c r="D567" s="9" t="e">
        <f>VLOOKUP(RBE!C567,Permis[[#This Row],[Parties]],1,0)</f>
        <v>#VALUE!</v>
      </c>
      <c r="E567" s="9" t="s">
        <v>3006</v>
      </c>
      <c r="F567" s="10" t="s">
        <v>3004</v>
      </c>
      <c r="G567" s="10" t="str">
        <f t="shared" si="24"/>
        <v>2023</v>
      </c>
      <c r="H567" s="10" t="s">
        <v>1905</v>
      </c>
      <c r="I567" s="10" t="s">
        <v>1905</v>
      </c>
      <c r="J567" s="9" t="s">
        <v>1912</v>
      </c>
      <c r="K567" s="9" t="s">
        <v>1912</v>
      </c>
      <c r="L567" s="9" t="s">
        <v>1905</v>
      </c>
      <c r="M567" s="9">
        <v>0</v>
      </c>
      <c r="N567" s="9" t="s">
        <v>1905</v>
      </c>
      <c r="O567" s="9" t="s">
        <v>1898</v>
      </c>
      <c r="P567" s="16" t="s">
        <v>3002</v>
      </c>
      <c r="Q567">
        <f t="shared" si="25"/>
        <v>0</v>
      </c>
      <c r="R567" t="b">
        <f t="shared" si="26"/>
        <v>0</v>
      </c>
    </row>
    <row r="568" spans="1:18" hidden="1" x14ac:dyDescent="0.35">
      <c r="A568" s="16" t="s">
        <v>3002</v>
      </c>
      <c r="B568" s="9" t="s">
        <v>2991</v>
      </c>
      <c r="C568" s="9" t="s">
        <v>2991</v>
      </c>
      <c r="D568" s="9" t="e">
        <f>VLOOKUP(RBE!C568,Permis[[#This Row],[Parties]],1,0)</f>
        <v>#VALUE!</v>
      </c>
      <c r="E568" s="9" t="s">
        <v>3007</v>
      </c>
      <c r="F568" s="10" t="s">
        <v>3008</v>
      </c>
      <c r="G568" s="10" t="str">
        <f t="shared" si="24"/>
        <v>2024</v>
      </c>
      <c r="H568" s="10">
        <v>2</v>
      </c>
      <c r="I568" s="10" t="s">
        <v>1905</v>
      </c>
      <c r="J568" s="9" t="s">
        <v>1912</v>
      </c>
      <c r="K568" s="9" t="s">
        <v>1912</v>
      </c>
      <c r="L568" s="9" t="s">
        <v>1905</v>
      </c>
      <c r="M568" s="9">
        <v>0</v>
      </c>
      <c r="N568" s="9" t="s">
        <v>1905</v>
      </c>
      <c r="O568" s="9" t="s">
        <v>1898</v>
      </c>
      <c r="P568" s="16" t="s">
        <v>3002</v>
      </c>
      <c r="Q568">
        <f t="shared" si="25"/>
        <v>0</v>
      </c>
      <c r="R568" t="b">
        <f t="shared" si="26"/>
        <v>0</v>
      </c>
    </row>
    <row r="569" spans="1:18" hidden="1" x14ac:dyDescent="0.35">
      <c r="A569" s="16" t="s">
        <v>3002</v>
      </c>
      <c r="B569" s="9" t="s">
        <v>2991</v>
      </c>
      <c r="C569" s="9" t="s">
        <v>2991</v>
      </c>
      <c r="D569" s="9" t="e">
        <f>VLOOKUP(RBE!C569,Permis[[#This Row],[Parties]],1,0)</f>
        <v>#VALUE!</v>
      </c>
      <c r="E569" s="9" t="s">
        <v>3009</v>
      </c>
      <c r="F569" s="10" t="s">
        <v>3010</v>
      </c>
      <c r="G569" s="10" t="str">
        <f t="shared" si="24"/>
        <v>2025</v>
      </c>
      <c r="H569" s="10" t="s">
        <v>1905</v>
      </c>
      <c r="I569" s="10" t="s">
        <v>1905</v>
      </c>
      <c r="J569" s="9" t="s">
        <v>1912</v>
      </c>
      <c r="K569" s="9"/>
      <c r="L569" s="9">
        <v>0</v>
      </c>
      <c r="M569" s="9" t="s">
        <v>1905</v>
      </c>
      <c r="N569" s="9" t="s">
        <v>1905</v>
      </c>
      <c r="O569" s="9" t="s">
        <v>1898</v>
      </c>
      <c r="P569" s="16" t="s">
        <v>3002</v>
      </c>
      <c r="Q569">
        <f t="shared" si="25"/>
        <v>1</v>
      </c>
      <c r="R569" t="b">
        <f t="shared" si="26"/>
        <v>1</v>
      </c>
    </row>
    <row r="570" spans="1:18" hidden="1" x14ac:dyDescent="0.35">
      <c r="A570" s="16" t="s">
        <v>3002</v>
      </c>
      <c r="B570" s="9" t="s">
        <v>3011</v>
      </c>
      <c r="C570" s="9" t="s">
        <v>3011</v>
      </c>
      <c r="D570" s="9" t="e">
        <f>VLOOKUP(RBE!C570,Permis[[#This Row],[Parties]],1,0)</f>
        <v>#VALUE!</v>
      </c>
      <c r="E570" s="9" t="s">
        <v>3009</v>
      </c>
      <c r="F570" s="10" t="s">
        <v>3012</v>
      </c>
      <c r="G570" s="10" t="str">
        <f t="shared" si="24"/>
        <v>2025</v>
      </c>
      <c r="H570" s="10">
        <v>100</v>
      </c>
      <c r="I570" s="10">
        <v>100</v>
      </c>
      <c r="J570" s="9" t="s">
        <v>1912</v>
      </c>
      <c r="K570" s="9"/>
      <c r="L570" s="9">
        <v>0</v>
      </c>
      <c r="M570" s="9" t="s">
        <v>1905</v>
      </c>
      <c r="N570" s="9" t="s">
        <v>1905</v>
      </c>
      <c r="O570" s="9" t="s">
        <v>1898</v>
      </c>
      <c r="P570" s="16" t="s">
        <v>3002</v>
      </c>
      <c r="Q570">
        <f t="shared" si="25"/>
        <v>1</v>
      </c>
      <c r="R570" t="b">
        <f t="shared" si="26"/>
        <v>1</v>
      </c>
    </row>
    <row r="571" spans="1:18" hidden="1" x14ac:dyDescent="0.35">
      <c r="A571" s="16" t="s">
        <v>3002</v>
      </c>
      <c r="B571" s="9" t="s">
        <v>3013</v>
      </c>
      <c r="C571" s="9" t="s">
        <v>3013</v>
      </c>
      <c r="D571" s="9" t="e">
        <f>VLOOKUP(RBE!C571,Permis[[#This Row],[Parties]],1,0)</f>
        <v>#VALUE!</v>
      </c>
      <c r="E571" s="9" t="s">
        <v>3014</v>
      </c>
      <c r="F571" s="10" t="s">
        <v>3015</v>
      </c>
      <c r="G571" s="10" t="str">
        <f t="shared" si="24"/>
        <v>2025</v>
      </c>
      <c r="H571" s="10">
        <v>51</v>
      </c>
      <c r="I571" s="10">
        <v>51</v>
      </c>
      <c r="J571" s="9" t="s">
        <v>1912</v>
      </c>
      <c r="K571" s="9"/>
      <c r="L571" s="9">
        <v>0</v>
      </c>
      <c r="M571" s="9" t="s">
        <v>1905</v>
      </c>
      <c r="N571" s="9" t="s">
        <v>1905</v>
      </c>
      <c r="O571" s="9" t="s">
        <v>1898</v>
      </c>
      <c r="P571" s="16" t="s">
        <v>3002</v>
      </c>
      <c r="Q571">
        <f t="shared" si="25"/>
        <v>1</v>
      </c>
      <c r="R571" t="b">
        <f t="shared" si="26"/>
        <v>1</v>
      </c>
    </row>
    <row r="572" spans="1:18" hidden="1" x14ac:dyDescent="0.35">
      <c r="A572" s="16" t="s">
        <v>177</v>
      </c>
      <c r="B572" s="9" t="s">
        <v>3016</v>
      </c>
      <c r="C572" s="9" t="s">
        <v>3016</v>
      </c>
      <c r="D572" s="9" t="e">
        <f>VLOOKUP(RBE!C572,Permis[[#This Row],[Parties]],1,0)</f>
        <v>#VALUE!</v>
      </c>
      <c r="E572" s="9" t="s">
        <v>3017</v>
      </c>
      <c r="F572" s="10" t="s">
        <v>3018</v>
      </c>
      <c r="G572" s="10" t="str">
        <f t="shared" si="24"/>
        <v>2023</v>
      </c>
      <c r="H572" s="10">
        <v>2</v>
      </c>
      <c r="I572" s="10">
        <v>2</v>
      </c>
      <c r="J572" s="9" t="s">
        <v>1912</v>
      </c>
      <c r="K572" s="9" t="s">
        <v>1912</v>
      </c>
      <c r="L572" s="9" t="s">
        <v>1905</v>
      </c>
      <c r="M572" s="9">
        <v>0</v>
      </c>
      <c r="N572" s="9" t="s">
        <v>1905</v>
      </c>
      <c r="O572" s="9" t="s">
        <v>1898</v>
      </c>
      <c r="P572" s="16" t="s">
        <v>177</v>
      </c>
      <c r="Q572">
        <f t="shared" si="25"/>
        <v>0</v>
      </c>
      <c r="R572" t="b">
        <f t="shared" si="26"/>
        <v>0</v>
      </c>
    </row>
    <row r="573" spans="1:18" hidden="1" x14ac:dyDescent="0.35">
      <c r="A573" s="16" t="s">
        <v>177</v>
      </c>
      <c r="B573" s="9" t="s">
        <v>3016</v>
      </c>
      <c r="C573" s="9" t="s">
        <v>3016</v>
      </c>
      <c r="D573" s="9" t="e">
        <f>VLOOKUP(RBE!C573,Permis[[#This Row],[Parties]],1,0)</f>
        <v>#VALUE!</v>
      </c>
      <c r="E573" s="9" t="s">
        <v>3019</v>
      </c>
      <c r="F573" s="10" t="s">
        <v>3020</v>
      </c>
      <c r="G573" s="10" t="str">
        <f t="shared" si="24"/>
        <v>2024</v>
      </c>
      <c r="H573" s="10" t="s">
        <v>1905</v>
      </c>
      <c r="I573" s="10">
        <v>25</v>
      </c>
      <c r="J573" s="9" t="s">
        <v>1912</v>
      </c>
      <c r="K573" s="9" t="s">
        <v>1912</v>
      </c>
      <c r="L573" s="9" t="s">
        <v>1905</v>
      </c>
      <c r="M573" s="9">
        <v>0</v>
      </c>
      <c r="N573" s="9" t="s">
        <v>1905</v>
      </c>
      <c r="O573" s="9" t="s">
        <v>1898</v>
      </c>
      <c r="P573" s="16" t="s">
        <v>177</v>
      </c>
      <c r="Q573">
        <f t="shared" si="25"/>
        <v>0</v>
      </c>
      <c r="R573" t="b">
        <f t="shared" si="26"/>
        <v>0</v>
      </c>
    </row>
    <row r="574" spans="1:18" hidden="1" x14ac:dyDescent="0.35">
      <c r="A574" s="16" t="s">
        <v>19</v>
      </c>
      <c r="B574" s="9" t="s">
        <v>3021</v>
      </c>
      <c r="C574" s="9" t="s">
        <v>3021</v>
      </c>
      <c r="D574" s="9" t="e">
        <f>VLOOKUP(RBE!C574,Permis[[#This Row],[Parties]],1,0)</f>
        <v>#VALUE!</v>
      </c>
      <c r="E574" s="9" t="s">
        <v>3019</v>
      </c>
      <c r="F574" s="10" t="s">
        <v>3022</v>
      </c>
      <c r="G574" s="10" t="str">
        <f t="shared" si="24"/>
        <v>2021</v>
      </c>
      <c r="H574" s="10">
        <v>100</v>
      </c>
      <c r="I574" s="10">
        <v>100</v>
      </c>
      <c r="J574" s="9" t="s">
        <v>1912</v>
      </c>
      <c r="K574" s="9" t="s">
        <v>1912</v>
      </c>
      <c r="L574" s="9" t="s">
        <v>1905</v>
      </c>
      <c r="M574" s="9">
        <v>0</v>
      </c>
      <c r="N574" s="9" t="s">
        <v>1905</v>
      </c>
      <c r="O574" s="9" t="s">
        <v>1898</v>
      </c>
      <c r="P574" s="16" t="s">
        <v>19</v>
      </c>
      <c r="Q574">
        <f t="shared" si="25"/>
        <v>0</v>
      </c>
      <c r="R574" t="b">
        <f t="shared" si="26"/>
        <v>0</v>
      </c>
    </row>
    <row r="575" spans="1:18" hidden="1" x14ac:dyDescent="0.35">
      <c r="A575" s="16" t="s">
        <v>19</v>
      </c>
      <c r="B575" s="9" t="s">
        <v>3023</v>
      </c>
      <c r="C575" s="9" t="s">
        <v>3023</v>
      </c>
      <c r="D575" s="9" t="e">
        <f>VLOOKUP(RBE!C575,Permis[[#This Row],[Parties]],1,0)</f>
        <v>#VALUE!</v>
      </c>
      <c r="E575" s="9" t="s">
        <v>3019</v>
      </c>
      <c r="F575" s="10" t="s">
        <v>3024</v>
      </c>
      <c r="G575" s="10" t="str">
        <f t="shared" si="24"/>
        <v>2021</v>
      </c>
      <c r="H575" s="10">
        <v>100</v>
      </c>
      <c r="I575" s="10">
        <v>100</v>
      </c>
      <c r="J575" s="9" t="s">
        <v>1912</v>
      </c>
      <c r="K575" s="9" t="s">
        <v>1912</v>
      </c>
      <c r="L575" s="9" t="s">
        <v>2011</v>
      </c>
      <c r="M575" s="9">
        <v>0</v>
      </c>
      <c r="N575" s="9" t="s">
        <v>3025</v>
      </c>
      <c r="O575" s="9" t="s">
        <v>1898</v>
      </c>
      <c r="P575" s="16" t="s">
        <v>19</v>
      </c>
      <c r="Q575">
        <f t="shared" si="25"/>
        <v>0</v>
      </c>
      <c r="R575" t="b">
        <f t="shared" si="26"/>
        <v>0</v>
      </c>
    </row>
    <row r="576" spans="1:18" hidden="1" x14ac:dyDescent="0.35">
      <c r="A576" s="16" t="s">
        <v>19</v>
      </c>
      <c r="B576" s="9" t="s">
        <v>3023</v>
      </c>
      <c r="C576" s="9" t="s">
        <v>3023</v>
      </c>
      <c r="D576" s="9" t="e">
        <f>VLOOKUP(RBE!C576,Permis[[#This Row],[Parties]],1,0)</f>
        <v>#VALUE!</v>
      </c>
      <c r="E576" s="9" t="s">
        <v>3026</v>
      </c>
      <c r="F576" s="10" t="s">
        <v>3024</v>
      </c>
      <c r="G576" s="10" t="str">
        <f t="shared" si="24"/>
        <v>2021</v>
      </c>
      <c r="H576" s="10">
        <v>100</v>
      </c>
      <c r="I576" s="10">
        <v>100</v>
      </c>
      <c r="J576" s="9" t="s">
        <v>1912</v>
      </c>
      <c r="K576" s="9" t="s">
        <v>1912</v>
      </c>
      <c r="L576" s="9" t="s">
        <v>1912</v>
      </c>
      <c r="M576" s="9">
        <v>0</v>
      </c>
      <c r="N576" s="9" t="s">
        <v>3025</v>
      </c>
      <c r="O576" s="9" t="s">
        <v>1898</v>
      </c>
      <c r="P576" s="16" t="s">
        <v>19</v>
      </c>
      <c r="Q576">
        <f t="shared" si="25"/>
        <v>0</v>
      </c>
      <c r="R576" t="b">
        <f t="shared" si="26"/>
        <v>0</v>
      </c>
    </row>
    <row r="577" spans="1:18" hidden="1" x14ac:dyDescent="0.35">
      <c r="A577" s="16" t="s">
        <v>19</v>
      </c>
      <c r="B577" s="9" t="s">
        <v>3027</v>
      </c>
      <c r="C577" s="9" t="s">
        <v>3027</v>
      </c>
      <c r="D577" s="9" t="e">
        <f>VLOOKUP(RBE!C577,Permis[[#This Row],[Parties]],1,0)</f>
        <v>#VALUE!</v>
      </c>
      <c r="E577" s="9" t="s">
        <v>3028</v>
      </c>
      <c r="F577" s="10" t="s">
        <v>3029</v>
      </c>
      <c r="G577" s="10" t="str">
        <f t="shared" si="24"/>
        <v>2021</v>
      </c>
      <c r="H577" s="10" t="s">
        <v>1905</v>
      </c>
      <c r="I577" s="10">
        <v>100</v>
      </c>
      <c r="J577" s="9" t="s">
        <v>1912</v>
      </c>
      <c r="K577" s="9" t="s">
        <v>1912</v>
      </c>
      <c r="L577" s="9" t="s">
        <v>1905</v>
      </c>
      <c r="M577" s="9">
        <v>0</v>
      </c>
      <c r="N577" s="9" t="s">
        <v>1905</v>
      </c>
      <c r="O577" s="9" t="s">
        <v>1898</v>
      </c>
      <c r="P577" s="16" t="s">
        <v>19</v>
      </c>
      <c r="Q577">
        <f t="shared" si="25"/>
        <v>0</v>
      </c>
      <c r="R577" t="b">
        <f t="shared" si="26"/>
        <v>0</v>
      </c>
    </row>
    <row r="578" spans="1:18" hidden="1" x14ac:dyDescent="0.35">
      <c r="A578" s="16" t="s">
        <v>19</v>
      </c>
      <c r="B578" s="9" t="s">
        <v>3030</v>
      </c>
      <c r="C578" s="9" t="s">
        <v>3030</v>
      </c>
      <c r="D578" s="9" t="e">
        <f>VLOOKUP(RBE!C578,Permis[[#This Row],[Parties]],1,0)</f>
        <v>#VALUE!</v>
      </c>
      <c r="E578" s="9" t="s">
        <v>3031</v>
      </c>
      <c r="F578" s="10" t="s">
        <v>3032</v>
      </c>
      <c r="G578" s="10" t="str">
        <f t="shared" ref="G578:G629" si="27">LEFT(TRIM(F578),4)</f>
        <v>2021</v>
      </c>
      <c r="H578" s="10">
        <v>95</v>
      </c>
      <c r="I578" s="10">
        <v>95</v>
      </c>
      <c r="J578" s="9" t="s">
        <v>1912</v>
      </c>
      <c r="K578" s="9" t="s">
        <v>1912</v>
      </c>
      <c r="L578" s="9" t="s">
        <v>1905</v>
      </c>
      <c r="M578" s="9">
        <v>0</v>
      </c>
      <c r="N578" s="9" t="s">
        <v>1905</v>
      </c>
      <c r="O578" s="9" t="s">
        <v>1898</v>
      </c>
      <c r="P578" s="16" t="s">
        <v>19</v>
      </c>
      <c r="Q578">
        <f t="shared" si="25"/>
        <v>0</v>
      </c>
      <c r="R578" t="b">
        <f t="shared" si="26"/>
        <v>0</v>
      </c>
    </row>
    <row r="579" spans="1:18" hidden="1" x14ac:dyDescent="0.35">
      <c r="A579" s="16" t="s">
        <v>19</v>
      </c>
      <c r="B579" s="9" t="s">
        <v>3033</v>
      </c>
      <c r="C579" s="9" t="s">
        <v>3033</v>
      </c>
      <c r="D579" s="9" t="e">
        <f>VLOOKUP(RBE!C579,Permis[[#This Row],[Parties]],1,0)</f>
        <v>#VALUE!</v>
      </c>
      <c r="E579" s="9" t="s">
        <v>3031</v>
      </c>
      <c r="F579" s="10" t="s">
        <v>3032</v>
      </c>
      <c r="G579" s="10" t="str">
        <f t="shared" si="27"/>
        <v>2021</v>
      </c>
      <c r="H579" s="10">
        <v>5</v>
      </c>
      <c r="I579" s="10">
        <v>5</v>
      </c>
      <c r="J579" s="9" t="s">
        <v>1912</v>
      </c>
      <c r="K579" s="9" t="s">
        <v>1912</v>
      </c>
      <c r="L579" s="9" t="s">
        <v>1905</v>
      </c>
      <c r="M579" s="9">
        <v>0</v>
      </c>
      <c r="N579" s="9" t="s">
        <v>1905</v>
      </c>
      <c r="O579" s="9" t="s">
        <v>1898</v>
      </c>
      <c r="P579" s="16" t="s">
        <v>19</v>
      </c>
      <c r="Q579">
        <f t="shared" ref="Q579:Q629" si="28">IF(J579=K579,0,1)</f>
        <v>0</v>
      </c>
      <c r="R579" t="b">
        <f t="shared" ref="R579:R629" si="29">ISBLANK(K579)</f>
        <v>0</v>
      </c>
    </row>
    <row r="580" spans="1:18" hidden="1" x14ac:dyDescent="0.35">
      <c r="A580" s="16" t="s">
        <v>19</v>
      </c>
      <c r="B580" s="9" t="s">
        <v>3034</v>
      </c>
      <c r="C580" s="9" t="s">
        <v>3034</v>
      </c>
      <c r="D580" s="9" t="e">
        <f>VLOOKUP(RBE!C580,Permis[[#This Row],[Parties]],1,0)</f>
        <v>#VALUE!</v>
      </c>
      <c r="E580" s="9" t="s">
        <v>3035</v>
      </c>
      <c r="F580" s="10" t="s">
        <v>3036</v>
      </c>
      <c r="G580" s="10" t="str">
        <f t="shared" si="27"/>
        <v>2021</v>
      </c>
      <c r="H580" s="10" t="s">
        <v>3037</v>
      </c>
      <c r="I580" s="10" t="s">
        <v>3037</v>
      </c>
      <c r="J580" s="9" t="s">
        <v>1912</v>
      </c>
      <c r="K580" s="9" t="s">
        <v>1912</v>
      </c>
      <c r="L580" s="9" t="s">
        <v>1905</v>
      </c>
      <c r="M580" s="9">
        <v>0</v>
      </c>
      <c r="N580" s="9" t="s">
        <v>1905</v>
      </c>
      <c r="O580" s="9" t="s">
        <v>1898</v>
      </c>
      <c r="P580" s="16" t="s">
        <v>19</v>
      </c>
      <c r="Q580">
        <f t="shared" si="28"/>
        <v>0</v>
      </c>
      <c r="R580" t="b">
        <f t="shared" si="29"/>
        <v>0</v>
      </c>
    </row>
    <row r="581" spans="1:18" hidden="1" x14ac:dyDescent="0.35">
      <c r="A581" s="16" t="s">
        <v>19</v>
      </c>
      <c r="B581" s="9" t="s">
        <v>3034</v>
      </c>
      <c r="C581" s="9" t="s">
        <v>3034</v>
      </c>
      <c r="D581" s="9" t="e">
        <f>VLOOKUP(RBE!C581,Permis[[#This Row],[Parties]],1,0)</f>
        <v>#VALUE!</v>
      </c>
      <c r="E581" s="9" t="s">
        <v>3038</v>
      </c>
      <c r="F581" s="10" t="s">
        <v>3039</v>
      </c>
      <c r="G581" s="10" t="str">
        <f t="shared" si="27"/>
        <v>2022</v>
      </c>
      <c r="H581" s="10">
        <v>100</v>
      </c>
      <c r="I581" s="10">
        <v>100</v>
      </c>
      <c r="J581" s="9" t="s">
        <v>1912</v>
      </c>
      <c r="K581" s="9" t="s">
        <v>1912</v>
      </c>
      <c r="L581" s="9" t="s">
        <v>2011</v>
      </c>
      <c r="M581" s="9">
        <v>0</v>
      </c>
      <c r="N581" s="9" t="s">
        <v>2934</v>
      </c>
      <c r="O581" s="9" t="s">
        <v>1898</v>
      </c>
      <c r="P581" s="16" t="s">
        <v>19</v>
      </c>
      <c r="Q581">
        <f t="shared" si="28"/>
        <v>0</v>
      </c>
      <c r="R581" t="b">
        <f t="shared" si="29"/>
        <v>0</v>
      </c>
    </row>
    <row r="582" spans="1:18" hidden="1" x14ac:dyDescent="0.35">
      <c r="A582" s="16" t="s">
        <v>19</v>
      </c>
      <c r="B582" s="9" t="s">
        <v>3034</v>
      </c>
      <c r="C582" s="9" t="s">
        <v>3034</v>
      </c>
      <c r="D582" s="9" t="e">
        <f>VLOOKUP(RBE!C582,Permis[[#This Row],[Parties]],1,0)</f>
        <v>#VALUE!</v>
      </c>
      <c r="E582" s="9" t="s">
        <v>3040</v>
      </c>
      <c r="F582" s="10" t="s">
        <v>3041</v>
      </c>
      <c r="G582" s="10" t="str">
        <f t="shared" si="27"/>
        <v>2022</v>
      </c>
      <c r="H582" s="10">
        <v>100</v>
      </c>
      <c r="I582" s="10">
        <v>100</v>
      </c>
      <c r="J582" s="9" t="s">
        <v>1912</v>
      </c>
      <c r="K582" s="9" t="s">
        <v>1912</v>
      </c>
      <c r="L582" s="9" t="s">
        <v>1905</v>
      </c>
      <c r="M582" s="9">
        <v>0</v>
      </c>
      <c r="N582" s="9" t="s">
        <v>1905</v>
      </c>
      <c r="O582" s="9" t="s">
        <v>1898</v>
      </c>
      <c r="P582" s="16" t="s">
        <v>19</v>
      </c>
      <c r="Q582">
        <f t="shared" si="28"/>
        <v>0</v>
      </c>
      <c r="R582" t="b">
        <f t="shared" si="29"/>
        <v>0</v>
      </c>
    </row>
    <row r="583" spans="1:18" hidden="1" x14ac:dyDescent="0.35">
      <c r="A583" s="16" t="s">
        <v>19</v>
      </c>
      <c r="B583" s="9" t="s">
        <v>3042</v>
      </c>
      <c r="C583" s="9" t="s">
        <v>3042</v>
      </c>
      <c r="D583" s="9" t="e">
        <f>VLOOKUP(RBE!C583,Permis[[#This Row],[Parties]],1,0)</f>
        <v>#VALUE!</v>
      </c>
      <c r="E583" s="9" t="s">
        <v>3043</v>
      </c>
      <c r="F583" s="10" t="s">
        <v>3044</v>
      </c>
      <c r="G583" s="10" t="str">
        <f t="shared" si="27"/>
        <v>2022</v>
      </c>
      <c r="H583" s="10">
        <v>100</v>
      </c>
      <c r="I583" s="10">
        <v>100</v>
      </c>
      <c r="J583" s="9" t="s">
        <v>1912</v>
      </c>
      <c r="K583" s="9" t="s">
        <v>1912</v>
      </c>
      <c r="L583" s="9" t="s">
        <v>1905</v>
      </c>
      <c r="M583" s="9">
        <v>0</v>
      </c>
      <c r="N583" s="9" t="s">
        <v>1905</v>
      </c>
      <c r="O583" s="9" t="s">
        <v>1898</v>
      </c>
      <c r="P583" s="16" t="s">
        <v>19</v>
      </c>
      <c r="Q583">
        <f t="shared" si="28"/>
        <v>0</v>
      </c>
      <c r="R583" t="b">
        <f t="shared" si="29"/>
        <v>0</v>
      </c>
    </row>
    <row r="584" spans="1:18" hidden="1" x14ac:dyDescent="0.35">
      <c r="A584" s="16" t="s">
        <v>19</v>
      </c>
      <c r="B584" s="9" t="s">
        <v>3042</v>
      </c>
      <c r="C584" s="9" t="s">
        <v>3042</v>
      </c>
      <c r="D584" s="9" t="e">
        <f>VLOOKUP(RBE!C584,Permis[[#This Row],[Parties]],1,0)</f>
        <v>#VALUE!</v>
      </c>
      <c r="E584" s="9" t="s">
        <v>3045</v>
      </c>
      <c r="F584" s="10" t="s">
        <v>3046</v>
      </c>
      <c r="G584" s="10" t="str">
        <f t="shared" si="27"/>
        <v>2022</v>
      </c>
      <c r="H584" s="10">
        <v>50</v>
      </c>
      <c r="I584" s="10">
        <v>50</v>
      </c>
      <c r="J584" s="9" t="s">
        <v>1912</v>
      </c>
      <c r="K584" s="9" t="s">
        <v>1912</v>
      </c>
      <c r="L584" s="9" t="s">
        <v>1905</v>
      </c>
      <c r="M584" s="9">
        <v>0</v>
      </c>
      <c r="N584" s="9" t="s">
        <v>1905</v>
      </c>
      <c r="O584" s="9" t="s">
        <v>1898</v>
      </c>
      <c r="P584" s="16" t="s">
        <v>19</v>
      </c>
      <c r="Q584">
        <f t="shared" si="28"/>
        <v>0</v>
      </c>
      <c r="R584" t="b">
        <f t="shared" si="29"/>
        <v>0</v>
      </c>
    </row>
    <row r="585" spans="1:18" hidden="1" x14ac:dyDescent="0.35">
      <c r="A585" s="16" t="s">
        <v>19</v>
      </c>
      <c r="B585" s="9" t="s">
        <v>3047</v>
      </c>
      <c r="C585" s="9" t="s">
        <v>3047</v>
      </c>
      <c r="D585" s="9" t="e">
        <f>VLOOKUP(RBE!C585,Permis[[#This Row],[Parties]],1,0)</f>
        <v>#VALUE!</v>
      </c>
      <c r="E585" s="9" t="s">
        <v>3048</v>
      </c>
      <c r="F585" s="10" t="s">
        <v>3049</v>
      </c>
      <c r="G585" s="10" t="str">
        <f t="shared" si="27"/>
        <v>2022</v>
      </c>
      <c r="H585" s="10">
        <v>100</v>
      </c>
      <c r="I585" s="10">
        <v>100</v>
      </c>
      <c r="J585" s="9" t="s">
        <v>1912</v>
      </c>
      <c r="K585" s="9" t="s">
        <v>1912</v>
      </c>
      <c r="L585" s="9" t="s">
        <v>1905</v>
      </c>
      <c r="M585" s="9">
        <v>0</v>
      </c>
      <c r="N585" s="9" t="s">
        <v>1905</v>
      </c>
      <c r="O585" s="9" t="s">
        <v>1898</v>
      </c>
      <c r="P585" s="16" t="s">
        <v>19</v>
      </c>
      <c r="Q585">
        <f t="shared" si="28"/>
        <v>0</v>
      </c>
      <c r="R585" t="b">
        <f t="shared" si="29"/>
        <v>0</v>
      </c>
    </row>
    <row r="586" spans="1:18" hidden="1" x14ac:dyDescent="0.35">
      <c r="A586" s="16" t="s">
        <v>19</v>
      </c>
      <c r="B586" s="9" t="s">
        <v>3050</v>
      </c>
      <c r="C586" s="9" t="s">
        <v>3050</v>
      </c>
      <c r="D586" s="9" t="e">
        <f>VLOOKUP(RBE!C586,Permis[[#This Row],[Parties]],1,0)</f>
        <v>#VALUE!</v>
      </c>
      <c r="E586" s="9" t="s">
        <v>3051</v>
      </c>
      <c r="F586" s="10" t="s">
        <v>3039</v>
      </c>
      <c r="G586" s="10" t="str">
        <f t="shared" si="27"/>
        <v>2022</v>
      </c>
      <c r="H586" s="10">
        <v>100</v>
      </c>
      <c r="I586" s="10">
        <v>100</v>
      </c>
      <c r="J586" s="9" t="s">
        <v>1912</v>
      </c>
      <c r="K586" s="9" t="s">
        <v>1912</v>
      </c>
      <c r="L586" s="9" t="s">
        <v>1912</v>
      </c>
      <c r="M586" s="9">
        <v>0</v>
      </c>
      <c r="N586" s="9" t="s">
        <v>2934</v>
      </c>
      <c r="O586" s="9" t="s">
        <v>1898</v>
      </c>
      <c r="P586" s="16" t="s">
        <v>19</v>
      </c>
      <c r="Q586">
        <f t="shared" si="28"/>
        <v>0</v>
      </c>
      <c r="R586" t="b">
        <f t="shared" si="29"/>
        <v>0</v>
      </c>
    </row>
    <row r="587" spans="1:18" hidden="1" x14ac:dyDescent="0.35">
      <c r="A587" s="16" t="s">
        <v>19</v>
      </c>
      <c r="B587" s="9" t="s">
        <v>3052</v>
      </c>
      <c r="C587" s="9" t="s">
        <v>3052</v>
      </c>
      <c r="D587" s="9" t="e">
        <f>VLOOKUP(RBE!C587,Permis[[#This Row],[Parties]],1,0)</f>
        <v>#VALUE!</v>
      </c>
      <c r="E587" s="9" t="s">
        <v>3051</v>
      </c>
      <c r="F587" s="10" t="s">
        <v>3053</v>
      </c>
      <c r="G587" s="10" t="str">
        <f t="shared" si="27"/>
        <v>2022</v>
      </c>
      <c r="H587" s="10">
        <v>80</v>
      </c>
      <c r="I587" s="10">
        <v>80</v>
      </c>
      <c r="J587" s="9" t="s">
        <v>1912</v>
      </c>
      <c r="K587" s="9" t="s">
        <v>1912</v>
      </c>
      <c r="L587" s="9" t="s">
        <v>1905</v>
      </c>
      <c r="M587" s="9">
        <v>0</v>
      </c>
      <c r="N587" s="9" t="s">
        <v>1905</v>
      </c>
      <c r="O587" s="9" t="s">
        <v>1898</v>
      </c>
      <c r="P587" s="16" t="s">
        <v>19</v>
      </c>
      <c r="Q587">
        <f t="shared" si="28"/>
        <v>0</v>
      </c>
      <c r="R587" t="b">
        <f t="shared" si="29"/>
        <v>0</v>
      </c>
    </row>
    <row r="588" spans="1:18" hidden="1" x14ac:dyDescent="0.35">
      <c r="A588" s="16" t="s">
        <v>19</v>
      </c>
      <c r="B588" s="9" t="s">
        <v>3054</v>
      </c>
      <c r="C588" s="9" t="s">
        <v>3054</v>
      </c>
      <c r="D588" s="9" t="e">
        <f>VLOOKUP(RBE!C588,Permis[[#This Row],[Parties]],1,0)</f>
        <v>#VALUE!</v>
      </c>
      <c r="E588" s="9" t="s">
        <v>3055</v>
      </c>
      <c r="F588" s="10" t="s">
        <v>3053</v>
      </c>
      <c r="G588" s="10" t="str">
        <f t="shared" si="27"/>
        <v>2022</v>
      </c>
      <c r="H588" s="10">
        <v>20</v>
      </c>
      <c r="I588" s="10">
        <v>20</v>
      </c>
      <c r="J588" s="9" t="s">
        <v>1912</v>
      </c>
      <c r="K588" s="9" t="s">
        <v>1912</v>
      </c>
      <c r="L588" s="9" t="s">
        <v>1905</v>
      </c>
      <c r="M588" s="9">
        <v>0</v>
      </c>
      <c r="N588" s="9" t="s">
        <v>1905</v>
      </c>
      <c r="O588" s="9" t="s">
        <v>1898</v>
      </c>
      <c r="P588" s="16" t="s">
        <v>19</v>
      </c>
      <c r="Q588">
        <f t="shared" si="28"/>
        <v>0</v>
      </c>
      <c r="R588" t="b">
        <f t="shared" si="29"/>
        <v>0</v>
      </c>
    </row>
    <row r="589" spans="1:18" hidden="1" x14ac:dyDescent="0.35">
      <c r="A589" s="16" t="s">
        <v>19</v>
      </c>
      <c r="B589" s="9" t="s">
        <v>3056</v>
      </c>
      <c r="C589" s="9" t="s">
        <v>3056</v>
      </c>
      <c r="D589" s="9" t="e">
        <f>VLOOKUP(RBE!C589,Permis[[#This Row],[Parties]],1,0)</f>
        <v>#VALUE!</v>
      </c>
      <c r="E589" s="9" t="s">
        <v>3057</v>
      </c>
      <c r="F589" s="10" t="s">
        <v>3058</v>
      </c>
      <c r="G589" s="10" t="str">
        <f t="shared" si="27"/>
        <v>2022</v>
      </c>
      <c r="H589" s="10">
        <v>100</v>
      </c>
      <c r="I589" s="10">
        <v>100</v>
      </c>
      <c r="J589" s="9" t="s">
        <v>1912</v>
      </c>
      <c r="K589" s="9" t="s">
        <v>1912</v>
      </c>
      <c r="L589" s="9" t="s">
        <v>1905</v>
      </c>
      <c r="M589" s="9">
        <v>0</v>
      </c>
      <c r="N589" s="9" t="s">
        <v>1905</v>
      </c>
      <c r="O589" s="9" t="s">
        <v>1898</v>
      </c>
      <c r="P589" s="16" t="s">
        <v>19</v>
      </c>
      <c r="Q589">
        <f t="shared" si="28"/>
        <v>0</v>
      </c>
      <c r="R589" t="b">
        <f t="shared" si="29"/>
        <v>0</v>
      </c>
    </row>
    <row r="590" spans="1:18" hidden="1" x14ac:dyDescent="0.35">
      <c r="A590" s="16" t="s">
        <v>19</v>
      </c>
      <c r="B590" s="9" t="s">
        <v>3056</v>
      </c>
      <c r="C590" s="9" t="s">
        <v>3056</v>
      </c>
      <c r="D590" s="9" t="e">
        <f>VLOOKUP(RBE!C590,Permis[[#This Row],[Parties]],1,0)</f>
        <v>#VALUE!</v>
      </c>
      <c r="E590" s="9" t="s">
        <v>3059</v>
      </c>
      <c r="F590" s="10" t="s">
        <v>3060</v>
      </c>
      <c r="G590" s="10" t="str">
        <f t="shared" si="27"/>
        <v>2022</v>
      </c>
      <c r="H590" s="10">
        <v>100</v>
      </c>
      <c r="I590" s="10">
        <v>100</v>
      </c>
      <c r="J590" s="9" t="s">
        <v>1912</v>
      </c>
      <c r="K590" s="9" t="s">
        <v>1912</v>
      </c>
      <c r="L590" s="9" t="s">
        <v>2011</v>
      </c>
      <c r="M590" s="9">
        <v>0</v>
      </c>
      <c r="N590" s="9" t="s">
        <v>3061</v>
      </c>
      <c r="O590" s="9" t="s">
        <v>1898</v>
      </c>
      <c r="P590" s="16" t="s">
        <v>19</v>
      </c>
      <c r="Q590">
        <f t="shared" si="28"/>
        <v>0</v>
      </c>
      <c r="R590" t="b">
        <f t="shared" si="29"/>
        <v>0</v>
      </c>
    </row>
    <row r="591" spans="1:18" hidden="1" x14ac:dyDescent="0.35">
      <c r="A591" s="16" t="s">
        <v>19</v>
      </c>
      <c r="B591" s="9" t="s">
        <v>3062</v>
      </c>
      <c r="C591" s="9" t="s">
        <v>3062</v>
      </c>
      <c r="D591" s="9" t="e">
        <f>VLOOKUP(RBE!C591,Permis[[#This Row],[Parties]],1,0)</f>
        <v>#VALUE!</v>
      </c>
      <c r="E591" s="9" t="s">
        <v>3063</v>
      </c>
      <c r="F591" s="10" t="s">
        <v>3060</v>
      </c>
      <c r="G591" s="10" t="str">
        <f t="shared" si="27"/>
        <v>2022</v>
      </c>
      <c r="H591" s="10">
        <v>100</v>
      </c>
      <c r="I591" s="10">
        <v>100</v>
      </c>
      <c r="J591" s="9" t="s">
        <v>1912</v>
      </c>
      <c r="K591" s="9" t="s">
        <v>1912</v>
      </c>
      <c r="L591" s="9" t="s">
        <v>1912</v>
      </c>
      <c r="M591" s="9">
        <v>0</v>
      </c>
      <c r="N591" s="9" t="s">
        <v>3061</v>
      </c>
      <c r="O591" s="9" t="s">
        <v>1898</v>
      </c>
      <c r="P591" s="16" t="s">
        <v>19</v>
      </c>
      <c r="Q591">
        <f t="shared" si="28"/>
        <v>0</v>
      </c>
      <c r="R591" t="b">
        <f t="shared" si="29"/>
        <v>0</v>
      </c>
    </row>
    <row r="592" spans="1:18" hidden="1" x14ac:dyDescent="0.35">
      <c r="A592" s="16" t="s">
        <v>19</v>
      </c>
      <c r="B592" s="9" t="s">
        <v>3062</v>
      </c>
      <c r="C592" s="9" t="s">
        <v>3062</v>
      </c>
      <c r="D592" s="9" t="e">
        <f>VLOOKUP(RBE!C592,Permis[[#This Row],[Parties]],1,0)</f>
        <v>#VALUE!</v>
      </c>
      <c r="E592" s="9" t="s">
        <v>3064</v>
      </c>
      <c r="F592" s="10" t="s">
        <v>3065</v>
      </c>
      <c r="G592" s="10" t="str">
        <f t="shared" si="27"/>
        <v>2022</v>
      </c>
      <c r="H592" s="10">
        <v>72</v>
      </c>
      <c r="I592" s="10">
        <v>72</v>
      </c>
      <c r="J592" s="9" t="s">
        <v>1912</v>
      </c>
      <c r="K592" s="9" t="s">
        <v>1912</v>
      </c>
      <c r="L592" s="9" t="s">
        <v>1905</v>
      </c>
      <c r="M592" s="9">
        <v>0</v>
      </c>
      <c r="N592" s="9" t="s">
        <v>1905</v>
      </c>
      <c r="O592" s="9" t="s">
        <v>1898</v>
      </c>
      <c r="P592" s="16" t="s">
        <v>19</v>
      </c>
      <c r="Q592">
        <f t="shared" si="28"/>
        <v>0</v>
      </c>
      <c r="R592" t="b">
        <f t="shared" si="29"/>
        <v>0</v>
      </c>
    </row>
    <row r="593" spans="1:18" hidden="1" x14ac:dyDescent="0.35">
      <c r="A593" s="16" t="s">
        <v>19</v>
      </c>
      <c r="B593" s="9" t="s">
        <v>3062</v>
      </c>
      <c r="C593" s="9" t="s">
        <v>3062</v>
      </c>
      <c r="D593" s="9" t="e">
        <f>VLOOKUP(RBE!C593,Permis[[#This Row],[Parties]],1,0)</f>
        <v>#VALUE!</v>
      </c>
      <c r="E593" s="9" t="s">
        <v>3066</v>
      </c>
      <c r="F593" s="10" t="s">
        <v>3065</v>
      </c>
      <c r="G593" s="10" t="str">
        <f t="shared" si="27"/>
        <v>2022</v>
      </c>
      <c r="H593" s="10">
        <v>5</v>
      </c>
      <c r="I593" s="10">
        <v>5</v>
      </c>
      <c r="J593" s="9" t="s">
        <v>1912</v>
      </c>
      <c r="K593" s="9" t="s">
        <v>1912</v>
      </c>
      <c r="L593" s="9" t="s">
        <v>1905</v>
      </c>
      <c r="M593" s="9">
        <v>0</v>
      </c>
      <c r="N593" s="9" t="s">
        <v>1905</v>
      </c>
      <c r="O593" s="9" t="s">
        <v>1898</v>
      </c>
      <c r="P593" s="16" t="s">
        <v>19</v>
      </c>
      <c r="Q593">
        <f t="shared" si="28"/>
        <v>0</v>
      </c>
      <c r="R593" t="b">
        <f t="shared" si="29"/>
        <v>0</v>
      </c>
    </row>
    <row r="594" spans="1:18" hidden="1" x14ac:dyDescent="0.35">
      <c r="A594" s="16" t="s">
        <v>19</v>
      </c>
      <c r="B594" s="9" t="s">
        <v>3062</v>
      </c>
      <c r="C594" s="9" t="s">
        <v>3062</v>
      </c>
      <c r="D594" s="9" t="e">
        <f>VLOOKUP(RBE!C594,Permis[[#This Row],[Parties]],1,0)</f>
        <v>#VALUE!</v>
      </c>
      <c r="E594" s="9" t="s">
        <v>3067</v>
      </c>
      <c r="F594" s="10" t="s">
        <v>3065</v>
      </c>
      <c r="G594" s="10" t="str">
        <f t="shared" si="27"/>
        <v>2022</v>
      </c>
      <c r="H594" s="10">
        <v>23</v>
      </c>
      <c r="I594" s="10">
        <v>23</v>
      </c>
      <c r="J594" s="9" t="s">
        <v>2654</v>
      </c>
      <c r="K594" s="9" t="s">
        <v>2654</v>
      </c>
      <c r="L594" s="9" t="s">
        <v>1905</v>
      </c>
      <c r="M594" s="9">
        <v>0</v>
      </c>
      <c r="N594" s="9" t="s">
        <v>1905</v>
      </c>
      <c r="O594" s="9" t="s">
        <v>1898</v>
      </c>
      <c r="P594" s="16" t="s">
        <v>19</v>
      </c>
      <c r="Q594">
        <f t="shared" si="28"/>
        <v>0</v>
      </c>
      <c r="R594" t="b">
        <f t="shared" si="29"/>
        <v>0</v>
      </c>
    </row>
    <row r="595" spans="1:18" hidden="1" x14ac:dyDescent="0.35">
      <c r="A595" s="16" t="s">
        <v>19</v>
      </c>
      <c r="B595" s="9" t="s">
        <v>3062</v>
      </c>
      <c r="C595" s="9" t="s">
        <v>3062</v>
      </c>
      <c r="D595" s="9" t="e">
        <f>VLOOKUP(RBE!C595,Permis[[#This Row],[Parties]],1,0)</f>
        <v>#VALUE!</v>
      </c>
      <c r="E595" s="9" t="s">
        <v>3068</v>
      </c>
      <c r="F595" s="10" t="s">
        <v>3069</v>
      </c>
      <c r="G595" s="10" t="str">
        <f t="shared" si="27"/>
        <v>2022</v>
      </c>
      <c r="H595" s="10">
        <v>15</v>
      </c>
      <c r="I595" s="10">
        <v>15</v>
      </c>
      <c r="J595" s="9" t="s">
        <v>1912</v>
      </c>
      <c r="K595" s="9" t="s">
        <v>1912</v>
      </c>
      <c r="L595" s="9" t="s">
        <v>1905</v>
      </c>
      <c r="M595" s="9">
        <v>0</v>
      </c>
      <c r="N595" s="9" t="s">
        <v>1905</v>
      </c>
      <c r="O595" s="9" t="s">
        <v>1898</v>
      </c>
      <c r="P595" s="16" t="s">
        <v>19</v>
      </c>
      <c r="Q595">
        <f t="shared" si="28"/>
        <v>0</v>
      </c>
      <c r="R595" t="b">
        <f t="shared" si="29"/>
        <v>0</v>
      </c>
    </row>
    <row r="596" spans="1:18" hidden="1" x14ac:dyDescent="0.35">
      <c r="A596" s="16" t="s">
        <v>19</v>
      </c>
      <c r="B596" s="9" t="s">
        <v>3070</v>
      </c>
      <c r="C596" s="9" t="s">
        <v>3070</v>
      </c>
      <c r="D596" s="9" t="e">
        <f>VLOOKUP(RBE!C596,Permis[[#This Row],[Parties]],1,0)</f>
        <v>#VALUE!</v>
      </c>
      <c r="E596" s="9" t="s">
        <v>3071</v>
      </c>
      <c r="F596" s="10" t="s">
        <v>3069</v>
      </c>
      <c r="G596" s="10" t="str">
        <f t="shared" si="27"/>
        <v>2022</v>
      </c>
      <c r="H596" s="10">
        <v>15</v>
      </c>
      <c r="I596" s="10">
        <v>15</v>
      </c>
      <c r="J596" s="9" t="s">
        <v>1912</v>
      </c>
      <c r="K596" s="9" t="s">
        <v>1912</v>
      </c>
      <c r="L596" s="9" t="s">
        <v>1905</v>
      </c>
      <c r="M596" s="9">
        <v>0</v>
      </c>
      <c r="N596" s="9" t="s">
        <v>1905</v>
      </c>
      <c r="O596" s="9" t="s">
        <v>1898</v>
      </c>
      <c r="P596" s="16" t="s">
        <v>19</v>
      </c>
      <c r="Q596">
        <f t="shared" si="28"/>
        <v>0</v>
      </c>
      <c r="R596" t="b">
        <f t="shared" si="29"/>
        <v>0</v>
      </c>
    </row>
    <row r="597" spans="1:18" hidden="1" x14ac:dyDescent="0.35">
      <c r="A597" s="16" t="s">
        <v>19</v>
      </c>
      <c r="B597" s="9" t="s">
        <v>3072</v>
      </c>
      <c r="C597" s="9" t="s">
        <v>3072</v>
      </c>
      <c r="D597" s="9" t="e">
        <f>VLOOKUP(RBE!C597,Permis[[#This Row],[Parties]],1,0)</f>
        <v>#VALUE!</v>
      </c>
      <c r="E597" s="9" t="s">
        <v>3073</v>
      </c>
      <c r="F597" s="10" t="s">
        <v>3074</v>
      </c>
      <c r="G597" s="10" t="str">
        <f t="shared" si="27"/>
        <v>2022</v>
      </c>
      <c r="H597" s="10">
        <v>30</v>
      </c>
      <c r="I597" s="10">
        <v>30</v>
      </c>
      <c r="J597" s="9" t="s">
        <v>1912</v>
      </c>
      <c r="K597" s="9" t="s">
        <v>1912</v>
      </c>
      <c r="L597" s="9" t="s">
        <v>1905</v>
      </c>
      <c r="M597" s="9">
        <v>0</v>
      </c>
      <c r="N597" s="9" t="s">
        <v>1905</v>
      </c>
      <c r="O597" s="9" t="s">
        <v>1898</v>
      </c>
      <c r="P597" s="16" t="s">
        <v>19</v>
      </c>
      <c r="Q597">
        <f t="shared" si="28"/>
        <v>0</v>
      </c>
      <c r="R597" t="b">
        <f t="shared" si="29"/>
        <v>0</v>
      </c>
    </row>
    <row r="598" spans="1:18" hidden="1" x14ac:dyDescent="0.35">
      <c r="A598" s="16" t="s">
        <v>19</v>
      </c>
      <c r="B598" s="9" t="s">
        <v>3072</v>
      </c>
      <c r="C598" s="9" t="s">
        <v>3072</v>
      </c>
      <c r="D598" s="9" t="e">
        <f>VLOOKUP(RBE!C598,Permis[[#This Row],[Parties]],1,0)</f>
        <v>#VALUE!</v>
      </c>
      <c r="E598" s="9" t="s">
        <v>3075</v>
      </c>
      <c r="F598" s="10" t="s">
        <v>3076</v>
      </c>
      <c r="G598" s="10" t="str">
        <f t="shared" si="27"/>
        <v>2022</v>
      </c>
      <c r="H598" s="10">
        <v>15</v>
      </c>
      <c r="I598" s="10">
        <v>15</v>
      </c>
      <c r="J598" s="9" t="s">
        <v>1912</v>
      </c>
      <c r="K598" s="9" t="s">
        <v>1912</v>
      </c>
      <c r="L598" s="9" t="s">
        <v>2011</v>
      </c>
      <c r="M598" s="9">
        <v>1</v>
      </c>
      <c r="N598" s="9" t="s">
        <v>1905</v>
      </c>
      <c r="O598" s="9" t="s">
        <v>1898</v>
      </c>
      <c r="P598" s="16" t="s">
        <v>19</v>
      </c>
      <c r="Q598">
        <f t="shared" si="28"/>
        <v>0</v>
      </c>
      <c r="R598" t="b">
        <f t="shared" si="29"/>
        <v>0</v>
      </c>
    </row>
    <row r="599" spans="1:18" hidden="1" x14ac:dyDescent="0.35">
      <c r="A599" s="16" t="s">
        <v>19</v>
      </c>
      <c r="B599" s="9" t="s">
        <v>3072</v>
      </c>
      <c r="C599" s="9" t="s">
        <v>3072</v>
      </c>
      <c r="D599" s="9" t="e">
        <f>VLOOKUP(RBE!C599,Permis[[#This Row],[Parties]],1,0)</f>
        <v>#VALUE!</v>
      </c>
      <c r="E599" s="9" t="s">
        <v>3077</v>
      </c>
      <c r="F599" s="10" t="s">
        <v>3076</v>
      </c>
      <c r="G599" s="10" t="str">
        <f t="shared" si="27"/>
        <v>2022</v>
      </c>
      <c r="H599" s="10">
        <v>15</v>
      </c>
      <c r="I599" s="10">
        <v>15</v>
      </c>
      <c r="J599" s="9" t="s">
        <v>1912</v>
      </c>
      <c r="K599" s="9" t="s">
        <v>1912</v>
      </c>
      <c r="L599" s="9" t="s">
        <v>1912</v>
      </c>
      <c r="M599" s="9">
        <v>1</v>
      </c>
      <c r="N599" s="9" t="s">
        <v>1905</v>
      </c>
      <c r="O599" s="9" t="s">
        <v>1898</v>
      </c>
      <c r="P599" s="16" t="s">
        <v>19</v>
      </c>
      <c r="Q599">
        <f t="shared" si="28"/>
        <v>0</v>
      </c>
      <c r="R599" t="b">
        <f t="shared" si="29"/>
        <v>0</v>
      </c>
    </row>
    <row r="600" spans="1:18" hidden="1" x14ac:dyDescent="0.35">
      <c r="A600" s="16" t="s">
        <v>19</v>
      </c>
      <c r="B600" s="9" t="s">
        <v>3078</v>
      </c>
      <c r="C600" s="9" t="s">
        <v>3078</v>
      </c>
      <c r="D600" s="9" t="e">
        <f>VLOOKUP(RBE!C600,Permis[[#This Row],[Parties]],1,0)</f>
        <v>#VALUE!</v>
      </c>
      <c r="E600" s="9" t="s">
        <v>3079</v>
      </c>
      <c r="F600" s="10" t="s">
        <v>3076</v>
      </c>
      <c r="G600" s="10" t="str">
        <f t="shared" si="27"/>
        <v>2022</v>
      </c>
      <c r="H600" s="10">
        <v>15</v>
      </c>
      <c r="I600" s="10">
        <v>15</v>
      </c>
      <c r="J600" s="9" t="s">
        <v>1912</v>
      </c>
      <c r="K600" s="9" t="s">
        <v>1912</v>
      </c>
      <c r="L600" s="9" t="s">
        <v>2011</v>
      </c>
      <c r="M600" s="9">
        <v>0</v>
      </c>
      <c r="N600" s="9" t="s">
        <v>3080</v>
      </c>
      <c r="O600" s="9" t="s">
        <v>1898</v>
      </c>
      <c r="P600" s="16" t="s">
        <v>19</v>
      </c>
      <c r="Q600">
        <f t="shared" si="28"/>
        <v>0</v>
      </c>
      <c r="R600" t="b">
        <f t="shared" si="29"/>
        <v>0</v>
      </c>
    </row>
    <row r="601" spans="1:18" hidden="1" x14ac:dyDescent="0.35">
      <c r="A601" s="16" t="s">
        <v>19</v>
      </c>
      <c r="B601" s="9" t="s">
        <v>3081</v>
      </c>
      <c r="C601" s="9" t="s">
        <v>3081</v>
      </c>
      <c r="D601" s="9" t="e">
        <f>VLOOKUP(RBE!C601,Permis[[#This Row],[Parties]],1,0)</f>
        <v>#VALUE!</v>
      </c>
      <c r="E601" s="9" t="s">
        <v>3082</v>
      </c>
      <c r="F601" s="10" t="s">
        <v>3076</v>
      </c>
      <c r="G601" s="10" t="str">
        <f t="shared" si="27"/>
        <v>2022</v>
      </c>
      <c r="H601" s="10">
        <v>15</v>
      </c>
      <c r="I601" s="10">
        <v>15</v>
      </c>
      <c r="J601" s="9" t="s">
        <v>1912</v>
      </c>
      <c r="K601" s="9" t="s">
        <v>1912</v>
      </c>
      <c r="L601" s="9" t="s">
        <v>1912</v>
      </c>
      <c r="M601" s="9">
        <v>0</v>
      </c>
      <c r="N601" s="9" t="s">
        <v>3080</v>
      </c>
      <c r="O601" s="9" t="s">
        <v>1898</v>
      </c>
      <c r="P601" s="16" t="s">
        <v>19</v>
      </c>
      <c r="Q601">
        <f t="shared" si="28"/>
        <v>0</v>
      </c>
      <c r="R601" t="b">
        <f t="shared" si="29"/>
        <v>0</v>
      </c>
    </row>
    <row r="602" spans="1:18" hidden="1" x14ac:dyDescent="0.35">
      <c r="A602" s="16" t="s">
        <v>19</v>
      </c>
      <c r="B602" s="9" t="s">
        <v>3083</v>
      </c>
      <c r="C602" s="9" t="s">
        <v>3083</v>
      </c>
      <c r="D602" s="9" t="e">
        <f>VLOOKUP(RBE!C602,Permis[[#This Row],[Parties]],1,0)</f>
        <v>#VALUE!</v>
      </c>
      <c r="E602" s="9" t="s">
        <v>3084</v>
      </c>
      <c r="F602" s="10" t="s">
        <v>3085</v>
      </c>
      <c r="G602" s="10" t="str">
        <f t="shared" si="27"/>
        <v>2022</v>
      </c>
      <c r="H602" s="10">
        <v>100</v>
      </c>
      <c r="I602" s="10">
        <v>100</v>
      </c>
      <c r="J602" s="9" t="s">
        <v>1912</v>
      </c>
      <c r="K602" s="9" t="s">
        <v>1912</v>
      </c>
      <c r="L602" s="9" t="s">
        <v>1905</v>
      </c>
      <c r="M602" s="9">
        <v>0</v>
      </c>
      <c r="N602" s="9" t="s">
        <v>1905</v>
      </c>
      <c r="O602" s="9" t="s">
        <v>1898</v>
      </c>
      <c r="P602" s="16" t="s">
        <v>19</v>
      </c>
      <c r="Q602">
        <f t="shared" si="28"/>
        <v>0</v>
      </c>
      <c r="R602" t="b">
        <f t="shared" si="29"/>
        <v>0</v>
      </c>
    </row>
    <row r="603" spans="1:18" hidden="1" x14ac:dyDescent="0.35">
      <c r="A603" s="16" t="s">
        <v>19</v>
      </c>
      <c r="B603" s="9" t="s">
        <v>3086</v>
      </c>
      <c r="C603" s="9" t="s">
        <v>3086</v>
      </c>
      <c r="D603" s="9" t="e">
        <f>VLOOKUP(RBE!C603,Permis[[#This Row],[Parties]],1,0)</f>
        <v>#VALUE!</v>
      </c>
      <c r="E603" s="9" t="s">
        <v>3087</v>
      </c>
      <c r="F603" s="10" t="s">
        <v>3088</v>
      </c>
      <c r="G603" s="10" t="str">
        <f t="shared" si="27"/>
        <v>2022</v>
      </c>
      <c r="H603" s="10">
        <v>100</v>
      </c>
      <c r="I603" s="10">
        <v>100</v>
      </c>
      <c r="J603" s="9" t="s">
        <v>1912</v>
      </c>
      <c r="K603" s="9" t="s">
        <v>1912</v>
      </c>
      <c r="L603" s="9" t="s">
        <v>1905</v>
      </c>
      <c r="M603" s="9">
        <v>0</v>
      </c>
      <c r="N603" s="9" t="s">
        <v>1905</v>
      </c>
      <c r="O603" s="9" t="s">
        <v>1898</v>
      </c>
      <c r="P603" s="16" t="s">
        <v>19</v>
      </c>
      <c r="Q603">
        <f t="shared" si="28"/>
        <v>0</v>
      </c>
      <c r="R603" t="b">
        <f t="shared" si="29"/>
        <v>0</v>
      </c>
    </row>
    <row r="604" spans="1:18" hidden="1" x14ac:dyDescent="0.35">
      <c r="A604" s="16" t="s">
        <v>19</v>
      </c>
      <c r="B604" s="9" t="s">
        <v>3089</v>
      </c>
      <c r="C604" s="9" t="s">
        <v>3089</v>
      </c>
      <c r="D604" s="9" t="e">
        <f>VLOOKUP(RBE!C604,Permis[[#This Row],[Parties]],1,0)</f>
        <v>#VALUE!</v>
      </c>
      <c r="E604" s="9" t="s">
        <v>3090</v>
      </c>
      <c r="F604" s="10" t="s">
        <v>3091</v>
      </c>
      <c r="G604" s="10" t="str">
        <f t="shared" si="27"/>
        <v>2022</v>
      </c>
      <c r="H604" s="10">
        <v>100</v>
      </c>
      <c r="I604" s="10">
        <v>100</v>
      </c>
      <c r="J604" s="9" t="s">
        <v>1912</v>
      </c>
      <c r="K604" s="9" t="s">
        <v>1912</v>
      </c>
      <c r="L604" s="9" t="s">
        <v>1905</v>
      </c>
      <c r="M604" s="9">
        <v>0</v>
      </c>
      <c r="N604" s="9" t="s">
        <v>1905</v>
      </c>
      <c r="O604" s="9" t="s">
        <v>1898</v>
      </c>
      <c r="P604" s="16" t="s">
        <v>19</v>
      </c>
      <c r="Q604">
        <f t="shared" si="28"/>
        <v>0</v>
      </c>
      <c r="R604" t="b">
        <f t="shared" si="29"/>
        <v>0</v>
      </c>
    </row>
    <row r="605" spans="1:18" hidden="1" x14ac:dyDescent="0.35">
      <c r="A605" s="16" t="s">
        <v>19</v>
      </c>
      <c r="B605" s="9" t="s">
        <v>3092</v>
      </c>
      <c r="C605" s="9" t="s">
        <v>3092</v>
      </c>
      <c r="D605" s="9" t="e">
        <f>VLOOKUP(RBE!C605,Permis[[#This Row],[Parties]],1,0)</f>
        <v>#VALUE!</v>
      </c>
      <c r="E605" s="9" t="s">
        <v>3093</v>
      </c>
      <c r="F605" s="10" t="s">
        <v>3094</v>
      </c>
      <c r="G605" s="10" t="str">
        <f t="shared" si="27"/>
        <v>2022</v>
      </c>
      <c r="H605" s="10">
        <v>100</v>
      </c>
      <c r="I605" s="10">
        <v>100</v>
      </c>
      <c r="J605" s="9" t="s">
        <v>1912</v>
      </c>
      <c r="K605" s="9" t="s">
        <v>1912</v>
      </c>
      <c r="L605" s="9" t="s">
        <v>1905</v>
      </c>
      <c r="M605" s="9">
        <v>0</v>
      </c>
      <c r="N605" s="9" t="s">
        <v>1905</v>
      </c>
      <c r="O605" s="9" t="s">
        <v>1898</v>
      </c>
      <c r="P605" s="16" t="s">
        <v>19</v>
      </c>
      <c r="Q605">
        <f t="shared" si="28"/>
        <v>0</v>
      </c>
      <c r="R605" t="b">
        <f t="shared" si="29"/>
        <v>0</v>
      </c>
    </row>
    <row r="606" spans="1:18" hidden="1" x14ac:dyDescent="0.35">
      <c r="A606" s="16" t="s">
        <v>19</v>
      </c>
      <c r="B606" s="9" t="s">
        <v>3092</v>
      </c>
      <c r="C606" s="9" t="s">
        <v>3092</v>
      </c>
      <c r="D606" s="9" t="e">
        <f>VLOOKUP(RBE!C606,Permis[[#This Row],[Parties]],1,0)</f>
        <v>#VALUE!</v>
      </c>
      <c r="E606" s="9" t="s">
        <v>3095</v>
      </c>
      <c r="F606" s="10" t="s">
        <v>3096</v>
      </c>
      <c r="G606" s="10" t="str">
        <f t="shared" si="27"/>
        <v>2023</v>
      </c>
      <c r="H606" s="10">
        <v>100</v>
      </c>
      <c r="I606" s="10">
        <v>100</v>
      </c>
      <c r="J606" s="9" t="s">
        <v>1912</v>
      </c>
      <c r="K606" s="9" t="s">
        <v>1912</v>
      </c>
      <c r="L606" s="9" t="s">
        <v>1905</v>
      </c>
      <c r="M606" s="9">
        <v>0</v>
      </c>
      <c r="N606" s="9" t="s">
        <v>1905</v>
      </c>
      <c r="O606" s="9" t="s">
        <v>1898</v>
      </c>
      <c r="P606" s="16" t="s">
        <v>19</v>
      </c>
      <c r="Q606">
        <f t="shared" si="28"/>
        <v>0</v>
      </c>
      <c r="R606" t="b">
        <f t="shared" si="29"/>
        <v>0</v>
      </c>
    </row>
    <row r="607" spans="1:18" hidden="1" x14ac:dyDescent="0.35">
      <c r="A607" s="16" t="s">
        <v>19</v>
      </c>
      <c r="B607" s="9" t="s">
        <v>3092</v>
      </c>
      <c r="C607" s="9" t="s">
        <v>3092</v>
      </c>
      <c r="D607" s="9" t="e">
        <f>VLOOKUP(RBE!C607,Permis[[#This Row],[Parties]],1,0)</f>
        <v>#VALUE!</v>
      </c>
      <c r="E607" s="9" t="s">
        <v>3097</v>
      </c>
      <c r="F607" s="10" t="s">
        <v>3098</v>
      </c>
      <c r="G607" s="10" t="str">
        <f t="shared" si="27"/>
        <v>2023</v>
      </c>
      <c r="H607" s="10">
        <v>15</v>
      </c>
      <c r="I607" s="10">
        <v>15</v>
      </c>
      <c r="J607" s="9" t="s">
        <v>1912</v>
      </c>
      <c r="K607" s="9" t="s">
        <v>1912</v>
      </c>
      <c r="L607" s="9" t="s">
        <v>1905</v>
      </c>
      <c r="M607" s="9">
        <v>0</v>
      </c>
      <c r="N607" s="9" t="s">
        <v>1905</v>
      </c>
      <c r="O607" s="9" t="s">
        <v>1898</v>
      </c>
      <c r="P607" s="16" t="s">
        <v>19</v>
      </c>
      <c r="Q607">
        <f t="shared" si="28"/>
        <v>0</v>
      </c>
      <c r="R607" t="b">
        <f t="shared" si="29"/>
        <v>0</v>
      </c>
    </row>
    <row r="608" spans="1:18" hidden="1" x14ac:dyDescent="0.35">
      <c r="A608" s="16" t="s">
        <v>19</v>
      </c>
      <c r="B608" s="9" t="s">
        <v>3092</v>
      </c>
      <c r="C608" s="9" t="s">
        <v>3092</v>
      </c>
      <c r="D608" s="9" t="e">
        <f>VLOOKUP(RBE!C608,Permis[[#This Row],[Parties]],1,0)</f>
        <v>#VALUE!</v>
      </c>
      <c r="E608" s="9" t="s">
        <v>3097</v>
      </c>
      <c r="F608" s="10" t="s">
        <v>3098</v>
      </c>
      <c r="G608" s="10" t="str">
        <f t="shared" si="27"/>
        <v>2023</v>
      </c>
      <c r="H608" s="10">
        <v>70</v>
      </c>
      <c r="I608" s="10">
        <v>70</v>
      </c>
      <c r="J608" s="9" t="s">
        <v>1912</v>
      </c>
      <c r="K608" s="9" t="s">
        <v>1912</v>
      </c>
      <c r="L608" s="9" t="s">
        <v>1905</v>
      </c>
      <c r="M608" s="9">
        <v>0</v>
      </c>
      <c r="N608" s="9" t="s">
        <v>1905</v>
      </c>
      <c r="O608" s="9" t="s">
        <v>1898</v>
      </c>
      <c r="P608" s="16" t="s">
        <v>19</v>
      </c>
      <c r="Q608">
        <f t="shared" si="28"/>
        <v>0</v>
      </c>
      <c r="R608" t="b">
        <f t="shared" si="29"/>
        <v>0</v>
      </c>
    </row>
    <row r="609" spans="1:18" hidden="1" x14ac:dyDescent="0.35">
      <c r="A609" s="16" t="s">
        <v>19</v>
      </c>
      <c r="B609" s="9" t="s">
        <v>3092</v>
      </c>
      <c r="C609" s="9" t="s">
        <v>3092</v>
      </c>
      <c r="D609" s="9" t="e">
        <f>VLOOKUP(RBE!C609,Permis[[#This Row],[Parties]],1,0)</f>
        <v>#VALUE!</v>
      </c>
      <c r="E609" s="9" t="s">
        <v>3099</v>
      </c>
      <c r="F609" s="10" t="s">
        <v>3098</v>
      </c>
      <c r="G609" s="10" t="str">
        <f t="shared" si="27"/>
        <v>2023</v>
      </c>
      <c r="H609" s="10">
        <v>15</v>
      </c>
      <c r="I609" s="10">
        <v>15</v>
      </c>
      <c r="J609" s="9" t="s">
        <v>1912</v>
      </c>
      <c r="K609" s="9" t="s">
        <v>1912</v>
      </c>
      <c r="L609" s="9" t="s">
        <v>1905</v>
      </c>
      <c r="M609" s="9">
        <v>0</v>
      </c>
      <c r="N609" s="9" t="s">
        <v>1905</v>
      </c>
      <c r="O609" s="9" t="s">
        <v>1898</v>
      </c>
      <c r="P609" s="16" t="s">
        <v>19</v>
      </c>
      <c r="Q609">
        <f t="shared" si="28"/>
        <v>0</v>
      </c>
      <c r="R609" t="b">
        <f t="shared" si="29"/>
        <v>0</v>
      </c>
    </row>
    <row r="610" spans="1:18" hidden="1" x14ac:dyDescent="0.35">
      <c r="A610" s="16" t="s">
        <v>19</v>
      </c>
      <c r="B610" s="9" t="s">
        <v>3092</v>
      </c>
      <c r="C610" s="9" t="s">
        <v>3092</v>
      </c>
      <c r="D610" s="9" t="e">
        <f>VLOOKUP(RBE!C610,Permis[[#This Row],[Parties]],1,0)</f>
        <v>#VALUE!</v>
      </c>
      <c r="E610" s="9" t="s">
        <v>3100</v>
      </c>
      <c r="F610" s="10" t="s">
        <v>3101</v>
      </c>
      <c r="G610" s="10" t="str">
        <f t="shared" si="27"/>
        <v>2024</v>
      </c>
      <c r="H610" s="10">
        <v>100</v>
      </c>
      <c r="I610" s="10">
        <v>100</v>
      </c>
      <c r="J610" s="9" t="s">
        <v>1912</v>
      </c>
      <c r="K610" s="9" t="s">
        <v>1912</v>
      </c>
      <c r="L610" s="9" t="s">
        <v>1905</v>
      </c>
      <c r="M610" s="9">
        <v>0</v>
      </c>
      <c r="N610" s="9" t="s">
        <v>1905</v>
      </c>
      <c r="O610" s="9" t="s">
        <v>1898</v>
      </c>
      <c r="P610" s="16" t="s">
        <v>19</v>
      </c>
      <c r="Q610">
        <f t="shared" si="28"/>
        <v>0</v>
      </c>
      <c r="R610" t="b">
        <f t="shared" si="29"/>
        <v>0</v>
      </c>
    </row>
    <row r="611" spans="1:18" hidden="1" x14ac:dyDescent="0.35">
      <c r="A611" s="16" t="s">
        <v>19</v>
      </c>
      <c r="B611" s="9" t="s">
        <v>3102</v>
      </c>
      <c r="C611" s="9" t="s">
        <v>3102</v>
      </c>
      <c r="D611" s="9" t="e">
        <f>VLOOKUP(RBE!C611,Permis[[#This Row],[Parties]],1,0)</f>
        <v>#VALUE!</v>
      </c>
      <c r="E611" s="9" t="s">
        <v>3103</v>
      </c>
      <c r="F611" s="10" t="s">
        <v>3104</v>
      </c>
      <c r="G611" s="10" t="str">
        <f t="shared" si="27"/>
        <v>2024</v>
      </c>
      <c r="H611" s="10">
        <v>100</v>
      </c>
      <c r="I611" s="10">
        <v>100</v>
      </c>
      <c r="J611" s="9" t="s">
        <v>1912</v>
      </c>
      <c r="K611" s="9" t="s">
        <v>1912</v>
      </c>
      <c r="L611" s="9" t="s">
        <v>1905</v>
      </c>
      <c r="M611" s="9">
        <v>0</v>
      </c>
      <c r="N611" s="9" t="s">
        <v>1905</v>
      </c>
      <c r="O611" s="9" t="s">
        <v>1898</v>
      </c>
      <c r="P611" s="16" t="s">
        <v>19</v>
      </c>
      <c r="Q611">
        <f t="shared" si="28"/>
        <v>0</v>
      </c>
      <c r="R611" t="b">
        <f t="shared" si="29"/>
        <v>0</v>
      </c>
    </row>
    <row r="612" spans="1:18" hidden="1" x14ac:dyDescent="0.35">
      <c r="A612" s="16" t="s">
        <v>19</v>
      </c>
      <c r="B612" s="9" t="s">
        <v>3102</v>
      </c>
      <c r="C612" s="9" t="s">
        <v>3102</v>
      </c>
      <c r="D612" s="9" t="e">
        <f>VLOOKUP(RBE!C612,Permis[[#This Row],[Parties]],1,0)</f>
        <v>#VALUE!</v>
      </c>
      <c r="E612" s="9" t="s">
        <v>3105</v>
      </c>
      <c r="F612" s="10" t="s">
        <v>3106</v>
      </c>
      <c r="G612" s="10" t="str">
        <f t="shared" si="27"/>
        <v>2024</v>
      </c>
      <c r="H612" s="10" t="s">
        <v>3107</v>
      </c>
      <c r="I612" s="10" t="s">
        <v>3107</v>
      </c>
      <c r="J612" s="9" t="s">
        <v>1912</v>
      </c>
      <c r="K612" s="9" t="s">
        <v>1912</v>
      </c>
      <c r="L612" s="9" t="s">
        <v>1905</v>
      </c>
      <c r="M612" s="9">
        <v>0</v>
      </c>
      <c r="N612" s="9" t="s">
        <v>1905</v>
      </c>
      <c r="O612" s="9" t="s">
        <v>1898</v>
      </c>
      <c r="P612" s="16" t="s">
        <v>19</v>
      </c>
      <c r="Q612">
        <f t="shared" si="28"/>
        <v>0</v>
      </c>
      <c r="R612" t="b">
        <f t="shared" si="29"/>
        <v>0</v>
      </c>
    </row>
    <row r="613" spans="1:18" hidden="1" x14ac:dyDescent="0.35">
      <c r="A613" s="16" t="s">
        <v>19</v>
      </c>
      <c r="B613" s="9" t="s">
        <v>3102</v>
      </c>
      <c r="C613" s="9" t="s">
        <v>3102</v>
      </c>
      <c r="D613" s="9" t="e">
        <f>VLOOKUP(RBE!C613,Permis[[#This Row],[Parties]],1,0)</f>
        <v>#VALUE!</v>
      </c>
      <c r="E613" s="9" t="s">
        <v>3108</v>
      </c>
      <c r="F613" s="10" t="s">
        <v>3106</v>
      </c>
      <c r="G613" s="10" t="str">
        <f t="shared" si="27"/>
        <v>2024</v>
      </c>
      <c r="H613" s="10">
        <v>15</v>
      </c>
      <c r="I613" s="10">
        <v>15</v>
      </c>
      <c r="J613" s="9" t="s">
        <v>2018</v>
      </c>
      <c r="K613" s="9" t="s">
        <v>2018</v>
      </c>
      <c r="L613" s="9" t="s">
        <v>1905</v>
      </c>
      <c r="M613" s="9">
        <v>0</v>
      </c>
      <c r="N613" s="9" t="s">
        <v>1905</v>
      </c>
      <c r="O613" s="9" t="s">
        <v>1898</v>
      </c>
      <c r="P613" s="16" t="s">
        <v>19</v>
      </c>
      <c r="Q613">
        <f t="shared" si="28"/>
        <v>0</v>
      </c>
      <c r="R613" t="b">
        <f t="shared" si="29"/>
        <v>0</v>
      </c>
    </row>
    <row r="614" spans="1:18" hidden="1" x14ac:dyDescent="0.35">
      <c r="A614" s="16" t="s">
        <v>19</v>
      </c>
      <c r="B614" s="9" t="s">
        <v>3102</v>
      </c>
      <c r="C614" s="9" t="s">
        <v>3102</v>
      </c>
      <c r="D614" s="9" t="e">
        <f>VLOOKUP(RBE!C614,Permis[[#This Row],[Parties]],1,0)</f>
        <v>#VALUE!</v>
      </c>
      <c r="E614" s="9" t="s">
        <v>3108</v>
      </c>
      <c r="F614" s="10" t="s">
        <v>3106</v>
      </c>
      <c r="G614" s="10" t="str">
        <f t="shared" si="27"/>
        <v>2024</v>
      </c>
      <c r="H614" s="10">
        <v>10</v>
      </c>
      <c r="I614" s="10">
        <v>10</v>
      </c>
      <c r="J614" s="9" t="s">
        <v>1912</v>
      </c>
      <c r="K614" s="9" t="s">
        <v>1912</v>
      </c>
      <c r="L614" s="9" t="s">
        <v>1905</v>
      </c>
      <c r="M614" s="9">
        <v>0</v>
      </c>
      <c r="N614" s="9" t="s">
        <v>1905</v>
      </c>
      <c r="O614" s="9" t="s">
        <v>1898</v>
      </c>
      <c r="P614" s="16" t="s">
        <v>19</v>
      </c>
      <c r="Q614">
        <f t="shared" si="28"/>
        <v>0</v>
      </c>
      <c r="R614" t="b">
        <f t="shared" si="29"/>
        <v>0</v>
      </c>
    </row>
    <row r="615" spans="1:18" hidden="1" x14ac:dyDescent="0.35">
      <c r="A615" s="16" t="s">
        <v>19</v>
      </c>
      <c r="B615" s="9" t="s">
        <v>3109</v>
      </c>
      <c r="C615" s="9" t="s">
        <v>3109</v>
      </c>
      <c r="D615" s="9" t="e">
        <f>VLOOKUP(RBE!C615,Permis[[#This Row],[Parties]],1,0)</f>
        <v>#VALUE!</v>
      </c>
      <c r="E615" s="9" t="s">
        <v>3108</v>
      </c>
      <c r="F615" s="10" t="s">
        <v>3106</v>
      </c>
      <c r="G615" s="10" t="str">
        <f t="shared" si="27"/>
        <v>2024</v>
      </c>
      <c r="H615" s="10">
        <v>15</v>
      </c>
      <c r="I615" s="10">
        <v>15</v>
      </c>
      <c r="J615" s="9" t="s">
        <v>2018</v>
      </c>
      <c r="K615" s="9" t="s">
        <v>2018</v>
      </c>
      <c r="L615" s="9" t="s">
        <v>1905</v>
      </c>
      <c r="M615" s="9">
        <v>0</v>
      </c>
      <c r="N615" s="9" t="s">
        <v>1905</v>
      </c>
      <c r="O615" s="9" t="s">
        <v>1898</v>
      </c>
      <c r="P615" s="16" t="s">
        <v>19</v>
      </c>
      <c r="Q615">
        <f t="shared" si="28"/>
        <v>0</v>
      </c>
      <c r="R615" t="b">
        <f t="shared" si="29"/>
        <v>0</v>
      </c>
    </row>
    <row r="616" spans="1:18" hidden="1" x14ac:dyDescent="0.35">
      <c r="A616" s="16" t="s">
        <v>19</v>
      </c>
      <c r="B616" s="9" t="s">
        <v>3109</v>
      </c>
      <c r="C616" s="9" t="s">
        <v>3109</v>
      </c>
      <c r="D616" s="9" t="e">
        <f>VLOOKUP(RBE!C616,Permis[[#This Row],[Parties]],1,0)</f>
        <v>#VALUE!</v>
      </c>
      <c r="E616" s="9" t="s">
        <v>3108</v>
      </c>
      <c r="F616" s="10" t="s">
        <v>3106</v>
      </c>
      <c r="G616" s="10" t="str">
        <f t="shared" si="27"/>
        <v>2024</v>
      </c>
      <c r="H616" s="10">
        <v>15</v>
      </c>
      <c r="I616" s="10">
        <v>15</v>
      </c>
      <c r="J616" s="9" t="s">
        <v>2018</v>
      </c>
      <c r="K616" s="9" t="s">
        <v>2018</v>
      </c>
      <c r="L616" s="9" t="s">
        <v>1905</v>
      </c>
      <c r="M616" s="9">
        <v>0</v>
      </c>
      <c r="N616" s="9" t="s">
        <v>1905</v>
      </c>
      <c r="O616" s="9" t="s">
        <v>1898</v>
      </c>
      <c r="P616" s="16" t="s">
        <v>19</v>
      </c>
      <c r="Q616">
        <f t="shared" si="28"/>
        <v>0</v>
      </c>
      <c r="R616" t="b">
        <f t="shared" si="29"/>
        <v>0</v>
      </c>
    </row>
    <row r="617" spans="1:18" hidden="1" x14ac:dyDescent="0.35">
      <c r="A617" s="16" t="s">
        <v>19</v>
      </c>
      <c r="B617" s="9" t="s">
        <v>3109</v>
      </c>
      <c r="C617" s="9" t="s">
        <v>3109</v>
      </c>
      <c r="D617" s="9" t="e">
        <f>VLOOKUP(RBE!C617,Permis[[#This Row],[Parties]],1,0)</f>
        <v>#VALUE!</v>
      </c>
      <c r="E617" s="9" t="s">
        <v>3110</v>
      </c>
      <c r="F617" s="10" t="s">
        <v>3106</v>
      </c>
      <c r="G617" s="10" t="str">
        <f t="shared" si="27"/>
        <v>2024</v>
      </c>
      <c r="H617" s="10" t="s">
        <v>3107</v>
      </c>
      <c r="I617" s="10" t="s">
        <v>3107</v>
      </c>
      <c r="J617" s="9" t="s">
        <v>1912</v>
      </c>
      <c r="K617" s="9" t="s">
        <v>1912</v>
      </c>
      <c r="L617" s="9" t="s">
        <v>1905</v>
      </c>
      <c r="M617" s="9">
        <v>0</v>
      </c>
      <c r="N617" s="9" t="s">
        <v>1905</v>
      </c>
      <c r="O617" s="9" t="s">
        <v>1898</v>
      </c>
      <c r="P617" s="16" t="s">
        <v>19</v>
      </c>
      <c r="Q617">
        <f t="shared" si="28"/>
        <v>0</v>
      </c>
      <c r="R617" t="b">
        <f t="shared" si="29"/>
        <v>0</v>
      </c>
    </row>
    <row r="618" spans="1:18" hidden="1" x14ac:dyDescent="0.35">
      <c r="A618" s="16" t="s">
        <v>19</v>
      </c>
      <c r="B618" s="9" t="s">
        <v>3111</v>
      </c>
      <c r="C618" s="9" t="s">
        <v>3111</v>
      </c>
      <c r="D618" s="9" t="e">
        <f>VLOOKUP(RBE!C618,Permis[[#This Row],[Parties]],1,0)</f>
        <v>#VALUE!</v>
      </c>
      <c r="E618" s="9" t="s">
        <v>3110</v>
      </c>
      <c r="F618" s="10" t="s">
        <v>3112</v>
      </c>
      <c r="G618" s="10" t="str">
        <f t="shared" si="27"/>
        <v>2024</v>
      </c>
      <c r="H618" s="10">
        <v>100</v>
      </c>
      <c r="I618" s="10">
        <v>100</v>
      </c>
      <c r="J618" s="9" t="s">
        <v>1912</v>
      </c>
      <c r="K618" s="9" t="s">
        <v>1912</v>
      </c>
      <c r="L618" s="9" t="s">
        <v>1905</v>
      </c>
      <c r="M618" s="9">
        <v>0</v>
      </c>
      <c r="N618" s="9" t="s">
        <v>1905</v>
      </c>
      <c r="O618" s="9" t="s">
        <v>1898</v>
      </c>
      <c r="P618" s="16" t="s">
        <v>19</v>
      </c>
      <c r="Q618">
        <f t="shared" si="28"/>
        <v>0</v>
      </c>
      <c r="R618" t="b">
        <f t="shared" si="29"/>
        <v>0</v>
      </c>
    </row>
    <row r="619" spans="1:18" hidden="1" x14ac:dyDescent="0.35">
      <c r="A619" s="16" t="s">
        <v>19</v>
      </c>
      <c r="B619" s="9" t="s">
        <v>3111</v>
      </c>
      <c r="C619" s="9" t="s">
        <v>3111</v>
      </c>
      <c r="D619" s="9" t="e">
        <f>VLOOKUP(RBE!C619,Permis[[#This Row],[Parties]],1,0)</f>
        <v>#VALUE!</v>
      </c>
      <c r="E619" s="9" t="s">
        <v>3113</v>
      </c>
      <c r="F619" s="10" t="s">
        <v>3114</v>
      </c>
      <c r="G619" s="10" t="str">
        <f t="shared" si="27"/>
        <v>2024</v>
      </c>
      <c r="H619" s="10">
        <v>100</v>
      </c>
      <c r="I619" s="10">
        <v>100</v>
      </c>
      <c r="J619" s="9" t="s">
        <v>1912</v>
      </c>
      <c r="K619" s="9" t="s">
        <v>1912</v>
      </c>
      <c r="L619" s="9" t="s">
        <v>1905</v>
      </c>
      <c r="M619" s="9">
        <v>0</v>
      </c>
      <c r="N619" s="9" t="s">
        <v>1905</v>
      </c>
      <c r="O619" s="9" t="s">
        <v>1898</v>
      </c>
      <c r="P619" s="16" t="s">
        <v>19</v>
      </c>
      <c r="Q619">
        <f t="shared" si="28"/>
        <v>0</v>
      </c>
      <c r="R619" t="b">
        <f t="shared" si="29"/>
        <v>0</v>
      </c>
    </row>
    <row r="620" spans="1:18" hidden="1" x14ac:dyDescent="0.35">
      <c r="A620" s="16" t="s">
        <v>19</v>
      </c>
      <c r="B620" s="9" t="s">
        <v>3111</v>
      </c>
      <c r="C620" s="9" t="s">
        <v>3111</v>
      </c>
      <c r="D620" s="9" t="e">
        <f>VLOOKUP(RBE!C620,Permis[[#This Row],[Parties]],1,0)</f>
        <v>#VALUE!</v>
      </c>
      <c r="E620" s="9" t="s">
        <v>3115</v>
      </c>
      <c r="F620" s="10" t="s">
        <v>3116</v>
      </c>
      <c r="G620" s="10" t="str">
        <f t="shared" si="27"/>
        <v>2025</v>
      </c>
      <c r="H620" s="10">
        <v>50</v>
      </c>
      <c r="I620" s="10">
        <v>50</v>
      </c>
      <c r="J620" s="9" t="s">
        <v>1912</v>
      </c>
      <c r="K620" s="9"/>
      <c r="L620" s="9">
        <v>0</v>
      </c>
      <c r="M620" s="9" t="s">
        <v>1905</v>
      </c>
      <c r="N620" s="9" t="s">
        <v>1905</v>
      </c>
      <c r="O620" s="9" t="s">
        <v>1898</v>
      </c>
      <c r="P620" s="16" t="s">
        <v>19</v>
      </c>
      <c r="Q620">
        <f t="shared" si="28"/>
        <v>1</v>
      </c>
      <c r="R620" t="b">
        <f t="shared" si="29"/>
        <v>1</v>
      </c>
    </row>
    <row r="621" spans="1:18" hidden="1" x14ac:dyDescent="0.35">
      <c r="A621" s="16" t="s">
        <v>19</v>
      </c>
      <c r="B621" s="9" t="s">
        <v>3117</v>
      </c>
      <c r="C621" s="9" t="s">
        <v>3117</v>
      </c>
      <c r="D621" s="9" t="e">
        <f>VLOOKUP(RBE!C621,Permis[[#This Row],[Parties]],1,0)</f>
        <v>#VALUE!</v>
      </c>
      <c r="E621" s="9" t="s">
        <v>3115</v>
      </c>
      <c r="F621" s="10" t="s">
        <v>3116</v>
      </c>
      <c r="G621" s="10" t="str">
        <f t="shared" si="27"/>
        <v>2025</v>
      </c>
      <c r="H621" s="10">
        <v>50</v>
      </c>
      <c r="I621" s="10">
        <v>50</v>
      </c>
      <c r="J621" s="9" t="s">
        <v>1912</v>
      </c>
      <c r="K621" s="9"/>
      <c r="L621" s="9">
        <v>0</v>
      </c>
      <c r="M621" s="9" t="s">
        <v>1905</v>
      </c>
      <c r="N621" s="9" t="s">
        <v>1905</v>
      </c>
      <c r="O621" s="9" t="s">
        <v>1898</v>
      </c>
      <c r="P621" s="16" t="s">
        <v>19</v>
      </c>
      <c r="Q621">
        <f t="shared" si="28"/>
        <v>1</v>
      </c>
      <c r="R621" t="b">
        <f t="shared" si="29"/>
        <v>1</v>
      </c>
    </row>
    <row r="622" spans="1:18" hidden="1" x14ac:dyDescent="0.35">
      <c r="A622" s="16" t="s">
        <v>19</v>
      </c>
      <c r="B622" s="9" t="s">
        <v>3117</v>
      </c>
      <c r="C622" s="9" t="s">
        <v>3117</v>
      </c>
      <c r="D622" s="9" t="e">
        <f>VLOOKUP(RBE!C622,Permis[[#This Row],[Parties]],1,0)</f>
        <v>#VALUE!</v>
      </c>
      <c r="E622" s="9" t="s">
        <v>3115</v>
      </c>
      <c r="F622" s="10" t="s">
        <v>3118</v>
      </c>
      <c r="G622" s="10" t="str">
        <f t="shared" si="27"/>
        <v>2025</v>
      </c>
      <c r="H622" s="10">
        <v>50</v>
      </c>
      <c r="I622" s="10">
        <v>50</v>
      </c>
      <c r="J622" s="9" t="s">
        <v>1912</v>
      </c>
      <c r="K622" s="9"/>
      <c r="L622" s="9">
        <v>0</v>
      </c>
      <c r="M622" s="9" t="s">
        <v>1905</v>
      </c>
      <c r="N622" s="9" t="s">
        <v>1905</v>
      </c>
      <c r="O622" s="9" t="s">
        <v>1898</v>
      </c>
      <c r="P622" s="16" t="s">
        <v>19</v>
      </c>
      <c r="Q622">
        <f t="shared" si="28"/>
        <v>1</v>
      </c>
      <c r="R622" t="b">
        <f t="shared" si="29"/>
        <v>1</v>
      </c>
    </row>
    <row r="623" spans="1:18" hidden="1" x14ac:dyDescent="0.35">
      <c r="A623" s="16" t="s">
        <v>19</v>
      </c>
      <c r="B623" s="9" t="s">
        <v>3117</v>
      </c>
      <c r="C623" s="9" t="s">
        <v>3117</v>
      </c>
      <c r="D623" s="9" t="e">
        <f>VLOOKUP(RBE!C623,Permis[[#This Row],[Parties]],1,0)</f>
        <v>#VALUE!</v>
      </c>
      <c r="E623" s="9" t="s">
        <v>3115</v>
      </c>
      <c r="F623" s="10" t="s">
        <v>3118</v>
      </c>
      <c r="G623" s="10" t="str">
        <f t="shared" si="27"/>
        <v>2025</v>
      </c>
      <c r="H623" s="10">
        <v>50</v>
      </c>
      <c r="I623" s="10">
        <v>50</v>
      </c>
      <c r="J623" s="9" t="s">
        <v>1912</v>
      </c>
      <c r="K623" s="9"/>
      <c r="L623" s="9">
        <v>0</v>
      </c>
      <c r="M623" s="9" t="s">
        <v>1905</v>
      </c>
      <c r="N623" s="9" t="s">
        <v>1905</v>
      </c>
      <c r="O623" s="9" t="s">
        <v>1898</v>
      </c>
      <c r="P623" s="16" t="s">
        <v>19</v>
      </c>
      <c r="Q623">
        <f t="shared" si="28"/>
        <v>1</v>
      </c>
      <c r="R623" t="b">
        <f t="shared" si="29"/>
        <v>1</v>
      </c>
    </row>
    <row r="624" spans="1:18" hidden="1" x14ac:dyDescent="0.35">
      <c r="A624" s="16" t="s">
        <v>19</v>
      </c>
      <c r="B624" s="9" t="s">
        <v>3117</v>
      </c>
      <c r="C624" s="9" t="s">
        <v>3117</v>
      </c>
      <c r="D624" s="9" t="e">
        <f>VLOOKUP(RBE!C624,Permis[[#This Row],[Parties]],1,0)</f>
        <v>#VALUE!</v>
      </c>
      <c r="E624" s="9" t="s">
        <v>3115</v>
      </c>
      <c r="F624" s="10" t="s">
        <v>3119</v>
      </c>
      <c r="G624" s="10" t="str">
        <f t="shared" si="27"/>
        <v>2025</v>
      </c>
      <c r="H624" s="10">
        <v>60</v>
      </c>
      <c r="I624" s="10">
        <v>60</v>
      </c>
      <c r="J624" s="9" t="s">
        <v>1912</v>
      </c>
      <c r="K624" s="9"/>
      <c r="L624" s="9">
        <v>0</v>
      </c>
      <c r="M624" s="9" t="s">
        <v>1905</v>
      </c>
      <c r="N624" s="9" t="s">
        <v>1905</v>
      </c>
      <c r="O624" s="9" t="s">
        <v>1898</v>
      </c>
      <c r="P624" s="16" t="s">
        <v>19</v>
      </c>
      <c r="Q624">
        <f t="shared" si="28"/>
        <v>1</v>
      </c>
      <c r="R624" t="b">
        <f t="shared" si="29"/>
        <v>1</v>
      </c>
    </row>
    <row r="625" spans="1:18" hidden="1" x14ac:dyDescent="0.35">
      <c r="A625" s="16" t="s">
        <v>19</v>
      </c>
      <c r="B625" s="9" t="s">
        <v>3117</v>
      </c>
      <c r="C625" s="9" t="s">
        <v>3117</v>
      </c>
      <c r="D625" s="9" t="e">
        <f>VLOOKUP(RBE!C625,Permis[[#This Row],[Parties]],1,0)</f>
        <v>#VALUE!</v>
      </c>
      <c r="E625" s="9" t="s">
        <v>3115</v>
      </c>
      <c r="F625" s="10" t="s">
        <v>3119</v>
      </c>
      <c r="G625" s="10" t="str">
        <f t="shared" si="27"/>
        <v>2025</v>
      </c>
      <c r="H625" s="10">
        <v>40</v>
      </c>
      <c r="I625" s="10">
        <v>40</v>
      </c>
      <c r="J625" s="9" t="s">
        <v>1912</v>
      </c>
      <c r="K625" s="9"/>
      <c r="L625" s="9">
        <v>0</v>
      </c>
      <c r="M625" s="9" t="s">
        <v>1905</v>
      </c>
      <c r="N625" s="9" t="s">
        <v>1905</v>
      </c>
      <c r="O625" s="9" t="s">
        <v>1898</v>
      </c>
      <c r="P625" s="16" t="s">
        <v>19</v>
      </c>
      <c r="Q625">
        <f t="shared" si="28"/>
        <v>1</v>
      </c>
      <c r="R625" t="b">
        <f t="shared" si="29"/>
        <v>1</v>
      </c>
    </row>
    <row r="626" spans="1:18" hidden="1" x14ac:dyDescent="0.35">
      <c r="A626" s="16" t="s">
        <v>19</v>
      </c>
      <c r="B626" s="9" t="s">
        <v>3117</v>
      </c>
      <c r="C626" s="9" t="s">
        <v>3117</v>
      </c>
      <c r="D626" s="9" t="e">
        <f>VLOOKUP(RBE!C626,Permis[[#This Row],[Parties]],1,0)</f>
        <v>#VALUE!</v>
      </c>
      <c r="E626" s="9" t="s">
        <v>3120</v>
      </c>
      <c r="F626" s="10" t="s">
        <v>3121</v>
      </c>
      <c r="G626" s="10" t="str">
        <f t="shared" si="27"/>
        <v>2025</v>
      </c>
      <c r="H626" s="10">
        <v>100</v>
      </c>
      <c r="I626" s="10">
        <v>100</v>
      </c>
      <c r="J626" s="9" t="s">
        <v>1912</v>
      </c>
      <c r="K626" s="9"/>
      <c r="L626" s="9">
        <v>0</v>
      </c>
      <c r="M626" s="9" t="s">
        <v>1905</v>
      </c>
      <c r="N626" s="9" t="s">
        <v>1905</v>
      </c>
      <c r="O626" s="9" t="s">
        <v>1898</v>
      </c>
      <c r="P626" s="16" t="s">
        <v>19</v>
      </c>
      <c r="Q626">
        <f t="shared" si="28"/>
        <v>1</v>
      </c>
      <c r="R626" t="b">
        <f t="shared" si="29"/>
        <v>1</v>
      </c>
    </row>
    <row r="627" spans="1:18" hidden="1" x14ac:dyDescent="0.35">
      <c r="A627" s="16" t="s">
        <v>939</v>
      </c>
      <c r="B627" s="9" t="s">
        <v>3122</v>
      </c>
      <c r="C627" s="9" t="s">
        <v>3122</v>
      </c>
      <c r="D627" s="9" t="e">
        <f>VLOOKUP(RBE!C627,Permis[[#This Row],[Parties]],1,0)</f>
        <v>#VALUE!</v>
      </c>
      <c r="E627" s="9" t="s">
        <v>3123</v>
      </c>
      <c r="F627" s="10" t="s">
        <v>3124</v>
      </c>
      <c r="G627" s="10" t="str">
        <f t="shared" si="27"/>
        <v>2024</v>
      </c>
      <c r="H627" s="10">
        <v>35</v>
      </c>
      <c r="I627" s="10">
        <v>35</v>
      </c>
      <c r="J627" s="9" t="s">
        <v>1912</v>
      </c>
      <c r="K627" s="9" t="s">
        <v>1912</v>
      </c>
      <c r="L627" s="9" t="s">
        <v>1905</v>
      </c>
      <c r="M627" s="9" t="s">
        <v>1905</v>
      </c>
      <c r="N627" s="9" t="s">
        <v>1905</v>
      </c>
      <c r="O627" s="9" t="s">
        <v>1898</v>
      </c>
      <c r="P627" s="16" t="s">
        <v>939</v>
      </c>
      <c r="Q627">
        <f t="shared" si="28"/>
        <v>0</v>
      </c>
      <c r="R627" t="b">
        <f t="shared" si="29"/>
        <v>0</v>
      </c>
    </row>
    <row r="628" spans="1:18" hidden="1" x14ac:dyDescent="0.35">
      <c r="A628" s="16" t="s">
        <v>939</v>
      </c>
      <c r="B628" s="9" t="s">
        <v>3122</v>
      </c>
      <c r="C628" s="9" t="s">
        <v>3122</v>
      </c>
      <c r="D628" s="9" t="e">
        <f>VLOOKUP(RBE!C628,Permis[[#This Row],[Parties]],1,0)</f>
        <v>#VALUE!</v>
      </c>
      <c r="E628" s="9" t="s">
        <v>3125</v>
      </c>
      <c r="F628" s="10" t="s">
        <v>3124</v>
      </c>
      <c r="G628" s="10" t="str">
        <f t="shared" si="27"/>
        <v>2024</v>
      </c>
      <c r="H628" s="10">
        <v>30</v>
      </c>
      <c r="I628" s="10">
        <v>30</v>
      </c>
      <c r="J628" s="9" t="s">
        <v>1912</v>
      </c>
      <c r="K628" s="9" t="s">
        <v>1912</v>
      </c>
      <c r="L628" s="9" t="s">
        <v>1905</v>
      </c>
      <c r="M628" s="9" t="s">
        <v>1905</v>
      </c>
      <c r="N628" s="9" t="s">
        <v>1905</v>
      </c>
      <c r="O628" s="9" t="s">
        <v>1898</v>
      </c>
      <c r="P628" s="16" t="s">
        <v>939</v>
      </c>
      <c r="Q628">
        <f t="shared" si="28"/>
        <v>0</v>
      </c>
      <c r="R628" t="b">
        <f t="shared" si="29"/>
        <v>0</v>
      </c>
    </row>
    <row r="629" spans="1:18" hidden="1" x14ac:dyDescent="0.35">
      <c r="A629" s="16" t="s">
        <v>939</v>
      </c>
      <c r="B629" s="9" t="s">
        <v>3122</v>
      </c>
      <c r="C629" s="9" t="s">
        <v>3122</v>
      </c>
      <c r="D629" s="9" t="e">
        <f>VLOOKUP(RBE!C629,Permis[[#This Row],[Parties]],1,0)</f>
        <v>#VALUE!</v>
      </c>
      <c r="E629" s="9" t="s">
        <v>3126</v>
      </c>
      <c r="F629" s="10" t="s">
        <v>3124</v>
      </c>
      <c r="G629" s="10" t="str">
        <f t="shared" si="27"/>
        <v>2024</v>
      </c>
      <c r="H629" s="10">
        <v>35</v>
      </c>
      <c r="I629" s="10">
        <v>35</v>
      </c>
      <c r="J629" s="9" t="s">
        <v>1912</v>
      </c>
      <c r="K629" s="9" t="s">
        <v>1912</v>
      </c>
      <c r="L629" s="9" t="s">
        <v>1905</v>
      </c>
      <c r="M629" s="9" t="s">
        <v>1905</v>
      </c>
      <c r="N629" s="9" t="s">
        <v>1905</v>
      </c>
      <c r="O629" s="9" t="s">
        <v>1898</v>
      </c>
      <c r="P629" s="16" t="s">
        <v>939</v>
      </c>
      <c r="Q629">
        <f t="shared" si="28"/>
        <v>0</v>
      </c>
      <c r="R629" t="b">
        <f t="shared" si="29"/>
        <v>0</v>
      </c>
    </row>
  </sheetData>
  <autoFilter ref="A1:P629" xr:uid="{AE325F88-39FA-4018-B50A-26CDCFD29B4E}">
    <filterColumn colId="7">
      <filters>
        <filter val="150"/>
        <filter val="200"/>
      </filters>
    </filterColumn>
    <sortState xmlns:xlrd2="http://schemas.microsoft.com/office/spreadsheetml/2017/richdata2" ref="A2:P629">
      <sortCondition ref="C1:C62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B993-B9F8-4612-AB9C-3759B8F7F082}">
  <dimension ref="A1:A319"/>
  <sheetViews>
    <sheetView topLeftCell="A227" zoomScale="76" workbookViewId="0">
      <selection activeCell="A236" sqref="A236"/>
    </sheetView>
  </sheetViews>
  <sheetFormatPr baseColWidth="10" defaultRowHeight="14.5" x14ac:dyDescent="0.35"/>
  <cols>
    <col min="1" max="1" width="71.7265625" bestFit="1" customWidth="1"/>
    <col min="2" max="2" width="30.08984375" bestFit="1" customWidth="1"/>
  </cols>
  <sheetData>
    <row r="1" spans="1:1" x14ac:dyDescent="0.35">
      <c r="A1" s="12" t="s">
        <v>3160</v>
      </c>
    </row>
    <row r="2" spans="1:1" x14ac:dyDescent="0.35">
      <c r="A2" s="13" t="s">
        <v>1994</v>
      </c>
    </row>
    <row r="3" spans="1:1" x14ac:dyDescent="0.35">
      <c r="A3" s="13" t="s">
        <v>1996</v>
      </c>
    </row>
    <row r="4" spans="1:1" x14ac:dyDescent="0.35">
      <c r="A4" s="13" t="s">
        <v>2000</v>
      </c>
    </row>
    <row r="5" spans="1:1" x14ac:dyDescent="0.35">
      <c r="A5" s="13" t="s">
        <v>2003</v>
      </c>
    </row>
    <row r="6" spans="1:1" x14ac:dyDescent="0.35">
      <c r="A6" s="13" t="s">
        <v>2007</v>
      </c>
    </row>
    <row r="7" spans="1:1" x14ac:dyDescent="0.35">
      <c r="A7" s="13" t="s">
        <v>3150</v>
      </c>
    </row>
    <row r="8" spans="1:1" x14ac:dyDescent="0.35">
      <c r="A8" s="13" t="s">
        <v>2014</v>
      </c>
    </row>
    <row r="9" spans="1:1" x14ac:dyDescent="0.35">
      <c r="A9" s="13" t="s">
        <v>3140</v>
      </c>
    </row>
    <row r="10" spans="1:1" x14ac:dyDescent="0.35">
      <c r="A10" s="13" t="s">
        <v>2016</v>
      </c>
    </row>
    <row r="11" spans="1:1" x14ac:dyDescent="0.35">
      <c r="A11" s="13" t="s">
        <v>2019</v>
      </c>
    </row>
    <row r="12" spans="1:1" x14ac:dyDescent="0.35">
      <c r="A12" s="13" t="s">
        <v>2022</v>
      </c>
    </row>
    <row r="13" spans="1:1" x14ac:dyDescent="0.35">
      <c r="A13" s="13" t="s">
        <v>2027</v>
      </c>
    </row>
    <row r="14" spans="1:1" x14ac:dyDescent="0.35">
      <c r="A14" s="13" t="s">
        <v>2030</v>
      </c>
    </row>
    <row r="15" spans="1:1" x14ac:dyDescent="0.35">
      <c r="A15" s="13" t="s">
        <v>2033</v>
      </c>
    </row>
    <row r="16" spans="1:1" x14ac:dyDescent="0.35">
      <c r="A16" s="13" t="s">
        <v>2037</v>
      </c>
    </row>
    <row r="17" spans="1:1" x14ac:dyDescent="0.35">
      <c r="A17" s="13" t="s">
        <v>2043</v>
      </c>
    </row>
    <row r="18" spans="1:1" x14ac:dyDescent="0.35">
      <c r="A18" s="13" t="s">
        <v>2045</v>
      </c>
    </row>
    <row r="19" spans="1:1" x14ac:dyDescent="0.35">
      <c r="A19" s="13" t="s">
        <v>2047</v>
      </c>
    </row>
    <row r="20" spans="1:1" x14ac:dyDescent="0.35">
      <c r="A20" s="13" t="s">
        <v>2048</v>
      </c>
    </row>
    <row r="21" spans="1:1" x14ac:dyDescent="0.35">
      <c r="A21" s="13" t="s">
        <v>2051</v>
      </c>
    </row>
    <row r="22" spans="1:1" x14ac:dyDescent="0.35">
      <c r="A22" s="13" t="s">
        <v>2054</v>
      </c>
    </row>
    <row r="23" spans="1:1" x14ac:dyDescent="0.35">
      <c r="A23" s="13" t="s">
        <v>2056</v>
      </c>
    </row>
    <row r="24" spans="1:1" x14ac:dyDescent="0.35">
      <c r="A24" s="13" t="s">
        <v>2059</v>
      </c>
    </row>
    <row r="25" spans="1:1" x14ac:dyDescent="0.35">
      <c r="A25" s="13" t="s">
        <v>2063</v>
      </c>
    </row>
    <row r="26" spans="1:1" x14ac:dyDescent="0.35">
      <c r="A26" s="13" t="s">
        <v>2065</v>
      </c>
    </row>
    <row r="27" spans="1:1" x14ac:dyDescent="0.35">
      <c r="A27" s="13" t="s">
        <v>2070</v>
      </c>
    </row>
    <row r="28" spans="1:1" x14ac:dyDescent="0.35">
      <c r="A28" s="13" t="s">
        <v>2078</v>
      </c>
    </row>
    <row r="29" spans="1:1" x14ac:dyDescent="0.35">
      <c r="A29" s="13" t="s">
        <v>2081</v>
      </c>
    </row>
    <row r="30" spans="1:1" x14ac:dyDescent="0.35">
      <c r="A30" s="13" t="s">
        <v>3141</v>
      </c>
    </row>
    <row r="31" spans="1:1" x14ac:dyDescent="0.35">
      <c r="A31" s="13" t="s">
        <v>2083</v>
      </c>
    </row>
    <row r="32" spans="1:1" x14ac:dyDescent="0.35">
      <c r="A32" s="13" t="s">
        <v>2085</v>
      </c>
    </row>
    <row r="33" spans="1:1" x14ac:dyDescent="0.35">
      <c r="A33" s="13" t="s">
        <v>2088</v>
      </c>
    </row>
    <row r="34" spans="1:1" x14ac:dyDescent="0.35">
      <c r="A34" s="13" t="s">
        <v>2091</v>
      </c>
    </row>
    <row r="35" spans="1:1" x14ac:dyDescent="0.35">
      <c r="A35" s="13" t="s">
        <v>2093</v>
      </c>
    </row>
    <row r="36" spans="1:1" x14ac:dyDescent="0.35">
      <c r="A36" s="13" t="s">
        <v>2096</v>
      </c>
    </row>
    <row r="37" spans="1:1" x14ac:dyDescent="0.35">
      <c r="A37" s="13" t="s">
        <v>2100</v>
      </c>
    </row>
    <row r="38" spans="1:1" x14ac:dyDescent="0.35">
      <c r="A38" s="13" t="s">
        <v>2105</v>
      </c>
    </row>
    <row r="39" spans="1:1" x14ac:dyDescent="0.35">
      <c r="A39" s="13" t="s">
        <v>2109</v>
      </c>
    </row>
    <row r="40" spans="1:1" x14ac:dyDescent="0.35">
      <c r="A40" s="13" t="s">
        <v>2110</v>
      </c>
    </row>
    <row r="41" spans="1:1" x14ac:dyDescent="0.35">
      <c r="A41" s="13" t="s">
        <v>381</v>
      </c>
    </row>
    <row r="42" spans="1:1" x14ac:dyDescent="0.35">
      <c r="A42" s="13" t="s">
        <v>2112</v>
      </c>
    </row>
    <row r="43" spans="1:1" x14ac:dyDescent="0.35">
      <c r="A43" s="13" t="s">
        <v>2119</v>
      </c>
    </row>
    <row r="44" spans="1:1" x14ac:dyDescent="0.35">
      <c r="A44" s="13" t="s">
        <v>2162</v>
      </c>
    </row>
    <row r="45" spans="1:1" x14ac:dyDescent="0.35">
      <c r="A45" s="13" t="s">
        <v>2164</v>
      </c>
    </row>
    <row r="46" spans="1:1" x14ac:dyDescent="0.35">
      <c r="A46" s="13" t="s">
        <v>2166</v>
      </c>
    </row>
    <row r="47" spans="1:1" x14ac:dyDescent="0.35">
      <c r="A47" s="13" t="s">
        <v>2169</v>
      </c>
    </row>
    <row r="48" spans="1:1" x14ac:dyDescent="0.35">
      <c r="A48" s="13" t="s">
        <v>2177</v>
      </c>
    </row>
    <row r="49" spans="1:1" x14ac:dyDescent="0.35">
      <c r="A49" s="13" t="s">
        <v>2182</v>
      </c>
    </row>
    <row r="50" spans="1:1" x14ac:dyDescent="0.35">
      <c r="A50" s="13" t="s">
        <v>2186</v>
      </c>
    </row>
    <row r="51" spans="1:1" x14ac:dyDescent="0.35">
      <c r="A51" s="13" t="s">
        <v>2188</v>
      </c>
    </row>
    <row r="52" spans="1:1" x14ac:dyDescent="0.35">
      <c r="A52" s="13" t="s">
        <v>2195</v>
      </c>
    </row>
    <row r="53" spans="1:1" x14ac:dyDescent="0.35">
      <c r="A53" s="13" t="s">
        <v>3152</v>
      </c>
    </row>
    <row r="54" spans="1:1" x14ac:dyDescent="0.35">
      <c r="A54" s="13" t="s">
        <v>2197</v>
      </c>
    </row>
    <row r="55" spans="1:1" x14ac:dyDescent="0.35">
      <c r="A55" s="13" t="s">
        <v>2199</v>
      </c>
    </row>
    <row r="56" spans="1:1" x14ac:dyDescent="0.35">
      <c r="A56" s="13" t="s">
        <v>2201</v>
      </c>
    </row>
    <row r="57" spans="1:1" x14ac:dyDescent="0.35">
      <c r="A57" s="13" t="s">
        <v>3151</v>
      </c>
    </row>
    <row r="58" spans="1:1" x14ac:dyDescent="0.35">
      <c r="A58" s="13" t="s">
        <v>2207</v>
      </c>
    </row>
    <row r="59" spans="1:1" x14ac:dyDescent="0.35">
      <c r="A59" s="13" t="s">
        <v>2210</v>
      </c>
    </row>
    <row r="60" spans="1:1" x14ac:dyDescent="0.35">
      <c r="A60" s="13" t="s">
        <v>2213</v>
      </c>
    </row>
    <row r="61" spans="1:1" x14ac:dyDescent="0.35">
      <c r="A61" s="13" t="s">
        <v>2221</v>
      </c>
    </row>
    <row r="62" spans="1:1" x14ac:dyDescent="0.35">
      <c r="A62" s="13" t="s">
        <v>2224</v>
      </c>
    </row>
    <row r="63" spans="1:1" x14ac:dyDescent="0.35">
      <c r="A63" s="13" t="s">
        <v>2230</v>
      </c>
    </row>
    <row r="64" spans="1:1" x14ac:dyDescent="0.35">
      <c r="A64" s="13" t="s">
        <v>2233</v>
      </c>
    </row>
    <row r="65" spans="1:1" x14ac:dyDescent="0.35">
      <c r="A65" s="13" t="s">
        <v>2240</v>
      </c>
    </row>
    <row r="66" spans="1:1" x14ac:dyDescent="0.35">
      <c r="A66" s="13" t="s">
        <v>2242</v>
      </c>
    </row>
    <row r="67" spans="1:1" x14ac:dyDescent="0.35">
      <c r="A67" s="13" t="s">
        <v>2247</v>
      </c>
    </row>
    <row r="68" spans="1:1" x14ac:dyDescent="0.35">
      <c r="A68" s="13" t="s">
        <v>2252</v>
      </c>
    </row>
    <row r="69" spans="1:1" x14ac:dyDescent="0.35">
      <c r="A69" s="13" t="s">
        <v>2262</v>
      </c>
    </row>
    <row r="70" spans="1:1" x14ac:dyDescent="0.35">
      <c r="A70" s="13" t="s">
        <v>2265</v>
      </c>
    </row>
    <row r="71" spans="1:1" x14ac:dyDescent="0.35">
      <c r="A71" s="13" t="s">
        <v>2267</v>
      </c>
    </row>
    <row r="72" spans="1:1" x14ac:dyDescent="0.35">
      <c r="A72" s="13" t="s">
        <v>2273</v>
      </c>
    </row>
    <row r="73" spans="1:1" x14ac:dyDescent="0.35">
      <c r="A73" s="13" t="s">
        <v>2276</v>
      </c>
    </row>
    <row r="74" spans="1:1" x14ac:dyDescent="0.35">
      <c r="A74" s="13" t="s">
        <v>2279</v>
      </c>
    </row>
    <row r="75" spans="1:1" x14ac:dyDescent="0.35">
      <c r="A75" s="13" t="s">
        <v>2282</v>
      </c>
    </row>
    <row r="76" spans="1:1" x14ac:dyDescent="0.35">
      <c r="A76" s="13" t="s">
        <v>2290</v>
      </c>
    </row>
    <row r="77" spans="1:1" x14ac:dyDescent="0.35">
      <c r="A77" s="13" t="s">
        <v>2293</v>
      </c>
    </row>
    <row r="78" spans="1:1" x14ac:dyDescent="0.35">
      <c r="A78" s="13" t="s">
        <v>2296</v>
      </c>
    </row>
    <row r="79" spans="1:1" x14ac:dyDescent="0.35">
      <c r="A79" s="13" t="s">
        <v>2300</v>
      </c>
    </row>
    <row r="80" spans="1:1" x14ac:dyDescent="0.35">
      <c r="A80" s="13" t="s">
        <v>2303</v>
      </c>
    </row>
    <row r="81" spans="1:1" x14ac:dyDescent="0.35">
      <c r="A81" s="13" t="s">
        <v>3142</v>
      </c>
    </row>
    <row r="82" spans="1:1" x14ac:dyDescent="0.35">
      <c r="A82" s="13" t="s">
        <v>2305</v>
      </c>
    </row>
    <row r="83" spans="1:1" x14ac:dyDescent="0.35">
      <c r="A83" s="13" t="s">
        <v>2311</v>
      </c>
    </row>
    <row r="84" spans="1:1" x14ac:dyDescent="0.35">
      <c r="A84" s="13" t="s">
        <v>3130</v>
      </c>
    </row>
    <row r="85" spans="1:1" x14ac:dyDescent="0.35">
      <c r="A85" s="13" t="s">
        <v>2313</v>
      </c>
    </row>
    <row r="86" spans="1:1" x14ac:dyDescent="0.35">
      <c r="A86" s="13" t="s">
        <v>2319</v>
      </c>
    </row>
    <row r="87" spans="1:1" x14ac:dyDescent="0.35">
      <c r="A87" s="13" t="s">
        <v>2324</v>
      </c>
    </row>
    <row r="88" spans="1:1" x14ac:dyDescent="0.35">
      <c r="A88" s="13" t="s">
        <v>2328</v>
      </c>
    </row>
    <row r="89" spans="1:1" x14ac:dyDescent="0.35">
      <c r="A89" s="13" t="s">
        <v>2331</v>
      </c>
    </row>
    <row r="90" spans="1:1" x14ac:dyDescent="0.35">
      <c r="A90" s="13" t="s">
        <v>2336</v>
      </c>
    </row>
    <row r="91" spans="1:1" x14ac:dyDescent="0.35">
      <c r="A91" s="13" t="s">
        <v>2338</v>
      </c>
    </row>
    <row r="92" spans="1:1" x14ac:dyDescent="0.35">
      <c r="A92" s="13" t="s">
        <v>2341</v>
      </c>
    </row>
    <row r="93" spans="1:1" x14ac:dyDescent="0.35">
      <c r="A93" s="13" t="s">
        <v>2343</v>
      </c>
    </row>
    <row r="94" spans="1:1" x14ac:dyDescent="0.35">
      <c r="A94" s="13" t="s">
        <v>2345</v>
      </c>
    </row>
    <row r="95" spans="1:1" x14ac:dyDescent="0.35">
      <c r="A95" s="13" t="s">
        <v>2347</v>
      </c>
    </row>
    <row r="96" spans="1:1" x14ac:dyDescent="0.35">
      <c r="A96" s="13" t="s">
        <v>2350</v>
      </c>
    </row>
    <row r="97" spans="1:1" x14ac:dyDescent="0.35">
      <c r="A97" s="13" t="s">
        <v>2353</v>
      </c>
    </row>
    <row r="98" spans="1:1" x14ac:dyDescent="0.35">
      <c r="A98" s="13" t="s">
        <v>3131</v>
      </c>
    </row>
    <row r="99" spans="1:1" x14ac:dyDescent="0.35">
      <c r="A99" s="13" t="s">
        <v>2354</v>
      </c>
    </row>
    <row r="100" spans="1:1" x14ac:dyDescent="0.35">
      <c r="A100" s="13" t="s">
        <v>2356</v>
      </c>
    </row>
    <row r="101" spans="1:1" x14ac:dyDescent="0.35">
      <c r="A101" s="13" t="s">
        <v>2361</v>
      </c>
    </row>
    <row r="102" spans="1:1" x14ac:dyDescent="0.35">
      <c r="A102" s="13" t="s">
        <v>3153</v>
      </c>
    </row>
    <row r="103" spans="1:1" x14ac:dyDescent="0.35">
      <c r="A103" s="13" t="s">
        <v>2364</v>
      </c>
    </row>
    <row r="104" spans="1:1" x14ac:dyDescent="0.35">
      <c r="A104" s="13" t="s">
        <v>2366</v>
      </c>
    </row>
    <row r="105" spans="1:1" x14ac:dyDescent="0.35">
      <c r="A105" s="13" t="s">
        <v>2373</v>
      </c>
    </row>
    <row r="106" spans="1:1" x14ac:dyDescent="0.35">
      <c r="A106" s="13" t="s">
        <v>2375</v>
      </c>
    </row>
    <row r="107" spans="1:1" x14ac:dyDescent="0.35">
      <c r="A107" s="13" t="s">
        <v>2378</v>
      </c>
    </row>
    <row r="108" spans="1:1" x14ac:dyDescent="0.35">
      <c r="A108" s="13" t="s">
        <v>2383</v>
      </c>
    </row>
    <row r="109" spans="1:1" x14ac:dyDescent="0.35">
      <c r="A109" s="13" t="s">
        <v>2387</v>
      </c>
    </row>
    <row r="110" spans="1:1" x14ac:dyDescent="0.35">
      <c r="A110" s="13" t="s">
        <v>2390</v>
      </c>
    </row>
    <row r="111" spans="1:1" x14ac:dyDescent="0.35">
      <c r="A111" s="13" t="s">
        <v>2396</v>
      </c>
    </row>
    <row r="112" spans="1:1" x14ac:dyDescent="0.35">
      <c r="A112" s="13" t="s">
        <v>2403</v>
      </c>
    </row>
    <row r="113" spans="1:1" x14ac:dyDescent="0.35">
      <c r="A113" s="13" t="s">
        <v>2406</v>
      </c>
    </row>
    <row r="114" spans="1:1" x14ac:dyDescent="0.35">
      <c r="A114" s="13" t="s">
        <v>2408</v>
      </c>
    </row>
    <row r="115" spans="1:1" x14ac:dyDescent="0.35">
      <c r="A115" s="13" t="s">
        <v>2412</v>
      </c>
    </row>
    <row r="116" spans="1:1" x14ac:dyDescent="0.35">
      <c r="A116" s="13" t="s">
        <v>2414</v>
      </c>
    </row>
    <row r="117" spans="1:1" x14ac:dyDescent="0.35">
      <c r="A117" s="13" t="s">
        <v>2417</v>
      </c>
    </row>
    <row r="118" spans="1:1" x14ac:dyDescent="0.35">
      <c r="A118" s="13" t="s">
        <v>2419</v>
      </c>
    </row>
    <row r="119" spans="1:1" x14ac:dyDescent="0.35">
      <c r="A119" s="13" t="s">
        <v>3132</v>
      </c>
    </row>
    <row r="120" spans="1:1" x14ac:dyDescent="0.35">
      <c r="A120" s="13" t="s">
        <v>2422</v>
      </c>
    </row>
    <row r="121" spans="1:1" x14ac:dyDescent="0.35">
      <c r="A121" s="13" t="s">
        <v>2424</v>
      </c>
    </row>
    <row r="122" spans="1:1" x14ac:dyDescent="0.35">
      <c r="A122" s="13" t="s">
        <v>2436</v>
      </c>
    </row>
    <row r="123" spans="1:1" x14ac:dyDescent="0.35">
      <c r="A123" s="13" t="s">
        <v>3154</v>
      </c>
    </row>
    <row r="124" spans="1:1" x14ac:dyDescent="0.35">
      <c r="A124" s="13" t="s">
        <v>2437</v>
      </c>
    </row>
    <row r="125" spans="1:1" x14ac:dyDescent="0.35">
      <c r="A125" s="13" t="s">
        <v>3155</v>
      </c>
    </row>
    <row r="126" spans="1:1" x14ac:dyDescent="0.35">
      <c r="A126" s="13" t="s">
        <v>3156</v>
      </c>
    </row>
    <row r="127" spans="1:1" x14ac:dyDescent="0.35">
      <c r="A127" s="13" t="s">
        <v>3143</v>
      </c>
    </row>
    <row r="128" spans="1:1" x14ac:dyDescent="0.35">
      <c r="A128" s="13" t="s">
        <v>2439</v>
      </c>
    </row>
    <row r="129" spans="1:1" x14ac:dyDescent="0.35">
      <c r="A129" s="13" t="s">
        <v>2442</v>
      </c>
    </row>
    <row r="130" spans="1:1" x14ac:dyDescent="0.35">
      <c r="A130" s="13" t="s">
        <v>2448</v>
      </c>
    </row>
    <row r="131" spans="1:1" x14ac:dyDescent="0.35">
      <c r="A131" s="13" t="s">
        <v>2452</v>
      </c>
    </row>
    <row r="132" spans="1:1" x14ac:dyDescent="0.35">
      <c r="A132" s="13" t="s">
        <v>2455</v>
      </c>
    </row>
    <row r="133" spans="1:1" x14ac:dyDescent="0.35">
      <c r="A133" s="13" t="s">
        <v>2463</v>
      </c>
    </row>
    <row r="134" spans="1:1" x14ac:dyDescent="0.35">
      <c r="A134" s="13" t="s">
        <v>2469</v>
      </c>
    </row>
    <row r="135" spans="1:1" x14ac:dyDescent="0.35">
      <c r="A135" s="13" t="s">
        <v>2472</v>
      </c>
    </row>
    <row r="136" spans="1:1" x14ac:dyDescent="0.35">
      <c r="A136" s="13" t="s">
        <v>2474</v>
      </c>
    </row>
    <row r="137" spans="1:1" x14ac:dyDescent="0.35">
      <c r="A137" s="13" t="s">
        <v>2478</v>
      </c>
    </row>
    <row r="138" spans="1:1" x14ac:dyDescent="0.35">
      <c r="A138" s="13" t="s">
        <v>3144</v>
      </c>
    </row>
    <row r="139" spans="1:1" x14ac:dyDescent="0.35">
      <c r="A139" s="13" t="s">
        <v>2481</v>
      </c>
    </row>
    <row r="140" spans="1:1" x14ac:dyDescent="0.35">
      <c r="A140" s="13" t="s">
        <v>2484</v>
      </c>
    </row>
    <row r="141" spans="1:1" x14ac:dyDescent="0.35">
      <c r="A141" s="13" t="s">
        <v>2486</v>
      </c>
    </row>
    <row r="142" spans="1:1" x14ac:dyDescent="0.35">
      <c r="A142" s="13" t="s">
        <v>3148</v>
      </c>
    </row>
    <row r="143" spans="1:1" x14ac:dyDescent="0.35">
      <c r="A143" s="13" t="s">
        <v>2491</v>
      </c>
    </row>
    <row r="144" spans="1:1" x14ac:dyDescent="0.35">
      <c r="A144" s="13" t="s">
        <v>2495</v>
      </c>
    </row>
    <row r="145" spans="1:1" x14ac:dyDescent="0.35">
      <c r="A145" s="13" t="s">
        <v>2498</v>
      </c>
    </row>
    <row r="146" spans="1:1" x14ac:dyDescent="0.35">
      <c r="A146" s="13" t="s">
        <v>2503</v>
      </c>
    </row>
    <row r="147" spans="1:1" x14ac:dyDescent="0.35">
      <c r="A147" s="13" t="s">
        <v>2506</v>
      </c>
    </row>
    <row r="148" spans="1:1" x14ac:dyDescent="0.35">
      <c r="A148" s="13" t="s">
        <v>2511</v>
      </c>
    </row>
    <row r="149" spans="1:1" x14ac:dyDescent="0.35">
      <c r="A149" s="13" t="s">
        <v>2514</v>
      </c>
    </row>
    <row r="150" spans="1:1" x14ac:dyDescent="0.35">
      <c r="A150" s="13" t="s">
        <v>2517</v>
      </c>
    </row>
    <row r="151" spans="1:1" x14ac:dyDescent="0.35">
      <c r="A151" s="13" t="s">
        <v>2519</v>
      </c>
    </row>
    <row r="152" spans="1:1" x14ac:dyDescent="0.35">
      <c r="A152" s="13" t="s">
        <v>2522</v>
      </c>
    </row>
    <row r="153" spans="1:1" x14ac:dyDescent="0.35">
      <c r="A153" s="13" t="s">
        <v>3133</v>
      </c>
    </row>
    <row r="154" spans="1:1" x14ac:dyDescent="0.35">
      <c r="A154" s="13" t="s">
        <v>2527</v>
      </c>
    </row>
    <row r="155" spans="1:1" x14ac:dyDescent="0.35">
      <c r="A155" s="13" t="s">
        <v>2529</v>
      </c>
    </row>
    <row r="156" spans="1:1" x14ac:dyDescent="0.35">
      <c r="A156" s="13" t="s">
        <v>2532</v>
      </c>
    </row>
    <row r="157" spans="1:1" x14ac:dyDescent="0.35">
      <c r="A157" s="13" t="s">
        <v>2534</v>
      </c>
    </row>
    <row r="158" spans="1:1" x14ac:dyDescent="0.35">
      <c r="A158" s="13" t="s">
        <v>2538</v>
      </c>
    </row>
    <row r="159" spans="1:1" x14ac:dyDescent="0.35">
      <c r="A159" s="13" t="s">
        <v>2541</v>
      </c>
    </row>
    <row r="160" spans="1:1" x14ac:dyDescent="0.35">
      <c r="A160" s="13" t="s">
        <v>2543</v>
      </c>
    </row>
    <row r="161" spans="1:1" x14ac:dyDescent="0.35">
      <c r="A161" s="13" t="s">
        <v>2546</v>
      </c>
    </row>
    <row r="162" spans="1:1" x14ac:dyDescent="0.35">
      <c r="A162" s="13" t="s">
        <v>2548</v>
      </c>
    </row>
    <row r="163" spans="1:1" x14ac:dyDescent="0.35">
      <c r="A163" s="13" t="s">
        <v>2551</v>
      </c>
    </row>
    <row r="164" spans="1:1" x14ac:dyDescent="0.35">
      <c r="A164" s="13" t="s">
        <v>2553</v>
      </c>
    </row>
    <row r="165" spans="1:1" x14ac:dyDescent="0.35">
      <c r="A165" s="13" t="s">
        <v>2558</v>
      </c>
    </row>
    <row r="166" spans="1:1" x14ac:dyDescent="0.35">
      <c r="A166" s="13" t="s">
        <v>2565</v>
      </c>
    </row>
    <row r="167" spans="1:1" x14ac:dyDescent="0.35">
      <c r="A167" s="13" t="s">
        <v>2571</v>
      </c>
    </row>
    <row r="168" spans="1:1" x14ac:dyDescent="0.35">
      <c r="A168" s="13" t="s">
        <v>2576</v>
      </c>
    </row>
    <row r="169" spans="1:1" x14ac:dyDescent="0.35">
      <c r="A169" s="13" t="s">
        <v>2583</v>
      </c>
    </row>
    <row r="170" spans="1:1" x14ac:dyDescent="0.35">
      <c r="A170" s="13" t="s">
        <v>2586</v>
      </c>
    </row>
    <row r="171" spans="1:1" x14ac:dyDescent="0.35">
      <c r="A171" s="13" t="s">
        <v>2592</v>
      </c>
    </row>
    <row r="172" spans="1:1" x14ac:dyDescent="0.35">
      <c r="A172" s="13" t="s">
        <v>2595</v>
      </c>
    </row>
    <row r="173" spans="1:1" x14ac:dyDescent="0.35">
      <c r="A173" s="13" t="s">
        <v>2597</v>
      </c>
    </row>
    <row r="174" spans="1:1" x14ac:dyDescent="0.35">
      <c r="A174" s="13" t="s">
        <v>2600</v>
      </c>
    </row>
    <row r="175" spans="1:1" x14ac:dyDescent="0.35">
      <c r="A175" s="13" t="s">
        <v>2607</v>
      </c>
    </row>
    <row r="176" spans="1:1" x14ac:dyDescent="0.35">
      <c r="A176" s="13" t="s">
        <v>2609</v>
      </c>
    </row>
    <row r="177" spans="1:1" x14ac:dyDescent="0.35">
      <c r="A177" s="13" t="s">
        <v>2612</v>
      </c>
    </row>
    <row r="178" spans="1:1" x14ac:dyDescent="0.35">
      <c r="A178" s="13" t="s">
        <v>2618</v>
      </c>
    </row>
    <row r="179" spans="1:1" x14ac:dyDescent="0.35">
      <c r="A179" s="13" t="s">
        <v>2621</v>
      </c>
    </row>
    <row r="180" spans="1:1" x14ac:dyDescent="0.35">
      <c r="A180" s="13" t="s">
        <v>2624</v>
      </c>
    </row>
    <row r="181" spans="1:1" x14ac:dyDescent="0.35">
      <c r="A181" s="13" t="s">
        <v>2570</v>
      </c>
    </row>
    <row r="182" spans="1:1" x14ac:dyDescent="0.35">
      <c r="A182" s="13" t="s">
        <v>2628</v>
      </c>
    </row>
    <row r="183" spans="1:1" x14ac:dyDescent="0.35">
      <c r="A183" s="13" t="s">
        <v>2630</v>
      </c>
    </row>
    <row r="184" spans="1:1" x14ac:dyDescent="0.35">
      <c r="A184" s="13" t="s">
        <v>3134</v>
      </c>
    </row>
    <row r="185" spans="1:1" x14ac:dyDescent="0.35">
      <c r="A185" s="13" t="s">
        <v>2632</v>
      </c>
    </row>
    <row r="186" spans="1:1" x14ac:dyDescent="0.35">
      <c r="A186" s="13" t="s">
        <v>2635</v>
      </c>
    </row>
    <row r="187" spans="1:1" x14ac:dyDescent="0.35">
      <c r="A187" s="13" t="s">
        <v>3145</v>
      </c>
    </row>
    <row r="188" spans="1:1" x14ac:dyDescent="0.35">
      <c r="A188" s="13" t="s">
        <v>2638</v>
      </c>
    </row>
    <row r="189" spans="1:1" x14ac:dyDescent="0.35">
      <c r="A189" s="13" t="s">
        <v>2640</v>
      </c>
    </row>
    <row r="190" spans="1:1" x14ac:dyDescent="0.35">
      <c r="A190" s="13" t="s">
        <v>2643</v>
      </c>
    </row>
    <row r="191" spans="1:1" x14ac:dyDescent="0.35">
      <c r="A191" s="13" t="s">
        <v>2645</v>
      </c>
    </row>
    <row r="192" spans="1:1" x14ac:dyDescent="0.35">
      <c r="A192" s="13" t="s">
        <v>2651</v>
      </c>
    </row>
    <row r="193" spans="1:1" x14ac:dyDescent="0.35">
      <c r="A193" s="13" t="s">
        <v>2657</v>
      </c>
    </row>
    <row r="194" spans="1:1" x14ac:dyDescent="0.35">
      <c r="A194" s="13" t="s">
        <v>2659</v>
      </c>
    </row>
    <row r="195" spans="1:1" x14ac:dyDescent="0.35">
      <c r="A195" s="13" t="s">
        <v>2662</v>
      </c>
    </row>
    <row r="196" spans="1:1" x14ac:dyDescent="0.35">
      <c r="A196" s="13" t="s">
        <v>2616</v>
      </c>
    </row>
    <row r="197" spans="1:1" x14ac:dyDescent="0.35">
      <c r="A197" s="13" t="s">
        <v>2666</v>
      </c>
    </row>
    <row r="198" spans="1:1" x14ac:dyDescent="0.35">
      <c r="A198" s="13" t="s">
        <v>2679</v>
      </c>
    </row>
    <row r="199" spans="1:1" x14ac:dyDescent="0.35">
      <c r="A199" s="13" t="s">
        <v>2682</v>
      </c>
    </row>
    <row r="200" spans="1:1" x14ac:dyDescent="0.35">
      <c r="A200" s="13" t="s">
        <v>2688</v>
      </c>
    </row>
    <row r="201" spans="1:1" x14ac:dyDescent="0.35">
      <c r="A201" s="13" t="s">
        <v>2693</v>
      </c>
    </row>
    <row r="202" spans="1:1" x14ac:dyDescent="0.35">
      <c r="A202" s="13" t="s">
        <v>2696</v>
      </c>
    </row>
    <row r="203" spans="1:1" x14ac:dyDescent="0.35">
      <c r="A203" s="13" t="s">
        <v>2699</v>
      </c>
    </row>
    <row r="204" spans="1:1" x14ac:dyDescent="0.35">
      <c r="A204" s="13" t="s">
        <v>2701</v>
      </c>
    </row>
    <row r="205" spans="1:1" x14ac:dyDescent="0.35">
      <c r="A205" s="13" t="s">
        <v>2703</v>
      </c>
    </row>
    <row r="206" spans="1:1" x14ac:dyDescent="0.35">
      <c r="A206" s="13" t="s">
        <v>2706</v>
      </c>
    </row>
    <row r="207" spans="1:1" x14ac:dyDescent="0.35">
      <c r="A207" s="13" t="s">
        <v>2708</v>
      </c>
    </row>
    <row r="208" spans="1:1" x14ac:dyDescent="0.35">
      <c r="A208" s="13" t="s">
        <v>902</v>
      </c>
    </row>
    <row r="209" spans="1:1" x14ac:dyDescent="0.35">
      <c r="A209" s="13" t="s">
        <v>2712</v>
      </c>
    </row>
    <row r="210" spans="1:1" x14ac:dyDescent="0.35">
      <c r="A210" s="13" t="s">
        <v>2719</v>
      </c>
    </row>
    <row r="211" spans="1:1" x14ac:dyDescent="0.35">
      <c r="A211" s="13" t="s">
        <v>2728</v>
      </c>
    </row>
    <row r="212" spans="1:1" x14ac:dyDescent="0.35">
      <c r="A212" s="13" t="s">
        <v>2734</v>
      </c>
    </row>
    <row r="213" spans="1:1" x14ac:dyDescent="0.35">
      <c r="A213" s="13" t="s">
        <v>2737</v>
      </c>
    </row>
    <row r="214" spans="1:1" x14ac:dyDescent="0.35">
      <c r="A214" s="13" t="s">
        <v>2746</v>
      </c>
    </row>
    <row r="215" spans="1:1" x14ac:dyDescent="0.35">
      <c r="A215" s="13" t="s">
        <v>2748</v>
      </c>
    </row>
    <row r="216" spans="1:1" x14ac:dyDescent="0.35">
      <c r="A216" s="13" t="s">
        <v>2750</v>
      </c>
    </row>
    <row r="217" spans="1:1" x14ac:dyDescent="0.35">
      <c r="A217" s="13" t="s">
        <v>2753</v>
      </c>
    </row>
    <row r="218" spans="1:1" x14ac:dyDescent="0.35">
      <c r="A218" s="13" t="s">
        <v>3135</v>
      </c>
    </row>
    <row r="219" spans="1:1" x14ac:dyDescent="0.35">
      <c r="A219" s="13" t="s">
        <v>2756</v>
      </c>
    </row>
    <row r="220" spans="1:1" x14ac:dyDescent="0.35">
      <c r="A220" s="13" t="s">
        <v>2761</v>
      </c>
    </row>
    <row r="221" spans="1:1" x14ac:dyDescent="0.35">
      <c r="A221" s="13" t="s">
        <v>2769</v>
      </c>
    </row>
    <row r="222" spans="1:1" x14ac:dyDescent="0.35">
      <c r="A222" s="13" t="s">
        <v>2771</v>
      </c>
    </row>
    <row r="223" spans="1:1" x14ac:dyDescent="0.35">
      <c r="A223" s="13" t="s">
        <v>2777</v>
      </c>
    </row>
    <row r="224" spans="1:1" x14ac:dyDescent="0.35">
      <c r="A224" s="13" t="s">
        <v>3157</v>
      </c>
    </row>
    <row r="225" spans="1:1" x14ac:dyDescent="0.35">
      <c r="A225" s="13" t="s">
        <v>2779</v>
      </c>
    </row>
    <row r="226" spans="1:1" x14ac:dyDescent="0.35">
      <c r="A226" s="13" t="s">
        <v>2785</v>
      </c>
    </row>
    <row r="227" spans="1:1" x14ac:dyDescent="0.35">
      <c r="A227" s="13" t="s">
        <v>2786</v>
      </c>
    </row>
    <row r="228" spans="1:1" x14ac:dyDescent="0.35">
      <c r="A228" s="13" t="s">
        <v>2788</v>
      </c>
    </row>
    <row r="229" spans="1:1" x14ac:dyDescent="0.35">
      <c r="A229" s="13" t="s">
        <v>2798</v>
      </c>
    </row>
    <row r="230" spans="1:1" x14ac:dyDescent="0.35">
      <c r="A230" s="13" t="s">
        <v>2805</v>
      </c>
    </row>
    <row r="231" spans="1:1" x14ac:dyDescent="0.35">
      <c r="A231" s="13" t="s">
        <v>2811</v>
      </c>
    </row>
    <row r="232" spans="1:1" x14ac:dyDescent="0.35">
      <c r="A232" s="13" t="s">
        <v>2815</v>
      </c>
    </row>
    <row r="233" spans="1:1" x14ac:dyDescent="0.35">
      <c r="A233" s="13" t="s">
        <v>3136</v>
      </c>
    </row>
    <row r="234" spans="1:1" x14ac:dyDescent="0.35">
      <c r="A234" s="13" t="s">
        <v>3146</v>
      </c>
    </row>
    <row r="235" spans="1:1" x14ac:dyDescent="0.35">
      <c r="A235" s="13" t="s">
        <v>2818</v>
      </c>
    </row>
    <row r="236" spans="1:1" x14ac:dyDescent="0.35">
      <c r="A236" s="13" t="s">
        <v>2823</v>
      </c>
    </row>
    <row r="237" spans="1:1" x14ac:dyDescent="0.35">
      <c r="A237" s="13" t="s">
        <v>2828</v>
      </c>
    </row>
    <row r="238" spans="1:1" x14ac:dyDescent="0.35">
      <c r="A238" s="13" t="s">
        <v>2838</v>
      </c>
    </row>
    <row r="239" spans="1:1" x14ac:dyDescent="0.35">
      <c r="A239" s="13" t="s">
        <v>2842</v>
      </c>
    </row>
    <row r="240" spans="1:1" x14ac:dyDescent="0.35">
      <c r="A240" s="13" t="s">
        <v>2857</v>
      </c>
    </row>
    <row r="241" spans="1:1" x14ac:dyDescent="0.35">
      <c r="A241" s="13" t="s">
        <v>2861</v>
      </c>
    </row>
    <row r="242" spans="1:1" x14ac:dyDescent="0.35">
      <c r="A242" s="13" t="s">
        <v>2863</v>
      </c>
    </row>
    <row r="243" spans="1:1" x14ac:dyDescent="0.35">
      <c r="A243" s="13" t="s">
        <v>2865</v>
      </c>
    </row>
    <row r="244" spans="1:1" x14ac:dyDescent="0.35">
      <c r="A244" s="13" t="s">
        <v>3137</v>
      </c>
    </row>
    <row r="245" spans="1:1" x14ac:dyDescent="0.35">
      <c r="A245" s="13" t="s">
        <v>2868</v>
      </c>
    </row>
    <row r="246" spans="1:1" x14ac:dyDescent="0.35">
      <c r="A246" s="13" t="s">
        <v>2874</v>
      </c>
    </row>
    <row r="247" spans="1:1" x14ac:dyDescent="0.35">
      <c r="A247" s="13" t="s">
        <v>2876</v>
      </c>
    </row>
    <row r="248" spans="1:1" x14ac:dyDescent="0.35">
      <c r="A248" s="13" t="s">
        <v>2877</v>
      </c>
    </row>
    <row r="249" spans="1:1" x14ac:dyDescent="0.35">
      <c r="A249" s="13" t="s">
        <v>2879</v>
      </c>
    </row>
    <row r="250" spans="1:1" x14ac:dyDescent="0.35">
      <c r="A250" s="13" t="s">
        <v>2881</v>
      </c>
    </row>
    <row r="251" spans="1:1" x14ac:dyDescent="0.35">
      <c r="A251" s="13" t="s">
        <v>2885</v>
      </c>
    </row>
    <row r="252" spans="1:1" x14ac:dyDescent="0.35">
      <c r="A252" s="13" t="s">
        <v>3149</v>
      </c>
    </row>
    <row r="253" spans="1:1" x14ac:dyDescent="0.35">
      <c r="A253" s="13" t="s">
        <v>3147</v>
      </c>
    </row>
    <row r="254" spans="1:1" x14ac:dyDescent="0.35">
      <c r="A254" s="13" t="s">
        <v>2893</v>
      </c>
    </row>
    <row r="255" spans="1:1" x14ac:dyDescent="0.35">
      <c r="A255" s="13" t="s">
        <v>2896</v>
      </c>
    </row>
    <row r="256" spans="1:1" x14ac:dyDescent="0.35">
      <c r="A256" s="13" t="s">
        <v>2900</v>
      </c>
    </row>
    <row r="257" spans="1:1" x14ac:dyDescent="0.35">
      <c r="A257" s="13" t="s">
        <v>2904</v>
      </c>
    </row>
    <row r="258" spans="1:1" x14ac:dyDescent="0.35">
      <c r="A258" s="13" t="s">
        <v>2906</v>
      </c>
    </row>
    <row r="259" spans="1:1" x14ac:dyDescent="0.35">
      <c r="A259" s="13" t="s">
        <v>2908</v>
      </c>
    </row>
    <row r="260" spans="1:1" x14ac:dyDescent="0.35">
      <c r="A260" s="13" t="s">
        <v>2910</v>
      </c>
    </row>
    <row r="261" spans="1:1" x14ac:dyDescent="0.35">
      <c r="A261" s="13" t="s">
        <v>2912</v>
      </c>
    </row>
    <row r="262" spans="1:1" x14ac:dyDescent="0.35">
      <c r="A262" s="13" t="s">
        <v>2914</v>
      </c>
    </row>
    <row r="263" spans="1:1" x14ac:dyDescent="0.35">
      <c r="A263" s="13" t="s">
        <v>2919</v>
      </c>
    </row>
    <row r="264" spans="1:1" x14ac:dyDescent="0.35">
      <c r="A264" s="13" t="s">
        <v>2923</v>
      </c>
    </row>
    <row r="265" spans="1:1" x14ac:dyDescent="0.35">
      <c r="A265" s="13" t="s">
        <v>2925</v>
      </c>
    </row>
    <row r="266" spans="1:1" x14ac:dyDescent="0.35">
      <c r="A266" s="13" t="s">
        <v>3138</v>
      </c>
    </row>
    <row r="267" spans="1:1" x14ac:dyDescent="0.35">
      <c r="A267" s="13" t="s">
        <v>538</v>
      </c>
    </row>
    <row r="268" spans="1:1" x14ac:dyDescent="0.35">
      <c r="A268" s="13" t="s">
        <v>2933</v>
      </c>
    </row>
    <row r="269" spans="1:1" x14ac:dyDescent="0.35">
      <c r="A269" s="13" t="s">
        <v>2936</v>
      </c>
    </row>
    <row r="270" spans="1:1" x14ac:dyDescent="0.35">
      <c r="A270" s="13" t="s">
        <v>2938</v>
      </c>
    </row>
    <row r="271" spans="1:1" x14ac:dyDescent="0.35">
      <c r="A271" s="13" t="s">
        <v>2940</v>
      </c>
    </row>
    <row r="272" spans="1:1" x14ac:dyDescent="0.35">
      <c r="A272" s="13" t="s">
        <v>2942</v>
      </c>
    </row>
    <row r="273" spans="1:1" x14ac:dyDescent="0.35">
      <c r="A273" s="13" t="s">
        <v>2944</v>
      </c>
    </row>
    <row r="274" spans="1:1" x14ac:dyDescent="0.35">
      <c r="A274" s="13" t="s">
        <v>2949</v>
      </c>
    </row>
    <row r="275" spans="1:1" x14ac:dyDescent="0.35">
      <c r="A275" s="13" t="s">
        <v>2954</v>
      </c>
    </row>
    <row r="276" spans="1:1" x14ac:dyDescent="0.35">
      <c r="A276" s="13" t="s">
        <v>2957</v>
      </c>
    </row>
    <row r="277" spans="1:1" x14ac:dyDescent="0.35">
      <c r="A277" s="13" t="s">
        <v>2962</v>
      </c>
    </row>
    <row r="278" spans="1:1" x14ac:dyDescent="0.35">
      <c r="A278" s="13" t="s">
        <v>2965</v>
      </c>
    </row>
    <row r="279" spans="1:1" x14ac:dyDescent="0.35">
      <c r="A279" s="13" t="s">
        <v>2966</v>
      </c>
    </row>
    <row r="280" spans="1:1" x14ac:dyDescent="0.35">
      <c r="A280" s="13" t="s">
        <v>2968</v>
      </c>
    </row>
    <row r="281" spans="1:1" x14ac:dyDescent="0.35">
      <c r="A281" s="13" t="s">
        <v>3139</v>
      </c>
    </row>
    <row r="282" spans="1:1" x14ac:dyDescent="0.35">
      <c r="A282" s="13" t="s">
        <v>2971</v>
      </c>
    </row>
    <row r="283" spans="1:1" x14ac:dyDescent="0.35">
      <c r="A283" s="13" t="s">
        <v>2978</v>
      </c>
    </row>
    <row r="284" spans="1:1" x14ac:dyDescent="0.35">
      <c r="A284" s="13" t="s">
        <v>2980</v>
      </c>
    </row>
    <row r="285" spans="1:1" x14ac:dyDescent="0.35">
      <c r="A285" s="13" t="s">
        <v>2982</v>
      </c>
    </row>
    <row r="286" spans="1:1" x14ac:dyDescent="0.35">
      <c r="A286" s="13" t="s">
        <v>2985</v>
      </c>
    </row>
    <row r="287" spans="1:1" x14ac:dyDescent="0.35">
      <c r="A287" s="13" t="s">
        <v>2987</v>
      </c>
    </row>
    <row r="288" spans="1:1" x14ac:dyDescent="0.35">
      <c r="A288" s="13" t="s">
        <v>2989</v>
      </c>
    </row>
    <row r="289" spans="1:1" x14ac:dyDescent="0.35">
      <c r="A289" s="13" t="s">
        <v>2991</v>
      </c>
    </row>
    <row r="290" spans="1:1" x14ac:dyDescent="0.35">
      <c r="A290" s="13" t="s">
        <v>3011</v>
      </c>
    </row>
    <row r="291" spans="1:1" x14ac:dyDescent="0.35">
      <c r="A291" s="13" t="s">
        <v>3013</v>
      </c>
    </row>
    <row r="292" spans="1:1" x14ac:dyDescent="0.35">
      <c r="A292" s="13" t="s">
        <v>3016</v>
      </c>
    </row>
    <row r="293" spans="1:1" x14ac:dyDescent="0.35">
      <c r="A293" s="13" t="s">
        <v>3021</v>
      </c>
    </row>
    <row r="294" spans="1:1" x14ac:dyDescent="0.35">
      <c r="A294" s="13" t="s">
        <v>3023</v>
      </c>
    </row>
    <row r="295" spans="1:1" x14ac:dyDescent="0.35">
      <c r="A295" s="13" t="s">
        <v>3027</v>
      </c>
    </row>
    <row r="296" spans="1:1" x14ac:dyDescent="0.35">
      <c r="A296" s="13" t="s">
        <v>3030</v>
      </c>
    </row>
    <row r="297" spans="1:1" x14ac:dyDescent="0.35">
      <c r="A297" s="13" t="s">
        <v>3033</v>
      </c>
    </row>
    <row r="298" spans="1:1" x14ac:dyDescent="0.35">
      <c r="A298" s="13" t="s">
        <v>3034</v>
      </c>
    </row>
    <row r="299" spans="1:1" x14ac:dyDescent="0.35">
      <c r="A299" s="13" t="s">
        <v>3042</v>
      </c>
    </row>
    <row r="300" spans="1:1" x14ac:dyDescent="0.35">
      <c r="A300" s="13" t="s">
        <v>3047</v>
      </c>
    </row>
    <row r="301" spans="1:1" x14ac:dyDescent="0.35">
      <c r="A301" s="13" t="s">
        <v>3050</v>
      </c>
    </row>
    <row r="302" spans="1:1" x14ac:dyDescent="0.35">
      <c r="A302" s="13" t="s">
        <v>3052</v>
      </c>
    </row>
    <row r="303" spans="1:1" x14ac:dyDescent="0.35">
      <c r="A303" s="13" t="s">
        <v>3054</v>
      </c>
    </row>
    <row r="304" spans="1:1" x14ac:dyDescent="0.35">
      <c r="A304" s="13" t="s">
        <v>3056</v>
      </c>
    </row>
    <row r="305" spans="1:1" x14ac:dyDescent="0.35">
      <c r="A305" s="13" t="s">
        <v>3062</v>
      </c>
    </row>
    <row r="306" spans="1:1" x14ac:dyDescent="0.35">
      <c r="A306" s="13" t="s">
        <v>3070</v>
      </c>
    </row>
    <row r="307" spans="1:1" x14ac:dyDescent="0.35">
      <c r="A307" s="13" t="s">
        <v>3072</v>
      </c>
    </row>
    <row r="308" spans="1:1" x14ac:dyDescent="0.35">
      <c r="A308" s="13" t="s">
        <v>3078</v>
      </c>
    </row>
    <row r="309" spans="1:1" x14ac:dyDescent="0.35">
      <c r="A309" s="13" t="s">
        <v>3081</v>
      </c>
    </row>
    <row r="310" spans="1:1" x14ac:dyDescent="0.35">
      <c r="A310" s="13" t="s">
        <v>3083</v>
      </c>
    </row>
    <row r="311" spans="1:1" x14ac:dyDescent="0.35">
      <c r="A311" s="13" t="s">
        <v>3086</v>
      </c>
    </row>
    <row r="312" spans="1:1" x14ac:dyDescent="0.35">
      <c r="A312" s="13" t="s">
        <v>3089</v>
      </c>
    </row>
    <row r="313" spans="1:1" x14ac:dyDescent="0.35">
      <c r="A313" s="13" t="s">
        <v>3092</v>
      </c>
    </row>
    <row r="314" spans="1:1" x14ac:dyDescent="0.35">
      <c r="A314" s="13" t="s">
        <v>3102</v>
      </c>
    </row>
    <row r="315" spans="1:1" x14ac:dyDescent="0.35">
      <c r="A315" s="13" t="s">
        <v>3109</v>
      </c>
    </row>
    <row r="316" spans="1:1" x14ac:dyDescent="0.35">
      <c r="A316" s="13" t="s">
        <v>3111</v>
      </c>
    </row>
    <row r="317" spans="1:1" x14ac:dyDescent="0.35">
      <c r="A317" s="13" t="s">
        <v>3117</v>
      </c>
    </row>
    <row r="318" spans="1:1" x14ac:dyDescent="0.35">
      <c r="A318" s="13" t="s">
        <v>3122</v>
      </c>
    </row>
    <row r="319" spans="1:1" x14ac:dyDescent="0.35">
      <c r="A319" s="13" t="s">
        <v>3128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5166-2DA0-48CB-B156-1BC0D110712D}">
  <dimension ref="A1:A415"/>
  <sheetViews>
    <sheetView topLeftCell="A188" zoomScale="79" workbookViewId="0">
      <selection sqref="A1:A1048576"/>
    </sheetView>
  </sheetViews>
  <sheetFormatPr baseColWidth="10" defaultRowHeight="14.5" x14ac:dyDescent="0.35"/>
  <cols>
    <col min="1" max="1" width="90" bestFit="1" customWidth="1"/>
  </cols>
  <sheetData>
    <row r="1" spans="1:1" x14ac:dyDescent="0.35">
      <c r="A1" s="12" t="s">
        <v>3161</v>
      </c>
    </row>
    <row r="2" spans="1:1" x14ac:dyDescent="0.35">
      <c r="A2" s="13" t="s">
        <v>440</v>
      </c>
    </row>
    <row r="3" spans="1:1" x14ac:dyDescent="0.35">
      <c r="A3" s="13" t="s">
        <v>1353</v>
      </c>
    </row>
    <row r="4" spans="1:1" x14ac:dyDescent="0.35">
      <c r="A4" s="13" t="s">
        <v>1062</v>
      </c>
    </row>
    <row r="5" spans="1:1" x14ac:dyDescent="0.35">
      <c r="A5" s="13" t="s">
        <v>889</v>
      </c>
    </row>
    <row r="6" spans="1:1" x14ac:dyDescent="0.35">
      <c r="A6" s="13" t="s">
        <v>667</v>
      </c>
    </row>
    <row r="7" spans="1:1" x14ac:dyDescent="0.35">
      <c r="A7" s="13" t="s">
        <v>804</v>
      </c>
    </row>
    <row r="8" spans="1:1" x14ac:dyDescent="0.35">
      <c r="A8" s="13" t="s">
        <v>1512</v>
      </c>
    </row>
    <row r="9" spans="1:1" x14ac:dyDescent="0.35">
      <c r="A9" s="13" t="s">
        <v>1276</v>
      </c>
    </row>
    <row r="10" spans="1:1" x14ac:dyDescent="0.35">
      <c r="A10" s="13" t="s">
        <v>1555</v>
      </c>
    </row>
    <row r="11" spans="1:1" x14ac:dyDescent="0.35">
      <c r="A11" s="13" t="s">
        <v>816</v>
      </c>
    </row>
    <row r="12" spans="1:1" x14ac:dyDescent="0.35">
      <c r="A12" s="13" t="s">
        <v>1528</v>
      </c>
    </row>
    <row r="13" spans="1:1" x14ac:dyDescent="0.35">
      <c r="A13" s="13" t="s">
        <v>293</v>
      </c>
    </row>
    <row r="14" spans="1:1" x14ac:dyDescent="0.35">
      <c r="A14" s="13" t="s">
        <v>1117</v>
      </c>
    </row>
    <row r="15" spans="1:1" x14ac:dyDescent="0.35">
      <c r="A15" s="13" t="s">
        <v>1504</v>
      </c>
    </row>
    <row r="16" spans="1:1" x14ac:dyDescent="0.35">
      <c r="A16" s="13" t="s">
        <v>417</v>
      </c>
    </row>
    <row r="17" spans="1:1" x14ac:dyDescent="0.35">
      <c r="A17" s="13" t="s">
        <v>1791</v>
      </c>
    </row>
    <row r="18" spans="1:1" x14ac:dyDescent="0.35">
      <c r="A18" s="13" t="s">
        <v>335</v>
      </c>
    </row>
    <row r="19" spans="1:1" x14ac:dyDescent="0.35">
      <c r="A19" s="13" t="s">
        <v>1532</v>
      </c>
    </row>
    <row r="20" spans="1:1" x14ac:dyDescent="0.35">
      <c r="A20" s="13" t="s">
        <v>967</v>
      </c>
    </row>
    <row r="21" spans="1:1" x14ac:dyDescent="0.35">
      <c r="A21" s="13" t="s">
        <v>365</v>
      </c>
    </row>
    <row r="22" spans="1:1" x14ac:dyDescent="0.35">
      <c r="A22" s="13" t="s">
        <v>1123</v>
      </c>
    </row>
    <row r="23" spans="1:1" x14ac:dyDescent="0.35">
      <c r="A23" s="13" t="s">
        <v>762</v>
      </c>
    </row>
    <row r="24" spans="1:1" x14ac:dyDescent="0.35">
      <c r="A24" s="13" t="s">
        <v>1608</v>
      </c>
    </row>
    <row r="25" spans="1:1" x14ac:dyDescent="0.35">
      <c r="A25" s="13" t="s">
        <v>739</v>
      </c>
    </row>
    <row r="26" spans="1:1" x14ac:dyDescent="0.35">
      <c r="A26" s="13" t="s">
        <v>1169</v>
      </c>
    </row>
    <row r="27" spans="1:1" x14ac:dyDescent="0.35">
      <c r="A27" s="13" t="s">
        <v>1039</v>
      </c>
    </row>
    <row r="28" spans="1:1" x14ac:dyDescent="0.35">
      <c r="A28" s="13" t="s">
        <v>1161</v>
      </c>
    </row>
    <row r="29" spans="1:1" x14ac:dyDescent="0.35">
      <c r="A29" s="13" t="s">
        <v>625</v>
      </c>
    </row>
    <row r="30" spans="1:1" x14ac:dyDescent="0.35">
      <c r="A30" s="13" t="s">
        <v>1195</v>
      </c>
    </row>
    <row r="31" spans="1:1" x14ac:dyDescent="0.35">
      <c r="A31" s="13" t="s">
        <v>1326</v>
      </c>
    </row>
    <row r="32" spans="1:1" x14ac:dyDescent="0.35">
      <c r="A32" s="13" t="s">
        <v>799</v>
      </c>
    </row>
    <row r="33" spans="1:1" x14ac:dyDescent="0.35">
      <c r="A33" s="13" t="s">
        <v>526</v>
      </c>
    </row>
    <row r="34" spans="1:1" x14ac:dyDescent="0.35">
      <c r="A34" s="13" t="s">
        <v>878</v>
      </c>
    </row>
    <row r="35" spans="1:1" x14ac:dyDescent="0.35">
      <c r="A35" s="13" t="s">
        <v>588</v>
      </c>
    </row>
    <row r="36" spans="1:1" x14ac:dyDescent="0.35">
      <c r="A36" s="13" t="s">
        <v>1413</v>
      </c>
    </row>
    <row r="37" spans="1:1" x14ac:dyDescent="0.35">
      <c r="A37" s="13" t="s">
        <v>448</v>
      </c>
    </row>
    <row r="38" spans="1:1" x14ac:dyDescent="0.35">
      <c r="A38" s="13" t="s">
        <v>425</v>
      </c>
    </row>
    <row r="39" spans="1:1" x14ac:dyDescent="0.35">
      <c r="A39" s="13" t="s">
        <v>1360</v>
      </c>
    </row>
    <row r="40" spans="1:1" x14ac:dyDescent="0.35">
      <c r="A40" s="13" t="s">
        <v>499</v>
      </c>
    </row>
    <row r="41" spans="1:1" x14ac:dyDescent="0.35">
      <c r="A41" s="13" t="s">
        <v>614</v>
      </c>
    </row>
    <row r="42" spans="1:1" x14ac:dyDescent="0.35">
      <c r="A42" s="13" t="s">
        <v>1552</v>
      </c>
    </row>
    <row r="43" spans="1:1" x14ac:dyDescent="0.35">
      <c r="A43" s="13" t="s">
        <v>298</v>
      </c>
    </row>
    <row r="44" spans="1:1" x14ac:dyDescent="0.35">
      <c r="A44" s="13" t="s">
        <v>708</v>
      </c>
    </row>
    <row r="45" spans="1:1" x14ac:dyDescent="0.35">
      <c r="A45" s="13" t="s">
        <v>1644</v>
      </c>
    </row>
    <row r="46" spans="1:1" x14ac:dyDescent="0.35">
      <c r="A46" s="13" t="s">
        <v>755</v>
      </c>
    </row>
    <row r="47" spans="1:1" x14ac:dyDescent="0.35">
      <c r="A47" s="13" t="s">
        <v>381</v>
      </c>
    </row>
    <row r="48" spans="1:1" x14ac:dyDescent="0.35">
      <c r="A48" s="13" t="s">
        <v>617</v>
      </c>
    </row>
    <row r="49" spans="1:1" x14ac:dyDescent="0.35">
      <c r="A49" s="13" t="s">
        <v>542</v>
      </c>
    </row>
    <row r="50" spans="1:1" x14ac:dyDescent="0.35">
      <c r="A50" s="13" t="s">
        <v>981</v>
      </c>
    </row>
    <row r="51" spans="1:1" x14ac:dyDescent="0.35">
      <c r="A51" s="13" t="s">
        <v>1366</v>
      </c>
    </row>
    <row r="52" spans="1:1" x14ac:dyDescent="0.35">
      <c r="A52" s="13" t="s">
        <v>1010</v>
      </c>
    </row>
    <row r="53" spans="1:1" x14ac:dyDescent="0.35">
      <c r="A53" s="13" t="s">
        <v>492</v>
      </c>
    </row>
    <row r="54" spans="1:1" x14ac:dyDescent="0.35">
      <c r="A54" s="13" t="s">
        <v>818</v>
      </c>
    </row>
    <row r="55" spans="1:1" x14ac:dyDescent="0.35">
      <c r="A55" s="13" t="s">
        <v>265</v>
      </c>
    </row>
    <row r="56" spans="1:1" x14ac:dyDescent="0.35">
      <c r="A56" s="13" t="s">
        <v>340</v>
      </c>
    </row>
    <row r="57" spans="1:1" x14ac:dyDescent="0.35">
      <c r="A57" s="13" t="s">
        <v>553</v>
      </c>
    </row>
    <row r="58" spans="1:1" x14ac:dyDescent="0.35">
      <c r="A58" s="13" t="s">
        <v>129</v>
      </c>
    </row>
    <row r="59" spans="1:1" x14ac:dyDescent="0.35">
      <c r="A59" s="13" t="s">
        <v>737</v>
      </c>
    </row>
    <row r="60" spans="1:1" x14ac:dyDescent="0.35">
      <c r="A60" s="13" t="s">
        <v>194</v>
      </c>
    </row>
    <row r="61" spans="1:1" x14ac:dyDescent="0.35">
      <c r="A61" s="13" t="s">
        <v>1747</v>
      </c>
    </row>
    <row r="62" spans="1:1" x14ac:dyDescent="0.35">
      <c r="A62" s="13" t="s">
        <v>1438</v>
      </c>
    </row>
    <row r="63" spans="1:1" x14ac:dyDescent="0.35">
      <c r="A63" s="13" t="s">
        <v>1734</v>
      </c>
    </row>
    <row r="64" spans="1:1" x14ac:dyDescent="0.35">
      <c r="A64" s="13" t="s">
        <v>671</v>
      </c>
    </row>
    <row r="65" spans="1:1" x14ac:dyDescent="0.35">
      <c r="A65" s="13" t="s">
        <v>1612</v>
      </c>
    </row>
    <row r="66" spans="1:1" x14ac:dyDescent="0.35">
      <c r="A66" s="13" t="s">
        <v>1539</v>
      </c>
    </row>
    <row r="67" spans="1:1" x14ac:dyDescent="0.35">
      <c r="A67" s="13" t="s">
        <v>1462</v>
      </c>
    </row>
    <row r="68" spans="1:1" x14ac:dyDescent="0.35">
      <c r="A68" s="13" t="s">
        <v>677</v>
      </c>
    </row>
    <row r="69" spans="1:1" x14ac:dyDescent="0.35">
      <c r="A69" s="13" t="s">
        <v>701</v>
      </c>
    </row>
    <row r="70" spans="1:1" x14ac:dyDescent="0.35">
      <c r="A70" s="13" t="s">
        <v>560</v>
      </c>
    </row>
    <row r="71" spans="1:1" x14ac:dyDescent="0.35">
      <c r="A71" s="13" t="s">
        <v>1095</v>
      </c>
    </row>
    <row r="72" spans="1:1" x14ac:dyDescent="0.35">
      <c r="A72" s="13" t="s">
        <v>78</v>
      </c>
    </row>
    <row r="73" spans="1:1" x14ac:dyDescent="0.35">
      <c r="A73" s="13" t="s">
        <v>1549</v>
      </c>
    </row>
    <row r="74" spans="1:1" x14ac:dyDescent="0.35">
      <c r="A74" s="13" t="s">
        <v>1770</v>
      </c>
    </row>
    <row r="75" spans="1:1" x14ac:dyDescent="0.35">
      <c r="A75" s="13" t="s">
        <v>1569</v>
      </c>
    </row>
    <row r="76" spans="1:1" x14ac:dyDescent="0.35">
      <c r="A76" s="13" t="s">
        <v>1710</v>
      </c>
    </row>
    <row r="77" spans="1:1" x14ac:dyDescent="0.35">
      <c r="A77" s="13" t="s">
        <v>1660</v>
      </c>
    </row>
    <row r="78" spans="1:1" x14ac:dyDescent="0.35">
      <c r="A78" s="13" t="s">
        <v>1572</v>
      </c>
    </row>
    <row r="79" spans="1:1" x14ac:dyDescent="0.35">
      <c r="A79" s="13" t="s">
        <v>1330</v>
      </c>
    </row>
    <row r="80" spans="1:1" x14ac:dyDescent="0.35">
      <c r="A80" s="13" t="s">
        <v>1563</v>
      </c>
    </row>
    <row r="81" spans="1:1" x14ac:dyDescent="0.35">
      <c r="A81" s="13" t="s">
        <v>14</v>
      </c>
    </row>
    <row r="82" spans="1:1" x14ac:dyDescent="0.35">
      <c r="A82" s="13" t="s">
        <v>435</v>
      </c>
    </row>
    <row r="83" spans="1:1" x14ac:dyDescent="0.35">
      <c r="A83" s="13" t="s">
        <v>47</v>
      </c>
    </row>
    <row r="84" spans="1:1" x14ac:dyDescent="0.35">
      <c r="A84" s="13" t="s">
        <v>54</v>
      </c>
    </row>
    <row r="85" spans="1:1" x14ac:dyDescent="0.35">
      <c r="A85" s="13" t="s">
        <v>1641</v>
      </c>
    </row>
    <row r="86" spans="1:1" x14ac:dyDescent="0.35">
      <c r="A86" s="13" t="s">
        <v>858</v>
      </c>
    </row>
    <row r="87" spans="1:1" x14ac:dyDescent="0.35">
      <c r="A87" s="13" t="s">
        <v>1006</v>
      </c>
    </row>
    <row r="88" spans="1:1" x14ac:dyDescent="0.35">
      <c r="A88" s="13" t="s">
        <v>189</v>
      </c>
    </row>
    <row r="89" spans="1:1" x14ac:dyDescent="0.35">
      <c r="A89" s="13" t="s">
        <v>1761</v>
      </c>
    </row>
    <row r="90" spans="1:1" x14ac:dyDescent="0.35">
      <c r="A90" s="13" t="s">
        <v>284</v>
      </c>
    </row>
    <row r="91" spans="1:1" x14ac:dyDescent="0.35">
      <c r="A91" s="13" t="s">
        <v>1148</v>
      </c>
    </row>
    <row r="92" spans="1:1" x14ac:dyDescent="0.35">
      <c r="A92" s="13" t="s">
        <v>1674</v>
      </c>
    </row>
    <row r="93" spans="1:1" x14ac:dyDescent="0.35">
      <c r="A93" s="13" t="s">
        <v>1217</v>
      </c>
    </row>
    <row r="94" spans="1:1" x14ac:dyDescent="0.35">
      <c r="A94" s="13" t="s">
        <v>572</v>
      </c>
    </row>
    <row r="95" spans="1:1" x14ac:dyDescent="0.35">
      <c r="A95" s="13" t="s">
        <v>1729</v>
      </c>
    </row>
    <row r="96" spans="1:1" x14ac:dyDescent="0.35">
      <c r="A96" s="13" t="s">
        <v>122</v>
      </c>
    </row>
    <row r="97" spans="1:1" x14ac:dyDescent="0.35">
      <c r="A97" s="13" t="s">
        <v>1508</v>
      </c>
    </row>
    <row r="98" spans="1:1" x14ac:dyDescent="0.35">
      <c r="A98" s="13" t="s">
        <v>1603</v>
      </c>
    </row>
    <row r="99" spans="1:1" x14ac:dyDescent="0.35">
      <c r="A99" s="13" t="s">
        <v>1677</v>
      </c>
    </row>
    <row r="100" spans="1:1" x14ac:dyDescent="0.35">
      <c r="A100" s="13" t="s">
        <v>1343</v>
      </c>
    </row>
    <row r="101" spans="1:1" x14ac:dyDescent="0.35">
      <c r="A101" s="13" t="s">
        <v>1713</v>
      </c>
    </row>
    <row r="102" spans="1:1" x14ac:dyDescent="0.35">
      <c r="A102" s="13" t="s">
        <v>1723</v>
      </c>
    </row>
    <row r="103" spans="1:1" x14ac:dyDescent="0.35">
      <c r="A103" s="13" t="s">
        <v>1273</v>
      </c>
    </row>
    <row r="104" spans="1:1" x14ac:dyDescent="0.35">
      <c r="A104" s="13" t="s">
        <v>771</v>
      </c>
    </row>
    <row r="105" spans="1:1" x14ac:dyDescent="0.35">
      <c r="A105" s="13" t="s">
        <v>153</v>
      </c>
    </row>
    <row r="106" spans="1:1" x14ac:dyDescent="0.35">
      <c r="A106" s="13" t="s">
        <v>683</v>
      </c>
    </row>
    <row r="107" spans="1:1" x14ac:dyDescent="0.35">
      <c r="A107" s="13" t="s">
        <v>1150</v>
      </c>
    </row>
    <row r="108" spans="1:1" x14ac:dyDescent="0.35">
      <c r="A108" s="13" t="s">
        <v>1515</v>
      </c>
    </row>
    <row r="109" spans="1:1" x14ac:dyDescent="0.35">
      <c r="A109" s="13" t="s">
        <v>883</v>
      </c>
    </row>
    <row r="110" spans="1:1" x14ac:dyDescent="0.35">
      <c r="A110" s="13" t="s">
        <v>1047</v>
      </c>
    </row>
    <row r="111" spans="1:1" x14ac:dyDescent="0.35">
      <c r="A111" s="13" t="s">
        <v>632</v>
      </c>
    </row>
    <row r="112" spans="1:1" x14ac:dyDescent="0.35">
      <c r="A112" s="13" t="s">
        <v>495</v>
      </c>
    </row>
    <row r="113" spans="1:1" x14ac:dyDescent="0.35">
      <c r="A113" s="13" t="s">
        <v>1558</v>
      </c>
    </row>
    <row r="114" spans="1:1" x14ac:dyDescent="0.35">
      <c r="A114" s="13" t="s">
        <v>578</v>
      </c>
    </row>
    <row r="115" spans="1:1" x14ac:dyDescent="0.35">
      <c r="A115" s="13" t="s">
        <v>1481</v>
      </c>
    </row>
    <row r="116" spans="1:1" x14ac:dyDescent="0.35">
      <c r="A116" s="13" t="s">
        <v>793</v>
      </c>
    </row>
    <row r="117" spans="1:1" x14ac:dyDescent="0.35">
      <c r="A117" s="13" t="s">
        <v>647</v>
      </c>
    </row>
    <row r="118" spans="1:1" x14ac:dyDescent="0.35">
      <c r="A118" s="13" t="s">
        <v>1099</v>
      </c>
    </row>
    <row r="119" spans="1:1" x14ac:dyDescent="0.35">
      <c r="A119" s="13" t="s">
        <v>731</v>
      </c>
    </row>
    <row r="120" spans="1:1" x14ac:dyDescent="0.35">
      <c r="A120" s="13" t="s">
        <v>1448</v>
      </c>
    </row>
    <row r="121" spans="1:1" x14ac:dyDescent="0.35">
      <c r="A121" s="13" t="s">
        <v>1459</v>
      </c>
    </row>
    <row r="122" spans="1:1" x14ac:dyDescent="0.35">
      <c r="A122" s="13" t="s">
        <v>852</v>
      </c>
    </row>
    <row r="123" spans="1:1" x14ac:dyDescent="0.35">
      <c r="A123" s="13" t="s">
        <v>1668</v>
      </c>
    </row>
    <row r="124" spans="1:1" x14ac:dyDescent="0.35">
      <c r="A124" s="13" t="s">
        <v>26</v>
      </c>
    </row>
    <row r="125" spans="1:1" x14ac:dyDescent="0.35">
      <c r="A125" s="13" t="s">
        <v>1665</v>
      </c>
    </row>
    <row r="126" spans="1:1" x14ac:dyDescent="0.35">
      <c r="A126" s="13" t="s">
        <v>1489</v>
      </c>
    </row>
    <row r="127" spans="1:1" x14ac:dyDescent="0.35">
      <c r="A127" s="13" t="s">
        <v>1445</v>
      </c>
    </row>
    <row r="128" spans="1:1" x14ac:dyDescent="0.35">
      <c r="A128" s="13" t="s">
        <v>1487</v>
      </c>
    </row>
    <row r="129" spans="1:1" x14ac:dyDescent="0.35">
      <c r="A129" s="13" t="s">
        <v>394</v>
      </c>
    </row>
    <row r="130" spans="1:1" x14ac:dyDescent="0.35">
      <c r="A130" s="13" t="s">
        <v>325</v>
      </c>
    </row>
    <row r="131" spans="1:1" x14ac:dyDescent="0.35">
      <c r="A131" s="13" t="s">
        <v>723</v>
      </c>
    </row>
    <row r="132" spans="1:1" x14ac:dyDescent="0.35">
      <c r="A132" s="13" t="s">
        <v>1251</v>
      </c>
    </row>
    <row r="133" spans="1:1" x14ac:dyDescent="0.35">
      <c r="A133" s="13" t="s">
        <v>147</v>
      </c>
    </row>
    <row r="134" spans="1:1" x14ac:dyDescent="0.35">
      <c r="A134" s="13" t="s">
        <v>845</v>
      </c>
    </row>
    <row r="135" spans="1:1" x14ac:dyDescent="0.35">
      <c r="A135" s="13" t="s">
        <v>760</v>
      </c>
    </row>
    <row r="136" spans="1:1" x14ac:dyDescent="0.35">
      <c r="A136" s="13" t="s">
        <v>1466</v>
      </c>
    </row>
    <row r="137" spans="1:1" x14ac:dyDescent="0.35">
      <c r="A137" s="13" t="s">
        <v>601</v>
      </c>
    </row>
    <row r="138" spans="1:1" x14ac:dyDescent="0.35">
      <c r="A138" s="13" t="s">
        <v>432</v>
      </c>
    </row>
    <row r="139" spans="1:1" x14ac:dyDescent="0.35">
      <c r="A139" s="13" t="s">
        <v>751</v>
      </c>
    </row>
    <row r="140" spans="1:1" x14ac:dyDescent="0.35">
      <c r="A140" s="13" t="s">
        <v>1130</v>
      </c>
    </row>
    <row r="141" spans="1:1" x14ac:dyDescent="0.35">
      <c r="A141" s="13" t="s">
        <v>408</v>
      </c>
    </row>
    <row r="142" spans="1:1" x14ac:dyDescent="0.35">
      <c r="A142" s="13" t="s">
        <v>1236</v>
      </c>
    </row>
    <row r="143" spans="1:1" x14ac:dyDescent="0.35">
      <c r="A143" s="13" t="s">
        <v>268</v>
      </c>
    </row>
    <row r="144" spans="1:1" x14ac:dyDescent="0.35">
      <c r="A144" s="13" t="s">
        <v>984</v>
      </c>
    </row>
    <row r="145" spans="1:1" x14ac:dyDescent="0.35">
      <c r="A145" s="13" t="s">
        <v>1051</v>
      </c>
    </row>
    <row r="146" spans="1:1" x14ac:dyDescent="0.35">
      <c r="A146" s="13" t="s">
        <v>975</v>
      </c>
    </row>
    <row r="147" spans="1:1" x14ac:dyDescent="0.35">
      <c r="A147" s="13" t="s">
        <v>346</v>
      </c>
    </row>
    <row r="148" spans="1:1" x14ac:dyDescent="0.35">
      <c r="A148" s="13" t="s">
        <v>421</v>
      </c>
    </row>
    <row r="149" spans="1:1" x14ac:dyDescent="0.35">
      <c r="A149" s="13" t="s">
        <v>354</v>
      </c>
    </row>
    <row r="150" spans="1:1" x14ac:dyDescent="0.35">
      <c r="A150" s="13" t="s">
        <v>1685</v>
      </c>
    </row>
    <row r="151" spans="1:1" x14ac:dyDescent="0.35">
      <c r="A151" s="13" t="s">
        <v>1758</v>
      </c>
    </row>
    <row r="152" spans="1:1" x14ac:dyDescent="0.35">
      <c r="A152" s="13" t="s">
        <v>1226</v>
      </c>
    </row>
    <row r="153" spans="1:1" x14ac:dyDescent="0.35">
      <c r="A153" s="13" t="s">
        <v>1154</v>
      </c>
    </row>
    <row r="154" spans="1:1" x14ac:dyDescent="0.35">
      <c r="A154" s="13" t="s">
        <v>563</v>
      </c>
    </row>
    <row r="155" spans="1:1" x14ac:dyDescent="0.35">
      <c r="A155" s="13" t="s">
        <v>59</v>
      </c>
    </row>
    <row r="156" spans="1:1" x14ac:dyDescent="0.35">
      <c r="A156" s="13" t="s">
        <v>51</v>
      </c>
    </row>
    <row r="157" spans="1:1" x14ac:dyDescent="0.35">
      <c r="A157" s="13" t="s">
        <v>842</v>
      </c>
    </row>
    <row r="158" spans="1:1" x14ac:dyDescent="0.35">
      <c r="A158" s="13" t="s">
        <v>581</v>
      </c>
    </row>
    <row r="159" spans="1:1" x14ac:dyDescent="0.35">
      <c r="A159" s="13" t="s">
        <v>1205</v>
      </c>
    </row>
    <row r="160" spans="1:1" x14ac:dyDescent="0.35">
      <c r="A160" s="13" t="s">
        <v>795</v>
      </c>
    </row>
    <row r="161" spans="1:1" x14ac:dyDescent="0.35">
      <c r="A161" s="13" t="s">
        <v>654</v>
      </c>
    </row>
    <row r="162" spans="1:1" x14ac:dyDescent="0.35">
      <c r="A162" s="13" t="s">
        <v>894</v>
      </c>
    </row>
    <row r="163" spans="1:1" x14ac:dyDescent="0.35">
      <c r="A163" s="13" t="s">
        <v>1391</v>
      </c>
    </row>
    <row r="164" spans="1:1" x14ac:dyDescent="0.35">
      <c r="A164" s="13" t="s">
        <v>174</v>
      </c>
    </row>
    <row r="165" spans="1:1" x14ac:dyDescent="0.35">
      <c r="A165" s="13" t="s">
        <v>992</v>
      </c>
    </row>
    <row r="166" spans="1:1" x14ac:dyDescent="0.35">
      <c r="A166" s="13" t="s">
        <v>1193</v>
      </c>
    </row>
    <row r="167" spans="1:1" x14ac:dyDescent="0.35">
      <c r="A167" s="13" t="s">
        <v>1779</v>
      </c>
    </row>
    <row r="168" spans="1:1" x14ac:dyDescent="0.35">
      <c r="A168" s="13" t="s">
        <v>1120</v>
      </c>
    </row>
    <row r="169" spans="1:1" x14ac:dyDescent="0.35">
      <c r="A169" s="13" t="s">
        <v>802</v>
      </c>
    </row>
    <row r="170" spans="1:1" x14ac:dyDescent="0.35">
      <c r="A170" s="13" t="s">
        <v>1036</v>
      </c>
    </row>
    <row r="171" spans="1:1" x14ac:dyDescent="0.35">
      <c r="A171" s="13" t="s">
        <v>510</v>
      </c>
    </row>
    <row r="172" spans="1:1" x14ac:dyDescent="0.35">
      <c r="A172" s="13" t="s">
        <v>1133</v>
      </c>
    </row>
    <row r="173" spans="1:1" x14ac:dyDescent="0.35">
      <c r="A173" s="13" t="s">
        <v>1492</v>
      </c>
    </row>
    <row r="174" spans="1:1" x14ac:dyDescent="0.35">
      <c r="A174" s="13" t="s">
        <v>820</v>
      </c>
    </row>
    <row r="175" spans="1:1" x14ac:dyDescent="0.35">
      <c r="A175" s="13" t="s">
        <v>1566</v>
      </c>
    </row>
    <row r="176" spans="1:1" x14ac:dyDescent="0.35">
      <c r="A176" s="13" t="s">
        <v>1214</v>
      </c>
    </row>
    <row r="177" spans="1:1" x14ac:dyDescent="0.35">
      <c r="A177" s="13" t="s">
        <v>693</v>
      </c>
    </row>
    <row r="178" spans="1:1" x14ac:dyDescent="0.35">
      <c r="A178" s="13" t="s">
        <v>1417</v>
      </c>
    </row>
    <row r="179" spans="1:1" x14ac:dyDescent="0.35">
      <c r="A179" s="13" t="s">
        <v>1017</v>
      </c>
    </row>
    <row r="180" spans="1:1" x14ac:dyDescent="0.35">
      <c r="A180" s="13" t="s">
        <v>1059</v>
      </c>
    </row>
    <row r="181" spans="1:1" x14ac:dyDescent="0.35">
      <c r="A181" s="13" t="s">
        <v>373</v>
      </c>
    </row>
    <row r="182" spans="1:1" x14ac:dyDescent="0.35">
      <c r="A182" s="13" t="s">
        <v>1324</v>
      </c>
    </row>
    <row r="183" spans="1:1" x14ac:dyDescent="0.35">
      <c r="A183" s="13" t="s">
        <v>1435</v>
      </c>
    </row>
    <row r="184" spans="1:1" x14ac:dyDescent="0.35">
      <c r="A184" s="13" t="s">
        <v>1616</v>
      </c>
    </row>
    <row r="185" spans="1:1" x14ac:dyDescent="0.35">
      <c r="A185" s="13" t="s">
        <v>487</v>
      </c>
    </row>
    <row r="186" spans="1:1" x14ac:dyDescent="0.35">
      <c r="A186" s="13" t="s">
        <v>1428</v>
      </c>
    </row>
    <row r="187" spans="1:1" x14ac:dyDescent="0.35">
      <c r="A187" s="13" t="s">
        <v>369</v>
      </c>
    </row>
    <row r="188" spans="1:1" x14ac:dyDescent="0.35">
      <c r="A188" s="13" t="s">
        <v>318</v>
      </c>
    </row>
    <row r="189" spans="1:1" x14ac:dyDescent="0.35">
      <c r="A189" s="13" t="s">
        <v>546</v>
      </c>
    </row>
    <row r="190" spans="1:1" x14ac:dyDescent="0.35">
      <c r="A190" s="13" t="s">
        <v>813</v>
      </c>
    </row>
    <row r="191" spans="1:1" x14ac:dyDescent="0.35">
      <c r="A191" s="13" t="s">
        <v>1680</v>
      </c>
    </row>
    <row r="192" spans="1:1" x14ac:dyDescent="0.35">
      <c r="A192" s="13" t="s">
        <v>451</v>
      </c>
    </row>
    <row r="193" spans="1:1" x14ac:dyDescent="0.35">
      <c r="A193" s="13" t="s">
        <v>1020</v>
      </c>
    </row>
    <row r="194" spans="1:1" x14ac:dyDescent="0.35">
      <c r="A194" s="13" t="s">
        <v>657</v>
      </c>
    </row>
    <row r="195" spans="1:1" x14ac:dyDescent="0.35">
      <c r="A195" s="13" t="s">
        <v>1545</v>
      </c>
    </row>
    <row r="196" spans="1:1" x14ac:dyDescent="0.35">
      <c r="A196" s="13" t="s">
        <v>924</v>
      </c>
    </row>
    <row r="197" spans="1:1" x14ac:dyDescent="0.35">
      <c r="A197" s="13" t="s">
        <v>697</v>
      </c>
    </row>
    <row r="198" spans="1:1" x14ac:dyDescent="0.35">
      <c r="A198" s="13" t="s">
        <v>399</v>
      </c>
    </row>
    <row r="199" spans="1:1" x14ac:dyDescent="0.35">
      <c r="A199" s="13" t="s">
        <v>1240</v>
      </c>
    </row>
    <row r="200" spans="1:1" x14ac:dyDescent="0.35">
      <c r="A200" s="13" t="s">
        <v>112</v>
      </c>
    </row>
    <row r="201" spans="1:1" x14ac:dyDescent="0.35">
      <c r="A201" s="13" t="s">
        <v>1054</v>
      </c>
    </row>
    <row r="202" spans="1:1" x14ac:dyDescent="0.35">
      <c r="A202" s="13" t="s">
        <v>640</v>
      </c>
    </row>
    <row r="203" spans="1:1" x14ac:dyDescent="0.35">
      <c r="A203" s="13" t="s">
        <v>1519</v>
      </c>
    </row>
    <row r="204" spans="1:1" x14ac:dyDescent="0.35">
      <c r="A204" s="13" t="s">
        <v>651</v>
      </c>
    </row>
    <row r="205" spans="1:1" x14ac:dyDescent="0.35">
      <c r="A205" s="13" t="s">
        <v>938</v>
      </c>
    </row>
    <row r="206" spans="1:1" x14ac:dyDescent="0.35">
      <c r="A206" s="13" t="s">
        <v>1208</v>
      </c>
    </row>
    <row r="207" spans="1:1" x14ac:dyDescent="0.35">
      <c r="A207" s="13" t="s">
        <v>835</v>
      </c>
    </row>
    <row r="208" spans="1:1" x14ac:dyDescent="0.35">
      <c r="A208" s="13" t="s">
        <v>1113</v>
      </c>
    </row>
    <row r="209" spans="1:1" x14ac:dyDescent="0.35">
      <c r="A209" s="13" t="s">
        <v>1013</v>
      </c>
    </row>
    <row r="210" spans="1:1" x14ac:dyDescent="0.35">
      <c r="A210" s="13" t="s">
        <v>774</v>
      </c>
    </row>
    <row r="211" spans="1:1" x14ac:dyDescent="0.35">
      <c r="A211" s="13" t="s">
        <v>630</v>
      </c>
    </row>
    <row r="212" spans="1:1" x14ac:dyDescent="0.35">
      <c r="A212" s="13" t="s">
        <v>1073</v>
      </c>
    </row>
    <row r="213" spans="1:1" x14ac:dyDescent="0.35">
      <c r="A213" s="13" t="s">
        <v>549</v>
      </c>
    </row>
    <row r="214" spans="1:1" x14ac:dyDescent="0.35">
      <c r="A214" s="13" t="s">
        <v>1088</v>
      </c>
    </row>
    <row r="215" spans="1:1" x14ac:dyDescent="0.35">
      <c r="A215" s="13" t="s">
        <v>1066</v>
      </c>
    </row>
    <row r="216" spans="1:1" x14ac:dyDescent="0.35">
      <c r="A216" s="13" t="s">
        <v>475</v>
      </c>
    </row>
    <row r="217" spans="1:1" x14ac:dyDescent="0.35">
      <c r="A217" s="13" t="s">
        <v>1750</v>
      </c>
    </row>
    <row r="218" spans="1:1" x14ac:dyDescent="0.35">
      <c r="A218" s="13" t="s">
        <v>71</v>
      </c>
    </row>
    <row r="219" spans="1:1" x14ac:dyDescent="0.35">
      <c r="A219" s="13" t="s">
        <v>569</v>
      </c>
    </row>
    <row r="220" spans="1:1" x14ac:dyDescent="0.35">
      <c r="A220" s="13" t="s">
        <v>310</v>
      </c>
    </row>
    <row r="221" spans="1:1" x14ac:dyDescent="0.35">
      <c r="A221" s="13" t="s">
        <v>1340</v>
      </c>
    </row>
    <row r="222" spans="1:1" x14ac:dyDescent="0.35">
      <c r="A222" s="13" t="s">
        <v>1279</v>
      </c>
    </row>
    <row r="223" spans="1:1" x14ac:dyDescent="0.35">
      <c r="A223" s="13" t="s">
        <v>1590</v>
      </c>
    </row>
    <row r="224" spans="1:1" x14ac:dyDescent="0.35">
      <c r="A224" s="13" t="s">
        <v>1593</v>
      </c>
    </row>
    <row r="225" spans="1:1" x14ac:dyDescent="0.35">
      <c r="A225" s="13" t="s">
        <v>1103</v>
      </c>
    </row>
    <row r="226" spans="1:1" x14ac:dyDescent="0.35">
      <c r="A226" s="13" t="s">
        <v>1244</v>
      </c>
    </row>
    <row r="227" spans="1:1" x14ac:dyDescent="0.35">
      <c r="A227" s="13" t="s">
        <v>1526</v>
      </c>
    </row>
    <row r="228" spans="1:1" x14ac:dyDescent="0.35">
      <c r="A228" s="13" t="s">
        <v>461</v>
      </c>
    </row>
    <row r="229" spans="1:1" x14ac:dyDescent="0.35">
      <c r="A229" s="13" t="s">
        <v>1024</v>
      </c>
    </row>
    <row r="230" spans="1:1" x14ac:dyDescent="0.35">
      <c r="A230" s="13" t="s">
        <v>685</v>
      </c>
    </row>
    <row r="231" spans="1:1" x14ac:dyDescent="0.35">
      <c r="A231" s="13" t="s">
        <v>1290</v>
      </c>
    </row>
    <row r="232" spans="1:1" x14ac:dyDescent="0.35">
      <c r="A232" s="13" t="s">
        <v>848</v>
      </c>
    </row>
    <row r="233" spans="1:1" x14ac:dyDescent="0.35">
      <c r="A233" s="13" t="s">
        <v>768</v>
      </c>
    </row>
    <row r="234" spans="1:1" x14ac:dyDescent="0.35">
      <c r="A234" s="13" t="s">
        <v>1312</v>
      </c>
    </row>
    <row r="235" spans="1:1" x14ac:dyDescent="0.35">
      <c r="A235" s="13" t="s">
        <v>1305</v>
      </c>
    </row>
    <row r="236" spans="1:1" x14ac:dyDescent="0.35">
      <c r="A236" s="13" t="s">
        <v>1455</v>
      </c>
    </row>
    <row r="237" spans="1:1" x14ac:dyDescent="0.35">
      <c r="A237" s="13" t="s">
        <v>910</v>
      </c>
    </row>
    <row r="238" spans="1:1" x14ac:dyDescent="0.35">
      <c r="A238" s="13" t="s">
        <v>1576</v>
      </c>
    </row>
    <row r="239" spans="1:1" x14ac:dyDescent="0.35">
      <c r="A239" s="13" t="s">
        <v>307</v>
      </c>
    </row>
    <row r="240" spans="1:1" x14ac:dyDescent="0.35">
      <c r="A240" s="13" t="s">
        <v>1707</v>
      </c>
    </row>
    <row r="241" spans="1:1" x14ac:dyDescent="0.35">
      <c r="A241" s="13" t="s">
        <v>1221</v>
      </c>
    </row>
    <row r="242" spans="1:1" x14ac:dyDescent="0.35">
      <c r="A242" s="13" t="s">
        <v>1259</v>
      </c>
    </row>
    <row r="243" spans="1:1" x14ac:dyDescent="0.35">
      <c r="A243" s="13" t="s">
        <v>117</v>
      </c>
    </row>
    <row r="244" spans="1:1" x14ac:dyDescent="0.35">
      <c r="A244" s="13" t="s">
        <v>271</v>
      </c>
    </row>
    <row r="245" spans="1:1" x14ac:dyDescent="0.35">
      <c r="A245" s="13" t="s">
        <v>1719</v>
      </c>
    </row>
    <row r="246" spans="1:1" x14ac:dyDescent="0.35">
      <c r="A246" s="13" t="s">
        <v>822</v>
      </c>
    </row>
    <row r="247" spans="1:1" x14ac:dyDescent="0.35">
      <c r="A247" s="13" t="s">
        <v>514</v>
      </c>
    </row>
    <row r="248" spans="1:1" x14ac:dyDescent="0.35">
      <c r="A248" s="13" t="s">
        <v>680</v>
      </c>
    </row>
    <row r="249" spans="1:1" x14ac:dyDescent="0.35">
      <c r="A249" s="13" t="s">
        <v>1620</v>
      </c>
    </row>
    <row r="250" spans="1:1" x14ac:dyDescent="0.35">
      <c r="A250" s="13" t="s">
        <v>1671</v>
      </c>
    </row>
    <row r="251" spans="1:1" x14ac:dyDescent="0.35">
      <c r="A251" s="13" t="s">
        <v>1648</v>
      </c>
    </row>
    <row r="252" spans="1:1" x14ac:dyDescent="0.35">
      <c r="A252" s="13" t="s">
        <v>1787</v>
      </c>
    </row>
    <row r="253" spans="1:1" x14ac:dyDescent="0.35">
      <c r="A253" s="13" t="s">
        <v>1783</v>
      </c>
    </row>
    <row r="254" spans="1:1" x14ac:dyDescent="0.35">
      <c r="A254" s="13" t="s">
        <v>303</v>
      </c>
    </row>
    <row r="255" spans="1:1" x14ac:dyDescent="0.35">
      <c r="A255" s="13" t="s">
        <v>1699</v>
      </c>
    </row>
    <row r="256" spans="1:1" x14ac:dyDescent="0.35">
      <c r="A256" s="13" t="s">
        <v>403</v>
      </c>
    </row>
    <row r="257" spans="1:1" x14ac:dyDescent="0.35">
      <c r="A257" s="13" t="s">
        <v>720</v>
      </c>
    </row>
    <row r="258" spans="1:1" x14ac:dyDescent="0.35">
      <c r="A258" s="13" t="s">
        <v>959</v>
      </c>
    </row>
    <row r="259" spans="1:1" x14ac:dyDescent="0.35">
      <c r="A259" s="13" t="s">
        <v>1212</v>
      </c>
    </row>
    <row r="260" spans="1:1" x14ac:dyDescent="0.35">
      <c r="A260" s="13" t="s">
        <v>1101</v>
      </c>
    </row>
    <row r="261" spans="1:1" x14ac:dyDescent="0.35">
      <c r="A261" s="13" t="s">
        <v>534</v>
      </c>
    </row>
    <row r="262" spans="1:1" x14ac:dyDescent="0.35">
      <c r="A262" s="13" t="s">
        <v>908</v>
      </c>
    </row>
    <row r="263" spans="1:1" x14ac:dyDescent="0.35">
      <c r="A263" s="13" t="s">
        <v>921</v>
      </c>
    </row>
    <row r="264" spans="1:1" x14ac:dyDescent="0.35">
      <c r="A264" s="13" t="s">
        <v>1399</v>
      </c>
    </row>
    <row r="265" spans="1:1" x14ac:dyDescent="0.35">
      <c r="A265" s="13" t="s">
        <v>1702</v>
      </c>
    </row>
    <row r="266" spans="1:1" x14ac:dyDescent="0.35">
      <c r="A266" s="13" t="s">
        <v>856</v>
      </c>
    </row>
    <row r="267" spans="1:1" x14ac:dyDescent="0.35">
      <c r="A267" s="13" t="s">
        <v>1284</v>
      </c>
    </row>
    <row r="268" spans="1:1" x14ac:dyDescent="0.35">
      <c r="A268" s="13" t="s">
        <v>727</v>
      </c>
    </row>
    <row r="269" spans="1:1" x14ac:dyDescent="0.35">
      <c r="A269" s="13" t="s">
        <v>1773</v>
      </c>
    </row>
    <row r="270" spans="1:1" x14ac:dyDescent="0.35">
      <c r="A270" s="13" t="s">
        <v>1626</v>
      </c>
    </row>
    <row r="271" spans="1:1" x14ac:dyDescent="0.35">
      <c r="A271" s="13" t="s">
        <v>138</v>
      </c>
    </row>
    <row r="272" spans="1:1" x14ac:dyDescent="0.35">
      <c r="A272" s="13" t="s">
        <v>274</v>
      </c>
    </row>
    <row r="273" spans="1:1" x14ac:dyDescent="0.35">
      <c r="A273" s="13" t="s">
        <v>357</v>
      </c>
    </row>
    <row r="274" spans="1:1" x14ac:dyDescent="0.35">
      <c r="A274" s="13" t="s">
        <v>1106</v>
      </c>
    </row>
    <row r="275" spans="1:1" x14ac:dyDescent="0.35">
      <c r="A275" s="13" t="s">
        <v>1432</v>
      </c>
    </row>
    <row r="276" spans="1:1" x14ac:dyDescent="0.35">
      <c r="A276" s="13" t="s">
        <v>902</v>
      </c>
    </row>
    <row r="277" spans="1:1" x14ac:dyDescent="0.35">
      <c r="A277" s="13" t="s">
        <v>741</v>
      </c>
    </row>
    <row r="278" spans="1:1" x14ac:dyDescent="0.35">
      <c r="A278" s="13" t="s">
        <v>1498</v>
      </c>
    </row>
    <row r="279" spans="1:1" x14ac:dyDescent="0.35">
      <c r="A279" s="13" t="s">
        <v>1522</v>
      </c>
    </row>
    <row r="280" spans="1:1" x14ac:dyDescent="0.35">
      <c r="A280" s="13" t="s">
        <v>607</v>
      </c>
    </row>
    <row r="281" spans="1:1" x14ac:dyDescent="0.35">
      <c r="A281" s="13" t="s">
        <v>468</v>
      </c>
    </row>
    <row r="282" spans="1:1" x14ac:dyDescent="0.35">
      <c r="A282" s="13" t="s">
        <v>1409</v>
      </c>
    </row>
    <row r="283" spans="1:1" x14ac:dyDescent="0.35">
      <c r="A283" s="13" t="s">
        <v>1042</v>
      </c>
    </row>
    <row r="284" spans="1:1" x14ac:dyDescent="0.35">
      <c r="A284" s="13" t="s">
        <v>1084</v>
      </c>
    </row>
    <row r="285" spans="1:1" x14ac:dyDescent="0.35">
      <c r="A285" s="13" t="s">
        <v>748</v>
      </c>
    </row>
    <row r="286" spans="1:1" x14ac:dyDescent="0.35">
      <c r="A286" s="13" t="s">
        <v>988</v>
      </c>
    </row>
    <row r="287" spans="1:1" x14ac:dyDescent="0.35">
      <c r="A287" s="13" t="s">
        <v>314</v>
      </c>
    </row>
    <row r="288" spans="1:1" x14ac:dyDescent="0.35">
      <c r="A288" s="13" t="s">
        <v>412</v>
      </c>
    </row>
    <row r="289" spans="1:1" x14ac:dyDescent="0.35">
      <c r="A289" s="13" t="s">
        <v>22</v>
      </c>
    </row>
    <row r="290" spans="1:1" x14ac:dyDescent="0.35">
      <c r="A290" s="13" t="s">
        <v>457</v>
      </c>
    </row>
    <row r="291" spans="1:1" x14ac:dyDescent="0.35">
      <c r="A291" s="13" t="s">
        <v>1388</v>
      </c>
    </row>
    <row r="292" spans="1:1" x14ac:dyDescent="0.35">
      <c r="A292" s="13" t="s">
        <v>530</v>
      </c>
    </row>
    <row r="293" spans="1:1" x14ac:dyDescent="0.35">
      <c r="A293" s="13" t="s">
        <v>660</v>
      </c>
    </row>
    <row r="294" spans="1:1" x14ac:dyDescent="0.35">
      <c r="A294" s="13" t="s">
        <v>825</v>
      </c>
    </row>
    <row r="295" spans="1:1" x14ac:dyDescent="0.35">
      <c r="A295" s="13" t="s">
        <v>454</v>
      </c>
    </row>
    <row r="296" spans="1:1" x14ac:dyDescent="0.35">
      <c r="A296" s="13" t="s">
        <v>1630</v>
      </c>
    </row>
    <row r="297" spans="1:1" x14ac:dyDescent="0.35">
      <c r="A297" s="13" t="s">
        <v>202</v>
      </c>
    </row>
    <row r="298" spans="1:1" x14ac:dyDescent="0.35">
      <c r="A298" s="13" t="s">
        <v>1363</v>
      </c>
    </row>
    <row r="299" spans="1:1" x14ac:dyDescent="0.35">
      <c r="A299" s="13" t="s">
        <v>1110</v>
      </c>
    </row>
    <row r="300" spans="1:1" x14ac:dyDescent="0.35">
      <c r="A300" s="13" t="s">
        <v>611</v>
      </c>
    </row>
    <row r="301" spans="1:1" x14ac:dyDescent="0.35">
      <c r="A301" s="13" t="s">
        <v>92</v>
      </c>
    </row>
    <row r="302" spans="1:1" x14ac:dyDescent="0.35">
      <c r="A302" s="13" t="s">
        <v>1583</v>
      </c>
    </row>
    <row r="303" spans="1:1" x14ac:dyDescent="0.35">
      <c r="A303" s="13" t="s">
        <v>385</v>
      </c>
    </row>
    <row r="304" spans="1:1" x14ac:dyDescent="0.35">
      <c r="A304" s="13" t="s">
        <v>790</v>
      </c>
    </row>
    <row r="305" spans="1:1" x14ac:dyDescent="0.35">
      <c r="A305" s="13" t="s">
        <v>828</v>
      </c>
    </row>
    <row r="306" spans="1:1" x14ac:dyDescent="0.35">
      <c r="A306" s="13" t="s">
        <v>830</v>
      </c>
    </row>
    <row r="307" spans="1:1" x14ac:dyDescent="0.35">
      <c r="A307" s="13" t="s">
        <v>1383</v>
      </c>
    </row>
    <row r="308" spans="1:1" x14ac:dyDescent="0.35">
      <c r="A308" s="13" t="s">
        <v>1406</v>
      </c>
    </row>
    <row r="309" spans="1:1" x14ac:dyDescent="0.35">
      <c r="A309" s="13" t="s">
        <v>522</v>
      </c>
    </row>
    <row r="310" spans="1:1" x14ac:dyDescent="0.35">
      <c r="A310" s="13" t="s">
        <v>1376</v>
      </c>
    </row>
    <row r="311" spans="1:1" x14ac:dyDescent="0.35">
      <c r="A311" s="13" t="s">
        <v>1136</v>
      </c>
    </row>
    <row r="312" spans="1:1" x14ac:dyDescent="0.35">
      <c r="A312" s="13" t="s">
        <v>806</v>
      </c>
    </row>
    <row r="313" spans="1:1" x14ac:dyDescent="0.35">
      <c r="A313" s="13" t="s">
        <v>502</v>
      </c>
    </row>
    <row r="314" spans="1:1" x14ac:dyDescent="0.35">
      <c r="A314" s="13" t="s">
        <v>897</v>
      </c>
    </row>
    <row r="315" spans="1:1" x14ac:dyDescent="0.35">
      <c r="A315" s="13" t="s">
        <v>198</v>
      </c>
    </row>
    <row r="316" spans="1:1" x14ac:dyDescent="0.35">
      <c r="A316" s="13" t="s">
        <v>1031</v>
      </c>
    </row>
    <row r="317" spans="1:1" x14ac:dyDescent="0.35">
      <c r="A317" s="13" t="s">
        <v>361</v>
      </c>
    </row>
    <row r="318" spans="1:1" x14ac:dyDescent="0.35">
      <c r="A318" s="13" t="s">
        <v>645</v>
      </c>
    </row>
    <row r="319" spans="1:1" x14ac:dyDescent="0.35">
      <c r="A319" s="13" t="s">
        <v>863</v>
      </c>
    </row>
    <row r="320" spans="1:1" x14ac:dyDescent="0.35">
      <c r="A320" s="13" t="s">
        <v>1294</v>
      </c>
    </row>
    <row r="321" spans="1:1" x14ac:dyDescent="0.35">
      <c r="A321" s="13" t="s">
        <v>1587</v>
      </c>
    </row>
    <row r="322" spans="1:1" x14ac:dyDescent="0.35">
      <c r="A322" s="13" t="s">
        <v>66</v>
      </c>
    </row>
    <row r="323" spans="1:1" x14ac:dyDescent="0.35">
      <c r="A323" s="13" t="s">
        <v>766</v>
      </c>
    </row>
    <row r="324" spans="1:1" x14ac:dyDescent="0.35">
      <c r="A324" s="13" t="s">
        <v>930</v>
      </c>
    </row>
    <row r="325" spans="1:1" x14ac:dyDescent="0.35">
      <c r="A325" s="13" t="s">
        <v>1386</v>
      </c>
    </row>
    <row r="326" spans="1:1" x14ac:dyDescent="0.35">
      <c r="A326" s="13" t="s">
        <v>184</v>
      </c>
    </row>
    <row r="327" spans="1:1" x14ac:dyDescent="0.35">
      <c r="A327" s="13" t="s">
        <v>1768</v>
      </c>
    </row>
    <row r="328" spans="1:1" x14ac:dyDescent="0.35">
      <c r="A328" s="13" t="s">
        <v>1262</v>
      </c>
    </row>
    <row r="329" spans="1:1" x14ac:dyDescent="0.35">
      <c r="A329" s="13" t="s">
        <v>167</v>
      </c>
    </row>
    <row r="330" spans="1:1" x14ac:dyDescent="0.35">
      <c r="A330" s="13" t="s">
        <v>603</v>
      </c>
    </row>
    <row r="331" spans="1:1" x14ac:dyDescent="0.35">
      <c r="A331" s="13" t="s">
        <v>716</v>
      </c>
    </row>
    <row r="332" spans="1:1" x14ac:dyDescent="0.35">
      <c r="A332" s="13" t="s">
        <v>635</v>
      </c>
    </row>
    <row r="333" spans="1:1" x14ac:dyDescent="0.35">
      <c r="A333" s="13" t="s">
        <v>1178</v>
      </c>
    </row>
    <row r="334" spans="1:1" x14ac:dyDescent="0.35">
      <c r="A334" s="13" t="s">
        <v>839</v>
      </c>
    </row>
    <row r="335" spans="1:1" x14ac:dyDescent="0.35">
      <c r="A335" s="13" t="s">
        <v>943</v>
      </c>
    </row>
    <row r="336" spans="1:1" x14ac:dyDescent="0.35">
      <c r="A336" s="13" t="s">
        <v>1764</v>
      </c>
    </row>
    <row r="337" spans="1:1" x14ac:dyDescent="0.35">
      <c r="A337" s="13" t="s">
        <v>288</v>
      </c>
    </row>
    <row r="338" spans="1:1" x14ac:dyDescent="0.35">
      <c r="A338" s="13" t="s">
        <v>885</v>
      </c>
    </row>
    <row r="339" spans="1:1" x14ac:dyDescent="0.35">
      <c r="A339" s="13" t="s">
        <v>1231</v>
      </c>
    </row>
    <row r="340" spans="1:1" x14ac:dyDescent="0.35">
      <c r="A340" s="13" t="s">
        <v>1464</v>
      </c>
    </row>
    <row r="341" spans="1:1" x14ac:dyDescent="0.35">
      <c r="A341" s="13" t="s">
        <v>1369</v>
      </c>
    </row>
    <row r="342" spans="1:1" x14ac:dyDescent="0.35">
      <c r="A342" s="13" t="s">
        <v>322</v>
      </c>
    </row>
    <row r="343" spans="1:1" x14ac:dyDescent="0.35">
      <c r="A343" s="13" t="s">
        <v>1580</v>
      </c>
    </row>
    <row r="344" spans="1:1" x14ac:dyDescent="0.35">
      <c r="A344" s="13" t="s">
        <v>1298</v>
      </c>
    </row>
    <row r="345" spans="1:1" x14ac:dyDescent="0.35">
      <c r="A345" s="13" t="s">
        <v>445</v>
      </c>
    </row>
    <row r="346" spans="1:1" x14ac:dyDescent="0.35">
      <c r="A346" s="13" t="s">
        <v>100</v>
      </c>
    </row>
    <row r="347" spans="1:1" x14ac:dyDescent="0.35">
      <c r="A347" s="13" t="s">
        <v>105</v>
      </c>
    </row>
    <row r="348" spans="1:1" x14ac:dyDescent="0.35">
      <c r="A348" s="13" t="s">
        <v>378</v>
      </c>
    </row>
    <row r="349" spans="1:1" x14ac:dyDescent="0.35">
      <c r="A349" s="13" t="s">
        <v>598</v>
      </c>
    </row>
    <row r="350" spans="1:1" x14ac:dyDescent="0.35">
      <c r="A350" s="13" t="s">
        <v>1395</v>
      </c>
    </row>
    <row r="351" spans="1:1" x14ac:dyDescent="0.35">
      <c r="A351" s="13" t="s">
        <v>1442</v>
      </c>
    </row>
    <row r="352" spans="1:1" x14ac:dyDescent="0.35">
      <c r="A352" s="13" t="s">
        <v>86</v>
      </c>
    </row>
    <row r="353" spans="1:1" x14ac:dyDescent="0.35">
      <c r="A353" s="13" t="s">
        <v>280</v>
      </c>
    </row>
    <row r="354" spans="1:1" x14ac:dyDescent="0.35">
      <c r="A354" s="13" t="s">
        <v>1694</v>
      </c>
    </row>
    <row r="355" spans="1:1" x14ac:dyDescent="0.35">
      <c r="A355" s="13" t="s">
        <v>538</v>
      </c>
    </row>
    <row r="356" spans="1:1" x14ac:dyDescent="0.35">
      <c r="A356" s="13" t="s">
        <v>158</v>
      </c>
    </row>
    <row r="357" spans="1:1" x14ac:dyDescent="0.35">
      <c r="A357" s="13" t="s">
        <v>277</v>
      </c>
    </row>
    <row r="358" spans="1:1" x14ac:dyDescent="0.35">
      <c r="A358" s="13" t="s">
        <v>162</v>
      </c>
    </row>
    <row r="359" spans="1:1" x14ac:dyDescent="0.35">
      <c r="A359" s="13" t="s">
        <v>1027</v>
      </c>
    </row>
    <row r="360" spans="1:1" x14ac:dyDescent="0.35">
      <c r="A360" s="13" t="s">
        <v>1754</v>
      </c>
    </row>
    <row r="361" spans="1:1" x14ac:dyDescent="0.35">
      <c r="A361" s="13" t="s">
        <v>1349</v>
      </c>
    </row>
    <row r="362" spans="1:1" x14ac:dyDescent="0.35">
      <c r="A362" s="13" t="s">
        <v>1287</v>
      </c>
    </row>
    <row r="363" spans="1:1" x14ac:dyDescent="0.35">
      <c r="A363" s="13" t="s">
        <v>871</v>
      </c>
    </row>
    <row r="364" spans="1:1" x14ac:dyDescent="0.35">
      <c r="A364" s="13" t="s">
        <v>261</v>
      </c>
    </row>
    <row r="365" spans="1:1" x14ac:dyDescent="0.35">
      <c r="A365" s="13" t="s">
        <v>905</v>
      </c>
    </row>
    <row r="366" spans="1:1" x14ac:dyDescent="0.35">
      <c r="A366" s="13" t="s">
        <v>1077</v>
      </c>
    </row>
    <row r="367" spans="1:1" x14ac:dyDescent="0.35">
      <c r="A367" s="13" t="s">
        <v>1776</v>
      </c>
    </row>
    <row r="368" spans="1:1" x14ac:dyDescent="0.35">
      <c r="A368" s="13" t="s">
        <v>478</v>
      </c>
    </row>
    <row r="369" spans="1:1" x14ac:dyDescent="0.35">
      <c r="A369" s="13" t="s">
        <v>1302</v>
      </c>
    </row>
    <row r="370" spans="1:1" x14ac:dyDescent="0.35">
      <c r="A370" s="13" t="s">
        <v>375</v>
      </c>
    </row>
    <row r="371" spans="1:1" x14ac:dyDescent="0.35">
      <c r="A371" s="13" t="s">
        <v>32</v>
      </c>
    </row>
    <row r="372" spans="1:1" x14ac:dyDescent="0.35">
      <c r="A372" s="13" t="s">
        <v>1190</v>
      </c>
    </row>
    <row r="373" spans="1:1" x14ac:dyDescent="0.35">
      <c r="A373" s="13" t="s">
        <v>1335</v>
      </c>
    </row>
    <row r="374" spans="1:1" x14ac:dyDescent="0.35">
      <c r="A374" s="13" t="s">
        <v>899</v>
      </c>
    </row>
    <row r="375" spans="1:1" x14ac:dyDescent="0.35">
      <c r="A375" s="13" t="s">
        <v>567</v>
      </c>
    </row>
    <row r="376" spans="1:1" x14ac:dyDescent="0.35">
      <c r="A376" s="13" t="s">
        <v>621</v>
      </c>
    </row>
    <row r="377" spans="1:1" x14ac:dyDescent="0.35">
      <c r="A377" s="13" t="s">
        <v>1127</v>
      </c>
    </row>
    <row r="378" spans="1:1" x14ac:dyDescent="0.35">
      <c r="A378" s="13" t="s">
        <v>481</v>
      </c>
    </row>
    <row r="379" spans="1:1" x14ac:dyDescent="0.35">
      <c r="A379" s="13" t="s">
        <v>689</v>
      </c>
    </row>
    <row r="380" spans="1:1" x14ac:dyDescent="0.35">
      <c r="A380" s="13" t="s">
        <v>1794</v>
      </c>
    </row>
    <row r="381" spans="1:1" x14ac:dyDescent="0.35">
      <c r="A381" s="13" t="s">
        <v>785</v>
      </c>
    </row>
    <row r="382" spans="1:1" x14ac:dyDescent="0.35">
      <c r="A382" s="13" t="s">
        <v>1069</v>
      </c>
    </row>
    <row r="383" spans="1:1" x14ac:dyDescent="0.35">
      <c r="A383" s="13" t="s">
        <v>977</v>
      </c>
    </row>
    <row r="384" spans="1:1" x14ac:dyDescent="0.35">
      <c r="A384" s="13" t="s">
        <v>506</v>
      </c>
    </row>
    <row r="385" spans="1:1" x14ac:dyDescent="0.35">
      <c r="A385" s="13" t="s">
        <v>332</v>
      </c>
    </row>
    <row r="386" spans="1:1" x14ac:dyDescent="0.35">
      <c r="A386" s="13" t="s">
        <v>143</v>
      </c>
    </row>
    <row r="387" spans="1:1" x14ac:dyDescent="0.35">
      <c r="A387" s="13" t="s">
        <v>1468</v>
      </c>
    </row>
    <row r="388" spans="1:1" x14ac:dyDescent="0.35">
      <c r="A388" s="13" t="s">
        <v>1002</v>
      </c>
    </row>
    <row r="389" spans="1:1" x14ac:dyDescent="0.35">
      <c r="A389" s="13" t="s">
        <v>1141</v>
      </c>
    </row>
    <row r="390" spans="1:1" x14ac:dyDescent="0.35">
      <c r="A390" s="13" t="s">
        <v>429</v>
      </c>
    </row>
    <row r="391" spans="1:1" x14ac:dyDescent="0.35">
      <c r="A391" s="13" t="s">
        <v>591</v>
      </c>
    </row>
    <row r="392" spans="1:1" x14ac:dyDescent="0.35">
      <c r="A392" s="13" t="s">
        <v>956</v>
      </c>
    </row>
    <row r="393" spans="1:1" x14ac:dyDescent="0.35">
      <c r="A393" s="13" t="s">
        <v>638</v>
      </c>
    </row>
    <row r="394" spans="1:1" x14ac:dyDescent="0.35">
      <c r="A394" s="13" t="s">
        <v>1737</v>
      </c>
    </row>
    <row r="395" spans="1:1" x14ac:dyDescent="0.35">
      <c r="A395" s="13" t="s">
        <v>778</v>
      </c>
    </row>
    <row r="396" spans="1:1" x14ac:dyDescent="0.35">
      <c r="A396" s="13" t="s">
        <v>595</v>
      </c>
    </row>
    <row r="397" spans="1:1" x14ac:dyDescent="0.35">
      <c r="A397" s="13" t="s">
        <v>1726</v>
      </c>
    </row>
    <row r="398" spans="1:1" x14ac:dyDescent="0.35">
      <c r="A398" s="13" t="s">
        <v>1080</v>
      </c>
    </row>
    <row r="399" spans="1:1" x14ac:dyDescent="0.35">
      <c r="A399" s="13" t="s">
        <v>1173</v>
      </c>
    </row>
    <row r="400" spans="1:1" x14ac:dyDescent="0.35">
      <c r="A400" s="13" t="s">
        <v>390</v>
      </c>
    </row>
    <row r="401" spans="1:1" x14ac:dyDescent="0.35">
      <c r="A401" s="13" t="s">
        <v>329</v>
      </c>
    </row>
    <row r="402" spans="1:1" x14ac:dyDescent="0.35">
      <c r="A402" s="13" t="s">
        <v>257</v>
      </c>
    </row>
    <row r="403" spans="1:1" x14ac:dyDescent="0.35">
      <c r="A403" s="13" t="s">
        <v>1157</v>
      </c>
    </row>
    <row r="404" spans="1:1" x14ac:dyDescent="0.35">
      <c r="A404" s="13" t="s">
        <v>1477</v>
      </c>
    </row>
    <row r="405" spans="1:1" x14ac:dyDescent="0.35">
      <c r="A405" s="13" t="s">
        <v>1424</v>
      </c>
    </row>
    <row r="406" spans="1:1" x14ac:dyDescent="0.35">
      <c r="A406" s="13" t="s">
        <v>350</v>
      </c>
    </row>
    <row r="407" spans="1:1" x14ac:dyDescent="0.35">
      <c r="A407" s="13" t="s">
        <v>998</v>
      </c>
    </row>
    <row r="408" spans="1:1" x14ac:dyDescent="0.35">
      <c r="A408" s="13" t="s">
        <v>1145</v>
      </c>
    </row>
    <row r="409" spans="1:1" x14ac:dyDescent="0.35">
      <c r="A409" s="13" t="s">
        <v>1716</v>
      </c>
    </row>
    <row r="410" spans="1:1" x14ac:dyDescent="0.35">
      <c r="A410" s="13" t="s">
        <v>913</v>
      </c>
    </row>
    <row r="411" spans="1:1" x14ac:dyDescent="0.35">
      <c r="A411" s="13" t="s">
        <v>964</v>
      </c>
    </row>
    <row r="412" spans="1:1" x14ac:dyDescent="0.35">
      <c r="A412" s="13" t="s">
        <v>1228</v>
      </c>
    </row>
    <row r="413" spans="1:1" x14ac:dyDescent="0.35">
      <c r="A413" s="13" t="s">
        <v>764</v>
      </c>
    </row>
    <row r="414" spans="1:1" x14ac:dyDescent="0.35">
      <c r="A414" s="13" t="s">
        <v>3129</v>
      </c>
    </row>
    <row r="415" spans="1:1" x14ac:dyDescent="0.35">
      <c r="A415" s="13" t="s">
        <v>3128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BCD5-9760-4036-8DF7-9046F8A59606}">
  <dimension ref="A1:A43"/>
  <sheetViews>
    <sheetView zoomScale="89" workbookViewId="0">
      <selection activeCell="A2" sqref="A2"/>
    </sheetView>
  </sheetViews>
  <sheetFormatPr baseColWidth="10" defaultRowHeight="14.5" x14ac:dyDescent="0.35"/>
  <cols>
    <col min="1" max="1" width="44.7265625" bestFit="1" customWidth="1"/>
  </cols>
  <sheetData>
    <row r="1" spans="1:1" x14ac:dyDescent="0.35">
      <c r="A1" s="12" t="s">
        <v>3162</v>
      </c>
    </row>
    <row r="2" spans="1:1" x14ac:dyDescent="0.35">
      <c r="A2" s="13" t="s">
        <v>1838</v>
      </c>
    </row>
    <row r="3" spans="1:1" x14ac:dyDescent="0.35">
      <c r="A3" s="13" t="s">
        <v>1821</v>
      </c>
    </row>
    <row r="4" spans="1:1" x14ac:dyDescent="0.35">
      <c r="A4" s="13" t="s">
        <v>1807</v>
      </c>
    </row>
    <row r="5" spans="1:1" x14ac:dyDescent="0.35">
      <c r="A5" s="13" t="s">
        <v>1805</v>
      </c>
    </row>
    <row r="6" spans="1:1" x14ac:dyDescent="0.35">
      <c r="A6" s="13" t="s">
        <v>1878</v>
      </c>
    </row>
    <row r="7" spans="1:1" x14ac:dyDescent="0.35">
      <c r="A7" s="13" t="s">
        <v>1832</v>
      </c>
    </row>
    <row r="8" spans="1:1" x14ac:dyDescent="0.35">
      <c r="A8" s="13" t="s">
        <v>1848</v>
      </c>
    </row>
    <row r="9" spans="1:1" x14ac:dyDescent="0.35">
      <c r="A9" s="13" t="s">
        <v>1813</v>
      </c>
    </row>
    <row r="10" spans="1:1" x14ac:dyDescent="0.35">
      <c r="A10" s="13" t="s">
        <v>1800</v>
      </c>
    </row>
    <row r="11" spans="1:1" x14ac:dyDescent="0.35">
      <c r="A11" s="13" t="s">
        <v>1885</v>
      </c>
    </row>
    <row r="12" spans="1:1" x14ac:dyDescent="0.35">
      <c r="A12" s="13" t="s">
        <v>1811</v>
      </c>
    </row>
    <row r="13" spans="1:1" x14ac:dyDescent="0.35">
      <c r="A13" s="13" t="s">
        <v>1860</v>
      </c>
    </row>
    <row r="14" spans="1:1" x14ac:dyDescent="0.35">
      <c r="A14" s="13" t="s">
        <v>1852</v>
      </c>
    </row>
    <row r="15" spans="1:1" x14ac:dyDescent="0.35">
      <c r="A15" s="13" t="s">
        <v>1815</v>
      </c>
    </row>
    <row r="16" spans="1:1" x14ac:dyDescent="0.35">
      <c r="A16" s="13" t="s">
        <v>1858</v>
      </c>
    </row>
    <row r="17" spans="1:1" x14ac:dyDescent="0.35">
      <c r="A17" s="13" t="s">
        <v>1856</v>
      </c>
    </row>
    <row r="18" spans="1:1" x14ac:dyDescent="0.35">
      <c r="A18" s="13" t="s">
        <v>1875</v>
      </c>
    </row>
    <row r="19" spans="1:1" x14ac:dyDescent="0.35">
      <c r="A19" s="13" t="s">
        <v>1803</v>
      </c>
    </row>
    <row r="20" spans="1:1" x14ac:dyDescent="0.35">
      <c r="A20" s="13" t="s">
        <v>1862</v>
      </c>
    </row>
    <row r="21" spans="1:1" x14ac:dyDescent="0.35">
      <c r="A21" s="13" t="s">
        <v>1830</v>
      </c>
    </row>
    <row r="22" spans="1:1" x14ac:dyDescent="0.35">
      <c r="A22" s="13" t="s">
        <v>1868</v>
      </c>
    </row>
    <row r="23" spans="1:1" x14ac:dyDescent="0.35">
      <c r="A23" s="13" t="s">
        <v>1817</v>
      </c>
    </row>
    <row r="24" spans="1:1" x14ac:dyDescent="0.35">
      <c r="A24" s="13" t="s">
        <v>1880</v>
      </c>
    </row>
    <row r="25" spans="1:1" x14ac:dyDescent="0.35">
      <c r="A25" s="13" t="s">
        <v>1840</v>
      </c>
    </row>
    <row r="26" spans="1:1" x14ac:dyDescent="0.35">
      <c r="A26" s="13" t="s">
        <v>1828</v>
      </c>
    </row>
    <row r="27" spans="1:1" x14ac:dyDescent="0.35">
      <c r="A27" s="13" t="s">
        <v>1870</v>
      </c>
    </row>
    <row r="28" spans="1:1" x14ac:dyDescent="0.35">
      <c r="A28" s="13" t="s">
        <v>1809</v>
      </c>
    </row>
    <row r="29" spans="1:1" x14ac:dyDescent="0.35">
      <c r="A29" s="13" t="s">
        <v>1826</v>
      </c>
    </row>
    <row r="30" spans="1:1" x14ac:dyDescent="0.35">
      <c r="A30" s="13" t="s">
        <v>1836</v>
      </c>
    </row>
    <row r="31" spans="1:1" x14ac:dyDescent="0.35">
      <c r="A31" s="13" t="s">
        <v>1823</v>
      </c>
    </row>
    <row r="32" spans="1:1" x14ac:dyDescent="0.35">
      <c r="A32" s="13" t="s">
        <v>1842</v>
      </c>
    </row>
    <row r="33" spans="1:1" x14ac:dyDescent="0.35">
      <c r="A33" s="13" t="s">
        <v>1844</v>
      </c>
    </row>
    <row r="34" spans="1:1" x14ac:dyDescent="0.35">
      <c r="A34" s="13" t="s">
        <v>1819</v>
      </c>
    </row>
    <row r="35" spans="1:1" x14ac:dyDescent="0.35">
      <c r="A35" s="13" t="s">
        <v>1834</v>
      </c>
    </row>
    <row r="36" spans="1:1" x14ac:dyDescent="0.35">
      <c r="A36" s="13" t="s">
        <v>1882</v>
      </c>
    </row>
    <row r="37" spans="1:1" x14ac:dyDescent="0.35">
      <c r="A37" s="13" t="s">
        <v>1854</v>
      </c>
    </row>
    <row r="38" spans="1:1" x14ac:dyDescent="0.35">
      <c r="A38" s="13" t="s">
        <v>1872</v>
      </c>
    </row>
    <row r="39" spans="1:1" x14ac:dyDescent="0.35">
      <c r="A39" s="13" t="s">
        <v>1850</v>
      </c>
    </row>
    <row r="40" spans="1:1" x14ac:dyDescent="0.35">
      <c r="A40" s="13" t="s">
        <v>1866</v>
      </c>
    </row>
    <row r="41" spans="1:1" x14ac:dyDescent="0.35">
      <c r="A41" s="13" t="s">
        <v>1846</v>
      </c>
    </row>
    <row r="42" spans="1:1" x14ac:dyDescent="0.35">
      <c r="A42" s="13" t="s">
        <v>1864</v>
      </c>
    </row>
    <row r="43" spans="1:1" x14ac:dyDescent="0.35">
      <c r="A43" s="13" t="s">
        <v>3128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6CC5-1F02-4925-8A56-238457578BA8}">
  <dimension ref="A2:B5"/>
  <sheetViews>
    <sheetView workbookViewId="0">
      <selection activeCell="A4" sqref="A4"/>
    </sheetView>
  </sheetViews>
  <sheetFormatPr baseColWidth="10" defaultRowHeight="14.5" x14ac:dyDescent="0.35"/>
  <cols>
    <col min="1" max="1" width="16.54296875" bestFit="1" customWidth="1"/>
    <col min="2" max="2" width="8.36328125" bestFit="1" customWidth="1"/>
  </cols>
  <sheetData>
    <row r="2" spans="1:2" x14ac:dyDescent="0.35">
      <c r="A2" s="12" t="s">
        <v>2</v>
      </c>
      <c r="B2" t="s">
        <v>3166</v>
      </c>
    </row>
    <row r="4" spans="1:2" x14ac:dyDescent="0.35">
      <c r="A4" t="s">
        <v>3165</v>
      </c>
    </row>
    <row r="5" spans="1:2" x14ac:dyDescent="0.35">
      <c r="A5" s="14">
        <v>595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47FD-1D82-476D-B58B-93D4D8C679CC}">
  <dimension ref="A3:C417"/>
  <sheetViews>
    <sheetView topLeftCell="A378" zoomScale="51" workbookViewId="0">
      <selection activeCell="B389" sqref="B389:B390"/>
    </sheetView>
  </sheetViews>
  <sheetFormatPr baseColWidth="10" defaultRowHeight="14.5" x14ac:dyDescent="0.35"/>
  <cols>
    <col min="1" max="2" width="84.1796875" bestFit="1" customWidth="1"/>
  </cols>
  <sheetData>
    <row r="3" spans="1:2" x14ac:dyDescent="0.35">
      <c r="A3" s="12" t="s">
        <v>3127</v>
      </c>
      <c r="B3" t="s">
        <v>3127</v>
      </c>
    </row>
    <row r="4" spans="1:2" x14ac:dyDescent="0.35">
      <c r="A4" s="13" t="s">
        <v>3878</v>
      </c>
      <c r="B4" s="13" t="s">
        <v>3878</v>
      </c>
    </row>
    <row r="5" spans="1:2" x14ac:dyDescent="0.35">
      <c r="A5" s="13" t="s">
        <v>1353</v>
      </c>
      <c r="B5" s="13" t="s">
        <v>1353</v>
      </c>
    </row>
    <row r="6" spans="1:2" x14ac:dyDescent="0.35">
      <c r="A6" s="13" t="s">
        <v>4023</v>
      </c>
      <c r="B6" s="13" t="s">
        <v>4023</v>
      </c>
    </row>
    <row r="7" spans="1:2" x14ac:dyDescent="0.35">
      <c r="A7" s="13" t="s">
        <v>3987</v>
      </c>
      <c r="B7" s="13" t="s">
        <v>3987</v>
      </c>
    </row>
    <row r="8" spans="1:2" x14ac:dyDescent="0.35">
      <c r="A8" s="13" t="s">
        <v>3930</v>
      </c>
      <c r="B8" s="13" t="s">
        <v>3930</v>
      </c>
    </row>
    <row r="9" spans="1:2" x14ac:dyDescent="0.35">
      <c r="A9" s="13" t="s">
        <v>3965</v>
      </c>
      <c r="B9" s="13" t="s">
        <v>3965</v>
      </c>
    </row>
    <row r="10" spans="1:2" x14ac:dyDescent="0.35">
      <c r="A10" s="13" t="s">
        <v>4112</v>
      </c>
      <c r="B10" s="13" t="s">
        <v>4112</v>
      </c>
    </row>
    <row r="11" spans="1:2" x14ac:dyDescent="0.35">
      <c r="A11" s="13" t="s">
        <v>1276</v>
      </c>
      <c r="B11" s="13" t="s">
        <v>1276</v>
      </c>
    </row>
    <row r="12" spans="1:2" x14ac:dyDescent="0.35">
      <c r="A12" s="13" t="s">
        <v>4123</v>
      </c>
      <c r="B12" s="13" t="s">
        <v>4123</v>
      </c>
    </row>
    <row r="13" spans="1:2" x14ac:dyDescent="0.35">
      <c r="A13" s="13" t="s">
        <v>3968</v>
      </c>
      <c r="B13" s="13" t="s">
        <v>3968</v>
      </c>
    </row>
    <row r="14" spans="1:2" x14ac:dyDescent="0.35">
      <c r="A14" s="13" t="s">
        <v>4117</v>
      </c>
      <c r="B14" s="13" t="s">
        <v>4117</v>
      </c>
    </row>
    <row r="15" spans="1:2" x14ac:dyDescent="0.35">
      <c r="A15" s="13" t="s">
        <v>293</v>
      </c>
      <c r="B15" s="13" t="s">
        <v>293</v>
      </c>
    </row>
    <row r="16" spans="1:2" x14ac:dyDescent="0.35">
      <c r="A16" s="13" t="s">
        <v>4036</v>
      </c>
      <c r="B16" s="13" t="s">
        <v>4036</v>
      </c>
    </row>
    <row r="17" spans="1:2" x14ac:dyDescent="0.35">
      <c r="A17" s="13" t="s">
        <v>4110</v>
      </c>
      <c r="B17" s="13" t="s">
        <v>4110</v>
      </c>
    </row>
    <row r="18" spans="1:2" x14ac:dyDescent="0.35">
      <c r="A18" s="13" t="s">
        <v>3872</v>
      </c>
      <c r="B18" s="13" t="s">
        <v>3872</v>
      </c>
    </row>
    <row r="19" spans="1:2" x14ac:dyDescent="0.35">
      <c r="A19" s="13" t="s">
        <v>4172</v>
      </c>
      <c r="B19" s="13" t="s">
        <v>3872</v>
      </c>
    </row>
    <row r="20" spans="1:2" x14ac:dyDescent="0.35">
      <c r="A20" s="13" t="s">
        <v>3857</v>
      </c>
      <c r="B20" s="13" t="s">
        <v>3857</v>
      </c>
    </row>
    <row r="21" spans="1:2" x14ac:dyDescent="0.35">
      <c r="A21" s="13" t="s">
        <v>4118</v>
      </c>
      <c r="B21" s="13" t="s">
        <v>4118</v>
      </c>
    </row>
    <row r="22" spans="1:2" x14ac:dyDescent="0.35">
      <c r="A22" s="13" t="s">
        <v>4003</v>
      </c>
      <c r="B22" s="13" t="s">
        <v>4003</v>
      </c>
    </row>
    <row r="23" spans="1:2" x14ac:dyDescent="0.35">
      <c r="A23" s="13" t="s">
        <v>3862</v>
      </c>
      <c r="B23" s="13" t="s">
        <v>3862</v>
      </c>
    </row>
    <row r="24" spans="1:2" x14ac:dyDescent="0.35">
      <c r="A24" s="13" t="s">
        <v>4038</v>
      </c>
      <c r="B24" s="13" t="s">
        <v>4038</v>
      </c>
    </row>
    <row r="25" spans="1:2" x14ac:dyDescent="0.35">
      <c r="A25" s="13" t="s">
        <v>3952</v>
      </c>
      <c r="B25" s="13" t="s">
        <v>3952</v>
      </c>
    </row>
    <row r="26" spans="1:2" x14ac:dyDescent="0.35">
      <c r="A26" s="13" t="s">
        <v>4134</v>
      </c>
      <c r="B26" s="13" t="s">
        <v>4134</v>
      </c>
    </row>
    <row r="27" spans="1:2" x14ac:dyDescent="0.35">
      <c r="A27" s="13" t="s">
        <v>3946</v>
      </c>
      <c r="B27" s="13" t="s">
        <v>3946</v>
      </c>
    </row>
    <row r="28" spans="1:2" x14ac:dyDescent="0.35">
      <c r="A28" s="13" t="s">
        <v>1169</v>
      </c>
      <c r="B28" s="13" t="s">
        <v>1169</v>
      </c>
    </row>
    <row r="29" spans="1:2" x14ac:dyDescent="0.35">
      <c r="A29" s="13" t="s">
        <v>4017</v>
      </c>
      <c r="B29" s="13" t="s">
        <v>1169</v>
      </c>
    </row>
    <row r="30" spans="1:2" x14ac:dyDescent="0.35">
      <c r="A30" s="13" t="s">
        <v>4047</v>
      </c>
      <c r="B30" s="13" t="s">
        <v>4047</v>
      </c>
    </row>
    <row r="31" spans="1:2" x14ac:dyDescent="0.35">
      <c r="A31" s="13" t="s">
        <v>3919</v>
      </c>
      <c r="B31" s="13" t="s">
        <v>3919</v>
      </c>
    </row>
    <row r="32" spans="1:2" x14ac:dyDescent="0.35">
      <c r="A32" s="13" t="s">
        <v>1195</v>
      </c>
      <c r="B32" s="13" t="s">
        <v>1195</v>
      </c>
    </row>
    <row r="33" spans="1:2" x14ac:dyDescent="0.35">
      <c r="A33" s="13" t="s">
        <v>4073</v>
      </c>
      <c r="B33" s="13" t="s">
        <v>1195</v>
      </c>
    </row>
    <row r="34" spans="1:2" x14ac:dyDescent="0.35">
      <c r="A34" s="13" t="s">
        <v>3963</v>
      </c>
      <c r="B34" s="13" t="s">
        <v>3963</v>
      </c>
    </row>
    <row r="35" spans="1:2" x14ac:dyDescent="0.35">
      <c r="A35" s="13" t="s">
        <v>3896</v>
      </c>
      <c r="B35" s="13" t="s">
        <v>3896</v>
      </c>
    </row>
    <row r="36" spans="1:2" x14ac:dyDescent="0.35">
      <c r="A36" s="13" t="s">
        <v>3984</v>
      </c>
      <c r="B36" s="13" t="s">
        <v>3984</v>
      </c>
    </row>
    <row r="37" spans="1:2" x14ac:dyDescent="0.35">
      <c r="A37" s="13" t="s">
        <v>3908</v>
      </c>
      <c r="B37" s="13" t="s">
        <v>3908</v>
      </c>
    </row>
    <row r="38" spans="1:2" x14ac:dyDescent="0.35">
      <c r="A38" s="13" t="s">
        <v>4091</v>
      </c>
      <c r="B38" s="13" t="s">
        <v>4091</v>
      </c>
    </row>
    <row r="39" spans="1:2" x14ac:dyDescent="0.35">
      <c r="A39" s="13" t="s">
        <v>3880</v>
      </c>
      <c r="B39" s="13" t="s">
        <v>3880</v>
      </c>
    </row>
    <row r="40" spans="1:2" x14ac:dyDescent="0.35">
      <c r="A40" s="13" t="s">
        <v>3874</v>
      </c>
      <c r="B40" s="13" t="s">
        <v>3874</v>
      </c>
    </row>
    <row r="41" spans="1:2" x14ac:dyDescent="0.35">
      <c r="A41" s="13" t="s">
        <v>4079</v>
      </c>
      <c r="B41" s="13" t="s">
        <v>4079</v>
      </c>
    </row>
    <row r="42" spans="1:2" x14ac:dyDescent="0.35">
      <c r="A42" s="13" t="s">
        <v>3891</v>
      </c>
      <c r="B42" s="13" t="s">
        <v>3891</v>
      </c>
    </row>
    <row r="43" spans="1:2" x14ac:dyDescent="0.35">
      <c r="A43" s="13" t="s">
        <v>3916</v>
      </c>
      <c r="B43" s="13" t="s">
        <v>3916</v>
      </c>
    </row>
    <row r="44" spans="1:2" x14ac:dyDescent="0.35">
      <c r="A44" s="13" t="s">
        <v>4122</v>
      </c>
      <c r="B44" s="13" t="s">
        <v>4122</v>
      </c>
    </row>
    <row r="45" spans="1:2" x14ac:dyDescent="0.35">
      <c r="A45" s="13" t="s">
        <v>298</v>
      </c>
      <c r="B45" s="13" t="s">
        <v>298</v>
      </c>
    </row>
    <row r="46" spans="1:2" x14ac:dyDescent="0.35">
      <c r="A46" s="13" t="s">
        <v>3939</v>
      </c>
      <c r="B46" s="13" t="s">
        <v>3939</v>
      </c>
    </row>
    <row r="47" spans="1:2" x14ac:dyDescent="0.35">
      <c r="A47" s="13" t="s">
        <v>4139</v>
      </c>
      <c r="B47" s="13" t="s">
        <v>4139</v>
      </c>
    </row>
    <row r="48" spans="1:2" x14ac:dyDescent="0.35">
      <c r="A48" s="13" t="s">
        <v>3950</v>
      </c>
      <c r="B48" s="13" t="s">
        <v>3950</v>
      </c>
    </row>
    <row r="49" spans="1:2" x14ac:dyDescent="0.35">
      <c r="A49" s="13" t="s">
        <v>381</v>
      </c>
      <c r="B49" s="13" t="s">
        <v>381</v>
      </c>
    </row>
    <row r="50" spans="1:2" x14ac:dyDescent="0.35">
      <c r="A50" s="13" t="s">
        <v>3917</v>
      </c>
      <c r="B50" s="13" t="s">
        <v>3917</v>
      </c>
    </row>
    <row r="51" spans="1:2" x14ac:dyDescent="0.35">
      <c r="A51" s="13" t="s">
        <v>3898</v>
      </c>
      <c r="B51" s="13" t="s">
        <v>3898</v>
      </c>
    </row>
    <row r="52" spans="1:2" x14ac:dyDescent="0.35">
      <c r="A52" s="13" t="s">
        <v>4006</v>
      </c>
      <c r="B52" s="13" t="s">
        <v>4006</v>
      </c>
    </row>
    <row r="53" spans="1:2" x14ac:dyDescent="0.35">
      <c r="A53" s="13" t="s">
        <v>4081</v>
      </c>
      <c r="B53" s="13" t="s">
        <v>4081</v>
      </c>
    </row>
    <row r="54" spans="1:2" x14ac:dyDescent="0.35">
      <c r="A54" s="13" t="s">
        <v>4011</v>
      </c>
      <c r="B54" s="13" t="s">
        <v>4011</v>
      </c>
    </row>
    <row r="55" spans="1:2" x14ac:dyDescent="0.35">
      <c r="A55" s="13" t="s">
        <v>492</v>
      </c>
      <c r="B55" s="13" t="s">
        <v>492</v>
      </c>
    </row>
    <row r="56" spans="1:2" x14ac:dyDescent="0.35">
      <c r="A56" s="13" t="s">
        <v>3969</v>
      </c>
      <c r="B56" s="13" t="s">
        <v>3969</v>
      </c>
    </row>
    <row r="57" spans="1:2" x14ac:dyDescent="0.35">
      <c r="A57" s="13" t="s">
        <v>265</v>
      </c>
      <c r="B57" s="13" t="s">
        <v>265</v>
      </c>
    </row>
    <row r="58" spans="1:2" x14ac:dyDescent="0.35">
      <c r="A58" s="13" t="s">
        <v>3858</v>
      </c>
      <c r="B58" s="13" t="s">
        <v>3858</v>
      </c>
    </row>
    <row r="59" spans="1:2" x14ac:dyDescent="0.35">
      <c r="A59" s="13" t="s">
        <v>553</v>
      </c>
      <c r="B59" s="13" t="s">
        <v>553</v>
      </c>
    </row>
    <row r="60" spans="1:2" x14ac:dyDescent="0.35">
      <c r="A60" s="13" t="s">
        <v>3833</v>
      </c>
      <c r="B60" s="13" t="s">
        <v>3833</v>
      </c>
    </row>
    <row r="61" spans="1:2" x14ac:dyDescent="0.35">
      <c r="A61" s="13" t="s">
        <v>3945</v>
      </c>
      <c r="B61" s="13" t="s">
        <v>3945</v>
      </c>
    </row>
    <row r="62" spans="1:2" x14ac:dyDescent="0.35">
      <c r="A62" s="13" t="s">
        <v>3841</v>
      </c>
      <c r="B62" s="13" t="s">
        <v>3841</v>
      </c>
    </row>
    <row r="63" spans="1:2" x14ac:dyDescent="0.35">
      <c r="A63" s="13" t="s">
        <v>4162</v>
      </c>
      <c r="B63" s="13" t="s">
        <v>4162</v>
      </c>
    </row>
    <row r="64" spans="1:2" x14ac:dyDescent="0.35">
      <c r="A64" s="13" t="s">
        <v>4096</v>
      </c>
      <c r="B64" s="13" t="s">
        <v>4096</v>
      </c>
    </row>
    <row r="65" spans="1:3" x14ac:dyDescent="0.35">
      <c r="A65" s="13" t="s">
        <v>4160</v>
      </c>
      <c r="B65" s="13" t="s">
        <v>4160</v>
      </c>
    </row>
    <row r="66" spans="1:3" x14ac:dyDescent="0.35">
      <c r="A66" s="13" t="s">
        <v>3931</v>
      </c>
      <c r="B66" s="13" t="s">
        <v>3931</v>
      </c>
    </row>
    <row r="67" spans="1:3" x14ac:dyDescent="0.35">
      <c r="A67" s="13" t="s">
        <v>4135</v>
      </c>
      <c r="B67" s="13" t="s">
        <v>4135</v>
      </c>
    </row>
    <row r="68" spans="1:3" x14ac:dyDescent="0.35">
      <c r="A68" s="13" t="s">
        <v>4119</v>
      </c>
      <c r="B68" s="13" t="s">
        <v>4119</v>
      </c>
    </row>
    <row r="69" spans="1:3" x14ac:dyDescent="0.35">
      <c r="A69" s="13" t="s">
        <v>4101</v>
      </c>
      <c r="B69" s="13" t="s">
        <v>4101</v>
      </c>
    </row>
    <row r="70" spans="1:3" x14ac:dyDescent="0.35">
      <c r="A70" s="13" t="s">
        <v>3932</v>
      </c>
      <c r="B70" s="13" t="s">
        <v>3932</v>
      </c>
    </row>
    <row r="71" spans="1:3" x14ac:dyDescent="0.35">
      <c r="A71" s="13" t="s">
        <v>3938</v>
      </c>
      <c r="B71" s="13" t="s">
        <v>3932</v>
      </c>
    </row>
    <row r="72" spans="1:3" x14ac:dyDescent="0.35">
      <c r="A72" s="13" t="s">
        <v>3901</v>
      </c>
      <c r="B72" s="13" t="s">
        <v>3901</v>
      </c>
      <c r="C72" t="s">
        <v>4176</v>
      </c>
    </row>
    <row r="73" spans="1:3" x14ac:dyDescent="0.35">
      <c r="A73" s="13" t="s">
        <v>1095</v>
      </c>
      <c r="B73" s="13" t="s">
        <v>3901</v>
      </c>
    </row>
    <row r="74" spans="1:3" x14ac:dyDescent="0.35">
      <c r="A74" s="13" t="s">
        <v>78</v>
      </c>
      <c r="B74" s="13" t="s">
        <v>78</v>
      </c>
      <c r="C74" t="s">
        <v>4177</v>
      </c>
    </row>
    <row r="75" spans="1:3" x14ac:dyDescent="0.35">
      <c r="A75" s="13" t="s">
        <v>4121</v>
      </c>
      <c r="B75" s="13" t="s">
        <v>4121</v>
      </c>
    </row>
    <row r="76" spans="1:3" x14ac:dyDescent="0.35">
      <c r="A76" s="13" t="s">
        <v>4166</v>
      </c>
      <c r="B76" s="13" t="s">
        <v>4121</v>
      </c>
    </row>
    <row r="77" spans="1:3" x14ac:dyDescent="0.35">
      <c r="A77" s="13" t="s">
        <v>4126</v>
      </c>
      <c r="B77" s="13" t="s">
        <v>4126</v>
      </c>
    </row>
    <row r="78" spans="1:3" x14ac:dyDescent="0.35">
      <c r="A78" s="13" t="s">
        <v>4153</v>
      </c>
      <c r="B78" s="13" t="s">
        <v>4153</v>
      </c>
    </row>
    <row r="79" spans="1:3" x14ac:dyDescent="0.35">
      <c r="A79" s="13" t="s">
        <v>4141</v>
      </c>
      <c r="B79" s="13" t="s">
        <v>4141</v>
      </c>
    </row>
    <row r="80" spans="1:3" x14ac:dyDescent="0.35">
      <c r="A80" s="13" t="s">
        <v>4127</v>
      </c>
      <c r="B80" s="13" t="s">
        <v>4127</v>
      </c>
    </row>
    <row r="81" spans="1:3" x14ac:dyDescent="0.35">
      <c r="A81" s="13" t="s">
        <v>4074</v>
      </c>
      <c r="B81" s="13" t="s">
        <v>4074</v>
      </c>
    </row>
    <row r="82" spans="1:3" x14ac:dyDescent="0.35">
      <c r="A82" s="13" t="s">
        <v>1563</v>
      </c>
      <c r="B82" s="13" t="s">
        <v>1563</v>
      </c>
    </row>
    <row r="83" spans="1:3" x14ac:dyDescent="0.35">
      <c r="A83" s="13" t="s">
        <v>14</v>
      </c>
      <c r="B83" s="13" t="s">
        <v>14</v>
      </c>
    </row>
    <row r="84" spans="1:3" x14ac:dyDescent="0.35">
      <c r="A84" s="13" t="s">
        <v>3877</v>
      </c>
      <c r="B84" s="13" t="s">
        <v>3877</v>
      </c>
    </row>
    <row r="85" spans="1:3" x14ac:dyDescent="0.35">
      <c r="A85" s="13" t="s">
        <v>3828</v>
      </c>
      <c r="B85" s="13" t="s">
        <v>3828</v>
      </c>
      <c r="C85" t="s">
        <v>4173</v>
      </c>
    </row>
    <row r="86" spans="1:3" x14ac:dyDescent="0.35">
      <c r="A86" s="13" t="s">
        <v>3830</v>
      </c>
      <c r="B86" s="13" t="s">
        <v>3830</v>
      </c>
      <c r="C86" t="s">
        <v>4174</v>
      </c>
    </row>
    <row r="87" spans="1:3" x14ac:dyDescent="0.35">
      <c r="A87" s="13" t="s">
        <v>4138</v>
      </c>
      <c r="B87" s="13" t="s">
        <v>4138</v>
      </c>
    </row>
    <row r="88" spans="1:3" x14ac:dyDescent="0.35">
      <c r="A88" s="13" t="s">
        <v>3981</v>
      </c>
      <c r="B88" s="13" t="s">
        <v>3981</v>
      </c>
    </row>
    <row r="89" spans="1:3" x14ac:dyDescent="0.35">
      <c r="A89" s="13" t="s">
        <v>4010</v>
      </c>
      <c r="B89" s="13" t="s">
        <v>4010</v>
      </c>
    </row>
    <row r="90" spans="1:3" x14ac:dyDescent="0.35">
      <c r="A90" s="13" t="s">
        <v>3840</v>
      </c>
      <c r="B90" s="13" t="s">
        <v>3840</v>
      </c>
    </row>
    <row r="91" spans="1:3" x14ac:dyDescent="0.35">
      <c r="A91" s="13" t="s">
        <v>1761</v>
      </c>
      <c r="B91" s="13" t="s">
        <v>1761</v>
      </c>
    </row>
    <row r="92" spans="1:3" x14ac:dyDescent="0.35">
      <c r="A92" s="13" t="s">
        <v>284</v>
      </c>
      <c r="B92" s="13" t="s">
        <v>284</v>
      </c>
    </row>
    <row r="93" spans="1:3" x14ac:dyDescent="0.35">
      <c r="A93" s="13" t="s">
        <v>4043</v>
      </c>
      <c r="B93" s="13" t="s">
        <v>4043</v>
      </c>
    </row>
    <row r="94" spans="1:3" x14ac:dyDescent="0.35">
      <c r="A94" s="13" t="s">
        <v>4145</v>
      </c>
      <c r="B94" s="13" t="s">
        <v>4145</v>
      </c>
    </row>
    <row r="95" spans="1:3" x14ac:dyDescent="0.35">
      <c r="A95" s="13" t="s">
        <v>4054</v>
      </c>
      <c r="B95" s="13" t="s">
        <v>4054</v>
      </c>
    </row>
    <row r="96" spans="1:3" x14ac:dyDescent="0.35">
      <c r="A96" s="13" t="s">
        <v>3905</v>
      </c>
      <c r="B96" s="13" t="s">
        <v>3905</v>
      </c>
    </row>
    <row r="97" spans="1:2" x14ac:dyDescent="0.35">
      <c r="A97" s="13" t="s">
        <v>4159</v>
      </c>
      <c r="B97" s="13" t="s">
        <v>4159</v>
      </c>
    </row>
    <row r="98" spans="1:2" x14ac:dyDescent="0.35">
      <c r="A98" s="13" t="s">
        <v>122</v>
      </c>
      <c r="B98" s="13" t="s">
        <v>122</v>
      </c>
    </row>
    <row r="99" spans="1:2" x14ac:dyDescent="0.35">
      <c r="A99" s="13" t="s">
        <v>4111</v>
      </c>
      <c r="B99" s="13" t="s">
        <v>4111</v>
      </c>
    </row>
    <row r="100" spans="1:2" x14ac:dyDescent="0.35">
      <c r="A100" s="13" t="s">
        <v>4133</v>
      </c>
      <c r="B100" s="13" t="s">
        <v>4133</v>
      </c>
    </row>
    <row r="101" spans="1:2" x14ac:dyDescent="0.35">
      <c r="A101" s="13" t="s">
        <v>4146</v>
      </c>
      <c r="B101" s="13" t="s">
        <v>4146</v>
      </c>
    </row>
    <row r="102" spans="1:2" x14ac:dyDescent="0.35">
      <c r="A102" s="13" t="s">
        <v>4077</v>
      </c>
      <c r="B102" s="13" t="s">
        <v>4077</v>
      </c>
    </row>
    <row r="103" spans="1:2" x14ac:dyDescent="0.35">
      <c r="A103" s="13" t="s">
        <v>4154</v>
      </c>
      <c r="B103" s="13" t="s">
        <v>4154</v>
      </c>
    </row>
    <row r="104" spans="1:2" x14ac:dyDescent="0.35">
      <c r="A104" s="13" t="s">
        <v>4157</v>
      </c>
      <c r="B104" s="13" t="s">
        <v>4157</v>
      </c>
    </row>
    <row r="105" spans="1:2" x14ac:dyDescent="0.35">
      <c r="A105" s="13" t="s">
        <v>4064</v>
      </c>
      <c r="B105" s="13" t="s">
        <v>4064</v>
      </c>
    </row>
    <row r="106" spans="1:2" x14ac:dyDescent="0.35">
      <c r="A106" s="13" t="s">
        <v>3956</v>
      </c>
      <c r="B106" s="13" t="s">
        <v>3956</v>
      </c>
    </row>
    <row r="107" spans="1:2" x14ac:dyDescent="0.35">
      <c r="A107" s="13" t="s">
        <v>153</v>
      </c>
      <c r="B107" s="13" t="s">
        <v>153</v>
      </c>
    </row>
    <row r="108" spans="1:2" x14ac:dyDescent="0.35">
      <c r="A108" s="13" t="s">
        <v>683</v>
      </c>
      <c r="B108" s="13" t="s">
        <v>683</v>
      </c>
    </row>
    <row r="109" spans="1:2" x14ac:dyDescent="0.35">
      <c r="A109" s="13" t="s">
        <v>4044</v>
      </c>
      <c r="B109" s="13" t="s">
        <v>4044</v>
      </c>
    </row>
    <row r="110" spans="1:2" x14ac:dyDescent="0.35">
      <c r="A110" s="13" t="s">
        <v>4113</v>
      </c>
      <c r="B110" s="13" t="s">
        <v>4113</v>
      </c>
    </row>
    <row r="111" spans="1:2" x14ac:dyDescent="0.35">
      <c r="A111" s="13" t="s">
        <v>3985</v>
      </c>
      <c r="B111" s="13" t="s">
        <v>3985</v>
      </c>
    </row>
    <row r="112" spans="1:2" x14ac:dyDescent="0.35">
      <c r="A112" s="13" t="s">
        <v>4019</v>
      </c>
      <c r="B112" s="13" t="s">
        <v>4019</v>
      </c>
    </row>
    <row r="113" spans="1:2" x14ac:dyDescent="0.35">
      <c r="A113" s="13" t="s">
        <v>3921</v>
      </c>
      <c r="B113" s="13" t="s">
        <v>3921</v>
      </c>
    </row>
    <row r="114" spans="1:2" x14ac:dyDescent="0.35">
      <c r="A114" s="13" t="s">
        <v>3890</v>
      </c>
      <c r="B114" s="13" t="s">
        <v>3890</v>
      </c>
    </row>
    <row r="115" spans="1:2" x14ac:dyDescent="0.35">
      <c r="A115" s="13" t="s">
        <v>4124</v>
      </c>
      <c r="B115" s="13" t="s">
        <v>4124</v>
      </c>
    </row>
    <row r="116" spans="1:2" x14ac:dyDescent="0.35">
      <c r="A116" s="13" t="s">
        <v>3906</v>
      </c>
      <c r="B116" s="13" t="s">
        <v>3906</v>
      </c>
    </row>
    <row r="117" spans="1:2" x14ac:dyDescent="0.35">
      <c r="A117" s="13" t="s">
        <v>4105</v>
      </c>
      <c r="B117" s="13" t="s">
        <v>4105</v>
      </c>
    </row>
    <row r="118" spans="1:2" x14ac:dyDescent="0.35">
      <c r="A118" s="13" t="s">
        <v>3961</v>
      </c>
      <c r="B118" s="13" t="s">
        <v>3961</v>
      </c>
    </row>
    <row r="119" spans="1:2" x14ac:dyDescent="0.35">
      <c r="A119" s="13" t="s">
        <v>3926</v>
      </c>
      <c r="B119" s="13" t="s">
        <v>3926</v>
      </c>
    </row>
    <row r="120" spans="1:2" x14ac:dyDescent="0.35">
      <c r="A120" s="13" t="s">
        <v>4030</v>
      </c>
      <c r="B120" s="13" t="s">
        <v>4030</v>
      </c>
    </row>
    <row r="121" spans="1:2" x14ac:dyDescent="0.35">
      <c r="A121" s="13" t="s">
        <v>3944</v>
      </c>
      <c r="B121" s="13" t="s">
        <v>3944</v>
      </c>
    </row>
    <row r="122" spans="1:2" x14ac:dyDescent="0.35">
      <c r="A122" s="13" t="s">
        <v>4099</v>
      </c>
      <c r="B122" s="13" t="s">
        <v>4099</v>
      </c>
    </row>
    <row r="123" spans="1:2" x14ac:dyDescent="0.35">
      <c r="A123" s="13" t="s">
        <v>1459</v>
      </c>
      <c r="B123" s="13" t="s">
        <v>1459</v>
      </c>
    </row>
    <row r="124" spans="1:2" x14ac:dyDescent="0.35">
      <c r="A124" s="13" t="s">
        <v>3979</v>
      </c>
      <c r="B124" s="13" t="s">
        <v>1459</v>
      </c>
    </row>
    <row r="125" spans="1:2" x14ac:dyDescent="0.35">
      <c r="A125" s="13" t="s">
        <v>4143</v>
      </c>
      <c r="B125" s="13" t="s">
        <v>4143</v>
      </c>
    </row>
    <row r="126" spans="1:2" x14ac:dyDescent="0.35">
      <c r="A126" s="13" t="s">
        <v>3827</v>
      </c>
      <c r="B126" s="13" t="s">
        <v>3827</v>
      </c>
    </row>
    <row r="127" spans="1:2" x14ac:dyDescent="0.35">
      <c r="A127" s="13" t="s">
        <v>4142</v>
      </c>
      <c r="B127" s="13" t="s">
        <v>4142</v>
      </c>
    </row>
    <row r="128" spans="1:2" x14ac:dyDescent="0.35">
      <c r="A128" s="13" t="s">
        <v>4107</v>
      </c>
      <c r="B128" s="13" t="s">
        <v>4107</v>
      </c>
    </row>
    <row r="129" spans="1:2" x14ac:dyDescent="0.35">
      <c r="A129" s="13" t="s">
        <v>4098</v>
      </c>
      <c r="B129" s="13" t="s">
        <v>4098</v>
      </c>
    </row>
    <row r="130" spans="1:2" x14ac:dyDescent="0.35">
      <c r="A130" s="13" t="s">
        <v>4106</v>
      </c>
      <c r="B130" s="13" t="s">
        <v>4106</v>
      </c>
    </row>
    <row r="131" spans="1:2" x14ac:dyDescent="0.35">
      <c r="A131" s="13" t="s">
        <v>3868</v>
      </c>
      <c r="B131" s="13" t="s">
        <v>3868</v>
      </c>
    </row>
    <row r="132" spans="1:2" x14ac:dyDescent="0.35">
      <c r="A132" s="13" t="s">
        <v>3854</v>
      </c>
      <c r="B132" s="13" t="s">
        <v>3854</v>
      </c>
    </row>
    <row r="133" spans="1:2" x14ac:dyDescent="0.35">
      <c r="A133" s="13" t="s">
        <v>3942</v>
      </c>
      <c r="B133" s="13" t="s">
        <v>3942</v>
      </c>
    </row>
    <row r="134" spans="1:2" x14ac:dyDescent="0.35">
      <c r="A134" s="13" t="s">
        <v>4061</v>
      </c>
      <c r="B134" s="13" t="s">
        <v>4061</v>
      </c>
    </row>
    <row r="135" spans="1:2" x14ac:dyDescent="0.35">
      <c r="A135" s="13" t="s">
        <v>3836</v>
      </c>
      <c r="B135" s="13" t="s">
        <v>3836</v>
      </c>
    </row>
    <row r="136" spans="1:2" x14ac:dyDescent="0.35">
      <c r="A136" s="13" t="s">
        <v>845</v>
      </c>
      <c r="B136" s="13" t="s">
        <v>845</v>
      </c>
    </row>
    <row r="137" spans="1:2" x14ac:dyDescent="0.35">
      <c r="A137" s="13" t="s">
        <v>3951</v>
      </c>
      <c r="B137" s="13" t="s">
        <v>3951</v>
      </c>
    </row>
    <row r="138" spans="1:2" x14ac:dyDescent="0.35">
      <c r="A138" s="13" t="s">
        <v>4102</v>
      </c>
      <c r="B138" s="13" t="s">
        <v>4102</v>
      </c>
    </row>
    <row r="139" spans="1:2" x14ac:dyDescent="0.35">
      <c r="A139" s="13" t="s">
        <v>3912</v>
      </c>
      <c r="B139" s="13" t="s">
        <v>3912</v>
      </c>
    </row>
    <row r="140" spans="1:2" x14ac:dyDescent="0.35">
      <c r="A140" s="13" t="s">
        <v>3876</v>
      </c>
      <c r="B140" s="13" t="s">
        <v>3876</v>
      </c>
    </row>
    <row r="141" spans="1:2" x14ac:dyDescent="0.35">
      <c r="A141" s="13" t="s">
        <v>3949</v>
      </c>
      <c r="B141" s="13" t="s">
        <v>3949</v>
      </c>
    </row>
    <row r="142" spans="1:2" x14ac:dyDescent="0.35">
      <c r="A142" s="13" t="s">
        <v>1130</v>
      </c>
      <c r="B142" s="13" t="s">
        <v>1130</v>
      </c>
    </row>
    <row r="143" spans="1:2" x14ac:dyDescent="0.35">
      <c r="A143" s="13" t="s">
        <v>3870</v>
      </c>
      <c r="B143" s="13" t="s">
        <v>3870</v>
      </c>
    </row>
    <row r="144" spans="1:2" x14ac:dyDescent="0.35">
      <c r="A144" s="13" t="s">
        <v>4058</v>
      </c>
      <c r="B144" s="13" t="s">
        <v>4058</v>
      </c>
    </row>
    <row r="145" spans="1:2" x14ac:dyDescent="0.35">
      <c r="A145" s="13" t="s">
        <v>268</v>
      </c>
      <c r="B145" s="13" t="s">
        <v>268</v>
      </c>
    </row>
    <row r="146" spans="1:2" x14ac:dyDescent="0.35">
      <c r="A146" s="13" t="s">
        <v>984</v>
      </c>
      <c r="B146" s="13" t="s">
        <v>984</v>
      </c>
    </row>
    <row r="147" spans="1:2" x14ac:dyDescent="0.35">
      <c r="A147" s="13" t="s">
        <v>4020</v>
      </c>
      <c r="B147" s="13" t="s">
        <v>4020</v>
      </c>
    </row>
    <row r="148" spans="1:2" x14ac:dyDescent="0.35">
      <c r="A148" s="13" t="s">
        <v>4004</v>
      </c>
      <c r="B148" s="13" t="s">
        <v>4004</v>
      </c>
    </row>
    <row r="149" spans="1:2" x14ac:dyDescent="0.35">
      <c r="A149" s="13" t="s">
        <v>3859</v>
      </c>
      <c r="B149" s="13" t="s">
        <v>3859</v>
      </c>
    </row>
    <row r="150" spans="1:2" x14ac:dyDescent="0.35">
      <c r="A150" s="13" t="s">
        <v>3873</v>
      </c>
      <c r="B150" s="13" t="s">
        <v>3873</v>
      </c>
    </row>
    <row r="151" spans="1:2" x14ac:dyDescent="0.35">
      <c r="A151" s="13" t="s">
        <v>354</v>
      </c>
      <c r="B151" s="13" t="s">
        <v>354</v>
      </c>
    </row>
    <row r="152" spans="1:2" x14ac:dyDescent="0.35">
      <c r="A152" s="13" t="s">
        <v>4148</v>
      </c>
      <c r="B152" s="13" t="s">
        <v>4148</v>
      </c>
    </row>
    <row r="153" spans="1:2" x14ac:dyDescent="0.35">
      <c r="A153" s="13" t="s">
        <v>1758</v>
      </c>
      <c r="B153" s="13" t="s">
        <v>1758</v>
      </c>
    </row>
    <row r="154" spans="1:2" x14ac:dyDescent="0.35">
      <c r="A154" s="13" t="s">
        <v>1226</v>
      </c>
      <c r="B154" s="13" t="s">
        <v>1226</v>
      </c>
    </row>
    <row r="155" spans="1:2" x14ac:dyDescent="0.35">
      <c r="A155" s="13" t="s">
        <v>4045</v>
      </c>
      <c r="B155" s="13" t="s">
        <v>1226</v>
      </c>
    </row>
    <row r="156" spans="1:2" x14ac:dyDescent="0.35">
      <c r="A156" s="13" t="s">
        <v>3902</v>
      </c>
      <c r="B156" s="13" t="s">
        <v>59</v>
      </c>
    </row>
    <row r="157" spans="1:2" x14ac:dyDescent="0.35">
      <c r="A157" s="13" t="s">
        <v>59</v>
      </c>
      <c r="B157" s="13" t="s">
        <v>59</v>
      </c>
    </row>
    <row r="158" spans="1:2" x14ac:dyDescent="0.35">
      <c r="A158" s="13" t="s">
        <v>3829</v>
      </c>
      <c r="B158" s="13" t="s">
        <v>59</v>
      </c>
    </row>
    <row r="159" spans="1:2" x14ac:dyDescent="0.35">
      <c r="A159" s="13" t="s">
        <v>3977</v>
      </c>
      <c r="B159" s="13" t="s">
        <v>3977</v>
      </c>
    </row>
    <row r="160" spans="1:2" x14ac:dyDescent="0.35">
      <c r="A160" s="13" t="s">
        <v>3907</v>
      </c>
      <c r="B160" s="13" t="s">
        <v>3907</v>
      </c>
    </row>
    <row r="161" spans="1:2" x14ac:dyDescent="0.35">
      <c r="A161" s="13" t="s">
        <v>4050</v>
      </c>
      <c r="B161" s="13" t="s">
        <v>4050</v>
      </c>
    </row>
    <row r="162" spans="1:2" x14ac:dyDescent="0.35">
      <c r="A162" s="13" t="s">
        <v>3962</v>
      </c>
      <c r="B162" s="13" t="s">
        <v>3962</v>
      </c>
    </row>
    <row r="163" spans="1:2" x14ac:dyDescent="0.35">
      <c r="A163" s="13" t="s">
        <v>654</v>
      </c>
      <c r="B163" s="13" t="s">
        <v>654</v>
      </c>
    </row>
    <row r="164" spans="1:2" x14ac:dyDescent="0.35">
      <c r="A164" s="13" t="s">
        <v>3988</v>
      </c>
      <c r="B164" s="13" t="s">
        <v>3988</v>
      </c>
    </row>
    <row r="165" spans="1:2" x14ac:dyDescent="0.35">
      <c r="A165" s="13" t="s">
        <v>4087</v>
      </c>
      <c r="B165" s="13" t="s">
        <v>4087</v>
      </c>
    </row>
    <row r="166" spans="1:2" x14ac:dyDescent="0.35">
      <c r="A166" s="13" t="s">
        <v>3838</v>
      </c>
      <c r="B166" s="13" t="s">
        <v>3838</v>
      </c>
    </row>
    <row r="167" spans="1:2" x14ac:dyDescent="0.35">
      <c r="A167" s="13" t="s">
        <v>4008</v>
      </c>
      <c r="B167" s="13" t="s">
        <v>4008</v>
      </c>
    </row>
    <row r="168" spans="1:2" x14ac:dyDescent="0.35">
      <c r="A168" s="13" t="s">
        <v>4049</v>
      </c>
      <c r="B168" s="13" t="s">
        <v>4049</v>
      </c>
    </row>
    <row r="169" spans="1:2" x14ac:dyDescent="0.35">
      <c r="A169" s="13" t="s">
        <v>4169</v>
      </c>
      <c r="B169" s="13" t="s">
        <v>4169</v>
      </c>
    </row>
    <row r="170" spans="1:2" x14ac:dyDescent="0.35">
      <c r="A170" s="13" t="s">
        <v>4037</v>
      </c>
      <c r="B170" s="13" t="s">
        <v>4037</v>
      </c>
    </row>
    <row r="171" spans="1:2" x14ac:dyDescent="0.35">
      <c r="A171" s="13" t="s">
        <v>3964</v>
      </c>
      <c r="B171" s="13" t="s">
        <v>3964</v>
      </c>
    </row>
    <row r="172" spans="1:2" x14ac:dyDescent="0.35">
      <c r="A172" s="13" t="s">
        <v>4016</v>
      </c>
      <c r="B172" s="13" t="s">
        <v>4016</v>
      </c>
    </row>
    <row r="173" spans="1:2" x14ac:dyDescent="0.35">
      <c r="A173" s="13" t="s">
        <v>3893</v>
      </c>
      <c r="B173" s="13" t="s">
        <v>3893</v>
      </c>
    </row>
    <row r="174" spans="1:2" x14ac:dyDescent="0.35">
      <c r="A174" s="13" t="s">
        <v>4039</v>
      </c>
      <c r="B174" s="13" t="s">
        <v>4039</v>
      </c>
    </row>
    <row r="175" spans="1:2" x14ac:dyDescent="0.35">
      <c r="A175" s="13" t="s">
        <v>4108</v>
      </c>
      <c r="B175" s="13" t="s">
        <v>4108</v>
      </c>
    </row>
    <row r="176" spans="1:2" x14ac:dyDescent="0.35">
      <c r="A176" s="13" t="s">
        <v>3970</v>
      </c>
      <c r="B176" s="13" t="s">
        <v>3970</v>
      </c>
    </row>
    <row r="177" spans="1:2" x14ac:dyDescent="0.35">
      <c r="A177" s="13" t="s">
        <v>4125</v>
      </c>
      <c r="B177" s="13" t="s">
        <v>4125</v>
      </c>
    </row>
    <row r="178" spans="1:2" x14ac:dyDescent="0.35">
      <c r="A178" s="13" t="s">
        <v>4053</v>
      </c>
      <c r="B178" s="13" t="s">
        <v>4053</v>
      </c>
    </row>
    <row r="179" spans="1:2" x14ac:dyDescent="0.35">
      <c r="A179" s="13" t="s">
        <v>3936</v>
      </c>
      <c r="B179" s="13" t="s">
        <v>3936</v>
      </c>
    </row>
    <row r="180" spans="1:2" x14ac:dyDescent="0.35">
      <c r="A180" s="13" t="s">
        <v>4092</v>
      </c>
      <c r="B180" s="13" t="s">
        <v>4092</v>
      </c>
    </row>
    <row r="181" spans="1:2" x14ac:dyDescent="0.35">
      <c r="A181" s="13" t="s">
        <v>4013</v>
      </c>
      <c r="B181" s="13" t="s">
        <v>4013</v>
      </c>
    </row>
    <row r="182" spans="1:2" x14ac:dyDescent="0.35">
      <c r="A182" s="13" t="s">
        <v>4022</v>
      </c>
      <c r="B182" s="13" t="s">
        <v>4022</v>
      </c>
    </row>
    <row r="183" spans="1:2" x14ac:dyDescent="0.35">
      <c r="A183" s="13" t="s">
        <v>373</v>
      </c>
      <c r="B183" s="13" t="s">
        <v>373</v>
      </c>
    </row>
    <row r="184" spans="1:2" x14ac:dyDescent="0.35">
      <c r="A184" s="13" t="s">
        <v>4072</v>
      </c>
      <c r="B184" s="13" t="s">
        <v>4072</v>
      </c>
    </row>
    <row r="185" spans="1:2" x14ac:dyDescent="0.35">
      <c r="A185" s="13" t="s">
        <v>4095</v>
      </c>
      <c r="B185" s="13" t="s">
        <v>4095</v>
      </c>
    </row>
    <row r="186" spans="1:2" x14ac:dyDescent="0.35">
      <c r="A186" s="13" t="s">
        <v>4136</v>
      </c>
      <c r="B186" s="13" t="s">
        <v>4136</v>
      </c>
    </row>
    <row r="187" spans="1:2" x14ac:dyDescent="0.35">
      <c r="A187" s="13" t="s">
        <v>3889</v>
      </c>
      <c r="B187" s="13" t="s">
        <v>3889</v>
      </c>
    </row>
    <row r="188" spans="1:2" x14ac:dyDescent="0.35">
      <c r="A188" s="13" t="s">
        <v>4094</v>
      </c>
      <c r="B188" s="13" t="s">
        <v>4094</v>
      </c>
    </row>
    <row r="189" spans="1:2" x14ac:dyDescent="0.35">
      <c r="A189" s="13" t="s">
        <v>3863</v>
      </c>
      <c r="B189" s="13" t="s">
        <v>3863</v>
      </c>
    </row>
    <row r="190" spans="1:2" x14ac:dyDescent="0.35">
      <c r="A190" s="13" t="s">
        <v>3852</v>
      </c>
      <c r="B190" s="13" t="s">
        <v>3852</v>
      </c>
    </row>
    <row r="191" spans="1:2" x14ac:dyDescent="0.35">
      <c r="A191" s="13" t="s">
        <v>3899</v>
      </c>
      <c r="B191" s="13" t="s">
        <v>3899</v>
      </c>
    </row>
    <row r="192" spans="1:2" x14ac:dyDescent="0.35">
      <c r="A192" s="13" t="s">
        <v>3967</v>
      </c>
      <c r="B192" s="13" t="s">
        <v>3967</v>
      </c>
    </row>
    <row r="193" spans="1:2" x14ac:dyDescent="0.35">
      <c r="A193" s="13" t="s">
        <v>4147</v>
      </c>
      <c r="B193" s="13" t="s">
        <v>4147</v>
      </c>
    </row>
    <row r="194" spans="1:2" x14ac:dyDescent="0.35">
      <c r="A194" s="13" t="s">
        <v>3881</v>
      </c>
      <c r="B194" s="13" t="s">
        <v>3881</v>
      </c>
    </row>
    <row r="195" spans="1:2" x14ac:dyDescent="0.35">
      <c r="A195" s="13" t="s">
        <v>1020</v>
      </c>
      <c r="B195" s="13" t="s">
        <v>1020</v>
      </c>
    </row>
    <row r="196" spans="1:2" x14ac:dyDescent="0.35">
      <c r="A196" s="13" t="s">
        <v>3928</v>
      </c>
      <c r="B196" s="13" t="s">
        <v>3928</v>
      </c>
    </row>
    <row r="197" spans="1:2" x14ac:dyDescent="0.35">
      <c r="A197" s="13" t="s">
        <v>4120</v>
      </c>
      <c r="B197" s="13" t="s">
        <v>4120</v>
      </c>
    </row>
    <row r="198" spans="1:2" x14ac:dyDescent="0.35">
      <c r="A198" s="13" t="s">
        <v>3996</v>
      </c>
      <c r="B198" s="13" t="s">
        <v>3996</v>
      </c>
    </row>
    <row r="199" spans="1:2" x14ac:dyDescent="0.35">
      <c r="A199" s="13" t="s">
        <v>3937</v>
      </c>
      <c r="B199" s="13" t="s">
        <v>3937</v>
      </c>
    </row>
    <row r="200" spans="1:2" x14ac:dyDescent="0.35">
      <c r="A200" s="13" t="s">
        <v>399</v>
      </c>
      <c r="B200" s="13" t="s">
        <v>399</v>
      </c>
    </row>
    <row r="201" spans="1:2" x14ac:dyDescent="0.35">
      <c r="A201" s="13" t="s">
        <v>4059</v>
      </c>
      <c r="B201" s="13" t="s">
        <v>4059</v>
      </c>
    </row>
    <row r="202" spans="1:2" x14ac:dyDescent="0.35">
      <c r="A202" s="13" t="s">
        <v>112</v>
      </c>
      <c r="B202" s="13" t="s">
        <v>112</v>
      </c>
    </row>
    <row r="203" spans="1:2" x14ac:dyDescent="0.35">
      <c r="A203" s="13" t="s">
        <v>4021</v>
      </c>
      <c r="B203" s="13" t="s">
        <v>4021</v>
      </c>
    </row>
    <row r="204" spans="1:2" x14ac:dyDescent="0.35">
      <c r="A204" s="13" t="s">
        <v>3924</v>
      </c>
      <c r="B204" s="13" t="s">
        <v>4021</v>
      </c>
    </row>
    <row r="205" spans="1:2" x14ac:dyDescent="0.35">
      <c r="A205" s="13" t="s">
        <v>4114</v>
      </c>
      <c r="B205" s="13" t="s">
        <v>4114</v>
      </c>
    </row>
    <row r="206" spans="1:2" x14ac:dyDescent="0.35">
      <c r="A206" s="13" t="s">
        <v>3927</v>
      </c>
      <c r="B206" s="13" t="s">
        <v>3927</v>
      </c>
    </row>
    <row r="207" spans="1:2" x14ac:dyDescent="0.35">
      <c r="A207" s="13" t="s">
        <v>3998</v>
      </c>
      <c r="B207" s="13" t="s">
        <v>3998</v>
      </c>
    </row>
    <row r="208" spans="1:2" x14ac:dyDescent="0.35">
      <c r="A208" s="13" t="s">
        <v>4051</v>
      </c>
      <c r="B208" s="13" t="s">
        <v>4051</v>
      </c>
    </row>
    <row r="209" spans="1:3" x14ac:dyDescent="0.35">
      <c r="A209" s="13" t="s">
        <v>3975</v>
      </c>
      <c r="B209" s="13" t="s">
        <v>3975</v>
      </c>
    </row>
    <row r="210" spans="1:3" x14ac:dyDescent="0.35">
      <c r="A210" s="13" t="s">
        <v>4035</v>
      </c>
      <c r="B210" s="13" t="s">
        <v>4035</v>
      </c>
    </row>
    <row r="211" spans="1:3" x14ac:dyDescent="0.35">
      <c r="A211" s="13" t="s">
        <v>4012</v>
      </c>
      <c r="B211" s="13" t="s">
        <v>4012</v>
      </c>
    </row>
    <row r="212" spans="1:3" x14ac:dyDescent="0.35">
      <c r="A212" s="13" t="s">
        <v>3957</v>
      </c>
      <c r="B212" s="13" t="s">
        <v>3957</v>
      </c>
    </row>
    <row r="213" spans="1:3" x14ac:dyDescent="0.35">
      <c r="A213" s="13" t="s">
        <v>3920</v>
      </c>
      <c r="B213" s="13" t="s">
        <v>3920</v>
      </c>
    </row>
    <row r="214" spans="1:3" x14ac:dyDescent="0.35">
      <c r="A214" s="13" t="s">
        <v>4025</v>
      </c>
      <c r="B214" s="13" t="s">
        <v>4025</v>
      </c>
    </row>
    <row r="215" spans="1:3" x14ac:dyDescent="0.35">
      <c r="A215" s="13" t="s">
        <v>3900</v>
      </c>
      <c r="B215" s="13" t="s">
        <v>3900</v>
      </c>
    </row>
    <row r="216" spans="1:3" x14ac:dyDescent="0.35">
      <c r="A216" s="13" t="s">
        <v>4029</v>
      </c>
      <c r="B216" s="13" t="s">
        <v>4029</v>
      </c>
    </row>
    <row r="217" spans="1:3" x14ac:dyDescent="0.35">
      <c r="A217" s="13" t="s">
        <v>1066</v>
      </c>
      <c r="B217" s="13" t="s">
        <v>1066</v>
      </c>
    </row>
    <row r="218" spans="1:3" x14ac:dyDescent="0.35">
      <c r="A218" s="13" t="s">
        <v>3886</v>
      </c>
      <c r="B218" s="13" t="s">
        <v>3886</v>
      </c>
    </row>
    <row r="219" spans="1:3" x14ac:dyDescent="0.35">
      <c r="A219" s="13" t="s">
        <v>4163</v>
      </c>
      <c r="B219" s="13" t="s">
        <v>4163</v>
      </c>
    </row>
    <row r="220" spans="1:3" x14ac:dyDescent="0.35">
      <c r="A220" s="13" t="s">
        <v>71</v>
      </c>
      <c r="B220" s="13" t="s">
        <v>71</v>
      </c>
      <c r="C220" t="s">
        <v>566</v>
      </c>
    </row>
    <row r="221" spans="1:3" x14ac:dyDescent="0.35">
      <c r="A221" s="13" t="s">
        <v>3904</v>
      </c>
      <c r="B221" s="13" t="s">
        <v>3904</v>
      </c>
    </row>
    <row r="222" spans="1:3" x14ac:dyDescent="0.35">
      <c r="A222" s="13" t="s">
        <v>3851</v>
      </c>
      <c r="B222" s="13" t="s">
        <v>3851</v>
      </c>
    </row>
    <row r="223" spans="1:3" x14ac:dyDescent="0.35">
      <c r="A223" s="13" t="s">
        <v>4076</v>
      </c>
      <c r="B223" s="13" t="s">
        <v>4076</v>
      </c>
    </row>
    <row r="224" spans="1:3" x14ac:dyDescent="0.35">
      <c r="A224" s="13" t="s">
        <v>4065</v>
      </c>
      <c r="B224" s="13" t="s">
        <v>4065</v>
      </c>
    </row>
    <row r="225" spans="1:2" x14ac:dyDescent="0.35">
      <c r="A225" s="13" t="s">
        <v>1590</v>
      </c>
      <c r="B225" s="13" t="s">
        <v>1590</v>
      </c>
    </row>
    <row r="226" spans="1:2" x14ac:dyDescent="0.35">
      <c r="A226" s="13" t="s">
        <v>4132</v>
      </c>
      <c r="B226" s="13" t="s">
        <v>1590</v>
      </c>
    </row>
    <row r="227" spans="1:2" x14ac:dyDescent="0.35">
      <c r="A227" s="13" t="s">
        <v>4032</v>
      </c>
      <c r="B227" s="13" t="s">
        <v>4032</v>
      </c>
    </row>
    <row r="228" spans="1:2" x14ac:dyDescent="0.35">
      <c r="A228" s="13" t="s">
        <v>4060</v>
      </c>
      <c r="B228" s="13" t="s">
        <v>4060</v>
      </c>
    </row>
    <row r="229" spans="1:2" x14ac:dyDescent="0.35">
      <c r="A229" s="13" t="s">
        <v>4116</v>
      </c>
      <c r="B229" s="13" t="s">
        <v>4116</v>
      </c>
    </row>
    <row r="230" spans="1:2" x14ac:dyDescent="0.35">
      <c r="A230" s="13" t="s">
        <v>3884</v>
      </c>
      <c r="B230" s="13" t="s">
        <v>3884</v>
      </c>
    </row>
    <row r="231" spans="1:2" x14ac:dyDescent="0.35">
      <c r="A231" s="13" t="s">
        <v>1024</v>
      </c>
      <c r="B231" s="13" t="s">
        <v>1024</v>
      </c>
    </row>
    <row r="232" spans="1:2" x14ac:dyDescent="0.35">
      <c r="A232" s="13" t="s">
        <v>3934</v>
      </c>
      <c r="B232" s="13" t="s">
        <v>1024</v>
      </c>
    </row>
    <row r="233" spans="1:2" x14ac:dyDescent="0.35">
      <c r="A233" s="13" t="s">
        <v>4068</v>
      </c>
      <c r="B233" s="13" t="s">
        <v>4068</v>
      </c>
    </row>
    <row r="234" spans="1:2" x14ac:dyDescent="0.35">
      <c r="A234" s="13" t="s">
        <v>3978</v>
      </c>
      <c r="B234" s="13" t="s">
        <v>3978</v>
      </c>
    </row>
    <row r="235" spans="1:2" x14ac:dyDescent="0.35">
      <c r="A235" s="13" t="s">
        <v>3955</v>
      </c>
      <c r="B235" s="13" t="s">
        <v>3955</v>
      </c>
    </row>
    <row r="236" spans="1:2" x14ac:dyDescent="0.35">
      <c r="A236" s="13" t="s">
        <v>1312</v>
      </c>
      <c r="B236" s="13" t="s">
        <v>1312</v>
      </c>
    </row>
    <row r="237" spans="1:2" x14ac:dyDescent="0.35">
      <c r="A237" s="13" t="s">
        <v>4071</v>
      </c>
      <c r="B237" s="13" t="s">
        <v>1312</v>
      </c>
    </row>
    <row r="238" spans="1:2" x14ac:dyDescent="0.35">
      <c r="A238" s="13" t="s">
        <v>4100</v>
      </c>
      <c r="B238" s="13" t="s">
        <v>4100</v>
      </c>
    </row>
    <row r="239" spans="1:2" x14ac:dyDescent="0.35">
      <c r="A239" s="13" t="s">
        <v>3993</v>
      </c>
      <c r="B239" s="13" t="s">
        <v>3993</v>
      </c>
    </row>
    <row r="240" spans="1:2" x14ac:dyDescent="0.35">
      <c r="A240" s="13" t="s">
        <v>4128</v>
      </c>
      <c r="B240" s="13" t="s">
        <v>4128</v>
      </c>
    </row>
    <row r="241" spans="1:2" x14ac:dyDescent="0.35">
      <c r="A241" s="13" t="s">
        <v>3850</v>
      </c>
      <c r="B241" s="13" t="s">
        <v>3850</v>
      </c>
    </row>
    <row r="242" spans="1:2" x14ac:dyDescent="0.35">
      <c r="A242" s="13" t="s">
        <v>4152</v>
      </c>
      <c r="B242" s="13" t="s">
        <v>4152</v>
      </c>
    </row>
    <row r="243" spans="1:2" x14ac:dyDescent="0.35">
      <c r="A243" s="13" t="s">
        <v>4055</v>
      </c>
      <c r="B243" s="13" t="s">
        <v>4055</v>
      </c>
    </row>
    <row r="244" spans="1:2" x14ac:dyDescent="0.35">
      <c r="A244" s="13" t="s">
        <v>4062</v>
      </c>
      <c r="B244" s="13" t="s">
        <v>4062</v>
      </c>
    </row>
    <row r="245" spans="1:2" x14ac:dyDescent="0.35">
      <c r="A245" s="13" t="s">
        <v>3832</v>
      </c>
      <c r="B245" s="13" t="s">
        <v>3832</v>
      </c>
    </row>
    <row r="246" spans="1:2" x14ac:dyDescent="0.35">
      <c r="A246" s="13" t="s">
        <v>3846</v>
      </c>
      <c r="B246" s="13" t="s">
        <v>3846</v>
      </c>
    </row>
    <row r="247" spans="1:2" x14ac:dyDescent="0.35">
      <c r="A247" s="13" t="s">
        <v>4156</v>
      </c>
      <c r="B247" s="13" t="s">
        <v>4156</v>
      </c>
    </row>
    <row r="248" spans="1:2" x14ac:dyDescent="0.35">
      <c r="A248" s="13" t="s">
        <v>3971</v>
      </c>
      <c r="B248" s="13" t="s">
        <v>3971</v>
      </c>
    </row>
    <row r="249" spans="1:2" x14ac:dyDescent="0.35">
      <c r="A249" s="13" t="s">
        <v>3894</v>
      </c>
      <c r="B249" s="13" t="s">
        <v>3894</v>
      </c>
    </row>
    <row r="250" spans="1:2" x14ac:dyDescent="0.35">
      <c r="A250" s="13" t="s">
        <v>3933</v>
      </c>
      <c r="B250" s="13" t="s">
        <v>3933</v>
      </c>
    </row>
    <row r="251" spans="1:2" x14ac:dyDescent="0.35">
      <c r="A251" s="13" t="s">
        <v>1620</v>
      </c>
      <c r="B251" s="13" t="s">
        <v>1620</v>
      </c>
    </row>
    <row r="252" spans="1:2" x14ac:dyDescent="0.35">
      <c r="A252" s="13" t="s">
        <v>4144</v>
      </c>
      <c r="B252" s="13" t="s">
        <v>4144</v>
      </c>
    </row>
    <row r="253" spans="1:2" x14ac:dyDescent="0.35">
      <c r="A253" s="13" t="s">
        <v>4140</v>
      </c>
      <c r="B253" s="13" t="s">
        <v>4140</v>
      </c>
    </row>
    <row r="254" spans="1:2" x14ac:dyDescent="0.35">
      <c r="A254" s="13" t="s">
        <v>4171</v>
      </c>
      <c r="B254" s="13" t="s">
        <v>4171</v>
      </c>
    </row>
    <row r="255" spans="1:2" x14ac:dyDescent="0.35">
      <c r="A255" s="13" t="s">
        <v>4170</v>
      </c>
      <c r="B255" s="13" t="s">
        <v>4170</v>
      </c>
    </row>
    <row r="256" spans="1:2" x14ac:dyDescent="0.35">
      <c r="A256" s="13" t="s">
        <v>303</v>
      </c>
      <c r="B256" s="13" t="s">
        <v>303</v>
      </c>
    </row>
    <row r="257" spans="1:2" x14ac:dyDescent="0.35">
      <c r="A257" s="13" t="s">
        <v>4150</v>
      </c>
      <c r="B257" s="13" t="s">
        <v>4150</v>
      </c>
    </row>
    <row r="258" spans="1:2" x14ac:dyDescent="0.35">
      <c r="A258" s="13" t="s">
        <v>3869</v>
      </c>
      <c r="B258" s="13" t="s">
        <v>3869</v>
      </c>
    </row>
    <row r="259" spans="1:2" x14ac:dyDescent="0.35">
      <c r="A259" s="13" t="s">
        <v>3941</v>
      </c>
      <c r="B259" s="13" t="s">
        <v>3941</v>
      </c>
    </row>
    <row r="260" spans="1:2" x14ac:dyDescent="0.35">
      <c r="A260" s="13" t="s">
        <v>4001</v>
      </c>
      <c r="B260" s="13" t="s">
        <v>4001</v>
      </c>
    </row>
    <row r="261" spans="1:2" x14ac:dyDescent="0.35">
      <c r="A261" s="13" t="s">
        <v>4052</v>
      </c>
      <c r="B261" s="13" t="s">
        <v>4052</v>
      </c>
    </row>
    <row r="262" spans="1:2" x14ac:dyDescent="0.35">
      <c r="A262" s="13" t="s">
        <v>4031</v>
      </c>
      <c r="B262" s="13" t="s">
        <v>4031</v>
      </c>
    </row>
    <row r="263" spans="1:2" x14ac:dyDescent="0.35">
      <c r="A263" s="13" t="s">
        <v>3897</v>
      </c>
      <c r="B263" s="13" t="s">
        <v>3897</v>
      </c>
    </row>
    <row r="264" spans="1:2" x14ac:dyDescent="0.35">
      <c r="A264" s="13" t="s">
        <v>3992</v>
      </c>
      <c r="B264" s="13" t="s">
        <v>3992</v>
      </c>
    </row>
    <row r="265" spans="1:2" x14ac:dyDescent="0.35">
      <c r="A265" s="13" t="s">
        <v>3995</v>
      </c>
      <c r="B265" s="13" t="s">
        <v>3995</v>
      </c>
    </row>
    <row r="266" spans="1:2" x14ac:dyDescent="0.35">
      <c r="A266" s="13" t="s">
        <v>4089</v>
      </c>
      <c r="B266" s="13" t="s">
        <v>4089</v>
      </c>
    </row>
    <row r="267" spans="1:2" x14ac:dyDescent="0.35">
      <c r="A267" s="13" t="s">
        <v>4151</v>
      </c>
      <c r="B267" s="13" t="s">
        <v>4151</v>
      </c>
    </row>
    <row r="268" spans="1:2" x14ac:dyDescent="0.35">
      <c r="A268" s="13" t="s">
        <v>3980</v>
      </c>
      <c r="B268" s="13" t="s">
        <v>3980</v>
      </c>
    </row>
    <row r="269" spans="1:2" x14ac:dyDescent="0.35">
      <c r="A269" s="13" t="s">
        <v>4066</v>
      </c>
      <c r="B269" s="13" t="s">
        <v>3980</v>
      </c>
    </row>
    <row r="270" spans="1:2" x14ac:dyDescent="0.35">
      <c r="A270" s="13" t="s">
        <v>3943</v>
      </c>
      <c r="B270" s="13" t="s">
        <v>3943</v>
      </c>
    </row>
    <row r="271" spans="1:2" x14ac:dyDescent="0.35">
      <c r="A271" s="13" t="s">
        <v>4167</v>
      </c>
      <c r="B271" s="13" t="s">
        <v>4167</v>
      </c>
    </row>
    <row r="272" spans="1:2" x14ac:dyDescent="0.35">
      <c r="A272" s="13" t="s">
        <v>4137</v>
      </c>
      <c r="B272" s="13" t="s">
        <v>4137</v>
      </c>
    </row>
    <row r="273" spans="1:2" x14ac:dyDescent="0.35">
      <c r="A273" s="13" t="s">
        <v>3834</v>
      </c>
      <c r="B273" s="13" t="s">
        <v>3834</v>
      </c>
    </row>
    <row r="274" spans="1:2" x14ac:dyDescent="0.35">
      <c r="A274" s="13" t="s">
        <v>3847</v>
      </c>
      <c r="B274" s="13" t="s">
        <v>3847</v>
      </c>
    </row>
    <row r="275" spans="1:2" x14ac:dyDescent="0.35">
      <c r="A275" s="13" t="s">
        <v>3861</v>
      </c>
      <c r="B275" s="13" t="s">
        <v>3861</v>
      </c>
    </row>
    <row r="276" spans="1:2" x14ac:dyDescent="0.35">
      <c r="A276" s="13" t="s">
        <v>4033</v>
      </c>
      <c r="B276" s="13" t="s">
        <v>4033</v>
      </c>
    </row>
    <row r="277" spans="1:2" x14ac:dyDescent="0.35">
      <c r="A277" s="13" t="s">
        <v>1432</v>
      </c>
      <c r="B277" s="13" t="s">
        <v>1432</v>
      </c>
    </row>
    <row r="278" spans="1:2" x14ac:dyDescent="0.35">
      <c r="A278" s="13" t="s">
        <v>902</v>
      </c>
      <c r="B278" s="13" t="s">
        <v>902</v>
      </c>
    </row>
    <row r="279" spans="1:2" x14ac:dyDescent="0.35">
      <c r="A279" s="13" t="s">
        <v>3947</v>
      </c>
      <c r="B279" s="13" t="s">
        <v>902</v>
      </c>
    </row>
    <row r="280" spans="1:2" x14ac:dyDescent="0.35">
      <c r="A280" s="13" t="s">
        <v>4109</v>
      </c>
      <c r="B280" s="13" t="s">
        <v>4109</v>
      </c>
    </row>
    <row r="281" spans="1:2" x14ac:dyDescent="0.35">
      <c r="A281" s="13" t="s">
        <v>4115</v>
      </c>
      <c r="B281" s="13" t="s">
        <v>4115</v>
      </c>
    </row>
    <row r="282" spans="1:2" x14ac:dyDescent="0.35">
      <c r="A282" s="13" t="s">
        <v>3914</v>
      </c>
      <c r="B282" s="13" t="s">
        <v>3914</v>
      </c>
    </row>
    <row r="283" spans="1:2" x14ac:dyDescent="0.35">
      <c r="A283" s="13" t="s">
        <v>3885</v>
      </c>
      <c r="B283" s="13" t="s">
        <v>3885</v>
      </c>
    </row>
    <row r="284" spans="1:2" x14ac:dyDescent="0.35">
      <c r="A284" s="13" t="s">
        <v>4090</v>
      </c>
      <c r="B284" s="13" t="s">
        <v>4090</v>
      </c>
    </row>
    <row r="285" spans="1:2" x14ac:dyDescent="0.35">
      <c r="A285" s="13" t="s">
        <v>4018</v>
      </c>
      <c r="B285" s="13" t="s">
        <v>4018</v>
      </c>
    </row>
    <row r="286" spans="1:2" x14ac:dyDescent="0.35">
      <c r="A286" s="13" t="s">
        <v>4028</v>
      </c>
      <c r="B286" s="13" t="s">
        <v>4028</v>
      </c>
    </row>
    <row r="287" spans="1:2" x14ac:dyDescent="0.35">
      <c r="A287" s="13" t="s">
        <v>3948</v>
      </c>
      <c r="B287" s="13" t="s">
        <v>3948</v>
      </c>
    </row>
    <row r="288" spans="1:2" x14ac:dyDescent="0.35">
      <c r="A288" s="13" t="s">
        <v>4007</v>
      </c>
      <c r="B288" s="13" t="s">
        <v>4007</v>
      </c>
    </row>
    <row r="289" spans="1:3" x14ac:dyDescent="0.35">
      <c r="A289" s="13" t="s">
        <v>314</v>
      </c>
      <c r="B289" s="13" t="s">
        <v>314</v>
      </c>
    </row>
    <row r="290" spans="1:3" x14ac:dyDescent="0.35">
      <c r="A290" s="13" t="s">
        <v>3871</v>
      </c>
      <c r="B290" s="13" t="s">
        <v>3871</v>
      </c>
    </row>
    <row r="291" spans="1:3" x14ac:dyDescent="0.35">
      <c r="A291" s="13" t="s">
        <v>22</v>
      </c>
      <c r="B291" s="13" t="s">
        <v>22</v>
      </c>
    </row>
    <row r="292" spans="1:3" x14ac:dyDescent="0.35">
      <c r="A292" s="13" t="s">
        <v>3883</v>
      </c>
      <c r="B292" s="13" t="s">
        <v>3883</v>
      </c>
    </row>
    <row r="293" spans="1:3" x14ac:dyDescent="0.35">
      <c r="A293" s="13" t="s">
        <v>4086</v>
      </c>
      <c r="B293" s="13" t="s">
        <v>4086</v>
      </c>
    </row>
    <row r="294" spans="1:3" x14ac:dyDescent="0.35">
      <c r="A294" s="13" t="s">
        <v>530</v>
      </c>
      <c r="B294" s="13" t="s">
        <v>530</v>
      </c>
    </row>
    <row r="295" spans="1:3" x14ac:dyDescent="0.35">
      <c r="A295" s="13" t="s">
        <v>3929</v>
      </c>
      <c r="B295" s="13" t="s">
        <v>3929</v>
      </c>
    </row>
    <row r="296" spans="1:3" x14ac:dyDescent="0.35">
      <c r="A296" s="13" t="s">
        <v>3972</v>
      </c>
      <c r="B296" s="13" t="s">
        <v>3972</v>
      </c>
    </row>
    <row r="297" spans="1:3" x14ac:dyDescent="0.35">
      <c r="A297" s="13" t="s">
        <v>3882</v>
      </c>
      <c r="B297" s="13" t="s">
        <v>3882</v>
      </c>
    </row>
    <row r="298" spans="1:3" x14ac:dyDescent="0.35">
      <c r="A298" s="13" t="s">
        <v>1630</v>
      </c>
      <c r="B298" s="13" t="s">
        <v>1630</v>
      </c>
    </row>
    <row r="299" spans="1:3" x14ac:dyDescent="0.35">
      <c r="A299" s="13" t="s">
        <v>3843</v>
      </c>
      <c r="B299" s="13" t="s">
        <v>1630</v>
      </c>
    </row>
    <row r="300" spans="1:3" x14ac:dyDescent="0.35">
      <c r="A300" s="13" t="s">
        <v>4080</v>
      </c>
      <c r="B300" s="13" t="s">
        <v>4080</v>
      </c>
    </row>
    <row r="301" spans="1:3" x14ac:dyDescent="0.35">
      <c r="A301" s="13" t="s">
        <v>4034</v>
      </c>
      <c r="B301" s="13" t="s">
        <v>4034</v>
      </c>
    </row>
    <row r="302" spans="1:3" x14ac:dyDescent="0.35">
      <c r="A302" s="13" t="s">
        <v>3915</v>
      </c>
      <c r="B302" s="13" t="s">
        <v>3915</v>
      </c>
    </row>
    <row r="303" spans="1:3" x14ac:dyDescent="0.35">
      <c r="A303" s="13" t="s">
        <v>92</v>
      </c>
      <c r="B303" s="13" t="s">
        <v>92</v>
      </c>
      <c r="C303" t="s">
        <v>4175</v>
      </c>
    </row>
    <row r="304" spans="1:3" x14ac:dyDescent="0.35">
      <c r="A304" s="13" t="s">
        <v>4130</v>
      </c>
      <c r="B304" s="13" t="s">
        <v>92</v>
      </c>
    </row>
    <row r="305" spans="1:2" x14ac:dyDescent="0.35">
      <c r="A305" s="13" t="s">
        <v>3866</v>
      </c>
      <c r="B305" s="13" t="s">
        <v>3866</v>
      </c>
    </row>
    <row r="306" spans="1:2" x14ac:dyDescent="0.35">
      <c r="A306" s="13" t="s">
        <v>3960</v>
      </c>
      <c r="B306" s="13" t="s">
        <v>3960</v>
      </c>
    </row>
    <row r="307" spans="1:2" x14ac:dyDescent="0.35">
      <c r="A307" s="13" t="s">
        <v>3973</v>
      </c>
      <c r="B307" s="13" t="s">
        <v>3973</v>
      </c>
    </row>
    <row r="308" spans="1:2" x14ac:dyDescent="0.35">
      <c r="A308" s="13" t="s">
        <v>3974</v>
      </c>
      <c r="B308" s="13" t="s">
        <v>3974</v>
      </c>
    </row>
    <row r="309" spans="1:2" x14ac:dyDescent="0.35">
      <c r="A309" s="13" t="s">
        <v>4084</v>
      </c>
      <c r="B309" s="13" t="s">
        <v>4084</v>
      </c>
    </row>
    <row r="310" spans="1:2" x14ac:dyDescent="0.35">
      <c r="A310" s="13" t="s">
        <v>1406</v>
      </c>
      <c r="B310" s="13" t="s">
        <v>1406</v>
      </c>
    </row>
    <row r="311" spans="1:2" x14ac:dyDescent="0.35">
      <c r="A311" s="13" t="s">
        <v>3895</v>
      </c>
      <c r="B311" s="13" t="s">
        <v>3895</v>
      </c>
    </row>
    <row r="312" spans="1:2" x14ac:dyDescent="0.35">
      <c r="A312" s="13" t="s">
        <v>4083</v>
      </c>
      <c r="B312" s="13" t="s">
        <v>4083</v>
      </c>
    </row>
    <row r="313" spans="1:2" x14ac:dyDescent="0.35">
      <c r="A313" s="13" t="s">
        <v>4040</v>
      </c>
      <c r="B313" s="13" t="s">
        <v>4040</v>
      </c>
    </row>
    <row r="314" spans="1:2" x14ac:dyDescent="0.35">
      <c r="A314" s="13" t="s">
        <v>3966</v>
      </c>
      <c r="B314" s="13" t="s">
        <v>3966</v>
      </c>
    </row>
    <row r="315" spans="1:2" x14ac:dyDescent="0.35">
      <c r="A315" s="13" t="s">
        <v>3892</v>
      </c>
      <c r="B315" s="13" t="s">
        <v>3892</v>
      </c>
    </row>
    <row r="316" spans="1:2" x14ac:dyDescent="0.35">
      <c r="A316" s="13" t="s">
        <v>3989</v>
      </c>
      <c r="B316" s="13" t="s">
        <v>3989</v>
      </c>
    </row>
    <row r="317" spans="1:2" x14ac:dyDescent="0.35">
      <c r="A317" s="13" t="s">
        <v>3842</v>
      </c>
      <c r="B317" s="13" t="s">
        <v>3842</v>
      </c>
    </row>
    <row r="318" spans="1:2" x14ac:dyDescent="0.35">
      <c r="A318" s="13" t="s">
        <v>4015</v>
      </c>
      <c r="B318" s="13" t="s">
        <v>4015</v>
      </c>
    </row>
    <row r="319" spans="1:2" x14ac:dyDescent="0.35">
      <c r="A319" s="13" t="s">
        <v>361</v>
      </c>
      <c r="B319" s="13" t="s">
        <v>361</v>
      </c>
    </row>
    <row r="320" spans="1:2" x14ac:dyDescent="0.35">
      <c r="A320" s="13" t="s">
        <v>3925</v>
      </c>
      <c r="B320" s="13" t="s">
        <v>3925</v>
      </c>
    </row>
    <row r="321" spans="1:2" x14ac:dyDescent="0.35">
      <c r="A321" s="13" t="s">
        <v>3982</v>
      </c>
      <c r="B321" s="13" t="s">
        <v>3982</v>
      </c>
    </row>
    <row r="322" spans="1:2" x14ac:dyDescent="0.35">
      <c r="A322" s="13" t="s">
        <v>4069</v>
      </c>
      <c r="B322" s="13" t="s">
        <v>4069</v>
      </c>
    </row>
    <row r="323" spans="1:2" x14ac:dyDescent="0.35">
      <c r="A323" s="13" t="s">
        <v>4131</v>
      </c>
      <c r="B323" s="13" t="s">
        <v>4131</v>
      </c>
    </row>
    <row r="324" spans="1:2" x14ac:dyDescent="0.35">
      <c r="A324" s="13" t="s">
        <v>66</v>
      </c>
      <c r="B324" s="13" t="s">
        <v>66</v>
      </c>
    </row>
    <row r="325" spans="1:2" x14ac:dyDescent="0.35">
      <c r="A325" s="13" t="s">
        <v>3954</v>
      </c>
      <c r="B325" s="13" t="s">
        <v>3954</v>
      </c>
    </row>
    <row r="326" spans="1:2" x14ac:dyDescent="0.35">
      <c r="A326" s="13" t="s">
        <v>3997</v>
      </c>
      <c r="B326" s="13" t="s">
        <v>3997</v>
      </c>
    </row>
    <row r="327" spans="1:2" x14ac:dyDescent="0.35">
      <c r="A327" s="13" t="s">
        <v>4085</v>
      </c>
      <c r="B327" s="13" t="s">
        <v>4085</v>
      </c>
    </row>
    <row r="328" spans="1:2" x14ac:dyDescent="0.35">
      <c r="A328" s="13" t="s">
        <v>3839</v>
      </c>
      <c r="B328" s="13" t="s">
        <v>3839</v>
      </c>
    </row>
    <row r="329" spans="1:2" x14ac:dyDescent="0.35">
      <c r="A329" s="13" t="s">
        <v>4165</v>
      </c>
      <c r="B329" s="13" t="s">
        <v>4165</v>
      </c>
    </row>
    <row r="330" spans="1:2" x14ac:dyDescent="0.35">
      <c r="A330" s="13" t="s">
        <v>4063</v>
      </c>
      <c r="B330" s="13" t="s">
        <v>4063</v>
      </c>
    </row>
    <row r="331" spans="1:2" x14ac:dyDescent="0.35">
      <c r="A331" s="13" t="s">
        <v>167</v>
      </c>
      <c r="B331" s="13" t="s">
        <v>167</v>
      </c>
    </row>
    <row r="332" spans="1:2" x14ac:dyDescent="0.35">
      <c r="A332" s="13" t="s">
        <v>3913</v>
      </c>
      <c r="B332" s="13" t="s">
        <v>3913</v>
      </c>
    </row>
    <row r="333" spans="1:2" x14ac:dyDescent="0.35">
      <c r="A333" s="13" t="s">
        <v>3940</v>
      </c>
      <c r="B333" s="13" t="s">
        <v>3940</v>
      </c>
    </row>
    <row r="334" spans="1:2" x14ac:dyDescent="0.35">
      <c r="A334" s="13" t="s">
        <v>3922</v>
      </c>
      <c r="B334" s="13" t="s">
        <v>3922</v>
      </c>
    </row>
    <row r="335" spans="1:2" x14ac:dyDescent="0.35">
      <c r="A335" s="13" t="s">
        <v>1178</v>
      </c>
      <c r="B335" s="13" t="s">
        <v>1178</v>
      </c>
    </row>
    <row r="336" spans="1:2" x14ac:dyDescent="0.35">
      <c r="A336" s="13" t="s">
        <v>3976</v>
      </c>
      <c r="B336" s="13" t="s">
        <v>3976</v>
      </c>
    </row>
    <row r="337" spans="1:3" x14ac:dyDescent="0.35">
      <c r="A337" s="13" t="s">
        <v>3999</v>
      </c>
      <c r="B337" s="13" t="s">
        <v>3999</v>
      </c>
    </row>
    <row r="338" spans="1:3" x14ac:dyDescent="0.35">
      <c r="A338" s="13" t="s">
        <v>1764</v>
      </c>
      <c r="B338" s="13" t="s">
        <v>1764</v>
      </c>
    </row>
    <row r="339" spans="1:3" x14ac:dyDescent="0.35">
      <c r="A339" s="13" t="s">
        <v>288</v>
      </c>
      <c r="B339" s="13" t="s">
        <v>288</v>
      </c>
    </row>
    <row r="340" spans="1:3" x14ac:dyDescent="0.35">
      <c r="A340" s="13" t="s">
        <v>3986</v>
      </c>
      <c r="B340" s="13" t="s">
        <v>3986</v>
      </c>
    </row>
    <row r="341" spans="1:3" x14ac:dyDescent="0.35">
      <c r="A341" s="13" t="s">
        <v>4057</v>
      </c>
      <c r="B341" s="13" t="s">
        <v>4057</v>
      </c>
    </row>
    <row r="342" spans="1:3" x14ac:dyDescent="0.35">
      <c r="A342" s="13" t="s">
        <v>1464</v>
      </c>
      <c r="B342" s="13" t="s">
        <v>1464</v>
      </c>
    </row>
    <row r="343" spans="1:3" x14ac:dyDescent="0.35">
      <c r="A343" s="13" t="s">
        <v>4082</v>
      </c>
      <c r="B343" s="13" t="s">
        <v>1464</v>
      </c>
    </row>
    <row r="344" spans="1:3" x14ac:dyDescent="0.35">
      <c r="A344" s="13" t="s">
        <v>3853</v>
      </c>
      <c r="B344" s="13" t="s">
        <v>3853</v>
      </c>
    </row>
    <row r="345" spans="1:3" x14ac:dyDescent="0.35">
      <c r="A345" s="13" t="s">
        <v>4129</v>
      </c>
      <c r="B345" s="13" t="s">
        <v>4129</v>
      </c>
    </row>
    <row r="346" spans="1:3" x14ac:dyDescent="0.35">
      <c r="A346" s="13" t="s">
        <v>1298</v>
      </c>
      <c r="B346" s="13" t="s">
        <v>1298</v>
      </c>
    </row>
    <row r="347" spans="1:3" x14ac:dyDescent="0.35">
      <c r="A347" s="13" t="s">
        <v>3879</v>
      </c>
      <c r="B347" s="13" t="s">
        <v>3879</v>
      </c>
    </row>
    <row r="348" spans="1:3" x14ac:dyDescent="0.35">
      <c r="A348" s="13" t="s">
        <v>100</v>
      </c>
      <c r="B348" s="13" t="s">
        <v>100</v>
      </c>
    </row>
    <row r="349" spans="1:3" x14ac:dyDescent="0.35">
      <c r="A349" s="13" t="s">
        <v>3831</v>
      </c>
      <c r="B349" s="13" t="s">
        <v>100</v>
      </c>
    </row>
    <row r="350" spans="1:3" x14ac:dyDescent="0.35">
      <c r="A350" s="13" t="s">
        <v>3865</v>
      </c>
      <c r="B350" s="13" t="s">
        <v>3865</v>
      </c>
      <c r="C350" t="s">
        <v>4178</v>
      </c>
    </row>
    <row r="351" spans="1:3" x14ac:dyDescent="0.35">
      <c r="A351" s="13" t="s">
        <v>3911</v>
      </c>
      <c r="B351" s="13" t="s">
        <v>3911</v>
      </c>
    </row>
    <row r="352" spans="1:3" x14ac:dyDescent="0.35">
      <c r="A352" s="13" t="s">
        <v>4088</v>
      </c>
      <c r="B352" s="13" t="s">
        <v>4088</v>
      </c>
    </row>
    <row r="353" spans="1:3" x14ac:dyDescent="0.35">
      <c r="A353" s="13" t="s">
        <v>4097</v>
      </c>
      <c r="B353" s="13" t="s">
        <v>4097</v>
      </c>
    </row>
    <row r="354" spans="1:3" x14ac:dyDescent="0.35">
      <c r="A354" s="13" t="s">
        <v>86</v>
      </c>
      <c r="B354" s="13" t="s">
        <v>86</v>
      </c>
    </row>
    <row r="355" spans="1:3" x14ac:dyDescent="0.35">
      <c r="A355" s="13" t="s">
        <v>3849</v>
      </c>
      <c r="B355" s="13" t="s">
        <v>3849</v>
      </c>
    </row>
    <row r="356" spans="1:3" x14ac:dyDescent="0.35">
      <c r="A356" s="13" t="s">
        <v>4149</v>
      </c>
      <c r="B356" s="13" t="s">
        <v>4149</v>
      </c>
      <c r="C356" t="s">
        <v>4179</v>
      </c>
    </row>
    <row r="357" spans="1:3" x14ac:dyDescent="0.35">
      <c r="A357" s="13" t="s">
        <v>538</v>
      </c>
      <c r="B357" s="13" t="s">
        <v>4149</v>
      </c>
    </row>
    <row r="358" spans="1:3" x14ac:dyDescent="0.35">
      <c r="A358" s="13" t="s">
        <v>3837</v>
      </c>
      <c r="B358" s="13" t="s">
        <v>4149</v>
      </c>
    </row>
    <row r="359" spans="1:3" x14ac:dyDescent="0.35">
      <c r="A359" s="13" t="s">
        <v>3848</v>
      </c>
      <c r="B359" s="13" t="s">
        <v>3848</v>
      </c>
    </row>
    <row r="360" spans="1:3" x14ac:dyDescent="0.35">
      <c r="A360" s="13" t="s">
        <v>162</v>
      </c>
      <c r="B360" s="13" t="s">
        <v>162</v>
      </c>
    </row>
    <row r="361" spans="1:3" x14ac:dyDescent="0.35">
      <c r="A361" s="13" t="s">
        <v>4014</v>
      </c>
      <c r="B361" s="13" t="s">
        <v>4014</v>
      </c>
    </row>
    <row r="362" spans="1:3" x14ac:dyDescent="0.35">
      <c r="A362" s="13" t="s">
        <v>4164</v>
      </c>
      <c r="B362" s="13" t="s">
        <v>4164</v>
      </c>
    </row>
    <row r="363" spans="1:3" x14ac:dyDescent="0.35">
      <c r="A363" s="13" t="s">
        <v>4078</v>
      </c>
      <c r="B363" s="13" t="s">
        <v>4078</v>
      </c>
    </row>
    <row r="364" spans="1:3" x14ac:dyDescent="0.35">
      <c r="A364" s="13" t="s">
        <v>4067</v>
      </c>
      <c r="B364" s="13" t="s">
        <v>4067</v>
      </c>
    </row>
    <row r="365" spans="1:3" x14ac:dyDescent="0.35">
      <c r="A365" s="13" t="s">
        <v>3983</v>
      </c>
      <c r="B365" s="13" t="s">
        <v>3983</v>
      </c>
    </row>
    <row r="366" spans="1:3" x14ac:dyDescent="0.35">
      <c r="A366" s="13" t="s">
        <v>3845</v>
      </c>
      <c r="B366" s="13" t="s">
        <v>3845</v>
      </c>
    </row>
    <row r="367" spans="1:3" x14ac:dyDescent="0.35">
      <c r="A367" s="13" t="s">
        <v>3991</v>
      </c>
      <c r="B367" s="13" t="s">
        <v>3991</v>
      </c>
    </row>
    <row r="368" spans="1:3" x14ac:dyDescent="0.35">
      <c r="A368" s="13" t="s">
        <v>4026</v>
      </c>
      <c r="B368" s="13" t="s">
        <v>4026</v>
      </c>
    </row>
    <row r="369" spans="1:2" x14ac:dyDescent="0.35">
      <c r="A369" s="13" t="s">
        <v>4168</v>
      </c>
      <c r="B369" s="13" t="s">
        <v>4168</v>
      </c>
    </row>
    <row r="370" spans="1:2" x14ac:dyDescent="0.35">
      <c r="A370" s="13" t="s">
        <v>3887</v>
      </c>
      <c r="B370" s="13" t="s">
        <v>3887</v>
      </c>
    </row>
    <row r="371" spans="1:2" x14ac:dyDescent="0.35">
      <c r="A371" s="13" t="s">
        <v>4070</v>
      </c>
      <c r="B371" s="13" t="s">
        <v>4070</v>
      </c>
    </row>
    <row r="372" spans="1:2" x14ac:dyDescent="0.35">
      <c r="A372" s="13" t="s">
        <v>3864</v>
      </c>
      <c r="B372" s="13" t="s">
        <v>3864</v>
      </c>
    </row>
    <row r="373" spans="1:2" x14ac:dyDescent="0.35">
      <c r="A373" s="13" t="s">
        <v>32</v>
      </c>
      <c r="B373" s="13" t="s">
        <v>32</v>
      </c>
    </row>
    <row r="374" spans="1:2" x14ac:dyDescent="0.35">
      <c r="A374" s="13" t="s">
        <v>4048</v>
      </c>
      <c r="B374" s="13" t="s">
        <v>4048</v>
      </c>
    </row>
    <row r="375" spans="1:2" x14ac:dyDescent="0.35">
      <c r="A375" s="13" t="s">
        <v>4075</v>
      </c>
      <c r="B375" s="13" t="s">
        <v>4075</v>
      </c>
    </row>
    <row r="376" spans="1:2" x14ac:dyDescent="0.35">
      <c r="A376" s="13" t="s">
        <v>3990</v>
      </c>
      <c r="B376" s="13" t="s">
        <v>3990</v>
      </c>
    </row>
    <row r="377" spans="1:2" x14ac:dyDescent="0.35">
      <c r="A377" s="13" t="s">
        <v>3903</v>
      </c>
      <c r="B377" s="13" t="s">
        <v>3903</v>
      </c>
    </row>
    <row r="378" spans="1:2" x14ac:dyDescent="0.35">
      <c r="A378" s="13" t="s">
        <v>3918</v>
      </c>
      <c r="B378" s="13" t="s">
        <v>3918</v>
      </c>
    </row>
    <row r="379" spans="1:2" x14ac:dyDescent="0.35">
      <c r="A379" s="13" t="s">
        <v>1127</v>
      </c>
      <c r="B379" s="13" t="s">
        <v>1127</v>
      </c>
    </row>
    <row r="380" spans="1:2" x14ac:dyDescent="0.35">
      <c r="A380" s="13" t="s">
        <v>3888</v>
      </c>
      <c r="B380" s="13" t="s">
        <v>3888</v>
      </c>
    </row>
    <row r="381" spans="1:2" x14ac:dyDescent="0.35">
      <c r="A381" s="13" t="s">
        <v>3935</v>
      </c>
      <c r="B381" s="13" t="s">
        <v>3935</v>
      </c>
    </row>
    <row r="382" spans="1:2" x14ac:dyDescent="0.35">
      <c r="A382" s="13" t="s">
        <v>1794</v>
      </c>
      <c r="B382" s="13" t="s">
        <v>1794</v>
      </c>
    </row>
    <row r="383" spans="1:2" x14ac:dyDescent="0.35">
      <c r="A383" s="13" t="s">
        <v>3959</v>
      </c>
      <c r="B383" s="13" t="s">
        <v>3959</v>
      </c>
    </row>
    <row r="384" spans="1:2" x14ac:dyDescent="0.35">
      <c r="A384" s="13" t="s">
        <v>4024</v>
      </c>
      <c r="B384" s="13" t="s">
        <v>4024</v>
      </c>
    </row>
    <row r="385" spans="1:2" x14ac:dyDescent="0.35">
      <c r="A385" s="13" t="s">
        <v>4005</v>
      </c>
      <c r="B385" s="13" t="s">
        <v>4005</v>
      </c>
    </row>
    <row r="386" spans="1:2" x14ac:dyDescent="0.35">
      <c r="A386" s="13" t="s">
        <v>506</v>
      </c>
      <c r="B386" s="13" t="s">
        <v>506</v>
      </c>
    </row>
    <row r="387" spans="1:2" x14ac:dyDescent="0.35">
      <c r="A387" s="13" t="s">
        <v>3856</v>
      </c>
      <c r="B387" s="13" t="s">
        <v>3856</v>
      </c>
    </row>
    <row r="388" spans="1:2" x14ac:dyDescent="0.35">
      <c r="A388" s="13" t="s">
        <v>3835</v>
      </c>
      <c r="B388" s="13" t="s">
        <v>3835</v>
      </c>
    </row>
    <row r="389" spans="1:2" x14ac:dyDescent="0.35">
      <c r="A389" s="13" t="s">
        <v>4103</v>
      </c>
      <c r="B389" s="13" t="s">
        <v>4103</v>
      </c>
    </row>
    <row r="390" spans="1:2" x14ac:dyDescent="0.35">
      <c r="A390" s="13" t="s">
        <v>1002</v>
      </c>
      <c r="B390" s="13" t="s">
        <v>4103</v>
      </c>
    </row>
    <row r="391" spans="1:2" x14ac:dyDescent="0.35">
      <c r="A391" s="13" t="s">
        <v>4041</v>
      </c>
      <c r="B391" s="13" t="s">
        <v>4041</v>
      </c>
    </row>
    <row r="392" spans="1:2" x14ac:dyDescent="0.35">
      <c r="A392" s="13" t="s">
        <v>3875</v>
      </c>
      <c r="B392" s="13" t="s">
        <v>4041</v>
      </c>
    </row>
    <row r="393" spans="1:2" x14ac:dyDescent="0.35">
      <c r="A393" s="13" t="s">
        <v>3909</v>
      </c>
      <c r="B393" s="13" t="s">
        <v>3909</v>
      </c>
    </row>
    <row r="394" spans="1:2" x14ac:dyDescent="0.35">
      <c r="A394" s="13" t="s">
        <v>4000</v>
      </c>
      <c r="B394" s="13" t="s">
        <v>4000</v>
      </c>
    </row>
    <row r="395" spans="1:2" x14ac:dyDescent="0.35">
      <c r="A395" s="13" t="s">
        <v>3923</v>
      </c>
      <c r="B395" s="13" t="s">
        <v>3923</v>
      </c>
    </row>
    <row r="396" spans="1:2" x14ac:dyDescent="0.35">
      <c r="A396" s="13" t="s">
        <v>4161</v>
      </c>
      <c r="B396" s="13" t="s">
        <v>4161</v>
      </c>
    </row>
    <row r="397" spans="1:2" x14ac:dyDescent="0.35">
      <c r="A397" s="13" t="s">
        <v>3958</v>
      </c>
      <c r="B397" s="13" t="s">
        <v>3958</v>
      </c>
    </row>
    <row r="398" spans="1:2" x14ac:dyDescent="0.35">
      <c r="A398" s="13" t="s">
        <v>3910</v>
      </c>
      <c r="B398" s="13" t="s">
        <v>3910</v>
      </c>
    </row>
    <row r="399" spans="1:2" x14ac:dyDescent="0.35">
      <c r="A399" s="13" t="s">
        <v>4158</v>
      </c>
      <c r="B399" s="13" t="s">
        <v>4158</v>
      </c>
    </row>
    <row r="400" spans="1:2" x14ac:dyDescent="0.35">
      <c r="A400" s="13" t="s">
        <v>4027</v>
      </c>
      <c r="B400" s="13" t="s">
        <v>4027</v>
      </c>
    </row>
    <row r="401" spans="1:2" x14ac:dyDescent="0.35">
      <c r="A401" s="13" t="s">
        <v>1173</v>
      </c>
      <c r="B401" s="13" t="s">
        <v>1173</v>
      </c>
    </row>
    <row r="402" spans="1:2" x14ac:dyDescent="0.35">
      <c r="A402" s="13" t="s">
        <v>3867</v>
      </c>
      <c r="B402" s="13" t="s">
        <v>3867</v>
      </c>
    </row>
    <row r="403" spans="1:2" x14ac:dyDescent="0.35">
      <c r="A403" s="13" t="s">
        <v>3855</v>
      </c>
      <c r="B403" s="13" t="s">
        <v>3855</v>
      </c>
    </row>
    <row r="404" spans="1:2" x14ac:dyDescent="0.35">
      <c r="A404" s="13" t="s">
        <v>3844</v>
      </c>
      <c r="B404" s="13" t="s">
        <v>3844</v>
      </c>
    </row>
    <row r="405" spans="1:2" x14ac:dyDescent="0.35">
      <c r="A405" s="13" t="s">
        <v>4046</v>
      </c>
      <c r="B405" s="13" t="s">
        <v>4046</v>
      </c>
    </row>
    <row r="406" spans="1:2" x14ac:dyDescent="0.35">
      <c r="A406" s="13" t="s">
        <v>4104</v>
      </c>
      <c r="B406" s="13" t="s">
        <v>4104</v>
      </c>
    </row>
    <row r="407" spans="1:2" x14ac:dyDescent="0.35">
      <c r="A407" s="13" t="s">
        <v>4093</v>
      </c>
      <c r="B407" s="13" t="s">
        <v>4093</v>
      </c>
    </row>
    <row r="408" spans="1:2" x14ac:dyDescent="0.35">
      <c r="A408" s="13" t="s">
        <v>3860</v>
      </c>
      <c r="B408" s="13" t="s">
        <v>3860</v>
      </c>
    </row>
    <row r="409" spans="1:2" x14ac:dyDescent="0.35">
      <c r="A409" s="13" t="s">
        <v>4009</v>
      </c>
      <c r="B409" s="13" t="s">
        <v>4009</v>
      </c>
    </row>
    <row r="410" spans="1:2" x14ac:dyDescent="0.35">
      <c r="A410" s="13" t="s">
        <v>4042</v>
      </c>
      <c r="B410" s="13" t="s">
        <v>4042</v>
      </c>
    </row>
    <row r="411" spans="1:2" x14ac:dyDescent="0.35">
      <c r="A411" s="13" t="s">
        <v>4155</v>
      </c>
      <c r="B411" s="13" t="s">
        <v>4155</v>
      </c>
    </row>
    <row r="412" spans="1:2" x14ac:dyDescent="0.35">
      <c r="A412" s="13" t="s">
        <v>3994</v>
      </c>
      <c r="B412" s="13" t="s">
        <v>3994</v>
      </c>
    </row>
    <row r="413" spans="1:2" x14ac:dyDescent="0.35">
      <c r="A413" s="13" t="s">
        <v>4002</v>
      </c>
      <c r="B413" s="13" t="s">
        <v>4002</v>
      </c>
    </row>
    <row r="414" spans="1:2" x14ac:dyDescent="0.35">
      <c r="A414" s="13" t="s">
        <v>4056</v>
      </c>
      <c r="B414" s="13" t="s">
        <v>4056</v>
      </c>
    </row>
    <row r="415" spans="1:2" x14ac:dyDescent="0.35">
      <c r="A415" s="13" t="s">
        <v>3953</v>
      </c>
      <c r="B415" s="13" t="s">
        <v>3953</v>
      </c>
    </row>
    <row r="416" spans="1:2" x14ac:dyDescent="0.35">
      <c r="A416" s="13" t="s">
        <v>3129</v>
      </c>
      <c r="B416" s="13" t="s">
        <v>3129</v>
      </c>
    </row>
    <row r="417" spans="1:2" x14ac:dyDescent="0.35">
      <c r="A417" s="13" t="s">
        <v>3128</v>
      </c>
      <c r="B417" s="13" t="s">
        <v>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Titres_Declare</vt:lpstr>
      <vt:lpstr>Permis</vt:lpstr>
      <vt:lpstr>Sous-traitant</vt:lpstr>
      <vt:lpstr>Merge</vt:lpstr>
      <vt:lpstr>Feuil1</vt:lpstr>
      <vt:lpstr>RBE</vt:lpstr>
      <vt:lpstr>00</vt:lpstr>
      <vt:lpstr>01</vt:lpstr>
      <vt:lpstr>02</vt:lpstr>
      <vt:lpstr>03</vt:lpstr>
      <vt:lpstr>Feuil18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sie rachid traore</cp:lastModifiedBy>
  <dcterms:created xsi:type="dcterms:W3CDTF">2015-06-05T18:17:20Z</dcterms:created>
  <dcterms:modified xsi:type="dcterms:W3CDTF">2026-05-26T16:13:02Z</dcterms:modified>
</cp:coreProperties>
</file>