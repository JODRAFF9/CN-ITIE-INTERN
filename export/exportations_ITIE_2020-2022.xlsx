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CS\Desktop\ISE3\S1\ITIE\photo\"/>
    </mc:Choice>
  </mc:AlternateContent>
  <bookViews>
    <workbookView xWindow="0" yWindow="0" windowWidth="20490" windowHeight="7455" activeTab="1"/>
  </bookViews>
  <sheets>
    <sheet name="2022" sheetId="1" r:id="rId1"/>
    <sheet name="2021" sheetId="2" r:id="rId2"/>
    <sheet name="2020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2" i="1"/>
</calcChain>
</file>

<file path=xl/sharedStrings.xml><?xml version="1.0" encoding="utf-8"?>
<sst xmlns="http://schemas.openxmlformats.org/spreadsheetml/2006/main" count="987" uniqueCount="146">
  <si>
    <t>Substance</t>
  </si>
  <si>
    <t>Unité</t>
  </si>
  <si>
    <t>Poids</t>
  </si>
  <si>
    <t>Or</t>
  </si>
  <si>
    <t>SGO</t>
  </si>
  <si>
    <t>Suisse</t>
  </si>
  <si>
    <t>TONNE</t>
  </si>
  <si>
    <t>PMC</t>
  </si>
  <si>
    <t>Australie</t>
  </si>
  <si>
    <t>Senegal</t>
  </si>
  <si>
    <t>ACIDE PHOSPHORIQUE 52%</t>
  </si>
  <si>
    <t>ICS</t>
  </si>
  <si>
    <t>India</t>
  </si>
  <si>
    <t>ILMENITE 54</t>
  </si>
  <si>
    <t>GCO</t>
  </si>
  <si>
    <t>FRANCE</t>
  </si>
  <si>
    <t>NORWAY</t>
  </si>
  <si>
    <t>Ciment</t>
  </si>
  <si>
    <t>CDS</t>
  </si>
  <si>
    <t>NC</t>
  </si>
  <si>
    <t>Mali</t>
  </si>
  <si>
    <t>Gambie</t>
  </si>
  <si>
    <t>SOCOCIM</t>
  </si>
  <si>
    <t>Dangote</t>
  </si>
  <si>
    <t>Mauritanie</t>
  </si>
  <si>
    <t>Guinée-Bissau</t>
  </si>
  <si>
    <t>Burkina Faso</t>
  </si>
  <si>
    <t>Guinée</t>
  </si>
  <si>
    <t>ZIRCON PREMIUM</t>
  </si>
  <si>
    <t>USA</t>
  </si>
  <si>
    <t>SPAIN</t>
  </si>
  <si>
    <t>China</t>
  </si>
  <si>
    <t>JAPAN</t>
  </si>
  <si>
    <t>ITALY</t>
  </si>
  <si>
    <t>TURKEY</t>
  </si>
  <si>
    <t>England</t>
  </si>
  <si>
    <t>Brazil</t>
  </si>
  <si>
    <t>NETHERLANDS</t>
  </si>
  <si>
    <t>GERMANY</t>
  </si>
  <si>
    <t>ZIRCON STANDARD</t>
  </si>
  <si>
    <t>ILMENITE 58</t>
  </si>
  <si>
    <t>SOUTH KOREA</t>
  </si>
  <si>
    <t>Phosphate</t>
  </si>
  <si>
    <t>SOMIVA</t>
  </si>
  <si>
    <t>Sephos / G-PHOS</t>
  </si>
  <si>
    <t>Espagne</t>
  </si>
  <si>
    <t>BMCC</t>
  </si>
  <si>
    <t>El Salvador</t>
  </si>
  <si>
    <t>ILMENITE 56</t>
  </si>
  <si>
    <t>LEUCOXENE</t>
  </si>
  <si>
    <t>Dubai</t>
  </si>
  <si>
    <t>SOUTH AFRICA</t>
  </si>
  <si>
    <t>RUTILE</t>
  </si>
  <si>
    <t>TAIWAN</t>
  </si>
  <si>
    <t>Attapulgide</t>
  </si>
  <si>
    <t>SSPT</t>
  </si>
  <si>
    <t>Angleterre</t>
  </si>
  <si>
    <t>Hollande</t>
  </si>
  <si>
    <t>DSP</t>
  </si>
  <si>
    <t>NPK</t>
  </si>
  <si>
    <t>BASALTE</t>
  </si>
  <si>
    <t>Gécamines</t>
  </si>
  <si>
    <t>Argent</t>
  </si>
  <si>
    <t>Onces</t>
  </si>
  <si>
    <t>CLINKER</t>
  </si>
  <si>
    <t>GYPSUM</t>
  </si>
  <si>
    <t>Autres</t>
  </si>
  <si>
    <t>ACIDE SULFURIQUE</t>
  </si>
  <si>
    <t>Opérateur</t>
  </si>
  <si>
    <t>Pays destinataire</t>
  </si>
  <si>
    <t>Valeur Totale CFA</t>
  </si>
  <si>
    <t>Zone hors UEMOA</t>
  </si>
  <si>
    <t>Tonne</t>
  </si>
  <si>
    <t>Zone UEMOA</t>
  </si>
  <si>
    <t>Phosphate Naturel</t>
  </si>
  <si>
    <t>SEPHOS</t>
  </si>
  <si>
    <t>Inde</t>
  </si>
  <si>
    <t>Malaisie</t>
  </si>
  <si>
    <t>N/C</t>
  </si>
  <si>
    <t>Liban</t>
  </si>
  <si>
    <t>Phosphate tricalcique</t>
  </si>
  <si>
    <t>Sierra Leone</t>
  </si>
  <si>
    <t>Attapulgite</t>
  </si>
  <si>
    <t>France</t>
  </si>
  <si>
    <t>Clinker</t>
  </si>
  <si>
    <t>Basalte</t>
  </si>
  <si>
    <t>GECAMINES</t>
  </si>
  <si>
    <t>Talix Mines</t>
  </si>
  <si>
    <t>Ilménite 54%</t>
  </si>
  <si>
    <t>Chine</t>
  </si>
  <si>
    <t>Norvège</t>
  </si>
  <si>
    <t>Corée du Sud</t>
  </si>
  <si>
    <t>Ilménite 56%</t>
  </si>
  <si>
    <t>Ilménite 58%</t>
  </si>
  <si>
    <t>Japon</t>
  </si>
  <si>
    <t>Mexique</t>
  </si>
  <si>
    <t>Leucoxène</t>
  </si>
  <si>
    <t>Dubaï</t>
  </si>
  <si>
    <t>Allemagne</t>
  </si>
  <si>
    <t>Pays-Bas</t>
  </si>
  <si>
    <t>Roumanie</t>
  </si>
  <si>
    <t>Afrique du Sud</t>
  </si>
  <si>
    <t>Zircon Standard</t>
  </si>
  <si>
    <t>Italie</t>
  </si>
  <si>
    <t>Turquie</t>
  </si>
  <si>
    <t>Medium Grade Zircon</t>
  </si>
  <si>
    <t>Zircon Premium</t>
  </si>
  <si>
    <t>Brésil</t>
  </si>
  <si>
    <t>Rutile</t>
  </si>
  <si>
    <t>Taiwan</t>
  </si>
  <si>
    <t>AUTRE</t>
  </si>
  <si>
    <t xml:space="preserve">Poids </t>
  </si>
  <si>
    <t>Volume</t>
  </si>
  <si>
    <t>Once</t>
  </si>
  <si>
    <t>Sénégal</t>
  </si>
  <si>
    <t>Côte d'Ivoire</t>
  </si>
  <si>
    <t>GUINEE BISSAU</t>
  </si>
  <si>
    <t>ANGLETERRE</t>
  </si>
  <si>
    <t>HOLLANDE</t>
  </si>
  <si>
    <t>LEBANON - BEIRUT</t>
  </si>
  <si>
    <t>SWITZERLAND</t>
  </si>
  <si>
    <t>ESPAGNE</t>
  </si>
  <si>
    <t>MALAISIE</t>
  </si>
  <si>
    <t>PANAMA</t>
  </si>
  <si>
    <t>SIERRA LEONE</t>
  </si>
  <si>
    <t>THAILAND</t>
  </si>
  <si>
    <t>Sables minéralisés</t>
  </si>
  <si>
    <t>AUSTRALIA</t>
  </si>
  <si>
    <t>BRAZIL</t>
  </si>
  <si>
    <t>CHINA</t>
  </si>
  <si>
    <t>DUBAI</t>
  </si>
  <si>
    <t>ENGLAND</t>
  </si>
  <si>
    <t>INDIA</t>
  </si>
  <si>
    <t>MALAYSIA</t>
  </si>
  <si>
    <t>MEXICO</t>
  </si>
  <si>
    <t>Engrais</t>
  </si>
  <si>
    <t>Pays de l'OHADA</t>
  </si>
  <si>
    <t>Pays hors l'OHADA</t>
  </si>
  <si>
    <t>Acide Phosphorique</t>
  </si>
  <si>
    <t>Gypse</t>
  </si>
  <si>
    <t>Silex</t>
  </si>
  <si>
    <t>Acide Sulfurique</t>
  </si>
  <si>
    <t>Cendres</t>
  </si>
  <si>
    <t>Valeur Total FCFA</t>
  </si>
  <si>
    <t>MEDIUM GRADE ZIRCON SAND</t>
  </si>
  <si>
    <t xml:space="preserve">Prix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</si>
</sst>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-* #,##0.00_-;\-* #,##0.00_-;_-* &quot;-&quot;??_-;_-@_-"/>
    <numFmt numFmtId="183" formatCode="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0E7C7B"/>
      </patternFill>
    </fill>
    <fill>
      <patternFill patternType="solid">
        <fgColor rgb="FFD6EEEC"/>
      </patternFill>
    </fill>
    <fill>
      <patternFill patternType="solid">
        <fgColor rgb="FF4A4A6A"/>
      </patternFill>
    </fill>
    <fill>
      <patternFill patternType="solid">
        <fgColor rgb="FFE4E4F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0" fontId="2" fillId="0" borderId="0"/>
    <xf numFmtId="0" fontId="3" fillId="0" borderId="0"/>
  </cellStyleXfs>
  <cellXfs count="22">
    <xf numFmtId="0" fontId="0" fillId="0" borderId="0" xfId="0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6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5" fillId="5" borderId="1" xfId="0" applyFont="1" applyFill="1" applyBorder="1"/>
    <xf numFmtId="3" fontId="5" fillId="5" borderId="1" xfId="0" applyNumberFormat="1" applyFont="1" applyFill="1" applyBorder="1"/>
    <xf numFmtId="0" fontId="6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/>
    <xf numFmtId="0" fontId="5" fillId="7" borderId="1" xfId="0" applyFont="1" applyFill="1" applyBorder="1"/>
    <xf numFmtId="183" fontId="5" fillId="7" borderId="1" xfId="0" applyNumberFormat="1" applyFont="1" applyFill="1" applyBorder="1"/>
    <xf numFmtId="3" fontId="5" fillId="7" borderId="1" xfId="0" applyNumberFormat="1" applyFont="1" applyFill="1" applyBorder="1"/>
    <xf numFmtId="0" fontId="4" fillId="6" borderId="2" xfId="0" applyFont="1" applyFill="1" applyBorder="1" applyAlignment="1">
      <alignment horizontal="center" vertical="center" wrapText="1"/>
    </xf>
  </cellXfs>
  <cellStyles count="4">
    <cellStyle name="Milliers 2" xfId="1"/>
    <cellStyle name="Normal" xfId="0" builtinId="0"/>
    <cellStyle name="Normal 2 5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61" workbookViewId="0">
      <selection sqref="A1:A1048576"/>
    </sheetView>
  </sheetViews>
  <sheetFormatPr baseColWidth="10" defaultRowHeight="15" x14ac:dyDescent="0.25"/>
  <cols>
    <col min="6" max="6" width="21.85546875" customWidth="1"/>
    <col min="7" max="7" width="12" bestFit="1" customWidth="1"/>
  </cols>
  <sheetData>
    <row r="1" spans="1:7" ht="38.25" x14ac:dyDescent="0.25">
      <c r="A1" s="16" t="s">
        <v>0</v>
      </c>
      <c r="B1" s="16" t="s">
        <v>68</v>
      </c>
      <c r="C1" s="16" t="s">
        <v>69</v>
      </c>
      <c r="D1" s="16" t="s">
        <v>1</v>
      </c>
      <c r="E1" s="16" t="s">
        <v>2</v>
      </c>
      <c r="F1" s="16" t="s">
        <v>143</v>
      </c>
      <c r="G1" s="21" t="s">
        <v>145</v>
      </c>
    </row>
    <row r="2" spans="1:7" x14ac:dyDescent="0.25">
      <c r="A2" s="17" t="s">
        <v>3</v>
      </c>
      <c r="B2" s="18" t="s">
        <v>4</v>
      </c>
      <c r="C2" s="18" t="s">
        <v>5</v>
      </c>
      <c r="D2" s="18" t="s">
        <v>6</v>
      </c>
      <c r="E2" s="19">
        <v>10.541600000000001</v>
      </c>
      <c r="F2" s="20">
        <v>380045730082</v>
      </c>
      <c r="G2">
        <f>F2/E2</f>
        <v>36051996858.351669</v>
      </c>
    </row>
    <row r="3" spans="1:7" x14ac:dyDescent="0.25">
      <c r="A3" s="17" t="s">
        <v>3</v>
      </c>
      <c r="B3" s="18" t="s">
        <v>7</v>
      </c>
      <c r="C3" s="18" t="s">
        <v>8</v>
      </c>
      <c r="D3" s="18" t="s">
        <v>6</v>
      </c>
      <c r="E3" s="19">
        <v>4.0319000000000003</v>
      </c>
      <c r="F3" s="20">
        <v>147954684761</v>
      </c>
    </row>
    <row r="4" spans="1:7" x14ac:dyDescent="0.25">
      <c r="A4" s="17" t="s">
        <v>3</v>
      </c>
      <c r="B4" s="18" t="s">
        <v>4</v>
      </c>
      <c r="C4" s="18" t="s">
        <v>9</v>
      </c>
      <c r="D4" s="18" t="s">
        <v>6</v>
      </c>
      <c r="E4" s="19">
        <v>0.34849999999999998</v>
      </c>
      <c r="F4" s="20">
        <v>12540974385</v>
      </c>
    </row>
    <row r="5" spans="1:7" x14ac:dyDescent="0.25">
      <c r="A5" s="13" t="s">
        <v>10</v>
      </c>
      <c r="B5" s="14" t="s">
        <v>11</v>
      </c>
      <c r="C5" s="14" t="s">
        <v>12</v>
      </c>
      <c r="D5" s="14" t="s">
        <v>6</v>
      </c>
      <c r="E5" s="15">
        <v>558409</v>
      </c>
      <c r="F5" s="15">
        <v>533842674117</v>
      </c>
    </row>
    <row r="6" spans="1:7" x14ac:dyDescent="0.25">
      <c r="A6" s="17" t="s">
        <v>13</v>
      </c>
      <c r="B6" s="18" t="s">
        <v>14</v>
      </c>
      <c r="C6" s="18" t="s">
        <v>15</v>
      </c>
      <c r="D6" s="18" t="s">
        <v>6</v>
      </c>
      <c r="E6" s="20">
        <v>255142</v>
      </c>
      <c r="F6" s="20">
        <v>55201748257</v>
      </c>
    </row>
    <row r="7" spans="1:7" x14ac:dyDescent="0.25">
      <c r="A7" s="17" t="s">
        <v>13</v>
      </c>
      <c r="B7" s="18" t="s">
        <v>14</v>
      </c>
      <c r="C7" s="18" t="s">
        <v>16</v>
      </c>
      <c r="D7" s="18" t="s">
        <v>6</v>
      </c>
      <c r="E7" s="20">
        <v>101793</v>
      </c>
      <c r="F7" s="20">
        <v>17574924450</v>
      </c>
    </row>
    <row r="8" spans="1:7" x14ac:dyDescent="0.25">
      <c r="A8" s="13" t="s">
        <v>17</v>
      </c>
      <c r="B8" s="14" t="s">
        <v>18</v>
      </c>
      <c r="C8" s="14" t="s">
        <v>20</v>
      </c>
      <c r="D8" s="14" t="s">
        <v>6</v>
      </c>
      <c r="E8" s="15">
        <v>586349</v>
      </c>
      <c r="F8" s="15">
        <v>27805006450</v>
      </c>
    </row>
    <row r="9" spans="1:7" x14ac:dyDescent="0.25">
      <c r="A9" s="13" t="s">
        <v>17</v>
      </c>
      <c r="B9" s="14" t="s">
        <v>18</v>
      </c>
      <c r="C9" s="14" t="s">
        <v>21</v>
      </c>
      <c r="D9" s="14" t="s">
        <v>6</v>
      </c>
      <c r="E9" s="15">
        <v>487563</v>
      </c>
      <c r="F9" s="15">
        <v>21800118950</v>
      </c>
    </row>
    <row r="10" spans="1:7" x14ac:dyDescent="0.25">
      <c r="A10" s="13" t="s">
        <v>17</v>
      </c>
      <c r="B10" s="14" t="s">
        <v>22</v>
      </c>
      <c r="C10" s="14" t="s">
        <v>20</v>
      </c>
      <c r="D10" s="14" t="s">
        <v>6</v>
      </c>
      <c r="E10" s="15">
        <v>132612</v>
      </c>
      <c r="F10" s="15">
        <v>5920144025</v>
      </c>
    </row>
    <row r="11" spans="1:7" x14ac:dyDescent="0.25">
      <c r="A11" s="13" t="s">
        <v>17</v>
      </c>
      <c r="B11" s="14" t="s">
        <v>22</v>
      </c>
      <c r="C11" s="14" t="s">
        <v>21</v>
      </c>
      <c r="D11" s="14" t="s">
        <v>6</v>
      </c>
      <c r="E11" s="15">
        <v>44460</v>
      </c>
      <c r="F11" s="15">
        <v>1994599434</v>
      </c>
    </row>
    <row r="12" spans="1:7" x14ac:dyDescent="0.25">
      <c r="A12" s="13" t="s">
        <v>17</v>
      </c>
      <c r="B12" s="14" t="s">
        <v>23</v>
      </c>
      <c r="C12" s="14" t="s">
        <v>21</v>
      </c>
      <c r="D12" s="14" t="s">
        <v>6</v>
      </c>
      <c r="E12" s="15">
        <v>51948</v>
      </c>
      <c r="F12" s="15">
        <v>1949347100</v>
      </c>
    </row>
    <row r="13" spans="1:7" x14ac:dyDescent="0.25">
      <c r="A13" s="13" t="s">
        <v>17</v>
      </c>
      <c r="B13" s="14" t="s">
        <v>18</v>
      </c>
      <c r="C13" s="14" t="s">
        <v>24</v>
      </c>
      <c r="D13" s="14" t="s">
        <v>6</v>
      </c>
      <c r="E13" s="15">
        <v>35174</v>
      </c>
      <c r="F13" s="15">
        <v>1572723200</v>
      </c>
    </row>
    <row r="14" spans="1:7" x14ac:dyDescent="0.25">
      <c r="A14" s="13" t="s">
        <v>17</v>
      </c>
      <c r="B14" s="14" t="s">
        <v>23</v>
      </c>
      <c r="C14" s="14" t="s">
        <v>20</v>
      </c>
      <c r="D14" s="14" t="s">
        <v>6</v>
      </c>
      <c r="E14" s="15">
        <v>27637</v>
      </c>
      <c r="F14" s="15">
        <v>1094455440</v>
      </c>
    </row>
    <row r="15" spans="1:7" x14ac:dyDescent="0.25">
      <c r="A15" s="13" t="s">
        <v>17</v>
      </c>
      <c r="B15" s="14" t="s">
        <v>23</v>
      </c>
      <c r="C15" s="14" t="s">
        <v>25</v>
      </c>
      <c r="D15" s="14" t="s">
        <v>6</v>
      </c>
      <c r="E15" s="15">
        <v>7991</v>
      </c>
      <c r="F15" s="15">
        <v>300244740</v>
      </c>
    </row>
    <row r="16" spans="1:7" x14ac:dyDescent="0.25">
      <c r="A16" s="13" t="s">
        <v>17</v>
      </c>
      <c r="B16" s="14" t="s">
        <v>18</v>
      </c>
      <c r="C16" s="14" t="s">
        <v>25</v>
      </c>
      <c r="D16" s="14" t="s">
        <v>6</v>
      </c>
      <c r="E16" s="15">
        <v>2836</v>
      </c>
      <c r="F16" s="15">
        <v>134463000</v>
      </c>
    </row>
    <row r="17" spans="1:6" x14ac:dyDescent="0.25">
      <c r="A17" s="13" t="s">
        <v>17</v>
      </c>
      <c r="B17" s="14" t="s">
        <v>23</v>
      </c>
      <c r="C17" s="14" t="s">
        <v>26</v>
      </c>
      <c r="D17" s="14" t="s">
        <v>6</v>
      </c>
      <c r="E17" s="15">
        <v>3396</v>
      </c>
      <c r="F17" s="15">
        <v>130813500</v>
      </c>
    </row>
    <row r="18" spans="1:6" x14ac:dyDescent="0.25">
      <c r="A18" s="13" t="s">
        <v>17</v>
      </c>
      <c r="B18" s="14" t="s">
        <v>22</v>
      </c>
      <c r="C18" s="14" t="s">
        <v>24</v>
      </c>
      <c r="D18" s="14" t="s">
        <v>6</v>
      </c>
      <c r="E18" s="15">
        <v>2484</v>
      </c>
      <c r="F18" s="15">
        <v>111807125</v>
      </c>
    </row>
    <row r="19" spans="1:6" x14ac:dyDescent="0.25">
      <c r="A19" s="13" t="s">
        <v>17</v>
      </c>
      <c r="B19" s="14" t="s">
        <v>22</v>
      </c>
      <c r="C19" s="14" t="s">
        <v>27</v>
      </c>
      <c r="D19" s="14" t="s">
        <v>6</v>
      </c>
      <c r="E19" s="15">
        <v>1462</v>
      </c>
      <c r="F19" s="15">
        <v>69090250</v>
      </c>
    </row>
    <row r="20" spans="1:6" x14ac:dyDescent="0.25">
      <c r="A20" s="13" t="s">
        <v>17</v>
      </c>
      <c r="B20" s="14" t="s">
        <v>22</v>
      </c>
      <c r="C20" s="14" t="s">
        <v>25</v>
      </c>
      <c r="D20" s="14" t="s">
        <v>6</v>
      </c>
      <c r="E20" s="15">
        <v>533</v>
      </c>
      <c r="F20" s="15">
        <v>34820000</v>
      </c>
    </row>
    <row r="21" spans="1:6" x14ac:dyDescent="0.25">
      <c r="A21" s="13" t="s">
        <v>17</v>
      </c>
      <c r="B21" s="14" t="s">
        <v>18</v>
      </c>
      <c r="C21" s="14" t="s">
        <v>26</v>
      </c>
      <c r="D21" s="14" t="s">
        <v>6</v>
      </c>
      <c r="E21" s="15">
        <v>384</v>
      </c>
      <c r="F21" s="15">
        <v>18200000</v>
      </c>
    </row>
    <row r="22" spans="1:6" x14ac:dyDescent="0.25">
      <c r="A22" s="13" t="s">
        <v>17</v>
      </c>
      <c r="B22" s="14" t="s">
        <v>18</v>
      </c>
      <c r="C22" s="14" t="s">
        <v>27</v>
      </c>
      <c r="D22" s="14" t="s">
        <v>6</v>
      </c>
      <c r="E22" s="15">
        <v>107</v>
      </c>
      <c r="F22" s="15">
        <v>4785000</v>
      </c>
    </row>
    <row r="23" spans="1:6" x14ac:dyDescent="0.25">
      <c r="A23" s="17" t="s">
        <v>28</v>
      </c>
      <c r="B23" s="18" t="s">
        <v>14</v>
      </c>
      <c r="C23" s="18" t="s">
        <v>15</v>
      </c>
      <c r="D23" s="18" t="s">
        <v>6</v>
      </c>
      <c r="E23" s="20">
        <v>26783</v>
      </c>
      <c r="F23" s="20">
        <v>37837012342</v>
      </c>
    </row>
    <row r="24" spans="1:6" x14ac:dyDescent="0.25">
      <c r="A24" s="17" t="s">
        <v>28</v>
      </c>
      <c r="B24" s="18" t="s">
        <v>14</v>
      </c>
      <c r="C24" s="18" t="s">
        <v>29</v>
      </c>
      <c r="D24" s="18" t="s">
        <v>6</v>
      </c>
      <c r="E24" s="20">
        <v>2241</v>
      </c>
      <c r="F24" s="20">
        <v>2672529707</v>
      </c>
    </row>
    <row r="25" spans="1:6" x14ac:dyDescent="0.25">
      <c r="A25" s="17" t="s">
        <v>28</v>
      </c>
      <c r="B25" s="18" t="s">
        <v>14</v>
      </c>
      <c r="C25" s="18" t="s">
        <v>30</v>
      </c>
      <c r="D25" s="18" t="s">
        <v>6</v>
      </c>
      <c r="E25" s="20">
        <v>1763</v>
      </c>
      <c r="F25" s="20">
        <v>2159428247</v>
      </c>
    </row>
    <row r="26" spans="1:6" x14ac:dyDescent="0.25">
      <c r="A26" s="17" t="s">
        <v>28</v>
      </c>
      <c r="B26" s="18" t="s">
        <v>14</v>
      </c>
      <c r="C26" s="18" t="s">
        <v>31</v>
      </c>
      <c r="D26" s="18" t="s">
        <v>6</v>
      </c>
      <c r="E26" s="20">
        <v>1553</v>
      </c>
      <c r="F26" s="20">
        <v>1972277908</v>
      </c>
    </row>
    <row r="27" spans="1:6" x14ac:dyDescent="0.25">
      <c r="A27" s="17" t="s">
        <v>28</v>
      </c>
      <c r="B27" s="18" t="s">
        <v>14</v>
      </c>
      <c r="C27" s="18" t="s">
        <v>32</v>
      </c>
      <c r="D27" s="18" t="s">
        <v>6</v>
      </c>
      <c r="E27" s="20">
        <v>899</v>
      </c>
      <c r="F27" s="20">
        <v>1151481123</v>
      </c>
    </row>
    <row r="28" spans="1:6" x14ac:dyDescent="0.25">
      <c r="A28" s="17" t="s">
        <v>28</v>
      </c>
      <c r="B28" s="18" t="s">
        <v>14</v>
      </c>
      <c r="C28" s="18" t="s">
        <v>8</v>
      </c>
      <c r="D28" s="18" t="s">
        <v>6</v>
      </c>
      <c r="E28" s="20">
        <v>680</v>
      </c>
      <c r="F28" s="20">
        <v>879535090</v>
      </c>
    </row>
    <row r="29" spans="1:6" x14ac:dyDescent="0.25">
      <c r="A29" s="17" t="s">
        <v>28</v>
      </c>
      <c r="B29" s="18" t="s">
        <v>14</v>
      </c>
      <c r="C29" s="18" t="s">
        <v>33</v>
      </c>
      <c r="D29" s="18" t="s">
        <v>6</v>
      </c>
      <c r="E29" s="20">
        <v>661</v>
      </c>
      <c r="F29" s="20">
        <v>805310967</v>
      </c>
    </row>
    <row r="30" spans="1:6" x14ac:dyDescent="0.25">
      <c r="A30" s="17" t="s">
        <v>28</v>
      </c>
      <c r="B30" s="18" t="s">
        <v>14</v>
      </c>
      <c r="C30" s="18" t="s">
        <v>34</v>
      </c>
      <c r="D30" s="18" t="s">
        <v>6</v>
      </c>
      <c r="E30" s="20">
        <v>595</v>
      </c>
      <c r="F30" s="20">
        <v>738090401</v>
      </c>
    </row>
    <row r="31" spans="1:6" x14ac:dyDescent="0.25">
      <c r="A31" s="17" t="s">
        <v>28</v>
      </c>
      <c r="B31" s="18" t="s">
        <v>14</v>
      </c>
      <c r="C31" s="18" t="s">
        <v>35</v>
      </c>
      <c r="D31" s="18" t="s">
        <v>6</v>
      </c>
      <c r="E31" s="20">
        <v>160</v>
      </c>
      <c r="F31" s="20">
        <v>205255608</v>
      </c>
    </row>
    <row r="32" spans="1:6" x14ac:dyDescent="0.25">
      <c r="A32" s="17" t="s">
        <v>28</v>
      </c>
      <c r="B32" s="18" t="s">
        <v>14</v>
      </c>
      <c r="C32" s="18" t="s">
        <v>36</v>
      </c>
      <c r="D32" s="18" t="s">
        <v>6</v>
      </c>
      <c r="E32" s="20">
        <v>140</v>
      </c>
      <c r="F32" s="20">
        <v>176061353</v>
      </c>
    </row>
    <row r="33" spans="1:6" x14ac:dyDescent="0.25">
      <c r="A33" s="17" t="s">
        <v>28</v>
      </c>
      <c r="B33" s="18" t="s">
        <v>14</v>
      </c>
      <c r="C33" s="18" t="s">
        <v>37</v>
      </c>
      <c r="D33" s="18" t="s">
        <v>6</v>
      </c>
      <c r="E33" s="20">
        <v>110</v>
      </c>
      <c r="F33" s="20">
        <v>137806911</v>
      </c>
    </row>
    <row r="34" spans="1:6" x14ac:dyDescent="0.25">
      <c r="A34" s="17" t="s">
        <v>28</v>
      </c>
      <c r="B34" s="18" t="s">
        <v>14</v>
      </c>
      <c r="C34" s="18" t="s">
        <v>38</v>
      </c>
      <c r="D34" s="18" t="s">
        <v>6</v>
      </c>
      <c r="E34" s="20">
        <v>66</v>
      </c>
      <c r="F34" s="20">
        <v>82182071</v>
      </c>
    </row>
    <row r="35" spans="1:6" x14ac:dyDescent="0.25">
      <c r="A35" s="17" t="s">
        <v>28</v>
      </c>
      <c r="B35" s="18" t="s">
        <v>14</v>
      </c>
      <c r="C35" s="18" t="s">
        <v>12</v>
      </c>
      <c r="D35" s="18" t="s">
        <v>6</v>
      </c>
      <c r="E35" s="20">
        <v>64</v>
      </c>
      <c r="F35" s="20">
        <v>79007117</v>
      </c>
    </row>
    <row r="36" spans="1:6" x14ac:dyDescent="0.25">
      <c r="A36" s="13" t="s">
        <v>39</v>
      </c>
      <c r="B36" s="14" t="s">
        <v>14</v>
      </c>
      <c r="C36" s="14" t="s">
        <v>15</v>
      </c>
      <c r="D36" s="14" t="s">
        <v>6</v>
      </c>
      <c r="E36" s="15">
        <v>16915</v>
      </c>
      <c r="F36" s="15">
        <v>22797650023</v>
      </c>
    </row>
    <row r="37" spans="1:6" x14ac:dyDescent="0.25">
      <c r="A37" s="13" t="s">
        <v>39</v>
      </c>
      <c r="B37" s="14" t="s">
        <v>14</v>
      </c>
      <c r="C37" s="14" t="s">
        <v>30</v>
      </c>
      <c r="D37" s="14" t="s">
        <v>6</v>
      </c>
      <c r="E37" s="15">
        <v>3591</v>
      </c>
      <c r="F37" s="15">
        <v>4215746222</v>
      </c>
    </row>
    <row r="38" spans="1:6" x14ac:dyDescent="0.25">
      <c r="A38" s="13" t="s">
        <v>39</v>
      </c>
      <c r="B38" s="14" t="s">
        <v>14</v>
      </c>
      <c r="C38" s="14" t="s">
        <v>38</v>
      </c>
      <c r="D38" s="14" t="s">
        <v>6</v>
      </c>
      <c r="E38" s="15">
        <v>1678</v>
      </c>
      <c r="F38" s="15">
        <v>2119199304</v>
      </c>
    </row>
    <row r="39" spans="1:6" x14ac:dyDescent="0.25">
      <c r="A39" s="13" t="s">
        <v>39</v>
      </c>
      <c r="B39" s="14" t="s">
        <v>14</v>
      </c>
      <c r="C39" s="14" t="s">
        <v>37</v>
      </c>
      <c r="D39" s="14" t="s">
        <v>6</v>
      </c>
      <c r="E39" s="15">
        <v>463</v>
      </c>
      <c r="F39" s="15">
        <v>569141409</v>
      </c>
    </row>
    <row r="40" spans="1:6" x14ac:dyDescent="0.25">
      <c r="A40" s="13" t="s">
        <v>39</v>
      </c>
      <c r="B40" s="14" t="s">
        <v>14</v>
      </c>
      <c r="C40" s="14" t="s">
        <v>31</v>
      </c>
      <c r="D40" s="14" t="s">
        <v>6</v>
      </c>
      <c r="E40" s="15">
        <v>368</v>
      </c>
      <c r="F40" s="15">
        <v>436920695</v>
      </c>
    </row>
    <row r="41" spans="1:6" x14ac:dyDescent="0.25">
      <c r="A41" s="13" t="s">
        <v>39</v>
      </c>
      <c r="B41" s="14" t="s">
        <v>14</v>
      </c>
      <c r="C41" s="14" t="s">
        <v>12</v>
      </c>
      <c r="D41" s="14" t="s">
        <v>6</v>
      </c>
      <c r="E41" s="15">
        <v>234</v>
      </c>
      <c r="F41" s="15">
        <v>298525342</v>
      </c>
    </row>
    <row r="42" spans="1:6" x14ac:dyDescent="0.25">
      <c r="A42" s="13" t="s">
        <v>39</v>
      </c>
      <c r="B42" s="14" t="s">
        <v>14</v>
      </c>
      <c r="C42" s="14" t="s">
        <v>29</v>
      </c>
      <c r="D42" s="14" t="s">
        <v>6</v>
      </c>
      <c r="E42" s="15">
        <v>132</v>
      </c>
      <c r="F42" s="15">
        <v>158946658</v>
      </c>
    </row>
    <row r="43" spans="1:6" x14ac:dyDescent="0.25">
      <c r="A43" s="13" t="s">
        <v>39</v>
      </c>
      <c r="B43" s="14" t="s">
        <v>14</v>
      </c>
      <c r="C43" s="14" t="s">
        <v>32</v>
      </c>
      <c r="D43" s="14" t="s">
        <v>6</v>
      </c>
      <c r="E43" s="15">
        <v>120</v>
      </c>
      <c r="F43" s="15">
        <v>149568411</v>
      </c>
    </row>
    <row r="44" spans="1:6" x14ac:dyDescent="0.25">
      <c r="A44" s="13" t="s">
        <v>39</v>
      </c>
      <c r="B44" s="14" t="s">
        <v>14</v>
      </c>
      <c r="C44" s="14" t="s">
        <v>16</v>
      </c>
      <c r="D44" s="14" t="s">
        <v>6</v>
      </c>
      <c r="E44" s="15">
        <v>80</v>
      </c>
      <c r="F44" s="15">
        <v>100225403</v>
      </c>
    </row>
    <row r="45" spans="1:6" x14ac:dyDescent="0.25">
      <c r="A45" s="17" t="s">
        <v>40</v>
      </c>
      <c r="B45" s="18" t="s">
        <v>14</v>
      </c>
      <c r="C45" s="18" t="s">
        <v>15</v>
      </c>
      <c r="D45" s="18" t="s">
        <v>6</v>
      </c>
      <c r="E45" s="20">
        <v>105551</v>
      </c>
      <c r="F45" s="20">
        <v>23782278269</v>
      </c>
    </row>
    <row r="46" spans="1:6" x14ac:dyDescent="0.25">
      <c r="A46" s="17" t="s">
        <v>40</v>
      </c>
      <c r="B46" s="18" t="s">
        <v>14</v>
      </c>
      <c r="C46" s="18" t="s">
        <v>29</v>
      </c>
      <c r="D46" s="18" t="s">
        <v>6</v>
      </c>
      <c r="E46" s="20">
        <v>29005</v>
      </c>
      <c r="F46" s="20">
        <v>5376147493</v>
      </c>
    </row>
    <row r="47" spans="1:6" x14ac:dyDescent="0.25">
      <c r="A47" s="17" t="s">
        <v>40</v>
      </c>
      <c r="B47" s="18" t="s">
        <v>14</v>
      </c>
      <c r="C47" s="18" t="s">
        <v>41</v>
      </c>
      <c r="D47" s="18" t="s">
        <v>6</v>
      </c>
      <c r="E47" s="20">
        <v>40</v>
      </c>
      <c r="F47" s="20">
        <v>23021583</v>
      </c>
    </row>
    <row r="48" spans="1:6" x14ac:dyDescent="0.25">
      <c r="A48" s="13" t="s">
        <v>42</v>
      </c>
      <c r="B48" s="14" t="s">
        <v>43</v>
      </c>
      <c r="C48" s="14" t="s">
        <v>19</v>
      </c>
      <c r="D48" s="14" t="s">
        <v>6</v>
      </c>
      <c r="E48" s="15">
        <v>204722</v>
      </c>
      <c r="F48" s="15">
        <v>19685664021</v>
      </c>
    </row>
    <row r="49" spans="1:6" x14ac:dyDescent="0.25">
      <c r="A49" s="13" t="s">
        <v>42</v>
      </c>
      <c r="B49" s="14" t="s">
        <v>44</v>
      </c>
      <c r="C49" s="14" t="s">
        <v>45</v>
      </c>
      <c r="D49" s="14" t="s">
        <v>6</v>
      </c>
      <c r="E49" s="15">
        <v>43408</v>
      </c>
      <c r="F49" s="15">
        <v>3655055730</v>
      </c>
    </row>
    <row r="50" spans="1:6" x14ac:dyDescent="0.25">
      <c r="A50" s="13" t="s">
        <v>42</v>
      </c>
      <c r="B50" s="14" t="s">
        <v>46</v>
      </c>
      <c r="C50" s="14" t="s">
        <v>12</v>
      </c>
      <c r="D50" s="14" t="s">
        <v>6</v>
      </c>
      <c r="E50" s="15">
        <v>49106</v>
      </c>
      <c r="F50" s="15">
        <v>2483353653</v>
      </c>
    </row>
    <row r="51" spans="1:6" x14ac:dyDescent="0.25">
      <c r="A51" s="13" t="s">
        <v>42</v>
      </c>
      <c r="B51" s="14" t="s">
        <v>44</v>
      </c>
      <c r="C51" s="14" t="s">
        <v>47</v>
      </c>
      <c r="D51" s="14" t="s">
        <v>6</v>
      </c>
      <c r="E51" s="15">
        <v>5500</v>
      </c>
      <c r="F51" s="15">
        <v>785469071</v>
      </c>
    </row>
    <row r="52" spans="1:6" x14ac:dyDescent="0.25">
      <c r="A52" s="13" t="s">
        <v>42</v>
      </c>
      <c r="B52" s="14" t="s">
        <v>44</v>
      </c>
      <c r="C52" s="14" t="s">
        <v>9</v>
      </c>
      <c r="D52" s="14" t="s">
        <v>6</v>
      </c>
      <c r="E52" s="15">
        <v>3336</v>
      </c>
      <c r="F52" s="15">
        <v>171436989</v>
      </c>
    </row>
    <row r="53" spans="1:6" x14ac:dyDescent="0.25">
      <c r="A53" s="13" t="s">
        <v>42</v>
      </c>
      <c r="B53" s="14" t="s">
        <v>46</v>
      </c>
      <c r="C53" s="14" t="s">
        <v>9</v>
      </c>
      <c r="D53" s="14" t="s">
        <v>6</v>
      </c>
      <c r="E53" s="15">
        <v>2565</v>
      </c>
      <c r="F53" s="15">
        <v>146278950</v>
      </c>
    </row>
    <row r="54" spans="1:6" x14ac:dyDescent="0.25">
      <c r="A54" s="17" t="s">
        <v>144</v>
      </c>
      <c r="B54" s="18" t="s">
        <v>14</v>
      </c>
      <c r="C54" s="18" t="s">
        <v>15</v>
      </c>
      <c r="D54" s="18" t="s">
        <v>6</v>
      </c>
      <c r="E54" s="20">
        <v>25033</v>
      </c>
      <c r="F54" s="20">
        <v>6221775946</v>
      </c>
    </row>
    <row r="55" spans="1:6" x14ac:dyDescent="0.25">
      <c r="A55" s="17" t="s">
        <v>144</v>
      </c>
      <c r="B55" s="18" t="s">
        <v>14</v>
      </c>
      <c r="C55" s="18" t="s">
        <v>31</v>
      </c>
      <c r="D55" s="18" t="s">
        <v>6</v>
      </c>
      <c r="E55" s="20">
        <v>6416</v>
      </c>
      <c r="F55" s="20">
        <v>2188304538</v>
      </c>
    </row>
    <row r="56" spans="1:6" x14ac:dyDescent="0.25">
      <c r="A56" s="17" t="s">
        <v>48</v>
      </c>
      <c r="B56" s="18" t="s">
        <v>14</v>
      </c>
      <c r="C56" s="18" t="s">
        <v>15</v>
      </c>
      <c r="D56" s="18" t="s">
        <v>6</v>
      </c>
      <c r="E56" s="20">
        <v>35216</v>
      </c>
      <c r="F56" s="20">
        <v>7578109574</v>
      </c>
    </row>
    <row r="57" spans="1:6" x14ac:dyDescent="0.25">
      <c r="A57" s="17" t="s">
        <v>49</v>
      </c>
      <c r="B57" s="18" t="s">
        <v>14</v>
      </c>
      <c r="C57" s="18" t="s">
        <v>15</v>
      </c>
      <c r="D57" s="18" t="s">
        <v>6</v>
      </c>
      <c r="E57" s="20">
        <v>4540</v>
      </c>
      <c r="F57" s="20">
        <v>4153250167</v>
      </c>
    </row>
    <row r="58" spans="1:6" x14ac:dyDescent="0.25">
      <c r="A58" s="17" t="s">
        <v>49</v>
      </c>
      <c r="B58" s="18" t="s">
        <v>14</v>
      </c>
      <c r="C58" s="18" t="s">
        <v>50</v>
      </c>
      <c r="D58" s="18" t="s">
        <v>6</v>
      </c>
      <c r="E58" s="20">
        <v>440</v>
      </c>
      <c r="F58" s="20">
        <v>341151279</v>
      </c>
    </row>
    <row r="59" spans="1:6" x14ac:dyDescent="0.25">
      <c r="A59" s="17" t="s">
        <v>49</v>
      </c>
      <c r="B59" s="18" t="s">
        <v>14</v>
      </c>
      <c r="C59" s="18" t="s">
        <v>31</v>
      </c>
      <c r="D59" s="18" t="s">
        <v>6</v>
      </c>
      <c r="E59" s="20">
        <v>400</v>
      </c>
      <c r="F59" s="20">
        <v>303853087</v>
      </c>
    </row>
    <row r="60" spans="1:6" x14ac:dyDescent="0.25">
      <c r="A60" s="17" t="s">
        <v>49</v>
      </c>
      <c r="B60" s="18" t="s">
        <v>14</v>
      </c>
      <c r="C60" s="18" t="s">
        <v>41</v>
      </c>
      <c r="D60" s="18" t="s">
        <v>6</v>
      </c>
      <c r="E60" s="20">
        <v>400</v>
      </c>
      <c r="F60" s="20">
        <v>298442192</v>
      </c>
    </row>
    <row r="61" spans="1:6" x14ac:dyDescent="0.25">
      <c r="A61" s="17" t="s">
        <v>49</v>
      </c>
      <c r="B61" s="18" t="s">
        <v>14</v>
      </c>
      <c r="C61" s="18" t="s">
        <v>37</v>
      </c>
      <c r="D61" s="18" t="s">
        <v>6</v>
      </c>
      <c r="E61" s="20">
        <v>180</v>
      </c>
      <c r="F61" s="20">
        <v>142683113</v>
      </c>
    </row>
    <row r="62" spans="1:6" x14ac:dyDescent="0.25">
      <c r="A62" s="17" t="s">
        <v>49</v>
      </c>
      <c r="B62" s="18" t="s">
        <v>14</v>
      </c>
      <c r="C62" s="18" t="s">
        <v>32</v>
      </c>
      <c r="D62" s="18" t="s">
        <v>6</v>
      </c>
      <c r="E62" s="20">
        <v>120</v>
      </c>
      <c r="F62" s="20">
        <v>99738379</v>
      </c>
    </row>
    <row r="63" spans="1:6" x14ac:dyDescent="0.25">
      <c r="A63" s="17" t="s">
        <v>49</v>
      </c>
      <c r="B63" s="18" t="s">
        <v>14</v>
      </c>
      <c r="C63" s="18" t="s">
        <v>35</v>
      </c>
      <c r="D63" s="18" t="s">
        <v>6</v>
      </c>
      <c r="E63" s="20">
        <v>120</v>
      </c>
      <c r="F63" s="20">
        <v>87597760</v>
      </c>
    </row>
    <row r="64" spans="1:6" x14ac:dyDescent="0.25">
      <c r="A64" s="17" t="s">
        <v>49</v>
      </c>
      <c r="B64" s="18" t="s">
        <v>14</v>
      </c>
      <c r="C64" s="18" t="s">
        <v>51</v>
      </c>
      <c r="D64" s="18" t="s">
        <v>6</v>
      </c>
      <c r="E64" s="20">
        <v>100</v>
      </c>
      <c r="F64" s="20">
        <v>76434262</v>
      </c>
    </row>
    <row r="65" spans="1:6" x14ac:dyDescent="0.25">
      <c r="A65" s="17" t="s">
        <v>49</v>
      </c>
      <c r="B65" s="18" t="s">
        <v>14</v>
      </c>
      <c r="C65" s="18" t="s">
        <v>38</v>
      </c>
      <c r="D65" s="18" t="s">
        <v>6</v>
      </c>
      <c r="E65" s="20">
        <v>40</v>
      </c>
      <c r="F65" s="20">
        <v>29664509</v>
      </c>
    </row>
    <row r="66" spans="1:6" x14ac:dyDescent="0.25">
      <c r="A66" s="13" t="s">
        <v>52</v>
      </c>
      <c r="B66" s="14" t="s">
        <v>14</v>
      </c>
      <c r="C66" s="14" t="s">
        <v>15</v>
      </c>
      <c r="D66" s="14" t="s">
        <v>6</v>
      </c>
      <c r="E66" s="15">
        <v>2840</v>
      </c>
      <c r="F66" s="15">
        <v>3827194780</v>
      </c>
    </row>
    <row r="67" spans="1:6" x14ac:dyDescent="0.25">
      <c r="A67" s="13" t="s">
        <v>52</v>
      </c>
      <c r="B67" s="14" t="s">
        <v>14</v>
      </c>
      <c r="C67" s="14" t="s">
        <v>41</v>
      </c>
      <c r="D67" s="14" t="s">
        <v>6</v>
      </c>
      <c r="E67" s="15">
        <v>580</v>
      </c>
      <c r="F67" s="15">
        <v>634237080</v>
      </c>
    </row>
    <row r="68" spans="1:6" x14ac:dyDescent="0.25">
      <c r="A68" s="13" t="s">
        <v>52</v>
      </c>
      <c r="B68" s="14" t="s">
        <v>14</v>
      </c>
      <c r="C68" s="14" t="s">
        <v>32</v>
      </c>
      <c r="D68" s="14" t="s">
        <v>6</v>
      </c>
      <c r="E68" s="15">
        <v>240</v>
      </c>
      <c r="F68" s="15">
        <v>237528598</v>
      </c>
    </row>
    <row r="69" spans="1:6" x14ac:dyDescent="0.25">
      <c r="A69" s="13" t="s">
        <v>52</v>
      </c>
      <c r="B69" s="14" t="s">
        <v>14</v>
      </c>
      <c r="C69" s="14" t="s">
        <v>35</v>
      </c>
      <c r="D69" s="14" t="s">
        <v>6</v>
      </c>
      <c r="E69" s="15">
        <v>100</v>
      </c>
      <c r="F69" s="15">
        <v>131314917</v>
      </c>
    </row>
    <row r="70" spans="1:6" x14ac:dyDescent="0.25">
      <c r="A70" s="13" t="s">
        <v>52</v>
      </c>
      <c r="B70" s="14" t="s">
        <v>14</v>
      </c>
      <c r="C70" s="14" t="s">
        <v>37</v>
      </c>
      <c r="D70" s="14" t="s">
        <v>6</v>
      </c>
      <c r="E70" s="15">
        <v>100</v>
      </c>
      <c r="F70" s="15">
        <v>126512108</v>
      </c>
    </row>
    <row r="71" spans="1:6" x14ac:dyDescent="0.25">
      <c r="A71" s="13" t="s">
        <v>52</v>
      </c>
      <c r="B71" s="14" t="s">
        <v>14</v>
      </c>
      <c r="C71" s="14" t="s">
        <v>31</v>
      </c>
      <c r="D71" s="14" t="s">
        <v>6</v>
      </c>
      <c r="E71" s="15">
        <v>80</v>
      </c>
      <c r="F71" s="15">
        <v>96661461</v>
      </c>
    </row>
    <row r="72" spans="1:6" x14ac:dyDescent="0.25">
      <c r="A72" s="13" t="s">
        <v>52</v>
      </c>
      <c r="B72" s="14" t="s">
        <v>14</v>
      </c>
      <c r="C72" s="14" t="s">
        <v>53</v>
      </c>
      <c r="D72" s="14" t="s">
        <v>6</v>
      </c>
      <c r="E72" s="15">
        <v>60</v>
      </c>
      <c r="F72" s="15">
        <v>66222480</v>
      </c>
    </row>
    <row r="73" spans="1:6" x14ac:dyDescent="0.25">
      <c r="A73" s="13" t="s">
        <v>52</v>
      </c>
      <c r="B73" s="14" t="s">
        <v>14</v>
      </c>
      <c r="C73" s="14" t="s">
        <v>30</v>
      </c>
      <c r="D73" s="14" t="s">
        <v>6</v>
      </c>
      <c r="E73" s="15">
        <v>60</v>
      </c>
      <c r="F73" s="15">
        <v>64976444</v>
      </c>
    </row>
    <row r="74" spans="1:6" x14ac:dyDescent="0.25">
      <c r="A74" s="13" t="s">
        <v>52</v>
      </c>
      <c r="B74" s="14" t="s">
        <v>14</v>
      </c>
      <c r="C74" s="14" t="s">
        <v>50</v>
      </c>
      <c r="D74" s="14" t="s">
        <v>6</v>
      </c>
      <c r="E74" s="15">
        <v>60</v>
      </c>
      <c r="F74" s="15">
        <v>63697902</v>
      </c>
    </row>
    <row r="75" spans="1:6" x14ac:dyDescent="0.25">
      <c r="A75" s="13" t="s">
        <v>52</v>
      </c>
      <c r="B75" s="14" t="s">
        <v>14</v>
      </c>
      <c r="C75" s="14" t="s">
        <v>29</v>
      </c>
      <c r="D75" s="14" t="s">
        <v>6</v>
      </c>
      <c r="E75" s="15">
        <v>20</v>
      </c>
      <c r="F75" s="15">
        <v>26978417</v>
      </c>
    </row>
    <row r="76" spans="1:6" x14ac:dyDescent="0.25">
      <c r="A76" s="13" t="s">
        <v>52</v>
      </c>
      <c r="B76" s="14" t="s">
        <v>14</v>
      </c>
      <c r="C76" s="14" t="s">
        <v>12</v>
      </c>
      <c r="D76" s="14" t="s">
        <v>6</v>
      </c>
      <c r="E76" s="15">
        <v>20</v>
      </c>
      <c r="F76" s="15">
        <v>15489006</v>
      </c>
    </row>
    <row r="77" spans="1:6" x14ac:dyDescent="0.25">
      <c r="A77" s="17" t="s">
        <v>54</v>
      </c>
      <c r="B77" s="18" t="s">
        <v>55</v>
      </c>
      <c r="C77" s="18" t="s">
        <v>15</v>
      </c>
      <c r="D77" s="18" t="s">
        <v>6</v>
      </c>
      <c r="E77" s="20">
        <v>42629</v>
      </c>
      <c r="F77" s="20">
        <v>1283260095</v>
      </c>
    </row>
    <row r="78" spans="1:6" x14ac:dyDescent="0.25">
      <c r="A78" s="17" t="s">
        <v>54</v>
      </c>
      <c r="B78" s="18" t="s">
        <v>55</v>
      </c>
      <c r="C78" s="18" t="s">
        <v>56</v>
      </c>
      <c r="D78" s="18" t="s">
        <v>6</v>
      </c>
      <c r="E78" s="20">
        <v>37352</v>
      </c>
      <c r="F78" s="20">
        <v>1050899906</v>
      </c>
    </row>
    <row r="79" spans="1:6" x14ac:dyDescent="0.25">
      <c r="A79" s="17" t="s">
        <v>54</v>
      </c>
      <c r="B79" s="18" t="s">
        <v>55</v>
      </c>
      <c r="C79" s="18" t="s">
        <v>57</v>
      </c>
      <c r="D79" s="18" t="s">
        <v>6</v>
      </c>
      <c r="E79" s="20">
        <v>25442</v>
      </c>
      <c r="F79" s="20">
        <v>667908065</v>
      </c>
    </row>
    <row r="80" spans="1:6" x14ac:dyDescent="0.25">
      <c r="A80" s="17" t="s">
        <v>54</v>
      </c>
      <c r="B80" s="18" t="s">
        <v>55</v>
      </c>
      <c r="C80" s="18" t="s">
        <v>56</v>
      </c>
      <c r="D80" s="18" t="s">
        <v>6</v>
      </c>
      <c r="E80" s="20">
        <v>3009</v>
      </c>
      <c r="F80" s="20">
        <v>60126370</v>
      </c>
    </row>
    <row r="81" spans="1:6" x14ac:dyDescent="0.25">
      <c r="A81" s="13" t="s">
        <v>58</v>
      </c>
      <c r="B81" s="14" t="s">
        <v>11</v>
      </c>
      <c r="C81" s="14" t="s">
        <v>19</v>
      </c>
      <c r="D81" s="14" t="s">
        <v>6</v>
      </c>
      <c r="E81" s="15">
        <v>4477</v>
      </c>
      <c r="F81" s="15">
        <v>1676673578</v>
      </c>
    </row>
    <row r="82" spans="1:6" x14ac:dyDescent="0.25">
      <c r="A82" s="13" t="s">
        <v>58</v>
      </c>
      <c r="B82" s="14" t="s">
        <v>11</v>
      </c>
      <c r="C82" s="14" t="s">
        <v>20</v>
      </c>
      <c r="D82" s="14" t="s">
        <v>6</v>
      </c>
      <c r="E82" s="15">
        <v>4349</v>
      </c>
      <c r="F82" s="15">
        <v>471203100</v>
      </c>
    </row>
    <row r="83" spans="1:6" x14ac:dyDescent="0.25">
      <c r="A83" s="13" t="s">
        <v>58</v>
      </c>
      <c r="B83" s="14" t="s">
        <v>11</v>
      </c>
      <c r="C83" s="14" t="s">
        <v>26</v>
      </c>
      <c r="D83" s="14" t="s">
        <v>6</v>
      </c>
      <c r="E83" s="15">
        <v>47</v>
      </c>
      <c r="F83" s="15">
        <v>6063200</v>
      </c>
    </row>
    <row r="84" spans="1:6" x14ac:dyDescent="0.25">
      <c r="A84" s="17" t="s">
        <v>59</v>
      </c>
      <c r="B84" s="18" t="s">
        <v>11</v>
      </c>
      <c r="C84" s="18" t="s">
        <v>21</v>
      </c>
      <c r="D84" s="18" t="s">
        <v>6</v>
      </c>
      <c r="E84" s="20">
        <v>2455</v>
      </c>
      <c r="F84" s="20">
        <v>795369377</v>
      </c>
    </row>
    <row r="85" spans="1:6" x14ac:dyDescent="0.25">
      <c r="A85" s="17" t="s">
        <v>59</v>
      </c>
      <c r="B85" s="18" t="s">
        <v>11</v>
      </c>
      <c r="C85" s="18" t="s">
        <v>27</v>
      </c>
      <c r="D85" s="18" t="s">
        <v>6</v>
      </c>
      <c r="E85" s="20">
        <v>990</v>
      </c>
      <c r="F85" s="20">
        <v>379655625</v>
      </c>
    </row>
    <row r="86" spans="1:6" x14ac:dyDescent="0.25">
      <c r="A86" s="13" t="s">
        <v>60</v>
      </c>
      <c r="B86" s="14" t="s">
        <v>61</v>
      </c>
      <c r="C86" s="14" t="s">
        <v>21</v>
      </c>
      <c r="D86" s="14" t="s">
        <v>6</v>
      </c>
      <c r="E86" s="15" t="s">
        <v>19</v>
      </c>
      <c r="F86" s="15">
        <v>752749640</v>
      </c>
    </row>
    <row r="87" spans="1:6" x14ac:dyDescent="0.25">
      <c r="A87" s="17" t="s">
        <v>62</v>
      </c>
      <c r="B87" s="18" t="s">
        <v>4</v>
      </c>
      <c r="C87" s="18" t="s">
        <v>5</v>
      </c>
      <c r="D87" s="18" t="s">
        <v>63</v>
      </c>
      <c r="E87" s="20">
        <v>27299</v>
      </c>
      <c r="F87" s="20">
        <v>374908490</v>
      </c>
    </row>
    <row r="88" spans="1:6" x14ac:dyDescent="0.25">
      <c r="A88" s="17" t="s">
        <v>62</v>
      </c>
      <c r="B88" s="18" t="s">
        <v>7</v>
      </c>
      <c r="C88" s="18" t="s">
        <v>8</v>
      </c>
      <c r="D88" s="18" t="s">
        <v>63</v>
      </c>
      <c r="E88" s="20">
        <v>11395</v>
      </c>
      <c r="F88" s="20">
        <v>143623609</v>
      </c>
    </row>
    <row r="89" spans="1:6" x14ac:dyDescent="0.25">
      <c r="A89" s="13" t="s">
        <v>64</v>
      </c>
      <c r="B89" s="14" t="s">
        <v>22</v>
      </c>
      <c r="C89" s="14" t="s">
        <v>20</v>
      </c>
      <c r="D89" s="14" t="s">
        <v>6</v>
      </c>
      <c r="E89" s="15">
        <v>13646</v>
      </c>
      <c r="F89" s="15">
        <v>504794510</v>
      </c>
    </row>
    <row r="90" spans="1:6" x14ac:dyDescent="0.25">
      <c r="A90" s="17" t="s">
        <v>65</v>
      </c>
      <c r="B90" s="18" t="s">
        <v>11</v>
      </c>
      <c r="C90" s="18" t="s">
        <v>20</v>
      </c>
      <c r="D90" s="18" t="s">
        <v>6</v>
      </c>
      <c r="E90" s="20">
        <v>1020</v>
      </c>
      <c r="F90" s="20">
        <v>6117000</v>
      </c>
    </row>
    <row r="91" spans="1:6" x14ac:dyDescent="0.25">
      <c r="A91" s="17" t="s">
        <v>65</v>
      </c>
      <c r="B91" s="18" t="s">
        <v>11</v>
      </c>
      <c r="C91" s="18" t="s">
        <v>25</v>
      </c>
      <c r="D91" s="18" t="s">
        <v>6</v>
      </c>
      <c r="E91" s="20">
        <v>778950</v>
      </c>
      <c r="F91" s="20">
        <v>4673700</v>
      </c>
    </row>
    <row r="92" spans="1:6" x14ac:dyDescent="0.25">
      <c r="A92" s="13" t="s">
        <v>66</v>
      </c>
      <c r="B92" s="14" t="s">
        <v>22</v>
      </c>
      <c r="C92" s="14" t="s">
        <v>21</v>
      </c>
      <c r="D92" s="14" t="s">
        <v>19</v>
      </c>
      <c r="E92" s="15" t="s">
        <v>19</v>
      </c>
      <c r="F92" s="15">
        <v>20438660</v>
      </c>
    </row>
    <row r="93" spans="1:6" x14ac:dyDescent="0.25">
      <c r="A93" s="17" t="s">
        <v>67</v>
      </c>
      <c r="B93" s="18" t="s">
        <v>11</v>
      </c>
      <c r="C93" s="18" t="s">
        <v>25</v>
      </c>
      <c r="D93" s="18" t="s">
        <v>6</v>
      </c>
      <c r="E93" s="20">
        <v>1</v>
      </c>
      <c r="F93" s="20">
        <v>205000</v>
      </c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F13" sqref="F13"/>
    </sheetView>
  </sheetViews>
  <sheetFormatPr baseColWidth="10" defaultRowHeight="15" x14ac:dyDescent="0.25"/>
  <cols>
    <col min="1" max="1" width="20.85546875" bestFit="1" customWidth="1"/>
    <col min="2" max="2" width="12.140625" bestFit="1" customWidth="1"/>
    <col min="3" max="3" width="16.7109375" bestFit="1" customWidth="1"/>
    <col min="4" max="4" width="7.5703125" bestFit="1" customWidth="1"/>
    <col min="5" max="5" width="6.42578125" bestFit="1" customWidth="1"/>
    <col min="6" max="6" width="14.7109375" bestFit="1" customWidth="1"/>
    <col min="7" max="7" width="11.5703125" customWidth="1"/>
  </cols>
  <sheetData>
    <row r="1" spans="1:7" ht="38.25" x14ac:dyDescent="0.25">
      <c r="A1" s="2" t="s">
        <v>0</v>
      </c>
      <c r="B1" s="2" t="s">
        <v>68</v>
      </c>
      <c r="C1" s="2" t="s">
        <v>69</v>
      </c>
      <c r="D1" s="2" t="s">
        <v>111</v>
      </c>
      <c r="E1" s="2" t="s">
        <v>1</v>
      </c>
      <c r="F1" s="2" t="s">
        <v>70</v>
      </c>
    </row>
    <row r="2" spans="1:7" x14ac:dyDescent="0.25">
      <c r="A2" s="3" t="s">
        <v>3</v>
      </c>
      <c r="B2" s="4" t="s">
        <v>7</v>
      </c>
      <c r="C2" s="4" t="s">
        <v>8</v>
      </c>
      <c r="D2" s="5">
        <v>128393</v>
      </c>
      <c r="E2" s="4" t="s">
        <v>63</v>
      </c>
      <c r="F2" s="5">
        <v>123373225492</v>
      </c>
    </row>
    <row r="3" spans="1:7" x14ac:dyDescent="0.25">
      <c r="A3" s="3" t="s">
        <v>3</v>
      </c>
      <c r="B3" s="4" t="s">
        <v>4</v>
      </c>
      <c r="C3" s="4" t="s">
        <v>5</v>
      </c>
      <c r="D3" s="5">
        <v>381943</v>
      </c>
      <c r="E3" s="4" t="s">
        <v>63</v>
      </c>
      <c r="F3" s="5">
        <v>381693870501</v>
      </c>
    </row>
    <row r="4" spans="1:7" x14ac:dyDescent="0.25">
      <c r="A4" s="3" t="s">
        <v>62</v>
      </c>
      <c r="B4" s="4" t="s">
        <v>7</v>
      </c>
      <c r="C4" s="4" t="s">
        <v>8</v>
      </c>
      <c r="D4" s="5">
        <v>9257</v>
      </c>
      <c r="E4" s="4" t="s">
        <v>63</v>
      </c>
      <c r="F4" s="5">
        <v>129692515</v>
      </c>
      <c r="G4" s="1"/>
    </row>
    <row r="5" spans="1:7" x14ac:dyDescent="0.25">
      <c r="A5" s="3" t="s">
        <v>62</v>
      </c>
      <c r="B5" s="4" t="s">
        <v>4</v>
      </c>
      <c r="C5" s="4" t="s">
        <v>5</v>
      </c>
      <c r="D5" s="5">
        <v>33010</v>
      </c>
      <c r="E5" s="4" t="s">
        <v>63</v>
      </c>
      <c r="F5" s="5">
        <v>453060509</v>
      </c>
    </row>
    <row r="6" spans="1:7" x14ac:dyDescent="0.25">
      <c r="A6" s="3" t="s">
        <v>17</v>
      </c>
      <c r="B6" s="4" t="s">
        <v>18</v>
      </c>
      <c r="C6" s="4" t="s">
        <v>71</v>
      </c>
      <c r="D6" s="5">
        <v>287525</v>
      </c>
      <c r="E6" s="4" t="s">
        <v>72</v>
      </c>
      <c r="F6" s="5">
        <v>11945492350</v>
      </c>
    </row>
    <row r="7" spans="1:7" x14ac:dyDescent="0.25">
      <c r="A7" s="3" t="s">
        <v>17</v>
      </c>
      <c r="B7" s="4" t="s">
        <v>18</v>
      </c>
      <c r="C7" s="4" t="s">
        <v>73</v>
      </c>
      <c r="D7" s="5">
        <v>764612</v>
      </c>
      <c r="E7" s="4" t="s">
        <v>72</v>
      </c>
      <c r="F7" s="5">
        <v>30414632250</v>
      </c>
    </row>
    <row r="8" spans="1:7" x14ac:dyDescent="0.25">
      <c r="A8" s="3" t="s">
        <v>17</v>
      </c>
      <c r="B8" s="4" t="s">
        <v>18</v>
      </c>
      <c r="C8" s="4" t="s">
        <v>21</v>
      </c>
      <c r="D8" s="5">
        <v>74400</v>
      </c>
      <c r="E8" s="4" t="s">
        <v>72</v>
      </c>
      <c r="F8" s="5">
        <v>2741372940</v>
      </c>
    </row>
    <row r="9" spans="1:7" x14ac:dyDescent="0.25">
      <c r="A9" s="3" t="s">
        <v>17</v>
      </c>
      <c r="B9" s="4" t="s">
        <v>23</v>
      </c>
      <c r="C9" s="4" t="s">
        <v>25</v>
      </c>
      <c r="D9" s="5">
        <v>6513</v>
      </c>
      <c r="E9" s="4" t="s">
        <v>72</v>
      </c>
      <c r="F9" s="5">
        <v>235924920</v>
      </c>
    </row>
    <row r="10" spans="1:7" x14ac:dyDescent="0.25">
      <c r="A10" s="3" t="s">
        <v>17</v>
      </c>
      <c r="B10" s="4" t="s">
        <v>23</v>
      </c>
      <c r="C10" s="4" t="s">
        <v>20</v>
      </c>
      <c r="D10" s="5">
        <v>282786</v>
      </c>
      <c r="E10" s="4" t="s">
        <v>72</v>
      </c>
      <c r="F10" s="5">
        <v>10759288560</v>
      </c>
    </row>
    <row r="11" spans="1:7" x14ac:dyDescent="0.25">
      <c r="A11" s="3" t="s">
        <v>17</v>
      </c>
      <c r="B11" s="4" t="s">
        <v>23</v>
      </c>
      <c r="C11" s="4" t="s">
        <v>21</v>
      </c>
      <c r="D11" s="5">
        <v>82744</v>
      </c>
      <c r="E11" s="4" t="s">
        <v>72</v>
      </c>
      <c r="F11" s="5">
        <v>3315486212</v>
      </c>
    </row>
    <row r="12" spans="1:7" x14ac:dyDescent="0.25">
      <c r="A12" s="3" t="s">
        <v>17</v>
      </c>
      <c r="B12" s="4" t="s">
        <v>22</v>
      </c>
      <c r="C12" s="4" t="s">
        <v>27</v>
      </c>
      <c r="D12" s="5">
        <v>83</v>
      </c>
      <c r="E12" s="4" t="s">
        <v>72</v>
      </c>
      <c r="F12" s="5">
        <v>3320000</v>
      </c>
    </row>
    <row r="13" spans="1:7" x14ac:dyDescent="0.25">
      <c r="A13" s="3" t="s">
        <v>17</v>
      </c>
      <c r="B13" s="4" t="s">
        <v>22</v>
      </c>
      <c r="C13" s="4" t="s">
        <v>25</v>
      </c>
      <c r="D13" s="5">
        <v>1395</v>
      </c>
      <c r="E13" s="4" t="s">
        <v>72</v>
      </c>
      <c r="F13" s="5">
        <v>74945010</v>
      </c>
    </row>
    <row r="14" spans="1:7" x14ac:dyDescent="0.25">
      <c r="A14" s="3" t="s">
        <v>17</v>
      </c>
      <c r="B14" s="4" t="s">
        <v>22</v>
      </c>
      <c r="C14" s="4" t="s">
        <v>20</v>
      </c>
      <c r="D14" s="5">
        <v>287290</v>
      </c>
      <c r="E14" s="4" t="s">
        <v>72</v>
      </c>
      <c r="F14" s="5">
        <v>11860403976</v>
      </c>
    </row>
    <row r="15" spans="1:7" x14ac:dyDescent="0.25">
      <c r="A15" s="3" t="s">
        <v>17</v>
      </c>
      <c r="B15" s="4" t="s">
        <v>22</v>
      </c>
      <c r="C15" s="4" t="s">
        <v>24</v>
      </c>
      <c r="D15" s="5">
        <v>6359</v>
      </c>
      <c r="E15" s="4" t="s">
        <v>72</v>
      </c>
      <c r="F15" s="5">
        <v>249126052</v>
      </c>
    </row>
    <row r="16" spans="1:7" x14ac:dyDescent="0.25">
      <c r="A16" s="3" t="s">
        <v>74</v>
      </c>
      <c r="B16" s="4" t="s">
        <v>75</v>
      </c>
      <c r="C16" s="4" t="s">
        <v>47</v>
      </c>
      <c r="D16" s="5">
        <v>1750</v>
      </c>
      <c r="E16" s="4" t="s">
        <v>72</v>
      </c>
      <c r="F16" s="5">
        <v>163194866</v>
      </c>
    </row>
    <row r="17" spans="1:6" x14ac:dyDescent="0.25">
      <c r="A17" s="3" t="s">
        <v>74</v>
      </c>
      <c r="B17" s="4" t="s">
        <v>75</v>
      </c>
      <c r="C17" s="4" t="s">
        <v>76</v>
      </c>
      <c r="D17" s="5">
        <v>32999</v>
      </c>
      <c r="E17" s="4" t="s">
        <v>72</v>
      </c>
      <c r="F17" s="5">
        <v>1001766115</v>
      </c>
    </row>
    <row r="18" spans="1:6" x14ac:dyDescent="0.25">
      <c r="A18" s="3" t="s">
        <v>74</v>
      </c>
      <c r="B18" s="4" t="s">
        <v>75</v>
      </c>
      <c r="C18" s="4" t="s">
        <v>77</v>
      </c>
      <c r="D18" s="5">
        <v>1809</v>
      </c>
      <c r="E18" s="4" t="s">
        <v>72</v>
      </c>
      <c r="F18" s="5">
        <v>101859978</v>
      </c>
    </row>
    <row r="19" spans="1:6" x14ac:dyDescent="0.25">
      <c r="A19" s="3" t="s">
        <v>74</v>
      </c>
      <c r="B19" s="4" t="s">
        <v>46</v>
      </c>
      <c r="C19" s="4" t="s">
        <v>76</v>
      </c>
      <c r="D19" s="5">
        <v>52576</v>
      </c>
      <c r="E19" s="4" t="s">
        <v>72</v>
      </c>
      <c r="F19" s="5">
        <v>1597344925</v>
      </c>
    </row>
    <row r="20" spans="1:6" x14ac:dyDescent="0.25">
      <c r="A20" s="3" t="s">
        <v>74</v>
      </c>
      <c r="B20" s="4" t="s">
        <v>46</v>
      </c>
      <c r="C20" s="4" t="s">
        <v>79</v>
      </c>
      <c r="D20" s="5">
        <v>178205</v>
      </c>
      <c r="E20" s="4" t="s">
        <v>72</v>
      </c>
      <c r="F20" s="5">
        <v>7334738566</v>
      </c>
    </row>
    <row r="21" spans="1:6" x14ac:dyDescent="0.25">
      <c r="A21" s="3" t="s">
        <v>74</v>
      </c>
      <c r="B21" s="4" t="s">
        <v>43</v>
      </c>
      <c r="C21" s="4" t="s">
        <v>20</v>
      </c>
      <c r="D21" s="5">
        <v>5000</v>
      </c>
      <c r="E21" s="4" t="s">
        <v>72</v>
      </c>
      <c r="F21" s="5">
        <v>210000000</v>
      </c>
    </row>
    <row r="22" spans="1:6" x14ac:dyDescent="0.25">
      <c r="A22" s="3" t="s">
        <v>74</v>
      </c>
      <c r="B22" s="4" t="s">
        <v>43</v>
      </c>
      <c r="C22" s="4" t="s">
        <v>5</v>
      </c>
      <c r="D22" s="5">
        <v>239029</v>
      </c>
      <c r="E22" s="4" t="s">
        <v>72</v>
      </c>
      <c r="F22" s="5">
        <v>10462469110</v>
      </c>
    </row>
    <row r="23" spans="1:6" x14ac:dyDescent="0.25">
      <c r="A23" s="3" t="s">
        <v>80</v>
      </c>
      <c r="B23" s="4" t="s">
        <v>75</v>
      </c>
      <c r="C23" s="4" t="s">
        <v>47</v>
      </c>
      <c r="D23" s="5">
        <v>3750</v>
      </c>
      <c r="E23" s="4" t="s">
        <v>72</v>
      </c>
      <c r="F23" s="5">
        <v>416856193</v>
      </c>
    </row>
    <row r="24" spans="1:6" x14ac:dyDescent="0.25">
      <c r="A24" s="3" t="s">
        <v>80</v>
      </c>
      <c r="B24" s="4" t="s">
        <v>75</v>
      </c>
      <c r="C24" s="4" t="s">
        <v>45</v>
      </c>
      <c r="D24" s="5">
        <v>24929</v>
      </c>
      <c r="E24" s="4" t="s">
        <v>72</v>
      </c>
      <c r="F24" s="5">
        <v>842275201</v>
      </c>
    </row>
    <row r="25" spans="1:6" x14ac:dyDescent="0.25">
      <c r="A25" s="3" t="s">
        <v>80</v>
      </c>
      <c r="B25" s="4" t="s">
        <v>75</v>
      </c>
      <c r="C25" s="4" t="s">
        <v>76</v>
      </c>
      <c r="D25" s="5">
        <v>32999</v>
      </c>
      <c r="E25" s="4" t="s">
        <v>72</v>
      </c>
      <c r="F25" s="5">
        <v>1639481515</v>
      </c>
    </row>
    <row r="26" spans="1:6" x14ac:dyDescent="0.25">
      <c r="A26" s="3" t="s">
        <v>80</v>
      </c>
      <c r="B26" s="4" t="s">
        <v>75</v>
      </c>
      <c r="C26" s="4" t="s">
        <v>81</v>
      </c>
      <c r="D26" s="5">
        <v>50</v>
      </c>
      <c r="E26" s="4" t="s">
        <v>72</v>
      </c>
      <c r="F26" s="5">
        <v>5990462</v>
      </c>
    </row>
    <row r="27" spans="1:6" x14ac:dyDescent="0.25">
      <c r="A27" s="3" t="s">
        <v>82</v>
      </c>
      <c r="B27" s="4" t="s">
        <v>55</v>
      </c>
      <c r="C27" s="4" t="s">
        <v>56</v>
      </c>
      <c r="D27" s="5">
        <v>55777</v>
      </c>
      <c r="E27" s="4" t="s">
        <v>72</v>
      </c>
      <c r="F27" s="5">
        <v>2293900410</v>
      </c>
    </row>
    <row r="28" spans="1:6" x14ac:dyDescent="0.25">
      <c r="A28" s="3" t="s">
        <v>82</v>
      </c>
      <c r="B28" s="4" t="s">
        <v>55</v>
      </c>
      <c r="C28" s="4" t="s">
        <v>83</v>
      </c>
      <c r="D28" s="5">
        <v>56840</v>
      </c>
      <c r="E28" s="4" t="s">
        <v>72</v>
      </c>
      <c r="F28" s="5">
        <v>2129663085</v>
      </c>
    </row>
    <row r="29" spans="1:6" x14ac:dyDescent="0.25">
      <c r="A29" s="3" t="s">
        <v>82</v>
      </c>
      <c r="B29" s="4" t="s">
        <v>55</v>
      </c>
      <c r="C29" s="4" t="s">
        <v>57</v>
      </c>
      <c r="D29" s="5">
        <v>41217</v>
      </c>
      <c r="E29" s="4" t="s">
        <v>72</v>
      </c>
      <c r="F29" s="5">
        <v>1466544796</v>
      </c>
    </row>
    <row r="30" spans="1:6" x14ac:dyDescent="0.25">
      <c r="A30" s="3" t="s">
        <v>82</v>
      </c>
      <c r="B30" s="4" t="s">
        <v>55</v>
      </c>
      <c r="C30" s="4" t="s">
        <v>56</v>
      </c>
      <c r="D30" s="5">
        <v>4964</v>
      </c>
      <c r="E30" s="4" t="s">
        <v>72</v>
      </c>
      <c r="F30" s="5">
        <v>235415450</v>
      </c>
    </row>
    <row r="31" spans="1:6" x14ac:dyDescent="0.25">
      <c r="A31" s="3" t="s">
        <v>82</v>
      </c>
      <c r="B31" s="4" t="s">
        <v>55</v>
      </c>
      <c r="C31" s="4" t="s">
        <v>83</v>
      </c>
      <c r="D31" s="5">
        <v>5619</v>
      </c>
      <c r="E31" s="4" t="s">
        <v>72</v>
      </c>
      <c r="F31" s="5">
        <v>379652804</v>
      </c>
    </row>
    <row r="32" spans="1:6" x14ac:dyDescent="0.25">
      <c r="A32" s="3" t="s">
        <v>82</v>
      </c>
      <c r="B32" s="4" t="s">
        <v>55</v>
      </c>
      <c r="C32" s="4" t="s">
        <v>57</v>
      </c>
      <c r="D32" s="5">
        <v>2223</v>
      </c>
      <c r="E32" s="4" t="s">
        <v>72</v>
      </c>
      <c r="F32" s="5">
        <v>155257971</v>
      </c>
    </row>
    <row r="33" spans="1:6" x14ac:dyDescent="0.25">
      <c r="A33" s="3" t="s">
        <v>84</v>
      </c>
      <c r="B33" s="4" t="s">
        <v>22</v>
      </c>
      <c r="C33" s="4" t="s">
        <v>20</v>
      </c>
      <c r="D33" s="5">
        <v>341083</v>
      </c>
      <c r="E33" s="4" t="s">
        <v>72</v>
      </c>
      <c r="F33" s="5">
        <v>8940942095</v>
      </c>
    </row>
    <row r="34" spans="1:6" x14ac:dyDescent="0.25">
      <c r="A34" s="3" t="s">
        <v>85</v>
      </c>
      <c r="B34" s="4" t="s">
        <v>86</v>
      </c>
      <c r="C34" s="4" t="s">
        <v>21</v>
      </c>
      <c r="D34" s="5"/>
      <c r="E34" s="4" t="s">
        <v>72</v>
      </c>
      <c r="F34" s="5">
        <v>752749640</v>
      </c>
    </row>
    <row r="35" spans="1:6" x14ac:dyDescent="0.25">
      <c r="A35" s="3" t="s">
        <v>85</v>
      </c>
      <c r="B35" s="4" t="s">
        <v>87</v>
      </c>
      <c r="C35" s="4" t="s">
        <v>21</v>
      </c>
      <c r="D35" s="5">
        <v>8030</v>
      </c>
      <c r="E35" s="4" t="s">
        <v>72</v>
      </c>
      <c r="F35" s="5">
        <v>73700000</v>
      </c>
    </row>
    <row r="36" spans="1:6" x14ac:dyDescent="0.25">
      <c r="A36" s="3" t="s">
        <v>88</v>
      </c>
      <c r="B36" s="4" t="s">
        <v>14</v>
      </c>
      <c r="C36" s="4" t="s">
        <v>89</v>
      </c>
      <c r="D36" s="5">
        <v>61505</v>
      </c>
      <c r="E36" s="4" t="s">
        <v>72</v>
      </c>
      <c r="F36" s="5">
        <v>14280263539</v>
      </c>
    </row>
    <row r="37" spans="1:6" x14ac:dyDescent="0.25">
      <c r="A37" s="3" t="s">
        <v>88</v>
      </c>
      <c r="B37" s="4" t="s">
        <v>14</v>
      </c>
      <c r="C37" s="4" t="s">
        <v>90</v>
      </c>
      <c r="D37" s="5">
        <v>324075</v>
      </c>
      <c r="E37" s="4" t="s">
        <v>72</v>
      </c>
      <c r="F37" s="5">
        <v>39921467482</v>
      </c>
    </row>
    <row r="38" spans="1:6" x14ac:dyDescent="0.25">
      <c r="A38" s="3" t="s">
        <v>88</v>
      </c>
      <c r="B38" s="4" t="s">
        <v>14</v>
      </c>
      <c r="C38" s="4" t="s">
        <v>91</v>
      </c>
      <c r="D38" s="5">
        <v>40</v>
      </c>
      <c r="E38" s="4" t="s">
        <v>72</v>
      </c>
      <c r="F38" s="5">
        <v>15210448</v>
      </c>
    </row>
    <row r="39" spans="1:6" x14ac:dyDescent="0.25">
      <c r="A39" s="6" t="s">
        <v>92</v>
      </c>
      <c r="B39" s="7" t="s">
        <v>14</v>
      </c>
      <c r="C39" s="7" t="s">
        <v>89</v>
      </c>
      <c r="D39" s="8">
        <v>19600</v>
      </c>
      <c r="E39" s="7" t="s">
        <v>72</v>
      </c>
      <c r="F39" s="8">
        <v>3690588362</v>
      </c>
    </row>
    <row r="40" spans="1:6" x14ac:dyDescent="0.25">
      <c r="A40" s="3" t="s">
        <v>93</v>
      </c>
      <c r="B40" s="4" t="s">
        <v>14</v>
      </c>
      <c r="C40" s="4" t="s">
        <v>89</v>
      </c>
      <c r="D40" s="5"/>
      <c r="E40" s="4" t="s">
        <v>72</v>
      </c>
      <c r="F40" s="5">
        <v>11114681</v>
      </c>
    </row>
    <row r="41" spans="1:6" x14ac:dyDescent="0.25">
      <c r="A41" s="3" t="s">
        <v>93</v>
      </c>
      <c r="B41" s="4" t="s">
        <v>14</v>
      </c>
      <c r="C41" s="4" t="s">
        <v>94</v>
      </c>
      <c r="D41" s="5"/>
      <c r="E41" s="4" t="s">
        <v>72</v>
      </c>
      <c r="F41" s="5">
        <v>1429388</v>
      </c>
    </row>
    <row r="42" spans="1:6" x14ac:dyDescent="0.25">
      <c r="A42" s="3" t="s">
        <v>93</v>
      </c>
      <c r="B42" s="4" t="s">
        <v>14</v>
      </c>
      <c r="C42" s="4" t="s">
        <v>95</v>
      </c>
      <c r="D42" s="5">
        <v>17009</v>
      </c>
      <c r="E42" s="4" t="s">
        <v>72</v>
      </c>
      <c r="F42" s="5">
        <v>2156851555</v>
      </c>
    </row>
    <row r="43" spans="1:6" x14ac:dyDescent="0.25">
      <c r="A43" s="3" t="s">
        <v>93</v>
      </c>
      <c r="B43" s="4" t="s">
        <v>14</v>
      </c>
      <c r="C43" s="4" t="s">
        <v>91</v>
      </c>
      <c r="D43" s="5">
        <v>20</v>
      </c>
      <c r="E43" s="4" t="s">
        <v>72</v>
      </c>
      <c r="F43" s="5">
        <v>8844666</v>
      </c>
    </row>
    <row r="44" spans="1:6" x14ac:dyDescent="0.25">
      <c r="A44" s="3" t="s">
        <v>93</v>
      </c>
      <c r="B44" s="4" t="s">
        <v>14</v>
      </c>
      <c r="C44" s="4" t="s">
        <v>29</v>
      </c>
      <c r="D44" s="5">
        <v>134156</v>
      </c>
      <c r="E44" s="4" t="s">
        <v>72</v>
      </c>
      <c r="F44" s="5">
        <v>18572613619</v>
      </c>
    </row>
    <row r="45" spans="1:6" x14ac:dyDescent="0.25">
      <c r="A45" s="6" t="s">
        <v>96</v>
      </c>
      <c r="B45" s="7" t="s">
        <v>14</v>
      </c>
      <c r="C45" s="7" t="s">
        <v>89</v>
      </c>
      <c r="D45" s="8">
        <v>1680</v>
      </c>
      <c r="E45" s="7" t="s">
        <v>72</v>
      </c>
      <c r="F45" s="8">
        <v>824410018</v>
      </c>
    </row>
    <row r="46" spans="1:6" x14ac:dyDescent="0.25">
      <c r="A46" s="6" t="s">
        <v>96</v>
      </c>
      <c r="B46" s="7" t="s">
        <v>14</v>
      </c>
      <c r="C46" s="7" t="s">
        <v>97</v>
      </c>
      <c r="D46" s="8">
        <v>1740</v>
      </c>
      <c r="E46" s="7" t="s">
        <v>72</v>
      </c>
      <c r="F46" s="8">
        <v>867223278</v>
      </c>
    </row>
    <row r="47" spans="1:6" x14ac:dyDescent="0.25">
      <c r="A47" s="6" t="s">
        <v>96</v>
      </c>
      <c r="B47" s="7" t="s">
        <v>14</v>
      </c>
      <c r="C47" s="7" t="s">
        <v>56</v>
      </c>
      <c r="D47" s="8">
        <v>580</v>
      </c>
      <c r="E47" s="7" t="s">
        <v>72</v>
      </c>
      <c r="F47" s="8">
        <v>304557730</v>
      </c>
    </row>
    <row r="48" spans="1:6" x14ac:dyDescent="0.25">
      <c r="A48" s="6" t="s">
        <v>96</v>
      </c>
      <c r="B48" s="7" t="s">
        <v>14</v>
      </c>
      <c r="C48" s="7" t="s">
        <v>98</v>
      </c>
      <c r="D48" s="8">
        <v>20</v>
      </c>
      <c r="E48" s="7" t="s">
        <v>72</v>
      </c>
      <c r="F48" s="8">
        <v>11875694</v>
      </c>
    </row>
    <row r="49" spans="1:6" x14ac:dyDescent="0.25">
      <c r="A49" s="6" t="s">
        <v>96</v>
      </c>
      <c r="B49" s="7" t="s">
        <v>14</v>
      </c>
      <c r="C49" s="7" t="s">
        <v>94</v>
      </c>
      <c r="D49" s="8">
        <v>260</v>
      </c>
      <c r="E49" s="7" t="s">
        <v>72</v>
      </c>
      <c r="F49" s="8">
        <v>139195752</v>
      </c>
    </row>
    <row r="50" spans="1:6" x14ac:dyDescent="0.25">
      <c r="A50" s="6" t="s">
        <v>96</v>
      </c>
      <c r="B50" s="7" t="s">
        <v>14</v>
      </c>
      <c r="C50" s="7" t="s">
        <v>99</v>
      </c>
      <c r="D50" s="8">
        <v>840</v>
      </c>
      <c r="E50" s="7" t="s">
        <v>72</v>
      </c>
      <c r="F50" s="8">
        <v>491357265</v>
      </c>
    </row>
    <row r="51" spans="1:6" x14ac:dyDescent="0.25">
      <c r="A51" s="6" t="s">
        <v>96</v>
      </c>
      <c r="B51" s="7" t="s">
        <v>14</v>
      </c>
      <c r="C51" s="7" t="s">
        <v>100</v>
      </c>
      <c r="D51" s="8">
        <v>40</v>
      </c>
      <c r="E51" s="7" t="s">
        <v>72</v>
      </c>
      <c r="F51" s="8">
        <v>27335640</v>
      </c>
    </row>
    <row r="52" spans="1:6" x14ac:dyDescent="0.25">
      <c r="A52" s="6" t="s">
        <v>96</v>
      </c>
      <c r="B52" s="7" t="s">
        <v>14</v>
      </c>
      <c r="C52" s="7" t="s">
        <v>101</v>
      </c>
      <c r="D52" s="8">
        <v>460</v>
      </c>
      <c r="E52" s="7" t="s">
        <v>72</v>
      </c>
      <c r="F52" s="8">
        <v>246646868</v>
      </c>
    </row>
    <row r="53" spans="1:6" x14ac:dyDescent="0.25">
      <c r="A53" s="6" t="s">
        <v>96</v>
      </c>
      <c r="B53" s="7" t="s">
        <v>14</v>
      </c>
      <c r="C53" s="7" t="s">
        <v>91</v>
      </c>
      <c r="D53" s="8">
        <v>1340</v>
      </c>
      <c r="E53" s="7" t="s">
        <v>72</v>
      </c>
      <c r="F53" s="8">
        <v>683278780</v>
      </c>
    </row>
    <row r="54" spans="1:6" x14ac:dyDescent="0.25">
      <c r="A54" s="3" t="s">
        <v>102</v>
      </c>
      <c r="B54" s="4" t="s">
        <v>14</v>
      </c>
      <c r="C54" s="4" t="s">
        <v>89</v>
      </c>
      <c r="D54" s="5">
        <v>1691</v>
      </c>
      <c r="E54" s="4" t="s">
        <v>72</v>
      </c>
      <c r="F54" s="5">
        <v>1568034252</v>
      </c>
    </row>
    <row r="55" spans="1:6" x14ac:dyDescent="0.25">
      <c r="A55" s="3" t="s">
        <v>102</v>
      </c>
      <c r="B55" s="4" t="s">
        <v>14</v>
      </c>
      <c r="C55" s="4" t="s">
        <v>98</v>
      </c>
      <c r="D55" s="5">
        <v>6040</v>
      </c>
      <c r="E55" s="4" t="s">
        <v>72</v>
      </c>
      <c r="F55" s="5">
        <v>5143625643</v>
      </c>
    </row>
    <row r="56" spans="1:6" x14ac:dyDescent="0.25">
      <c r="A56" s="3" t="s">
        <v>102</v>
      </c>
      <c r="B56" s="4" t="s">
        <v>14</v>
      </c>
      <c r="C56" s="4" t="s">
        <v>76</v>
      </c>
      <c r="D56" s="5">
        <v>598</v>
      </c>
      <c r="E56" s="4" t="s">
        <v>72</v>
      </c>
      <c r="F56" s="5">
        <v>577716577</v>
      </c>
    </row>
    <row r="57" spans="1:6" x14ac:dyDescent="0.25">
      <c r="A57" s="3" t="s">
        <v>102</v>
      </c>
      <c r="B57" s="4" t="s">
        <v>14</v>
      </c>
      <c r="C57" s="4" t="s">
        <v>103</v>
      </c>
      <c r="D57" s="5"/>
      <c r="E57" s="4" t="s">
        <v>72</v>
      </c>
      <c r="F57" s="5">
        <v>70622155</v>
      </c>
    </row>
    <row r="58" spans="1:6" x14ac:dyDescent="0.25">
      <c r="A58" s="3" t="s">
        <v>102</v>
      </c>
      <c r="B58" s="4" t="s">
        <v>14</v>
      </c>
      <c r="C58" s="4" t="s">
        <v>94</v>
      </c>
      <c r="D58" s="5">
        <v>180</v>
      </c>
      <c r="E58" s="4" t="s">
        <v>72</v>
      </c>
      <c r="F58" s="5">
        <v>183074773</v>
      </c>
    </row>
    <row r="59" spans="1:6" x14ac:dyDescent="0.25">
      <c r="A59" s="3" t="s">
        <v>102</v>
      </c>
      <c r="B59" s="4" t="s">
        <v>14</v>
      </c>
      <c r="C59" s="4" t="s">
        <v>95</v>
      </c>
      <c r="D59" s="5">
        <v>529</v>
      </c>
      <c r="E59" s="4" t="s">
        <v>72</v>
      </c>
      <c r="F59" s="5">
        <v>465574992</v>
      </c>
    </row>
    <row r="60" spans="1:6" x14ac:dyDescent="0.25">
      <c r="A60" s="3" t="s">
        <v>102</v>
      </c>
      <c r="B60" s="4" t="s">
        <v>14</v>
      </c>
      <c r="C60" s="4" t="s">
        <v>99</v>
      </c>
      <c r="D60" s="5">
        <v>1894</v>
      </c>
      <c r="E60" s="4" t="s">
        <v>72</v>
      </c>
      <c r="F60" s="5">
        <v>1619586818</v>
      </c>
    </row>
    <row r="61" spans="1:6" x14ac:dyDescent="0.25">
      <c r="A61" s="3" t="s">
        <v>102</v>
      </c>
      <c r="B61" s="4" t="s">
        <v>14</v>
      </c>
      <c r="C61" s="4" t="s">
        <v>90</v>
      </c>
      <c r="D61" s="5">
        <v>120</v>
      </c>
      <c r="E61" s="4" t="s">
        <v>72</v>
      </c>
      <c r="F61" s="5">
        <v>120119879</v>
      </c>
    </row>
    <row r="62" spans="1:6" x14ac:dyDescent="0.25">
      <c r="A62" s="3" t="s">
        <v>102</v>
      </c>
      <c r="B62" s="4" t="s">
        <v>14</v>
      </c>
      <c r="C62" s="4" t="s">
        <v>45</v>
      </c>
      <c r="D62" s="5">
        <v>13857</v>
      </c>
      <c r="E62" s="4" t="s">
        <v>72</v>
      </c>
      <c r="F62" s="5">
        <v>10967953845</v>
      </c>
    </row>
    <row r="63" spans="1:6" x14ac:dyDescent="0.25">
      <c r="A63" s="3" t="s">
        <v>102</v>
      </c>
      <c r="B63" s="4" t="s">
        <v>14</v>
      </c>
      <c r="C63" s="4" t="s">
        <v>104</v>
      </c>
      <c r="D63" s="5"/>
      <c r="E63" s="4" t="s">
        <v>72</v>
      </c>
      <c r="F63" s="5">
        <v>3771951</v>
      </c>
    </row>
    <row r="64" spans="1:6" x14ac:dyDescent="0.25">
      <c r="A64" s="3" t="s">
        <v>102</v>
      </c>
      <c r="B64" s="4" t="s">
        <v>14</v>
      </c>
      <c r="C64" s="4" t="s">
        <v>29</v>
      </c>
      <c r="D64" s="5">
        <v>573</v>
      </c>
      <c r="E64" s="4" t="s">
        <v>72</v>
      </c>
      <c r="F64" s="5">
        <v>465361281</v>
      </c>
    </row>
    <row r="65" spans="1:6" x14ac:dyDescent="0.25">
      <c r="A65" s="6" t="s">
        <v>105</v>
      </c>
      <c r="B65" s="7" t="s">
        <v>14</v>
      </c>
      <c r="C65" s="7" t="s">
        <v>8</v>
      </c>
      <c r="D65" s="8">
        <v>317</v>
      </c>
      <c r="E65" s="7" t="s">
        <v>72</v>
      </c>
      <c r="F65" s="8">
        <v>106160902</v>
      </c>
    </row>
    <row r="66" spans="1:6" x14ac:dyDescent="0.25">
      <c r="A66" s="6" t="s">
        <v>105</v>
      </c>
      <c r="B66" s="7" t="s">
        <v>14</v>
      </c>
      <c r="C66" s="7" t="s">
        <v>89</v>
      </c>
      <c r="D66" s="8">
        <v>26464</v>
      </c>
      <c r="E66" s="7" t="s">
        <v>72</v>
      </c>
      <c r="F66" s="8">
        <v>6590625131</v>
      </c>
    </row>
    <row r="67" spans="1:6" x14ac:dyDescent="0.25">
      <c r="A67" s="3" t="s">
        <v>106</v>
      </c>
      <c r="B67" s="4" t="s">
        <v>14</v>
      </c>
      <c r="C67" s="4" t="s">
        <v>8</v>
      </c>
      <c r="D67" s="5">
        <v>1993</v>
      </c>
      <c r="E67" s="4" t="s">
        <v>72</v>
      </c>
      <c r="F67" s="5">
        <v>1894965567</v>
      </c>
    </row>
    <row r="68" spans="1:6" x14ac:dyDescent="0.25">
      <c r="A68" s="3" t="s">
        <v>106</v>
      </c>
      <c r="B68" s="4" t="s">
        <v>14</v>
      </c>
      <c r="C68" s="4" t="s">
        <v>107</v>
      </c>
      <c r="D68" s="5">
        <v>619</v>
      </c>
      <c r="E68" s="4" t="s">
        <v>72</v>
      </c>
      <c r="F68" s="5">
        <v>558707988</v>
      </c>
    </row>
    <row r="69" spans="1:6" x14ac:dyDescent="0.25">
      <c r="A69" s="3" t="s">
        <v>106</v>
      </c>
      <c r="B69" s="4" t="s">
        <v>14</v>
      </c>
      <c r="C69" s="4" t="s">
        <v>89</v>
      </c>
      <c r="D69" s="5">
        <v>7404</v>
      </c>
      <c r="E69" s="4" t="s">
        <v>72</v>
      </c>
      <c r="F69" s="5">
        <v>6743468852</v>
      </c>
    </row>
    <row r="70" spans="1:6" x14ac:dyDescent="0.25">
      <c r="A70" s="3" t="s">
        <v>106</v>
      </c>
      <c r="B70" s="4" t="s">
        <v>14</v>
      </c>
      <c r="C70" s="4" t="s">
        <v>56</v>
      </c>
      <c r="D70" s="5">
        <v>300</v>
      </c>
      <c r="E70" s="4" t="s">
        <v>72</v>
      </c>
      <c r="F70" s="5">
        <v>351597185</v>
      </c>
    </row>
    <row r="71" spans="1:6" x14ac:dyDescent="0.25">
      <c r="A71" s="3" t="s">
        <v>106</v>
      </c>
      <c r="B71" s="4" t="s">
        <v>14</v>
      </c>
      <c r="C71" s="4" t="s">
        <v>83</v>
      </c>
      <c r="D71" s="5">
        <v>1119</v>
      </c>
      <c r="E71" s="4" t="s">
        <v>72</v>
      </c>
      <c r="F71" s="5">
        <v>1109867797</v>
      </c>
    </row>
    <row r="72" spans="1:6" x14ac:dyDescent="0.25">
      <c r="A72" s="3" t="s">
        <v>106</v>
      </c>
      <c r="B72" s="4" t="s">
        <v>14</v>
      </c>
      <c r="C72" s="4" t="s">
        <v>98</v>
      </c>
      <c r="D72" s="5">
        <v>441</v>
      </c>
      <c r="E72" s="4" t="s">
        <v>72</v>
      </c>
      <c r="F72" s="5">
        <v>414173449</v>
      </c>
    </row>
    <row r="73" spans="1:6" x14ac:dyDescent="0.25">
      <c r="A73" s="3" t="s">
        <v>106</v>
      </c>
      <c r="B73" s="4" t="s">
        <v>14</v>
      </c>
      <c r="C73" s="4" t="s">
        <v>76</v>
      </c>
      <c r="D73" s="5">
        <v>441</v>
      </c>
      <c r="E73" s="4" t="s">
        <v>72</v>
      </c>
      <c r="F73" s="5">
        <v>464436589</v>
      </c>
    </row>
    <row r="74" spans="1:6" x14ac:dyDescent="0.25">
      <c r="A74" s="3" t="s">
        <v>106</v>
      </c>
      <c r="B74" s="4" t="s">
        <v>14</v>
      </c>
      <c r="C74" s="4" t="s">
        <v>103</v>
      </c>
      <c r="D74" s="5">
        <v>2886</v>
      </c>
      <c r="E74" s="4" t="s">
        <v>72</v>
      </c>
      <c r="F74" s="5">
        <v>2647054796</v>
      </c>
    </row>
    <row r="75" spans="1:6" x14ac:dyDescent="0.25">
      <c r="A75" s="3" t="s">
        <v>106</v>
      </c>
      <c r="B75" s="4" t="s">
        <v>14</v>
      </c>
      <c r="C75" s="4" t="s">
        <v>94</v>
      </c>
      <c r="D75" s="5">
        <v>2700</v>
      </c>
      <c r="E75" s="4" t="s">
        <v>72</v>
      </c>
      <c r="F75" s="5">
        <v>2575028229</v>
      </c>
    </row>
    <row r="76" spans="1:6" x14ac:dyDescent="0.25">
      <c r="A76" s="3" t="s">
        <v>106</v>
      </c>
      <c r="B76" s="4" t="s">
        <v>14</v>
      </c>
      <c r="C76" s="4" t="s">
        <v>95</v>
      </c>
      <c r="D76" s="5">
        <v>2247</v>
      </c>
      <c r="E76" s="4" t="s">
        <v>72</v>
      </c>
      <c r="F76" s="5">
        <v>1879078157</v>
      </c>
    </row>
    <row r="77" spans="1:6" x14ac:dyDescent="0.25">
      <c r="A77" s="3" t="s">
        <v>106</v>
      </c>
      <c r="B77" s="4" t="s">
        <v>14</v>
      </c>
      <c r="C77" s="4" t="s">
        <v>99</v>
      </c>
      <c r="D77" s="5">
        <v>683</v>
      </c>
      <c r="E77" s="4" t="s">
        <v>72</v>
      </c>
      <c r="F77" s="5">
        <v>661515133</v>
      </c>
    </row>
    <row r="78" spans="1:6" x14ac:dyDescent="0.25">
      <c r="A78" s="3" t="s">
        <v>106</v>
      </c>
      <c r="B78" s="4" t="s">
        <v>14</v>
      </c>
      <c r="C78" s="4" t="s">
        <v>101</v>
      </c>
      <c r="D78" s="5">
        <v>60</v>
      </c>
      <c r="E78" s="4" t="s">
        <v>72</v>
      </c>
      <c r="F78" s="5">
        <v>80951319</v>
      </c>
    </row>
    <row r="79" spans="1:6" x14ac:dyDescent="0.25">
      <c r="A79" s="3" t="s">
        <v>106</v>
      </c>
      <c r="B79" s="4" t="s">
        <v>14</v>
      </c>
      <c r="C79" s="4" t="s">
        <v>45</v>
      </c>
      <c r="D79" s="5">
        <v>7007</v>
      </c>
      <c r="E79" s="4" t="s">
        <v>72</v>
      </c>
      <c r="F79" s="5">
        <v>5672811820</v>
      </c>
    </row>
    <row r="80" spans="1:6" x14ac:dyDescent="0.25">
      <c r="A80" s="3" t="s">
        <v>106</v>
      </c>
      <c r="B80" s="4" t="s">
        <v>14</v>
      </c>
      <c r="C80" s="4" t="s">
        <v>104</v>
      </c>
      <c r="D80" s="5">
        <v>2159</v>
      </c>
      <c r="E80" s="4" t="s">
        <v>72</v>
      </c>
      <c r="F80" s="5">
        <v>1760981781</v>
      </c>
    </row>
    <row r="81" spans="1:6" x14ac:dyDescent="0.25">
      <c r="A81" s="3" t="s">
        <v>106</v>
      </c>
      <c r="B81" s="4" t="s">
        <v>14</v>
      </c>
      <c r="C81" s="4" t="s">
        <v>29</v>
      </c>
      <c r="D81" s="5">
        <v>7878</v>
      </c>
      <c r="E81" s="4" t="s">
        <v>72</v>
      </c>
      <c r="F81" s="5">
        <v>7053284342</v>
      </c>
    </row>
    <row r="82" spans="1:6" x14ac:dyDescent="0.25">
      <c r="A82" s="6" t="s">
        <v>108</v>
      </c>
      <c r="B82" s="7" t="s">
        <v>14</v>
      </c>
      <c r="C82" s="7" t="s">
        <v>89</v>
      </c>
      <c r="D82" s="8">
        <v>340</v>
      </c>
      <c r="E82" s="7" t="s">
        <v>72</v>
      </c>
      <c r="F82" s="8">
        <v>305068612</v>
      </c>
    </row>
    <row r="83" spans="1:6" x14ac:dyDescent="0.25">
      <c r="A83" s="6" t="s">
        <v>108</v>
      </c>
      <c r="B83" s="7" t="s">
        <v>14</v>
      </c>
      <c r="C83" s="7" t="s">
        <v>97</v>
      </c>
      <c r="D83" s="8">
        <v>180</v>
      </c>
      <c r="E83" s="7" t="s">
        <v>72</v>
      </c>
      <c r="F83" s="8">
        <v>148071383</v>
      </c>
    </row>
    <row r="84" spans="1:6" x14ac:dyDescent="0.25">
      <c r="A84" s="6" t="s">
        <v>108</v>
      </c>
      <c r="B84" s="7" t="s">
        <v>14</v>
      </c>
      <c r="C84" s="7" t="s">
        <v>56</v>
      </c>
      <c r="D84" s="8">
        <v>400</v>
      </c>
      <c r="E84" s="7" t="s">
        <v>72</v>
      </c>
      <c r="F84" s="8">
        <v>328109075</v>
      </c>
    </row>
    <row r="85" spans="1:6" x14ac:dyDescent="0.25">
      <c r="A85" s="6" t="s">
        <v>108</v>
      </c>
      <c r="B85" s="7" t="s">
        <v>14</v>
      </c>
      <c r="C85" s="7" t="s">
        <v>98</v>
      </c>
      <c r="D85" s="8">
        <v>22</v>
      </c>
      <c r="E85" s="7" t="s">
        <v>72</v>
      </c>
      <c r="F85" s="8">
        <v>17871618</v>
      </c>
    </row>
    <row r="86" spans="1:6" x14ac:dyDescent="0.25">
      <c r="A86" s="6" t="s">
        <v>108</v>
      </c>
      <c r="B86" s="7" t="s">
        <v>14</v>
      </c>
      <c r="C86" s="7" t="s">
        <v>94</v>
      </c>
      <c r="D86" s="8">
        <v>760</v>
      </c>
      <c r="E86" s="7" t="s">
        <v>72</v>
      </c>
      <c r="F86" s="8">
        <v>602427692</v>
      </c>
    </row>
    <row r="87" spans="1:6" x14ac:dyDescent="0.25">
      <c r="A87" s="6" t="s">
        <v>108</v>
      </c>
      <c r="B87" s="7" t="s">
        <v>14</v>
      </c>
      <c r="C87" s="7" t="s">
        <v>99</v>
      </c>
      <c r="D87" s="8">
        <v>40</v>
      </c>
      <c r="E87" s="7" t="s">
        <v>72</v>
      </c>
      <c r="F87" s="8">
        <v>36020011</v>
      </c>
    </row>
    <row r="88" spans="1:6" x14ac:dyDescent="0.25">
      <c r="A88" s="6" t="s">
        <v>108</v>
      </c>
      <c r="B88" s="7" t="s">
        <v>14</v>
      </c>
      <c r="C88" s="7" t="s">
        <v>91</v>
      </c>
      <c r="D88" s="8">
        <v>2420</v>
      </c>
      <c r="E88" s="7" t="s">
        <v>72</v>
      </c>
      <c r="F88" s="8">
        <v>1963190098</v>
      </c>
    </row>
    <row r="89" spans="1:6" x14ac:dyDescent="0.25">
      <c r="A89" s="6" t="s">
        <v>108</v>
      </c>
      <c r="B89" s="7" t="s">
        <v>14</v>
      </c>
      <c r="C89" s="7" t="s">
        <v>45</v>
      </c>
      <c r="D89" s="8">
        <v>220</v>
      </c>
      <c r="E89" s="7" t="s">
        <v>72</v>
      </c>
      <c r="F89" s="8">
        <v>155358532</v>
      </c>
    </row>
    <row r="90" spans="1:6" x14ac:dyDescent="0.25">
      <c r="A90" s="6" t="s">
        <v>108</v>
      </c>
      <c r="B90" s="7" t="s">
        <v>14</v>
      </c>
      <c r="C90" s="7" t="s">
        <v>109</v>
      </c>
      <c r="D90" s="8">
        <v>80</v>
      </c>
      <c r="E90" s="7" t="s">
        <v>72</v>
      </c>
      <c r="F90" s="8">
        <v>73560968</v>
      </c>
    </row>
    <row r="91" spans="1:6" x14ac:dyDescent="0.25">
      <c r="A91" s="3" t="s">
        <v>110</v>
      </c>
      <c r="B91" s="4" t="s">
        <v>22</v>
      </c>
      <c r="C91" s="4" t="s">
        <v>83</v>
      </c>
      <c r="D91" s="5">
        <v>0</v>
      </c>
      <c r="E91" s="4" t="s">
        <v>19</v>
      </c>
      <c r="F91" s="5">
        <v>4591699</v>
      </c>
    </row>
    <row r="92" spans="1:6" x14ac:dyDescent="0.25">
      <c r="A92" s="3" t="s">
        <v>110</v>
      </c>
      <c r="B92" s="4" t="s">
        <v>22</v>
      </c>
      <c r="C92" s="4" t="s">
        <v>20</v>
      </c>
      <c r="D92" s="5">
        <v>0</v>
      </c>
      <c r="E92" s="4" t="s">
        <v>19</v>
      </c>
      <c r="F92" s="5">
        <v>110880000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A19" sqref="A19"/>
    </sheetView>
  </sheetViews>
  <sheetFormatPr baseColWidth="10" defaultRowHeight="15" x14ac:dyDescent="0.25"/>
  <cols>
    <col min="6" max="6" width="16.140625" customWidth="1"/>
  </cols>
  <sheetData>
    <row r="1" spans="1:7" ht="38.25" x14ac:dyDescent="0.25">
      <c r="A1" s="9" t="s">
        <v>0</v>
      </c>
      <c r="B1" s="9" t="s">
        <v>68</v>
      </c>
      <c r="C1" s="9" t="s">
        <v>69</v>
      </c>
      <c r="D1" s="9" t="s">
        <v>1</v>
      </c>
      <c r="E1" s="9" t="s">
        <v>112</v>
      </c>
      <c r="F1" s="9" t="s">
        <v>70</v>
      </c>
    </row>
    <row r="2" spans="1:7" x14ac:dyDescent="0.25">
      <c r="A2" s="10" t="s">
        <v>3</v>
      </c>
      <c r="B2" s="11" t="s">
        <v>7</v>
      </c>
      <c r="C2" s="11" t="s">
        <v>8</v>
      </c>
      <c r="D2" s="11" t="s">
        <v>113</v>
      </c>
      <c r="E2" s="12">
        <v>128355</v>
      </c>
      <c r="F2" s="12">
        <v>117267141286</v>
      </c>
      <c r="G2">
        <f>F2/E2</f>
        <v>913615.68529469054</v>
      </c>
    </row>
    <row r="3" spans="1:7" x14ac:dyDescent="0.25">
      <c r="A3" s="10" t="s">
        <v>3</v>
      </c>
      <c r="B3" s="11" t="s">
        <v>7</v>
      </c>
      <c r="C3" s="11" t="s">
        <v>5</v>
      </c>
      <c r="D3" s="11" t="s">
        <v>113</v>
      </c>
      <c r="E3" s="12">
        <v>42455</v>
      </c>
      <c r="F3" s="12">
        <v>39522643736</v>
      </c>
    </row>
    <row r="4" spans="1:7" x14ac:dyDescent="0.25">
      <c r="A4" s="10" t="s">
        <v>3</v>
      </c>
      <c r="B4" s="11" t="s">
        <v>4</v>
      </c>
      <c r="C4" s="11" t="s">
        <v>114</v>
      </c>
      <c r="D4" s="11" t="s">
        <v>113</v>
      </c>
      <c r="E4" s="12">
        <v>8500</v>
      </c>
      <c r="F4" s="12">
        <v>8692666730</v>
      </c>
    </row>
    <row r="5" spans="1:7" x14ac:dyDescent="0.25">
      <c r="A5" s="10" t="s">
        <v>3</v>
      </c>
      <c r="B5" s="11" t="s">
        <v>4</v>
      </c>
      <c r="C5" s="11" t="s">
        <v>5</v>
      </c>
      <c r="D5" s="11" t="s">
        <v>113</v>
      </c>
      <c r="E5" s="12">
        <v>217890</v>
      </c>
      <c r="F5" s="12">
        <v>220079268751</v>
      </c>
    </row>
    <row r="6" spans="1:7" x14ac:dyDescent="0.25">
      <c r="A6" s="10" t="s">
        <v>62</v>
      </c>
      <c r="B6" s="11" t="s">
        <v>7</v>
      </c>
      <c r="C6" s="11" t="s">
        <v>8</v>
      </c>
      <c r="D6" s="11" t="s">
        <v>113</v>
      </c>
      <c r="E6" s="12">
        <v>18983</v>
      </c>
      <c r="F6" s="12">
        <v>219911782</v>
      </c>
    </row>
    <row r="7" spans="1:7" x14ac:dyDescent="0.25">
      <c r="A7" s="10" t="s">
        <v>62</v>
      </c>
      <c r="B7" s="11" t="s">
        <v>7</v>
      </c>
      <c r="C7" s="11" t="s">
        <v>5</v>
      </c>
      <c r="D7" s="11" t="s">
        <v>113</v>
      </c>
      <c r="E7" s="12">
        <v>16066</v>
      </c>
      <c r="F7" s="12">
        <v>193308323</v>
      </c>
    </row>
    <row r="8" spans="1:7" x14ac:dyDescent="0.25">
      <c r="A8" s="10" t="s">
        <v>17</v>
      </c>
      <c r="B8" s="11" t="s">
        <v>18</v>
      </c>
      <c r="C8" s="11" t="s">
        <v>19</v>
      </c>
      <c r="D8" s="11" t="s">
        <v>72</v>
      </c>
      <c r="E8" s="12">
        <v>912826</v>
      </c>
      <c r="F8" s="12">
        <v>36347814225</v>
      </c>
    </row>
    <row r="9" spans="1:7" x14ac:dyDescent="0.25">
      <c r="A9" s="10" t="s">
        <v>17</v>
      </c>
      <c r="B9" s="11" t="s">
        <v>22</v>
      </c>
      <c r="C9" s="11" t="s">
        <v>115</v>
      </c>
      <c r="D9" s="11" t="s">
        <v>72</v>
      </c>
      <c r="E9" s="12">
        <v>55</v>
      </c>
      <c r="F9" s="12">
        <v>2200000</v>
      </c>
    </row>
    <row r="10" spans="1:7" x14ac:dyDescent="0.25">
      <c r="A10" s="10" t="s">
        <v>17</v>
      </c>
      <c r="B10" s="11" t="s">
        <v>22</v>
      </c>
      <c r="C10" s="11" t="s">
        <v>21</v>
      </c>
      <c r="D10" s="11" t="s">
        <v>72</v>
      </c>
      <c r="E10" s="12">
        <v>47997</v>
      </c>
      <c r="F10" s="12">
        <v>1895035605</v>
      </c>
    </row>
    <row r="11" spans="1:7" x14ac:dyDescent="0.25">
      <c r="A11" s="10" t="s">
        <v>17</v>
      </c>
      <c r="B11" s="11" t="s">
        <v>22</v>
      </c>
      <c r="C11" s="11" t="s">
        <v>27</v>
      </c>
      <c r="D11" s="11" t="s">
        <v>72</v>
      </c>
      <c r="E11" s="12">
        <v>740</v>
      </c>
      <c r="F11" s="12">
        <v>29230000</v>
      </c>
    </row>
    <row r="12" spans="1:7" x14ac:dyDescent="0.25">
      <c r="A12" s="10" t="s">
        <v>17</v>
      </c>
      <c r="B12" s="11" t="s">
        <v>22</v>
      </c>
      <c r="C12" s="11" t="s">
        <v>25</v>
      </c>
      <c r="D12" s="11" t="s">
        <v>72</v>
      </c>
      <c r="E12" s="12">
        <v>7399</v>
      </c>
      <c r="F12" s="12">
        <v>386707522</v>
      </c>
    </row>
    <row r="13" spans="1:7" x14ac:dyDescent="0.25">
      <c r="A13" s="10" t="s">
        <v>17</v>
      </c>
      <c r="B13" s="11" t="s">
        <v>22</v>
      </c>
      <c r="C13" s="11" t="s">
        <v>20</v>
      </c>
      <c r="D13" s="11" t="s">
        <v>72</v>
      </c>
      <c r="E13" s="12">
        <v>191134</v>
      </c>
      <c r="F13" s="12">
        <v>7698913592</v>
      </c>
    </row>
    <row r="14" spans="1:7" x14ac:dyDescent="0.25">
      <c r="A14" s="10" t="s">
        <v>17</v>
      </c>
      <c r="B14" s="11" t="s">
        <v>22</v>
      </c>
      <c r="C14" s="11" t="s">
        <v>24</v>
      </c>
      <c r="D14" s="11" t="s">
        <v>72</v>
      </c>
      <c r="E14" s="12">
        <v>8616</v>
      </c>
      <c r="F14" s="12">
        <v>337302697</v>
      </c>
    </row>
    <row r="15" spans="1:7" x14ac:dyDescent="0.25">
      <c r="A15" s="10" t="s">
        <v>17</v>
      </c>
      <c r="B15" s="11" t="s">
        <v>23</v>
      </c>
      <c r="C15" s="11" t="s">
        <v>21</v>
      </c>
      <c r="D15" s="11" t="s">
        <v>72</v>
      </c>
      <c r="E15" s="12">
        <v>80550</v>
      </c>
      <c r="F15" s="12">
        <v>2949893720</v>
      </c>
    </row>
    <row r="16" spans="1:7" x14ac:dyDescent="0.25">
      <c r="A16" s="10" t="s">
        <v>17</v>
      </c>
      <c r="B16" s="11" t="s">
        <v>23</v>
      </c>
      <c r="C16" s="11" t="s">
        <v>116</v>
      </c>
      <c r="D16" s="11" t="s">
        <v>72</v>
      </c>
      <c r="E16" s="12">
        <v>4097</v>
      </c>
      <c r="F16" s="12">
        <v>150315420</v>
      </c>
    </row>
    <row r="17" spans="1:6" x14ac:dyDescent="0.25">
      <c r="A17" s="10" t="s">
        <v>17</v>
      </c>
      <c r="B17" s="11" t="s">
        <v>23</v>
      </c>
      <c r="C17" s="11" t="s">
        <v>20</v>
      </c>
      <c r="D17" s="11" t="s">
        <v>72</v>
      </c>
      <c r="E17" s="12">
        <v>316067</v>
      </c>
      <c r="F17" s="12">
        <v>12349792020</v>
      </c>
    </row>
    <row r="18" spans="1:6" x14ac:dyDescent="0.25">
      <c r="A18" s="13" t="s">
        <v>84</v>
      </c>
      <c r="B18" s="14" t="s">
        <v>22</v>
      </c>
      <c r="C18" s="14" t="s">
        <v>20</v>
      </c>
      <c r="D18" s="14" t="s">
        <v>72</v>
      </c>
      <c r="E18" s="15">
        <v>226093</v>
      </c>
      <c r="F18" s="15">
        <v>7234987200</v>
      </c>
    </row>
    <row r="19" spans="1:6" x14ac:dyDescent="0.25">
      <c r="A19" s="10" t="s">
        <v>66</v>
      </c>
      <c r="B19" s="11" t="s">
        <v>22</v>
      </c>
      <c r="C19" s="11" t="s">
        <v>83</v>
      </c>
      <c r="D19" s="11" t="s">
        <v>78</v>
      </c>
      <c r="E19" s="12" t="s">
        <v>78</v>
      </c>
      <c r="F19" s="12">
        <v>5247656</v>
      </c>
    </row>
    <row r="20" spans="1:6" x14ac:dyDescent="0.25">
      <c r="A20" s="10" t="s">
        <v>66</v>
      </c>
      <c r="B20" s="11" t="s">
        <v>22</v>
      </c>
      <c r="C20" s="11" t="s">
        <v>20</v>
      </c>
      <c r="D20" s="11" t="s">
        <v>78</v>
      </c>
      <c r="E20" s="12" t="s">
        <v>78</v>
      </c>
      <c r="F20" s="12">
        <v>11894800</v>
      </c>
    </row>
    <row r="21" spans="1:6" x14ac:dyDescent="0.25">
      <c r="A21" s="10" t="s">
        <v>82</v>
      </c>
      <c r="B21" s="11" t="s">
        <v>55</v>
      </c>
      <c r="C21" s="11" t="s">
        <v>117</v>
      </c>
      <c r="D21" s="11" t="s">
        <v>72</v>
      </c>
      <c r="E21" s="12">
        <v>67092</v>
      </c>
      <c r="F21" s="12">
        <v>2972523698</v>
      </c>
    </row>
    <row r="22" spans="1:6" x14ac:dyDescent="0.25">
      <c r="A22" s="10" t="s">
        <v>82</v>
      </c>
      <c r="B22" s="11" t="s">
        <v>55</v>
      </c>
      <c r="C22" s="11" t="s">
        <v>83</v>
      </c>
      <c r="D22" s="11" t="s">
        <v>72</v>
      </c>
      <c r="E22" s="12">
        <v>68552</v>
      </c>
      <c r="F22" s="12">
        <v>3076614293</v>
      </c>
    </row>
    <row r="23" spans="1:6" x14ac:dyDescent="0.25">
      <c r="A23" s="10" t="s">
        <v>82</v>
      </c>
      <c r="B23" s="11" t="s">
        <v>55</v>
      </c>
      <c r="C23" s="11" t="s">
        <v>118</v>
      </c>
      <c r="D23" s="11" t="s">
        <v>72</v>
      </c>
      <c r="E23" s="12">
        <v>46688</v>
      </c>
      <c r="F23" s="12">
        <v>2051437212</v>
      </c>
    </row>
    <row r="24" spans="1:6" x14ac:dyDescent="0.25">
      <c r="A24" s="10" t="s">
        <v>42</v>
      </c>
      <c r="B24" s="11" t="s">
        <v>43</v>
      </c>
      <c r="C24" s="11" t="s">
        <v>119</v>
      </c>
      <c r="D24" s="11" t="s">
        <v>72</v>
      </c>
      <c r="E24" s="12" t="s">
        <v>78</v>
      </c>
      <c r="F24" s="12">
        <v>4149925243</v>
      </c>
    </row>
    <row r="25" spans="1:6" x14ac:dyDescent="0.25">
      <c r="A25" s="10" t="s">
        <v>42</v>
      </c>
      <c r="B25" s="11" t="s">
        <v>43</v>
      </c>
      <c r="C25" s="11" t="s">
        <v>120</v>
      </c>
      <c r="D25" s="11" t="s">
        <v>72</v>
      </c>
      <c r="E25" s="12" t="s">
        <v>78</v>
      </c>
      <c r="F25" s="12">
        <v>7083605121</v>
      </c>
    </row>
    <row r="26" spans="1:6" x14ac:dyDescent="0.25">
      <c r="A26" s="10" t="s">
        <v>42</v>
      </c>
      <c r="B26" s="11" t="s">
        <v>75</v>
      </c>
      <c r="C26" s="11" t="s">
        <v>121</v>
      </c>
      <c r="D26" s="11" t="s">
        <v>72</v>
      </c>
      <c r="E26" s="12">
        <v>21914</v>
      </c>
      <c r="F26" s="12">
        <v>522260835</v>
      </c>
    </row>
    <row r="27" spans="1:6" x14ac:dyDescent="0.25">
      <c r="A27" s="10" t="s">
        <v>42</v>
      </c>
      <c r="B27" s="11" t="s">
        <v>75</v>
      </c>
      <c r="C27" s="11" t="s">
        <v>122</v>
      </c>
      <c r="D27" s="11" t="s">
        <v>72</v>
      </c>
      <c r="E27" s="12">
        <v>1215</v>
      </c>
      <c r="F27" s="12">
        <v>68362503</v>
      </c>
    </row>
    <row r="28" spans="1:6" x14ac:dyDescent="0.25">
      <c r="A28" s="10" t="s">
        <v>42</v>
      </c>
      <c r="B28" s="11" t="s">
        <v>75</v>
      </c>
      <c r="C28" s="11" t="s">
        <v>123</v>
      </c>
      <c r="D28" s="11" t="s">
        <v>72</v>
      </c>
      <c r="E28" s="12">
        <v>6550</v>
      </c>
      <c r="F28" s="12">
        <v>182076638</v>
      </c>
    </row>
    <row r="29" spans="1:6" x14ac:dyDescent="0.25">
      <c r="A29" s="10" t="s">
        <v>42</v>
      </c>
      <c r="B29" s="11" t="s">
        <v>75</v>
      </c>
      <c r="C29" s="11" t="s">
        <v>114</v>
      </c>
      <c r="D29" s="11" t="s">
        <v>72</v>
      </c>
      <c r="E29" s="12">
        <v>28174</v>
      </c>
      <c r="F29" s="12">
        <v>844048602</v>
      </c>
    </row>
    <row r="30" spans="1:6" x14ac:dyDescent="0.25">
      <c r="A30" s="10" t="s">
        <v>42</v>
      </c>
      <c r="B30" s="11" t="s">
        <v>75</v>
      </c>
      <c r="C30" s="11" t="s">
        <v>124</v>
      </c>
      <c r="D30" s="11" t="s">
        <v>72</v>
      </c>
      <c r="E30" s="12">
        <v>25</v>
      </c>
      <c r="F30" s="12">
        <v>2100930</v>
      </c>
    </row>
    <row r="31" spans="1:6" x14ac:dyDescent="0.25">
      <c r="A31" s="10" t="s">
        <v>42</v>
      </c>
      <c r="B31" s="11" t="s">
        <v>75</v>
      </c>
      <c r="C31" s="11" t="s">
        <v>125</v>
      </c>
      <c r="D31" s="11" t="s">
        <v>72</v>
      </c>
      <c r="E31" s="12">
        <v>432</v>
      </c>
      <c r="F31" s="12">
        <v>19404880</v>
      </c>
    </row>
    <row r="32" spans="1:6" x14ac:dyDescent="0.25">
      <c r="A32" s="10" t="s">
        <v>126</v>
      </c>
      <c r="B32" s="11" t="s">
        <v>14</v>
      </c>
      <c r="C32" s="11" t="s">
        <v>127</v>
      </c>
      <c r="D32" s="11" t="s">
        <v>72</v>
      </c>
      <c r="E32" s="12">
        <v>598</v>
      </c>
      <c r="F32" s="12">
        <v>498805389</v>
      </c>
    </row>
    <row r="33" spans="1:6" x14ac:dyDescent="0.25">
      <c r="A33" s="10" t="s">
        <v>126</v>
      </c>
      <c r="B33" s="11" t="s">
        <v>14</v>
      </c>
      <c r="C33" s="11" t="s">
        <v>128</v>
      </c>
      <c r="D33" s="11" t="s">
        <v>72</v>
      </c>
      <c r="E33" s="12">
        <v>496</v>
      </c>
      <c r="F33" s="12">
        <v>391062137</v>
      </c>
    </row>
    <row r="34" spans="1:6" x14ac:dyDescent="0.25">
      <c r="A34" s="10" t="s">
        <v>126</v>
      </c>
      <c r="B34" s="11" t="s">
        <v>14</v>
      </c>
      <c r="C34" s="11" t="s">
        <v>129</v>
      </c>
      <c r="D34" s="11" t="s">
        <v>72</v>
      </c>
      <c r="E34" s="12">
        <v>93975</v>
      </c>
      <c r="F34" s="12">
        <v>22588939916</v>
      </c>
    </row>
    <row r="35" spans="1:6" x14ac:dyDescent="0.25">
      <c r="A35" s="10" t="s">
        <v>126</v>
      </c>
      <c r="B35" s="11" t="s">
        <v>14</v>
      </c>
      <c r="C35" s="11" t="s">
        <v>130</v>
      </c>
      <c r="D35" s="11" t="s">
        <v>72</v>
      </c>
      <c r="E35" s="12">
        <v>2200</v>
      </c>
      <c r="F35" s="12">
        <v>1003919140</v>
      </c>
    </row>
    <row r="36" spans="1:6" x14ac:dyDescent="0.25">
      <c r="A36" s="10" t="s">
        <v>126</v>
      </c>
      <c r="B36" s="11" t="s">
        <v>14</v>
      </c>
      <c r="C36" s="11" t="s">
        <v>131</v>
      </c>
      <c r="D36" s="11" t="s">
        <v>72</v>
      </c>
      <c r="E36" s="12">
        <v>1949</v>
      </c>
      <c r="F36" s="12">
        <v>579478970</v>
      </c>
    </row>
    <row r="37" spans="1:6" x14ac:dyDescent="0.25">
      <c r="A37" s="10" t="s">
        <v>126</v>
      </c>
      <c r="B37" s="11" t="s">
        <v>14</v>
      </c>
      <c r="C37" s="11" t="s">
        <v>83</v>
      </c>
      <c r="D37" s="11" t="s">
        <v>72</v>
      </c>
      <c r="E37" s="12">
        <v>2509</v>
      </c>
      <c r="F37" s="12">
        <v>2124263915</v>
      </c>
    </row>
    <row r="38" spans="1:6" x14ac:dyDescent="0.25">
      <c r="A38" s="10" t="s">
        <v>126</v>
      </c>
      <c r="B38" s="11" t="s">
        <v>14</v>
      </c>
      <c r="C38" s="11" t="s">
        <v>38</v>
      </c>
      <c r="D38" s="11" t="s">
        <v>72</v>
      </c>
      <c r="E38" s="12">
        <v>5248</v>
      </c>
      <c r="F38" s="12">
        <v>4010259387</v>
      </c>
    </row>
    <row r="39" spans="1:6" x14ac:dyDescent="0.25">
      <c r="A39" s="10" t="s">
        <v>126</v>
      </c>
      <c r="B39" s="11" t="s">
        <v>14</v>
      </c>
      <c r="C39" s="11" t="s">
        <v>132</v>
      </c>
      <c r="D39" s="11" t="s">
        <v>72</v>
      </c>
      <c r="E39" s="12">
        <v>1978</v>
      </c>
      <c r="F39" s="12">
        <v>1502838129</v>
      </c>
    </row>
    <row r="40" spans="1:6" x14ac:dyDescent="0.25">
      <c r="A40" s="10" t="s">
        <v>126</v>
      </c>
      <c r="B40" s="11" t="s">
        <v>14</v>
      </c>
      <c r="C40" s="11" t="s">
        <v>33</v>
      </c>
      <c r="D40" s="11" t="s">
        <v>72</v>
      </c>
      <c r="E40" s="12">
        <v>1380</v>
      </c>
      <c r="F40" s="12">
        <v>995666124</v>
      </c>
    </row>
    <row r="41" spans="1:6" x14ac:dyDescent="0.25">
      <c r="A41" s="10" t="s">
        <v>126</v>
      </c>
      <c r="B41" s="11" t="s">
        <v>14</v>
      </c>
      <c r="C41" s="11" t="s">
        <v>32</v>
      </c>
      <c r="D41" s="11" t="s">
        <v>72</v>
      </c>
      <c r="E41" s="12">
        <v>3316</v>
      </c>
      <c r="F41" s="12">
        <v>2784151575</v>
      </c>
    </row>
    <row r="42" spans="1:6" x14ac:dyDescent="0.25">
      <c r="A42" s="10" t="s">
        <v>126</v>
      </c>
      <c r="B42" s="11" t="s">
        <v>14</v>
      </c>
      <c r="C42" s="11" t="s">
        <v>133</v>
      </c>
      <c r="D42" s="11" t="s">
        <v>72</v>
      </c>
      <c r="E42" s="12">
        <v>758</v>
      </c>
      <c r="F42" s="12">
        <v>591401281</v>
      </c>
    </row>
    <row r="43" spans="1:6" x14ac:dyDescent="0.25">
      <c r="A43" s="10" t="s">
        <v>126</v>
      </c>
      <c r="B43" s="11" t="s">
        <v>14</v>
      </c>
      <c r="C43" s="11" t="s">
        <v>134</v>
      </c>
      <c r="D43" s="11" t="s">
        <v>72</v>
      </c>
      <c r="E43" s="12">
        <v>60115</v>
      </c>
      <c r="F43" s="12">
        <v>8488260636</v>
      </c>
    </row>
    <row r="44" spans="1:6" x14ac:dyDescent="0.25">
      <c r="A44" s="10" t="s">
        <v>126</v>
      </c>
      <c r="B44" s="11" t="s">
        <v>14</v>
      </c>
      <c r="C44" s="11" t="s">
        <v>37</v>
      </c>
      <c r="D44" s="11" t="s">
        <v>72</v>
      </c>
      <c r="E44" s="12">
        <v>2562</v>
      </c>
      <c r="F44" s="12">
        <v>1788453170</v>
      </c>
    </row>
    <row r="45" spans="1:6" x14ac:dyDescent="0.25">
      <c r="A45" s="10" t="s">
        <v>126</v>
      </c>
      <c r="B45" s="11" t="s">
        <v>14</v>
      </c>
      <c r="C45" s="11" t="s">
        <v>16</v>
      </c>
      <c r="D45" s="11" t="s">
        <v>72</v>
      </c>
      <c r="E45" s="12">
        <v>323629</v>
      </c>
      <c r="F45" s="12">
        <v>33912201300</v>
      </c>
    </row>
    <row r="46" spans="1:6" x14ac:dyDescent="0.25">
      <c r="A46" s="10" t="s">
        <v>126</v>
      </c>
      <c r="B46" s="11" t="s">
        <v>14</v>
      </c>
      <c r="C46" s="11" t="s">
        <v>51</v>
      </c>
      <c r="D46" s="11" t="s">
        <v>72</v>
      </c>
      <c r="E46" s="12">
        <v>80</v>
      </c>
      <c r="F46" s="12">
        <v>34014130</v>
      </c>
    </row>
    <row r="47" spans="1:6" x14ac:dyDescent="0.25">
      <c r="A47" s="10" t="s">
        <v>126</v>
      </c>
      <c r="B47" s="11" t="s">
        <v>14</v>
      </c>
      <c r="C47" s="11" t="s">
        <v>41</v>
      </c>
      <c r="D47" s="11" t="s">
        <v>72</v>
      </c>
      <c r="E47" s="12">
        <v>3320</v>
      </c>
      <c r="F47" s="12">
        <v>2090982288</v>
      </c>
    </row>
    <row r="48" spans="1:6" x14ac:dyDescent="0.25">
      <c r="A48" s="10" t="s">
        <v>126</v>
      </c>
      <c r="B48" s="11" t="s">
        <v>14</v>
      </c>
      <c r="C48" s="11" t="s">
        <v>30</v>
      </c>
      <c r="D48" s="11" t="s">
        <v>72</v>
      </c>
      <c r="E48" s="12">
        <v>21211</v>
      </c>
      <c r="F48" s="12">
        <v>16015469705</v>
      </c>
    </row>
    <row r="49" spans="1:6" x14ac:dyDescent="0.25">
      <c r="A49" s="10" t="s">
        <v>126</v>
      </c>
      <c r="B49" s="11" t="s">
        <v>14</v>
      </c>
      <c r="C49" s="11" t="s">
        <v>34</v>
      </c>
      <c r="D49" s="11" t="s">
        <v>72</v>
      </c>
      <c r="E49" s="12">
        <v>3680</v>
      </c>
      <c r="F49" s="12">
        <v>2752602430</v>
      </c>
    </row>
    <row r="50" spans="1:6" x14ac:dyDescent="0.25">
      <c r="A50" s="10" t="s">
        <v>126</v>
      </c>
      <c r="B50" s="11" t="s">
        <v>14</v>
      </c>
      <c r="C50" s="11" t="s">
        <v>29</v>
      </c>
      <c r="D50" s="11" t="s">
        <v>72</v>
      </c>
      <c r="E50" s="12">
        <v>76632</v>
      </c>
      <c r="F50" s="12">
        <v>13020571767</v>
      </c>
    </row>
    <row r="51" spans="1:6" x14ac:dyDescent="0.25">
      <c r="A51" s="10" t="s">
        <v>135</v>
      </c>
      <c r="B51" s="11" t="s">
        <v>11</v>
      </c>
      <c r="C51" s="11" t="s">
        <v>114</v>
      </c>
      <c r="D51" s="11" t="s">
        <v>72</v>
      </c>
      <c r="E51" s="12">
        <v>96369</v>
      </c>
      <c r="F51" s="12">
        <v>18778762558</v>
      </c>
    </row>
    <row r="52" spans="1:6" x14ac:dyDescent="0.25">
      <c r="A52" s="10" t="s">
        <v>135</v>
      </c>
      <c r="B52" s="11" t="s">
        <v>11</v>
      </c>
      <c r="C52" s="11" t="s">
        <v>136</v>
      </c>
      <c r="D52" s="11" t="s">
        <v>72</v>
      </c>
      <c r="E52" s="12">
        <v>54727</v>
      </c>
      <c r="F52" s="12">
        <v>11810442472</v>
      </c>
    </row>
    <row r="53" spans="1:6" x14ac:dyDescent="0.25">
      <c r="A53" s="10" t="s">
        <v>135</v>
      </c>
      <c r="B53" s="11" t="s">
        <v>11</v>
      </c>
      <c r="C53" s="11" t="s">
        <v>137</v>
      </c>
      <c r="D53" s="11" t="s">
        <v>72</v>
      </c>
      <c r="E53" s="12">
        <v>8778</v>
      </c>
      <c r="F53" s="12">
        <v>1773669262</v>
      </c>
    </row>
    <row r="54" spans="1:6" x14ac:dyDescent="0.25">
      <c r="A54" s="10" t="s">
        <v>138</v>
      </c>
      <c r="B54" s="11" t="s">
        <v>11</v>
      </c>
      <c r="C54" s="11" t="s">
        <v>114</v>
      </c>
      <c r="D54" s="11" t="s">
        <v>72</v>
      </c>
      <c r="E54" s="12">
        <v>9</v>
      </c>
      <c r="F54" s="12">
        <v>4917150</v>
      </c>
    </row>
    <row r="55" spans="1:6" x14ac:dyDescent="0.25">
      <c r="A55" s="10" t="s">
        <v>138</v>
      </c>
      <c r="B55" s="11" t="s">
        <v>11</v>
      </c>
      <c r="C55" s="11" t="s">
        <v>136</v>
      </c>
      <c r="D55" s="11" t="s">
        <v>72</v>
      </c>
      <c r="E55" s="12">
        <v>457943</v>
      </c>
      <c r="F55" s="12">
        <v>166008591119</v>
      </c>
    </row>
    <row r="56" spans="1:6" x14ac:dyDescent="0.25">
      <c r="A56" s="10" t="s">
        <v>139</v>
      </c>
      <c r="B56" s="11" t="s">
        <v>11</v>
      </c>
      <c r="C56" s="11" t="s">
        <v>114</v>
      </c>
      <c r="D56" s="11" t="s">
        <v>72</v>
      </c>
      <c r="E56" s="12">
        <v>72599410</v>
      </c>
      <c r="F56" s="12">
        <v>448992160</v>
      </c>
    </row>
    <row r="57" spans="1:6" x14ac:dyDescent="0.25">
      <c r="A57" s="10" t="s">
        <v>140</v>
      </c>
      <c r="B57" s="11" t="s">
        <v>11</v>
      </c>
      <c r="C57" s="11"/>
      <c r="D57" s="11" t="s">
        <v>72</v>
      </c>
      <c r="E57" s="12">
        <v>825772</v>
      </c>
      <c r="F57" s="12">
        <v>1238658000</v>
      </c>
    </row>
    <row r="58" spans="1:6" x14ac:dyDescent="0.25">
      <c r="A58" s="10" t="s">
        <v>141</v>
      </c>
      <c r="B58" s="11" t="s">
        <v>11</v>
      </c>
      <c r="C58" s="11" t="s">
        <v>114</v>
      </c>
      <c r="D58" s="11" t="s">
        <v>72</v>
      </c>
      <c r="E58" s="12">
        <v>174</v>
      </c>
      <c r="F58" s="12">
        <v>35928900</v>
      </c>
    </row>
    <row r="59" spans="1:6" x14ac:dyDescent="0.25">
      <c r="A59" s="10" t="s">
        <v>142</v>
      </c>
      <c r="B59" s="11" t="s">
        <v>11</v>
      </c>
      <c r="C59" s="11" t="s">
        <v>114</v>
      </c>
      <c r="D59" s="11"/>
      <c r="E59" s="12">
        <v>26774172</v>
      </c>
      <c r="F59" s="12">
        <v>80322516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2022</vt:lpstr>
      <vt:lpstr>2021</vt:lpstr>
      <vt:lpstr>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BCS</cp:lastModifiedBy>
  <dcterms:created xsi:type="dcterms:W3CDTF">2026-07-06T11:26:15Z</dcterms:created>
  <dcterms:modified xsi:type="dcterms:W3CDTF">2026-07-06T14:30:52Z</dcterms:modified>
</cp:coreProperties>
</file>