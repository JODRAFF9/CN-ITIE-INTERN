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mc:AlternateContent xmlns:mc="http://schemas.openxmlformats.org/markup-compatibility/2006">
    <mc:Choice Requires="x15">
      <x15ac:absPath xmlns:x15ac="http://schemas.microsoft.com/office/spreadsheetml/2010/11/ac" url="C:\Users\Bmd\Documents\ISE\Cours\ISE3\Stage ITIE\export\"/>
    </mc:Choice>
  </mc:AlternateContent>
  <xr:revisionPtr revIDLastSave="0" documentId="13_ncr:1_{DB1D58F3-7FBD-4008-B354-7F79A52E612F}" xr6:coauthVersionLast="47" xr6:coauthVersionMax="47" xr10:uidLastSave="{00000000-0000-0000-0000-000000000000}"/>
  <bookViews>
    <workbookView xWindow="-110" yWindow="-110" windowWidth="19420" windowHeight="10300" tabRatio="500" xr2:uid="{00000000-000D-0000-FFFF-FFFF00000000}"/>
  </bookViews>
  <sheets>
    <sheet name="Exportations Minières 23-24" sheetId="1" r:id="rId1"/>
    <sheet name="Exportations Hydrocarbures 24" sheetId="2" r:id="rId2"/>
    <sheet name="Prix par Société" sheetId="3" r:id="rId3"/>
    <sheet name="Prix par Substance" sheetId="4" r:id="rId4"/>
    <sheet name="Prix par Société et Substance" sheetId="5" r:id="rId5"/>
    <sheet name="Notes Méthodologiques" sheetId="6" r:id="rId6"/>
  </sheets>
  <definedNames>
    <definedName name="_xlnm._FilterDatabase" localSheetId="1" hidden="1">'Exportations Hydrocarbures 24'!$A$1:$J$17</definedName>
    <definedName name="_xlnm._FilterDatabase" localSheetId="0" hidden="1">'Exportations Minières 23-24'!$A$1:$M$105</definedName>
    <definedName name="_xlnm._FilterDatabase" localSheetId="2" hidden="1">'Prix par Société'!$A$1:$H$15</definedName>
    <definedName name="_xlnm._FilterDatabase" localSheetId="4" hidden="1">'Prix par Société et Substance'!$A$1:$I$36</definedName>
    <definedName name="_xlnm._FilterDatabase" localSheetId="3" hidden="1">'Prix par Substance'!$A$1:$H$27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6" i="5" l="1"/>
  <c r="H36" i="5" s="1"/>
  <c r="C36" i="5"/>
  <c r="G36" i="5" s="1"/>
  <c r="D35" i="5"/>
  <c r="F35" i="5" s="1"/>
  <c r="C35" i="5"/>
  <c r="E35" i="5" s="1"/>
  <c r="G34" i="5"/>
  <c r="D34" i="5"/>
  <c r="H34" i="5" s="1"/>
  <c r="C34" i="5"/>
  <c r="E34" i="5" s="1"/>
  <c r="G33" i="5"/>
  <c r="E33" i="5"/>
  <c r="D33" i="5"/>
  <c r="H33" i="5" s="1"/>
  <c r="C33" i="5"/>
  <c r="H32" i="5"/>
  <c r="E32" i="5"/>
  <c r="D32" i="5"/>
  <c r="F32" i="5" s="1"/>
  <c r="C32" i="5"/>
  <c r="G32" i="5" s="1"/>
  <c r="H31" i="5"/>
  <c r="F31" i="5"/>
  <c r="D31" i="5"/>
  <c r="C31" i="5"/>
  <c r="G30" i="5"/>
  <c r="F30" i="5"/>
  <c r="D30" i="5"/>
  <c r="H30" i="5" s="1"/>
  <c r="C30" i="5"/>
  <c r="E30" i="5" s="1"/>
  <c r="G29" i="5"/>
  <c r="E29" i="5"/>
  <c r="D29" i="5"/>
  <c r="H29" i="5" s="1"/>
  <c r="C29" i="5"/>
  <c r="H28" i="5"/>
  <c r="E28" i="5"/>
  <c r="D28" i="5"/>
  <c r="F28" i="5" s="1"/>
  <c r="C28" i="5"/>
  <c r="G28" i="5" s="1"/>
  <c r="H27" i="5"/>
  <c r="F27" i="5"/>
  <c r="D27" i="5"/>
  <c r="C27" i="5"/>
  <c r="G26" i="5"/>
  <c r="F26" i="5"/>
  <c r="D26" i="5"/>
  <c r="H26" i="5" s="1"/>
  <c r="C26" i="5"/>
  <c r="E26" i="5" s="1"/>
  <c r="G25" i="5"/>
  <c r="E25" i="5"/>
  <c r="D25" i="5"/>
  <c r="H25" i="5" s="1"/>
  <c r="C25" i="5"/>
  <c r="H24" i="5"/>
  <c r="E24" i="5"/>
  <c r="D24" i="5"/>
  <c r="F24" i="5" s="1"/>
  <c r="C24" i="5"/>
  <c r="G24" i="5" s="1"/>
  <c r="H23" i="5"/>
  <c r="F23" i="5"/>
  <c r="D23" i="5"/>
  <c r="C23" i="5"/>
  <c r="G22" i="5"/>
  <c r="F22" i="5"/>
  <c r="D22" i="5"/>
  <c r="H22" i="5" s="1"/>
  <c r="C22" i="5"/>
  <c r="E22" i="5" s="1"/>
  <c r="G21" i="5"/>
  <c r="E21" i="5"/>
  <c r="D21" i="5"/>
  <c r="H21" i="5" s="1"/>
  <c r="C21" i="5"/>
  <c r="H20" i="5"/>
  <c r="E20" i="5"/>
  <c r="D20" i="5"/>
  <c r="F20" i="5" s="1"/>
  <c r="C20" i="5"/>
  <c r="G20" i="5" s="1"/>
  <c r="H19" i="5"/>
  <c r="F19" i="5"/>
  <c r="D19" i="5"/>
  <c r="C19" i="5"/>
  <c r="G18" i="5"/>
  <c r="F18" i="5"/>
  <c r="D18" i="5"/>
  <c r="H18" i="5" s="1"/>
  <c r="C18" i="5"/>
  <c r="E18" i="5" s="1"/>
  <c r="G17" i="5"/>
  <c r="E17" i="5"/>
  <c r="D17" i="5"/>
  <c r="H17" i="5" s="1"/>
  <c r="C17" i="5"/>
  <c r="H16" i="5"/>
  <c r="E16" i="5"/>
  <c r="D16" i="5"/>
  <c r="F16" i="5" s="1"/>
  <c r="C16" i="5"/>
  <c r="G16" i="5" s="1"/>
  <c r="H15" i="5"/>
  <c r="F15" i="5"/>
  <c r="D15" i="5"/>
  <c r="C15" i="5"/>
  <c r="G14" i="5"/>
  <c r="F14" i="5"/>
  <c r="D14" i="5"/>
  <c r="H14" i="5" s="1"/>
  <c r="C14" i="5"/>
  <c r="E14" i="5" s="1"/>
  <c r="G13" i="5"/>
  <c r="E13" i="5"/>
  <c r="D13" i="5"/>
  <c r="C13" i="5"/>
  <c r="H12" i="5"/>
  <c r="D12" i="5"/>
  <c r="F12" i="5" s="1"/>
  <c r="C12" i="5"/>
  <c r="G12" i="5" s="1"/>
  <c r="H11" i="5"/>
  <c r="F11" i="5"/>
  <c r="D11" i="5"/>
  <c r="C11" i="5"/>
  <c r="G10" i="5"/>
  <c r="F10" i="5"/>
  <c r="D10" i="5"/>
  <c r="H10" i="5" s="1"/>
  <c r="C10" i="5"/>
  <c r="E10" i="5" s="1"/>
  <c r="G9" i="5"/>
  <c r="E9" i="5"/>
  <c r="D9" i="5"/>
  <c r="C9" i="5"/>
  <c r="H8" i="5"/>
  <c r="D8" i="5"/>
  <c r="F8" i="5" s="1"/>
  <c r="C8" i="5"/>
  <c r="G8" i="5" s="1"/>
  <c r="H7" i="5"/>
  <c r="F7" i="5"/>
  <c r="D7" i="5"/>
  <c r="C7" i="5"/>
  <c r="G6" i="5"/>
  <c r="D6" i="5"/>
  <c r="H6" i="5" s="1"/>
  <c r="C6" i="5"/>
  <c r="E6" i="5" s="1"/>
  <c r="G5" i="5"/>
  <c r="E5" i="5"/>
  <c r="D5" i="5"/>
  <c r="C5" i="5"/>
  <c r="H4" i="5"/>
  <c r="D4" i="5"/>
  <c r="F4" i="5" s="1"/>
  <c r="C4" i="5"/>
  <c r="G4" i="5" s="1"/>
  <c r="H3" i="5"/>
  <c r="F3" i="5"/>
  <c r="D3" i="5"/>
  <c r="C3" i="5"/>
  <c r="G2" i="5"/>
  <c r="D2" i="5"/>
  <c r="H2" i="5" s="1"/>
  <c r="C2" i="5"/>
  <c r="E2" i="5" s="1"/>
  <c r="F27" i="4"/>
  <c r="D27" i="4"/>
  <c r="C27" i="4"/>
  <c r="B27" i="4"/>
  <c r="G26" i="4"/>
  <c r="C26" i="4"/>
  <c r="E26" i="4" s="1"/>
  <c r="B26" i="4"/>
  <c r="F26" i="4" s="1"/>
  <c r="G25" i="4"/>
  <c r="E25" i="4"/>
  <c r="C25" i="4"/>
  <c r="B25" i="4"/>
  <c r="F24" i="4"/>
  <c r="C24" i="4"/>
  <c r="G24" i="4" s="1"/>
  <c r="B24" i="4"/>
  <c r="D24" i="4" s="1"/>
  <c r="F23" i="4"/>
  <c r="D23" i="4"/>
  <c r="C23" i="4"/>
  <c r="B23" i="4"/>
  <c r="G22" i="4"/>
  <c r="C22" i="4"/>
  <c r="E22" i="4" s="1"/>
  <c r="B22" i="4"/>
  <c r="F22" i="4" s="1"/>
  <c r="G21" i="4"/>
  <c r="E21" i="4"/>
  <c r="C21" i="4"/>
  <c r="B21" i="4"/>
  <c r="F20" i="4"/>
  <c r="C20" i="4"/>
  <c r="G20" i="4" s="1"/>
  <c r="B20" i="4"/>
  <c r="D20" i="4" s="1"/>
  <c r="F19" i="4"/>
  <c r="D19" i="4"/>
  <c r="C19" i="4"/>
  <c r="B19" i="4"/>
  <c r="G18" i="4"/>
  <c r="C18" i="4"/>
  <c r="E18" i="4" s="1"/>
  <c r="B18" i="4"/>
  <c r="F18" i="4" s="1"/>
  <c r="G17" i="4"/>
  <c r="E17" i="4"/>
  <c r="C17" i="4"/>
  <c r="B17" i="4"/>
  <c r="F16" i="4"/>
  <c r="C16" i="4"/>
  <c r="G16" i="4" s="1"/>
  <c r="B16" i="4"/>
  <c r="D16" i="4" s="1"/>
  <c r="F15" i="4"/>
  <c r="D15" i="4"/>
  <c r="C15" i="4"/>
  <c r="B15" i="4"/>
  <c r="G14" i="4"/>
  <c r="C14" i="4"/>
  <c r="E14" i="4" s="1"/>
  <c r="B14" i="4"/>
  <c r="F14" i="4" s="1"/>
  <c r="G13" i="4"/>
  <c r="E13" i="4"/>
  <c r="C13" i="4"/>
  <c r="B13" i="4"/>
  <c r="F12" i="4"/>
  <c r="C12" i="4"/>
  <c r="G12" i="4" s="1"/>
  <c r="B12" i="4"/>
  <c r="D12" i="4" s="1"/>
  <c r="F11" i="4"/>
  <c r="D11" i="4"/>
  <c r="C11" i="4"/>
  <c r="B11" i="4"/>
  <c r="G10" i="4"/>
  <c r="C10" i="4"/>
  <c r="E10" i="4" s="1"/>
  <c r="B10" i="4"/>
  <c r="F10" i="4" s="1"/>
  <c r="G9" i="4"/>
  <c r="E9" i="4"/>
  <c r="C9" i="4"/>
  <c r="B9" i="4"/>
  <c r="F8" i="4"/>
  <c r="C8" i="4"/>
  <c r="G8" i="4" s="1"/>
  <c r="B8" i="4"/>
  <c r="D8" i="4" s="1"/>
  <c r="F7" i="4"/>
  <c r="D7" i="4"/>
  <c r="C7" i="4"/>
  <c r="B7" i="4"/>
  <c r="G6" i="4"/>
  <c r="C6" i="4"/>
  <c r="E6" i="4" s="1"/>
  <c r="B6" i="4"/>
  <c r="F6" i="4" s="1"/>
  <c r="G5" i="4"/>
  <c r="E5" i="4"/>
  <c r="C5" i="4"/>
  <c r="B5" i="4"/>
  <c r="F4" i="4"/>
  <c r="C4" i="4"/>
  <c r="G4" i="4" s="1"/>
  <c r="B4" i="4"/>
  <c r="D4" i="4" s="1"/>
  <c r="F3" i="4"/>
  <c r="D3" i="4"/>
  <c r="C3" i="4"/>
  <c r="B3" i="4"/>
  <c r="G2" i="4"/>
  <c r="C2" i="4"/>
  <c r="E2" i="4" s="1"/>
  <c r="B2" i="4"/>
  <c r="F2" i="4" s="1"/>
  <c r="G15" i="3"/>
  <c r="E15" i="3"/>
  <c r="C15" i="3"/>
  <c r="B15" i="3"/>
  <c r="F14" i="3"/>
  <c r="C14" i="3"/>
  <c r="G14" i="3" s="1"/>
  <c r="B14" i="3"/>
  <c r="D14" i="3" s="1"/>
  <c r="F13" i="3"/>
  <c r="D13" i="3"/>
  <c r="C13" i="3"/>
  <c r="B13" i="3"/>
  <c r="G12" i="3"/>
  <c r="C12" i="3"/>
  <c r="E12" i="3" s="1"/>
  <c r="B12" i="3"/>
  <c r="F12" i="3" s="1"/>
  <c r="G11" i="3"/>
  <c r="E11" i="3"/>
  <c r="C11" i="3"/>
  <c r="B11" i="3"/>
  <c r="F10" i="3"/>
  <c r="C10" i="3"/>
  <c r="G10" i="3" s="1"/>
  <c r="B10" i="3"/>
  <c r="D10" i="3" s="1"/>
  <c r="F9" i="3"/>
  <c r="D9" i="3"/>
  <c r="C9" i="3"/>
  <c r="B9" i="3"/>
  <c r="G8" i="3"/>
  <c r="C8" i="3"/>
  <c r="E8" i="3" s="1"/>
  <c r="B8" i="3"/>
  <c r="F8" i="3" s="1"/>
  <c r="G7" i="3"/>
  <c r="E7" i="3"/>
  <c r="C7" i="3"/>
  <c r="B7" i="3"/>
  <c r="F6" i="3"/>
  <c r="C6" i="3"/>
  <c r="G6" i="3" s="1"/>
  <c r="B6" i="3"/>
  <c r="D6" i="3" s="1"/>
  <c r="F5" i="3"/>
  <c r="D5" i="3"/>
  <c r="C5" i="3"/>
  <c r="B5" i="3"/>
  <c r="G4" i="3"/>
  <c r="C4" i="3"/>
  <c r="E4" i="3" s="1"/>
  <c r="B4" i="3"/>
  <c r="D4" i="3" s="1"/>
  <c r="G3" i="3"/>
  <c r="E3" i="3"/>
  <c r="D3" i="3"/>
  <c r="C3" i="3"/>
  <c r="B3" i="3"/>
  <c r="F3" i="3" s="1"/>
  <c r="C2" i="3"/>
  <c r="G2" i="3" s="1"/>
  <c r="B2" i="3"/>
  <c r="D2" i="3" s="1"/>
  <c r="M105" i="1"/>
  <c r="L105" i="1"/>
  <c r="J105" i="1"/>
  <c r="K105" i="1" s="1"/>
  <c r="M104" i="1"/>
  <c r="L104" i="1"/>
  <c r="J104" i="1"/>
  <c r="K104" i="1" s="1"/>
  <c r="M103" i="1"/>
  <c r="L103" i="1"/>
  <c r="J103" i="1"/>
  <c r="K103" i="1" s="1"/>
  <c r="M102" i="1"/>
  <c r="L102" i="1"/>
  <c r="J102" i="1"/>
  <c r="K102" i="1" s="1"/>
  <c r="M101" i="1"/>
  <c r="L101" i="1"/>
  <c r="J101" i="1"/>
  <c r="K101" i="1" s="1"/>
  <c r="M100" i="1"/>
  <c r="L100" i="1"/>
  <c r="J100" i="1"/>
  <c r="K100" i="1" s="1"/>
  <c r="L99" i="1"/>
  <c r="M99" i="1" s="1"/>
  <c r="J99" i="1"/>
  <c r="K99" i="1" s="1"/>
  <c r="M98" i="1"/>
  <c r="L98" i="1"/>
  <c r="K98" i="1"/>
  <c r="J98" i="1"/>
  <c r="L97" i="1"/>
  <c r="M97" i="1" s="1"/>
  <c r="J97" i="1"/>
  <c r="K97" i="1" s="1"/>
  <c r="M96" i="1"/>
  <c r="L96" i="1"/>
  <c r="J96" i="1"/>
  <c r="K96" i="1" s="1"/>
  <c r="L95" i="1"/>
  <c r="M95" i="1" s="1"/>
  <c r="J95" i="1"/>
  <c r="K95" i="1" s="1"/>
  <c r="M94" i="1"/>
  <c r="L94" i="1"/>
  <c r="K94" i="1"/>
  <c r="J94" i="1"/>
  <c r="M93" i="1"/>
  <c r="L93" i="1"/>
  <c r="J93" i="1"/>
  <c r="K93" i="1" s="1"/>
  <c r="M92" i="1"/>
  <c r="L92" i="1"/>
  <c r="K92" i="1"/>
  <c r="J92" i="1"/>
  <c r="L91" i="1"/>
  <c r="M91" i="1" s="1"/>
  <c r="J91" i="1"/>
  <c r="K91" i="1" s="1"/>
  <c r="M90" i="1"/>
  <c r="L90" i="1"/>
  <c r="K90" i="1"/>
  <c r="J90" i="1"/>
  <c r="M89" i="1"/>
  <c r="L89" i="1"/>
  <c r="J89" i="1"/>
  <c r="K89" i="1" s="1"/>
  <c r="M88" i="1"/>
  <c r="L88" i="1"/>
  <c r="J88" i="1"/>
  <c r="K88" i="1" s="1"/>
  <c r="M87" i="1"/>
  <c r="L87" i="1"/>
  <c r="J87" i="1"/>
  <c r="K87" i="1" s="1"/>
  <c r="M86" i="1"/>
  <c r="L86" i="1"/>
  <c r="J86" i="1"/>
  <c r="K86" i="1" s="1"/>
  <c r="M85" i="1"/>
  <c r="L85" i="1"/>
  <c r="J85" i="1"/>
  <c r="K85" i="1" s="1"/>
  <c r="M84" i="1"/>
  <c r="L84" i="1"/>
  <c r="J84" i="1"/>
  <c r="K84" i="1" s="1"/>
  <c r="L83" i="1"/>
  <c r="M83" i="1" s="1"/>
  <c r="J83" i="1"/>
  <c r="K83" i="1" s="1"/>
  <c r="M82" i="1"/>
  <c r="L82" i="1"/>
  <c r="K82" i="1"/>
  <c r="J82" i="1"/>
  <c r="L81" i="1"/>
  <c r="M81" i="1" s="1"/>
  <c r="J81" i="1"/>
  <c r="K81" i="1" s="1"/>
  <c r="M80" i="1"/>
  <c r="L80" i="1"/>
  <c r="J80" i="1"/>
  <c r="K80" i="1" s="1"/>
  <c r="L79" i="1"/>
  <c r="M79" i="1" s="1"/>
  <c r="J79" i="1"/>
  <c r="K79" i="1" s="1"/>
  <c r="M78" i="1"/>
  <c r="L78" i="1"/>
  <c r="K78" i="1"/>
  <c r="J78" i="1"/>
  <c r="M77" i="1"/>
  <c r="L77" i="1"/>
  <c r="J77" i="1"/>
  <c r="K77" i="1" s="1"/>
  <c r="M76" i="1"/>
  <c r="L76" i="1"/>
  <c r="K76" i="1"/>
  <c r="J76" i="1"/>
  <c r="L75" i="1"/>
  <c r="M75" i="1" s="1"/>
  <c r="J75" i="1"/>
  <c r="K75" i="1" s="1"/>
  <c r="M74" i="1"/>
  <c r="L74" i="1"/>
  <c r="K74" i="1"/>
  <c r="J74" i="1"/>
  <c r="M73" i="1"/>
  <c r="L73" i="1"/>
  <c r="J73" i="1"/>
  <c r="K73" i="1" s="1"/>
  <c r="M72" i="1"/>
  <c r="L72" i="1"/>
  <c r="J72" i="1"/>
  <c r="K72" i="1" s="1"/>
  <c r="M71" i="1"/>
  <c r="L71" i="1"/>
  <c r="J71" i="1"/>
  <c r="K71" i="1" s="1"/>
  <c r="M70" i="1"/>
  <c r="L70" i="1"/>
  <c r="J70" i="1"/>
  <c r="K70" i="1" s="1"/>
  <c r="M69" i="1"/>
  <c r="L69" i="1"/>
  <c r="J69" i="1"/>
  <c r="K69" i="1" s="1"/>
  <c r="M68" i="1"/>
  <c r="L68" i="1"/>
  <c r="J68" i="1"/>
  <c r="K68" i="1" s="1"/>
  <c r="L67" i="1"/>
  <c r="M67" i="1" s="1"/>
  <c r="J67" i="1"/>
  <c r="K67" i="1" s="1"/>
  <c r="M66" i="1"/>
  <c r="L66" i="1"/>
  <c r="K66" i="1"/>
  <c r="J66" i="1"/>
  <c r="L65" i="1"/>
  <c r="M65" i="1" s="1"/>
  <c r="J65" i="1"/>
  <c r="K65" i="1" s="1"/>
  <c r="M64" i="1"/>
  <c r="L64" i="1"/>
  <c r="J64" i="1"/>
  <c r="K64" i="1" s="1"/>
  <c r="L63" i="1"/>
  <c r="M63" i="1" s="1"/>
  <c r="J63" i="1"/>
  <c r="K63" i="1" s="1"/>
  <c r="M62" i="1"/>
  <c r="L62" i="1"/>
  <c r="K62" i="1"/>
  <c r="J62" i="1"/>
  <c r="M61" i="1"/>
  <c r="L61" i="1"/>
  <c r="J61" i="1"/>
  <c r="K61" i="1" s="1"/>
  <c r="M60" i="1"/>
  <c r="L60" i="1"/>
  <c r="K60" i="1"/>
  <c r="J60" i="1"/>
  <c r="L59" i="1"/>
  <c r="M59" i="1" s="1"/>
  <c r="J59" i="1"/>
  <c r="K59" i="1" s="1"/>
  <c r="M58" i="1"/>
  <c r="L58" i="1"/>
  <c r="K58" i="1"/>
  <c r="J58" i="1"/>
  <c r="M57" i="1"/>
  <c r="L57" i="1"/>
  <c r="J57" i="1"/>
  <c r="K57" i="1" s="1"/>
  <c r="M56" i="1"/>
  <c r="L56" i="1"/>
  <c r="J56" i="1"/>
  <c r="K56" i="1" s="1"/>
  <c r="M55" i="1"/>
  <c r="L55" i="1"/>
  <c r="J55" i="1"/>
  <c r="K55" i="1" s="1"/>
  <c r="M54" i="1"/>
  <c r="L54" i="1"/>
  <c r="J54" i="1"/>
  <c r="K54" i="1" s="1"/>
  <c r="M53" i="1"/>
  <c r="L53" i="1"/>
  <c r="J53" i="1"/>
  <c r="K53" i="1" s="1"/>
  <c r="M52" i="1"/>
  <c r="L52" i="1"/>
  <c r="J52" i="1"/>
  <c r="K52" i="1" s="1"/>
  <c r="L51" i="1"/>
  <c r="M51" i="1" s="1"/>
  <c r="J51" i="1"/>
  <c r="K51" i="1" s="1"/>
  <c r="M50" i="1"/>
  <c r="L50" i="1"/>
  <c r="K50" i="1"/>
  <c r="J50" i="1"/>
  <c r="L49" i="1"/>
  <c r="M49" i="1" s="1"/>
  <c r="J49" i="1"/>
  <c r="K49" i="1" s="1"/>
  <c r="M48" i="1"/>
  <c r="L48" i="1"/>
  <c r="J48" i="1"/>
  <c r="K48" i="1" s="1"/>
  <c r="L47" i="1"/>
  <c r="M47" i="1" s="1"/>
  <c r="J47" i="1"/>
  <c r="K47" i="1" s="1"/>
  <c r="M46" i="1"/>
  <c r="L46" i="1"/>
  <c r="K46" i="1"/>
  <c r="J46" i="1"/>
  <c r="M45" i="1"/>
  <c r="L45" i="1"/>
  <c r="J45" i="1"/>
  <c r="K45" i="1" s="1"/>
  <c r="M44" i="1"/>
  <c r="L44" i="1"/>
  <c r="K44" i="1"/>
  <c r="J44" i="1"/>
  <c r="L43" i="1"/>
  <c r="M43" i="1" s="1"/>
  <c r="J43" i="1"/>
  <c r="K43" i="1" s="1"/>
  <c r="M42" i="1"/>
  <c r="L42" i="1"/>
  <c r="K42" i="1"/>
  <c r="J42" i="1"/>
  <c r="M41" i="1"/>
  <c r="L41" i="1"/>
  <c r="J41" i="1"/>
  <c r="K41" i="1" s="1"/>
  <c r="M40" i="1"/>
  <c r="L40" i="1"/>
  <c r="J40" i="1"/>
  <c r="K40" i="1" s="1"/>
  <c r="M39" i="1"/>
  <c r="L39" i="1"/>
  <c r="J39" i="1"/>
  <c r="K39" i="1" s="1"/>
  <c r="M38" i="1"/>
  <c r="L38" i="1"/>
  <c r="J38" i="1"/>
  <c r="K38" i="1" s="1"/>
  <c r="M37" i="1"/>
  <c r="L37" i="1"/>
  <c r="J37" i="1"/>
  <c r="K37" i="1" s="1"/>
  <c r="M36" i="1"/>
  <c r="L36" i="1"/>
  <c r="J36" i="1"/>
  <c r="K36" i="1" s="1"/>
  <c r="L35" i="1"/>
  <c r="M35" i="1" s="1"/>
  <c r="J35" i="1"/>
  <c r="K35" i="1" s="1"/>
  <c r="M34" i="1"/>
  <c r="L34" i="1"/>
  <c r="K34" i="1"/>
  <c r="J34" i="1"/>
  <c r="L33" i="1"/>
  <c r="M33" i="1" s="1"/>
  <c r="J33" i="1"/>
  <c r="K33" i="1" s="1"/>
  <c r="M32" i="1"/>
  <c r="L32" i="1"/>
  <c r="J32" i="1"/>
  <c r="K32" i="1" s="1"/>
  <c r="L31" i="1"/>
  <c r="M31" i="1" s="1"/>
  <c r="J31" i="1"/>
  <c r="K31" i="1" s="1"/>
  <c r="M30" i="1"/>
  <c r="L30" i="1"/>
  <c r="K30" i="1"/>
  <c r="J30" i="1"/>
  <c r="M29" i="1"/>
  <c r="L29" i="1"/>
  <c r="J29" i="1"/>
  <c r="K29" i="1" s="1"/>
  <c r="M28" i="1"/>
  <c r="L28" i="1"/>
  <c r="K28" i="1"/>
  <c r="J28" i="1"/>
  <c r="L27" i="1"/>
  <c r="M27" i="1" s="1"/>
  <c r="J27" i="1"/>
  <c r="K27" i="1" s="1"/>
  <c r="M26" i="1"/>
  <c r="L26" i="1"/>
  <c r="K26" i="1"/>
  <c r="J26" i="1"/>
  <c r="M25" i="1"/>
  <c r="L25" i="1"/>
  <c r="J25" i="1"/>
  <c r="K25" i="1" s="1"/>
  <c r="M24" i="1"/>
  <c r="L24" i="1"/>
  <c r="J24" i="1"/>
  <c r="K24" i="1" s="1"/>
  <c r="M23" i="1"/>
  <c r="L23" i="1"/>
  <c r="J23" i="1"/>
  <c r="K23" i="1" s="1"/>
  <c r="M22" i="1"/>
  <c r="L22" i="1"/>
  <c r="J22" i="1"/>
  <c r="K22" i="1" s="1"/>
  <c r="M21" i="1"/>
  <c r="L21" i="1"/>
  <c r="J21" i="1"/>
  <c r="K21" i="1" s="1"/>
  <c r="M20" i="1"/>
  <c r="L20" i="1"/>
  <c r="J20" i="1"/>
  <c r="K20" i="1" s="1"/>
  <c r="L19" i="1"/>
  <c r="M19" i="1" s="1"/>
  <c r="J19" i="1"/>
  <c r="K19" i="1" s="1"/>
  <c r="M18" i="1"/>
  <c r="L18" i="1"/>
  <c r="K18" i="1"/>
  <c r="J18" i="1"/>
  <c r="L17" i="1"/>
  <c r="M17" i="1" s="1"/>
  <c r="J17" i="1"/>
  <c r="K17" i="1" s="1"/>
  <c r="M16" i="1"/>
  <c r="L16" i="1"/>
  <c r="J16" i="1"/>
  <c r="K16" i="1" s="1"/>
  <c r="L15" i="1"/>
  <c r="M15" i="1" s="1"/>
  <c r="J15" i="1"/>
  <c r="K15" i="1" s="1"/>
  <c r="M14" i="1"/>
  <c r="L14" i="1"/>
  <c r="K14" i="1"/>
  <c r="J14" i="1"/>
  <c r="M13" i="1"/>
  <c r="L13" i="1"/>
  <c r="J13" i="1"/>
  <c r="K13" i="1" s="1"/>
  <c r="M12" i="1"/>
  <c r="L12" i="1"/>
  <c r="K12" i="1"/>
  <c r="J12" i="1"/>
  <c r="L11" i="1"/>
  <c r="M11" i="1" s="1"/>
  <c r="J11" i="1"/>
  <c r="K11" i="1" s="1"/>
  <c r="M10" i="1"/>
  <c r="L10" i="1"/>
  <c r="K10" i="1"/>
  <c r="J10" i="1"/>
  <c r="M9" i="1"/>
  <c r="L9" i="1"/>
  <c r="K9" i="1"/>
  <c r="J9" i="1"/>
  <c r="M8" i="1"/>
  <c r="L8" i="1"/>
  <c r="K8" i="1"/>
  <c r="J8" i="1"/>
  <c r="M7" i="1"/>
  <c r="L7" i="1"/>
  <c r="K7" i="1"/>
  <c r="J7" i="1"/>
  <c r="M6" i="1"/>
  <c r="L6" i="1"/>
  <c r="K6" i="1"/>
  <c r="J6" i="1"/>
  <c r="M5" i="1"/>
  <c r="L5" i="1"/>
  <c r="K5" i="1"/>
  <c r="J5" i="1"/>
  <c r="M4" i="1"/>
  <c r="L4" i="1"/>
  <c r="K4" i="1"/>
  <c r="J4" i="1"/>
  <c r="M3" i="1"/>
  <c r="L3" i="1"/>
  <c r="K3" i="1"/>
  <c r="J3" i="1"/>
  <c r="M2" i="1"/>
  <c r="L2" i="1"/>
  <c r="K2" i="1"/>
  <c r="J2" i="1"/>
  <c r="F4" i="3" l="1"/>
  <c r="E6" i="3"/>
  <c r="D8" i="3"/>
  <c r="E10" i="3"/>
  <c r="D12" i="3"/>
  <c r="E14" i="3"/>
  <c r="D2" i="4"/>
  <c r="E4" i="4"/>
  <c r="D6" i="4"/>
  <c r="E8" i="4"/>
  <c r="D10" i="4"/>
  <c r="E12" i="4"/>
  <c r="D14" i="4"/>
  <c r="E16" i="4"/>
  <c r="D18" i="4"/>
  <c r="E20" i="4"/>
  <c r="D22" i="4"/>
  <c r="E24" i="4"/>
  <c r="D26" i="4"/>
  <c r="F2" i="5"/>
  <c r="E4" i="5"/>
  <c r="F6" i="5"/>
  <c r="E8" i="5"/>
  <c r="E12" i="5"/>
  <c r="F2" i="3"/>
  <c r="D7" i="3"/>
  <c r="F7" i="3"/>
  <c r="D11" i="3"/>
  <c r="F11" i="3"/>
  <c r="D15" i="3"/>
  <c r="F15" i="3"/>
  <c r="D5" i="4"/>
  <c r="F5" i="4"/>
  <c r="D9" i="4"/>
  <c r="F9" i="4"/>
  <c r="D13" i="4"/>
  <c r="F13" i="4"/>
  <c r="D17" i="4"/>
  <c r="F17" i="4"/>
  <c r="D21" i="4"/>
  <c r="F21" i="4"/>
  <c r="D25" i="4"/>
  <c r="F25" i="4"/>
  <c r="E3" i="5"/>
  <c r="G3" i="5"/>
  <c r="E7" i="5"/>
  <c r="G7" i="5"/>
  <c r="E11" i="5"/>
  <c r="G11" i="5"/>
  <c r="E15" i="5"/>
  <c r="G15" i="5"/>
  <c r="E19" i="5"/>
  <c r="G19" i="5"/>
  <c r="E23" i="5"/>
  <c r="G23" i="5"/>
  <c r="E27" i="5"/>
  <c r="G27" i="5"/>
  <c r="E31" i="5"/>
  <c r="G31" i="5"/>
  <c r="E2" i="3"/>
  <c r="G5" i="3"/>
  <c r="E5" i="3"/>
  <c r="G9" i="3"/>
  <c r="E9" i="3"/>
  <c r="G13" i="3"/>
  <c r="E13" i="3"/>
  <c r="G3" i="4"/>
  <c r="E3" i="4"/>
  <c r="G7" i="4"/>
  <c r="E7" i="4"/>
  <c r="G11" i="4"/>
  <c r="E11" i="4"/>
  <c r="G15" i="4"/>
  <c r="E15" i="4"/>
  <c r="G19" i="4"/>
  <c r="E19" i="4"/>
  <c r="G23" i="4"/>
  <c r="E23" i="4"/>
  <c r="G27" i="4"/>
  <c r="E27" i="4"/>
  <c r="H5" i="5"/>
  <c r="F5" i="5"/>
  <c r="H9" i="5"/>
  <c r="F9" i="5"/>
  <c r="H13" i="5"/>
  <c r="F13" i="5"/>
  <c r="G35" i="5"/>
  <c r="F34" i="5"/>
  <c r="H35" i="5"/>
  <c r="F17" i="5"/>
  <c r="F21" i="5"/>
  <c r="F25" i="5"/>
  <c r="F29" i="5"/>
  <c r="F33" i="5"/>
  <c r="E36" i="5"/>
  <c r="F36" i="5"/>
</calcChain>
</file>

<file path=xl/sharedStrings.xml><?xml version="1.0" encoding="utf-8"?>
<sst xmlns="http://schemas.openxmlformats.org/spreadsheetml/2006/main" count="843" uniqueCount="182">
  <si>
    <t>Année</t>
  </si>
  <si>
    <t>Type de minerai</t>
  </si>
  <si>
    <t>Société</t>
  </si>
  <si>
    <t>Projet</t>
  </si>
  <si>
    <t>Pays destinataire</t>
  </si>
  <si>
    <t>Unité</t>
  </si>
  <si>
    <t>Poids/Volume</t>
  </si>
  <si>
    <t>Valeur (FCFA)</t>
  </si>
  <si>
    <t>Valeur (USD)</t>
  </si>
  <si>
    <t>Prix unitaire (USD)</t>
  </si>
  <si>
    <t>Unité du prix (USD)</t>
  </si>
  <si>
    <t>Prix unitaire (FCFA)</t>
  </si>
  <si>
    <t>Unité du prix (FCFA)</t>
  </si>
  <si>
    <t>Or</t>
  </si>
  <si>
    <t>SGO</t>
  </si>
  <si>
    <t>Sabodala</t>
  </si>
  <si>
    <t>Suisse</t>
  </si>
  <si>
    <t>Onces</t>
  </si>
  <si>
    <t>PMC</t>
  </si>
  <si>
    <t>Mako</t>
  </si>
  <si>
    <t>Australie</t>
  </si>
  <si>
    <t>Sénégal</t>
  </si>
  <si>
    <t>Acide Phosphorique</t>
  </si>
  <si>
    <t>ICS</t>
  </si>
  <si>
    <t>Tobène</t>
  </si>
  <si>
    <t>Inde</t>
  </si>
  <si>
    <t>MT</t>
  </si>
  <si>
    <t>Émirats Arabes Unis</t>
  </si>
  <si>
    <t>Ciment</t>
  </si>
  <si>
    <t>CDS</t>
  </si>
  <si>
    <t>NC</t>
  </si>
  <si>
    <t>Mali</t>
  </si>
  <si>
    <t>Tonnes</t>
  </si>
  <si>
    <t>Gambie</t>
  </si>
  <si>
    <t>DANGOTE</t>
  </si>
  <si>
    <t>Pout</t>
  </si>
  <si>
    <t>SOCOCIM</t>
  </si>
  <si>
    <t>Bargny</t>
  </si>
  <si>
    <t>Mauritanie</t>
  </si>
  <si>
    <t>Guinée-Bissau</t>
  </si>
  <si>
    <t>Guinée</t>
  </si>
  <si>
    <t>Ilmenite 54</t>
  </si>
  <si>
    <t>GCO</t>
  </si>
  <si>
    <t>Diogo</t>
  </si>
  <si>
    <t>France</t>
  </si>
  <si>
    <t>Phosphate</t>
  </si>
  <si>
    <t>SOMIVA</t>
  </si>
  <si>
    <t>Phosphates de Matam à Ndendoury</t>
  </si>
  <si>
    <t>SEPHOS</t>
  </si>
  <si>
    <t>Lam Lam</t>
  </si>
  <si>
    <t>BMCC</t>
  </si>
  <si>
    <t>Lituanie</t>
  </si>
  <si>
    <t>Ghana</t>
  </si>
  <si>
    <t>El Salvador</t>
  </si>
  <si>
    <t>Zircon Premium</t>
  </si>
  <si>
    <t>Zircon Standard</t>
  </si>
  <si>
    <t>Ilmenite 58</t>
  </si>
  <si>
    <t>NPK</t>
  </si>
  <si>
    <t>Attapulgite</t>
  </si>
  <si>
    <t>SSPT</t>
  </si>
  <si>
    <t>Allou Kagne</t>
  </si>
  <si>
    <t>Royaume-Uni</t>
  </si>
  <si>
    <t>Pays-Bas</t>
  </si>
  <si>
    <t>Leucoxene</t>
  </si>
  <si>
    <t>Rutile</t>
  </si>
  <si>
    <t>MEDIUM GRADE ZIRCON SAND</t>
  </si>
  <si>
    <t>Basalte</t>
  </si>
  <si>
    <t>COGECA</t>
  </si>
  <si>
    <t>TALIX</t>
  </si>
  <si>
    <t>Diack</t>
  </si>
  <si>
    <t>GECAMINE</t>
  </si>
  <si>
    <t>Ilmenite 56</t>
  </si>
  <si>
    <t>Argent</t>
  </si>
  <si>
    <t>DSP</t>
  </si>
  <si>
    <t>Clinker</t>
  </si>
  <si>
    <t>Gypse</t>
  </si>
  <si>
    <t>Burkina Faso</t>
  </si>
  <si>
    <t>Rock Phosphate</t>
  </si>
  <si>
    <t>Dubaï</t>
  </si>
  <si>
    <t>Zone UEMOA</t>
  </si>
  <si>
    <t>Zone hors UEMOA</t>
  </si>
  <si>
    <t>Cap-Vert</t>
  </si>
  <si>
    <t>Phosphate de chaux naturel</t>
  </si>
  <si>
    <t>Matam à Ndendoury</t>
  </si>
  <si>
    <t>Indonésie</t>
  </si>
  <si>
    <t>Brésil</t>
  </si>
  <si>
    <t>Espagne</t>
  </si>
  <si>
    <t>Italie</t>
  </si>
  <si>
    <t>Phosphate Mono Ammonique</t>
  </si>
  <si>
    <t>États-Unis</t>
  </si>
  <si>
    <t>NPK - Sac 50Kg</t>
  </si>
  <si>
    <t>Zircon Medium</t>
  </si>
  <si>
    <t>DAP - Sac 50Kg</t>
  </si>
  <si>
    <t>DSP - Sac 50 Kg</t>
  </si>
  <si>
    <t>Date</t>
  </si>
  <si>
    <t>N° de facture</t>
  </si>
  <si>
    <t>Volumes vendus (barils)</t>
  </si>
  <si>
    <t>Prix de vente officiel (USD/baril)</t>
  </si>
  <si>
    <t>Revenus perçus (USD)</t>
  </si>
  <si>
    <t>Part État - Volume</t>
  </si>
  <si>
    <t>Part État - Valeur USD</t>
  </si>
  <si>
    <t>Part PETROSEN - Volume</t>
  </si>
  <si>
    <t>Part PETROSEN - Valeur USD</t>
  </si>
  <si>
    <t>Destination</t>
  </si>
  <si>
    <t>12/07/2024</t>
  </si>
  <si>
    <t>INV-SAN2024.01</t>
  </si>
  <si>
    <t>24/07/2024</t>
  </si>
  <si>
    <t>INV-SAN2024.02</t>
  </si>
  <si>
    <t>04/08/2024</t>
  </si>
  <si>
    <t>INV-SAN2024.03</t>
  </si>
  <si>
    <t>Chine</t>
  </si>
  <si>
    <t>22/08/2024</t>
  </si>
  <si>
    <t>INV-SAN2024.04</t>
  </si>
  <si>
    <t>30/08/2024</t>
  </si>
  <si>
    <t>INV-SAN2024.05-P</t>
  </si>
  <si>
    <t>08/09/2024</t>
  </si>
  <si>
    <t>INV-SAN2024.06</t>
  </si>
  <si>
    <t>18/09/2024</t>
  </si>
  <si>
    <t>INV-SAN2024.07</t>
  </si>
  <si>
    <t>28/09/2024</t>
  </si>
  <si>
    <t>INV-SAN2024.08</t>
  </si>
  <si>
    <t>08/10/2024</t>
  </si>
  <si>
    <t>INV-SAN2024.09</t>
  </si>
  <si>
    <t>18/10/2024</t>
  </si>
  <si>
    <t>INV-SAN2024.10</t>
  </si>
  <si>
    <t>30/10/2024</t>
  </si>
  <si>
    <t>INV-SAN2024.11</t>
  </si>
  <si>
    <t>09/11/2024</t>
  </si>
  <si>
    <t>INV-SAN2024.12</t>
  </si>
  <si>
    <t>18/11/2024</t>
  </si>
  <si>
    <t>INV-SAN2024.13A</t>
  </si>
  <si>
    <t>19/11/2024</t>
  </si>
  <si>
    <t>INV-SAN2024.13B</t>
  </si>
  <si>
    <t>29/11/2024</t>
  </si>
  <si>
    <t>INV-SAN2024.14-P</t>
  </si>
  <si>
    <t>09/12/2024</t>
  </si>
  <si>
    <t>INV-SAN2024.15-P</t>
  </si>
  <si>
    <t>Volume 2023</t>
  </si>
  <si>
    <t>Volume 2024</t>
  </si>
  <si>
    <t>Prix moyen pondéré USD 2023</t>
  </si>
  <si>
    <t>Prix moyen pondéré USD 2024</t>
  </si>
  <si>
    <t>Prix moyen pondéré FCFA 2023</t>
  </si>
  <si>
    <t>Prix moyen pondéré FCFA 2024</t>
  </si>
  <si>
    <t>Notes méthodologiques et faits saillants - Exportations du secteur extractif du Sénégal (2023-2024)</t>
  </si>
  <si>
    <t>Sources</t>
  </si>
  <si>
    <t>• Rapport ITIE Sénégal 2023, Groupement CECA/EnerTeam - Tableau 19 : Détail des exportations des entreprises en 2023 (page 99-100).</t>
  </si>
  <si>
    <t>• Rapport ITIE Sénégal 2024, Groupement CECA/EnerTeam - Tableau 26 : Détail des exportations désagrégé par substances tels que reportés par les entreprises extractives en 2024 (page 140-142).</t>
  </si>
  <si>
    <t>• Rapport ITIE Sénégal 2024, Groupement CECA/EnerTeam - Tableau 33 : Détail des exportations du secteur des hydrocarbures (source PETROSEN).</t>
  </si>
  <si>
    <t>Taux de change utilisés</t>
  </si>
  <si>
    <t>• 2023 : 1 USD = 604,326 FCFA (cours moyen BCEAO 2023).</t>
  </si>
  <si>
    <t>• 2024 : 1 USD = 606,3477 FCFA (cours moyen BCEAO 2024).</t>
  </si>
  <si>
    <t>• Dans le rapport 2024, les valeurs en USD non communiquées directement par les entreprises (présentées en rouge et en gras dans le rapport original) ont été calculées à partir du taux de change moyen ci-dessus.</t>
  </si>
  <si>
    <t>Totaux généraux</t>
  </si>
  <si>
    <t>• 2023 : 1 110 731 430 063 FCFA / 1 837 968 066 USD.</t>
  </si>
  <si>
    <t>• 2024 : 1 138 257 002 632 FCFA / 1 882 986 434 USD.</t>
  </si>
  <si>
    <t>Faits saillants 2023</t>
  </si>
  <si>
    <t>• L'or occupe la première place des exportations du secteur extractif avec 44,28% du total, soit 491,88 milliards FCFA.</t>
  </si>
  <si>
    <t>• L'acide phosphorique suit avec 27,08% des exportations, pour un montant de 300,73 milliards FCFA.</t>
  </si>
  <si>
    <t>• La Suisse est le principal pays destinataire des exportations (31,02% du volume), portée notamment par l'or (288 697 onces, 344,27 milliards FCFA) et l'argent (21 822 onces, 0,308 milliard FCFA).</t>
  </si>
  <si>
    <t>• L'Inde arrive en deuxième position (27,21% du volume), tirée par l'acide phosphorique (484 798 tonnes, 286,20 milliards FCFA).</t>
  </si>
  <si>
    <t>• Les exportations vers le Sénégal correspondent à des ventes locales, non à des exportations internationales.</t>
  </si>
  <si>
    <t>Faits saillants - Hydrocarbures 2024 (Tableau 33, PETROSEN)</t>
  </si>
  <si>
    <t>• 16 cargaisons de pétrole brut vendues en 2024 pour un total de 14 226 573 barils, générant 1 061 401 339 USD de revenus perçus.</t>
  </si>
  <si>
    <t>• Répartition des revenus : Part État = 49 057 049 USD (671 928 barils) ; Part PETROSEN = 197 554 670 USD (2 654 751 barils).</t>
  </si>
  <si>
    <t>• La Chine est la destination la plus fréquente (10 cargaisons sur 16), suivie de l'Italie (3), avec un envoi chacun vers les Pays-Bas, l'Espagne et les États-Unis.</t>
  </si>
  <si>
    <t>• Selon la note du rapport sur les termes clés de la commercialisation du brut du projet Woodside (publiée par PETROSEN), la valeur par baril correspond à la valeur nette lors de la vente de la cargaison finale levée - reflétant la valeur du pétrole brut chargé au terminal, hors coûts de transport, assurances, charges, taxes ou pénalités liés au retrait au terminal. Le prix de vente est le prix du marché international.</t>
  </si>
  <si>
    <t>Faits saillants 2024</t>
  </si>
  <si>
    <t>• L'or reste le premier produit d'exportation avec 48,06% du total, soit 501,95 milliards FCFA (343 042 onces).</t>
  </si>
  <si>
    <t>• L'acide phosphorique suit avec 27,53% des exportations, pour un montant de 287,52 milliards FCFA (483 394 tonnes).</t>
  </si>
  <si>
    <t>• Les principales destinations de l'or en 2024 sont l'Australie (PMC-Mako), Dubaï et la Suisse (SGO-Sabodala).</t>
  </si>
  <si>
    <t>Remarques sur la construction de la base de données</t>
  </si>
  <si>
    <t>• Les feuilles « Prix par Société », « Prix par Substance » et « Prix par Société et Substance » présentent, pour chaque opérateur, chaque type de minerai (ou chaque combinaison des deux), le volume total et le prix moyen pondéré (USD et FCFA) par année, calculés par formules (Valeur totale / Volume total) à partir de la feuille « Exportations Minières 23-24 » ; elles affichent « NC » lorsque le volume total est nul ou non communiqué. Chaque opérateur et chaque substance utilisant une seule et même unité de mesure dans la base, ce prix moyen est directement comparable d'une année sur l'autre.</t>
  </si>
  <si>
    <t>• La société « Sococim » (graphie utilisée dans le rapport 2023) a été harmonisée en « SOCOCIM » (majuscules), conformément à la graphie du rapport 2024 et à la convention adoptée pour tous les autres opérateurs de la base (SGO, PMC, ICS, CDS, DANGOTE, GCO, SOMIVA, SEPHOS, BMCC, SSPT, COGECA, TALIX, GECAMINE), afin d'éviter un doublon dans la feuille « Prix par Société ».</t>
  </si>
  <si>
    <t>• Les colonnes « Prix unitaire (USD) » et « Prix unitaire (FCFA) » de la feuille « Exportations Minières 23-24 » sont calculées par formule (Valeur / Poids-Volume) et ne sont pas des données brutes des rapports sources ; elles affichent « NC » lorsque le poids/volume n'est pas communiqué. Les colonnes « Unité du prix (USD) » et « Unité du prix (FCFA) » précisent l'unité correspondante (ex. « USD/Onces », « FCFA/Tonnes ») pour chaque ligne.</t>
  </si>
  <si>
    <t>• La feuille « Exportations Minières 23-24 » consolide, ligne par ligne, chaque flux d'exportation (minerai / société / projet / pays destinataire) des deux rapports ITIE, avec une colonne « Année » permettant l'analyse en série temporelle.</t>
  </si>
  <si>
    <t>• Les libellés de type de minerai (ex. « ILMENITE 54 » / « Ilmenite 54 », « RUTILE » / « Rutile », « Attapulgite » / « Attapuglite ») ainsi que la graphie des sociétés et projets ont été harmonisés entre 2023 et 2024, sans modifier aucune valeur chiffrée d'origine.</t>
  </si>
  <si>
    <t>• Les noms de pays destinataires ont été harmonisés en français et en casse standard dans toute la base (ex. « SWITZERLAND »/« SUISSE » -&gt; « Suisse » ; « GAMBIA »/« GAMBIE » -&gt; « Gambie » ; « GUINEA-BISSAU »/« GUINEE BISSAU » -&gt; « Guinée-Bissau » ; « UNITED STATES OF AMERICA »/« United States » -&gt; « États-Unis » ; « UNITED ARAB EMIRATES » -&gt; « Émirats Arabes Unis » ; « ANGLETERRE »/« United Kingdom » -&gt; « Royaume-Uni » ; « NETHERLANDS »/« PAYS-BAS » -&gt; « Pays-Bas » ; « SPAIN » -&gt; « Espagne » ; « ITALY » -&gt; « Italie » ; « INDIA »/« INDE » -&gt; « Inde »), sans modifier aucune valeur chiffrée d'origine.</t>
  </si>
  <si>
    <t>• L'unité « TONNE » (en majuscules, singulier, dans certaines lignes du rapport 2023) a été harmonisée en « Tonnes » (pluriel) dans toute la base ; l'abréviation « MT » (tonne métrique), utilisée telle quelle dans les rapports sources pour l'acide phosphorique, le NPK, le DSP, le DAP, le gypse et le phosphate mono-ammonique, a été conservée sans modification.</t>
  </si>
  <si>
    <t>• L'unité « Once » (singulier, utilisée ponctuellement pour PMC-Mako en 2023) a été harmonisée en « Onces » (pluriel), utilisé partout ailleurs dans la base pour l'or et l'argent.</t>
  </si>
  <si>
    <t>• « NC » signifie « Non communiquée », conformément aux rapports originaux.</t>
  </si>
  <si>
    <t>• Le secteur des hydrocarbures (Tableau 33) a une structure différente (cargaisons, prix par baril, répartition État/PETROSEN) et figure donc dans une feuille séparée « Exportations Hydrocarbures 24 » plutôt que dans la feuille « Exportations Minières 23-24 » du secteur minier.</t>
  </si>
  <si>
    <t>• Pour l'acide phosphorique en 2023, deux lignes SOMIVA vers la Suisse figurent telles quelles dans le rapport source (probablement deux cargaisons distinctes) ; elles ont été conservées séparément.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</si>
</sst>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C]#,##0"/>
    <numFmt numFmtId="165" formatCode="[$-40C]#,##0.00"/>
    <numFmt numFmtId="166" formatCode="[$-40C]0.00"/>
  </numFmts>
  <fonts count="8" x14ac:knownFonts="1">
    <font>
      <sz val="11"/>
      <color theme="1"/>
      <name val="Calibri"/>
      <family val="2"/>
      <charset val="1"/>
    </font>
    <font>
      <sz val="10"/>
      <name val="Arial"/>
      <family val="2"/>
    </font>
    <font>
      <b/>
      <sz val="11"/>
      <color rgb="FF000000"/>
      <name val="Arial"/>
      <family val="2"/>
    </font>
    <font>
      <sz val="10"/>
      <name val="Arial"/>
      <family val="2"/>
    </font>
    <font>
      <b/>
      <sz val="13"/>
      <color rgb="FF1F4E78"/>
      <name val="Arial"/>
      <family val="2"/>
    </font>
    <font>
      <b/>
      <sz val="11"/>
      <color rgb="FF1F4E78"/>
      <name val="Arial"/>
      <family val="2"/>
    </font>
    <font>
      <sz val="9"/>
      <color rgb="FF000000"/>
      <name val="Arial"/>
      <family val="2"/>
    </font>
    <font>
      <sz val="9"/>
      <name val="Arial"/>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3">
    <xf numFmtId="0" fontId="0" fillId="0" borderId="0" xfId="0"/>
    <xf numFmtId="0" fontId="2" fillId="0" borderId="1" xfId="0" applyFont="1" applyBorder="1" applyAlignment="1">
      <alignment horizontal="center" vertical="center" wrapText="1"/>
    </xf>
    <xf numFmtId="0" fontId="3" fillId="0" borderId="1" xfId="0" applyFont="1" applyBorder="1"/>
    <xf numFmtId="164" fontId="3" fillId="0" borderId="1" xfId="0" applyNumberFormat="1" applyFont="1" applyBorder="1"/>
    <xf numFmtId="165" fontId="3" fillId="0" borderId="1" xfId="0" applyNumberFormat="1" applyFont="1" applyBorder="1"/>
    <xf numFmtId="166" fontId="3" fillId="0" borderId="1" xfId="0" applyNumberFormat="1" applyFont="1" applyBorder="1"/>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1" fillId="0" borderId="1" xfId="0" applyFont="1" applyBorder="1"/>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2" xfId="0" applyFont="1" applyBorder="1"/>
    <xf numFmtId="0" fontId="7" fillId="0" borderId="1" xfId="0" applyFont="1" applyBorder="1"/>
    <xf numFmtId="164" fontId="7" fillId="0" borderId="1" xfId="0" applyNumberFormat="1" applyFont="1" applyBorder="1"/>
    <xf numFmtId="165" fontId="7" fillId="0" borderId="1" xfId="0" applyNumberFormat="1" applyFont="1" applyBorder="1"/>
    <xf numFmtId="0" fontId="7" fillId="0" borderId="3" xfId="0" applyFont="1" applyBorder="1"/>
    <xf numFmtId="0" fontId="7" fillId="0" borderId="7" xfId="0" applyFont="1" applyBorder="1"/>
    <xf numFmtId="0" fontId="7" fillId="0" borderId="8" xfId="0" applyFont="1" applyBorder="1"/>
    <xf numFmtId="164" fontId="7" fillId="0" borderId="8" xfId="0" applyNumberFormat="1" applyFont="1" applyBorder="1"/>
    <xf numFmtId="165" fontId="7" fillId="0" borderId="8" xfId="0" applyNumberFormat="1" applyFont="1" applyBorder="1"/>
    <xf numFmtId="0" fontId="7" fillId="0" borderId="9" xfId="0" applyFont="1" applyBorder="1"/>
  </cellXfs>
  <cellStyles count="1">
    <cellStyle name="Normal" xfId="0" builtinId="0"/>
  </cellStyles>
  <dxfs count="18">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9"/>
        <color auto="1"/>
        <name val="Arial"/>
        <family val="2"/>
        <scheme val="none"/>
      </font>
      <numFmt numFmtId="165" formatCode="[$-40C]#,##0.0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numFmt numFmtId="165" formatCode="[$-40C]#,##0.0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numFmt numFmtId="164" formatCode="[$-40C]#,##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numFmt numFmtId="164" formatCode="[$-40C]#,##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numFmt numFmtId="164" formatCode="[$-40C]#,##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family val="2"/>
        <scheme val="none"/>
      </font>
      <border diagonalUp="0" diagonalDown="0" outline="0">
        <left/>
        <right style="thin">
          <color auto="1"/>
        </right>
        <top style="thin">
          <color auto="1"/>
        </top>
        <bottom style="thin">
          <color auto="1"/>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4AF81-6493-4E06-8571-51CCE2181061}" name="Tableau1" displayName="Tableau1" ref="A1:M105" totalsRowShown="0" headerRowDxfId="1" dataDxfId="0" headerRowBorderDxfId="16" tableBorderDxfId="17" totalsRowBorderDxfId="15">
  <autoFilter ref="A1:M105" xr:uid="{00000000-0009-0000-0000-000000000000}"/>
  <tableColumns count="13">
    <tableColumn id="1" xr3:uid="{2716CE20-4F66-4235-B369-5C1C8E9D0BD7}" name="Année" dataDxfId="14"/>
    <tableColumn id="2" xr3:uid="{35E97A1E-5673-42C3-A516-3023245C319B}" name="Type de minerai" dataDxfId="13"/>
    <tableColumn id="3" xr3:uid="{F3E585C1-D64A-4D0E-AF32-AD495C7737C2}" name="Société" dataDxfId="12"/>
    <tableColumn id="4" xr3:uid="{A9F37134-ED0F-4856-BE1F-F3A18B953222}" name="Projet" dataDxfId="11"/>
    <tableColumn id="5" xr3:uid="{5FC9955D-44FC-43D4-AB22-ED44659D60F8}" name="Pays destinataire" dataDxfId="10"/>
    <tableColumn id="6" xr3:uid="{9404CCEA-0FBD-4157-8085-5EFE178EE449}" name="Unité" dataDxfId="9"/>
    <tableColumn id="7" xr3:uid="{9FF5CF9B-EAAA-4524-B656-036F228DB480}" name="Poids/Volume" dataDxfId="8"/>
    <tableColumn id="8" xr3:uid="{84D72F55-C43E-43A4-BC16-5517A3A251AD}" name="Valeur (FCFA)" dataDxfId="7"/>
    <tableColumn id="9" xr3:uid="{225FC125-14CE-421E-9ADA-3AF2D78328A9}" name="Valeur (USD)" dataDxfId="6"/>
    <tableColumn id="10" xr3:uid="{84C11EC2-9D0F-4C4E-A920-348C33D716BA}" name="Prix unitaire (USD)" dataDxfId="5">
      <calculatedColumnFormula>IFERROR(I2/G2,"NC")</calculatedColumnFormula>
    </tableColumn>
    <tableColumn id="11" xr3:uid="{495934FA-D1D5-42EF-90CF-8F4AEE3FCE27}" name="Unité du prix (USD)" dataDxfId="4">
      <calculatedColumnFormula>IF(J2="NC","NC","USD/"&amp;F2)</calculatedColumnFormula>
    </tableColumn>
    <tableColumn id="12" xr3:uid="{61F5968C-4637-4A54-B7B4-B5206AC22235}" name="Prix unitaire (FCFA)" dataDxfId="3">
      <calculatedColumnFormula>IFERROR(H2/G2,"NC")</calculatedColumnFormula>
    </tableColumn>
    <tableColumn id="13" xr3:uid="{60658DAF-ED2D-48AA-8720-A057438020EE}" name="Unité du prix (FCFA)" dataDxfId="2">
      <calculatedColumnFormula>IF(L2="NC","NC","FCFA/"&amp;F2)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5"/>
  <sheetViews>
    <sheetView tabSelected="1" topLeftCell="E1" zoomScaleNormal="100" workbookViewId="0">
      <pane ySplit="1" topLeftCell="A83" activePane="bottomLeft" state="frozen"/>
      <selection pane="bottomLeft" activeCell="G93" sqref="G93"/>
    </sheetView>
  </sheetViews>
  <sheetFormatPr baseColWidth="10" defaultColWidth="8.6328125" defaultRowHeight="14.5" x14ac:dyDescent="0.35"/>
  <cols>
    <col min="1" max="1" width="8.7265625" customWidth="1"/>
    <col min="2" max="2" width="26" customWidth="1"/>
    <col min="3" max="3" width="12" customWidth="1"/>
    <col min="4" max="4" width="30" customWidth="1"/>
    <col min="5" max="5" width="22" customWidth="1"/>
    <col min="6" max="6" width="8" customWidth="1"/>
    <col min="7" max="7" width="15.6328125" customWidth="1"/>
    <col min="8" max="8" width="18" customWidth="1"/>
    <col min="9" max="9" width="16" customWidth="1"/>
    <col min="10" max="10" width="19.90625" customWidth="1"/>
    <col min="11" max="11" width="20.6328125" customWidth="1"/>
    <col min="12" max="12" width="20.81640625" customWidth="1"/>
    <col min="13" max="13" width="21.54296875" customWidth="1"/>
  </cols>
  <sheetData>
    <row r="1" spans="1:13" x14ac:dyDescent="0.35">
      <c r="A1" s="10" t="s">
        <v>0</v>
      </c>
      <c r="B1" s="11" t="s">
        <v>1</v>
      </c>
      <c r="C1" s="11" t="s">
        <v>2</v>
      </c>
      <c r="D1" s="11" t="s">
        <v>3</v>
      </c>
      <c r="E1" s="11" t="s">
        <v>4</v>
      </c>
      <c r="F1" s="11" t="s">
        <v>5</v>
      </c>
      <c r="G1" s="11" t="s">
        <v>6</v>
      </c>
      <c r="H1" s="11" t="s">
        <v>7</v>
      </c>
      <c r="I1" s="11" t="s">
        <v>8</v>
      </c>
      <c r="J1" s="11" t="s">
        <v>9</v>
      </c>
      <c r="K1" s="11" t="s">
        <v>10</v>
      </c>
      <c r="L1" s="11" t="s">
        <v>11</v>
      </c>
      <c r="M1" s="12" t="s">
        <v>12</v>
      </c>
    </row>
    <row r="2" spans="1:13" x14ac:dyDescent="0.35">
      <c r="A2" s="13">
        <v>2023</v>
      </c>
      <c r="B2" s="14" t="s">
        <v>13</v>
      </c>
      <c r="C2" s="14" t="s">
        <v>14</v>
      </c>
      <c r="D2" s="14" t="s">
        <v>15</v>
      </c>
      <c r="E2" s="14" t="s">
        <v>16</v>
      </c>
      <c r="F2" s="14" t="s">
        <v>17</v>
      </c>
      <c r="G2" s="15">
        <v>288697</v>
      </c>
      <c r="H2" s="15">
        <v>344273384269</v>
      </c>
      <c r="I2" s="15">
        <v>569681805</v>
      </c>
      <c r="J2" s="16">
        <f t="shared" ref="J2:J33" si="0">IFERROR(I2/G2,"NC")</f>
        <v>1973.2861962542042</v>
      </c>
      <c r="K2" s="14" t="str">
        <f t="shared" ref="K2:K33" si="1">IF(J2="NC","NC","USD/"&amp;F2)</f>
        <v>USD/Onces</v>
      </c>
      <c r="L2" s="16">
        <f t="shared" ref="L2:L33" si="2">IFERROR(H2/G2,"NC")</f>
        <v>1192507.6612122746</v>
      </c>
      <c r="M2" s="17" t="str">
        <f t="shared" ref="M2:M33" si="3">IF(L2="NC","NC","FCFA/"&amp;F2)</f>
        <v>FCFA/Onces</v>
      </c>
    </row>
    <row r="3" spans="1:13" x14ac:dyDescent="0.35">
      <c r="A3" s="13">
        <v>2023</v>
      </c>
      <c r="B3" s="14" t="s">
        <v>13</v>
      </c>
      <c r="C3" s="14" t="s">
        <v>18</v>
      </c>
      <c r="D3" s="14" t="s">
        <v>19</v>
      </c>
      <c r="E3" s="14" t="s">
        <v>20</v>
      </c>
      <c r="F3" s="14" t="s">
        <v>17</v>
      </c>
      <c r="G3" s="15">
        <v>119950</v>
      </c>
      <c r="H3" s="15">
        <v>138107655558</v>
      </c>
      <c r="I3" s="15">
        <v>228531807</v>
      </c>
      <c r="J3" s="16">
        <f t="shared" si="0"/>
        <v>1905.2255689870778</v>
      </c>
      <c r="K3" s="14" t="str">
        <f t="shared" si="1"/>
        <v>USD/Onces</v>
      </c>
      <c r="L3" s="16">
        <f t="shared" si="2"/>
        <v>1151376.8700125052</v>
      </c>
      <c r="M3" s="17" t="str">
        <f t="shared" si="3"/>
        <v>FCFA/Onces</v>
      </c>
    </row>
    <row r="4" spans="1:13" x14ac:dyDescent="0.35">
      <c r="A4" s="13">
        <v>2023</v>
      </c>
      <c r="B4" s="14" t="s">
        <v>13</v>
      </c>
      <c r="C4" s="14" t="s">
        <v>14</v>
      </c>
      <c r="D4" s="14" t="s">
        <v>15</v>
      </c>
      <c r="E4" s="14" t="s">
        <v>21</v>
      </c>
      <c r="F4" s="14" t="s">
        <v>17</v>
      </c>
      <c r="G4" s="15">
        <v>8000</v>
      </c>
      <c r="H4" s="15">
        <v>9494006760</v>
      </c>
      <c r="I4" s="15">
        <v>15710081</v>
      </c>
      <c r="J4" s="16">
        <f t="shared" si="0"/>
        <v>1963.760125</v>
      </c>
      <c r="K4" s="14" t="str">
        <f t="shared" si="1"/>
        <v>USD/Onces</v>
      </c>
      <c r="L4" s="16">
        <f t="shared" si="2"/>
        <v>1186750.845</v>
      </c>
      <c r="M4" s="17" t="str">
        <f t="shared" si="3"/>
        <v>FCFA/Onces</v>
      </c>
    </row>
    <row r="5" spans="1:13" x14ac:dyDescent="0.35">
      <c r="A5" s="13">
        <v>2023</v>
      </c>
      <c r="B5" s="14" t="s">
        <v>22</v>
      </c>
      <c r="C5" s="14" t="s">
        <v>23</v>
      </c>
      <c r="D5" s="14" t="s">
        <v>24</v>
      </c>
      <c r="E5" s="14" t="s">
        <v>25</v>
      </c>
      <c r="F5" s="14" t="s">
        <v>26</v>
      </c>
      <c r="G5" s="15">
        <v>484798</v>
      </c>
      <c r="H5" s="15">
        <v>286195769501</v>
      </c>
      <c r="I5" s="15">
        <v>473578644</v>
      </c>
      <c r="J5" s="16">
        <f t="shared" si="0"/>
        <v>976.85766855473821</v>
      </c>
      <c r="K5" s="14" t="str">
        <f t="shared" si="1"/>
        <v>USD/MT</v>
      </c>
      <c r="L5" s="16">
        <f t="shared" si="2"/>
        <v>590340.24377369543</v>
      </c>
      <c r="M5" s="17" t="str">
        <f t="shared" si="3"/>
        <v>FCFA/MT</v>
      </c>
    </row>
    <row r="6" spans="1:13" x14ac:dyDescent="0.35">
      <c r="A6" s="13">
        <v>2023</v>
      </c>
      <c r="B6" s="14" t="s">
        <v>22</v>
      </c>
      <c r="C6" s="14" t="s">
        <v>23</v>
      </c>
      <c r="D6" s="14" t="s">
        <v>24</v>
      </c>
      <c r="E6" s="14" t="s">
        <v>27</v>
      </c>
      <c r="F6" s="14" t="s">
        <v>26</v>
      </c>
      <c r="G6" s="15">
        <v>14376</v>
      </c>
      <c r="H6" s="15">
        <v>8684769776</v>
      </c>
      <c r="I6" s="15">
        <v>14371007</v>
      </c>
      <c r="J6" s="16">
        <f t="shared" si="0"/>
        <v>999.65268503060656</v>
      </c>
      <c r="K6" s="14" t="str">
        <f t="shared" si="1"/>
        <v>USD/MT</v>
      </c>
      <c r="L6" s="16">
        <f t="shared" si="2"/>
        <v>604115.87200890377</v>
      </c>
      <c r="M6" s="17" t="str">
        <f t="shared" si="3"/>
        <v>FCFA/MT</v>
      </c>
    </row>
    <row r="7" spans="1:13" x14ac:dyDescent="0.35">
      <c r="A7" s="13">
        <v>2023</v>
      </c>
      <c r="B7" s="14" t="s">
        <v>22</v>
      </c>
      <c r="C7" s="14" t="s">
        <v>23</v>
      </c>
      <c r="D7" s="14" t="s">
        <v>24</v>
      </c>
      <c r="E7" s="14" t="s">
        <v>16</v>
      </c>
      <c r="F7" s="14" t="s">
        <v>26</v>
      </c>
      <c r="G7" s="15">
        <v>9504</v>
      </c>
      <c r="H7" s="15">
        <v>5852241986</v>
      </c>
      <c r="I7" s="15">
        <v>9683920</v>
      </c>
      <c r="J7" s="16">
        <f t="shared" si="0"/>
        <v>1018.9309764309764</v>
      </c>
      <c r="K7" s="14" t="str">
        <f t="shared" si="1"/>
        <v>USD/MT</v>
      </c>
      <c r="L7" s="16">
        <f t="shared" si="2"/>
        <v>615766.20223063976</v>
      </c>
      <c r="M7" s="17" t="str">
        <f t="shared" si="3"/>
        <v>FCFA/MT</v>
      </c>
    </row>
    <row r="8" spans="1:13" x14ac:dyDescent="0.35">
      <c r="A8" s="13">
        <v>2023</v>
      </c>
      <c r="B8" s="14" t="s">
        <v>28</v>
      </c>
      <c r="C8" s="14" t="s">
        <v>29</v>
      </c>
      <c r="D8" s="14" t="s">
        <v>30</v>
      </c>
      <c r="E8" s="14" t="s">
        <v>31</v>
      </c>
      <c r="F8" s="14" t="s">
        <v>32</v>
      </c>
      <c r="G8" s="15">
        <v>867211</v>
      </c>
      <c r="H8" s="15">
        <v>42392387900</v>
      </c>
      <c r="I8" s="15">
        <v>70148240</v>
      </c>
      <c r="J8" s="16">
        <f t="shared" si="0"/>
        <v>80.889472112323304</v>
      </c>
      <c r="K8" s="14" t="str">
        <f t="shared" si="1"/>
        <v>USD/Tonnes</v>
      </c>
      <c r="L8" s="16">
        <f t="shared" si="2"/>
        <v>48883.591075297707</v>
      </c>
      <c r="M8" s="17" t="str">
        <f t="shared" si="3"/>
        <v>FCFA/Tonnes</v>
      </c>
    </row>
    <row r="9" spans="1:13" x14ac:dyDescent="0.35">
      <c r="A9" s="13">
        <v>2023</v>
      </c>
      <c r="B9" s="14" t="s">
        <v>28</v>
      </c>
      <c r="C9" s="14" t="s">
        <v>29</v>
      </c>
      <c r="D9" s="14" t="s">
        <v>30</v>
      </c>
      <c r="E9" s="14" t="s">
        <v>33</v>
      </c>
      <c r="F9" s="14" t="s">
        <v>32</v>
      </c>
      <c r="G9" s="15">
        <v>619499</v>
      </c>
      <c r="H9" s="15">
        <v>30125944745</v>
      </c>
      <c r="I9" s="15">
        <v>49850507</v>
      </c>
      <c r="J9" s="16">
        <f t="shared" si="0"/>
        <v>80.469067746679173</v>
      </c>
      <c r="K9" s="14" t="str">
        <f t="shared" si="1"/>
        <v>USD/Tonnes</v>
      </c>
      <c r="L9" s="16">
        <f t="shared" si="2"/>
        <v>48629.52925670582</v>
      </c>
      <c r="M9" s="17" t="str">
        <f t="shared" si="3"/>
        <v>FCFA/Tonnes</v>
      </c>
    </row>
    <row r="10" spans="1:13" x14ac:dyDescent="0.35">
      <c r="A10" s="13">
        <v>2023</v>
      </c>
      <c r="B10" s="14" t="s">
        <v>28</v>
      </c>
      <c r="C10" s="14" t="s">
        <v>34</v>
      </c>
      <c r="D10" s="14" t="s">
        <v>35</v>
      </c>
      <c r="E10" s="14" t="s">
        <v>31</v>
      </c>
      <c r="F10" s="14" t="s">
        <v>32</v>
      </c>
      <c r="G10" s="15">
        <v>240860</v>
      </c>
      <c r="H10" s="15">
        <v>11879649100</v>
      </c>
      <c r="I10" s="15">
        <v>19657691</v>
      </c>
      <c r="J10" s="16">
        <f t="shared" si="0"/>
        <v>81.614593539815658</v>
      </c>
      <c r="K10" s="14" t="str">
        <f t="shared" si="1"/>
        <v>USD/Tonnes</v>
      </c>
      <c r="L10" s="16">
        <f t="shared" si="2"/>
        <v>49321.801461429874</v>
      </c>
      <c r="M10" s="17" t="str">
        <f t="shared" si="3"/>
        <v>FCFA/Tonnes</v>
      </c>
    </row>
    <row r="11" spans="1:13" x14ac:dyDescent="0.35">
      <c r="A11" s="13">
        <v>2023</v>
      </c>
      <c r="B11" s="14" t="s">
        <v>28</v>
      </c>
      <c r="C11" s="14" t="s">
        <v>36</v>
      </c>
      <c r="D11" s="14" t="s">
        <v>37</v>
      </c>
      <c r="E11" s="14" t="s">
        <v>31</v>
      </c>
      <c r="F11" s="14" t="s">
        <v>32</v>
      </c>
      <c r="G11" s="15">
        <v>131698</v>
      </c>
      <c r="H11" s="15">
        <v>6669016479</v>
      </c>
      <c r="I11" s="15">
        <v>11035466</v>
      </c>
      <c r="J11" s="16">
        <f t="shared" si="0"/>
        <v>83.793725037585986</v>
      </c>
      <c r="K11" s="14" t="str">
        <f t="shared" si="1"/>
        <v>USD/Tonnes</v>
      </c>
      <c r="L11" s="16">
        <f t="shared" si="2"/>
        <v>50638.707338000575</v>
      </c>
      <c r="M11" s="17" t="str">
        <f t="shared" si="3"/>
        <v>FCFA/Tonnes</v>
      </c>
    </row>
    <row r="12" spans="1:13" x14ac:dyDescent="0.35">
      <c r="A12" s="13">
        <v>2023</v>
      </c>
      <c r="B12" s="14" t="s">
        <v>28</v>
      </c>
      <c r="C12" s="14" t="s">
        <v>34</v>
      </c>
      <c r="D12" s="14" t="s">
        <v>35</v>
      </c>
      <c r="E12" s="14" t="s">
        <v>33</v>
      </c>
      <c r="F12" s="14" t="s">
        <v>32</v>
      </c>
      <c r="G12" s="15">
        <v>41410</v>
      </c>
      <c r="H12" s="15">
        <v>1982066100</v>
      </c>
      <c r="I12" s="15">
        <v>3279798</v>
      </c>
      <c r="J12" s="16">
        <f t="shared" si="0"/>
        <v>79.203042743298724</v>
      </c>
      <c r="K12" s="14" t="str">
        <f t="shared" si="1"/>
        <v>USD/Tonnes</v>
      </c>
      <c r="L12" s="16">
        <f t="shared" si="2"/>
        <v>47864.431296788214</v>
      </c>
      <c r="M12" s="17" t="str">
        <f t="shared" si="3"/>
        <v>FCFA/Tonnes</v>
      </c>
    </row>
    <row r="13" spans="1:13" x14ac:dyDescent="0.35">
      <c r="A13" s="13">
        <v>2023</v>
      </c>
      <c r="B13" s="14" t="s">
        <v>28</v>
      </c>
      <c r="C13" s="14" t="s">
        <v>36</v>
      </c>
      <c r="D13" s="14" t="s">
        <v>37</v>
      </c>
      <c r="E13" s="14" t="s">
        <v>33</v>
      </c>
      <c r="F13" s="14" t="s">
        <v>32</v>
      </c>
      <c r="G13" s="15">
        <v>36362</v>
      </c>
      <c r="H13" s="15">
        <v>1769500108</v>
      </c>
      <c r="I13" s="15">
        <v>2928057</v>
      </c>
      <c r="J13" s="16">
        <f t="shared" si="0"/>
        <v>80.525191133601012</v>
      </c>
      <c r="K13" s="14" t="str">
        <f t="shared" si="1"/>
        <v>USD/Tonnes</v>
      </c>
      <c r="L13" s="16">
        <f t="shared" si="2"/>
        <v>48663.442824927122</v>
      </c>
      <c r="M13" s="17" t="str">
        <f t="shared" si="3"/>
        <v>FCFA/Tonnes</v>
      </c>
    </row>
    <row r="14" spans="1:13" x14ac:dyDescent="0.35">
      <c r="A14" s="13">
        <v>2023</v>
      </c>
      <c r="B14" s="14" t="s">
        <v>28</v>
      </c>
      <c r="C14" s="14" t="s">
        <v>29</v>
      </c>
      <c r="D14" s="14" t="s">
        <v>30</v>
      </c>
      <c r="E14" s="14" t="s">
        <v>38</v>
      </c>
      <c r="F14" s="14" t="s">
        <v>32</v>
      </c>
      <c r="G14" s="15">
        <v>23769</v>
      </c>
      <c r="H14" s="15">
        <v>1138912000</v>
      </c>
      <c r="I14" s="15">
        <v>1884599</v>
      </c>
      <c r="J14" s="16">
        <f t="shared" si="0"/>
        <v>79.288106357019643</v>
      </c>
      <c r="K14" s="14" t="str">
        <f t="shared" si="1"/>
        <v>USD/Tonnes</v>
      </c>
      <c r="L14" s="16">
        <f t="shared" si="2"/>
        <v>47915.856788253608</v>
      </c>
      <c r="M14" s="17" t="str">
        <f t="shared" si="3"/>
        <v>FCFA/Tonnes</v>
      </c>
    </row>
    <row r="15" spans="1:13" x14ac:dyDescent="0.35">
      <c r="A15" s="13">
        <v>2023</v>
      </c>
      <c r="B15" s="14" t="s">
        <v>28</v>
      </c>
      <c r="C15" s="14" t="s">
        <v>34</v>
      </c>
      <c r="D15" s="14" t="s">
        <v>35</v>
      </c>
      <c r="E15" s="14" t="s">
        <v>39</v>
      </c>
      <c r="F15" s="14" t="s">
        <v>32</v>
      </c>
      <c r="G15" s="15">
        <v>7597</v>
      </c>
      <c r="H15" s="15">
        <v>361075100</v>
      </c>
      <c r="I15" s="15">
        <v>597484</v>
      </c>
      <c r="J15" s="16">
        <f t="shared" si="0"/>
        <v>78.647360800315909</v>
      </c>
      <c r="K15" s="14" t="str">
        <f t="shared" si="1"/>
        <v>USD/Tonnes</v>
      </c>
      <c r="L15" s="16">
        <f t="shared" si="2"/>
        <v>47528.64288534948</v>
      </c>
      <c r="M15" s="17" t="str">
        <f t="shared" si="3"/>
        <v>FCFA/Tonnes</v>
      </c>
    </row>
    <row r="16" spans="1:13" x14ac:dyDescent="0.35">
      <c r="A16" s="13">
        <v>2023</v>
      </c>
      <c r="B16" s="14" t="s">
        <v>28</v>
      </c>
      <c r="C16" s="14" t="s">
        <v>36</v>
      </c>
      <c r="D16" s="14" t="s">
        <v>37</v>
      </c>
      <c r="E16" s="14" t="s">
        <v>38</v>
      </c>
      <c r="F16" s="14" t="s">
        <v>32</v>
      </c>
      <c r="G16" s="15">
        <v>2818</v>
      </c>
      <c r="H16" s="15">
        <v>164045385</v>
      </c>
      <c r="I16" s="15">
        <v>271452</v>
      </c>
      <c r="J16" s="16">
        <f t="shared" si="0"/>
        <v>96.327892122072399</v>
      </c>
      <c r="K16" s="14" t="str">
        <f t="shared" si="1"/>
        <v>USD/Tonnes</v>
      </c>
      <c r="L16" s="16">
        <f t="shared" si="2"/>
        <v>58213.408445706176</v>
      </c>
      <c r="M16" s="17" t="str">
        <f t="shared" si="3"/>
        <v>FCFA/Tonnes</v>
      </c>
    </row>
    <row r="17" spans="1:13" x14ac:dyDescent="0.35">
      <c r="A17" s="13">
        <v>2023</v>
      </c>
      <c r="B17" s="14" t="s">
        <v>28</v>
      </c>
      <c r="C17" s="14" t="s">
        <v>29</v>
      </c>
      <c r="D17" s="14" t="s">
        <v>30</v>
      </c>
      <c r="E17" s="14" t="s">
        <v>39</v>
      </c>
      <c r="F17" s="14" t="s">
        <v>32</v>
      </c>
      <c r="G17" s="15">
        <v>1883</v>
      </c>
      <c r="H17" s="15">
        <v>91769600</v>
      </c>
      <c r="I17" s="15">
        <v>151855</v>
      </c>
      <c r="J17" s="16">
        <f t="shared" si="0"/>
        <v>80.645246946362192</v>
      </c>
      <c r="K17" s="14" t="str">
        <f t="shared" si="1"/>
        <v>USD/Tonnes</v>
      </c>
      <c r="L17" s="16">
        <f t="shared" si="2"/>
        <v>48735.847052575678</v>
      </c>
      <c r="M17" s="17" t="str">
        <f t="shared" si="3"/>
        <v>FCFA/Tonnes</v>
      </c>
    </row>
    <row r="18" spans="1:13" x14ac:dyDescent="0.35">
      <c r="A18" s="13">
        <v>2023</v>
      </c>
      <c r="B18" s="14" t="s">
        <v>28</v>
      </c>
      <c r="C18" s="14" t="s">
        <v>36</v>
      </c>
      <c r="D18" s="14" t="s">
        <v>37</v>
      </c>
      <c r="E18" s="14" t="s">
        <v>40</v>
      </c>
      <c r="F18" s="14" t="s">
        <v>32</v>
      </c>
      <c r="G18" s="15">
        <v>1232</v>
      </c>
      <c r="H18" s="15">
        <v>66124850</v>
      </c>
      <c r="I18" s="15">
        <v>109419</v>
      </c>
      <c r="J18" s="16">
        <f t="shared" si="0"/>
        <v>88.814123376623371</v>
      </c>
      <c r="K18" s="14" t="str">
        <f t="shared" si="1"/>
        <v>USD/Tonnes</v>
      </c>
      <c r="L18" s="16">
        <f t="shared" si="2"/>
        <v>53672.767857142855</v>
      </c>
      <c r="M18" s="17" t="str">
        <f t="shared" si="3"/>
        <v>FCFA/Tonnes</v>
      </c>
    </row>
    <row r="19" spans="1:13" x14ac:dyDescent="0.35">
      <c r="A19" s="13">
        <v>2023</v>
      </c>
      <c r="B19" s="14" t="s">
        <v>28</v>
      </c>
      <c r="C19" s="14" t="s">
        <v>36</v>
      </c>
      <c r="D19" s="14" t="s">
        <v>37</v>
      </c>
      <c r="E19" s="14" t="s">
        <v>39</v>
      </c>
      <c r="F19" s="14" t="s">
        <v>32</v>
      </c>
      <c r="G19" s="15">
        <v>615</v>
      </c>
      <c r="H19" s="15">
        <v>36205000</v>
      </c>
      <c r="I19" s="15">
        <v>59910</v>
      </c>
      <c r="J19" s="16">
        <f t="shared" si="0"/>
        <v>97.41463414634147</v>
      </c>
      <c r="K19" s="14" t="str">
        <f t="shared" si="1"/>
        <v>USD/Tonnes</v>
      </c>
      <c r="L19" s="16">
        <f t="shared" si="2"/>
        <v>58869.918699186994</v>
      </c>
      <c r="M19" s="17" t="str">
        <f t="shared" si="3"/>
        <v>FCFA/Tonnes</v>
      </c>
    </row>
    <row r="20" spans="1:13" x14ac:dyDescent="0.35">
      <c r="A20" s="13">
        <v>2023</v>
      </c>
      <c r="B20" s="14" t="s">
        <v>41</v>
      </c>
      <c r="C20" s="14" t="s">
        <v>42</v>
      </c>
      <c r="D20" s="14" t="s">
        <v>43</v>
      </c>
      <c r="E20" s="14" t="s">
        <v>44</v>
      </c>
      <c r="F20" s="14" t="s">
        <v>32</v>
      </c>
      <c r="G20" s="15">
        <v>292907</v>
      </c>
      <c r="H20" s="15">
        <v>53758549874</v>
      </c>
      <c r="I20" s="15">
        <v>88956246</v>
      </c>
      <c r="J20" s="16">
        <f t="shared" si="0"/>
        <v>303.70133182204592</v>
      </c>
      <c r="K20" s="14" t="str">
        <f t="shared" si="1"/>
        <v>USD/Tonnes</v>
      </c>
      <c r="L20" s="16">
        <f t="shared" si="2"/>
        <v>183534.53442218862</v>
      </c>
      <c r="M20" s="17" t="str">
        <f t="shared" si="3"/>
        <v>FCFA/Tonnes</v>
      </c>
    </row>
    <row r="21" spans="1:13" x14ac:dyDescent="0.35">
      <c r="A21" s="13">
        <v>2023</v>
      </c>
      <c r="B21" s="14" t="s">
        <v>45</v>
      </c>
      <c r="C21" s="14" t="s">
        <v>46</v>
      </c>
      <c r="D21" s="14" t="s">
        <v>47</v>
      </c>
      <c r="E21" s="14" t="s">
        <v>16</v>
      </c>
      <c r="F21" s="14" t="s">
        <v>32</v>
      </c>
      <c r="G21" s="15">
        <v>147924</v>
      </c>
      <c r="H21" s="15">
        <v>14379992965</v>
      </c>
      <c r="I21" s="15">
        <v>23795102</v>
      </c>
      <c r="J21" s="16">
        <f t="shared" si="0"/>
        <v>160.86032016440876</v>
      </c>
      <c r="K21" s="14" t="str">
        <f t="shared" si="1"/>
        <v>USD/Tonnes</v>
      </c>
      <c r="L21" s="16">
        <f t="shared" si="2"/>
        <v>97212.034321678701</v>
      </c>
      <c r="M21" s="17" t="str">
        <f t="shared" si="3"/>
        <v>FCFA/Tonnes</v>
      </c>
    </row>
    <row r="22" spans="1:13" x14ac:dyDescent="0.35">
      <c r="A22" s="13">
        <v>2023</v>
      </c>
      <c r="B22" s="14" t="s">
        <v>45</v>
      </c>
      <c r="C22" s="14" t="s">
        <v>46</v>
      </c>
      <c r="D22" s="14" t="s">
        <v>47</v>
      </c>
      <c r="E22" s="14" t="s">
        <v>16</v>
      </c>
      <c r="F22" s="14" t="s">
        <v>32</v>
      </c>
      <c r="G22" s="15">
        <v>137653</v>
      </c>
      <c r="H22" s="15">
        <v>13479732099</v>
      </c>
      <c r="I22" s="15">
        <v>22305407</v>
      </c>
      <c r="J22" s="16">
        <f t="shared" si="0"/>
        <v>162.04083456226888</v>
      </c>
      <c r="K22" s="14" t="str">
        <f t="shared" si="1"/>
        <v>USD/Tonnes</v>
      </c>
      <c r="L22" s="16">
        <f t="shared" si="2"/>
        <v>97925.450945493372</v>
      </c>
      <c r="M22" s="17" t="str">
        <f t="shared" si="3"/>
        <v>FCFA/Tonnes</v>
      </c>
    </row>
    <row r="23" spans="1:13" x14ac:dyDescent="0.35">
      <c r="A23" s="13">
        <v>2023</v>
      </c>
      <c r="B23" s="14" t="s">
        <v>45</v>
      </c>
      <c r="C23" s="14" t="s">
        <v>48</v>
      </c>
      <c r="D23" s="14" t="s">
        <v>49</v>
      </c>
      <c r="E23" s="14" t="s">
        <v>25</v>
      </c>
      <c r="F23" s="14" t="s">
        <v>32</v>
      </c>
      <c r="G23" s="15">
        <v>107973</v>
      </c>
      <c r="H23" s="15">
        <v>8991701556</v>
      </c>
      <c r="I23" s="15">
        <v>14878899</v>
      </c>
      <c r="J23" s="16">
        <f t="shared" si="0"/>
        <v>137.80203384179379</v>
      </c>
      <c r="K23" s="14" t="str">
        <f t="shared" si="1"/>
        <v>USD/Tonnes</v>
      </c>
      <c r="L23" s="16">
        <f t="shared" si="2"/>
        <v>83277.315217693307</v>
      </c>
      <c r="M23" s="17" t="str">
        <f t="shared" si="3"/>
        <v>FCFA/Tonnes</v>
      </c>
    </row>
    <row r="24" spans="1:13" x14ac:dyDescent="0.35">
      <c r="A24" s="13">
        <v>2023</v>
      </c>
      <c r="B24" s="14" t="s">
        <v>45</v>
      </c>
      <c r="C24" s="14" t="s">
        <v>50</v>
      </c>
      <c r="D24" s="14" t="s">
        <v>30</v>
      </c>
      <c r="E24" s="14" t="s">
        <v>25</v>
      </c>
      <c r="F24" s="14" t="s">
        <v>32</v>
      </c>
      <c r="G24" s="15">
        <v>120731</v>
      </c>
      <c r="H24" s="15">
        <v>7003407888</v>
      </c>
      <c r="I24" s="15">
        <v>11588796</v>
      </c>
      <c r="J24" s="16">
        <f t="shared" si="0"/>
        <v>95.988569630003894</v>
      </c>
      <c r="K24" s="14" t="str">
        <f t="shared" si="1"/>
        <v>USD/Tonnes</v>
      </c>
      <c r="L24" s="16">
        <f t="shared" si="2"/>
        <v>58008.364777894662</v>
      </c>
      <c r="M24" s="17" t="str">
        <f t="shared" si="3"/>
        <v>FCFA/Tonnes</v>
      </c>
    </row>
    <row r="25" spans="1:13" x14ac:dyDescent="0.35">
      <c r="A25" s="13">
        <v>2023</v>
      </c>
      <c r="B25" s="14" t="s">
        <v>45</v>
      </c>
      <c r="C25" s="14" t="s">
        <v>46</v>
      </c>
      <c r="D25" s="14" t="s">
        <v>47</v>
      </c>
      <c r="E25" s="14" t="s">
        <v>21</v>
      </c>
      <c r="F25" s="14" t="s">
        <v>32</v>
      </c>
      <c r="G25" s="15">
        <v>50000</v>
      </c>
      <c r="H25" s="15">
        <v>4820622150</v>
      </c>
      <c r="I25" s="15">
        <v>7976860</v>
      </c>
      <c r="J25" s="16">
        <f t="shared" si="0"/>
        <v>159.53720000000001</v>
      </c>
      <c r="K25" s="14" t="str">
        <f t="shared" si="1"/>
        <v>USD/Tonnes</v>
      </c>
      <c r="L25" s="16">
        <f t="shared" si="2"/>
        <v>96412.442999999999</v>
      </c>
      <c r="M25" s="17" t="str">
        <f t="shared" si="3"/>
        <v>FCFA/Tonnes</v>
      </c>
    </row>
    <row r="26" spans="1:13" x14ac:dyDescent="0.35">
      <c r="A26" s="13">
        <v>2023</v>
      </c>
      <c r="B26" s="14" t="s">
        <v>45</v>
      </c>
      <c r="C26" s="14" t="s">
        <v>46</v>
      </c>
      <c r="D26" s="14" t="s">
        <v>47</v>
      </c>
      <c r="E26" s="14" t="s">
        <v>51</v>
      </c>
      <c r="F26" s="14" t="s">
        <v>32</v>
      </c>
      <c r="G26" s="15">
        <v>19359</v>
      </c>
      <c r="H26" s="15">
        <v>2288489144</v>
      </c>
      <c r="I26" s="15">
        <v>3786847</v>
      </c>
      <c r="J26" s="16">
        <f t="shared" si="0"/>
        <v>195.61170515005941</v>
      </c>
      <c r="K26" s="14" t="str">
        <f t="shared" si="1"/>
        <v>USD/Tonnes</v>
      </c>
      <c r="L26" s="16">
        <f t="shared" si="2"/>
        <v>118213.18993749678</v>
      </c>
      <c r="M26" s="17" t="str">
        <f t="shared" si="3"/>
        <v>FCFA/Tonnes</v>
      </c>
    </row>
    <row r="27" spans="1:13" x14ac:dyDescent="0.35">
      <c r="A27" s="13">
        <v>2023</v>
      </c>
      <c r="B27" s="14" t="s">
        <v>45</v>
      </c>
      <c r="C27" s="14" t="s">
        <v>46</v>
      </c>
      <c r="D27" s="14" t="s">
        <v>47</v>
      </c>
      <c r="E27" s="14" t="s">
        <v>31</v>
      </c>
      <c r="F27" s="14" t="s">
        <v>32</v>
      </c>
      <c r="G27" s="15">
        <v>15000</v>
      </c>
      <c r="H27" s="15">
        <v>900789900</v>
      </c>
      <c r="I27" s="15">
        <v>1490570</v>
      </c>
      <c r="J27" s="16">
        <f t="shared" si="0"/>
        <v>99.37133333333334</v>
      </c>
      <c r="K27" s="14" t="str">
        <f t="shared" si="1"/>
        <v>USD/Tonnes</v>
      </c>
      <c r="L27" s="16">
        <f t="shared" si="2"/>
        <v>60052.66</v>
      </c>
      <c r="M27" s="17" t="str">
        <f t="shared" si="3"/>
        <v>FCFA/Tonnes</v>
      </c>
    </row>
    <row r="28" spans="1:13" x14ac:dyDescent="0.35">
      <c r="A28" s="13">
        <v>2023</v>
      </c>
      <c r="B28" s="14" t="s">
        <v>45</v>
      </c>
      <c r="C28" s="14" t="s">
        <v>48</v>
      </c>
      <c r="D28" s="14" t="s">
        <v>49</v>
      </c>
      <c r="E28" s="14" t="s">
        <v>21</v>
      </c>
      <c r="F28" s="14" t="s">
        <v>32</v>
      </c>
      <c r="G28" s="15">
        <v>4829</v>
      </c>
      <c r="H28" s="15">
        <v>250924635</v>
      </c>
      <c r="I28" s="15">
        <v>415214</v>
      </c>
      <c r="J28" s="16">
        <f t="shared" si="0"/>
        <v>85.983433423068959</v>
      </c>
      <c r="K28" s="14" t="str">
        <f t="shared" si="1"/>
        <v>USD/Tonnes</v>
      </c>
      <c r="L28" s="16">
        <f t="shared" si="2"/>
        <v>51962.028370262997</v>
      </c>
      <c r="M28" s="17" t="str">
        <f t="shared" si="3"/>
        <v>FCFA/Tonnes</v>
      </c>
    </row>
    <row r="29" spans="1:13" x14ac:dyDescent="0.35">
      <c r="A29" s="13">
        <v>2023</v>
      </c>
      <c r="B29" s="14" t="s">
        <v>45</v>
      </c>
      <c r="C29" s="14" t="s">
        <v>48</v>
      </c>
      <c r="D29" s="14" t="s">
        <v>49</v>
      </c>
      <c r="E29" s="14" t="s">
        <v>52</v>
      </c>
      <c r="F29" s="14" t="s">
        <v>32</v>
      </c>
      <c r="G29" s="15">
        <v>1600</v>
      </c>
      <c r="H29" s="15">
        <v>224599677</v>
      </c>
      <c r="I29" s="15">
        <v>371653</v>
      </c>
      <c r="J29" s="16">
        <f t="shared" si="0"/>
        <v>232.28312500000001</v>
      </c>
      <c r="K29" s="14" t="str">
        <f t="shared" si="1"/>
        <v>USD/Tonnes</v>
      </c>
      <c r="L29" s="16">
        <f t="shared" si="2"/>
        <v>140374.798125</v>
      </c>
      <c r="M29" s="17" t="str">
        <f t="shared" si="3"/>
        <v>FCFA/Tonnes</v>
      </c>
    </row>
    <row r="30" spans="1:13" x14ac:dyDescent="0.35">
      <c r="A30" s="13">
        <v>2023</v>
      </c>
      <c r="B30" s="14" t="s">
        <v>45</v>
      </c>
      <c r="C30" s="14" t="s">
        <v>48</v>
      </c>
      <c r="D30" s="14" t="s">
        <v>49</v>
      </c>
      <c r="E30" s="14" t="s">
        <v>53</v>
      </c>
      <c r="F30" s="14" t="s">
        <v>32</v>
      </c>
      <c r="G30" s="15">
        <v>500</v>
      </c>
      <c r="H30" s="15">
        <v>82322604</v>
      </c>
      <c r="I30" s="15">
        <v>136222</v>
      </c>
      <c r="J30" s="16">
        <f t="shared" si="0"/>
        <v>272.44400000000002</v>
      </c>
      <c r="K30" s="14" t="str">
        <f t="shared" si="1"/>
        <v>USD/Tonnes</v>
      </c>
      <c r="L30" s="16">
        <f t="shared" si="2"/>
        <v>164645.20800000001</v>
      </c>
      <c r="M30" s="17" t="str">
        <f t="shared" si="3"/>
        <v>FCFA/Tonnes</v>
      </c>
    </row>
    <row r="31" spans="1:13" x14ac:dyDescent="0.35">
      <c r="A31" s="13">
        <v>2023</v>
      </c>
      <c r="B31" s="14" t="s">
        <v>54</v>
      </c>
      <c r="C31" s="14" t="s">
        <v>42</v>
      </c>
      <c r="D31" s="14" t="s">
        <v>43</v>
      </c>
      <c r="E31" s="14" t="s">
        <v>44</v>
      </c>
      <c r="F31" s="14" t="s">
        <v>32</v>
      </c>
      <c r="G31" s="15">
        <v>28177</v>
      </c>
      <c r="H31" s="15">
        <v>32884062478</v>
      </c>
      <c r="I31" s="15">
        <v>54414465</v>
      </c>
      <c r="J31" s="16">
        <f t="shared" si="0"/>
        <v>1931.1660219327821</v>
      </c>
      <c r="K31" s="14" t="str">
        <f t="shared" si="1"/>
        <v>USD/Tonnes</v>
      </c>
      <c r="L31" s="16">
        <f t="shared" si="2"/>
        <v>1167053.3583419102</v>
      </c>
      <c r="M31" s="17" t="str">
        <f t="shared" si="3"/>
        <v>FCFA/Tonnes</v>
      </c>
    </row>
    <row r="32" spans="1:13" x14ac:dyDescent="0.35">
      <c r="A32" s="13">
        <v>2023</v>
      </c>
      <c r="B32" s="14" t="s">
        <v>55</v>
      </c>
      <c r="C32" s="14" t="s">
        <v>42</v>
      </c>
      <c r="D32" s="14" t="s">
        <v>43</v>
      </c>
      <c r="E32" s="14" t="s">
        <v>44</v>
      </c>
      <c r="F32" s="14" t="s">
        <v>32</v>
      </c>
      <c r="G32" s="15">
        <v>19379</v>
      </c>
      <c r="H32" s="15">
        <v>20872789482</v>
      </c>
      <c r="I32" s="15">
        <v>34538971</v>
      </c>
      <c r="J32" s="16">
        <f t="shared" si="0"/>
        <v>1782.2886113834563</v>
      </c>
      <c r="K32" s="14" t="str">
        <f t="shared" si="1"/>
        <v>USD/Tonnes</v>
      </c>
      <c r="L32" s="16">
        <f t="shared" si="2"/>
        <v>1077082.8980855565</v>
      </c>
      <c r="M32" s="17" t="str">
        <f t="shared" si="3"/>
        <v>FCFA/Tonnes</v>
      </c>
    </row>
    <row r="33" spans="1:13" x14ac:dyDescent="0.35">
      <c r="A33" s="13">
        <v>2023</v>
      </c>
      <c r="B33" s="14" t="s">
        <v>56</v>
      </c>
      <c r="C33" s="14" t="s">
        <v>42</v>
      </c>
      <c r="D33" s="14" t="s">
        <v>43</v>
      </c>
      <c r="E33" s="14" t="s">
        <v>44</v>
      </c>
      <c r="F33" s="14" t="s">
        <v>32</v>
      </c>
      <c r="G33" s="15">
        <v>111716</v>
      </c>
      <c r="H33" s="15">
        <v>19733612738</v>
      </c>
      <c r="I33" s="15">
        <v>32653933</v>
      </c>
      <c r="J33" s="16">
        <f t="shared" si="0"/>
        <v>292.29414766013821</v>
      </c>
      <c r="K33" s="14" t="str">
        <f t="shared" si="1"/>
        <v>USD/Tonnes</v>
      </c>
      <c r="L33" s="16">
        <f t="shared" si="2"/>
        <v>176640.88168212253</v>
      </c>
      <c r="M33" s="17" t="str">
        <f t="shared" si="3"/>
        <v>FCFA/Tonnes</v>
      </c>
    </row>
    <row r="34" spans="1:13" x14ac:dyDescent="0.35">
      <c r="A34" s="13">
        <v>2023</v>
      </c>
      <c r="B34" s="14" t="s">
        <v>57</v>
      </c>
      <c r="C34" s="14" t="s">
        <v>23</v>
      </c>
      <c r="D34" s="14" t="s">
        <v>24</v>
      </c>
      <c r="E34" s="14" t="s">
        <v>31</v>
      </c>
      <c r="F34" s="14" t="s">
        <v>26</v>
      </c>
      <c r="G34" s="15">
        <v>30297</v>
      </c>
      <c r="H34" s="15">
        <v>13498798140</v>
      </c>
      <c r="I34" s="15">
        <v>22336957</v>
      </c>
      <c r="J34" s="16">
        <f t="shared" ref="J34:J65" si="4">IFERROR(I34/G34,"NC")</f>
        <v>737.26629699310161</v>
      </c>
      <c r="K34" s="14" t="str">
        <f t="shared" ref="K34:K65" si="5">IF(J34="NC","NC","USD/"&amp;F34)</f>
        <v>USD/MT</v>
      </c>
      <c r="L34" s="16">
        <f t="shared" ref="L34:L65" si="6">IFERROR(H34/G34,"NC")</f>
        <v>445549.00287157146</v>
      </c>
      <c r="M34" s="17" t="str">
        <f t="shared" ref="M34:M65" si="7">IF(L34="NC","NC","FCFA/"&amp;F34)</f>
        <v>FCFA/MT</v>
      </c>
    </row>
    <row r="35" spans="1:13" x14ac:dyDescent="0.35">
      <c r="A35" s="13">
        <v>2023</v>
      </c>
      <c r="B35" s="14" t="s">
        <v>57</v>
      </c>
      <c r="C35" s="14" t="s">
        <v>23</v>
      </c>
      <c r="D35" s="14" t="s">
        <v>24</v>
      </c>
      <c r="E35" s="14" t="s">
        <v>33</v>
      </c>
      <c r="F35" s="14" t="s">
        <v>26</v>
      </c>
      <c r="G35" s="15">
        <v>17143</v>
      </c>
      <c r="H35" s="15">
        <v>6081250780</v>
      </c>
      <c r="I35" s="15">
        <v>10062869</v>
      </c>
      <c r="J35" s="16">
        <f t="shared" si="4"/>
        <v>586.99580003499966</v>
      </c>
      <c r="K35" s="14" t="str">
        <f t="shared" si="5"/>
        <v>USD/MT</v>
      </c>
      <c r="L35" s="16">
        <f t="shared" si="6"/>
        <v>354736.67269439419</v>
      </c>
      <c r="M35" s="17" t="str">
        <f t="shared" si="7"/>
        <v>FCFA/MT</v>
      </c>
    </row>
    <row r="36" spans="1:13" x14ac:dyDescent="0.35">
      <c r="A36" s="13">
        <v>2023</v>
      </c>
      <c r="B36" s="14" t="s">
        <v>58</v>
      </c>
      <c r="C36" s="14" t="s">
        <v>59</v>
      </c>
      <c r="D36" s="14" t="s">
        <v>60</v>
      </c>
      <c r="E36" s="14" t="s">
        <v>44</v>
      </c>
      <c r="F36" s="14" t="s">
        <v>32</v>
      </c>
      <c r="G36" s="15">
        <v>63715</v>
      </c>
      <c r="H36" s="15">
        <v>1713440839</v>
      </c>
      <c r="I36" s="15">
        <v>2835293</v>
      </c>
      <c r="J36" s="16">
        <f t="shared" si="4"/>
        <v>44.499615475162834</v>
      </c>
      <c r="K36" s="14" t="str">
        <f t="shared" si="5"/>
        <v>USD/Tonnes</v>
      </c>
      <c r="L36" s="16">
        <f t="shared" si="6"/>
        <v>26892.267739150906</v>
      </c>
      <c r="M36" s="17" t="str">
        <f t="shared" si="7"/>
        <v>FCFA/Tonnes</v>
      </c>
    </row>
    <row r="37" spans="1:13" x14ac:dyDescent="0.35">
      <c r="A37" s="13">
        <v>2023</v>
      </c>
      <c r="B37" s="14" t="s">
        <v>58</v>
      </c>
      <c r="C37" s="14" t="s">
        <v>59</v>
      </c>
      <c r="D37" s="14" t="s">
        <v>60</v>
      </c>
      <c r="E37" s="14" t="s">
        <v>61</v>
      </c>
      <c r="F37" s="14" t="s">
        <v>32</v>
      </c>
      <c r="G37" s="15">
        <v>70975</v>
      </c>
      <c r="H37" s="15">
        <v>1667182560</v>
      </c>
      <c r="I37" s="15">
        <v>2758748</v>
      </c>
      <c r="J37" s="16">
        <f t="shared" si="4"/>
        <v>38.869292004226843</v>
      </c>
      <c r="K37" s="14" t="str">
        <f t="shared" si="5"/>
        <v>USD/Tonnes</v>
      </c>
      <c r="L37" s="16">
        <f t="shared" si="6"/>
        <v>23489.715533638606</v>
      </c>
      <c r="M37" s="17" t="str">
        <f t="shared" si="7"/>
        <v>FCFA/Tonnes</v>
      </c>
    </row>
    <row r="38" spans="1:13" x14ac:dyDescent="0.35">
      <c r="A38" s="13">
        <v>2023</v>
      </c>
      <c r="B38" s="14" t="s">
        <v>58</v>
      </c>
      <c r="C38" s="14" t="s">
        <v>59</v>
      </c>
      <c r="D38" s="14" t="s">
        <v>60</v>
      </c>
      <c r="E38" s="14" t="s">
        <v>62</v>
      </c>
      <c r="F38" s="14" t="s">
        <v>32</v>
      </c>
      <c r="G38" s="15">
        <v>41485</v>
      </c>
      <c r="H38" s="15">
        <v>1096623757</v>
      </c>
      <c r="I38" s="15">
        <v>1814624</v>
      </c>
      <c r="J38" s="16">
        <f t="shared" si="4"/>
        <v>43.7416897673858</v>
      </c>
      <c r="K38" s="14" t="str">
        <f t="shared" si="5"/>
        <v>USD/Tonnes</v>
      </c>
      <c r="L38" s="16">
        <f t="shared" si="6"/>
        <v>26434.223381945281</v>
      </c>
      <c r="M38" s="17" t="str">
        <f t="shared" si="7"/>
        <v>FCFA/Tonnes</v>
      </c>
    </row>
    <row r="39" spans="1:13" x14ac:dyDescent="0.35">
      <c r="A39" s="13">
        <v>2023</v>
      </c>
      <c r="B39" s="14" t="s">
        <v>58</v>
      </c>
      <c r="C39" s="14" t="s">
        <v>59</v>
      </c>
      <c r="D39" s="14" t="s">
        <v>49</v>
      </c>
      <c r="E39" s="14" t="s">
        <v>21</v>
      </c>
      <c r="F39" s="14" t="s">
        <v>32</v>
      </c>
      <c r="G39" s="15">
        <v>4585</v>
      </c>
      <c r="H39" s="15">
        <v>249606882</v>
      </c>
      <c r="I39" s="15">
        <v>413034</v>
      </c>
      <c r="J39" s="16">
        <f t="shared" si="4"/>
        <v>90.083751363140678</v>
      </c>
      <c r="K39" s="14" t="str">
        <f t="shared" si="5"/>
        <v>USD/Tonnes</v>
      </c>
      <c r="L39" s="16">
        <f t="shared" si="6"/>
        <v>54439.887022900766</v>
      </c>
      <c r="M39" s="17" t="str">
        <f t="shared" si="7"/>
        <v>FCFA/Tonnes</v>
      </c>
    </row>
    <row r="40" spans="1:13" x14ac:dyDescent="0.35">
      <c r="A40" s="13">
        <v>2023</v>
      </c>
      <c r="B40" s="14" t="s">
        <v>63</v>
      </c>
      <c r="C40" s="14" t="s">
        <v>42</v>
      </c>
      <c r="D40" s="14" t="s">
        <v>43</v>
      </c>
      <c r="E40" s="14" t="s">
        <v>44</v>
      </c>
      <c r="F40" s="14" t="s">
        <v>32</v>
      </c>
      <c r="G40" s="15">
        <v>4820</v>
      </c>
      <c r="H40" s="15">
        <v>3842041029</v>
      </c>
      <c r="I40" s="15">
        <v>6357566</v>
      </c>
      <c r="J40" s="16">
        <f t="shared" si="4"/>
        <v>1318.9970954356847</v>
      </c>
      <c r="K40" s="14" t="str">
        <f t="shared" si="5"/>
        <v>USD/Tonnes</v>
      </c>
      <c r="L40" s="16">
        <f t="shared" si="6"/>
        <v>797103.94792531116</v>
      </c>
      <c r="M40" s="17" t="str">
        <f t="shared" si="7"/>
        <v>FCFA/Tonnes</v>
      </c>
    </row>
    <row r="41" spans="1:13" x14ac:dyDescent="0.35">
      <c r="A41" s="13">
        <v>2023</v>
      </c>
      <c r="B41" s="14" t="s">
        <v>64</v>
      </c>
      <c r="C41" s="14" t="s">
        <v>42</v>
      </c>
      <c r="D41" s="14" t="s">
        <v>43</v>
      </c>
      <c r="E41" s="14" t="s">
        <v>44</v>
      </c>
      <c r="F41" s="14" t="s">
        <v>32</v>
      </c>
      <c r="G41" s="15">
        <v>3062</v>
      </c>
      <c r="H41" s="15">
        <v>3610313079</v>
      </c>
      <c r="I41" s="15">
        <v>5974118</v>
      </c>
      <c r="J41" s="16">
        <f t="shared" si="4"/>
        <v>1951.050947093403</v>
      </c>
      <c r="K41" s="14" t="str">
        <f t="shared" si="5"/>
        <v>USD/Tonnes</v>
      </c>
      <c r="L41" s="16">
        <f t="shared" si="6"/>
        <v>1179070.2413455257</v>
      </c>
      <c r="M41" s="17" t="str">
        <f t="shared" si="7"/>
        <v>FCFA/Tonnes</v>
      </c>
    </row>
    <row r="42" spans="1:13" x14ac:dyDescent="0.35">
      <c r="A42" s="13">
        <v>2023</v>
      </c>
      <c r="B42" s="14" t="s">
        <v>65</v>
      </c>
      <c r="C42" s="14" t="s">
        <v>42</v>
      </c>
      <c r="D42" s="14" t="s">
        <v>43</v>
      </c>
      <c r="E42" s="14" t="s">
        <v>44</v>
      </c>
      <c r="F42" s="14" t="s">
        <v>32</v>
      </c>
      <c r="G42" s="15">
        <v>24987</v>
      </c>
      <c r="H42" s="15">
        <v>3353671528</v>
      </c>
      <c r="I42" s="15">
        <v>5549443</v>
      </c>
      <c r="J42" s="16">
        <f t="shared" si="4"/>
        <v>222.09320846840356</v>
      </c>
      <c r="K42" s="14" t="str">
        <f t="shared" si="5"/>
        <v>USD/Tonnes</v>
      </c>
      <c r="L42" s="16">
        <f t="shared" si="6"/>
        <v>134216.65377996559</v>
      </c>
      <c r="M42" s="17" t="str">
        <f t="shared" si="7"/>
        <v>FCFA/Tonnes</v>
      </c>
    </row>
    <row r="43" spans="1:13" x14ac:dyDescent="0.35">
      <c r="A43" s="13">
        <v>2023</v>
      </c>
      <c r="B43" s="14" t="s">
        <v>66</v>
      </c>
      <c r="C43" s="14" t="s">
        <v>67</v>
      </c>
      <c r="D43" s="14" t="s">
        <v>30</v>
      </c>
      <c r="E43" s="14" t="s">
        <v>30</v>
      </c>
      <c r="F43" s="14" t="s">
        <v>32</v>
      </c>
      <c r="G43" s="15">
        <v>22058</v>
      </c>
      <c r="H43" s="15">
        <v>46887495</v>
      </c>
      <c r="I43" s="15">
        <v>77586</v>
      </c>
      <c r="J43" s="16">
        <f t="shared" si="4"/>
        <v>3.5173633148970893</v>
      </c>
      <c r="K43" s="14" t="str">
        <f t="shared" si="5"/>
        <v>USD/Tonnes</v>
      </c>
      <c r="L43" s="16">
        <f t="shared" si="6"/>
        <v>2125.6457974431046</v>
      </c>
      <c r="M43" s="17" t="str">
        <f t="shared" si="7"/>
        <v>FCFA/Tonnes</v>
      </c>
    </row>
    <row r="44" spans="1:13" x14ac:dyDescent="0.35">
      <c r="A44" s="13">
        <v>2023</v>
      </c>
      <c r="B44" s="14" t="s">
        <v>66</v>
      </c>
      <c r="C44" s="14" t="s">
        <v>68</v>
      </c>
      <c r="D44" s="14" t="s">
        <v>69</v>
      </c>
      <c r="E44" s="14" t="s">
        <v>21</v>
      </c>
      <c r="F44" s="14" t="s">
        <v>32</v>
      </c>
      <c r="G44" s="14" t="s">
        <v>30</v>
      </c>
      <c r="H44" s="15">
        <v>2526487480</v>
      </c>
      <c r="I44" s="15">
        <v>4180672</v>
      </c>
      <c r="J44" s="16" t="str">
        <f t="shared" si="4"/>
        <v>NC</v>
      </c>
      <c r="K44" s="14" t="str">
        <f t="shared" si="5"/>
        <v>NC</v>
      </c>
      <c r="L44" s="16" t="str">
        <f t="shared" si="6"/>
        <v>NC</v>
      </c>
      <c r="M44" s="17" t="str">
        <f t="shared" si="7"/>
        <v>NC</v>
      </c>
    </row>
    <row r="45" spans="1:13" x14ac:dyDescent="0.35">
      <c r="A45" s="13">
        <v>2023</v>
      </c>
      <c r="B45" s="14" t="s">
        <v>66</v>
      </c>
      <c r="C45" s="14" t="s">
        <v>70</v>
      </c>
      <c r="D45" s="14" t="s">
        <v>30</v>
      </c>
      <c r="E45" s="14" t="s">
        <v>33</v>
      </c>
      <c r="F45" s="14" t="s">
        <v>32</v>
      </c>
      <c r="G45" s="15">
        <v>65839</v>
      </c>
      <c r="H45" s="15">
        <v>566744852</v>
      </c>
      <c r="I45" s="15">
        <v>937814</v>
      </c>
      <c r="J45" s="16">
        <f t="shared" si="4"/>
        <v>14.2440498792509</v>
      </c>
      <c r="K45" s="14" t="str">
        <f t="shared" si="5"/>
        <v>USD/Tonnes</v>
      </c>
      <c r="L45" s="16">
        <f t="shared" si="6"/>
        <v>8608.0416166709692</v>
      </c>
      <c r="M45" s="17" t="str">
        <f t="shared" si="7"/>
        <v>FCFA/Tonnes</v>
      </c>
    </row>
    <row r="46" spans="1:13" x14ac:dyDescent="0.35">
      <c r="A46" s="13">
        <v>2023</v>
      </c>
      <c r="B46" s="14" t="s">
        <v>66</v>
      </c>
      <c r="C46" s="14" t="s">
        <v>68</v>
      </c>
      <c r="D46" s="14" t="s">
        <v>69</v>
      </c>
      <c r="E46" s="14" t="s">
        <v>33</v>
      </c>
      <c r="F46" s="14" t="s">
        <v>32</v>
      </c>
      <c r="G46" s="14" t="s">
        <v>30</v>
      </c>
      <c r="H46" s="15">
        <v>97587866</v>
      </c>
      <c r="I46" s="15">
        <v>161482</v>
      </c>
      <c r="J46" s="16" t="str">
        <f t="shared" si="4"/>
        <v>NC</v>
      </c>
      <c r="K46" s="14" t="str">
        <f t="shared" si="5"/>
        <v>NC</v>
      </c>
      <c r="L46" s="16" t="str">
        <f t="shared" si="6"/>
        <v>NC</v>
      </c>
      <c r="M46" s="17" t="str">
        <f t="shared" si="7"/>
        <v>NC</v>
      </c>
    </row>
    <row r="47" spans="1:13" x14ac:dyDescent="0.35">
      <c r="A47" s="13">
        <v>2023</v>
      </c>
      <c r="B47" s="14" t="s">
        <v>71</v>
      </c>
      <c r="C47" s="14" t="s">
        <v>42</v>
      </c>
      <c r="D47" s="14" t="s">
        <v>43</v>
      </c>
      <c r="E47" s="14" t="s">
        <v>44</v>
      </c>
      <c r="F47" s="14" t="s">
        <v>32</v>
      </c>
      <c r="G47" s="15">
        <v>17001</v>
      </c>
      <c r="H47" s="15">
        <v>2471147154</v>
      </c>
      <c r="I47" s="15">
        <v>4089098</v>
      </c>
      <c r="J47" s="16">
        <f t="shared" si="4"/>
        <v>240.52102817481324</v>
      </c>
      <c r="K47" s="14" t="str">
        <f t="shared" si="5"/>
        <v>USD/Tonnes</v>
      </c>
      <c r="L47" s="16">
        <f t="shared" si="6"/>
        <v>145353.0471148756</v>
      </c>
      <c r="M47" s="17" t="str">
        <f t="shared" si="7"/>
        <v>FCFA/Tonnes</v>
      </c>
    </row>
    <row r="48" spans="1:13" x14ac:dyDescent="0.35">
      <c r="A48" s="13">
        <v>2023</v>
      </c>
      <c r="B48" s="14" t="s">
        <v>72</v>
      </c>
      <c r="C48" s="14" t="s">
        <v>14</v>
      </c>
      <c r="D48" s="14" t="s">
        <v>15</v>
      </c>
      <c r="E48" s="14" t="s">
        <v>16</v>
      </c>
      <c r="F48" s="14" t="s">
        <v>17</v>
      </c>
      <c r="G48" s="15">
        <v>21822</v>
      </c>
      <c r="H48" s="15">
        <v>307938113</v>
      </c>
      <c r="I48" s="15">
        <v>509556</v>
      </c>
      <c r="J48" s="16">
        <f t="shared" si="4"/>
        <v>23.350563651361011</v>
      </c>
      <c r="K48" s="14" t="str">
        <f t="shared" si="5"/>
        <v>USD/Onces</v>
      </c>
      <c r="L48" s="16">
        <f t="shared" si="6"/>
        <v>14111.360691045733</v>
      </c>
      <c r="M48" s="17" t="str">
        <f t="shared" si="7"/>
        <v>FCFA/Onces</v>
      </c>
    </row>
    <row r="49" spans="1:13" x14ac:dyDescent="0.35">
      <c r="A49" s="13">
        <v>2023</v>
      </c>
      <c r="B49" s="14" t="s">
        <v>72</v>
      </c>
      <c r="C49" s="14" t="s">
        <v>18</v>
      </c>
      <c r="D49" s="14" t="s">
        <v>19</v>
      </c>
      <c r="E49" s="14" t="s">
        <v>20</v>
      </c>
      <c r="F49" s="14" t="s">
        <v>17</v>
      </c>
      <c r="G49" s="15">
        <v>8872</v>
      </c>
      <c r="H49" s="15">
        <v>122375993</v>
      </c>
      <c r="I49" s="15">
        <v>202500</v>
      </c>
      <c r="J49" s="16">
        <f t="shared" si="4"/>
        <v>22.824616771866545</v>
      </c>
      <c r="K49" s="14" t="str">
        <f t="shared" si="5"/>
        <v>USD/Onces</v>
      </c>
      <c r="L49" s="16">
        <f t="shared" si="6"/>
        <v>13793.506875563571</v>
      </c>
      <c r="M49" s="17" t="str">
        <f t="shared" si="7"/>
        <v>FCFA/Onces</v>
      </c>
    </row>
    <row r="50" spans="1:13" x14ac:dyDescent="0.35">
      <c r="A50" s="13">
        <v>2023</v>
      </c>
      <c r="B50" s="14" t="s">
        <v>73</v>
      </c>
      <c r="C50" s="14" t="s">
        <v>23</v>
      </c>
      <c r="D50" s="14" t="s">
        <v>24</v>
      </c>
      <c r="E50" s="14" t="s">
        <v>31</v>
      </c>
      <c r="F50" s="14" t="s">
        <v>26</v>
      </c>
      <c r="G50" s="15">
        <v>4084</v>
      </c>
      <c r="H50" s="15">
        <v>358740500</v>
      </c>
      <c r="I50" s="15">
        <v>593621</v>
      </c>
      <c r="J50" s="16">
        <f t="shared" si="4"/>
        <v>145.35284035259551</v>
      </c>
      <c r="K50" s="14" t="str">
        <f t="shared" si="5"/>
        <v>USD/MT</v>
      </c>
      <c r="L50" s="16">
        <f t="shared" si="6"/>
        <v>87840.475024485801</v>
      </c>
      <c r="M50" s="17" t="str">
        <f t="shared" si="7"/>
        <v>FCFA/MT</v>
      </c>
    </row>
    <row r="51" spans="1:13" x14ac:dyDescent="0.35">
      <c r="A51" s="13">
        <v>2023</v>
      </c>
      <c r="B51" s="14" t="s">
        <v>74</v>
      </c>
      <c r="C51" s="14" t="s">
        <v>36</v>
      </c>
      <c r="D51" s="14" t="s">
        <v>37</v>
      </c>
      <c r="E51" s="14" t="s">
        <v>31</v>
      </c>
      <c r="F51" s="14" t="s">
        <v>32</v>
      </c>
      <c r="G51" s="15">
        <v>3599</v>
      </c>
      <c r="H51" s="15">
        <v>134973750</v>
      </c>
      <c r="I51" s="15">
        <v>223346</v>
      </c>
      <c r="J51" s="16">
        <f t="shared" si="4"/>
        <v>62.057793831619897</v>
      </c>
      <c r="K51" s="14" t="str">
        <f t="shared" si="5"/>
        <v>USD/Tonnes</v>
      </c>
      <c r="L51" s="16">
        <f t="shared" si="6"/>
        <v>37503.125868296745</v>
      </c>
      <c r="M51" s="17" t="str">
        <f t="shared" si="7"/>
        <v>FCFA/Tonnes</v>
      </c>
    </row>
    <row r="52" spans="1:13" x14ac:dyDescent="0.35">
      <c r="A52" s="13">
        <v>2023</v>
      </c>
      <c r="B52" s="14" t="s">
        <v>75</v>
      </c>
      <c r="C52" s="14" t="s">
        <v>23</v>
      </c>
      <c r="D52" s="14" t="s">
        <v>24</v>
      </c>
      <c r="E52" s="14" t="s">
        <v>31</v>
      </c>
      <c r="F52" s="14" t="s">
        <v>26</v>
      </c>
      <c r="G52" s="15">
        <v>1412</v>
      </c>
      <c r="H52" s="15">
        <v>8472900</v>
      </c>
      <c r="I52" s="15">
        <v>14020</v>
      </c>
      <c r="J52" s="16">
        <f t="shared" si="4"/>
        <v>9.929178470254957</v>
      </c>
      <c r="K52" s="14" t="str">
        <f t="shared" si="5"/>
        <v>USD/MT</v>
      </c>
      <c r="L52" s="16">
        <f t="shared" si="6"/>
        <v>6000.6373937677054</v>
      </c>
      <c r="M52" s="17" t="str">
        <f t="shared" si="7"/>
        <v>FCFA/MT</v>
      </c>
    </row>
    <row r="53" spans="1:13" x14ac:dyDescent="0.35">
      <c r="A53" s="13">
        <v>2023</v>
      </c>
      <c r="B53" s="14" t="s">
        <v>75</v>
      </c>
      <c r="C53" s="14" t="s">
        <v>23</v>
      </c>
      <c r="D53" s="14" t="s">
        <v>24</v>
      </c>
      <c r="E53" s="14" t="s">
        <v>39</v>
      </c>
      <c r="F53" s="14" t="s">
        <v>26</v>
      </c>
      <c r="G53" s="15">
        <v>1352</v>
      </c>
      <c r="H53" s="15">
        <v>8114700</v>
      </c>
      <c r="I53" s="15">
        <v>13428</v>
      </c>
      <c r="J53" s="16">
        <f t="shared" si="4"/>
        <v>9.9319526627218941</v>
      </c>
      <c r="K53" s="14" t="str">
        <f t="shared" si="5"/>
        <v>USD/MT</v>
      </c>
      <c r="L53" s="16">
        <f t="shared" si="6"/>
        <v>6001.997041420118</v>
      </c>
      <c r="M53" s="17" t="str">
        <f t="shared" si="7"/>
        <v>FCFA/MT</v>
      </c>
    </row>
    <row r="54" spans="1:13" x14ac:dyDescent="0.35">
      <c r="A54" s="13">
        <v>2023</v>
      </c>
      <c r="B54" s="14" t="s">
        <v>75</v>
      </c>
      <c r="C54" s="14" t="s">
        <v>23</v>
      </c>
      <c r="D54" s="14" t="s">
        <v>24</v>
      </c>
      <c r="E54" s="14" t="s">
        <v>76</v>
      </c>
      <c r="F54" s="14" t="s">
        <v>26</v>
      </c>
      <c r="G54" s="15">
        <v>100</v>
      </c>
      <c r="H54" s="15">
        <v>600000</v>
      </c>
      <c r="I54" s="15">
        <v>993</v>
      </c>
      <c r="J54" s="16">
        <f t="shared" si="4"/>
        <v>9.93</v>
      </c>
      <c r="K54" s="14" t="str">
        <f t="shared" si="5"/>
        <v>USD/MT</v>
      </c>
      <c r="L54" s="16">
        <f t="shared" si="6"/>
        <v>6000</v>
      </c>
      <c r="M54" s="17" t="str">
        <f t="shared" si="7"/>
        <v>FCFA/MT</v>
      </c>
    </row>
    <row r="55" spans="1:13" x14ac:dyDescent="0.35">
      <c r="A55" s="13">
        <v>2023</v>
      </c>
      <c r="B55" s="14" t="s">
        <v>77</v>
      </c>
      <c r="C55" s="14" t="s">
        <v>23</v>
      </c>
      <c r="D55" s="14" t="s">
        <v>24</v>
      </c>
      <c r="E55" s="14" t="s">
        <v>25</v>
      </c>
      <c r="F55" s="14" t="s">
        <v>26</v>
      </c>
      <c r="G55" s="15">
        <v>99</v>
      </c>
      <c r="H55" s="15">
        <v>12309259</v>
      </c>
      <c r="I55" s="15">
        <v>20369</v>
      </c>
      <c r="J55" s="16">
        <f t="shared" si="4"/>
        <v>205.74747474747474</v>
      </c>
      <c r="K55" s="14" t="str">
        <f t="shared" si="5"/>
        <v>USD/MT</v>
      </c>
      <c r="L55" s="16">
        <f t="shared" si="6"/>
        <v>124335.9494949495</v>
      </c>
      <c r="M55" s="17" t="str">
        <f t="shared" si="7"/>
        <v>FCFA/MT</v>
      </c>
    </row>
    <row r="56" spans="1:13" x14ac:dyDescent="0.35">
      <c r="A56" s="13">
        <v>2024</v>
      </c>
      <c r="B56" s="14" t="s">
        <v>13</v>
      </c>
      <c r="C56" s="14" t="s">
        <v>18</v>
      </c>
      <c r="D56" s="14" t="s">
        <v>19</v>
      </c>
      <c r="E56" s="14" t="s">
        <v>20</v>
      </c>
      <c r="F56" s="14" t="s">
        <v>17</v>
      </c>
      <c r="G56" s="15">
        <v>121623</v>
      </c>
      <c r="H56" s="15">
        <v>176892827875</v>
      </c>
      <c r="I56" s="15">
        <v>292498604</v>
      </c>
      <c r="J56" s="16">
        <f t="shared" si="4"/>
        <v>2404.9612655501014</v>
      </c>
      <c r="K56" s="14" t="str">
        <f t="shared" si="5"/>
        <v>USD/Onces</v>
      </c>
      <c r="L56" s="16">
        <f t="shared" si="6"/>
        <v>1454435.6567014463</v>
      </c>
      <c r="M56" s="17" t="str">
        <f t="shared" si="7"/>
        <v>FCFA/Onces</v>
      </c>
    </row>
    <row r="57" spans="1:13" x14ac:dyDescent="0.35">
      <c r="A57" s="13">
        <v>2024</v>
      </c>
      <c r="B57" s="14" t="s">
        <v>13</v>
      </c>
      <c r="C57" s="14" t="s">
        <v>14</v>
      </c>
      <c r="D57" s="14" t="s">
        <v>15</v>
      </c>
      <c r="E57" s="14" t="s">
        <v>78</v>
      </c>
      <c r="F57" s="14" t="s">
        <v>17</v>
      </c>
      <c r="G57" s="15">
        <v>116418</v>
      </c>
      <c r="H57" s="15">
        <v>171988995312</v>
      </c>
      <c r="I57" s="15">
        <v>287722269</v>
      </c>
      <c r="J57" s="16">
        <f t="shared" si="4"/>
        <v>2471.4586146472193</v>
      </c>
      <c r="K57" s="14" t="str">
        <f t="shared" si="5"/>
        <v>USD/Onces</v>
      </c>
      <c r="L57" s="16">
        <f t="shared" si="6"/>
        <v>1477340.233572128</v>
      </c>
      <c r="M57" s="17" t="str">
        <f t="shared" si="7"/>
        <v>FCFA/Onces</v>
      </c>
    </row>
    <row r="58" spans="1:13" x14ac:dyDescent="0.35">
      <c r="A58" s="13">
        <v>2024</v>
      </c>
      <c r="B58" s="14" t="s">
        <v>13</v>
      </c>
      <c r="C58" s="14" t="s">
        <v>14</v>
      </c>
      <c r="D58" s="14" t="s">
        <v>15</v>
      </c>
      <c r="E58" s="14" t="s">
        <v>16</v>
      </c>
      <c r="F58" s="14" t="s">
        <v>17</v>
      </c>
      <c r="G58" s="15">
        <v>105001</v>
      </c>
      <c r="H58" s="15">
        <v>153070817850</v>
      </c>
      <c r="I58" s="15">
        <v>254705218</v>
      </c>
      <c r="J58" s="16">
        <f t="shared" si="4"/>
        <v>2425.7408786582987</v>
      </c>
      <c r="K58" s="14" t="str">
        <f t="shared" si="5"/>
        <v>USD/Onces</v>
      </c>
      <c r="L58" s="16">
        <f t="shared" si="6"/>
        <v>1457803.4290149617</v>
      </c>
      <c r="M58" s="17" t="str">
        <f t="shared" si="7"/>
        <v>FCFA/Onces</v>
      </c>
    </row>
    <row r="59" spans="1:13" x14ac:dyDescent="0.35">
      <c r="A59" s="13">
        <v>2024</v>
      </c>
      <c r="B59" s="14" t="s">
        <v>22</v>
      </c>
      <c r="C59" s="14" t="s">
        <v>23</v>
      </c>
      <c r="D59" s="14" t="s">
        <v>24</v>
      </c>
      <c r="E59" s="14" t="s">
        <v>25</v>
      </c>
      <c r="F59" s="14" t="s">
        <v>26</v>
      </c>
      <c r="G59" s="15">
        <v>470216</v>
      </c>
      <c r="H59" s="15">
        <v>279802568290</v>
      </c>
      <c r="I59" s="15">
        <v>461333150</v>
      </c>
      <c r="J59" s="16">
        <f t="shared" si="4"/>
        <v>981.10900096976707</v>
      </c>
      <c r="K59" s="14" t="str">
        <f t="shared" si="5"/>
        <v>USD/MT</v>
      </c>
      <c r="L59" s="16">
        <f t="shared" si="6"/>
        <v>595051.14307041874</v>
      </c>
      <c r="M59" s="17" t="str">
        <f t="shared" si="7"/>
        <v>FCFA/MT</v>
      </c>
    </row>
    <row r="60" spans="1:13" x14ac:dyDescent="0.35">
      <c r="A60" s="13">
        <v>2024</v>
      </c>
      <c r="B60" s="14" t="s">
        <v>22</v>
      </c>
      <c r="C60" s="14" t="s">
        <v>23</v>
      </c>
      <c r="D60" s="14" t="s">
        <v>24</v>
      </c>
      <c r="E60" s="14" t="s">
        <v>78</v>
      </c>
      <c r="F60" s="14" t="s">
        <v>26</v>
      </c>
      <c r="G60" s="15">
        <v>13177</v>
      </c>
      <c r="H60" s="15">
        <v>7716598633</v>
      </c>
      <c r="I60" s="15">
        <v>12868549</v>
      </c>
      <c r="J60" s="16">
        <f t="shared" si="4"/>
        <v>976.59171283296655</v>
      </c>
      <c r="K60" s="14" t="str">
        <f t="shared" si="5"/>
        <v>USD/MT</v>
      </c>
      <c r="L60" s="16">
        <f t="shared" si="6"/>
        <v>585611.18866206263</v>
      </c>
      <c r="M60" s="17" t="str">
        <f t="shared" si="7"/>
        <v>FCFA/MT</v>
      </c>
    </row>
    <row r="61" spans="1:13" x14ac:dyDescent="0.35">
      <c r="A61" s="13">
        <v>2024</v>
      </c>
      <c r="B61" s="14" t="s">
        <v>28</v>
      </c>
      <c r="C61" s="14" t="s">
        <v>29</v>
      </c>
      <c r="D61" s="14" t="s">
        <v>30</v>
      </c>
      <c r="E61" s="14" t="s">
        <v>79</v>
      </c>
      <c r="F61" s="14" t="s">
        <v>32</v>
      </c>
      <c r="G61" s="15">
        <v>1196672</v>
      </c>
      <c r="H61" s="15">
        <v>56914606200</v>
      </c>
      <c r="I61" s="15">
        <v>93864632</v>
      </c>
      <c r="J61" s="16">
        <f t="shared" si="4"/>
        <v>78.438061557385822</v>
      </c>
      <c r="K61" s="14" t="str">
        <f t="shared" si="5"/>
        <v>USD/Tonnes</v>
      </c>
      <c r="L61" s="16">
        <f t="shared" si="6"/>
        <v>47560.74028639427</v>
      </c>
      <c r="M61" s="17" t="str">
        <f t="shared" si="7"/>
        <v>FCFA/Tonnes</v>
      </c>
    </row>
    <row r="62" spans="1:13" x14ac:dyDescent="0.35">
      <c r="A62" s="13">
        <v>2024</v>
      </c>
      <c r="B62" s="14" t="s">
        <v>28</v>
      </c>
      <c r="C62" s="14" t="s">
        <v>29</v>
      </c>
      <c r="D62" s="14" t="s">
        <v>30</v>
      </c>
      <c r="E62" s="14" t="s">
        <v>80</v>
      </c>
      <c r="F62" s="14" t="s">
        <v>32</v>
      </c>
      <c r="G62" s="15">
        <v>320386</v>
      </c>
      <c r="H62" s="15">
        <v>15314992585</v>
      </c>
      <c r="I62" s="15">
        <v>25257772</v>
      </c>
      <c r="J62" s="16">
        <f t="shared" si="4"/>
        <v>78.835442247788606</v>
      </c>
      <c r="K62" s="14" t="str">
        <f t="shared" si="5"/>
        <v>USD/Tonnes</v>
      </c>
      <c r="L62" s="16">
        <f t="shared" si="6"/>
        <v>47801.69103831004</v>
      </c>
      <c r="M62" s="17" t="str">
        <f t="shared" si="7"/>
        <v>FCFA/Tonnes</v>
      </c>
    </row>
    <row r="63" spans="1:13" x14ac:dyDescent="0.35">
      <c r="A63" s="13">
        <v>2024</v>
      </c>
      <c r="B63" s="14" t="s">
        <v>28</v>
      </c>
      <c r="C63" s="14" t="s">
        <v>34</v>
      </c>
      <c r="D63" s="14" t="s">
        <v>35</v>
      </c>
      <c r="E63" s="14" t="s">
        <v>31</v>
      </c>
      <c r="F63" s="14" t="s">
        <v>32</v>
      </c>
      <c r="G63" s="15">
        <v>99563</v>
      </c>
      <c r="H63" s="15">
        <v>10819242900</v>
      </c>
      <c r="I63" s="15">
        <v>17843260</v>
      </c>
      <c r="J63" s="16">
        <f t="shared" si="4"/>
        <v>179.21577292769402</v>
      </c>
      <c r="K63" s="14" t="str">
        <f t="shared" si="5"/>
        <v>USD/Tonnes</v>
      </c>
      <c r="L63" s="16">
        <f t="shared" si="6"/>
        <v>108667.3051233892</v>
      </c>
      <c r="M63" s="17" t="str">
        <f t="shared" si="7"/>
        <v>FCFA/Tonnes</v>
      </c>
    </row>
    <row r="64" spans="1:13" x14ac:dyDescent="0.35">
      <c r="A64" s="13">
        <v>2024</v>
      </c>
      <c r="B64" s="14" t="s">
        <v>28</v>
      </c>
      <c r="C64" s="14" t="s">
        <v>36</v>
      </c>
      <c r="D64" s="14" t="s">
        <v>37</v>
      </c>
      <c r="E64" s="14" t="s">
        <v>31</v>
      </c>
      <c r="F64" s="14" t="s">
        <v>32</v>
      </c>
      <c r="G64" s="15">
        <v>102356</v>
      </c>
      <c r="H64" s="15">
        <v>5152601247</v>
      </c>
      <c r="I64" s="15">
        <v>8497804</v>
      </c>
      <c r="J64" s="16">
        <f t="shared" si="4"/>
        <v>83.022040720622144</v>
      </c>
      <c r="K64" s="14" t="str">
        <f t="shared" si="5"/>
        <v>USD/Tonnes</v>
      </c>
      <c r="L64" s="16">
        <f t="shared" si="6"/>
        <v>50340.002022353357</v>
      </c>
      <c r="M64" s="17" t="str">
        <f t="shared" si="7"/>
        <v>FCFA/Tonnes</v>
      </c>
    </row>
    <row r="65" spans="1:13" x14ac:dyDescent="0.35">
      <c r="A65" s="13">
        <v>2024</v>
      </c>
      <c r="B65" s="14" t="s">
        <v>28</v>
      </c>
      <c r="C65" s="14" t="s">
        <v>36</v>
      </c>
      <c r="D65" s="14" t="s">
        <v>37</v>
      </c>
      <c r="E65" s="14" t="s">
        <v>33</v>
      </c>
      <c r="F65" s="14" t="s">
        <v>32</v>
      </c>
      <c r="G65" s="15">
        <v>21001</v>
      </c>
      <c r="H65" s="15">
        <v>1023768387</v>
      </c>
      <c r="I65" s="15">
        <v>1688414</v>
      </c>
      <c r="J65" s="16">
        <f t="shared" si="4"/>
        <v>80.396838245797824</v>
      </c>
      <c r="K65" s="14" t="str">
        <f t="shared" si="5"/>
        <v>USD/Tonnes</v>
      </c>
      <c r="L65" s="16">
        <f t="shared" si="6"/>
        <v>48748.554211704206</v>
      </c>
      <c r="M65" s="17" t="str">
        <f t="shared" si="7"/>
        <v>FCFA/Tonnes</v>
      </c>
    </row>
    <row r="66" spans="1:13" x14ac:dyDescent="0.35">
      <c r="A66" s="13">
        <v>2024</v>
      </c>
      <c r="B66" s="14" t="s">
        <v>28</v>
      </c>
      <c r="C66" s="14" t="s">
        <v>34</v>
      </c>
      <c r="D66" s="14" t="s">
        <v>35</v>
      </c>
      <c r="E66" s="14" t="s">
        <v>33</v>
      </c>
      <c r="F66" s="14" t="s">
        <v>32</v>
      </c>
      <c r="G66" s="15">
        <v>16340</v>
      </c>
      <c r="H66" s="15">
        <v>498575000</v>
      </c>
      <c r="I66" s="15">
        <v>822263</v>
      </c>
      <c r="J66" s="16">
        <f t="shared" ref="J66:J97" si="8">IFERROR(I66/G66,"NC")</f>
        <v>50.322093023255817</v>
      </c>
      <c r="K66" s="14" t="str">
        <f t="shared" ref="K66:K97" si="9">IF(J66="NC","NC","USD/"&amp;F66)</f>
        <v>USD/Tonnes</v>
      </c>
      <c r="L66" s="16">
        <f t="shared" ref="L66:L97" si="10">IFERROR(H66/G66,"NC")</f>
        <v>30512.545899632802</v>
      </c>
      <c r="M66" s="17" t="str">
        <f t="shared" ref="M66:M97" si="11">IF(L66="NC","NC","FCFA/"&amp;F66)</f>
        <v>FCFA/Tonnes</v>
      </c>
    </row>
    <row r="67" spans="1:13" x14ac:dyDescent="0.35">
      <c r="A67" s="13">
        <v>2024</v>
      </c>
      <c r="B67" s="14" t="s">
        <v>28</v>
      </c>
      <c r="C67" s="14" t="s">
        <v>36</v>
      </c>
      <c r="D67" s="14" t="s">
        <v>37</v>
      </c>
      <c r="E67" s="14" t="s">
        <v>38</v>
      </c>
      <c r="F67" s="14" t="s">
        <v>32</v>
      </c>
      <c r="G67" s="15">
        <v>7013</v>
      </c>
      <c r="H67" s="15">
        <v>410459933</v>
      </c>
      <c r="I67" s="15">
        <v>676938</v>
      </c>
      <c r="J67" s="16">
        <f t="shared" si="8"/>
        <v>96.526165692285758</v>
      </c>
      <c r="K67" s="14" t="str">
        <f t="shared" si="9"/>
        <v>USD/Tonnes</v>
      </c>
      <c r="L67" s="16">
        <f t="shared" si="10"/>
        <v>58528.437615856266</v>
      </c>
      <c r="M67" s="17" t="str">
        <f t="shared" si="11"/>
        <v>FCFA/Tonnes</v>
      </c>
    </row>
    <row r="68" spans="1:13" x14ac:dyDescent="0.35">
      <c r="A68" s="13">
        <v>2024</v>
      </c>
      <c r="B68" s="14" t="s">
        <v>28</v>
      </c>
      <c r="C68" s="14" t="s">
        <v>34</v>
      </c>
      <c r="D68" s="14" t="s">
        <v>35</v>
      </c>
      <c r="E68" s="14" t="s">
        <v>39</v>
      </c>
      <c r="F68" s="14" t="s">
        <v>32</v>
      </c>
      <c r="G68" s="15">
        <v>25717</v>
      </c>
      <c r="H68" s="15">
        <v>227326200</v>
      </c>
      <c r="I68" s="15">
        <v>374911</v>
      </c>
      <c r="J68" s="16">
        <f t="shared" si="8"/>
        <v>14.578333398141307</v>
      </c>
      <c r="K68" s="14" t="str">
        <f t="shared" si="9"/>
        <v>USD/Tonnes</v>
      </c>
      <c r="L68" s="16">
        <f t="shared" si="10"/>
        <v>8839.5302718046423</v>
      </c>
      <c r="M68" s="17" t="str">
        <f t="shared" si="11"/>
        <v>FCFA/Tonnes</v>
      </c>
    </row>
    <row r="69" spans="1:13" x14ac:dyDescent="0.35">
      <c r="A69" s="13">
        <v>2024</v>
      </c>
      <c r="B69" s="14" t="s">
        <v>28</v>
      </c>
      <c r="C69" s="14" t="s">
        <v>36</v>
      </c>
      <c r="D69" s="14" t="s">
        <v>37</v>
      </c>
      <c r="E69" s="14" t="s">
        <v>81</v>
      </c>
      <c r="F69" s="14" t="s">
        <v>32</v>
      </c>
      <c r="G69" s="15">
        <v>3989</v>
      </c>
      <c r="H69" s="15">
        <v>191512400</v>
      </c>
      <c r="I69" s="15">
        <v>315846</v>
      </c>
      <c r="J69" s="16">
        <f t="shared" si="8"/>
        <v>79.17924291802457</v>
      </c>
      <c r="K69" s="14" t="str">
        <f t="shared" si="9"/>
        <v>USD/Tonnes</v>
      </c>
      <c r="L69" s="16">
        <f t="shared" si="10"/>
        <v>48010.127851591875</v>
      </c>
      <c r="M69" s="17" t="str">
        <f t="shared" si="11"/>
        <v>FCFA/Tonnes</v>
      </c>
    </row>
    <row r="70" spans="1:13" x14ac:dyDescent="0.35">
      <c r="A70" s="13">
        <v>2024</v>
      </c>
      <c r="B70" s="14" t="s">
        <v>28</v>
      </c>
      <c r="C70" s="14" t="s">
        <v>36</v>
      </c>
      <c r="D70" s="14" t="s">
        <v>37</v>
      </c>
      <c r="E70" s="14" t="s">
        <v>40</v>
      </c>
      <c r="F70" s="14" t="s">
        <v>32</v>
      </c>
      <c r="G70" s="15">
        <v>320</v>
      </c>
      <c r="H70" s="15">
        <v>15360000</v>
      </c>
      <c r="I70" s="15">
        <v>25332</v>
      </c>
      <c r="J70" s="16">
        <f t="shared" si="8"/>
        <v>79.162499999999994</v>
      </c>
      <c r="K70" s="14" t="str">
        <f t="shared" si="9"/>
        <v>USD/Tonnes</v>
      </c>
      <c r="L70" s="16">
        <f t="shared" si="10"/>
        <v>48000</v>
      </c>
      <c r="M70" s="17" t="str">
        <f t="shared" si="11"/>
        <v>FCFA/Tonnes</v>
      </c>
    </row>
    <row r="71" spans="1:13" x14ac:dyDescent="0.35">
      <c r="A71" s="13">
        <v>2024</v>
      </c>
      <c r="B71" s="14" t="s">
        <v>82</v>
      </c>
      <c r="C71" s="14" t="s">
        <v>46</v>
      </c>
      <c r="D71" s="14" t="s">
        <v>83</v>
      </c>
      <c r="E71" s="14" t="s">
        <v>16</v>
      </c>
      <c r="F71" s="14" t="s">
        <v>32</v>
      </c>
      <c r="G71" s="15">
        <v>121573</v>
      </c>
      <c r="H71" s="15">
        <v>10898420355</v>
      </c>
      <c r="I71" s="15">
        <v>18022637</v>
      </c>
      <c r="J71" s="16">
        <f t="shared" si="8"/>
        <v>148.24539165768715</v>
      </c>
      <c r="K71" s="14" t="str">
        <f t="shared" si="9"/>
        <v>USD/Tonnes</v>
      </c>
      <c r="L71" s="16">
        <f t="shared" si="10"/>
        <v>89645.072137727955</v>
      </c>
      <c r="M71" s="17" t="str">
        <f t="shared" si="11"/>
        <v>FCFA/Tonnes</v>
      </c>
    </row>
    <row r="72" spans="1:13" x14ac:dyDescent="0.35">
      <c r="A72" s="13">
        <v>2024</v>
      </c>
      <c r="B72" s="14" t="s">
        <v>82</v>
      </c>
      <c r="C72" s="14" t="s">
        <v>48</v>
      </c>
      <c r="D72" s="14" t="s">
        <v>49</v>
      </c>
      <c r="E72" s="14" t="s">
        <v>25</v>
      </c>
      <c r="F72" s="14" t="s">
        <v>32</v>
      </c>
      <c r="G72" s="15">
        <v>94451</v>
      </c>
      <c r="H72" s="15">
        <v>7691623558</v>
      </c>
      <c r="I72" s="15">
        <v>12685169</v>
      </c>
      <c r="J72" s="16">
        <f t="shared" si="8"/>
        <v>134.30423182390868</v>
      </c>
      <c r="K72" s="14" t="str">
        <f t="shared" si="9"/>
        <v>USD/Tonnes</v>
      </c>
      <c r="L72" s="16">
        <f t="shared" si="10"/>
        <v>81435.067474140029</v>
      </c>
      <c r="M72" s="17" t="str">
        <f t="shared" si="11"/>
        <v>FCFA/Tonnes</v>
      </c>
    </row>
    <row r="73" spans="1:13" x14ac:dyDescent="0.35">
      <c r="A73" s="13">
        <v>2024</v>
      </c>
      <c r="B73" s="14" t="s">
        <v>82</v>
      </c>
      <c r="C73" s="14" t="s">
        <v>46</v>
      </c>
      <c r="D73" s="14" t="s">
        <v>83</v>
      </c>
      <c r="E73" s="14" t="s">
        <v>16</v>
      </c>
      <c r="F73" s="14" t="s">
        <v>32</v>
      </c>
      <c r="G73" s="15">
        <v>72510</v>
      </c>
      <c r="H73" s="15">
        <v>6046547100</v>
      </c>
      <c r="I73" s="15">
        <v>9922901</v>
      </c>
      <c r="J73" s="16">
        <f t="shared" si="8"/>
        <v>136.84872431388774</v>
      </c>
      <c r="K73" s="14" t="str">
        <f t="shared" si="9"/>
        <v>USD/Tonnes</v>
      </c>
      <c r="L73" s="16">
        <f t="shared" si="10"/>
        <v>83389.147703765004</v>
      </c>
      <c r="M73" s="17" t="str">
        <f t="shared" si="11"/>
        <v>FCFA/Tonnes</v>
      </c>
    </row>
    <row r="74" spans="1:13" x14ac:dyDescent="0.35">
      <c r="A74" s="13">
        <v>2024</v>
      </c>
      <c r="B74" s="14" t="s">
        <v>82</v>
      </c>
      <c r="C74" s="14" t="s">
        <v>46</v>
      </c>
      <c r="D74" s="14" t="s">
        <v>83</v>
      </c>
      <c r="E74" s="14" t="s">
        <v>62</v>
      </c>
      <c r="F74" s="14" t="s">
        <v>32</v>
      </c>
      <c r="G74" s="15">
        <v>30152</v>
      </c>
      <c r="H74" s="15">
        <v>2643705806</v>
      </c>
      <c r="I74" s="15">
        <v>4392261</v>
      </c>
      <c r="J74" s="16">
        <f t="shared" si="8"/>
        <v>145.67063544706818</v>
      </c>
      <c r="K74" s="14" t="str">
        <f t="shared" si="9"/>
        <v>USD/Tonnes</v>
      </c>
      <c r="L74" s="16">
        <f t="shared" si="10"/>
        <v>87679.285155213583</v>
      </c>
      <c r="M74" s="17" t="str">
        <f t="shared" si="11"/>
        <v>FCFA/Tonnes</v>
      </c>
    </row>
    <row r="75" spans="1:13" x14ac:dyDescent="0.35">
      <c r="A75" s="13">
        <v>2024</v>
      </c>
      <c r="B75" s="14" t="s">
        <v>82</v>
      </c>
      <c r="C75" s="14" t="s">
        <v>48</v>
      </c>
      <c r="D75" s="14" t="s">
        <v>49</v>
      </c>
      <c r="E75" s="14" t="s">
        <v>84</v>
      </c>
      <c r="F75" s="14" t="s">
        <v>32</v>
      </c>
      <c r="G75" s="15">
        <v>29612</v>
      </c>
      <c r="H75" s="15">
        <v>1885932032</v>
      </c>
      <c r="I75" s="15">
        <v>3110314</v>
      </c>
      <c r="J75" s="16">
        <f t="shared" si="8"/>
        <v>105.03559367823856</v>
      </c>
      <c r="K75" s="14" t="str">
        <f t="shared" si="9"/>
        <v>USD/Tonnes</v>
      </c>
      <c r="L75" s="16">
        <f t="shared" si="10"/>
        <v>63688.10049979738</v>
      </c>
      <c r="M75" s="17" t="str">
        <f t="shared" si="11"/>
        <v>FCFA/Tonnes</v>
      </c>
    </row>
    <row r="76" spans="1:13" x14ac:dyDescent="0.35">
      <c r="A76" s="13">
        <v>2024</v>
      </c>
      <c r="B76" s="14" t="s">
        <v>82</v>
      </c>
      <c r="C76" s="14" t="s">
        <v>48</v>
      </c>
      <c r="D76" s="14" t="s">
        <v>49</v>
      </c>
      <c r="E76" s="14" t="s">
        <v>85</v>
      </c>
      <c r="F76" s="14" t="s">
        <v>32</v>
      </c>
      <c r="G76" s="15">
        <v>25084</v>
      </c>
      <c r="H76" s="15">
        <v>1493949967</v>
      </c>
      <c r="I76" s="15">
        <v>2463850</v>
      </c>
      <c r="J76" s="16">
        <f t="shared" si="8"/>
        <v>98.223967469303147</v>
      </c>
      <c r="K76" s="14" t="str">
        <f t="shared" si="9"/>
        <v>USD/Tonnes</v>
      </c>
      <c r="L76" s="16">
        <f t="shared" si="10"/>
        <v>59557.884189124539</v>
      </c>
      <c r="M76" s="17" t="str">
        <f t="shared" si="11"/>
        <v>FCFA/Tonnes</v>
      </c>
    </row>
    <row r="77" spans="1:13" x14ac:dyDescent="0.35">
      <c r="A77" s="13">
        <v>2024</v>
      </c>
      <c r="B77" s="14" t="s">
        <v>82</v>
      </c>
      <c r="C77" s="14" t="s">
        <v>48</v>
      </c>
      <c r="D77" s="14" t="s">
        <v>49</v>
      </c>
      <c r="E77" s="14" t="s">
        <v>86</v>
      </c>
      <c r="F77" s="14" t="s">
        <v>32</v>
      </c>
      <c r="G77" s="15">
        <v>21169</v>
      </c>
      <c r="H77" s="15">
        <v>1227500356</v>
      </c>
      <c r="I77" s="15">
        <v>2024417</v>
      </c>
      <c r="J77" s="16">
        <f t="shared" si="8"/>
        <v>95.631206008786435</v>
      </c>
      <c r="K77" s="14" t="str">
        <f t="shared" si="9"/>
        <v>USD/Tonnes</v>
      </c>
      <c r="L77" s="16">
        <f t="shared" si="10"/>
        <v>57985.750673154143</v>
      </c>
      <c r="M77" s="17" t="str">
        <f t="shared" si="11"/>
        <v>FCFA/Tonnes</v>
      </c>
    </row>
    <row r="78" spans="1:13" x14ac:dyDescent="0.35">
      <c r="A78" s="13">
        <v>2024</v>
      </c>
      <c r="B78" s="14" t="s">
        <v>82</v>
      </c>
      <c r="C78" s="14" t="s">
        <v>48</v>
      </c>
      <c r="D78" s="14" t="s">
        <v>49</v>
      </c>
      <c r="E78" s="14" t="s">
        <v>52</v>
      </c>
      <c r="F78" s="14" t="s">
        <v>32</v>
      </c>
      <c r="G78" s="15">
        <v>2925</v>
      </c>
      <c r="H78" s="15">
        <v>358792082</v>
      </c>
      <c r="I78" s="15">
        <v>591727</v>
      </c>
      <c r="J78" s="16">
        <f t="shared" si="8"/>
        <v>202.29982905982905</v>
      </c>
      <c r="K78" s="14" t="str">
        <f t="shared" si="9"/>
        <v>USD/Tonnes</v>
      </c>
      <c r="L78" s="16">
        <f t="shared" si="10"/>
        <v>122663.95965811965</v>
      </c>
      <c r="M78" s="17" t="str">
        <f t="shared" si="11"/>
        <v>FCFA/Tonnes</v>
      </c>
    </row>
    <row r="79" spans="1:13" x14ac:dyDescent="0.35">
      <c r="A79" s="13">
        <v>2024</v>
      </c>
      <c r="B79" s="14" t="s">
        <v>82</v>
      </c>
      <c r="C79" s="14" t="s">
        <v>46</v>
      </c>
      <c r="D79" s="14" t="s">
        <v>83</v>
      </c>
      <c r="E79" s="14" t="s">
        <v>31</v>
      </c>
      <c r="F79" s="14" t="s">
        <v>32</v>
      </c>
      <c r="G79" s="15">
        <v>6183</v>
      </c>
      <c r="H79" s="15">
        <v>327709600</v>
      </c>
      <c r="I79" s="15">
        <v>540465</v>
      </c>
      <c r="J79" s="16">
        <f t="shared" si="8"/>
        <v>87.411450752062109</v>
      </c>
      <c r="K79" s="14" t="str">
        <f t="shared" si="9"/>
        <v>USD/Tonnes</v>
      </c>
      <c r="L79" s="16">
        <f t="shared" si="10"/>
        <v>53001.714378133591</v>
      </c>
      <c r="M79" s="17" t="str">
        <f t="shared" si="11"/>
        <v>FCFA/Tonnes</v>
      </c>
    </row>
    <row r="80" spans="1:13" x14ac:dyDescent="0.35">
      <c r="A80" s="13">
        <v>2024</v>
      </c>
      <c r="B80" s="14" t="s">
        <v>82</v>
      </c>
      <c r="C80" s="14" t="s">
        <v>48</v>
      </c>
      <c r="D80" s="14" t="s">
        <v>49</v>
      </c>
      <c r="E80" s="14" t="s">
        <v>87</v>
      </c>
      <c r="F80" s="14" t="s">
        <v>32</v>
      </c>
      <c r="G80" s="15">
        <v>3888</v>
      </c>
      <c r="H80" s="15">
        <v>150018417</v>
      </c>
      <c r="I80" s="15">
        <v>247413</v>
      </c>
      <c r="J80" s="16">
        <f t="shared" si="8"/>
        <v>63.635030864197532</v>
      </c>
      <c r="K80" s="14" t="str">
        <f t="shared" si="9"/>
        <v>USD/Tonnes</v>
      </c>
      <c r="L80" s="16">
        <f t="shared" si="10"/>
        <v>38584.983796296299</v>
      </c>
      <c r="M80" s="17" t="str">
        <f t="shared" si="11"/>
        <v>FCFA/Tonnes</v>
      </c>
    </row>
    <row r="81" spans="1:13" x14ac:dyDescent="0.35">
      <c r="A81" s="13">
        <v>2024</v>
      </c>
      <c r="B81" s="14" t="s">
        <v>88</v>
      </c>
      <c r="C81" s="14" t="s">
        <v>23</v>
      </c>
      <c r="D81" s="14" t="s">
        <v>24</v>
      </c>
      <c r="E81" s="14" t="s">
        <v>89</v>
      </c>
      <c r="F81" s="14" t="s">
        <v>26</v>
      </c>
      <c r="G81" s="15">
        <v>32978</v>
      </c>
      <c r="H81" s="15">
        <v>14570824067</v>
      </c>
      <c r="I81" s="15">
        <v>23348173</v>
      </c>
      <c r="J81" s="16">
        <f t="shared" si="8"/>
        <v>707.99238886530418</v>
      </c>
      <c r="K81" s="14" t="str">
        <f t="shared" si="9"/>
        <v>USD/MT</v>
      </c>
      <c r="L81" s="16">
        <f t="shared" si="10"/>
        <v>441834.6796955546</v>
      </c>
      <c r="M81" s="17" t="str">
        <f t="shared" si="11"/>
        <v>FCFA/MT</v>
      </c>
    </row>
    <row r="82" spans="1:13" x14ac:dyDescent="0.35">
      <c r="A82" s="13">
        <v>2024</v>
      </c>
      <c r="B82" s="14" t="s">
        <v>88</v>
      </c>
      <c r="C82" s="14" t="s">
        <v>23</v>
      </c>
      <c r="D82" s="14" t="s">
        <v>24</v>
      </c>
      <c r="E82" s="14" t="s">
        <v>16</v>
      </c>
      <c r="F82" s="14" t="s">
        <v>26</v>
      </c>
      <c r="G82" s="15">
        <v>27124</v>
      </c>
      <c r="H82" s="15">
        <v>9936719933</v>
      </c>
      <c r="I82" s="15">
        <v>16355771</v>
      </c>
      <c r="J82" s="16">
        <f t="shared" si="8"/>
        <v>602.99996313228132</v>
      </c>
      <c r="K82" s="14" t="str">
        <f t="shared" si="9"/>
        <v>USD/MT</v>
      </c>
      <c r="L82" s="16">
        <f t="shared" si="10"/>
        <v>366344.19455095119</v>
      </c>
      <c r="M82" s="17" t="str">
        <f t="shared" si="11"/>
        <v>FCFA/MT</v>
      </c>
    </row>
    <row r="83" spans="1:13" x14ac:dyDescent="0.35">
      <c r="A83" s="13">
        <v>2024</v>
      </c>
      <c r="B83" s="14" t="s">
        <v>88</v>
      </c>
      <c r="C83" s="14" t="s">
        <v>23</v>
      </c>
      <c r="D83" s="14" t="s">
        <v>24</v>
      </c>
      <c r="E83" s="14" t="s">
        <v>78</v>
      </c>
      <c r="F83" s="14" t="s">
        <v>26</v>
      </c>
      <c r="G83" s="15">
        <v>13504</v>
      </c>
      <c r="H83" s="15">
        <v>5078254628</v>
      </c>
      <c r="I83" s="15">
        <v>8345612</v>
      </c>
      <c r="J83" s="16">
        <f t="shared" si="8"/>
        <v>618.01036729857822</v>
      </c>
      <c r="K83" s="14" t="str">
        <f t="shared" si="9"/>
        <v>USD/MT</v>
      </c>
      <c r="L83" s="16">
        <f t="shared" si="10"/>
        <v>376055.58560426539</v>
      </c>
      <c r="M83" s="17" t="str">
        <f t="shared" si="11"/>
        <v>FCFA/MT</v>
      </c>
    </row>
    <row r="84" spans="1:13" x14ac:dyDescent="0.35">
      <c r="A84" s="13">
        <v>2024</v>
      </c>
      <c r="B84" s="14" t="s">
        <v>41</v>
      </c>
      <c r="C84" s="14" t="s">
        <v>42</v>
      </c>
      <c r="D84" s="14" t="s">
        <v>43</v>
      </c>
      <c r="E84" s="14" t="s">
        <v>44</v>
      </c>
      <c r="F84" s="14" t="s">
        <v>32</v>
      </c>
      <c r="G84" s="15">
        <v>387783</v>
      </c>
      <c r="H84" s="15">
        <v>57119016447</v>
      </c>
      <c r="I84" s="15">
        <v>93914020</v>
      </c>
      <c r="J84" s="16">
        <f t="shared" si="8"/>
        <v>242.18189038714951</v>
      </c>
      <c r="K84" s="14" t="str">
        <f t="shared" si="9"/>
        <v>USD/Tonnes</v>
      </c>
      <c r="L84" s="16">
        <f t="shared" si="10"/>
        <v>147296.33956877945</v>
      </c>
      <c r="M84" s="17" t="str">
        <f t="shared" si="11"/>
        <v>FCFA/Tonnes</v>
      </c>
    </row>
    <row r="85" spans="1:13" x14ac:dyDescent="0.35">
      <c r="A85" s="13">
        <v>2024</v>
      </c>
      <c r="B85" s="14" t="s">
        <v>54</v>
      </c>
      <c r="C85" s="14" t="s">
        <v>42</v>
      </c>
      <c r="D85" s="14" t="s">
        <v>43</v>
      </c>
      <c r="E85" s="14" t="s">
        <v>44</v>
      </c>
      <c r="F85" s="14" t="s">
        <v>32</v>
      </c>
      <c r="G85" s="15">
        <v>39376</v>
      </c>
      <c r="H85" s="15">
        <v>43681219368</v>
      </c>
      <c r="I85" s="15">
        <v>71996948</v>
      </c>
      <c r="J85" s="16">
        <f t="shared" si="8"/>
        <v>1828.4474806989028</v>
      </c>
      <c r="K85" s="14" t="str">
        <f t="shared" si="9"/>
        <v>USD/Tonnes</v>
      </c>
      <c r="L85" s="16">
        <f t="shared" si="10"/>
        <v>1109336.1277935798</v>
      </c>
      <c r="M85" s="17" t="str">
        <f t="shared" si="11"/>
        <v>FCFA/Tonnes</v>
      </c>
    </row>
    <row r="86" spans="1:13" x14ac:dyDescent="0.35">
      <c r="A86" s="13">
        <v>2024</v>
      </c>
      <c r="B86" s="14" t="s">
        <v>55</v>
      </c>
      <c r="C86" s="14" t="s">
        <v>42</v>
      </c>
      <c r="D86" s="14" t="s">
        <v>43</v>
      </c>
      <c r="E86" s="14" t="s">
        <v>44</v>
      </c>
      <c r="F86" s="14" t="s">
        <v>32</v>
      </c>
      <c r="G86" s="15">
        <v>27523</v>
      </c>
      <c r="H86" s="15">
        <v>28804344792</v>
      </c>
      <c r="I86" s="15">
        <v>47319361</v>
      </c>
      <c r="J86" s="16">
        <f t="shared" si="8"/>
        <v>1719.2661047124222</v>
      </c>
      <c r="K86" s="14" t="str">
        <f t="shared" si="9"/>
        <v>USD/Tonnes</v>
      </c>
      <c r="L86" s="16">
        <f t="shared" si="10"/>
        <v>1046555.4188133561</v>
      </c>
      <c r="M86" s="17" t="str">
        <f t="shared" si="11"/>
        <v>FCFA/Tonnes</v>
      </c>
    </row>
    <row r="87" spans="1:13" x14ac:dyDescent="0.35">
      <c r="A87" s="13">
        <v>2024</v>
      </c>
      <c r="B87" s="14" t="s">
        <v>56</v>
      </c>
      <c r="C87" s="14" t="s">
        <v>42</v>
      </c>
      <c r="D87" s="14" t="s">
        <v>43</v>
      </c>
      <c r="E87" s="14" t="s">
        <v>44</v>
      </c>
      <c r="F87" s="14" t="s">
        <v>32</v>
      </c>
      <c r="G87" s="15">
        <v>153286</v>
      </c>
      <c r="H87" s="15">
        <v>26445296560</v>
      </c>
      <c r="I87" s="15">
        <v>43577665</v>
      </c>
      <c r="J87" s="16">
        <f t="shared" si="8"/>
        <v>284.28992210638938</v>
      </c>
      <c r="K87" s="14" t="str">
        <f t="shared" si="9"/>
        <v>USD/Tonnes</v>
      </c>
      <c r="L87" s="16">
        <f t="shared" si="10"/>
        <v>172522.58236238142</v>
      </c>
      <c r="M87" s="17" t="str">
        <f t="shared" si="11"/>
        <v>FCFA/Tonnes</v>
      </c>
    </row>
    <row r="88" spans="1:13" x14ac:dyDescent="0.35">
      <c r="A88" s="13">
        <v>2024</v>
      </c>
      <c r="B88" s="14" t="s">
        <v>45</v>
      </c>
      <c r="C88" s="14" t="s">
        <v>50</v>
      </c>
      <c r="D88" s="14" t="s">
        <v>30</v>
      </c>
      <c r="E88" s="14" t="s">
        <v>30</v>
      </c>
      <c r="F88" s="14" t="s">
        <v>32</v>
      </c>
      <c r="G88" s="15">
        <v>147335</v>
      </c>
      <c r="H88" s="15">
        <v>10100020161</v>
      </c>
      <c r="I88" s="15">
        <v>16657142</v>
      </c>
      <c r="J88" s="16">
        <f t="shared" si="8"/>
        <v>113.05624597006822</v>
      </c>
      <c r="K88" s="14" t="str">
        <f t="shared" si="9"/>
        <v>USD/Tonnes</v>
      </c>
      <c r="L88" s="16">
        <f t="shared" si="10"/>
        <v>68551.39757016323</v>
      </c>
      <c r="M88" s="17" t="str">
        <f t="shared" si="11"/>
        <v>FCFA/Tonnes</v>
      </c>
    </row>
    <row r="89" spans="1:13" x14ac:dyDescent="0.35">
      <c r="A89" s="13">
        <v>2024</v>
      </c>
      <c r="B89" s="14" t="s">
        <v>90</v>
      </c>
      <c r="C89" s="14" t="s">
        <v>23</v>
      </c>
      <c r="D89" s="14" t="s">
        <v>24</v>
      </c>
      <c r="E89" s="14" t="s">
        <v>31</v>
      </c>
      <c r="F89" s="14" t="s">
        <v>26</v>
      </c>
      <c r="G89" s="15">
        <v>14658</v>
      </c>
      <c r="H89" s="15">
        <v>4644684890</v>
      </c>
      <c r="I89" s="15">
        <v>7630777</v>
      </c>
      <c r="J89" s="16">
        <f t="shared" si="8"/>
        <v>520.58787010506205</v>
      </c>
      <c r="K89" s="14" t="str">
        <f t="shared" si="9"/>
        <v>USD/MT</v>
      </c>
      <c r="L89" s="16">
        <f t="shared" si="10"/>
        <v>316870.30222404149</v>
      </c>
      <c r="M89" s="17" t="str">
        <f t="shared" si="11"/>
        <v>FCFA/MT</v>
      </c>
    </row>
    <row r="90" spans="1:13" x14ac:dyDescent="0.35">
      <c r="A90" s="13">
        <v>2024</v>
      </c>
      <c r="B90" s="14" t="s">
        <v>90</v>
      </c>
      <c r="C90" s="14" t="s">
        <v>23</v>
      </c>
      <c r="D90" s="14" t="s">
        <v>24</v>
      </c>
      <c r="E90" s="14" t="s">
        <v>33</v>
      </c>
      <c r="F90" s="14" t="s">
        <v>26</v>
      </c>
      <c r="G90" s="15">
        <v>5005</v>
      </c>
      <c r="H90" s="15">
        <v>1611501778</v>
      </c>
      <c r="I90" s="15">
        <v>2625000</v>
      </c>
      <c r="J90" s="16">
        <f t="shared" si="8"/>
        <v>524.47552447552448</v>
      </c>
      <c r="K90" s="14" t="str">
        <f t="shared" si="9"/>
        <v>USD/MT</v>
      </c>
      <c r="L90" s="16">
        <f t="shared" si="10"/>
        <v>321978.37722277723</v>
      </c>
      <c r="M90" s="17" t="str">
        <f t="shared" si="11"/>
        <v>FCFA/MT</v>
      </c>
    </row>
    <row r="91" spans="1:13" x14ac:dyDescent="0.35">
      <c r="A91" s="13">
        <v>2024</v>
      </c>
      <c r="B91" s="14" t="s">
        <v>58</v>
      </c>
      <c r="C91" s="14" t="s">
        <v>59</v>
      </c>
      <c r="D91" s="14" t="s">
        <v>60</v>
      </c>
      <c r="E91" s="14" t="s">
        <v>44</v>
      </c>
      <c r="F91" s="14" t="s">
        <v>32</v>
      </c>
      <c r="G91" s="15">
        <v>59499</v>
      </c>
      <c r="H91" s="15">
        <v>1642761360</v>
      </c>
      <c r="I91" s="15">
        <v>2709273</v>
      </c>
      <c r="J91" s="16">
        <f t="shared" si="8"/>
        <v>45.534765290172942</v>
      </c>
      <c r="K91" s="14" t="str">
        <f t="shared" si="9"/>
        <v>USD/Tonnes</v>
      </c>
      <c r="L91" s="16">
        <f t="shared" si="10"/>
        <v>27609.898653758886</v>
      </c>
      <c r="M91" s="17" t="str">
        <f t="shared" si="11"/>
        <v>FCFA/Tonnes</v>
      </c>
    </row>
    <row r="92" spans="1:13" x14ac:dyDescent="0.35">
      <c r="A92" s="13">
        <v>2024</v>
      </c>
      <c r="B92" s="14" t="s">
        <v>58</v>
      </c>
      <c r="C92" s="14" t="s">
        <v>59</v>
      </c>
      <c r="D92" s="14" t="s">
        <v>60</v>
      </c>
      <c r="E92" s="14" t="s">
        <v>61</v>
      </c>
      <c r="F92" s="14" t="s">
        <v>32</v>
      </c>
      <c r="G92" s="15">
        <v>66541</v>
      </c>
      <c r="H92" s="15">
        <v>1622901908</v>
      </c>
      <c r="I92" s="15">
        <v>2676520</v>
      </c>
      <c r="J92" s="16">
        <f t="shared" si="8"/>
        <v>40.223621526577595</v>
      </c>
      <c r="K92" s="14" t="str">
        <f t="shared" si="9"/>
        <v>USD/Tonnes</v>
      </c>
      <c r="L92" s="16">
        <f t="shared" si="10"/>
        <v>24389.502832839902</v>
      </c>
      <c r="M92" s="17" t="str">
        <f t="shared" si="11"/>
        <v>FCFA/Tonnes</v>
      </c>
    </row>
    <row r="93" spans="1:13" x14ac:dyDescent="0.35">
      <c r="A93" s="13">
        <v>2024</v>
      </c>
      <c r="B93" s="14" t="s">
        <v>58</v>
      </c>
      <c r="C93" s="14" t="s">
        <v>59</v>
      </c>
      <c r="D93" s="14" t="s">
        <v>60</v>
      </c>
      <c r="E93" s="14" t="s">
        <v>62</v>
      </c>
      <c r="F93" s="14" t="s">
        <v>32</v>
      </c>
      <c r="G93" s="15">
        <v>30502</v>
      </c>
      <c r="H93" s="15">
        <v>918624505</v>
      </c>
      <c r="I93" s="15">
        <v>1515013</v>
      </c>
      <c r="J93" s="16">
        <f t="shared" si="8"/>
        <v>49.669300373745983</v>
      </c>
      <c r="K93" s="14" t="str">
        <f t="shared" si="9"/>
        <v>USD/Tonnes</v>
      </c>
      <c r="L93" s="16">
        <f t="shared" si="10"/>
        <v>30116.861353353877</v>
      </c>
      <c r="M93" s="17" t="str">
        <f t="shared" si="11"/>
        <v>FCFA/Tonnes</v>
      </c>
    </row>
    <row r="94" spans="1:13" x14ac:dyDescent="0.35">
      <c r="A94" s="13">
        <v>2024</v>
      </c>
      <c r="B94" s="14" t="s">
        <v>66</v>
      </c>
      <c r="C94" s="14" t="s">
        <v>70</v>
      </c>
      <c r="D94" s="14" t="s">
        <v>69</v>
      </c>
      <c r="E94" s="14" t="s">
        <v>33</v>
      </c>
      <c r="F94" s="14" t="s">
        <v>32</v>
      </c>
      <c r="G94" s="15">
        <v>340661</v>
      </c>
      <c r="H94" s="15">
        <v>3071169676</v>
      </c>
      <c r="I94" s="15">
        <v>5065027</v>
      </c>
      <c r="J94" s="16">
        <f t="shared" si="8"/>
        <v>14.868232641834551</v>
      </c>
      <c r="K94" s="14" t="str">
        <f t="shared" si="9"/>
        <v>USD/Tonnes</v>
      </c>
      <c r="L94" s="16">
        <f t="shared" si="10"/>
        <v>9015.3251355453067</v>
      </c>
      <c r="M94" s="17" t="str">
        <f t="shared" si="11"/>
        <v>FCFA/Tonnes</v>
      </c>
    </row>
    <row r="95" spans="1:13" x14ac:dyDescent="0.35">
      <c r="A95" s="13">
        <v>2024</v>
      </c>
      <c r="B95" s="14" t="s">
        <v>66</v>
      </c>
      <c r="C95" s="14" t="s">
        <v>68</v>
      </c>
      <c r="D95" s="14" t="s">
        <v>69</v>
      </c>
      <c r="E95" s="14" t="s">
        <v>33</v>
      </c>
      <c r="F95" s="14" t="s">
        <v>32</v>
      </c>
      <c r="G95" s="14" t="s">
        <v>30</v>
      </c>
      <c r="H95" s="15">
        <v>358807621</v>
      </c>
      <c r="I95" s="15">
        <v>591755</v>
      </c>
      <c r="J95" s="16" t="str">
        <f t="shared" si="8"/>
        <v>NC</v>
      </c>
      <c r="K95" s="14" t="str">
        <f t="shared" si="9"/>
        <v>NC</v>
      </c>
      <c r="L95" s="16" t="str">
        <f t="shared" si="10"/>
        <v>NC</v>
      </c>
      <c r="M95" s="17" t="str">
        <f t="shared" si="11"/>
        <v>NC</v>
      </c>
    </row>
    <row r="96" spans="1:13" x14ac:dyDescent="0.35">
      <c r="A96" s="13">
        <v>2024</v>
      </c>
      <c r="B96" s="14" t="s">
        <v>66</v>
      </c>
      <c r="C96" s="14" t="s">
        <v>67</v>
      </c>
      <c r="D96" s="14" t="s">
        <v>30</v>
      </c>
      <c r="E96" s="14" t="s">
        <v>33</v>
      </c>
      <c r="F96" s="14" t="s">
        <v>32</v>
      </c>
      <c r="G96" s="15">
        <v>25201</v>
      </c>
      <c r="H96" s="15">
        <v>63184603</v>
      </c>
      <c r="I96" s="15">
        <v>104206</v>
      </c>
      <c r="J96" s="16">
        <f t="shared" si="8"/>
        <v>4.1349946430697191</v>
      </c>
      <c r="K96" s="14" t="str">
        <f t="shared" si="9"/>
        <v>USD/Tonnes</v>
      </c>
      <c r="L96" s="16">
        <f t="shared" si="10"/>
        <v>2507.2260227768738</v>
      </c>
      <c r="M96" s="17" t="str">
        <f t="shared" si="11"/>
        <v>FCFA/Tonnes</v>
      </c>
    </row>
    <row r="97" spans="1:13" x14ac:dyDescent="0.35">
      <c r="A97" s="13">
        <v>2024</v>
      </c>
      <c r="B97" s="14" t="s">
        <v>91</v>
      </c>
      <c r="C97" s="14" t="s">
        <v>42</v>
      </c>
      <c r="D97" s="14" t="s">
        <v>43</v>
      </c>
      <c r="E97" s="14" t="s">
        <v>44</v>
      </c>
      <c r="F97" s="14" t="s">
        <v>32</v>
      </c>
      <c r="G97" s="15">
        <v>31443</v>
      </c>
      <c r="H97" s="15">
        <v>4311499782</v>
      </c>
      <c r="I97" s="15">
        <v>7118096</v>
      </c>
      <c r="J97" s="16">
        <f t="shared" si="8"/>
        <v>226.38094329421492</v>
      </c>
      <c r="K97" s="14" t="str">
        <f t="shared" si="9"/>
        <v>USD/Tonnes</v>
      </c>
      <c r="L97" s="16">
        <f t="shared" si="10"/>
        <v>137121.13290716536</v>
      </c>
      <c r="M97" s="17" t="str">
        <f t="shared" si="11"/>
        <v>FCFA/Tonnes</v>
      </c>
    </row>
    <row r="98" spans="1:13" x14ac:dyDescent="0.35">
      <c r="A98" s="13">
        <v>2024</v>
      </c>
      <c r="B98" s="14" t="s">
        <v>63</v>
      </c>
      <c r="C98" s="14" t="s">
        <v>42</v>
      </c>
      <c r="D98" s="14" t="s">
        <v>43</v>
      </c>
      <c r="E98" s="14" t="s">
        <v>44</v>
      </c>
      <c r="F98" s="14" t="s">
        <v>32</v>
      </c>
      <c r="G98" s="15">
        <v>6092</v>
      </c>
      <c r="H98" s="15">
        <v>4539903428</v>
      </c>
      <c r="I98" s="15">
        <v>7453711</v>
      </c>
      <c r="J98" s="16">
        <f t="shared" ref="J98:J129" si="12">IFERROR(I98/G98,"NC")</f>
        <v>1223.524458305975</v>
      </c>
      <c r="K98" s="14" t="str">
        <f t="shared" ref="K98:K129" si="13">IF(J98="NC","NC","USD/"&amp;F98)</f>
        <v>USD/Tonnes</v>
      </c>
      <c r="L98" s="16">
        <f t="shared" ref="L98:L105" si="14">IFERROR(H98/G98,"NC")</f>
        <v>745223.80630334863</v>
      </c>
      <c r="M98" s="17" t="str">
        <f t="shared" ref="M98:M129" si="15">IF(L98="NC","NC","FCFA/"&amp;F98)</f>
        <v>FCFA/Tonnes</v>
      </c>
    </row>
    <row r="99" spans="1:13" x14ac:dyDescent="0.35">
      <c r="A99" s="13">
        <v>2024</v>
      </c>
      <c r="B99" s="14" t="s">
        <v>64</v>
      </c>
      <c r="C99" s="14" t="s">
        <v>42</v>
      </c>
      <c r="D99" s="14" t="s">
        <v>43</v>
      </c>
      <c r="E99" s="14" t="s">
        <v>44</v>
      </c>
      <c r="F99" s="14" t="s">
        <v>32</v>
      </c>
      <c r="G99" s="15">
        <v>2640</v>
      </c>
      <c r="H99" s="15">
        <v>2861618508</v>
      </c>
      <c r="I99" s="15">
        <v>4714166</v>
      </c>
      <c r="J99" s="16">
        <f t="shared" si="12"/>
        <v>1785.6689393939394</v>
      </c>
      <c r="K99" s="14" t="str">
        <f t="shared" si="13"/>
        <v>USD/Tonnes</v>
      </c>
      <c r="L99" s="16">
        <f t="shared" si="14"/>
        <v>1083946.4045454545</v>
      </c>
      <c r="M99" s="17" t="str">
        <f t="shared" si="15"/>
        <v>FCFA/Tonnes</v>
      </c>
    </row>
    <row r="100" spans="1:13" x14ac:dyDescent="0.35">
      <c r="A100" s="13">
        <v>2024</v>
      </c>
      <c r="B100" s="14" t="s">
        <v>71</v>
      </c>
      <c r="C100" s="14" t="s">
        <v>42</v>
      </c>
      <c r="D100" s="14" t="s">
        <v>43</v>
      </c>
      <c r="E100" s="14" t="s">
        <v>44</v>
      </c>
      <c r="F100" s="14" t="s">
        <v>32</v>
      </c>
      <c r="G100" s="15">
        <v>20001</v>
      </c>
      <c r="H100" s="15">
        <v>2761143939</v>
      </c>
      <c r="I100" s="15">
        <v>4522423</v>
      </c>
      <c r="J100" s="16">
        <f t="shared" si="12"/>
        <v>226.10984450777462</v>
      </c>
      <c r="K100" s="14" t="str">
        <f t="shared" si="13"/>
        <v>USD/Tonnes</v>
      </c>
      <c r="L100" s="16">
        <f t="shared" si="14"/>
        <v>138050.29443527825</v>
      </c>
      <c r="M100" s="17" t="str">
        <f t="shared" si="15"/>
        <v>FCFA/Tonnes</v>
      </c>
    </row>
    <row r="101" spans="1:13" x14ac:dyDescent="0.35">
      <c r="A101" s="13">
        <v>2024</v>
      </c>
      <c r="B101" s="14" t="s">
        <v>92</v>
      </c>
      <c r="C101" s="14" t="s">
        <v>23</v>
      </c>
      <c r="D101" s="14" t="s">
        <v>24</v>
      </c>
      <c r="E101" s="14" t="s">
        <v>31</v>
      </c>
      <c r="F101" s="14" t="s">
        <v>26</v>
      </c>
      <c r="G101" s="15">
        <v>1980</v>
      </c>
      <c r="H101" s="15">
        <v>792000000</v>
      </c>
      <c r="I101" s="15">
        <v>1336897</v>
      </c>
      <c r="J101" s="16">
        <f t="shared" si="12"/>
        <v>675.20050505050506</v>
      </c>
      <c r="K101" s="14" t="str">
        <f t="shared" si="13"/>
        <v>USD/MT</v>
      </c>
      <c r="L101" s="16">
        <f t="shared" si="14"/>
        <v>400000</v>
      </c>
      <c r="M101" s="17" t="str">
        <f t="shared" si="15"/>
        <v>FCFA/MT</v>
      </c>
    </row>
    <row r="102" spans="1:13" x14ac:dyDescent="0.35">
      <c r="A102" s="13">
        <v>2024</v>
      </c>
      <c r="B102" s="14" t="s">
        <v>72</v>
      </c>
      <c r="C102" s="14" t="s">
        <v>18</v>
      </c>
      <c r="D102" s="14" t="s">
        <v>19</v>
      </c>
      <c r="E102" s="14" t="s">
        <v>20</v>
      </c>
      <c r="F102" s="14" t="s">
        <v>17</v>
      </c>
      <c r="G102" s="15">
        <v>10095</v>
      </c>
      <c r="H102" s="15">
        <v>169980320</v>
      </c>
      <c r="I102" s="15">
        <v>280882</v>
      </c>
      <c r="J102" s="16">
        <f t="shared" si="12"/>
        <v>27.823873204556712</v>
      </c>
      <c r="K102" s="14" t="str">
        <f t="shared" si="13"/>
        <v>USD/Onces</v>
      </c>
      <c r="L102" s="16">
        <f t="shared" si="14"/>
        <v>16838.070331847448</v>
      </c>
      <c r="M102" s="17" t="str">
        <f t="shared" si="15"/>
        <v>FCFA/Onces</v>
      </c>
    </row>
    <row r="103" spans="1:13" x14ac:dyDescent="0.35">
      <c r="A103" s="13">
        <v>2024</v>
      </c>
      <c r="B103" s="14" t="s">
        <v>72</v>
      </c>
      <c r="C103" s="14" t="s">
        <v>14</v>
      </c>
      <c r="D103" s="14" t="s">
        <v>15</v>
      </c>
      <c r="E103" s="14" t="s">
        <v>78</v>
      </c>
      <c r="F103" s="14" t="s">
        <v>17</v>
      </c>
      <c r="G103" s="15">
        <v>8904</v>
      </c>
      <c r="H103" s="15">
        <v>156146734</v>
      </c>
      <c r="I103" s="15">
        <v>249425</v>
      </c>
      <c r="J103" s="16">
        <f t="shared" si="12"/>
        <v>28.012690925426774</v>
      </c>
      <c r="K103" s="14" t="str">
        <f t="shared" si="13"/>
        <v>USD/Onces</v>
      </c>
      <c r="L103" s="16">
        <f t="shared" si="14"/>
        <v>17536.695193171607</v>
      </c>
      <c r="M103" s="17" t="str">
        <f t="shared" si="15"/>
        <v>FCFA/Onces</v>
      </c>
    </row>
    <row r="104" spans="1:13" x14ac:dyDescent="0.35">
      <c r="A104" s="13">
        <v>2024</v>
      </c>
      <c r="B104" s="14" t="s">
        <v>72</v>
      </c>
      <c r="C104" s="14" t="s">
        <v>14</v>
      </c>
      <c r="D104" s="14" t="s">
        <v>15</v>
      </c>
      <c r="E104" s="14" t="s">
        <v>16</v>
      </c>
      <c r="F104" s="14" t="s">
        <v>17</v>
      </c>
      <c r="G104" s="15">
        <v>8181</v>
      </c>
      <c r="H104" s="15">
        <v>140740539</v>
      </c>
      <c r="I104" s="15">
        <v>233978</v>
      </c>
      <c r="J104" s="16">
        <f t="shared" si="12"/>
        <v>28.600171128223934</v>
      </c>
      <c r="K104" s="14" t="str">
        <f t="shared" si="13"/>
        <v>USD/Onces</v>
      </c>
      <c r="L104" s="16">
        <f t="shared" si="14"/>
        <v>17203.341767510083</v>
      </c>
      <c r="M104" s="17" t="str">
        <f t="shared" si="15"/>
        <v>FCFA/Onces</v>
      </c>
    </row>
    <row r="105" spans="1:13" x14ac:dyDescent="0.35">
      <c r="A105" s="18">
        <v>2024</v>
      </c>
      <c r="B105" s="19" t="s">
        <v>93</v>
      </c>
      <c r="C105" s="19" t="s">
        <v>23</v>
      </c>
      <c r="D105" s="19" t="s">
        <v>24</v>
      </c>
      <c r="E105" s="19" t="s">
        <v>31</v>
      </c>
      <c r="F105" s="19" t="s">
        <v>26</v>
      </c>
      <c r="G105" s="20">
        <v>1061</v>
      </c>
      <c r="H105" s="20">
        <v>90185000</v>
      </c>
      <c r="I105" s="20">
        <v>148477</v>
      </c>
      <c r="J105" s="21">
        <f t="shared" si="12"/>
        <v>139.9406220546654</v>
      </c>
      <c r="K105" s="19" t="str">
        <f t="shared" si="13"/>
        <v>USD/MT</v>
      </c>
      <c r="L105" s="21">
        <f t="shared" si="14"/>
        <v>85000</v>
      </c>
      <c r="M105" s="22" t="str">
        <f t="shared" si="15"/>
        <v>FCFA/MT</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zoomScaleNormal="100" workbookViewId="0">
      <pane ySplit="1" topLeftCell="A2" activePane="bottomLeft" state="frozen"/>
      <selection pane="bottomLeft" activeCell="J8" sqref="J8"/>
    </sheetView>
  </sheetViews>
  <sheetFormatPr baseColWidth="10" defaultColWidth="8.6328125" defaultRowHeight="14.5" x14ac:dyDescent="0.35"/>
  <cols>
    <col min="1" max="1" width="12" customWidth="1"/>
    <col min="2" max="2" width="16" customWidth="1"/>
    <col min="3" max="3" width="20" customWidth="1"/>
    <col min="4" max="5" width="16" customWidth="1"/>
    <col min="6" max="6" width="14" customWidth="1"/>
    <col min="7" max="9" width="16" customWidth="1"/>
    <col min="10" max="10" width="24" customWidth="1"/>
  </cols>
  <sheetData>
    <row r="1" spans="1:10" ht="42" x14ac:dyDescent="0.35">
      <c r="A1" s="1" t="s">
        <v>94</v>
      </c>
      <c r="B1" s="1" t="s">
        <v>95</v>
      </c>
      <c r="C1" s="1" t="s">
        <v>96</v>
      </c>
      <c r="D1" s="1" t="s">
        <v>97</v>
      </c>
      <c r="E1" s="1" t="s">
        <v>98</v>
      </c>
      <c r="F1" s="1" t="s">
        <v>99</v>
      </c>
      <c r="G1" s="1" t="s">
        <v>100</v>
      </c>
      <c r="H1" s="1" t="s">
        <v>101</v>
      </c>
      <c r="I1" s="1" t="s">
        <v>102</v>
      </c>
      <c r="J1" s="1" t="s">
        <v>103</v>
      </c>
    </row>
    <row r="2" spans="1:10" x14ac:dyDescent="0.35">
      <c r="A2" s="2" t="s">
        <v>104</v>
      </c>
      <c r="B2" s="2" t="s">
        <v>105</v>
      </c>
      <c r="C2" s="3">
        <v>984195</v>
      </c>
      <c r="D2" s="5">
        <v>83.63</v>
      </c>
      <c r="E2" s="3">
        <v>82304291</v>
      </c>
      <c r="F2" s="3">
        <v>46484</v>
      </c>
      <c r="G2" s="3">
        <v>3804033</v>
      </c>
      <c r="H2" s="3">
        <v>177155</v>
      </c>
      <c r="I2" s="3">
        <v>14814764</v>
      </c>
      <c r="J2" s="2" t="s">
        <v>62</v>
      </c>
    </row>
    <row r="3" spans="1:10" x14ac:dyDescent="0.35">
      <c r="A3" s="2" t="s">
        <v>106</v>
      </c>
      <c r="B3" s="2" t="s">
        <v>107</v>
      </c>
      <c r="C3" s="3">
        <v>998289</v>
      </c>
      <c r="D3" s="5">
        <v>83.33</v>
      </c>
      <c r="E3" s="3">
        <v>83183429</v>
      </c>
      <c r="F3" s="3">
        <v>47150</v>
      </c>
      <c r="G3" s="3">
        <v>3844666</v>
      </c>
      <c r="H3" s="3">
        <v>179692</v>
      </c>
      <c r="I3" s="3">
        <v>14973016</v>
      </c>
      <c r="J3" s="2" t="s">
        <v>87</v>
      </c>
    </row>
    <row r="4" spans="1:10" x14ac:dyDescent="0.35">
      <c r="A4" s="2" t="s">
        <v>108</v>
      </c>
      <c r="B4" s="2" t="s">
        <v>109</v>
      </c>
      <c r="C4" s="3">
        <v>921461</v>
      </c>
      <c r="D4" s="5">
        <v>76.47</v>
      </c>
      <c r="E4" s="3">
        <v>70464123</v>
      </c>
      <c r="F4" s="3">
        <v>43521</v>
      </c>
      <c r="G4" s="3">
        <v>3256791</v>
      </c>
      <c r="H4" s="3">
        <v>157570</v>
      </c>
      <c r="I4" s="3">
        <v>12049378</v>
      </c>
      <c r="J4" s="2" t="s">
        <v>110</v>
      </c>
    </row>
    <row r="5" spans="1:10" x14ac:dyDescent="0.35">
      <c r="A5" s="2" t="s">
        <v>111</v>
      </c>
      <c r="B5" s="2" t="s">
        <v>112</v>
      </c>
      <c r="C5" s="3">
        <v>997272</v>
      </c>
      <c r="D5" s="5">
        <v>79.73</v>
      </c>
      <c r="E5" s="3">
        <v>79510502</v>
      </c>
      <c r="F5" s="3">
        <v>47102</v>
      </c>
      <c r="G5" s="3">
        <v>3674906</v>
      </c>
      <c r="H5" s="3">
        <v>170533</v>
      </c>
      <c r="I5" s="3">
        <v>13596255</v>
      </c>
      <c r="J5" s="2" t="s">
        <v>86</v>
      </c>
    </row>
    <row r="6" spans="1:10" x14ac:dyDescent="0.35">
      <c r="A6" s="2" t="s">
        <v>113</v>
      </c>
      <c r="B6" s="2" t="s">
        <v>114</v>
      </c>
      <c r="C6" s="3">
        <v>947311</v>
      </c>
      <c r="D6" s="5">
        <v>72.040000000000006</v>
      </c>
      <c r="E6" s="3">
        <v>68244284</v>
      </c>
      <c r="F6" s="3">
        <v>44742</v>
      </c>
      <c r="G6" s="3">
        <v>3154192</v>
      </c>
      <c r="H6" s="3">
        <v>161990</v>
      </c>
      <c r="I6" s="3">
        <v>11669760</v>
      </c>
      <c r="J6" s="2" t="s">
        <v>110</v>
      </c>
    </row>
    <row r="7" spans="1:10" x14ac:dyDescent="0.35">
      <c r="A7" s="2" t="s">
        <v>115</v>
      </c>
      <c r="B7" s="2" t="s">
        <v>116</v>
      </c>
      <c r="C7" s="3">
        <v>946390</v>
      </c>
      <c r="D7" s="5">
        <v>72.040000000000006</v>
      </c>
      <c r="E7" s="3">
        <v>68177936</v>
      </c>
      <c r="F7" s="3">
        <v>44698</v>
      </c>
      <c r="G7" s="3">
        <v>3151125</v>
      </c>
      <c r="H7" s="3">
        <v>161833</v>
      </c>
      <c r="I7" s="3">
        <v>11658449</v>
      </c>
      <c r="J7" s="2" t="s">
        <v>110</v>
      </c>
    </row>
    <row r="8" spans="1:10" x14ac:dyDescent="0.35">
      <c r="A8" s="2" t="s">
        <v>117</v>
      </c>
      <c r="B8" s="2" t="s">
        <v>118</v>
      </c>
      <c r="C8" s="3">
        <v>945349</v>
      </c>
      <c r="D8" s="5">
        <v>73.22</v>
      </c>
      <c r="E8" s="3">
        <v>69217508</v>
      </c>
      <c r="F8" s="3">
        <v>44649</v>
      </c>
      <c r="G8" s="3">
        <v>3199173</v>
      </c>
      <c r="H8" s="3">
        <v>161655</v>
      </c>
      <c r="I8" s="3">
        <v>11836217</v>
      </c>
      <c r="J8" s="9" t="s">
        <v>110</v>
      </c>
    </row>
    <row r="9" spans="1:10" x14ac:dyDescent="0.35">
      <c r="A9" s="2" t="s">
        <v>119</v>
      </c>
      <c r="B9" s="2" t="s">
        <v>120</v>
      </c>
      <c r="C9" s="3">
        <v>947159</v>
      </c>
      <c r="D9" s="5">
        <v>73.53</v>
      </c>
      <c r="E9" s="3">
        <v>69641760</v>
      </c>
      <c r="F9" s="3">
        <v>44735</v>
      </c>
      <c r="G9" s="3">
        <v>3218782</v>
      </c>
      <c r="H9" s="3">
        <v>161964</v>
      </c>
      <c r="I9" s="3">
        <v>11908727</v>
      </c>
      <c r="J9" s="2" t="s">
        <v>110</v>
      </c>
    </row>
    <row r="10" spans="1:10" x14ac:dyDescent="0.35">
      <c r="A10" s="2" t="s">
        <v>121</v>
      </c>
      <c r="B10" s="2" t="s">
        <v>122</v>
      </c>
      <c r="C10" s="3">
        <v>950928</v>
      </c>
      <c r="D10" s="5">
        <v>74.72</v>
      </c>
      <c r="E10" s="3">
        <v>71049536</v>
      </c>
      <c r="F10" s="3">
        <v>44913</v>
      </c>
      <c r="G10" s="3">
        <v>3283848</v>
      </c>
      <c r="H10" s="3">
        <v>162609</v>
      </c>
      <c r="I10" s="3">
        <v>12149494</v>
      </c>
      <c r="J10" s="2" t="s">
        <v>110</v>
      </c>
    </row>
    <row r="11" spans="1:10" x14ac:dyDescent="0.35">
      <c r="A11" s="2" t="s">
        <v>123</v>
      </c>
      <c r="B11" s="2" t="s">
        <v>124</v>
      </c>
      <c r="C11" s="3">
        <v>943708</v>
      </c>
      <c r="D11" s="5">
        <v>71.91</v>
      </c>
      <c r="E11" s="3">
        <v>67858267</v>
      </c>
      <c r="F11" s="3">
        <v>44572</v>
      </c>
      <c r="G11" s="3">
        <v>3136350</v>
      </c>
      <c r="H11" s="3">
        <v>161374</v>
      </c>
      <c r="I11" s="3">
        <v>11603759</v>
      </c>
      <c r="J11" s="2" t="s">
        <v>110</v>
      </c>
    </row>
    <row r="12" spans="1:10" x14ac:dyDescent="0.35">
      <c r="A12" s="2" t="s">
        <v>125</v>
      </c>
      <c r="B12" s="2" t="s">
        <v>126</v>
      </c>
      <c r="C12" s="3">
        <v>991982</v>
      </c>
      <c r="D12" s="5">
        <v>72.680000000000007</v>
      </c>
      <c r="E12" s="3">
        <v>72096260</v>
      </c>
      <c r="F12" s="3">
        <v>46852</v>
      </c>
      <c r="G12" s="3">
        <v>3332227</v>
      </c>
      <c r="H12" s="3">
        <v>169629</v>
      </c>
      <c r="I12" s="3">
        <v>12328466</v>
      </c>
      <c r="J12" s="2" t="s">
        <v>110</v>
      </c>
    </row>
    <row r="13" spans="1:10" x14ac:dyDescent="0.35">
      <c r="A13" s="2" t="s">
        <v>127</v>
      </c>
      <c r="B13" s="2" t="s">
        <v>128</v>
      </c>
      <c r="C13" s="3">
        <v>946910</v>
      </c>
      <c r="D13" s="5">
        <v>70.650000000000006</v>
      </c>
      <c r="E13" s="3">
        <v>66899192</v>
      </c>
      <c r="F13" s="3">
        <v>44723</v>
      </c>
      <c r="G13" s="3">
        <v>3092023</v>
      </c>
      <c r="H13" s="3">
        <v>161922</v>
      </c>
      <c r="I13" s="3">
        <v>11439789</v>
      </c>
      <c r="J13" s="2" t="s">
        <v>110</v>
      </c>
    </row>
    <row r="14" spans="1:10" x14ac:dyDescent="0.35">
      <c r="A14" s="2" t="s">
        <v>129</v>
      </c>
      <c r="B14" s="2" t="s">
        <v>130</v>
      </c>
      <c r="C14" s="3">
        <v>451087</v>
      </c>
      <c r="D14" s="5">
        <v>71.44</v>
      </c>
      <c r="E14" s="3">
        <v>32224302</v>
      </c>
      <c r="F14" s="3">
        <v>21305</v>
      </c>
      <c r="G14" s="3">
        <v>1489379</v>
      </c>
      <c r="H14" s="3">
        <v>162787</v>
      </c>
      <c r="I14" s="3">
        <v>11629015</v>
      </c>
      <c r="J14" s="2" t="s">
        <v>87</v>
      </c>
    </row>
    <row r="15" spans="1:10" x14ac:dyDescent="0.35">
      <c r="A15" s="2" t="s">
        <v>131</v>
      </c>
      <c r="B15" s="2" t="s">
        <v>132</v>
      </c>
      <c r="C15" s="3">
        <v>500886</v>
      </c>
      <c r="D15" s="5">
        <v>71.540000000000006</v>
      </c>
      <c r="E15" s="3">
        <v>35835388</v>
      </c>
      <c r="F15" s="3">
        <v>23657</v>
      </c>
      <c r="G15" s="3">
        <v>1656281</v>
      </c>
      <c r="H15" s="3">
        <v>170360</v>
      </c>
      <c r="I15" s="3">
        <v>12188236</v>
      </c>
      <c r="J15" s="2" t="s">
        <v>87</v>
      </c>
    </row>
    <row r="16" spans="1:10" x14ac:dyDescent="0.35">
      <c r="A16" s="2" t="s">
        <v>133</v>
      </c>
      <c r="B16" s="2" t="s">
        <v>134</v>
      </c>
      <c r="C16" s="3">
        <v>896633</v>
      </c>
      <c r="D16" s="5">
        <v>72.180000000000007</v>
      </c>
      <c r="E16" s="3">
        <v>64720770</v>
      </c>
      <c r="F16" s="3">
        <v>42348</v>
      </c>
      <c r="G16" s="3">
        <v>2991338</v>
      </c>
      <c r="H16" s="3">
        <v>162833</v>
      </c>
      <c r="I16" s="3">
        <v>11753612</v>
      </c>
      <c r="J16" s="2" t="s">
        <v>89</v>
      </c>
    </row>
    <row r="17" spans="1:10" x14ac:dyDescent="0.35">
      <c r="A17" s="2" t="s">
        <v>135</v>
      </c>
      <c r="B17" s="2" t="s">
        <v>136</v>
      </c>
      <c r="C17" s="3">
        <v>857013</v>
      </c>
      <c r="D17" s="5">
        <v>69.98</v>
      </c>
      <c r="E17" s="3">
        <v>59973791</v>
      </c>
      <c r="F17" s="3">
        <v>40477</v>
      </c>
      <c r="G17" s="3">
        <v>2771937</v>
      </c>
      <c r="H17" s="3">
        <v>170845</v>
      </c>
      <c r="I17" s="3">
        <v>11955733</v>
      </c>
      <c r="J17" s="2" t="s">
        <v>110</v>
      </c>
    </row>
  </sheetData>
  <autoFilter ref="A1:J17"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zoomScaleNormal="100" workbookViewId="0">
      <pane ySplit="1" topLeftCell="A2" activePane="bottomLeft" state="frozen"/>
      <selection pane="bottomLeft" activeCell="E13" sqref="E13"/>
    </sheetView>
  </sheetViews>
  <sheetFormatPr baseColWidth="10" defaultColWidth="8.6328125" defaultRowHeight="14.5" x14ac:dyDescent="0.35"/>
  <cols>
    <col min="1" max="1" width="26" customWidth="1"/>
    <col min="2" max="3" width="14" customWidth="1"/>
    <col min="4" max="7" width="18" customWidth="1"/>
    <col min="8" max="8" width="14" customWidth="1"/>
  </cols>
  <sheetData>
    <row r="1" spans="1:8" ht="42" x14ac:dyDescent="0.35">
      <c r="A1" s="1" t="s">
        <v>2</v>
      </c>
      <c r="B1" s="1" t="s">
        <v>137</v>
      </c>
      <c r="C1" s="1" t="s">
        <v>138</v>
      </c>
      <c r="D1" s="1" t="s">
        <v>139</v>
      </c>
      <c r="E1" s="1" t="s">
        <v>140</v>
      </c>
      <c r="F1" s="1" t="s">
        <v>141</v>
      </c>
      <c r="G1" s="1" t="s">
        <v>142</v>
      </c>
      <c r="H1" s="1" t="s">
        <v>5</v>
      </c>
    </row>
    <row r="2" spans="1:8" x14ac:dyDescent="0.35">
      <c r="A2" s="2" t="s">
        <v>14</v>
      </c>
      <c r="B2" s="3">
        <f>SUMIFS('Exportations Minières 23-24'!$G$2:$G$105,'Exportations Minières 23-24'!$C$2:$C$105,A2,'Exportations Minières 23-24'!$A$2:$A$105,2023)</f>
        <v>318519</v>
      </c>
      <c r="C2" s="3">
        <f>SUMIFS('Exportations Minières 23-24'!$G$2:$G$105,'Exportations Minières 23-24'!$C$2:$C$105,A2,'Exportations Minières 23-24'!$A$2:$A$105,2024)</f>
        <v>238504</v>
      </c>
      <c r="D2" s="4">
        <f>IFERROR((SUMIFS('Exportations Minières 23-24'!$I$2:$I$105,'Exportations Minières 23-24'!$C$2:$C$105,A2,'Exportations Minières 23-24'!$A$2:$A$105,2023))/B2,"NC")</f>
        <v>1839.4552350095285</v>
      </c>
      <c r="E2" s="4">
        <f>IFERROR((SUMIFS('Exportations Minières 23-24'!$I$2:$I$105,'Exportations Minières 23-24'!$C$2:$C$105,A2,'Exportations Minières 23-24'!$A$2:$A$105,2024))/C2,"NC")</f>
        <v>2276.3177556770538</v>
      </c>
      <c r="F2" s="4">
        <f>IFERROR((SUMIFS('Exportations Minières 23-24'!$H$2:$H$105,'Exportations Minières 23-24'!$C$2:$C$105,A2,'Exportations Minières 23-24'!$A$2:$A$105,2023))/B2,"NC")</f>
        <v>1111630.1669350965</v>
      </c>
      <c r="G2" s="4">
        <f>IFERROR((SUMIFS('Exportations Minières 23-24'!$H$2:$H$105,'Exportations Minières 23-24'!$C$2:$C$105,A2,'Exportations Minières 23-24'!$A$2:$A$105,2024))/C2,"NC")</f>
        <v>1364156.1585340288</v>
      </c>
      <c r="H2" s="2" t="s">
        <v>17</v>
      </c>
    </row>
    <row r="3" spans="1:8" x14ac:dyDescent="0.35">
      <c r="A3" s="2" t="s">
        <v>18</v>
      </c>
      <c r="B3" s="3">
        <f>SUMIFS('Exportations Minières 23-24'!$G$2:$G$105,'Exportations Minières 23-24'!$C$2:$C$105,A3,'Exportations Minières 23-24'!$A$2:$A$105,2023)</f>
        <v>128822</v>
      </c>
      <c r="C3" s="3">
        <f>SUMIFS('Exportations Minières 23-24'!$G$2:$G$105,'Exportations Minières 23-24'!$C$2:$C$105,A3,'Exportations Minières 23-24'!$A$2:$A$105,2024)</f>
        <v>131718</v>
      </c>
      <c r="D3" s="4">
        <f>IFERROR((SUMIFS('Exportations Minières 23-24'!$I$2:$I$105,'Exportations Minières 23-24'!$C$2:$C$105,A3,'Exportations Minières 23-24'!$A$2:$A$105,2023))/B3,"NC")</f>
        <v>1775.5841936936238</v>
      </c>
      <c r="E3" s="4">
        <f>IFERROR((SUMIFS('Exportations Minières 23-24'!$I$2:$I$105,'Exportations Minières 23-24'!$C$2:$C$105,A3,'Exportations Minières 23-24'!$A$2:$A$105,2024))/C3,"NC")</f>
        <v>2222.7750649114018</v>
      </c>
      <c r="F3" s="4">
        <f>IFERROR((SUMIFS('Exportations Minières 23-24'!$H$2:$H$105,'Exportations Minières 23-24'!$C$2:$C$105,A3,'Exportations Minières 23-24'!$A$2:$A$105,2023))/B3,"NC")</f>
        <v>1073031.2489403985</v>
      </c>
      <c r="G3" s="4">
        <f>IFERROR((SUMIFS('Exportations Minières 23-24'!$H$2:$H$105,'Exportations Minières 23-24'!$C$2:$C$105,A3,'Exportations Minières 23-24'!$A$2:$A$105,2024))/C3,"NC")</f>
        <v>1344256.7317678677</v>
      </c>
      <c r="H3" s="2" t="s">
        <v>17</v>
      </c>
    </row>
    <row r="4" spans="1:8" x14ac:dyDescent="0.35">
      <c r="A4" s="2" t="s">
        <v>23</v>
      </c>
      <c r="B4" s="3">
        <f>SUMIFS('Exportations Minières 23-24'!$G$2:$G$105,'Exportations Minières 23-24'!$C$2:$C$105,A4,'Exportations Minières 23-24'!$A$2:$A$105,2023)</f>
        <v>563165</v>
      </c>
      <c r="C4" s="3">
        <f>SUMIFS('Exportations Minières 23-24'!$G$2:$G$105,'Exportations Minières 23-24'!$C$2:$C$105,A4,'Exportations Minières 23-24'!$A$2:$A$105,2024)</f>
        <v>579703</v>
      </c>
      <c r="D4" s="4">
        <f>IFERROR((SUMIFS('Exportations Minières 23-24'!$I$2:$I$105,'Exportations Minières 23-24'!$C$2:$C$105,A4,'Exportations Minières 23-24'!$A$2:$A$105,2023))/B4,"NC")</f>
        <v>942.30967478447701</v>
      </c>
      <c r="E4" s="4">
        <f>IFERROR((SUMIFS('Exportations Minières 23-24'!$I$2:$I$105,'Exportations Minières 23-24'!$C$2:$C$105,A4,'Exportations Minières 23-24'!$A$2:$A$105,2024))/C4,"NC")</f>
        <v>921.14825350222441</v>
      </c>
      <c r="F4" s="4">
        <f>IFERROR((SUMIFS('Exportations Minières 23-24'!$H$2:$H$105,'Exportations Minières 23-24'!$C$2:$C$105,A4,'Exportations Minières 23-24'!$A$2:$A$105,2023))/B4,"NC")</f>
        <v>569462.00055401167</v>
      </c>
      <c r="G4" s="4">
        <f>IFERROR((SUMIFS('Exportations Minières 23-24'!$H$2:$H$105,'Exportations Minières 23-24'!$C$2:$C$105,A4,'Exportations Minières 23-24'!$A$2:$A$105,2024))/C4,"NC")</f>
        <v>559326.65040374128</v>
      </c>
      <c r="H4" s="2" t="s">
        <v>26</v>
      </c>
    </row>
    <row r="5" spans="1:8" x14ac:dyDescent="0.35">
      <c r="A5" s="2" t="s">
        <v>29</v>
      </c>
      <c r="B5" s="3">
        <f>SUMIFS('Exportations Minières 23-24'!$G$2:$G$105,'Exportations Minières 23-24'!$C$2:$C$105,A5,'Exportations Minières 23-24'!$A$2:$A$105,2023)</f>
        <v>1512362</v>
      </c>
      <c r="C5" s="3">
        <f>SUMIFS('Exportations Minières 23-24'!$G$2:$G$105,'Exportations Minières 23-24'!$C$2:$C$105,A5,'Exportations Minières 23-24'!$A$2:$A$105,2024)</f>
        <v>1517058</v>
      </c>
      <c r="D5" s="4">
        <f>IFERROR((SUMIFS('Exportations Minières 23-24'!$I$2:$I$105,'Exportations Minières 23-24'!$C$2:$C$105,A5,'Exportations Minières 23-24'!$A$2:$A$105,2023))/B5,"NC")</f>
        <v>80.691792705714633</v>
      </c>
      <c r="E5" s="4">
        <f>IFERROR((SUMIFS('Exportations Minières 23-24'!$I$2:$I$105,'Exportations Minières 23-24'!$C$2:$C$105,A5,'Exportations Minières 23-24'!$A$2:$A$105,2024))/C5,"NC")</f>
        <v>78.521983997975028</v>
      </c>
      <c r="F5" s="4">
        <f>IFERROR((SUMIFS('Exportations Minières 23-24'!$H$2:$H$105,'Exportations Minières 23-24'!$C$2:$C$105,A5,'Exportations Minières 23-24'!$A$2:$A$105,2023))/B5,"NC")</f>
        <v>48764.128062593481</v>
      </c>
      <c r="G5" s="4">
        <f>IFERROR((SUMIFS('Exportations Minières 23-24'!$H$2:$H$105,'Exportations Minières 23-24'!$C$2:$C$105,A5,'Exportations Minières 23-24'!$A$2:$A$105,2024))/C5,"NC")</f>
        <v>47611.626440782093</v>
      </c>
      <c r="H5" s="2" t="s">
        <v>32</v>
      </c>
    </row>
    <row r="6" spans="1:8" x14ac:dyDescent="0.35">
      <c r="A6" s="2" t="s">
        <v>34</v>
      </c>
      <c r="B6" s="3">
        <f>SUMIFS('Exportations Minières 23-24'!$G$2:$G$105,'Exportations Minières 23-24'!$C$2:$C$105,A6,'Exportations Minières 23-24'!$A$2:$A$105,2023)</f>
        <v>289867</v>
      </c>
      <c r="C6" s="3">
        <f>SUMIFS('Exportations Minières 23-24'!$G$2:$G$105,'Exportations Minières 23-24'!$C$2:$C$105,A6,'Exportations Minières 23-24'!$A$2:$A$105,2024)</f>
        <v>141620</v>
      </c>
      <c r="D6" s="4">
        <f>IFERROR((SUMIFS('Exportations Minières 23-24'!$I$2:$I$105,'Exportations Minières 23-24'!$C$2:$C$105,A6,'Exportations Minières 23-24'!$A$2:$A$105,2023))/B6,"NC")</f>
        <v>81.192315786205398</v>
      </c>
      <c r="E6" s="4">
        <f>IFERROR((SUMIFS('Exportations Minières 23-24'!$I$2:$I$105,'Exportations Minières 23-24'!$C$2:$C$105,A6,'Exportations Minières 23-24'!$A$2:$A$105,2024))/C6,"NC")</f>
        <v>134.44735206891681</v>
      </c>
      <c r="F6" s="4">
        <f>IFERROR((SUMIFS('Exportations Minières 23-24'!$H$2:$H$105,'Exportations Minières 23-24'!$C$2:$C$105,A6,'Exportations Minières 23-24'!$A$2:$A$105,2023))/B6,"NC")</f>
        <v>49066.607444103676</v>
      </c>
      <c r="G6" s="4">
        <f>IFERROR((SUMIFS('Exportations Minières 23-24'!$H$2:$H$105,'Exportations Minières 23-24'!$C$2:$C$105,A6,'Exportations Minières 23-24'!$A$2:$A$105,2024))/C6,"NC")</f>
        <v>81521.989125829685</v>
      </c>
      <c r="H6" s="2" t="s">
        <v>32</v>
      </c>
    </row>
    <row r="7" spans="1:8" x14ac:dyDescent="0.35">
      <c r="A7" s="2" t="s">
        <v>36</v>
      </c>
      <c r="B7" s="3">
        <f>SUMIFS('Exportations Minières 23-24'!$G$2:$G$105,'Exportations Minières 23-24'!$C$2:$C$105,A7,'Exportations Minières 23-24'!$A$2:$A$105,2023)</f>
        <v>176324</v>
      </c>
      <c r="C7" s="3">
        <f>SUMIFS('Exportations Minières 23-24'!$G$2:$G$105,'Exportations Minières 23-24'!$C$2:$C$105,A7,'Exportations Minières 23-24'!$A$2:$A$105,2024)</f>
        <v>134679</v>
      </c>
      <c r="D7" s="4">
        <f>IFERROR((SUMIFS('Exportations Minières 23-24'!$I$2:$I$105,'Exportations Minières 23-24'!$C$2:$C$105,A7,'Exportations Minières 23-24'!$A$2:$A$105,2023))/B7,"NC")</f>
        <v>82.958927882761287</v>
      </c>
      <c r="E7" s="4">
        <f>IFERROR((SUMIFS('Exportations Minières 23-24'!$I$2:$I$105,'Exportations Minières 23-24'!$C$2:$C$105,A7,'Exportations Minières 23-24'!$A$2:$A$105,2024))/C7,"NC")</f>
        <v>83.192880850021155</v>
      </c>
      <c r="F7" s="4">
        <f>IFERROR((SUMIFS('Exportations Minières 23-24'!$H$2:$H$105,'Exportations Minières 23-24'!$C$2:$C$105,A7,'Exportations Minières 23-24'!$A$2:$A$105,2023))/B7,"NC")</f>
        <v>50134.216397087177</v>
      </c>
      <c r="G7" s="4">
        <f>IFERROR((SUMIFS('Exportations Minières 23-24'!$H$2:$H$105,'Exportations Minières 23-24'!$C$2:$C$105,A7,'Exportations Minières 23-24'!$A$2:$A$105,2024))/C7,"NC")</f>
        <v>50443.662092828134</v>
      </c>
      <c r="H7" s="2" t="s">
        <v>32</v>
      </c>
    </row>
    <row r="8" spans="1:8" x14ac:dyDescent="0.35">
      <c r="A8" s="2" t="s">
        <v>42</v>
      </c>
      <c r="B8" s="3">
        <f>SUMIFS('Exportations Minières 23-24'!$G$2:$G$105,'Exportations Minières 23-24'!$C$2:$C$105,A8,'Exportations Minières 23-24'!$A$2:$A$105,2023)</f>
        <v>502049</v>
      </c>
      <c r="C8" s="3">
        <f>SUMIFS('Exportations Minières 23-24'!$G$2:$G$105,'Exportations Minières 23-24'!$C$2:$C$105,A8,'Exportations Minières 23-24'!$A$2:$A$105,2024)</f>
        <v>668144</v>
      </c>
      <c r="D8" s="4">
        <f>IFERROR((SUMIFS('Exportations Minières 23-24'!$I$2:$I$105,'Exportations Minières 23-24'!$C$2:$C$105,A8,'Exportations Minières 23-24'!$A$2:$A$105,2023))/B8,"NC")</f>
        <v>463.16961093439085</v>
      </c>
      <c r="E8" s="4">
        <f>IFERROR((SUMIFS('Exportations Minières 23-24'!$I$2:$I$105,'Exportations Minières 23-24'!$C$2:$C$105,A8,'Exportations Minières 23-24'!$A$2:$A$105,2024))/C8,"NC")</f>
        <v>419.99387856509975</v>
      </c>
      <c r="F8" s="4">
        <f>IFERROR((SUMIFS('Exportations Minières 23-24'!$H$2:$H$105,'Exportations Minières 23-24'!$C$2:$C$105,A8,'Exportations Minières 23-24'!$A$2:$A$105,2023))/B8,"NC")</f>
        <v>279905.32271152816</v>
      </c>
      <c r="G8" s="4">
        <f>IFERROR((SUMIFS('Exportations Minières 23-24'!$H$2:$H$105,'Exportations Minières 23-24'!$C$2:$C$105,A8,'Exportations Minières 23-24'!$A$2:$A$105,2024))/C8,"NC")</f>
        <v>255220.49561771116</v>
      </c>
      <c r="H8" s="2" t="s">
        <v>32</v>
      </c>
    </row>
    <row r="9" spans="1:8" x14ac:dyDescent="0.35">
      <c r="A9" s="2" t="s">
        <v>46</v>
      </c>
      <c r="B9" s="3">
        <f>SUMIFS('Exportations Minières 23-24'!$G$2:$G$105,'Exportations Minières 23-24'!$C$2:$C$105,A9,'Exportations Minières 23-24'!$A$2:$A$105,2023)</f>
        <v>369936</v>
      </c>
      <c r="C9" s="3">
        <f>SUMIFS('Exportations Minières 23-24'!$G$2:$G$105,'Exportations Minières 23-24'!$C$2:$C$105,A9,'Exportations Minières 23-24'!$A$2:$A$105,2024)</f>
        <v>230418</v>
      </c>
      <c r="D9" s="4">
        <f>IFERROR((SUMIFS('Exportations Minières 23-24'!$I$2:$I$105,'Exportations Minières 23-24'!$C$2:$C$105,A9,'Exportations Minières 23-24'!$A$2:$A$105,2023))/B9,"NC")</f>
        <v>160.44609337831409</v>
      </c>
      <c r="E9" s="4">
        <f>IFERROR((SUMIFS('Exportations Minières 23-24'!$I$2:$I$105,'Exportations Minières 23-24'!$C$2:$C$105,A9,'Exportations Minières 23-24'!$A$2:$A$105,2024))/C9,"NC")</f>
        <v>142.68965098212814</v>
      </c>
      <c r="F9" s="4">
        <f>IFERROR((SUMIFS('Exportations Minières 23-24'!$H$2:$H$105,'Exportations Minières 23-24'!$C$2:$C$105,A9,'Exportations Minières 23-24'!$A$2:$A$105,2023))/B9,"NC")</f>
        <v>96961.707587258337</v>
      </c>
      <c r="G9" s="4">
        <f>IFERROR((SUMIFS('Exportations Minières 23-24'!$H$2:$H$105,'Exportations Minières 23-24'!$C$2:$C$105,A9,'Exportations Minières 23-24'!$A$2:$A$105,2024))/C9,"NC")</f>
        <v>86435.881142098267</v>
      </c>
      <c r="H9" s="2" t="s">
        <v>32</v>
      </c>
    </row>
    <row r="10" spans="1:8" x14ac:dyDescent="0.35">
      <c r="A10" s="2" t="s">
        <v>48</v>
      </c>
      <c r="B10" s="3">
        <f>SUMIFS('Exportations Minières 23-24'!$G$2:$G$105,'Exportations Minières 23-24'!$C$2:$C$105,A10,'Exportations Minières 23-24'!$A$2:$A$105,2023)</f>
        <v>114902</v>
      </c>
      <c r="C10" s="3">
        <f>SUMIFS('Exportations Minières 23-24'!$G$2:$G$105,'Exportations Minières 23-24'!$C$2:$C$105,A10,'Exportations Minières 23-24'!$A$2:$A$105,2024)</f>
        <v>177129</v>
      </c>
      <c r="D10" s="4">
        <f>IFERROR((SUMIFS('Exportations Minières 23-24'!$I$2:$I$105,'Exportations Minières 23-24'!$C$2:$C$105,A10,'Exportations Minières 23-24'!$A$2:$A$105,2023))/B10,"NC")</f>
        <v>137.52578719256411</v>
      </c>
      <c r="E10" s="4">
        <f>IFERROR((SUMIFS('Exportations Minières 23-24'!$I$2:$I$105,'Exportations Minières 23-24'!$C$2:$C$105,A10,'Exportations Minières 23-24'!$A$2:$A$105,2024))/C10,"NC")</f>
        <v>119.25144950855027</v>
      </c>
      <c r="F10" s="4">
        <f>IFERROR((SUMIFS('Exportations Minières 23-24'!$H$2:$H$105,'Exportations Minières 23-24'!$C$2:$C$105,A10,'Exportations Minières 23-24'!$A$2:$A$105,2023))/B10,"NC")</f>
        <v>83110.376425127499</v>
      </c>
      <c r="G10" s="4">
        <f>IFERROR((SUMIFS('Exportations Minières 23-24'!$H$2:$H$105,'Exportations Minières 23-24'!$C$2:$C$105,A10,'Exportations Minières 23-24'!$A$2:$A$105,2024))/C10,"NC")</f>
        <v>72307.84576212817</v>
      </c>
      <c r="H10" s="2" t="s">
        <v>32</v>
      </c>
    </row>
    <row r="11" spans="1:8" x14ac:dyDescent="0.35">
      <c r="A11" s="2" t="s">
        <v>50</v>
      </c>
      <c r="B11" s="3">
        <f>SUMIFS('Exportations Minières 23-24'!$G$2:$G$105,'Exportations Minières 23-24'!$C$2:$C$105,A11,'Exportations Minières 23-24'!$A$2:$A$105,2023)</f>
        <v>120731</v>
      </c>
      <c r="C11" s="3">
        <f>SUMIFS('Exportations Minières 23-24'!$G$2:$G$105,'Exportations Minières 23-24'!$C$2:$C$105,A11,'Exportations Minières 23-24'!$A$2:$A$105,2024)</f>
        <v>147335</v>
      </c>
      <c r="D11" s="4">
        <f>IFERROR((SUMIFS('Exportations Minières 23-24'!$I$2:$I$105,'Exportations Minières 23-24'!$C$2:$C$105,A11,'Exportations Minières 23-24'!$A$2:$A$105,2023))/B11,"NC")</f>
        <v>95.988569630003894</v>
      </c>
      <c r="E11" s="4">
        <f>IFERROR((SUMIFS('Exportations Minières 23-24'!$I$2:$I$105,'Exportations Minières 23-24'!$C$2:$C$105,A11,'Exportations Minières 23-24'!$A$2:$A$105,2024))/C11,"NC")</f>
        <v>113.05624597006822</v>
      </c>
      <c r="F11" s="4">
        <f>IFERROR((SUMIFS('Exportations Minières 23-24'!$H$2:$H$105,'Exportations Minières 23-24'!$C$2:$C$105,A11,'Exportations Minières 23-24'!$A$2:$A$105,2023))/B11,"NC")</f>
        <v>58008.364777894662</v>
      </c>
      <c r="G11" s="4">
        <f>IFERROR((SUMIFS('Exportations Minières 23-24'!$H$2:$H$105,'Exportations Minières 23-24'!$C$2:$C$105,A11,'Exportations Minières 23-24'!$A$2:$A$105,2024))/C11,"NC")</f>
        <v>68551.39757016323</v>
      </c>
      <c r="H11" s="2" t="s">
        <v>32</v>
      </c>
    </row>
    <row r="12" spans="1:8" x14ac:dyDescent="0.35">
      <c r="A12" s="2" t="s">
        <v>59</v>
      </c>
      <c r="B12" s="3">
        <f>SUMIFS('Exportations Minières 23-24'!$G$2:$G$105,'Exportations Minières 23-24'!$C$2:$C$105,A12,'Exportations Minières 23-24'!$A$2:$A$105,2023)</f>
        <v>180760</v>
      </c>
      <c r="C12" s="3">
        <f>SUMIFS('Exportations Minières 23-24'!$G$2:$G$105,'Exportations Minières 23-24'!$C$2:$C$105,A12,'Exportations Minières 23-24'!$A$2:$A$105,2024)</f>
        <v>156542</v>
      </c>
      <c r="D12" s="4">
        <f>IFERROR((SUMIFS('Exportations Minières 23-24'!$I$2:$I$105,'Exportations Minières 23-24'!$C$2:$C$105,A12,'Exportations Minières 23-24'!$A$2:$A$105,2023))/B12,"NC")</f>
        <v>43.271182783801727</v>
      </c>
      <c r="E12" s="4">
        <f>IFERROR((SUMIFS('Exportations Minières 23-24'!$I$2:$I$105,'Exportations Minières 23-24'!$C$2:$C$105,A12,'Exportations Minières 23-24'!$A$2:$A$105,2024))/C12,"NC")</f>
        <v>44.082776507263226</v>
      </c>
      <c r="F12" s="4">
        <f>IFERROR((SUMIFS('Exportations Minières 23-24'!$H$2:$H$105,'Exportations Minières 23-24'!$C$2:$C$105,A12,'Exportations Minières 23-24'!$A$2:$A$105,2023))/B12,"NC")</f>
        <v>26149.889566275724</v>
      </c>
      <c r="G12" s="4">
        <f>IFERROR((SUMIFS('Exportations Minières 23-24'!$H$2:$H$105,'Exportations Minières 23-24'!$C$2:$C$105,A12,'Exportations Minières 23-24'!$A$2:$A$105,2024))/C12,"NC")</f>
        <v>26729.489676891826</v>
      </c>
      <c r="H12" s="2" t="s">
        <v>32</v>
      </c>
    </row>
    <row r="13" spans="1:8" x14ac:dyDescent="0.35">
      <c r="A13" s="2" t="s">
        <v>67</v>
      </c>
      <c r="B13" s="3">
        <f>SUMIFS('Exportations Minières 23-24'!$G$2:$G$105,'Exportations Minières 23-24'!$C$2:$C$105,A13,'Exportations Minières 23-24'!$A$2:$A$105,2023)</f>
        <v>22058</v>
      </c>
      <c r="C13" s="3">
        <f>SUMIFS('Exportations Minières 23-24'!$G$2:$G$105,'Exportations Minières 23-24'!$C$2:$C$105,A13,'Exportations Minières 23-24'!$A$2:$A$105,2024)</f>
        <v>25201</v>
      </c>
      <c r="D13" s="4">
        <f>IFERROR((SUMIFS('Exportations Minières 23-24'!$I$2:$I$105,'Exportations Minières 23-24'!$C$2:$C$105,A13,'Exportations Minières 23-24'!$A$2:$A$105,2023))/B13,"NC")</f>
        <v>3.5173633148970893</v>
      </c>
      <c r="E13" s="4">
        <f>IFERROR((SUMIFS('Exportations Minières 23-24'!$I$2:$I$105,'Exportations Minières 23-24'!$C$2:$C$105,A13,'Exportations Minières 23-24'!$A$2:$A$105,2024))/C13,"NC")</f>
        <v>4.1349946430697191</v>
      </c>
      <c r="F13" s="4">
        <f>IFERROR((SUMIFS('Exportations Minières 23-24'!$H$2:$H$105,'Exportations Minières 23-24'!$C$2:$C$105,A13,'Exportations Minières 23-24'!$A$2:$A$105,2023))/B13,"NC")</f>
        <v>2125.6457974431046</v>
      </c>
      <c r="G13" s="4">
        <f>IFERROR((SUMIFS('Exportations Minières 23-24'!$H$2:$H$105,'Exportations Minières 23-24'!$C$2:$C$105,A13,'Exportations Minières 23-24'!$A$2:$A$105,2024))/C13,"NC")</f>
        <v>2507.2260227768738</v>
      </c>
      <c r="H13" s="2" t="s">
        <v>32</v>
      </c>
    </row>
    <row r="14" spans="1:8" x14ac:dyDescent="0.35">
      <c r="A14" s="2" t="s">
        <v>68</v>
      </c>
      <c r="B14" s="3">
        <f>SUMIFS('Exportations Minières 23-24'!$G$2:$G$105,'Exportations Minières 23-24'!$C$2:$C$105,A14,'Exportations Minières 23-24'!$A$2:$A$105,2023)</f>
        <v>0</v>
      </c>
      <c r="C14" s="3">
        <f>SUMIFS('Exportations Minières 23-24'!$G$2:$G$105,'Exportations Minières 23-24'!$C$2:$C$105,A14,'Exportations Minières 23-24'!$A$2:$A$105,2024)</f>
        <v>0</v>
      </c>
      <c r="D14" s="4" t="str">
        <f>IFERROR((SUMIFS('Exportations Minières 23-24'!$I$2:$I$105,'Exportations Minières 23-24'!$C$2:$C$105,A14,'Exportations Minières 23-24'!$A$2:$A$105,2023))/B14,"NC")</f>
        <v>NC</v>
      </c>
      <c r="E14" s="4" t="str">
        <f>IFERROR((SUMIFS('Exportations Minières 23-24'!$I$2:$I$105,'Exportations Minières 23-24'!$C$2:$C$105,A14,'Exportations Minières 23-24'!$A$2:$A$105,2024))/C14,"NC")</f>
        <v>NC</v>
      </c>
      <c r="F14" s="4" t="str">
        <f>IFERROR((SUMIFS('Exportations Minières 23-24'!$H$2:$H$105,'Exportations Minières 23-24'!$C$2:$C$105,A14,'Exportations Minières 23-24'!$A$2:$A$105,2023))/B14,"NC")</f>
        <v>NC</v>
      </c>
      <c r="G14" s="4" t="str">
        <f>IFERROR((SUMIFS('Exportations Minières 23-24'!$H$2:$H$105,'Exportations Minières 23-24'!$C$2:$C$105,A14,'Exportations Minières 23-24'!$A$2:$A$105,2024))/C14,"NC")</f>
        <v>NC</v>
      </c>
      <c r="H14" s="2" t="s">
        <v>32</v>
      </c>
    </row>
    <row r="15" spans="1:8" x14ac:dyDescent="0.35">
      <c r="A15" s="2" t="s">
        <v>70</v>
      </c>
      <c r="B15" s="3">
        <f>SUMIFS('Exportations Minières 23-24'!$G$2:$G$105,'Exportations Minières 23-24'!$C$2:$C$105,A15,'Exportations Minières 23-24'!$A$2:$A$105,2023)</f>
        <v>65839</v>
      </c>
      <c r="C15" s="3">
        <f>SUMIFS('Exportations Minières 23-24'!$G$2:$G$105,'Exportations Minières 23-24'!$C$2:$C$105,A15,'Exportations Minières 23-24'!$A$2:$A$105,2024)</f>
        <v>340661</v>
      </c>
      <c r="D15" s="4">
        <f>IFERROR((SUMIFS('Exportations Minières 23-24'!$I$2:$I$105,'Exportations Minières 23-24'!$C$2:$C$105,A15,'Exportations Minières 23-24'!$A$2:$A$105,2023))/B15,"NC")</f>
        <v>14.2440498792509</v>
      </c>
      <c r="E15" s="4">
        <f>IFERROR((SUMIFS('Exportations Minières 23-24'!$I$2:$I$105,'Exportations Minières 23-24'!$C$2:$C$105,A15,'Exportations Minières 23-24'!$A$2:$A$105,2024))/C15,"NC")</f>
        <v>14.868232641834551</v>
      </c>
      <c r="F15" s="4">
        <f>IFERROR((SUMIFS('Exportations Minières 23-24'!$H$2:$H$105,'Exportations Minières 23-24'!$C$2:$C$105,A15,'Exportations Minières 23-24'!$A$2:$A$105,2023))/B15,"NC")</f>
        <v>8608.0416166709692</v>
      </c>
      <c r="G15" s="4">
        <f>IFERROR((SUMIFS('Exportations Minières 23-24'!$H$2:$H$105,'Exportations Minières 23-24'!$C$2:$C$105,A15,'Exportations Minières 23-24'!$A$2:$A$105,2024))/C15,"NC")</f>
        <v>9015.3251355453067</v>
      </c>
      <c r="H15" s="2" t="s">
        <v>32</v>
      </c>
    </row>
  </sheetData>
  <autoFilter ref="A1:H1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
  <sheetViews>
    <sheetView zoomScaleNormal="100" workbookViewId="0">
      <pane ySplit="1" topLeftCell="A2" activePane="bottomLeft" state="frozen"/>
      <selection pane="bottomLeft"/>
    </sheetView>
  </sheetViews>
  <sheetFormatPr baseColWidth="10" defaultColWidth="8.6328125" defaultRowHeight="14.5" x14ac:dyDescent="0.35"/>
  <cols>
    <col min="1" max="1" width="26" customWidth="1"/>
    <col min="2" max="3" width="14" customWidth="1"/>
    <col min="4" max="7" width="18" customWidth="1"/>
    <col min="8" max="8" width="14" customWidth="1"/>
  </cols>
  <sheetData>
    <row r="1" spans="1:8" ht="42" x14ac:dyDescent="0.35">
      <c r="A1" s="1" t="s">
        <v>1</v>
      </c>
      <c r="B1" s="1" t="s">
        <v>137</v>
      </c>
      <c r="C1" s="1" t="s">
        <v>138</v>
      </c>
      <c r="D1" s="1" t="s">
        <v>139</v>
      </c>
      <c r="E1" s="1" t="s">
        <v>140</v>
      </c>
      <c r="F1" s="1" t="s">
        <v>141</v>
      </c>
      <c r="G1" s="1" t="s">
        <v>142</v>
      </c>
      <c r="H1" s="1" t="s">
        <v>5</v>
      </c>
    </row>
    <row r="2" spans="1:8" x14ac:dyDescent="0.35">
      <c r="A2" s="2" t="s">
        <v>13</v>
      </c>
      <c r="B2" s="3">
        <f>SUMIFS('Exportations Minières 23-24'!$G$2:$G$105,'Exportations Minières 23-24'!$B$2:$B$105,A2,'Exportations Minières 23-24'!$A$2:$A$105,2023)</f>
        <v>416647</v>
      </c>
      <c r="C2" s="3">
        <f>SUMIFS('Exportations Minières 23-24'!$G$2:$G$105,'Exportations Minières 23-24'!$B$2:$B$105,A2,'Exportations Minières 23-24'!$A$2:$A$105,2024)</f>
        <v>343042</v>
      </c>
      <c r="D2" s="4">
        <f>IFERROR((SUMIFS('Exportations Minières 23-24'!$I$2:$I$105,'Exportations Minières 23-24'!$B$2:$B$105,A2,'Exportations Minières 23-24'!$A$2:$A$105,2023))/B2,"NC")</f>
        <v>1953.5090688280486</v>
      </c>
      <c r="E2" s="4">
        <f>IFERROR((SUMIFS('Exportations Minières 23-24'!$I$2:$I$105,'Exportations Minières 23-24'!$B$2:$B$105,A2,'Exportations Minières 23-24'!$A$2:$A$105,2024))/C2,"NC")</f>
        <v>2433.8888270240964</v>
      </c>
      <c r="F2" s="4">
        <f>IFERROR((SUMIFS('Exportations Minières 23-24'!$H$2:$H$105,'Exportations Minières 23-24'!$B$2:$B$105,A2,'Exportations Minières 23-24'!$A$2:$A$105,2023))/B2,"NC")</f>
        <v>1180555.8340441668</v>
      </c>
      <c r="G2" s="4">
        <f>IFERROR((SUMIFS('Exportations Minières 23-24'!$H$2:$H$105,'Exportations Minières 23-24'!$B$2:$B$105,A2,'Exportations Minières 23-24'!$A$2:$A$105,2024))/C2,"NC")</f>
        <v>1463239.6063368334</v>
      </c>
      <c r="H2" s="2" t="s">
        <v>17</v>
      </c>
    </row>
    <row r="3" spans="1:8" x14ac:dyDescent="0.35">
      <c r="A3" s="2" t="s">
        <v>22</v>
      </c>
      <c r="B3" s="3">
        <f>SUMIFS('Exportations Minières 23-24'!$G$2:$G$105,'Exportations Minières 23-24'!$B$2:$B$105,A3,'Exportations Minières 23-24'!$A$2:$A$105,2023)</f>
        <v>508678</v>
      </c>
      <c r="C3" s="3">
        <f>SUMIFS('Exportations Minières 23-24'!$G$2:$G$105,'Exportations Minières 23-24'!$B$2:$B$105,A3,'Exportations Minières 23-24'!$A$2:$A$105,2024)</f>
        <v>483393</v>
      </c>
      <c r="D3" s="4">
        <f>IFERROR((SUMIFS('Exportations Minières 23-24'!$I$2:$I$105,'Exportations Minières 23-24'!$B$2:$B$105,A3,'Exportations Minières 23-24'!$A$2:$A$105,2023))/B3,"NC")</f>
        <v>978.28797589044541</v>
      </c>
      <c r="E3" s="4">
        <f>IFERROR((SUMIFS('Exportations Minières 23-24'!$I$2:$I$105,'Exportations Minières 23-24'!$B$2:$B$105,A3,'Exportations Minières 23-24'!$A$2:$A$105,2024))/C3,"NC")</f>
        <v>980.9858624349132</v>
      </c>
      <c r="F3" s="4">
        <f>IFERROR((SUMIFS('Exportations Minières 23-24'!$H$2:$H$105,'Exportations Minières 23-24'!$B$2:$B$105,A3,'Exportations Minières 23-24'!$A$2:$A$105,2023))/B3,"NC")</f>
        <v>591204.61522416933</v>
      </c>
      <c r="G3" s="4">
        <f>IFERROR((SUMIFS('Exportations Minières 23-24'!$H$2:$H$105,'Exportations Minières 23-24'!$B$2:$B$105,A3,'Exportations Minières 23-24'!$A$2:$A$105,2024))/C3,"NC")</f>
        <v>594793.81563862122</v>
      </c>
      <c r="H3" s="2" t="s">
        <v>26</v>
      </c>
    </row>
    <row r="4" spans="1:8" x14ac:dyDescent="0.35">
      <c r="A4" s="2" t="s">
        <v>28</v>
      </c>
      <c r="B4" s="3">
        <f>SUMIFS('Exportations Minières 23-24'!$G$2:$G$105,'Exportations Minières 23-24'!$B$2:$B$105,A4,'Exportations Minières 23-24'!$A$2:$A$105,2023)</f>
        <v>1974954</v>
      </c>
      <c r="C4" s="3">
        <f>SUMIFS('Exportations Minières 23-24'!$G$2:$G$105,'Exportations Minières 23-24'!$B$2:$B$105,A4,'Exportations Minières 23-24'!$A$2:$A$105,2024)</f>
        <v>1793357</v>
      </c>
      <c r="D4" s="4">
        <f>IFERROR((SUMIFS('Exportations Minières 23-24'!$I$2:$I$105,'Exportations Minières 23-24'!$B$2:$B$105,A4,'Exportations Minières 23-24'!$A$2:$A$105,2023))/B4,"NC")</f>
        <v>81.001622316266605</v>
      </c>
      <c r="E4" s="4">
        <f>IFERROR((SUMIFS('Exportations Minières 23-24'!$I$2:$I$105,'Exportations Minières 23-24'!$B$2:$B$105,A4,'Exportations Minières 23-24'!$A$2:$A$105,2024))/C4,"NC")</f>
        <v>83.289145440645669</v>
      </c>
      <c r="F4" s="4">
        <f>IFERROR((SUMIFS('Exportations Minières 23-24'!$H$2:$H$105,'Exportations Minières 23-24'!$B$2:$B$105,A4,'Exportations Minières 23-24'!$A$2:$A$105,2023))/B4,"NC")</f>
        <v>48951.366141692415</v>
      </c>
      <c r="G4" s="4">
        <f>IFERROR((SUMIFS('Exportations Minières 23-24'!$H$2:$H$105,'Exportations Minières 23-24'!$B$2:$B$105,A4,'Exportations Minières 23-24'!$A$2:$A$105,2024))/C4,"NC")</f>
        <v>50502.183810585397</v>
      </c>
      <c r="H4" s="2" t="s">
        <v>32</v>
      </c>
    </row>
    <row r="5" spans="1:8" x14ac:dyDescent="0.35">
      <c r="A5" s="2" t="s">
        <v>41</v>
      </c>
      <c r="B5" s="3">
        <f>SUMIFS('Exportations Minières 23-24'!$G$2:$G$105,'Exportations Minières 23-24'!$B$2:$B$105,A5,'Exportations Minières 23-24'!$A$2:$A$105,2023)</f>
        <v>292907</v>
      </c>
      <c r="C5" s="3">
        <f>SUMIFS('Exportations Minières 23-24'!$G$2:$G$105,'Exportations Minières 23-24'!$B$2:$B$105,A5,'Exportations Minières 23-24'!$A$2:$A$105,2024)</f>
        <v>387783</v>
      </c>
      <c r="D5" s="4">
        <f>IFERROR((SUMIFS('Exportations Minières 23-24'!$I$2:$I$105,'Exportations Minières 23-24'!$B$2:$B$105,A5,'Exportations Minières 23-24'!$A$2:$A$105,2023))/B5,"NC")</f>
        <v>303.70133182204592</v>
      </c>
      <c r="E5" s="4">
        <f>IFERROR((SUMIFS('Exportations Minières 23-24'!$I$2:$I$105,'Exportations Minières 23-24'!$B$2:$B$105,A5,'Exportations Minières 23-24'!$A$2:$A$105,2024))/C5,"NC")</f>
        <v>242.18189038714951</v>
      </c>
      <c r="F5" s="4">
        <f>IFERROR((SUMIFS('Exportations Minières 23-24'!$H$2:$H$105,'Exportations Minières 23-24'!$B$2:$B$105,A5,'Exportations Minières 23-24'!$A$2:$A$105,2023))/B5,"NC")</f>
        <v>183534.53442218862</v>
      </c>
      <c r="G5" s="4">
        <f>IFERROR((SUMIFS('Exportations Minières 23-24'!$H$2:$H$105,'Exportations Minières 23-24'!$B$2:$B$105,A5,'Exportations Minières 23-24'!$A$2:$A$105,2024))/C5,"NC")</f>
        <v>147296.33956877945</v>
      </c>
      <c r="H5" s="2" t="s">
        <v>32</v>
      </c>
    </row>
    <row r="6" spans="1:8" x14ac:dyDescent="0.35">
      <c r="A6" s="2" t="s">
        <v>45</v>
      </c>
      <c r="B6" s="3">
        <f>SUMIFS('Exportations Minières 23-24'!$G$2:$G$105,'Exportations Minières 23-24'!$B$2:$B$105,A6,'Exportations Minières 23-24'!$A$2:$A$105,2023)</f>
        <v>605569</v>
      </c>
      <c r="C6" s="3">
        <f>SUMIFS('Exportations Minières 23-24'!$G$2:$G$105,'Exportations Minières 23-24'!$B$2:$B$105,A6,'Exportations Minières 23-24'!$A$2:$A$105,2024)</f>
        <v>147335</v>
      </c>
      <c r="D6" s="4">
        <f>IFERROR((SUMIFS('Exportations Minières 23-24'!$I$2:$I$105,'Exportations Minières 23-24'!$B$2:$B$105,A6,'Exportations Minières 23-24'!$A$2:$A$105,2023))/B6,"NC")</f>
        <v>143.24638480503461</v>
      </c>
      <c r="E6" s="4">
        <f>IFERROR((SUMIFS('Exportations Minières 23-24'!$I$2:$I$105,'Exportations Minières 23-24'!$B$2:$B$105,A6,'Exportations Minières 23-24'!$A$2:$A$105,2024))/C6,"NC")</f>
        <v>113.05624597006822</v>
      </c>
      <c r="F6" s="4">
        <f>IFERROR((SUMIFS('Exportations Minières 23-24'!$H$2:$H$105,'Exportations Minières 23-24'!$B$2:$B$105,A6,'Exportations Minières 23-24'!$A$2:$A$105,2023))/B6,"NC")</f>
        <v>86567.480531533147</v>
      </c>
      <c r="G6" s="4">
        <f>IFERROR((SUMIFS('Exportations Minières 23-24'!$H$2:$H$105,'Exportations Minières 23-24'!$B$2:$B$105,A6,'Exportations Minières 23-24'!$A$2:$A$105,2024))/C6,"NC")</f>
        <v>68551.39757016323</v>
      </c>
      <c r="H6" s="2" t="s">
        <v>32</v>
      </c>
    </row>
    <row r="7" spans="1:8" x14ac:dyDescent="0.35">
      <c r="A7" s="2" t="s">
        <v>54</v>
      </c>
      <c r="B7" s="3">
        <f>SUMIFS('Exportations Minières 23-24'!$G$2:$G$105,'Exportations Minières 23-24'!$B$2:$B$105,A7,'Exportations Minières 23-24'!$A$2:$A$105,2023)</f>
        <v>28177</v>
      </c>
      <c r="C7" s="3">
        <f>SUMIFS('Exportations Minières 23-24'!$G$2:$G$105,'Exportations Minières 23-24'!$B$2:$B$105,A7,'Exportations Minières 23-24'!$A$2:$A$105,2024)</f>
        <v>39376</v>
      </c>
      <c r="D7" s="4">
        <f>IFERROR((SUMIFS('Exportations Minières 23-24'!$I$2:$I$105,'Exportations Minières 23-24'!$B$2:$B$105,A7,'Exportations Minières 23-24'!$A$2:$A$105,2023))/B7,"NC")</f>
        <v>1931.1660219327821</v>
      </c>
      <c r="E7" s="4">
        <f>IFERROR((SUMIFS('Exportations Minières 23-24'!$I$2:$I$105,'Exportations Minières 23-24'!$B$2:$B$105,A7,'Exportations Minières 23-24'!$A$2:$A$105,2024))/C7,"NC")</f>
        <v>1828.4474806989028</v>
      </c>
      <c r="F7" s="4">
        <f>IFERROR((SUMIFS('Exportations Minières 23-24'!$H$2:$H$105,'Exportations Minières 23-24'!$B$2:$B$105,A7,'Exportations Minières 23-24'!$A$2:$A$105,2023))/B7,"NC")</f>
        <v>1167053.3583419102</v>
      </c>
      <c r="G7" s="4">
        <f>IFERROR((SUMIFS('Exportations Minières 23-24'!$H$2:$H$105,'Exportations Minières 23-24'!$B$2:$B$105,A7,'Exportations Minières 23-24'!$A$2:$A$105,2024))/C7,"NC")</f>
        <v>1109336.1277935798</v>
      </c>
      <c r="H7" s="2" t="s">
        <v>32</v>
      </c>
    </row>
    <row r="8" spans="1:8" x14ac:dyDescent="0.35">
      <c r="A8" s="2" t="s">
        <v>55</v>
      </c>
      <c r="B8" s="3">
        <f>SUMIFS('Exportations Minières 23-24'!$G$2:$G$105,'Exportations Minières 23-24'!$B$2:$B$105,A8,'Exportations Minières 23-24'!$A$2:$A$105,2023)</f>
        <v>19379</v>
      </c>
      <c r="C8" s="3">
        <f>SUMIFS('Exportations Minières 23-24'!$G$2:$G$105,'Exportations Minières 23-24'!$B$2:$B$105,A8,'Exportations Minières 23-24'!$A$2:$A$105,2024)</f>
        <v>27523</v>
      </c>
      <c r="D8" s="4">
        <f>IFERROR((SUMIFS('Exportations Minières 23-24'!$I$2:$I$105,'Exportations Minières 23-24'!$B$2:$B$105,A8,'Exportations Minières 23-24'!$A$2:$A$105,2023))/B8,"NC")</f>
        <v>1782.2886113834563</v>
      </c>
      <c r="E8" s="4">
        <f>IFERROR((SUMIFS('Exportations Minières 23-24'!$I$2:$I$105,'Exportations Minières 23-24'!$B$2:$B$105,A8,'Exportations Minières 23-24'!$A$2:$A$105,2024))/C8,"NC")</f>
        <v>1719.2661047124222</v>
      </c>
      <c r="F8" s="4">
        <f>IFERROR((SUMIFS('Exportations Minières 23-24'!$H$2:$H$105,'Exportations Minières 23-24'!$B$2:$B$105,A8,'Exportations Minières 23-24'!$A$2:$A$105,2023))/B8,"NC")</f>
        <v>1077082.8980855565</v>
      </c>
      <c r="G8" s="4">
        <f>IFERROR((SUMIFS('Exportations Minières 23-24'!$H$2:$H$105,'Exportations Minières 23-24'!$B$2:$B$105,A8,'Exportations Minières 23-24'!$A$2:$A$105,2024))/C8,"NC")</f>
        <v>1046555.4188133561</v>
      </c>
      <c r="H8" s="2" t="s">
        <v>32</v>
      </c>
    </row>
    <row r="9" spans="1:8" x14ac:dyDescent="0.35">
      <c r="A9" s="2" t="s">
        <v>56</v>
      </c>
      <c r="B9" s="3">
        <f>SUMIFS('Exportations Minières 23-24'!$G$2:$G$105,'Exportations Minières 23-24'!$B$2:$B$105,A9,'Exportations Minières 23-24'!$A$2:$A$105,2023)</f>
        <v>111716</v>
      </c>
      <c r="C9" s="3">
        <f>SUMIFS('Exportations Minières 23-24'!$G$2:$G$105,'Exportations Minières 23-24'!$B$2:$B$105,A9,'Exportations Minières 23-24'!$A$2:$A$105,2024)</f>
        <v>153286</v>
      </c>
      <c r="D9" s="4">
        <f>IFERROR((SUMIFS('Exportations Minières 23-24'!$I$2:$I$105,'Exportations Minières 23-24'!$B$2:$B$105,A9,'Exportations Minières 23-24'!$A$2:$A$105,2023))/B9,"NC")</f>
        <v>292.29414766013821</v>
      </c>
      <c r="E9" s="4">
        <f>IFERROR((SUMIFS('Exportations Minières 23-24'!$I$2:$I$105,'Exportations Minières 23-24'!$B$2:$B$105,A9,'Exportations Minières 23-24'!$A$2:$A$105,2024))/C9,"NC")</f>
        <v>284.28992210638938</v>
      </c>
      <c r="F9" s="4">
        <f>IFERROR((SUMIFS('Exportations Minières 23-24'!$H$2:$H$105,'Exportations Minières 23-24'!$B$2:$B$105,A9,'Exportations Minières 23-24'!$A$2:$A$105,2023))/B9,"NC")</f>
        <v>176640.88168212253</v>
      </c>
      <c r="G9" s="4">
        <f>IFERROR((SUMIFS('Exportations Minières 23-24'!$H$2:$H$105,'Exportations Minières 23-24'!$B$2:$B$105,A9,'Exportations Minières 23-24'!$A$2:$A$105,2024))/C9,"NC")</f>
        <v>172522.58236238142</v>
      </c>
      <c r="H9" s="2" t="s">
        <v>32</v>
      </c>
    </row>
    <row r="10" spans="1:8" x14ac:dyDescent="0.35">
      <c r="A10" s="2" t="s">
        <v>57</v>
      </c>
      <c r="B10" s="3">
        <f>SUMIFS('Exportations Minières 23-24'!$G$2:$G$105,'Exportations Minières 23-24'!$B$2:$B$105,A10,'Exportations Minières 23-24'!$A$2:$A$105,2023)</f>
        <v>47440</v>
      </c>
      <c r="C10" s="3">
        <f>SUMIFS('Exportations Minières 23-24'!$G$2:$G$105,'Exportations Minières 23-24'!$B$2:$B$105,A10,'Exportations Minières 23-24'!$A$2:$A$105,2024)</f>
        <v>0</v>
      </c>
      <c r="D10" s="4">
        <f>IFERROR((SUMIFS('Exportations Minières 23-24'!$I$2:$I$105,'Exportations Minières 23-24'!$B$2:$B$105,A10,'Exportations Minières 23-24'!$A$2:$A$105,2023))/B10,"NC")</f>
        <v>682.96429173693082</v>
      </c>
      <c r="E10" s="4" t="str">
        <f>IFERROR((SUMIFS('Exportations Minières 23-24'!$I$2:$I$105,'Exportations Minières 23-24'!$B$2:$B$105,A10,'Exportations Minières 23-24'!$A$2:$A$105,2024))/C10,"NC")</f>
        <v>NC</v>
      </c>
      <c r="F10" s="4">
        <f>IFERROR((SUMIFS('Exportations Minières 23-24'!$H$2:$H$105,'Exportations Minières 23-24'!$B$2:$B$105,A10,'Exportations Minières 23-24'!$A$2:$A$105,2023))/B10,"NC")</f>
        <v>412732.90303541312</v>
      </c>
      <c r="G10" s="4" t="str">
        <f>IFERROR((SUMIFS('Exportations Minières 23-24'!$H$2:$H$105,'Exportations Minières 23-24'!$B$2:$B$105,A10,'Exportations Minières 23-24'!$A$2:$A$105,2024))/C10,"NC")</f>
        <v>NC</v>
      </c>
      <c r="H10" s="2" t="s">
        <v>26</v>
      </c>
    </row>
    <row r="11" spans="1:8" x14ac:dyDescent="0.35">
      <c r="A11" s="2" t="s">
        <v>58</v>
      </c>
      <c r="B11" s="3">
        <f>SUMIFS('Exportations Minières 23-24'!$G$2:$G$105,'Exportations Minières 23-24'!$B$2:$B$105,A11,'Exportations Minières 23-24'!$A$2:$A$105,2023)</f>
        <v>180760</v>
      </c>
      <c r="C11" s="3">
        <f>SUMIFS('Exportations Minières 23-24'!$G$2:$G$105,'Exportations Minières 23-24'!$B$2:$B$105,A11,'Exportations Minières 23-24'!$A$2:$A$105,2024)</f>
        <v>156542</v>
      </c>
      <c r="D11" s="4">
        <f>IFERROR((SUMIFS('Exportations Minières 23-24'!$I$2:$I$105,'Exportations Minières 23-24'!$B$2:$B$105,A11,'Exportations Minières 23-24'!$A$2:$A$105,2023))/B11,"NC")</f>
        <v>43.271182783801727</v>
      </c>
      <c r="E11" s="4">
        <f>IFERROR((SUMIFS('Exportations Minières 23-24'!$I$2:$I$105,'Exportations Minières 23-24'!$B$2:$B$105,A11,'Exportations Minières 23-24'!$A$2:$A$105,2024))/C11,"NC")</f>
        <v>44.082776507263226</v>
      </c>
      <c r="F11" s="4">
        <f>IFERROR((SUMIFS('Exportations Minières 23-24'!$H$2:$H$105,'Exportations Minières 23-24'!$B$2:$B$105,A11,'Exportations Minières 23-24'!$A$2:$A$105,2023))/B11,"NC")</f>
        <v>26149.889566275724</v>
      </c>
      <c r="G11" s="4">
        <f>IFERROR((SUMIFS('Exportations Minières 23-24'!$H$2:$H$105,'Exportations Minières 23-24'!$B$2:$B$105,A11,'Exportations Minières 23-24'!$A$2:$A$105,2024))/C11,"NC")</f>
        <v>26729.489676891826</v>
      </c>
      <c r="H11" s="2" t="s">
        <v>32</v>
      </c>
    </row>
    <row r="12" spans="1:8" x14ac:dyDescent="0.35">
      <c r="A12" s="2" t="s">
        <v>63</v>
      </c>
      <c r="B12" s="3">
        <f>SUMIFS('Exportations Minières 23-24'!$G$2:$G$105,'Exportations Minières 23-24'!$B$2:$B$105,A12,'Exportations Minières 23-24'!$A$2:$A$105,2023)</f>
        <v>4820</v>
      </c>
      <c r="C12" s="3">
        <f>SUMIFS('Exportations Minières 23-24'!$G$2:$G$105,'Exportations Minières 23-24'!$B$2:$B$105,A12,'Exportations Minières 23-24'!$A$2:$A$105,2024)</f>
        <v>6092</v>
      </c>
      <c r="D12" s="4">
        <f>IFERROR((SUMIFS('Exportations Minières 23-24'!$I$2:$I$105,'Exportations Minières 23-24'!$B$2:$B$105,A12,'Exportations Minières 23-24'!$A$2:$A$105,2023))/B12,"NC")</f>
        <v>1318.9970954356847</v>
      </c>
      <c r="E12" s="4">
        <f>IFERROR((SUMIFS('Exportations Minières 23-24'!$I$2:$I$105,'Exportations Minières 23-24'!$B$2:$B$105,A12,'Exportations Minières 23-24'!$A$2:$A$105,2024))/C12,"NC")</f>
        <v>1223.524458305975</v>
      </c>
      <c r="F12" s="4">
        <f>IFERROR((SUMIFS('Exportations Minières 23-24'!$H$2:$H$105,'Exportations Minières 23-24'!$B$2:$B$105,A12,'Exportations Minières 23-24'!$A$2:$A$105,2023))/B12,"NC")</f>
        <v>797103.94792531116</v>
      </c>
      <c r="G12" s="4">
        <f>IFERROR((SUMIFS('Exportations Minières 23-24'!$H$2:$H$105,'Exportations Minières 23-24'!$B$2:$B$105,A12,'Exportations Minières 23-24'!$A$2:$A$105,2024))/C12,"NC")</f>
        <v>745223.80630334863</v>
      </c>
      <c r="H12" s="2" t="s">
        <v>32</v>
      </c>
    </row>
    <row r="13" spans="1:8" x14ac:dyDescent="0.35">
      <c r="A13" s="2" t="s">
        <v>64</v>
      </c>
      <c r="B13" s="3">
        <f>SUMIFS('Exportations Minières 23-24'!$G$2:$G$105,'Exportations Minières 23-24'!$B$2:$B$105,A13,'Exportations Minières 23-24'!$A$2:$A$105,2023)</f>
        <v>3062</v>
      </c>
      <c r="C13" s="3">
        <f>SUMIFS('Exportations Minières 23-24'!$G$2:$G$105,'Exportations Minières 23-24'!$B$2:$B$105,A13,'Exportations Minières 23-24'!$A$2:$A$105,2024)</f>
        <v>2640</v>
      </c>
      <c r="D13" s="4">
        <f>IFERROR((SUMIFS('Exportations Minières 23-24'!$I$2:$I$105,'Exportations Minières 23-24'!$B$2:$B$105,A13,'Exportations Minières 23-24'!$A$2:$A$105,2023))/B13,"NC")</f>
        <v>1951.050947093403</v>
      </c>
      <c r="E13" s="4">
        <f>IFERROR((SUMIFS('Exportations Minières 23-24'!$I$2:$I$105,'Exportations Minières 23-24'!$B$2:$B$105,A13,'Exportations Minières 23-24'!$A$2:$A$105,2024))/C13,"NC")</f>
        <v>1785.6689393939394</v>
      </c>
      <c r="F13" s="4">
        <f>IFERROR((SUMIFS('Exportations Minières 23-24'!$H$2:$H$105,'Exportations Minières 23-24'!$B$2:$B$105,A13,'Exportations Minières 23-24'!$A$2:$A$105,2023))/B13,"NC")</f>
        <v>1179070.2413455257</v>
      </c>
      <c r="G13" s="4">
        <f>IFERROR((SUMIFS('Exportations Minières 23-24'!$H$2:$H$105,'Exportations Minières 23-24'!$B$2:$B$105,A13,'Exportations Minières 23-24'!$A$2:$A$105,2024))/C13,"NC")</f>
        <v>1083946.4045454545</v>
      </c>
      <c r="H13" s="2" t="s">
        <v>32</v>
      </c>
    </row>
    <row r="14" spans="1:8" x14ac:dyDescent="0.35">
      <c r="A14" s="2" t="s">
        <v>65</v>
      </c>
      <c r="B14" s="3">
        <f>SUMIFS('Exportations Minières 23-24'!$G$2:$G$105,'Exportations Minières 23-24'!$B$2:$B$105,A14,'Exportations Minières 23-24'!$A$2:$A$105,2023)</f>
        <v>24987</v>
      </c>
      <c r="C14" s="3">
        <f>SUMIFS('Exportations Minières 23-24'!$G$2:$G$105,'Exportations Minières 23-24'!$B$2:$B$105,A14,'Exportations Minières 23-24'!$A$2:$A$105,2024)</f>
        <v>0</v>
      </c>
      <c r="D14" s="4">
        <f>IFERROR((SUMIFS('Exportations Minières 23-24'!$I$2:$I$105,'Exportations Minières 23-24'!$B$2:$B$105,A14,'Exportations Minières 23-24'!$A$2:$A$105,2023))/B14,"NC")</f>
        <v>222.09320846840356</v>
      </c>
      <c r="E14" s="4" t="str">
        <f>IFERROR((SUMIFS('Exportations Minières 23-24'!$I$2:$I$105,'Exportations Minières 23-24'!$B$2:$B$105,A14,'Exportations Minières 23-24'!$A$2:$A$105,2024))/C14,"NC")</f>
        <v>NC</v>
      </c>
      <c r="F14" s="4">
        <f>IFERROR((SUMIFS('Exportations Minières 23-24'!$H$2:$H$105,'Exportations Minières 23-24'!$B$2:$B$105,A14,'Exportations Minières 23-24'!$A$2:$A$105,2023))/B14,"NC")</f>
        <v>134216.65377996559</v>
      </c>
      <c r="G14" s="4" t="str">
        <f>IFERROR((SUMIFS('Exportations Minières 23-24'!$H$2:$H$105,'Exportations Minières 23-24'!$B$2:$B$105,A14,'Exportations Minières 23-24'!$A$2:$A$105,2024))/C14,"NC")</f>
        <v>NC</v>
      </c>
      <c r="H14" s="2" t="s">
        <v>32</v>
      </c>
    </row>
    <row r="15" spans="1:8" x14ac:dyDescent="0.35">
      <c r="A15" s="2" t="s">
        <v>66</v>
      </c>
      <c r="B15" s="3">
        <f>SUMIFS('Exportations Minières 23-24'!$G$2:$G$105,'Exportations Minières 23-24'!$B$2:$B$105,A15,'Exportations Minières 23-24'!$A$2:$A$105,2023)</f>
        <v>87897</v>
      </c>
      <c r="C15" s="3">
        <f>SUMIFS('Exportations Minières 23-24'!$G$2:$G$105,'Exportations Minières 23-24'!$B$2:$B$105,A15,'Exportations Minières 23-24'!$A$2:$A$105,2024)</f>
        <v>365862</v>
      </c>
      <c r="D15" s="4">
        <f>IFERROR((SUMIFS('Exportations Minières 23-24'!$I$2:$I$105,'Exportations Minières 23-24'!$B$2:$B$105,A15,'Exportations Minières 23-24'!$A$2:$A$105,2023))/B15,"NC")</f>
        <v>60.952637746453235</v>
      </c>
      <c r="E15" s="4">
        <f>IFERROR((SUMIFS('Exportations Minières 23-24'!$I$2:$I$105,'Exportations Minières 23-24'!$B$2:$B$105,A15,'Exportations Minières 23-24'!$A$2:$A$105,2024))/C15,"NC")</f>
        <v>15.746341516746751</v>
      </c>
      <c r="F15" s="4">
        <f>IFERROR((SUMIFS('Exportations Minières 23-24'!$H$2:$H$105,'Exportations Minières 23-24'!$B$2:$B$105,A15,'Exportations Minières 23-24'!$A$2:$A$105,2023))/B15,"NC")</f>
        <v>36835.24685711685</v>
      </c>
      <c r="G15" s="4">
        <f>IFERROR((SUMIFS('Exportations Minières 23-24'!$H$2:$H$105,'Exportations Minières 23-24'!$B$2:$B$105,A15,'Exportations Minières 23-24'!$A$2:$A$105,2024))/C15,"NC")</f>
        <v>9547.7581711136991</v>
      </c>
      <c r="H15" s="2" t="s">
        <v>32</v>
      </c>
    </row>
    <row r="16" spans="1:8" x14ac:dyDescent="0.35">
      <c r="A16" s="2" t="s">
        <v>71</v>
      </c>
      <c r="B16" s="3">
        <f>SUMIFS('Exportations Minières 23-24'!$G$2:$G$105,'Exportations Minières 23-24'!$B$2:$B$105,A16,'Exportations Minières 23-24'!$A$2:$A$105,2023)</f>
        <v>17001</v>
      </c>
      <c r="C16" s="3">
        <f>SUMIFS('Exportations Minières 23-24'!$G$2:$G$105,'Exportations Minières 23-24'!$B$2:$B$105,A16,'Exportations Minières 23-24'!$A$2:$A$105,2024)</f>
        <v>20001</v>
      </c>
      <c r="D16" s="4">
        <f>IFERROR((SUMIFS('Exportations Minières 23-24'!$I$2:$I$105,'Exportations Minières 23-24'!$B$2:$B$105,A16,'Exportations Minières 23-24'!$A$2:$A$105,2023))/B16,"NC")</f>
        <v>240.52102817481324</v>
      </c>
      <c r="E16" s="4">
        <f>IFERROR((SUMIFS('Exportations Minières 23-24'!$I$2:$I$105,'Exportations Minières 23-24'!$B$2:$B$105,A16,'Exportations Minières 23-24'!$A$2:$A$105,2024))/C16,"NC")</f>
        <v>226.10984450777462</v>
      </c>
      <c r="F16" s="4">
        <f>IFERROR((SUMIFS('Exportations Minières 23-24'!$H$2:$H$105,'Exportations Minières 23-24'!$B$2:$B$105,A16,'Exportations Minières 23-24'!$A$2:$A$105,2023))/B16,"NC")</f>
        <v>145353.0471148756</v>
      </c>
      <c r="G16" s="4">
        <f>IFERROR((SUMIFS('Exportations Minières 23-24'!$H$2:$H$105,'Exportations Minières 23-24'!$B$2:$B$105,A16,'Exportations Minières 23-24'!$A$2:$A$105,2024))/C16,"NC")</f>
        <v>138050.29443527825</v>
      </c>
      <c r="H16" s="2" t="s">
        <v>32</v>
      </c>
    </row>
    <row r="17" spans="1:8" x14ac:dyDescent="0.35">
      <c r="A17" s="2" t="s">
        <v>72</v>
      </c>
      <c r="B17" s="3">
        <f>SUMIFS('Exportations Minières 23-24'!$G$2:$G$105,'Exportations Minières 23-24'!$B$2:$B$105,A17,'Exportations Minières 23-24'!$A$2:$A$105,2023)</f>
        <v>30694</v>
      </c>
      <c r="C17" s="3">
        <f>SUMIFS('Exportations Minières 23-24'!$G$2:$G$105,'Exportations Minières 23-24'!$B$2:$B$105,A17,'Exportations Minières 23-24'!$A$2:$A$105,2024)</f>
        <v>27180</v>
      </c>
      <c r="D17" s="4">
        <f>IFERROR((SUMIFS('Exportations Minières 23-24'!$I$2:$I$105,'Exportations Minières 23-24'!$B$2:$B$105,A17,'Exportations Minières 23-24'!$A$2:$A$105,2023))/B17,"NC")</f>
        <v>23.198540431354662</v>
      </c>
      <c r="E17" s="4">
        <f>IFERROR((SUMIFS('Exportations Minières 23-24'!$I$2:$I$105,'Exportations Minières 23-24'!$B$2:$B$105,A17,'Exportations Minières 23-24'!$A$2:$A$105,2024))/C17,"NC")</f>
        <v>28.119389256806475</v>
      </c>
      <c r="F17" s="4">
        <f>IFERROR((SUMIFS('Exportations Minières 23-24'!$H$2:$H$105,'Exportations Minières 23-24'!$B$2:$B$105,A17,'Exportations Minières 23-24'!$A$2:$A$105,2023))/B17,"NC")</f>
        <v>14019.486088486348</v>
      </c>
      <c r="G17" s="4">
        <f>IFERROR((SUMIFS('Exportations Minières 23-24'!$H$2:$H$105,'Exportations Minières 23-24'!$B$2:$B$105,A17,'Exportations Minières 23-24'!$A$2:$A$105,2024))/C17,"NC")</f>
        <v>17176.879801324503</v>
      </c>
      <c r="H17" s="2" t="s">
        <v>17</v>
      </c>
    </row>
    <row r="18" spans="1:8" x14ac:dyDescent="0.35">
      <c r="A18" s="2" t="s">
        <v>73</v>
      </c>
      <c r="B18" s="3">
        <f>SUMIFS('Exportations Minières 23-24'!$G$2:$G$105,'Exportations Minières 23-24'!$B$2:$B$105,A18,'Exportations Minières 23-24'!$A$2:$A$105,2023)</f>
        <v>4084</v>
      </c>
      <c r="C18" s="3">
        <f>SUMIFS('Exportations Minières 23-24'!$G$2:$G$105,'Exportations Minières 23-24'!$B$2:$B$105,A18,'Exportations Minières 23-24'!$A$2:$A$105,2024)</f>
        <v>0</v>
      </c>
      <c r="D18" s="4">
        <f>IFERROR((SUMIFS('Exportations Minières 23-24'!$I$2:$I$105,'Exportations Minières 23-24'!$B$2:$B$105,A18,'Exportations Minières 23-24'!$A$2:$A$105,2023))/B18,"NC")</f>
        <v>145.35284035259551</v>
      </c>
      <c r="E18" s="4" t="str">
        <f>IFERROR((SUMIFS('Exportations Minières 23-24'!$I$2:$I$105,'Exportations Minières 23-24'!$B$2:$B$105,A18,'Exportations Minières 23-24'!$A$2:$A$105,2024))/C18,"NC")</f>
        <v>NC</v>
      </c>
      <c r="F18" s="4">
        <f>IFERROR((SUMIFS('Exportations Minières 23-24'!$H$2:$H$105,'Exportations Minières 23-24'!$B$2:$B$105,A18,'Exportations Minières 23-24'!$A$2:$A$105,2023))/B18,"NC")</f>
        <v>87840.475024485801</v>
      </c>
      <c r="G18" s="4" t="str">
        <f>IFERROR((SUMIFS('Exportations Minières 23-24'!$H$2:$H$105,'Exportations Minières 23-24'!$B$2:$B$105,A18,'Exportations Minières 23-24'!$A$2:$A$105,2024))/C18,"NC")</f>
        <v>NC</v>
      </c>
      <c r="H18" s="2" t="s">
        <v>26</v>
      </c>
    </row>
    <row r="19" spans="1:8" x14ac:dyDescent="0.35">
      <c r="A19" s="2" t="s">
        <v>74</v>
      </c>
      <c r="B19" s="3">
        <f>SUMIFS('Exportations Minières 23-24'!$G$2:$G$105,'Exportations Minières 23-24'!$B$2:$B$105,A19,'Exportations Minières 23-24'!$A$2:$A$105,2023)</f>
        <v>3599</v>
      </c>
      <c r="C19" s="3">
        <f>SUMIFS('Exportations Minières 23-24'!$G$2:$G$105,'Exportations Minières 23-24'!$B$2:$B$105,A19,'Exportations Minières 23-24'!$A$2:$A$105,2024)</f>
        <v>0</v>
      </c>
      <c r="D19" s="4">
        <f>IFERROR((SUMIFS('Exportations Minières 23-24'!$I$2:$I$105,'Exportations Minières 23-24'!$B$2:$B$105,A19,'Exportations Minières 23-24'!$A$2:$A$105,2023))/B19,"NC")</f>
        <v>62.057793831619897</v>
      </c>
      <c r="E19" s="4" t="str">
        <f>IFERROR((SUMIFS('Exportations Minières 23-24'!$I$2:$I$105,'Exportations Minières 23-24'!$B$2:$B$105,A19,'Exportations Minières 23-24'!$A$2:$A$105,2024))/C19,"NC")</f>
        <v>NC</v>
      </c>
      <c r="F19" s="4">
        <f>IFERROR((SUMIFS('Exportations Minières 23-24'!$H$2:$H$105,'Exportations Minières 23-24'!$B$2:$B$105,A19,'Exportations Minières 23-24'!$A$2:$A$105,2023))/B19,"NC")</f>
        <v>37503.125868296745</v>
      </c>
      <c r="G19" s="4" t="str">
        <f>IFERROR((SUMIFS('Exportations Minières 23-24'!$H$2:$H$105,'Exportations Minières 23-24'!$B$2:$B$105,A19,'Exportations Minières 23-24'!$A$2:$A$105,2024))/C19,"NC")</f>
        <v>NC</v>
      </c>
      <c r="H19" s="2" t="s">
        <v>32</v>
      </c>
    </row>
    <row r="20" spans="1:8" x14ac:dyDescent="0.35">
      <c r="A20" s="2" t="s">
        <v>75</v>
      </c>
      <c r="B20" s="3">
        <f>SUMIFS('Exportations Minières 23-24'!$G$2:$G$105,'Exportations Minières 23-24'!$B$2:$B$105,A20,'Exportations Minières 23-24'!$A$2:$A$105,2023)</f>
        <v>2864</v>
      </c>
      <c r="C20" s="3">
        <f>SUMIFS('Exportations Minières 23-24'!$G$2:$G$105,'Exportations Minières 23-24'!$B$2:$B$105,A20,'Exportations Minières 23-24'!$A$2:$A$105,2024)</f>
        <v>0</v>
      </c>
      <c r="D20" s="4">
        <f>IFERROR((SUMIFS('Exportations Minières 23-24'!$I$2:$I$105,'Exportations Minières 23-24'!$B$2:$B$105,A20,'Exportations Minières 23-24'!$A$2:$A$105,2023))/B20,"NC")</f>
        <v>9.9305167597765358</v>
      </c>
      <c r="E20" s="4" t="str">
        <f>IFERROR((SUMIFS('Exportations Minières 23-24'!$I$2:$I$105,'Exportations Minières 23-24'!$B$2:$B$105,A20,'Exportations Minières 23-24'!$A$2:$A$105,2024))/C20,"NC")</f>
        <v>NC</v>
      </c>
      <c r="F20" s="4">
        <f>IFERROR((SUMIFS('Exportations Minières 23-24'!$H$2:$H$105,'Exportations Minières 23-24'!$B$2:$B$105,A20,'Exportations Minières 23-24'!$A$2:$A$105,2023))/B20,"NC")</f>
        <v>6001.2569832402232</v>
      </c>
      <c r="G20" s="4" t="str">
        <f>IFERROR((SUMIFS('Exportations Minières 23-24'!$H$2:$H$105,'Exportations Minières 23-24'!$B$2:$B$105,A20,'Exportations Minières 23-24'!$A$2:$A$105,2024))/C20,"NC")</f>
        <v>NC</v>
      </c>
      <c r="H20" s="2" t="s">
        <v>26</v>
      </c>
    </row>
    <row r="21" spans="1:8" x14ac:dyDescent="0.35">
      <c r="A21" s="2" t="s">
        <v>77</v>
      </c>
      <c r="B21" s="3">
        <f>SUMIFS('Exportations Minières 23-24'!$G$2:$G$105,'Exportations Minières 23-24'!$B$2:$B$105,A21,'Exportations Minières 23-24'!$A$2:$A$105,2023)</f>
        <v>99</v>
      </c>
      <c r="C21" s="3">
        <f>SUMIFS('Exportations Minières 23-24'!$G$2:$G$105,'Exportations Minières 23-24'!$B$2:$B$105,A21,'Exportations Minières 23-24'!$A$2:$A$105,2024)</f>
        <v>0</v>
      </c>
      <c r="D21" s="4">
        <f>IFERROR((SUMIFS('Exportations Minières 23-24'!$I$2:$I$105,'Exportations Minières 23-24'!$B$2:$B$105,A21,'Exportations Minières 23-24'!$A$2:$A$105,2023))/B21,"NC")</f>
        <v>205.74747474747474</v>
      </c>
      <c r="E21" s="4" t="str">
        <f>IFERROR((SUMIFS('Exportations Minières 23-24'!$I$2:$I$105,'Exportations Minières 23-24'!$B$2:$B$105,A21,'Exportations Minières 23-24'!$A$2:$A$105,2024))/C21,"NC")</f>
        <v>NC</v>
      </c>
      <c r="F21" s="4">
        <f>IFERROR((SUMIFS('Exportations Minières 23-24'!$H$2:$H$105,'Exportations Minières 23-24'!$B$2:$B$105,A21,'Exportations Minières 23-24'!$A$2:$A$105,2023))/B21,"NC")</f>
        <v>124335.9494949495</v>
      </c>
      <c r="G21" s="4" t="str">
        <f>IFERROR((SUMIFS('Exportations Minières 23-24'!$H$2:$H$105,'Exportations Minières 23-24'!$B$2:$B$105,A21,'Exportations Minières 23-24'!$A$2:$A$105,2024))/C21,"NC")</f>
        <v>NC</v>
      </c>
      <c r="H21" s="2" t="s">
        <v>26</v>
      </c>
    </row>
    <row r="22" spans="1:8" x14ac:dyDescent="0.35">
      <c r="A22" s="2" t="s">
        <v>82</v>
      </c>
      <c r="B22" s="3">
        <f>SUMIFS('Exportations Minières 23-24'!$G$2:$G$105,'Exportations Minières 23-24'!$B$2:$B$105,A22,'Exportations Minières 23-24'!$A$2:$A$105,2023)</f>
        <v>0</v>
      </c>
      <c r="C22" s="3">
        <f>SUMIFS('Exportations Minières 23-24'!$G$2:$G$105,'Exportations Minières 23-24'!$B$2:$B$105,A22,'Exportations Minières 23-24'!$A$2:$A$105,2024)</f>
        <v>407547</v>
      </c>
      <c r="D22" s="4" t="str">
        <f>IFERROR((SUMIFS('Exportations Minières 23-24'!$I$2:$I$105,'Exportations Minières 23-24'!$B$2:$B$105,A22,'Exportations Minières 23-24'!$A$2:$A$105,2023))/B22,"NC")</f>
        <v>NC</v>
      </c>
      <c r="E22" s="4">
        <f>IFERROR((SUMIFS('Exportations Minières 23-24'!$I$2:$I$105,'Exportations Minières 23-24'!$B$2:$B$105,A22,'Exportations Minières 23-24'!$A$2:$A$105,2024))/C22,"NC")</f>
        <v>132.50288678361022</v>
      </c>
      <c r="F22" s="4" t="str">
        <f>IFERROR((SUMIFS('Exportations Minières 23-24'!$H$2:$H$105,'Exportations Minières 23-24'!$B$2:$B$105,A22,'Exportations Minières 23-24'!$A$2:$A$105,2023))/B22,"NC")</f>
        <v>NC</v>
      </c>
      <c r="G22" s="4">
        <f>IFERROR((SUMIFS('Exportations Minières 23-24'!$H$2:$H$105,'Exportations Minières 23-24'!$B$2:$B$105,A22,'Exportations Minières 23-24'!$A$2:$A$105,2024))/C22,"NC")</f>
        <v>80295.522413365819</v>
      </c>
      <c r="H22" s="2" t="s">
        <v>32</v>
      </c>
    </row>
    <row r="23" spans="1:8" x14ac:dyDescent="0.35">
      <c r="A23" s="2" t="s">
        <v>88</v>
      </c>
      <c r="B23" s="3">
        <f>SUMIFS('Exportations Minières 23-24'!$G$2:$G$105,'Exportations Minières 23-24'!$B$2:$B$105,A23,'Exportations Minières 23-24'!$A$2:$A$105,2023)</f>
        <v>0</v>
      </c>
      <c r="C23" s="3">
        <f>SUMIFS('Exportations Minières 23-24'!$G$2:$G$105,'Exportations Minières 23-24'!$B$2:$B$105,A23,'Exportations Minières 23-24'!$A$2:$A$105,2024)</f>
        <v>73606</v>
      </c>
      <c r="D23" s="4" t="str">
        <f>IFERROR((SUMIFS('Exportations Minières 23-24'!$I$2:$I$105,'Exportations Minières 23-24'!$B$2:$B$105,A23,'Exportations Minières 23-24'!$A$2:$A$105,2023))/B23,"NC")</f>
        <v>NC</v>
      </c>
      <c r="E23" s="4">
        <f>IFERROR((SUMIFS('Exportations Minières 23-24'!$I$2:$I$105,'Exportations Minières 23-24'!$B$2:$B$105,A23,'Exportations Minières 23-24'!$A$2:$A$105,2024))/C23,"NC")</f>
        <v>652.7940113577697</v>
      </c>
      <c r="F23" s="4" t="str">
        <f>IFERROR((SUMIFS('Exportations Minières 23-24'!$H$2:$H$105,'Exportations Minières 23-24'!$B$2:$B$105,A23,'Exportations Minières 23-24'!$A$2:$A$105,2023))/B23,"NC")</f>
        <v>NC</v>
      </c>
      <c r="G23" s="4">
        <f>IFERROR((SUMIFS('Exportations Minières 23-24'!$H$2:$H$105,'Exportations Minières 23-24'!$B$2:$B$105,A23,'Exportations Minières 23-24'!$A$2:$A$105,2024))/C23,"NC")</f>
        <v>401948.19210390456</v>
      </c>
      <c r="H23" s="2" t="s">
        <v>26</v>
      </c>
    </row>
    <row r="24" spans="1:8" x14ac:dyDescent="0.35">
      <c r="A24" s="2" t="s">
        <v>90</v>
      </c>
      <c r="B24" s="3">
        <f>SUMIFS('Exportations Minières 23-24'!$G$2:$G$105,'Exportations Minières 23-24'!$B$2:$B$105,A24,'Exportations Minières 23-24'!$A$2:$A$105,2023)</f>
        <v>0</v>
      </c>
      <c r="C24" s="3">
        <f>SUMIFS('Exportations Minières 23-24'!$G$2:$G$105,'Exportations Minières 23-24'!$B$2:$B$105,A24,'Exportations Minières 23-24'!$A$2:$A$105,2024)</f>
        <v>19663</v>
      </c>
      <c r="D24" s="4" t="str">
        <f>IFERROR((SUMIFS('Exportations Minières 23-24'!$I$2:$I$105,'Exportations Minières 23-24'!$B$2:$B$105,A24,'Exportations Minières 23-24'!$A$2:$A$105,2023))/B24,"NC")</f>
        <v>NC</v>
      </c>
      <c r="E24" s="4">
        <f>IFERROR((SUMIFS('Exportations Minières 23-24'!$I$2:$I$105,'Exportations Minières 23-24'!$B$2:$B$105,A24,'Exportations Minières 23-24'!$A$2:$A$105,2024))/C24,"NC")</f>
        <v>521.57742969028129</v>
      </c>
      <c r="F24" s="4" t="str">
        <f>IFERROR((SUMIFS('Exportations Minières 23-24'!$H$2:$H$105,'Exportations Minières 23-24'!$B$2:$B$105,A24,'Exportations Minières 23-24'!$A$2:$A$105,2023))/B24,"NC")</f>
        <v>NC</v>
      </c>
      <c r="G24" s="4">
        <f>IFERROR((SUMIFS('Exportations Minières 23-24'!$H$2:$H$105,'Exportations Minières 23-24'!$B$2:$B$105,A24,'Exportations Minières 23-24'!$A$2:$A$105,2024))/C24,"NC")</f>
        <v>318170.50643340283</v>
      </c>
      <c r="H24" s="2" t="s">
        <v>26</v>
      </c>
    </row>
    <row r="25" spans="1:8" x14ac:dyDescent="0.35">
      <c r="A25" s="2" t="s">
        <v>91</v>
      </c>
      <c r="B25" s="3">
        <f>SUMIFS('Exportations Minières 23-24'!$G$2:$G$105,'Exportations Minières 23-24'!$B$2:$B$105,A25,'Exportations Minières 23-24'!$A$2:$A$105,2023)</f>
        <v>0</v>
      </c>
      <c r="C25" s="3">
        <f>SUMIFS('Exportations Minières 23-24'!$G$2:$G$105,'Exportations Minières 23-24'!$B$2:$B$105,A25,'Exportations Minières 23-24'!$A$2:$A$105,2024)</f>
        <v>31443</v>
      </c>
      <c r="D25" s="4" t="str">
        <f>IFERROR((SUMIFS('Exportations Minières 23-24'!$I$2:$I$105,'Exportations Minières 23-24'!$B$2:$B$105,A25,'Exportations Minières 23-24'!$A$2:$A$105,2023))/B25,"NC")</f>
        <v>NC</v>
      </c>
      <c r="E25" s="4">
        <f>IFERROR((SUMIFS('Exportations Minières 23-24'!$I$2:$I$105,'Exportations Minières 23-24'!$B$2:$B$105,A25,'Exportations Minières 23-24'!$A$2:$A$105,2024))/C25,"NC")</f>
        <v>226.38094329421492</v>
      </c>
      <c r="F25" s="4" t="str">
        <f>IFERROR((SUMIFS('Exportations Minières 23-24'!$H$2:$H$105,'Exportations Minières 23-24'!$B$2:$B$105,A25,'Exportations Minières 23-24'!$A$2:$A$105,2023))/B25,"NC")</f>
        <v>NC</v>
      </c>
      <c r="G25" s="4">
        <f>IFERROR((SUMIFS('Exportations Minières 23-24'!$H$2:$H$105,'Exportations Minières 23-24'!$B$2:$B$105,A25,'Exportations Minières 23-24'!$A$2:$A$105,2024))/C25,"NC")</f>
        <v>137121.13290716536</v>
      </c>
      <c r="H25" s="2" t="s">
        <v>32</v>
      </c>
    </row>
    <row r="26" spans="1:8" x14ac:dyDescent="0.35">
      <c r="A26" s="2" t="s">
        <v>92</v>
      </c>
      <c r="B26" s="3">
        <f>SUMIFS('Exportations Minières 23-24'!$G$2:$G$105,'Exportations Minières 23-24'!$B$2:$B$105,A26,'Exportations Minières 23-24'!$A$2:$A$105,2023)</f>
        <v>0</v>
      </c>
      <c r="C26" s="3">
        <f>SUMIFS('Exportations Minières 23-24'!$G$2:$G$105,'Exportations Minières 23-24'!$B$2:$B$105,A26,'Exportations Minières 23-24'!$A$2:$A$105,2024)</f>
        <v>1980</v>
      </c>
      <c r="D26" s="4" t="str">
        <f>IFERROR((SUMIFS('Exportations Minières 23-24'!$I$2:$I$105,'Exportations Minières 23-24'!$B$2:$B$105,A26,'Exportations Minières 23-24'!$A$2:$A$105,2023))/B26,"NC")</f>
        <v>NC</v>
      </c>
      <c r="E26" s="4">
        <f>IFERROR((SUMIFS('Exportations Minières 23-24'!$I$2:$I$105,'Exportations Minières 23-24'!$B$2:$B$105,A26,'Exportations Minières 23-24'!$A$2:$A$105,2024))/C26,"NC")</f>
        <v>675.20050505050506</v>
      </c>
      <c r="F26" s="4" t="str">
        <f>IFERROR((SUMIFS('Exportations Minières 23-24'!$H$2:$H$105,'Exportations Minières 23-24'!$B$2:$B$105,A26,'Exportations Minières 23-24'!$A$2:$A$105,2023))/B26,"NC")</f>
        <v>NC</v>
      </c>
      <c r="G26" s="4">
        <f>IFERROR((SUMIFS('Exportations Minières 23-24'!$H$2:$H$105,'Exportations Minières 23-24'!$B$2:$B$105,A26,'Exportations Minières 23-24'!$A$2:$A$105,2024))/C26,"NC")</f>
        <v>400000</v>
      </c>
      <c r="H26" s="2" t="s">
        <v>26</v>
      </c>
    </row>
    <row r="27" spans="1:8" x14ac:dyDescent="0.35">
      <c r="A27" s="2" t="s">
        <v>93</v>
      </c>
      <c r="B27" s="3">
        <f>SUMIFS('Exportations Minières 23-24'!$G$2:$G$105,'Exportations Minières 23-24'!$B$2:$B$105,A27,'Exportations Minières 23-24'!$A$2:$A$105,2023)</f>
        <v>0</v>
      </c>
      <c r="C27" s="3">
        <f>SUMIFS('Exportations Minières 23-24'!$G$2:$G$105,'Exportations Minières 23-24'!$B$2:$B$105,A27,'Exportations Minières 23-24'!$A$2:$A$105,2024)</f>
        <v>1061</v>
      </c>
      <c r="D27" s="4" t="str">
        <f>IFERROR((SUMIFS('Exportations Minières 23-24'!$I$2:$I$105,'Exportations Minières 23-24'!$B$2:$B$105,A27,'Exportations Minières 23-24'!$A$2:$A$105,2023))/B27,"NC")</f>
        <v>NC</v>
      </c>
      <c r="E27" s="4">
        <f>IFERROR((SUMIFS('Exportations Minières 23-24'!$I$2:$I$105,'Exportations Minières 23-24'!$B$2:$B$105,A27,'Exportations Minières 23-24'!$A$2:$A$105,2024))/C27,"NC")</f>
        <v>139.9406220546654</v>
      </c>
      <c r="F27" s="4" t="str">
        <f>IFERROR((SUMIFS('Exportations Minières 23-24'!$H$2:$H$105,'Exportations Minières 23-24'!$B$2:$B$105,A27,'Exportations Minières 23-24'!$A$2:$A$105,2023))/B27,"NC")</f>
        <v>NC</v>
      </c>
      <c r="G27" s="4">
        <f>IFERROR((SUMIFS('Exportations Minières 23-24'!$H$2:$H$105,'Exportations Minières 23-24'!$B$2:$B$105,A27,'Exportations Minières 23-24'!$A$2:$A$105,2024))/C27,"NC")</f>
        <v>85000</v>
      </c>
      <c r="H27" s="2" t="s">
        <v>26</v>
      </c>
    </row>
  </sheetData>
  <autoFilter ref="A1:H27"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
  <sheetViews>
    <sheetView zoomScaleNormal="100" workbookViewId="0">
      <pane ySplit="1" topLeftCell="A2" activePane="bottomLeft" state="frozen"/>
      <selection pane="bottomLeft"/>
    </sheetView>
  </sheetViews>
  <sheetFormatPr baseColWidth="10" defaultColWidth="8.6328125" defaultRowHeight="14.5" x14ac:dyDescent="0.35"/>
  <cols>
    <col min="1" max="1" width="14" customWidth="1"/>
    <col min="2" max="2" width="26" customWidth="1"/>
    <col min="3" max="4" width="14" customWidth="1"/>
    <col min="5" max="8" width="18" customWidth="1"/>
    <col min="9" max="9" width="14" customWidth="1"/>
  </cols>
  <sheetData>
    <row r="1" spans="1:9" ht="42" x14ac:dyDescent="0.35">
      <c r="A1" s="1" t="s">
        <v>2</v>
      </c>
      <c r="B1" s="1" t="s">
        <v>1</v>
      </c>
      <c r="C1" s="1" t="s">
        <v>137</v>
      </c>
      <c r="D1" s="1" t="s">
        <v>138</v>
      </c>
      <c r="E1" s="1" t="s">
        <v>139</v>
      </c>
      <c r="F1" s="1" t="s">
        <v>140</v>
      </c>
      <c r="G1" s="1" t="s">
        <v>141</v>
      </c>
      <c r="H1" s="1" t="s">
        <v>142</v>
      </c>
      <c r="I1" s="1" t="s">
        <v>5</v>
      </c>
    </row>
    <row r="2" spans="1:9" x14ac:dyDescent="0.35">
      <c r="A2" s="2" t="s">
        <v>14</v>
      </c>
      <c r="B2" s="2" t="s">
        <v>13</v>
      </c>
      <c r="C2" s="3">
        <f>SUMIFS('Exportations Minières 23-24'!$G$2:$G$105,'Exportations Minières 23-24'!$C$2:$C$105,A2,'Exportations Minières 23-24'!$B$2:$B$105,B2,'Exportations Minières 23-24'!$A$2:$A$105,2023)</f>
        <v>296697</v>
      </c>
      <c r="D2" s="3">
        <f>SUMIFS('Exportations Minières 23-24'!$G$2:$G$105,'Exportations Minières 23-24'!$C$2:$C$105,A2,'Exportations Minières 23-24'!$B$2:$B$105,B2,'Exportations Minières 23-24'!$A$2:$A$105,2024)</f>
        <v>221419</v>
      </c>
      <c r="E2" s="4">
        <f>IFERROR((SUMIFS('Exportations Minières 23-24'!$I$2:$I$105,'Exportations Minières 23-24'!$C$2:$C$105,A2,'Exportations Minières 23-24'!$B$2:$B$105,B2,'Exportations Minières 23-24'!$A$2:$A$105,2023))/C2,"NC")</f>
        <v>1973.0293396967277</v>
      </c>
      <c r="F2" s="4">
        <f>IFERROR((SUMIFS('Exportations Minières 23-24'!$I$2:$I$105,'Exportations Minières 23-24'!$C$2:$C$105,A2,'Exportations Minières 23-24'!$B$2:$B$105,B2,'Exportations Minières 23-24'!$A$2:$A$105,2024))/D2,"NC")</f>
        <v>2449.778415583125</v>
      </c>
      <c r="G2" s="4">
        <f>IFERROR((SUMIFS('Exportations Minières 23-24'!$H$2:$H$105,'Exportations Minières 23-24'!$C$2:$C$105,A2,'Exportations Minières 23-24'!$B$2:$B$105,B2,'Exportations Minières 23-24'!$A$2:$A$105,2023))/C2,"NC")</f>
        <v>1192352.4370957576</v>
      </c>
      <c r="H2" s="4">
        <f>IFERROR((SUMIFS('Exportations Minières 23-24'!$H$2:$H$105,'Exportations Minières 23-24'!$C$2:$C$105,A2,'Exportations Minières 23-24'!$B$2:$B$105,B2,'Exportations Minières 23-24'!$A$2:$A$105,2024))/D2,"NC")</f>
        <v>1468075.5181894959</v>
      </c>
      <c r="I2" s="2" t="s">
        <v>17</v>
      </c>
    </row>
    <row r="3" spans="1:9" x14ac:dyDescent="0.35">
      <c r="A3" s="2" t="s">
        <v>18</v>
      </c>
      <c r="B3" s="2" t="s">
        <v>13</v>
      </c>
      <c r="C3" s="3">
        <f>SUMIFS('Exportations Minières 23-24'!$G$2:$G$105,'Exportations Minières 23-24'!$C$2:$C$105,A3,'Exportations Minières 23-24'!$B$2:$B$105,B3,'Exportations Minières 23-24'!$A$2:$A$105,2023)</f>
        <v>119950</v>
      </c>
      <c r="D3" s="3">
        <f>SUMIFS('Exportations Minières 23-24'!$G$2:$G$105,'Exportations Minières 23-24'!$C$2:$C$105,A3,'Exportations Minières 23-24'!$B$2:$B$105,B3,'Exportations Minières 23-24'!$A$2:$A$105,2024)</f>
        <v>121623</v>
      </c>
      <c r="E3" s="4">
        <f>IFERROR((SUMIFS('Exportations Minières 23-24'!$I$2:$I$105,'Exportations Minières 23-24'!$C$2:$C$105,A3,'Exportations Minières 23-24'!$B$2:$B$105,B3,'Exportations Minières 23-24'!$A$2:$A$105,2023))/C3,"NC")</f>
        <v>1905.2255689870778</v>
      </c>
      <c r="F3" s="4">
        <f>IFERROR((SUMIFS('Exportations Minières 23-24'!$I$2:$I$105,'Exportations Minières 23-24'!$C$2:$C$105,A3,'Exportations Minières 23-24'!$B$2:$B$105,B3,'Exportations Minières 23-24'!$A$2:$A$105,2024))/D3,"NC")</f>
        <v>2404.9612655501014</v>
      </c>
      <c r="G3" s="4">
        <f>IFERROR((SUMIFS('Exportations Minières 23-24'!$H$2:$H$105,'Exportations Minières 23-24'!$C$2:$C$105,A3,'Exportations Minières 23-24'!$B$2:$B$105,B3,'Exportations Minières 23-24'!$A$2:$A$105,2023))/C3,"NC")</f>
        <v>1151376.8700125052</v>
      </c>
      <c r="H3" s="4">
        <f>IFERROR((SUMIFS('Exportations Minières 23-24'!$H$2:$H$105,'Exportations Minières 23-24'!$C$2:$C$105,A3,'Exportations Minières 23-24'!$B$2:$B$105,B3,'Exportations Minières 23-24'!$A$2:$A$105,2024))/D3,"NC")</f>
        <v>1454435.6567014463</v>
      </c>
      <c r="I3" s="2" t="s">
        <v>17</v>
      </c>
    </row>
    <row r="4" spans="1:9" x14ac:dyDescent="0.35">
      <c r="A4" s="2" t="s">
        <v>23</v>
      </c>
      <c r="B4" s="2" t="s">
        <v>22</v>
      </c>
      <c r="C4" s="3">
        <f>SUMIFS('Exportations Minières 23-24'!$G$2:$G$105,'Exportations Minières 23-24'!$C$2:$C$105,A4,'Exportations Minières 23-24'!$B$2:$B$105,B4,'Exportations Minières 23-24'!$A$2:$A$105,2023)</f>
        <v>508678</v>
      </c>
      <c r="D4" s="3">
        <f>SUMIFS('Exportations Minières 23-24'!$G$2:$G$105,'Exportations Minières 23-24'!$C$2:$C$105,A4,'Exportations Minières 23-24'!$B$2:$B$105,B4,'Exportations Minières 23-24'!$A$2:$A$105,2024)</f>
        <v>483393</v>
      </c>
      <c r="E4" s="4">
        <f>IFERROR((SUMIFS('Exportations Minières 23-24'!$I$2:$I$105,'Exportations Minières 23-24'!$C$2:$C$105,A4,'Exportations Minières 23-24'!$B$2:$B$105,B4,'Exportations Minières 23-24'!$A$2:$A$105,2023))/C4,"NC")</f>
        <v>978.28797589044541</v>
      </c>
      <c r="F4" s="4">
        <f>IFERROR((SUMIFS('Exportations Minières 23-24'!$I$2:$I$105,'Exportations Minières 23-24'!$C$2:$C$105,A4,'Exportations Minières 23-24'!$B$2:$B$105,B4,'Exportations Minières 23-24'!$A$2:$A$105,2024))/D4,"NC")</f>
        <v>980.9858624349132</v>
      </c>
      <c r="G4" s="4">
        <f>IFERROR((SUMIFS('Exportations Minières 23-24'!$H$2:$H$105,'Exportations Minières 23-24'!$C$2:$C$105,A4,'Exportations Minières 23-24'!$B$2:$B$105,B4,'Exportations Minières 23-24'!$A$2:$A$105,2023))/C4,"NC")</f>
        <v>591204.61522416933</v>
      </c>
      <c r="H4" s="4">
        <f>IFERROR((SUMIFS('Exportations Minières 23-24'!$H$2:$H$105,'Exportations Minières 23-24'!$C$2:$C$105,A4,'Exportations Minières 23-24'!$B$2:$B$105,B4,'Exportations Minières 23-24'!$A$2:$A$105,2024))/D4,"NC")</f>
        <v>594793.81563862122</v>
      </c>
      <c r="I4" s="2" t="s">
        <v>26</v>
      </c>
    </row>
    <row r="5" spans="1:9" x14ac:dyDescent="0.35">
      <c r="A5" s="2" t="s">
        <v>29</v>
      </c>
      <c r="B5" s="2" t="s">
        <v>28</v>
      </c>
      <c r="C5" s="3">
        <f>SUMIFS('Exportations Minières 23-24'!$G$2:$G$105,'Exportations Minières 23-24'!$C$2:$C$105,A5,'Exportations Minières 23-24'!$B$2:$B$105,B5,'Exportations Minières 23-24'!$A$2:$A$105,2023)</f>
        <v>1512362</v>
      </c>
      <c r="D5" s="3">
        <f>SUMIFS('Exportations Minières 23-24'!$G$2:$G$105,'Exportations Minières 23-24'!$C$2:$C$105,A5,'Exportations Minières 23-24'!$B$2:$B$105,B5,'Exportations Minières 23-24'!$A$2:$A$105,2024)</f>
        <v>1517058</v>
      </c>
      <c r="E5" s="4">
        <f>IFERROR((SUMIFS('Exportations Minières 23-24'!$I$2:$I$105,'Exportations Minières 23-24'!$C$2:$C$105,A5,'Exportations Minières 23-24'!$B$2:$B$105,B5,'Exportations Minières 23-24'!$A$2:$A$105,2023))/C5,"NC")</f>
        <v>80.691792705714633</v>
      </c>
      <c r="F5" s="4">
        <f>IFERROR((SUMIFS('Exportations Minières 23-24'!$I$2:$I$105,'Exportations Minières 23-24'!$C$2:$C$105,A5,'Exportations Minières 23-24'!$B$2:$B$105,B5,'Exportations Minières 23-24'!$A$2:$A$105,2024))/D5,"NC")</f>
        <v>78.521983997975028</v>
      </c>
      <c r="G5" s="4">
        <f>IFERROR((SUMIFS('Exportations Minières 23-24'!$H$2:$H$105,'Exportations Minières 23-24'!$C$2:$C$105,A5,'Exportations Minières 23-24'!$B$2:$B$105,B5,'Exportations Minières 23-24'!$A$2:$A$105,2023))/C5,"NC")</f>
        <v>48764.128062593481</v>
      </c>
      <c r="H5" s="4">
        <f>IFERROR((SUMIFS('Exportations Minières 23-24'!$H$2:$H$105,'Exportations Minières 23-24'!$C$2:$C$105,A5,'Exportations Minières 23-24'!$B$2:$B$105,B5,'Exportations Minières 23-24'!$A$2:$A$105,2024))/D5,"NC")</f>
        <v>47611.626440782093</v>
      </c>
      <c r="I5" s="2" t="s">
        <v>32</v>
      </c>
    </row>
    <row r="6" spans="1:9" x14ac:dyDescent="0.35">
      <c r="A6" s="2" t="s">
        <v>34</v>
      </c>
      <c r="B6" s="2" t="s">
        <v>28</v>
      </c>
      <c r="C6" s="3">
        <f>SUMIFS('Exportations Minières 23-24'!$G$2:$G$105,'Exportations Minières 23-24'!$C$2:$C$105,A6,'Exportations Minières 23-24'!$B$2:$B$105,B6,'Exportations Minières 23-24'!$A$2:$A$105,2023)</f>
        <v>289867</v>
      </c>
      <c r="D6" s="3">
        <f>SUMIFS('Exportations Minières 23-24'!$G$2:$G$105,'Exportations Minières 23-24'!$C$2:$C$105,A6,'Exportations Minières 23-24'!$B$2:$B$105,B6,'Exportations Minières 23-24'!$A$2:$A$105,2024)</f>
        <v>141620</v>
      </c>
      <c r="E6" s="4">
        <f>IFERROR((SUMIFS('Exportations Minières 23-24'!$I$2:$I$105,'Exportations Minières 23-24'!$C$2:$C$105,A6,'Exportations Minières 23-24'!$B$2:$B$105,B6,'Exportations Minières 23-24'!$A$2:$A$105,2023))/C6,"NC")</f>
        <v>81.192315786205398</v>
      </c>
      <c r="F6" s="4">
        <f>IFERROR((SUMIFS('Exportations Minières 23-24'!$I$2:$I$105,'Exportations Minières 23-24'!$C$2:$C$105,A6,'Exportations Minières 23-24'!$B$2:$B$105,B6,'Exportations Minières 23-24'!$A$2:$A$105,2024))/D6,"NC")</f>
        <v>134.44735206891681</v>
      </c>
      <c r="G6" s="4">
        <f>IFERROR((SUMIFS('Exportations Minières 23-24'!$H$2:$H$105,'Exportations Minières 23-24'!$C$2:$C$105,A6,'Exportations Minières 23-24'!$B$2:$B$105,B6,'Exportations Minières 23-24'!$A$2:$A$105,2023))/C6,"NC")</f>
        <v>49066.607444103676</v>
      </c>
      <c r="H6" s="4">
        <f>IFERROR((SUMIFS('Exportations Minières 23-24'!$H$2:$H$105,'Exportations Minières 23-24'!$C$2:$C$105,A6,'Exportations Minières 23-24'!$B$2:$B$105,B6,'Exportations Minières 23-24'!$A$2:$A$105,2024))/D6,"NC")</f>
        <v>81521.989125829685</v>
      </c>
      <c r="I6" s="2" t="s">
        <v>32</v>
      </c>
    </row>
    <row r="7" spans="1:9" x14ac:dyDescent="0.35">
      <c r="A7" s="2" t="s">
        <v>36</v>
      </c>
      <c r="B7" s="2" t="s">
        <v>28</v>
      </c>
      <c r="C7" s="3">
        <f>SUMIFS('Exportations Minières 23-24'!$G$2:$G$105,'Exportations Minières 23-24'!$C$2:$C$105,A7,'Exportations Minières 23-24'!$B$2:$B$105,B7,'Exportations Minières 23-24'!$A$2:$A$105,2023)</f>
        <v>172725</v>
      </c>
      <c r="D7" s="3">
        <f>SUMIFS('Exportations Minières 23-24'!$G$2:$G$105,'Exportations Minières 23-24'!$C$2:$C$105,A7,'Exportations Minières 23-24'!$B$2:$B$105,B7,'Exportations Minières 23-24'!$A$2:$A$105,2024)</f>
        <v>134679</v>
      </c>
      <c r="E7" s="4">
        <f>IFERROR((SUMIFS('Exportations Minières 23-24'!$I$2:$I$105,'Exportations Minières 23-24'!$C$2:$C$105,A7,'Exportations Minières 23-24'!$B$2:$B$105,B7,'Exportations Minières 23-24'!$A$2:$A$105,2023))/C7,"NC")</f>
        <v>83.394436242582145</v>
      </c>
      <c r="F7" s="4">
        <f>IFERROR((SUMIFS('Exportations Minières 23-24'!$I$2:$I$105,'Exportations Minières 23-24'!$C$2:$C$105,A7,'Exportations Minières 23-24'!$B$2:$B$105,B7,'Exportations Minières 23-24'!$A$2:$A$105,2024))/D7,"NC")</f>
        <v>83.192880850021155</v>
      </c>
      <c r="G7" s="4">
        <f>IFERROR((SUMIFS('Exportations Minières 23-24'!$H$2:$H$105,'Exportations Minières 23-24'!$C$2:$C$105,A7,'Exportations Minières 23-24'!$B$2:$B$105,B7,'Exportations Minières 23-24'!$A$2:$A$105,2023))/C7,"NC")</f>
        <v>50397.405251121723</v>
      </c>
      <c r="H7" s="4">
        <f>IFERROR((SUMIFS('Exportations Minières 23-24'!$H$2:$H$105,'Exportations Minières 23-24'!$C$2:$C$105,A7,'Exportations Minières 23-24'!$B$2:$B$105,B7,'Exportations Minières 23-24'!$A$2:$A$105,2024))/D7,"NC")</f>
        <v>50443.662092828134</v>
      </c>
      <c r="I7" s="2" t="s">
        <v>32</v>
      </c>
    </row>
    <row r="8" spans="1:9" x14ac:dyDescent="0.35">
      <c r="A8" s="2" t="s">
        <v>42</v>
      </c>
      <c r="B8" s="2" t="s">
        <v>41</v>
      </c>
      <c r="C8" s="3">
        <f>SUMIFS('Exportations Minières 23-24'!$G$2:$G$105,'Exportations Minières 23-24'!$C$2:$C$105,A8,'Exportations Minières 23-24'!$B$2:$B$105,B8,'Exportations Minières 23-24'!$A$2:$A$105,2023)</f>
        <v>292907</v>
      </c>
      <c r="D8" s="3">
        <f>SUMIFS('Exportations Minières 23-24'!$G$2:$G$105,'Exportations Minières 23-24'!$C$2:$C$105,A8,'Exportations Minières 23-24'!$B$2:$B$105,B8,'Exportations Minières 23-24'!$A$2:$A$105,2024)</f>
        <v>387783</v>
      </c>
      <c r="E8" s="4">
        <f>IFERROR((SUMIFS('Exportations Minières 23-24'!$I$2:$I$105,'Exportations Minières 23-24'!$C$2:$C$105,A8,'Exportations Minières 23-24'!$B$2:$B$105,B8,'Exportations Minières 23-24'!$A$2:$A$105,2023))/C8,"NC")</f>
        <v>303.70133182204592</v>
      </c>
      <c r="F8" s="4">
        <f>IFERROR((SUMIFS('Exportations Minières 23-24'!$I$2:$I$105,'Exportations Minières 23-24'!$C$2:$C$105,A8,'Exportations Minières 23-24'!$B$2:$B$105,B8,'Exportations Minières 23-24'!$A$2:$A$105,2024))/D8,"NC")</f>
        <v>242.18189038714951</v>
      </c>
      <c r="G8" s="4">
        <f>IFERROR((SUMIFS('Exportations Minières 23-24'!$H$2:$H$105,'Exportations Minières 23-24'!$C$2:$C$105,A8,'Exportations Minières 23-24'!$B$2:$B$105,B8,'Exportations Minières 23-24'!$A$2:$A$105,2023))/C8,"NC")</f>
        <v>183534.53442218862</v>
      </c>
      <c r="H8" s="4">
        <f>IFERROR((SUMIFS('Exportations Minières 23-24'!$H$2:$H$105,'Exportations Minières 23-24'!$C$2:$C$105,A8,'Exportations Minières 23-24'!$B$2:$B$105,B8,'Exportations Minières 23-24'!$A$2:$A$105,2024))/D8,"NC")</f>
        <v>147296.33956877945</v>
      </c>
      <c r="I8" s="2" t="s">
        <v>32</v>
      </c>
    </row>
    <row r="9" spans="1:9" x14ac:dyDescent="0.35">
      <c r="A9" s="2" t="s">
        <v>46</v>
      </c>
      <c r="B9" s="2" t="s">
        <v>45</v>
      </c>
      <c r="C9" s="3">
        <f>SUMIFS('Exportations Minières 23-24'!$G$2:$G$105,'Exportations Minières 23-24'!$C$2:$C$105,A9,'Exportations Minières 23-24'!$B$2:$B$105,B9,'Exportations Minières 23-24'!$A$2:$A$105,2023)</f>
        <v>369936</v>
      </c>
      <c r="D9" s="3">
        <f>SUMIFS('Exportations Minières 23-24'!$G$2:$G$105,'Exportations Minières 23-24'!$C$2:$C$105,A9,'Exportations Minières 23-24'!$B$2:$B$105,B9,'Exportations Minières 23-24'!$A$2:$A$105,2024)</f>
        <v>0</v>
      </c>
      <c r="E9" s="4">
        <f>IFERROR((SUMIFS('Exportations Minières 23-24'!$I$2:$I$105,'Exportations Minières 23-24'!$C$2:$C$105,A9,'Exportations Minières 23-24'!$B$2:$B$105,B9,'Exportations Minières 23-24'!$A$2:$A$105,2023))/C9,"NC")</f>
        <v>160.44609337831409</v>
      </c>
      <c r="F9" s="4" t="str">
        <f>IFERROR((SUMIFS('Exportations Minières 23-24'!$I$2:$I$105,'Exportations Minières 23-24'!$C$2:$C$105,A9,'Exportations Minières 23-24'!$B$2:$B$105,B9,'Exportations Minières 23-24'!$A$2:$A$105,2024))/D9,"NC")</f>
        <v>NC</v>
      </c>
      <c r="G9" s="4">
        <f>IFERROR((SUMIFS('Exportations Minières 23-24'!$H$2:$H$105,'Exportations Minières 23-24'!$C$2:$C$105,A9,'Exportations Minières 23-24'!$B$2:$B$105,B9,'Exportations Minières 23-24'!$A$2:$A$105,2023))/C9,"NC")</f>
        <v>96961.707587258337</v>
      </c>
      <c r="H9" s="4" t="str">
        <f>IFERROR((SUMIFS('Exportations Minières 23-24'!$H$2:$H$105,'Exportations Minières 23-24'!$C$2:$C$105,A9,'Exportations Minières 23-24'!$B$2:$B$105,B9,'Exportations Minières 23-24'!$A$2:$A$105,2024))/D9,"NC")</f>
        <v>NC</v>
      </c>
      <c r="I9" s="2" t="s">
        <v>32</v>
      </c>
    </row>
    <row r="10" spans="1:9" x14ac:dyDescent="0.35">
      <c r="A10" s="2" t="s">
        <v>48</v>
      </c>
      <c r="B10" s="2" t="s">
        <v>45</v>
      </c>
      <c r="C10" s="3">
        <f>SUMIFS('Exportations Minières 23-24'!$G$2:$G$105,'Exportations Minières 23-24'!$C$2:$C$105,A10,'Exportations Minières 23-24'!$B$2:$B$105,B10,'Exportations Minières 23-24'!$A$2:$A$105,2023)</f>
        <v>114902</v>
      </c>
      <c r="D10" s="3">
        <f>SUMIFS('Exportations Minières 23-24'!$G$2:$G$105,'Exportations Minières 23-24'!$C$2:$C$105,A10,'Exportations Minières 23-24'!$B$2:$B$105,B10,'Exportations Minières 23-24'!$A$2:$A$105,2024)</f>
        <v>0</v>
      </c>
      <c r="E10" s="4">
        <f>IFERROR((SUMIFS('Exportations Minières 23-24'!$I$2:$I$105,'Exportations Minières 23-24'!$C$2:$C$105,A10,'Exportations Minières 23-24'!$B$2:$B$105,B10,'Exportations Minières 23-24'!$A$2:$A$105,2023))/C10,"NC")</f>
        <v>137.52578719256411</v>
      </c>
      <c r="F10" s="4" t="str">
        <f>IFERROR((SUMIFS('Exportations Minières 23-24'!$I$2:$I$105,'Exportations Minières 23-24'!$C$2:$C$105,A10,'Exportations Minières 23-24'!$B$2:$B$105,B10,'Exportations Minières 23-24'!$A$2:$A$105,2024))/D10,"NC")</f>
        <v>NC</v>
      </c>
      <c r="G10" s="4">
        <f>IFERROR((SUMIFS('Exportations Minières 23-24'!$H$2:$H$105,'Exportations Minières 23-24'!$C$2:$C$105,A10,'Exportations Minières 23-24'!$B$2:$B$105,B10,'Exportations Minières 23-24'!$A$2:$A$105,2023))/C10,"NC")</f>
        <v>83110.376425127499</v>
      </c>
      <c r="H10" s="4" t="str">
        <f>IFERROR((SUMIFS('Exportations Minières 23-24'!$H$2:$H$105,'Exportations Minières 23-24'!$C$2:$C$105,A10,'Exportations Minières 23-24'!$B$2:$B$105,B10,'Exportations Minières 23-24'!$A$2:$A$105,2024))/D10,"NC")</f>
        <v>NC</v>
      </c>
      <c r="I10" s="2" t="s">
        <v>32</v>
      </c>
    </row>
    <row r="11" spans="1:9" x14ac:dyDescent="0.35">
      <c r="A11" s="2" t="s">
        <v>50</v>
      </c>
      <c r="B11" s="2" t="s">
        <v>45</v>
      </c>
      <c r="C11" s="3">
        <f>SUMIFS('Exportations Minières 23-24'!$G$2:$G$105,'Exportations Minières 23-24'!$C$2:$C$105,A11,'Exportations Minières 23-24'!$B$2:$B$105,B11,'Exportations Minières 23-24'!$A$2:$A$105,2023)</f>
        <v>120731</v>
      </c>
      <c r="D11" s="3">
        <f>SUMIFS('Exportations Minières 23-24'!$G$2:$G$105,'Exportations Minières 23-24'!$C$2:$C$105,A11,'Exportations Minières 23-24'!$B$2:$B$105,B11,'Exportations Minières 23-24'!$A$2:$A$105,2024)</f>
        <v>147335</v>
      </c>
      <c r="E11" s="4">
        <f>IFERROR((SUMIFS('Exportations Minières 23-24'!$I$2:$I$105,'Exportations Minières 23-24'!$C$2:$C$105,A11,'Exportations Minières 23-24'!$B$2:$B$105,B11,'Exportations Minières 23-24'!$A$2:$A$105,2023))/C11,"NC")</f>
        <v>95.988569630003894</v>
      </c>
      <c r="F11" s="4">
        <f>IFERROR((SUMIFS('Exportations Minières 23-24'!$I$2:$I$105,'Exportations Minières 23-24'!$C$2:$C$105,A11,'Exportations Minières 23-24'!$B$2:$B$105,B11,'Exportations Minières 23-24'!$A$2:$A$105,2024))/D11,"NC")</f>
        <v>113.05624597006822</v>
      </c>
      <c r="G11" s="4">
        <f>IFERROR((SUMIFS('Exportations Minières 23-24'!$H$2:$H$105,'Exportations Minières 23-24'!$C$2:$C$105,A11,'Exportations Minières 23-24'!$B$2:$B$105,B11,'Exportations Minières 23-24'!$A$2:$A$105,2023))/C11,"NC")</f>
        <v>58008.364777894662</v>
      </c>
      <c r="H11" s="4">
        <f>IFERROR((SUMIFS('Exportations Minières 23-24'!$H$2:$H$105,'Exportations Minières 23-24'!$C$2:$C$105,A11,'Exportations Minières 23-24'!$B$2:$B$105,B11,'Exportations Minières 23-24'!$A$2:$A$105,2024))/D11,"NC")</f>
        <v>68551.39757016323</v>
      </c>
      <c r="I11" s="2" t="s">
        <v>32</v>
      </c>
    </row>
    <row r="12" spans="1:9" x14ac:dyDescent="0.35">
      <c r="A12" s="2" t="s">
        <v>42</v>
      </c>
      <c r="B12" s="2" t="s">
        <v>54</v>
      </c>
      <c r="C12" s="3">
        <f>SUMIFS('Exportations Minières 23-24'!$G$2:$G$105,'Exportations Minières 23-24'!$C$2:$C$105,A12,'Exportations Minières 23-24'!$B$2:$B$105,B12,'Exportations Minières 23-24'!$A$2:$A$105,2023)</f>
        <v>28177</v>
      </c>
      <c r="D12" s="3">
        <f>SUMIFS('Exportations Minières 23-24'!$G$2:$G$105,'Exportations Minières 23-24'!$C$2:$C$105,A12,'Exportations Minières 23-24'!$B$2:$B$105,B12,'Exportations Minières 23-24'!$A$2:$A$105,2024)</f>
        <v>39376</v>
      </c>
      <c r="E12" s="4">
        <f>IFERROR((SUMIFS('Exportations Minières 23-24'!$I$2:$I$105,'Exportations Minières 23-24'!$C$2:$C$105,A12,'Exportations Minières 23-24'!$B$2:$B$105,B12,'Exportations Minières 23-24'!$A$2:$A$105,2023))/C12,"NC")</f>
        <v>1931.1660219327821</v>
      </c>
      <c r="F12" s="4">
        <f>IFERROR((SUMIFS('Exportations Minières 23-24'!$I$2:$I$105,'Exportations Minières 23-24'!$C$2:$C$105,A12,'Exportations Minières 23-24'!$B$2:$B$105,B12,'Exportations Minières 23-24'!$A$2:$A$105,2024))/D12,"NC")</f>
        <v>1828.4474806989028</v>
      </c>
      <c r="G12" s="4">
        <f>IFERROR((SUMIFS('Exportations Minières 23-24'!$H$2:$H$105,'Exportations Minières 23-24'!$C$2:$C$105,A12,'Exportations Minières 23-24'!$B$2:$B$105,B12,'Exportations Minières 23-24'!$A$2:$A$105,2023))/C12,"NC")</f>
        <v>1167053.3583419102</v>
      </c>
      <c r="H12" s="4">
        <f>IFERROR((SUMIFS('Exportations Minières 23-24'!$H$2:$H$105,'Exportations Minières 23-24'!$C$2:$C$105,A12,'Exportations Minières 23-24'!$B$2:$B$105,B12,'Exportations Minières 23-24'!$A$2:$A$105,2024))/D12,"NC")</f>
        <v>1109336.1277935798</v>
      </c>
      <c r="I12" s="2" t="s">
        <v>32</v>
      </c>
    </row>
    <row r="13" spans="1:9" x14ac:dyDescent="0.35">
      <c r="A13" s="2" t="s">
        <v>42</v>
      </c>
      <c r="B13" s="2" t="s">
        <v>55</v>
      </c>
      <c r="C13" s="3">
        <f>SUMIFS('Exportations Minières 23-24'!$G$2:$G$105,'Exportations Minières 23-24'!$C$2:$C$105,A13,'Exportations Minières 23-24'!$B$2:$B$105,B13,'Exportations Minières 23-24'!$A$2:$A$105,2023)</f>
        <v>19379</v>
      </c>
      <c r="D13" s="3">
        <f>SUMIFS('Exportations Minières 23-24'!$G$2:$G$105,'Exportations Minières 23-24'!$C$2:$C$105,A13,'Exportations Minières 23-24'!$B$2:$B$105,B13,'Exportations Minières 23-24'!$A$2:$A$105,2024)</f>
        <v>27523</v>
      </c>
      <c r="E13" s="4">
        <f>IFERROR((SUMIFS('Exportations Minières 23-24'!$I$2:$I$105,'Exportations Minières 23-24'!$C$2:$C$105,A13,'Exportations Minières 23-24'!$B$2:$B$105,B13,'Exportations Minières 23-24'!$A$2:$A$105,2023))/C13,"NC")</f>
        <v>1782.2886113834563</v>
      </c>
      <c r="F13" s="4">
        <f>IFERROR((SUMIFS('Exportations Minières 23-24'!$I$2:$I$105,'Exportations Minières 23-24'!$C$2:$C$105,A13,'Exportations Minières 23-24'!$B$2:$B$105,B13,'Exportations Minières 23-24'!$A$2:$A$105,2024))/D13,"NC")</f>
        <v>1719.2661047124222</v>
      </c>
      <c r="G13" s="4">
        <f>IFERROR((SUMIFS('Exportations Minières 23-24'!$H$2:$H$105,'Exportations Minières 23-24'!$C$2:$C$105,A13,'Exportations Minières 23-24'!$B$2:$B$105,B13,'Exportations Minières 23-24'!$A$2:$A$105,2023))/C13,"NC")</f>
        <v>1077082.8980855565</v>
      </c>
      <c r="H13" s="4">
        <f>IFERROR((SUMIFS('Exportations Minières 23-24'!$H$2:$H$105,'Exportations Minières 23-24'!$C$2:$C$105,A13,'Exportations Minières 23-24'!$B$2:$B$105,B13,'Exportations Minières 23-24'!$A$2:$A$105,2024))/D13,"NC")</f>
        <v>1046555.4188133561</v>
      </c>
      <c r="I13" s="2" t="s">
        <v>32</v>
      </c>
    </row>
    <row r="14" spans="1:9" x14ac:dyDescent="0.35">
      <c r="A14" s="2" t="s">
        <v>42</v>
      </c>
      <c r="B14" s="2" t="s">
        <v>56</v>
      </c>
      <c r="C14" s="3">
        <f>SUMIFS('Exportations Minières 23-24'!$G$2:$G$105,'Exportations Minières 23-24'!$C$2:$C$105,A14,'Exportations Minières 23-24'!$B$2:$B$105,B14,'Exportations Minières 23-24'!$A$2:$A$105,2023)</f>
        <v>111716</v>
      </c>
      <c r="D14" s="3">
        <f>SUMIFS('Exportations Minières 23-24'!$G$2:$G$105,'Exportations Minières 23-24'!$C$2:$C$105,A14,'Exportations Minières 23-24'!$B$2:$B$105,B14,'Exportations Minières 23-24'!$A$2:$A$105,2024)</f>
        <v>153286</v>
      </c>
      <c r="E14" s="4">
        <f>IFERROR((SUMIFS('Exportations Minières 23-24'!$I$2:$I$105,'Exportations Minières 23-24'!$C$2:$C$105,A14,'Exportations Minières 23-24'!$B$2:$B$105,B14,'Exportations Minières 23-24'!$A$2:$A$105,2023))/C14,"NC")</f>
        <v>292.29414766013821</v>
      </c>
      <c r="F14" s="4">
        <f>IFERROR((SUMIFS('Exportations Minières 23-24'!$I$2:$I$105,'Exportations Minières 23-24'!$C$2:$C$105,A14,'Exportations Minières 23-24'!$B$2:$B$105,B14,'Exportations Minières 23-24'!$A$2:$A$105,2024))/D14,"NC")</f>
        <v>284.28992210638938</v>
      </c>
      <c r="G14" s="4">
        <f>IFERROR((SUMIFS('Exportations Minières 23-24'!$H$2:$H$105,'Exportations Minières 23-24'!$C$2:$C$105,A14,'Exportations Minières 23-24'!$B$2:$B$105,B14,'Exportations Minières 23-24'!$A$2:$A$105,2023))/C14,"NC")</f>
        <v>176640.88168212253</v>
      </c>
      <c r="H14" s="4">
        <f>IFERROR((SUMIFS('Exportations Minières 23-24'!$H$2:$H$105,'Exportations Minières 23-24'!$C$2:$C$105,A14,'Exportations Minières 23-24'!$B$2:$B$105,B14,'Exportations Minières 23-24'!$A$2:$A$105,2024))/D14,"NC")</f>
        <v>172522.58236238142</v>
      </c>
      <c r="I14" s="2" t="s">
        <v>32</v>
      </c>
    </row>
    <row r="15" spans="1:9" x14ac:dyDescent="0.35">
      <c r="A15" s="2" t="s">
        <v>23</v>
      </c>
      <c r="B15" s="2" t="s">
        <v>57</v>
      </c>
      <c r="C15" s="3">
        <f>SUMIFS('Exportations Minières 23-24'!$G$2:$G$105,'Exportations Minières 23-24'!$C$2:$C$105,A15,'Exportations Minières 23-24'!$B$2:$B$105,B15,'Exportations Minières 23-24'!$A$2:$A$105,2023)</f>
        <v>47440</v>
      </c>
      <c r="D15" s="3">
        <f>SUMIFS('Exportations Minières 23-24'!$G$2:$G$105,'Exportations Minières 23-24'!$C$2:$C$105,A15,'Exportations Minières 23-24'!$B$2:$B$105,B15,'Exportations Minières 23-24'!$A$2:$A$105,2024)</f>
        <v>0</v>
      </c>
      <c r="E15" s="4">
        <f>IFERROR((SUMIFS('Exportations Minières 23-24'!$I$2:$I$105,'Exportations Minières 23-24'!$C$2:$C$105,A15,'Exportations Minières 23-24'!$B$2:$B$105,B15,'Exportations Minières 23-24'!$A$2:$A$105,2023))/C15,"NC")</f>
        <v>682.96429173693082</v>
      </c>
      <c r="F15" s="4" t="str">
        <f>IFERROR((SUMIFS('Exportations Minières 23-24'!$I$2:$I$105,'Exportations Minières 23-24'!$C$2:$C$105,A15,'Exportations Minières 23-24'!$B$2:$B$105,B15,'Exportations Minières 23-24'!$A$2:$A$105,2024))/D15,"NC")</f>
        <v>NC</v>
      </c>
      <c r="G15" s="4">
        <f>IFERROR((SUMIFS('Exportations Minières 23-24'!$H$2:$H$105,'Exportations Minières 23-24'!$C$2:$C$105,A15,'Exportations Minières 23-24'!$B$2:$B$105,B15,'Exportations Minières 23-24'!$A$2:$A$105,2023))/C15,"NC")</f>
        <v>412732.90303541312</v>
      </c>
      <c r="H15" s="4" t="str">
        <f>IFERROR((SUMIFS('Exportations Minières 23-24'!$H$2:$H$105,'Exportations Minières 23-24'!$C$2:$C$105,A15,'Exportations Minières 23-24'!$B$2:$B$105,B15,'Exportations Minières 23-24'!$A$2:$A$105,2024))/D15,"NC")</f>
        <v>NC</v>
      </c>
      <c r="I15" s="2" t="s">
        <v>26</v>
      </c>
    </row>
    <row r="16" spans="1:9" x14ac:dyDescent="0.35">
      <c r="A16" s="2" t="s">
        <v>59</v>
      </c>
      <c r="B16" s="2" t="s">
        <v>58</v>
      </c>
      <c r="C16" s="3">
        <f>SUMIFS('Exportations Minières 23-24'!$G$2:$G$105,'Exportations Minières 23-24'!$C$2:$C$105,A16,'Exportations Minières 23-24'!$B$2:$B$105,B16,'Exportations Minières 23-24'!$A$2:$A$105,2023)</f>
        <v>180760</v>
      </c>
      <c r="D16" s="3">
        <f>SUMIFS('Exportations Minières 23-24'!$G$2:$G$105,'Exportations Minières 23-24'!$C$2:$C$105,A16,'Exportations Minières 23-24'!$B$2:$B$105,B16,'Exportations Minières 23-24'!$A$2:$A$105,2024)</f>
        <v>156542</v>
      </c>
      <c r="E16" s="4">
        <f>IFERROR((SUMIFS('Exportations Minières 23-24'!$I$2:$I$105,'Exportations Minières 23-24'!$C$2:$C$105,A16,'Exportations Minières 23-24'!$B$2:$B$105,B16,'Exportations Minières 23-24'!$A$2:$A$105,2023))/C16,"NC")</f>
        <v>43.271182783801727</v>
      </c>
      <c r="F16" s="4">
        <f>IFERROR((SUMIFS('Exportations Minières 23-24'!$I$2:$I$105,'Exportations Minières 23-24'!$C$2:$C$105,A16,'Exportations Minières 23-24'!$B$2:$B$105,B16,'Exportations Minières 23-24'!$A$2:$A$105,2024))/D16,"NC")</f>
        <v>44.082776507263226</v>
      </c>
      <c r="G16" s="4">
        <f>IFERROR((SUMIFS('Exportations Minières 23-24'!$H$2:$H$105,'Exportations Minières 23-24'!$C$2:$C$105,A16,'Exportations Minières 23-24'!$B$2:$B$105,B16,'Exportations Minières 23-24'!$A$2:$A$105,2023))/C16,"NC")</f>
        <v>26149.889566275724</v>
      </c>
      <c r="H16" s="4">
        <f>IFERROR((SUMIFS('Exportations Minières 23-24'!$H$2:$H$105,'Exportations Minières 23-24'!$C$2:$C$105,A16,'Exportations Minières 23-24'!$B$2:$B$105,B16,'Exportations Minières 23-24'!$A$2:$A$105,2024))/D16,"NC")</f>
        <v>26729.489676891826</v>
      </c>
      <c r="I16" s="2" t="s">
        <v>32</v>
      </c>
    </row>
    <row r="17" spans="1:9" x14ac:dyDescent="0.35">
      <c r="A17" s="2" t="s">
        <v>42</v>
      </c>
      <c r="B17" s="2" t="s">
        <v>63</v>
      </c>
      <c r="C17" s="3">
        <f>SUMIFS('Exportations Minières 23-24'!$G$2:$G$105,'Exportations Minières 23-24'!$C$2:$C$105,A17,'Exportations Minières 23-24'!$B$2:$B$105,B17,'Exportations Minières 23-24'!$A$2:$A$105,2023)</f>
        <v>4820</v>
      </c>
      <c r="D17" s="3">
        <f>SUMIFS('Exportations Minières 23-24'!$G$2:$G$105,'Exportations Minières 23-24'!$C$2:$C$105,A17,'Exportations Minières 23-24'!$B$2:$B$105,B17,'Exportations Minières 23-24'!$A$2:$A$105,2024)</f>
        <v>6092</v>
      </c>
      <c r="E17" s="4">
        <f>IFERROR((SUMIFS('Exportations Minières 23-24'!$I$2:$I$105,'Exportations Minières 23-24'!$C$2:$C$105,A17,'Exportations Minières 23-24'!$B$2:$B$105,B17,'Exportations Minières 23-24'!$A$2:$A$105,2023))/C17,"NC")</f>
        <v>1318.9970954356847</v>
      </c>
      <c r="F17" s="4">
        <f>IFERROR((SUMIFS('Exportations Minières 23-24'!$I$2:$I$105,'Exportations Minières 23-24'!$C$2:$C$105,A17,'Exportations Minières 23-24'!$B$2:$B$105,B17,'Exportations Minières 23-24'!$A$2:$A$105,2024))/D17,"NC")</f>
        <v>1223.524458305975</v>
      </c>
      <c r="G17" s="4">
        <f>IFERROR((SUMIFS('Exportations Minières 23-24'!$H$2:$H$105,'Exportations Minières 23-24'!$C$2:$C$105,A17,'Exportations Minières 23-24'!$B$2:$B$105,B17,'Exportations Minières 23-24'!$A$2:$A$105,2023))/C17,"NC")</f>
        <v>797103.94792531116</v>
      </c>
      <c r="H17" s="4">
        <f>IFERROR((SUMIFS('Exportations Minières 23-24'!$H$2:$H$105,'Exportations Minières 23-24'!$C$2:$C$105,A17,'Exportations Minières 23-24'!$B$2:$B$105,B17,'Exportations Minières 23-24'!$A$2:$A$105,2024))/D17,"NC")</f>
        <v>745223.80630334863</v>
      </c>
      <c r="I17" s="2" t="s">
        <v>32</v>
      </c>
    </row>
    <row r="18" spans="1:9" x14ac:dyDescent="0.35">
      <c r="A18" s="2" t="s">
        <v>42</v>
      </c>
      <c r="B18" s="2" t="s">
        <v>64</v>
      </c>
      <c r="C18" s="3">
        <f>SUMIFS('Exportations Minières 23-24'!$G$2:$G$105,'Exportations Minières 23-24'!$C$2:$C$105,A18,'Exportations Minières 23-24'!$B$2:$B$105,B18,'Exportations Minières 23-24'!$A$2:$A$105,2023)</f>
        <v>3062</v>
      </c>
      <c r="D18" s="3">
        <f>SUMIFS('Exportations Minières 23-24'!$G$2:$G$105,'Exportations Minières 23-24'!$C$2:$C$105,A18,'Exportations Minières 23-24'!$B$2:$B$105,B18,'Exportations Minières 23-24'!$A$2:$A$105,2024)</f>
        <v>2640</v>
      </c>
      <c r="E18" s="4">
        <f>IFERROR((SUMIFS('Exportations Minières 23-24'!$I$2:$I$105,'Exportations Minières 23-24'!$C$2:$C$105,A18,'Exportations Minières 23-24'!$B$2:$B$105,B18,'Exportations Minières 23-24'!$A$2:$A$105,2023))/C18,"NC")</f>
        <v>1951.050947093403</v>
      </c>
      <c r="F18" s="4">
        <f>IFERROR((SUMIFS('Exportations Minières 23-24'!$I$2:$I$105,'Exportations Minières 23-24'!$C$2:$C$105,A18,'Exportations Minières 23-24'!$B$2:$B$105,B18,'Exportations Minières 23-24'!$A$2:$A$105,2024))/D18,"NC")</f>
        <v>1785.6689393939394</v>
      </c>
      <c r="G18" s="4">
        <f>IFERROR((SUMIFS('Exportations Minières 23-24'!$H$2:$H$105,'Exportations Minières 23-24'!$C$2:$C$105,A18,'Exportations Minières 23-24'!$B$2:$B$105,B18,'Exportations Minières 23-24'!$A$2:$A$105,2023))/C18,"NC")</f>
        <v>1179070.2413455257</v>
      </c>
      <c r="H18" s="4">
        <f>IFERROR((SUMIFS('Exportations Minières 23-24'!$H$2:$H$105,'Exportations Minières 23-24'!$C$2:$C$105,A18,'Exportations Minières 23-24'!$B$2:$B$105,B18,'Exportations Minières 23-24'!$A$2:$A$105,2024))/D18,"NC")</f>
        <v>1083946.4045454545</v>
      </c>
      <c r="I18" s="2" t="s">
        <v>32</v>
      </c>
    </row>
    <row r="19" spans="1:9" x14ac:dyDescent="0.35">
      <c r="A19" s="2" t="s">
        <v>42</v>
      </c>
      <c r="B19" s="2" t="s">
        <v>65</v>
      </c>
      <c r="C19" s="3">
        <f>SUMIFS('Exportations Minières 23-24'!$G$2:$G$105,'Exportations Minières 23-24'!$C$2:$C$105,A19,'Exportations Minières 23-24'!$B$2:$B$105,B19,'Exportations Minières 23-24'!$A$2:$A$105,2023)</f>
        <v>24987</v>
      </c>
      <c r="D19" s="3">
        <f>SUMIFS('Exportations Minières 23-24'!$G$2:$G$105,'Exportations Minières 23-24'!$C$2:$C$105,A19,'Exportations Minières 23-24'!$B$2:$B$105,B19,'Exportations Minières 23-24'!$A$2:$A$105,2024)</f>
        <v>0</v>
      </c>
      <c r="E19" s="4">
        <f>IFERROR((SUMIFS('Exportations Minières 23-24'!$I$2:$I$105,'Exportations Minières 23-24'!$C$2:$C$105,A19,'Exportations Minières 23-24'!$B$2:$B$105,B19,'Exportations Minières 23-24'!$A$2:$A$105,2023))/C19,"NC")</f>
        <v>222.09320846840356</v>
      </c>
      <c r="F19" s="4" t="str">
        <f>IFERROR((SUMIFS('Exportations Minières 23-24'!$I$2:$I$105,'Exportations Minières 23-24'!$C$2:$C$105,A19,'Exportations Minières 23-24'!$B$2:$B$105,B19,'Exportations Minières 23-24'!$A$2:$A$105,2024))/D19,"NC")</f>
        <v>NC</v>
      </c>
      <c r="G19" s="4">
        <f>IFERROR((SUMIFS('Exportations Minières 23-24'!$H$2:$H$105,'Exportations Minières 23-24'!$C$2:$C$105,A19,'Exportations Minières 23-24'!$B$2:$B$105,B19,'Exportations Minières 23-24'!$A$2:$A$105,2023))/C19,"NC")</f>
        <v>134216.65377996559</v>
      </c>
      <c r="H19" s="4" t="str">
        <f>IFERROR((SUMIFS('Exportations Minières 23-24'!$H$2:$H$105,'Exportations Minières 23-24'!$C$2:$C$105,A19,'Exportations Minières 23-24'!$B$2:$B$105,B19,'Exportations Minières 23-24'!$A$2:$A$105,2024))/D19,"NC")</f>
        <v>NC</v>
      </c>
      <c r="I19" s="2" t="s">
        <v>32</v>
      </c>
    </row>
    <row r="20" spans="1:9" x14ac:dyDescent="0.35">
      <c r="A20" s="2" t="s">
        <v>67</v>
      </c>
      <c r="B20" s="2" t="s">
        <v>66</v>
      </c>
      <c r="C20" s="3">
        <f>SUMIFS('Exportations Minières 23-24'!$G$2:$G$105,'Exportations Minières 23-24'!$C$2:$C$105,A20,'Exportations Minières 23-24'!$B$2:$B$105,B20,'Exportations Minières 23-24'!$A$2:$A$105,2023)</f>
        <v>22058</v>
      </c>
      <c r="D20" s="3">
        <f>SUMIFS('Exportations Minières 23-24'!$G$2:$G$105,'Exportations Minières 23-24'!$C$2:$C$105,A20,'Exportations Minières 23-24'!$B$2:$B$105,B20,'Exportations Minières 23-24'!$A$2:$A$105,2024)</f>
        <v>25201</v>
      </c>
      <c r="E20" s="4">
        <f>IFERROR((SUMIFS('Exportations Minières 23-24'!$I$2:$I$105,'Exportations Minières 23-24'!$C$2:$C$105,A20,'Exportations Minières 23-24'!$B$2:$B$105,B20,'Exportations Minières 23-24'!$A$2:$A$105,2023))/C20,"NC")</f>
        <v>3.5173633148970893</v>
      </c>
      <c r="F20" s="4">
        <f>IFERROR((SUMIFS('Exportations Minières 23-24'!$I$2:$I$105,'Exportations Minières 23-24'!$C$2:$C$105,A20,'Exportations Minières 23-24'!$B$2:$B$105,B20,'Exportations Minières 23-24'!$A$2:$A$105,2024))/D20,"NC")</f>
        <v>4.1349946430697191</v>
      </c>
      <c r="G20" s="4">
        <f>IFERROR((SUMIFS('Exportations Minières 23-24'!$H$2:$H$105,'Exportations Minières 23-24'!$C$2:$C$105,A20,'Exportations Minières 23-24'!$B$2:$B$105,B20,'Exportations Minières 23-24'!$A$2:$A$105,2023))/C20,"NC")</f>
        <v>2125.6457974431046</v>
      </c>
      <c r="H20" s="4">
        <f>IFERROR((SUMIFS('Exportations Minières 23-24'!$H$2:$H$105,'Exportations Minières 23-24'!$C$2:$C$105,A20,'Exportations Minières 23-24'!$B$2:$B$105,B20,'Exportations Minières 23-24'!$A$2:$A$105,2024))/D20,"NC")</f>
        <v>2507.2260227768738</v>
      </c>
      <c r="I20" s="2" t="s">
        <v>32</v>
      </c>
    </row>
    <row r="21" spans="1:9" x14ac:dyDescent="0.35">
      <c r="A21" s="2" t="s">
        <v>68</v>
      </c>
      <c r="B21" s="2" t="s">
        <v>66</v>
      </c>
      <c r="C21" s="3">
        <f>SUMIFS('Exportations Minières 23-24'!$G$2:$G$105,'Exportations Minières 23-24'!$C$2:$C$105,A21,'Exportations Minières 23-24'!$B$2:$B$105,B21,'Exportations Minières 23-24'!$A$2:$A$105,2023)</f>
        <v>0</v>
      </c>
      <c r="D21" s="3">
        <f>SUMIFS('Exportations Minières 23-24'!$G$2:$G$105,'Exportations Minières 23-24'!$C$2:$C$105,A21,'Exportations Minières 23-24'!$B$2:$B$105,B21,'Exportations Minières 23-24'!$A$2:$A$105,2024)</f>
        <v>0</v>
      </c>
      <c r="E21" s="4" t="str">
        <f>IFERROR((SUMIFS('Exportations Minières 23-24'!$I$2:$I$105,'Exportations Minières 23-24'!$C$2:$C$105,A21,'Exportations Minières 23-24'!$B$2:$B$105,B21,'Exportations Minières 23-24'!$A$2:$A$105,2023))/C21,"NC")</f>
        <v>NC</v>
      </c>
      <c r="F21" s="4" t="str">
        <f>IFERROR((SUMIFS('Exportations Minières 23-24'!$I$2:$I$105,'Exportations Minières 23-24'!$C$2:$C$105,A21,'Exportations Minières 23-24'!$B$2:$B$105,B21,'Exportations Minières 23-24'!$A$2:$A$105,2024))/D21,"NC")</f>
        <v>NC</v>
      </c>
      <c r="G21" s="4" t="str">
        <f>IFERROR((SUMIFS('Exportations Minières 23-24'!$H$2:$H$105,'Exportations Minières 23-24'!$C$2:$C$105,A21,'Exportations Minières 23-24'!$B$2:$B$105,B21,'Exportations Minières 23-24'!$A$2:$A$105,2023))/C21,"NC")</f>
        <v>NC</v>
      </c>
      <c r="H21" s="4" t="str">
        <f>IFERROR((SUMIFS('Exportations Minières 23-24'!$H$2:$H$105,'Exportations Minières 23-24'!$C$2:$C$105,A21,'Exportations Minières 23-24'!$B$2:$B$105,B21,'Exportations Minières 23-24'!$A$2:$A$105,2024))/D21,"NC")</f>
        <v>NC</v>
      </c>
      <c r="I21" s="2" t="s">
        <v>32</v>
      </c>
    </row>
    <row r="22" spans="1:9" x14ac:dyDescent="0.35">
      <c r="A22" s="2" t="s">
        <v>70</v>
      </c>
      <c r="B22" s="2" t="s">
        <v>66</v>
      </c>
      <c r="C22" s="3">
        <f>SUMIFS('Exportations Minières 23-24'!$G$2:$G$105,'Exportations Minières 23-24'!$C$2:$C$105,A22,'Exportations Minières 23-24'!$B$2:$B$105,B22,'Exportations Minières 23-24'!$A$2:$A$105,2023)</f>
        <v>65839</v>
      </c>
      <c r="D22" s="3">
        <f>SUMIFS('Exportations Minières 23-24'!$G$2:$G$105,'Exportations Minières 23-24'!$C$2:$C$105,A22,'Exportations Minières 23-24'!$B$2:$B$105,B22,'Exportations Minières 23-24'!$A$2:$A$105,2024)</f>
        <v>340661</v>
      </c>
      <c r="E22" s="4">
        <f>IFERROR((SUMIFS('Exportations Minières 23-24'!$I$2:$I$105,'Exportations Minières 23-24'!$C$2:$C$105,A22,'Exportations Minières 23-24'!$B$2:$B$105,B22,'Exportations Minières 23-24'!$A$2:$A$105,2023))/C22,"NC")</f>
        <v>14.2440498792509</v>
      </c>
      <c r="F22" s="4">
        <f>IFERROR((SUMIFS('Exportations Minières 23-24'!$I$2:$I$105,'Exportations Minières 23-24'!$C$2:$C$105,A22,'Exportations Minières 23-24'!$B$2:$B$105,B22,'Exportations Minières 23-24'!$A$2:$A$105,2024))/D22,"NC")</f>
        <v>14.868232641834551</v>
      </c>
      <c r="G22" s="4">
        <f>IFERROR((SUMIFS('Exportations Minières 23-24'!$H$2:$H$105,'Exportations Minières 23-24'!$C$2:$C$105,A22,'Exportations Minières 23-24'!$B$2:$B$105,B22,'Exportations Minières 23-24'!$A$2:$A$105,2023))/C22,"NC")</f>
        <v>8608.0416166709692</v>
      </c>
      <c r="H22" s="4">
        <f>IFERROR((SUMIFS('Exportations Minières 23-24'!$H$2:$H$105,'Exportations Minières 23-24'!$C$2:$C$105,A22,'Exportations Minières 23-24'!$B$2:$B$105,B22,'Exportations Minières 23-24'!$A$2:$A$105,2024))/D22,"NC")</f>
        <v>9015.3251355453067</v>
      </c>
      <c r="I22" s="2" t="s">
        <v>32</v>
      </c>
    </row>
    <row r="23" spans="1:9" x14ac:dyDescent="0.35">
      <c r="A23" s="2" t="s">
        <v>42</v>
      </c>
      <c r="B23" s="2" t="s">
        <v>71</v>
      </c>
      <c r="C23" s="3">
        <f>SUMIFS('Exportations Minières 23-24'!$G$2:$G$105,'Exportations Minières 23-24'!$C$2:$C$105,A23,'Exportations Minières 23-24'!$B$2:$B$105,B23,'Exportations Minières 23-24'!$A$2:$A$105,2023)</f>
        <v>17001</v>
      </c>
      <c r="D23" s="3">
        <f>SUMIFS('Exportations Minières 23-24'!$G$2:$G$105,'Exportations Minières 23-24'!$C$2:$C$105,A23,'Exportations Minières 23-24'!$B$2:$B$105,B23,'Exportations Minières 23-24'!$A$2:$A$105,2024)</f>
        <v>20001</v>
      </c>
      <c r="E23" s="4">
        <f>IFERROR((SUMIFS('Exportations Minières 23-24'!$I$2:$I$105,'Exportations Minières 23-24'!$C$2:$C$105,A23,'Exportations Minières 23-24'!$B$2:$B$105,B23,'Exportations Minières 23-24'!$A$2:$A$105,2023))/C23,"NC")</f>
        <v>240.52102817481324</v>
      </c>
      <c r="F23" s="4">
        <f>IFERROR((SUMIFS('Exportations Minières 23-24'!$I$2:$I$105,'Exportations Minières 23-24'!$C$2:$C$105,A23,'Exportations Minières 23-24'!$B$2:$B$105,B23,'Exportations Minières 23-24'!$A$2:$A$105,2024))/D23,"NC")</f>
        <v>226.10984450777462</v>
      </c>
      <c r="G23" s="4">
        <f>IFERROR((SUMIFS('Exportations Minières 23-24'!$H$2:$H$105,'Exportations Minières 23-24'!$C$2:$C$105,A23,'Exportations Minières 23-24'!$B$2:$B$105,B23,'Exportations Minières 23-24'!$A$2:$A$105,2023))/C23,"NC")</f>
        <v>145353.0471148756</v>
      </c>
      <c r="H23" s="4">
        <f>IFERROR((SUMIFS('Exportations Minières 23-24'!$H$2:$H$105,'Exportations Minières 23-24'!$C$2:$C$105,A23,'Exportations Minières 23-24'!$B$2:$B$105,B23,'Exportations Minières 23-24'!$A$2:$A$105,2024))/D23,"NC")</f>
        <v>138050.29443527825</v>
      </c>
      <c r="I23" s="2" t="s">
        <v>32</v>
      </c>
    </row>
    <row r="24" spans="1:9" x14ac:dyDescent="0.35">
      <c r="A24" s="2" t="s">
        <v>14</v>
      </c>
      <c r="B24" s="2" t="s">
        <v>72</v>
      </c>
      <c r="C24" s="3">
        <f>SUMIFS('Exportations Minières 23-24'!$G$2:$G$105,'Exportations Minières 23-24'!$C$2:$C$105,A24,'Exportations Minières 23-24'!$B$2:$B$105,B24,'Exportations Minières 23-24'!$A$2:$A$105,2023)</f>
        <v>21822</v>
      </c>
      <c r="D24" s="3">
        <f>SUMIFS('Exportations Minières 23-24'!$G$2:$G$105,'Exportations Minières 23-24'!$C$2:$C$105,A24,'Exportations Minières 23-24'!$B$2:$B$105,B24,'Exportations Minières 23-24'!$A$2:$A$105,2024)</f>
        <v>17085</v>
      </c>
      <c r="E24" s="4">
        <f>IFERROR((SUMIFS('Exportations Minières 23-24'!$I$2:$I$105,'Exportations Minières 23-24'!$C$2:$C$105,A24,'Exportations Minières 23-24'!$B$2:$B$105,B24,'Exportations Minières 23-24'!$A$2:$A$105,2023))/C24,"NC")</f>
        <v>23.350563651361011</v>
      </c>
      <c r="F24" s="4">
        <f>IFERROR((SUMIFS('Exportations Minières 23-24'!$I$2:$I$105,'Exportations Minières 23-24'!$C$2:$C$105,A24,'Exportations Minières 23-24'!$B$2:$B$105,B24,'Exportations Minières 23-24'!$A$2:$A$105,2024))/D24,"NC")</f>
        <v>28.294000585308751</v>
      </c>
      <c r="G24" s="4">
        <f>IFERROR((SUMIFS('Exportations Minières 23-24'!$H$2:$H$105,'Exportations Minières 23-24'!$C$2:$C$105,A24,'Exportations Minières 23-24'!$B$2:$B$105,B24,'Exportations Minières 23-24'!$A$2:$A$105,2023))/C24,"NC")</f>
        <v>14111.360691045733</v>
      </c>
      <c r="H24" s="4">
        <f>IFERROR((SUMIFS('Exportations Minières 23-24'!$H$2:$H$105,'Exportations Minières 23-24'!$C$2:$C$105,A24,'Exportations Minières 23-24'!$B$2:$B$105,B24,'Exportations Minières 23-24'!$A$2:$A$105,2024))/D24,"NC")</f>
        <v>17377.071875914546</v>
      </c>
      <c r="I24" s="2" t="s">
        <v>17</v>
      </c>
    </row>
    <row r="25" spans="1:9" x14ac:dyDescent="0.35">
      <c r="A25" s="2" t="s">
        <v>18</v>
      </c>
      <c r="B25" s="2" t="s">
        <v>72</v>
      </c>
      <c r="C25" s="3">
        <f>SUMIFS('Exportations Minières 23-24'!$G$2:$G$105,'Exportations Minières 23-24'!$C$2:$C$105,A25,'Exportations Minières 23-24'!$B$2:$B$105,B25,'Exportations Minières 23-24'!$A$2:$A$105,2023)</f>
        <v>8872</v>
      </c>
      <c r="D25" s="3">
        <f>SUMIFS('Exportations Minières 23-24'!$G$2:$G$105,'Exportations Minières 23-24'!$C$2:$C$105,A25,'Exportations Minières 23-24'!$B$2:$B$105,B25,'Exportations Minières 23-24'!$A$2:$A$105,2024)</f>
        <v>10095</v>
      </c>
      <c r="E25" s="4">
        <f>IFERROR((SUMIFS('Exportations Minières 23-24'!$I$2:$I$105,'Exportations Minières 23-24'!$C$2:$C$105,A25,'Exportations Minières 23-24'!$B$2:$B$105,B25,'Exportations Minières 23-24'!$A$2:$A$105,2023))/C25,"NC")</f>
        <v>22.824616771866545</v>
      </c>
      <c r="F25" s="4">
        <f>IFERROR((SUMIFS('Exportations Minières 23-24'!$I$2:$I$105,'Exportations Minières 23-24'!$C$2:$C$105,A25,'Exportations Minières 23-24'!$B$2:$B$105,B25,'Exportations Minières 23-24'!$A$2:$A$105,2024))/D25,"NC")</f>
        <v>27.823873204556712</v>
      </c>
      <c r="G25" s="4">
        <f>IFERROR((SUMIFS('Exportations Minières 23-24'!$H$2:$H$105,'Exportations Minières 23-24'!$C$2:$C$105,A25,'Exportations Minières 23-24'!$B$2:$B$105,B25,'Exportations Minières 23-24'!$A$2:$A$105,2023))/C25,"NC")</f>
        <v>13793.506875563571</v>
      </c>
      <c r="H25" s="4">
        <f>IFERROR((SUMIFS('Exportations Minières 23-24'!$H$2:$H$105,'Exportations Minières 23-24'!$C$2:$C$105,A25,'Exportations Minières 23-24'!$B$2:$B$105,B25,'Exportations Minières 23-24'!$A$2:$A$105,2024))/D25,"NC")</f>
        <v>16838.070331847448</v>
      </c>
      <c r="I25" s="2" t="s">
        <v>17</v>
      </c>
    </row>
    <row r="26" spans="1:9" x14ac:dyDescent="0.35">
      <c r="A26" s="2" t="s">
        <v>23</v>
      </c>
      <c r="B26" s="2" t="s">
        <v>73</v>
      </c>
      <c r="C26" s="3">
        <f>SUMIFS('Exportations Minières 23-24'!$G$2:$G$105,'Exportations Minières 23-24'!$C$2:$C$105,A26,'Exportations Minières 23-24'!$B$2:$B$105,B26,'Exportations Minières 23-24'!$A$2:$A$105,2023)</f>
        <v>4084</v>
      </c>
      <c r="D26" s="3">
        <f>SUMIFS('Exportations Minières 23-24'!$G$2:$G$105,'Exportations Minières 23-24'!$C$2:$C$105,A26,'Exportations Minières 23-24'!$B$2:$B$105,B26,'Exportations Minières 23-24'!$A$2:$A$105,2024)</f>
        <v>0</v>
      </c>
      <c r="E26" s="4">
        <f>IFERROR((SUMIFS('Exportations Minières 23-24'!$I$2:$I$105,'Exportations Minières 23-24'!$C$2:$C$105,A26,'Exportations Minières 23-24'!$B$2:$B$105,B26,'Exportations Minières 23-24'!$A$2:$A$105,2023))/C26,"NC")</f>
        <v>145.35284035259551</v>
      </c>
      <c r="F26" s="4" t="str">
        <f>IFERROR((SUMIFS('Exportations Minières 23-24'!$I$2:$I$105,'Exportations Minières 23-24'!$C$2:$C$105,A26,'Exportations Minières 23-24'!$B$2:$B$105,B26,'Exportations Minières 23-24'!$A$2:$A$105,2024))/D26,"NC")</f>
        <v>NC</v>
      </c>
      <c r="G26" s="4">
        <f>IFERROR((SUMIFS('Exportations Minières 23-24'!$H$2:$H$105,'Exportations Minières 23-24'!$C$2:$C$105,A26,'Exportations Minières 23-24'!$B$2:$B$105,B26,'Exportations Minières 23-24'!$A$2:$A$105,2023))/C26,"NC")</f>
        <v>87840.475024485801</v>
      </c>
      <c r="H26" s="4" t="str">
        <f>IFERROR((SUMIFS('Exportations Minières 23-24'!$H$2:$H$105,'Exportations Minières 23-24'!$C$2:$C$105,A26,'Exportations Minières 23-24'!$B$2:$B$105,B26,'Exportations Minières 23-24'!$A$2:$A$105,2024))/D26,"NC")</f>
        <v>NC</v>
      </c>
      <c r="I26" s="2" t="s">
        <v>26</v>
      </c>
    </row>
    <row r="27" spans="1:9" x14ac:dyDescent="0.35">
      <c r="A27" s="2" t="s">
        <v>36</v>
      </c>
      <c r="B27" s="2" t="s">
        <v>74</v>
      </c>
      <c r="C27" s="3">
        <f>SUMIFS('Exportations Minières 23-24'!$G$2:$G$105,'Exportations Minières 23-24'!$C$2:$C$105,A27,'Exportations Minières 23-24'!$B$2:$B$105,B27,'Exportations Minières 23-24'!$A$2:$A$105,2023)</f>
        <v>3599</v>
      </c>
      <c r="D27" s="3">
        <f>SUMIFS('Exportations Minières 23-24'!$G$2:$G$105,'Exportations Minières 23-24'!$C$2:$C$105,A27,'Exportations Minières 23-24'!$B$2:$B$105,B27,'Exportations Minières 23-24'!$A$2:$A$105,2024)</f>
        <v>0</v>
      </c>
      <c r="E27" s="4">
        <f>IFERROR((SUMIFS('Exportations Minières 23-24'!$I$2:$I$105,'Exportations Minières 23-24'!$C$2:$C$105,A27,'Exportations Minières 23-24'!$B$2:$B$105,B27,'Exportations Minières 23-24'!$A$2:$A$105,2023))/C27,"NC")</f>
        <v>62.057793831619897</v>
      </c>
      <c r="F27" s="4" t="str">
        <f>IFERROR((SUMIFS('Exportations Minières 23-24'!$I$2:$I$105,'Exportations Minières 23-24'!$C$2:$C$105,A27,'Exportations Minières 23-24'!$B$2:$B$105,B27,'Exportations Minières 23-24'!$A$2:$A$105,2024))/D27,"NC")</f>
        <v>NC</v>
      </c>
      <c r="G27" s="4">
        <f>IFERROR((SUMIFS('Exportations Minières 23-24'!$H$2:$H$105,'Exportations Minières 23-24'!$C$2:$C$105,A27,'Exportations Minières 23-24'!$B$2:$B$105,B27,'Exportations Minières 23-24'!$A$2:$A$105,2023))/C27,"NC")</f>
        <v>37503.125868296745</v>
      </c>
      <c r="H27" s="4" t="str">
        <f>IFERROR((SUMIFS('Exportations Minières 23-24'!$H$2:$H$105,'Exportations Minières 23-24'!$C$2:$C$105,A27,'Exportations Minières 23-24'!$B$2:$B$105,B27,'Exportations Minières 23-24'!$A$2:$A$105,2024))/D27,"NC")</f>
        <v>NC</v>
      </c>
      <c r="I27" s="2" t="s">
        <v>32</v>
      </c>
    </row>
    <row r="28" spans="1:9" x14ac:dyDescent="0.35">
      <c r="A28" s="2" t="s">
        <v>23</v>
      </c>
      <c r="B28" s="2" t="s">
        <v>75</v>
      </c>
      <c r="C28" s="3">
        <f>SUMIFS('Exportations Minières 23-24'!$G$2:$G$105,'Exportations Minières 23-24'!$C$2:$C$105,A28,'Exportations Minières 23-24'!$B$2:$B$105,B28,'Exportations Minières 23-24'!$A$2:$A$105,2023)</f>
        <v>2864</v>
      </c>
      <c r="D28" s="3">
        <f>SUMIFS('Exportations Minières 23-24'!$G$2:$G$105,'Exportations Minières 23-24'!$C$2:$C$105,A28,'Exportations Minières 23-24'!$B$2:$B$105,B28,'Exportations Minières 23-24'!$A$2:$A$105,2024)</f>
        <v>0</v>
      </c>
      <c r="E28" s="4">
        <f>IFERROR((SUMIFS('Exportations Minières 23-24'!$I$2:$I$105,'Exportations Minières 23-24'!$C$2:$C$105,A28,'Exportations Minières 23-24'!$B$2:$B$105,B28,'Exportations Minières 23-24'!$A$2:$A$105,2023))/C28,"NC")</f>
        <v>9.9305167597765358</v>
      </c>
      <c r="F28" s="4" t="str">
        <f>IFERROR((SUMIFS('Exportations Minières 23-24'!$I$2:$I$105,'Exportations Minières 23-24'!$C$2:$C$105,A28,'Exportations Minières 23-24'!$B$2:$B$105,B28,'Exportations Minières 23-24'!$A$2:$A$105,2024))/D28,"NC")</f>
        <v>NC</v>
      </c>
      <c r="G28" s="4">
        <f>IFERROR((SUMIFS('Exportations Minières 23-24'!$H$2:$H$105,'Exportations Minières 23-24'!$C$2:$C$105,A28,'Exportations Minières 23-24'!$B$2:$B$105,B28,'Exportations Minières 23-24'!$A$2:$A$105,2023))/C28,"NC")</f>
        <v>6001.2569832402232</v>
      </c>
      <c r="H28" s="4" t="str">
        <f>IFERROR((SUMIFS('Exportations Minières 23-24'!$H$2:$H$105,'Exportations Minières 23-24'!$C$2:$C$105,A28,'Exportations Minières 23-24'!$B$2:$B$105,B28,'Exportations Minières 23-24'!$A$2:$A$105,2024))/D28,"NC")</f>
        <v>NC</v>
      </c>
      <c r="I28" s="2" t="s">
        <v>26</v>
      </c>
    </row>
    <row r="29" spans="1:9" x14ac:dyDescent="0.35">
      <c r="A29" s="2" t="s">
        <v>23</v>
      </c>
      <c r="B29" s="2" t="s">
        <v>77</v>
      </c>
      <c r="C29" s="3">
        <f>SUMIFS('Exportations Minières 23-24'!$G$2:$G$105,'Exportations Minières 23-24'!$C$2:$C$105,A29,'Exportations Minières 23-24'!$B$2:$B$105,B29,'Exportations Minières 23-24'!$A$2:$A$105,2023)</f>
        <v>99</v>
      </c>
      <c r="D29" s="3">
        <f>SUMIFS('Exportations Minières 23-24'!$G$2:$G$105,'Exportations Minières 23-24'!$C$2:$C$105,A29,'Exportations Minières 23-24'!$B$2:$B$105,B29,'Exportations Minières 23-24'!$A$2:$A$105,2024)</f>
        <v>0</v>
      </c>
      <c r="E29" s="4">
        <f>IFERROR((SUMIFS('Exportations Minières 23-24'!$I$2:$I$105,'Exportations Minières 23-24'!$C$2:$C$105,A29,'Exportations Minières 23-24'!$B$2:$B$105,B29,'Exportations Minières 23-24'!$A$2:$A$105,2023))/C29,"NC")</f>
        <v>205.74747474747474</v>
      </c>
      <c r="F29" s="4" t="str">
        <f>IFERROR((SUMIFS('Exportations Minières 23-24'!$I$2:$I$105,'Exportations Minières 23-24'!$C$2:$C$105,A29,'Exportations Minières 23-24'!$B$2:$B$105,B29,'Exportations Minières 23-24'!$A$2:$A$105,2024))/D29,"NC")</f>
        <v>NC</v>
      </c>
      <c r="G29" s="4">
        <f>IFERROR((SUMIFS('Exportations Minières 23-24'!$H$2:$H$105,'Exportations Minières 23-24'!$C$2:$C$105,A29,'Exportations Minières 23-24'!$B$2:$B$105,B29,'Exportations Minières 23-24'!$A$2:$A$105,2023))/C29,"NC")</f>
        <v>124335.9494949495</v>
      </c>
      <c r="H29" s="4" t="str">
        <f>IFERROR((SUMIFS('Exportations Minières 23-24'!$H$2:$H$105,'Exportations Minières 23-24'!$C$2:$C$105,A29,'Exportations Minières 23-24'!$B$2:$B$105,B29,'Exportations Minières 23-24'!$A$2:$A$105,2024))/D29,"NC")</f>
        <v>NC</v>
      </c>
      <c r="I29" s="2" t="s">
        <v>26</v>
      </c>
    </row>
    <row r="30" spans="1:9" x14ac:dyDescent="0.35">
      <c r="A30" s="2" t="s">
        <v>46</v>
      </c>
      <c r="B30" s="2" t="s">
        <v>82</v>
      </c>
      <c r="C30" s="3">
        <f>SUMIFS('Exportations Minières 23-24'!$G$2:$G$105,'Exportations Minières 23-24'!$C$2:$C$105,A30,'Exportations Minières 23-24'!$B$2:$B$105,B30,'Exportations Minières 23-24'!$A$2:$A$105,2023)</f>
        <v>0</v>
      </c>
      <c r="D30" s="3">
        <f>SUMIFS('Exportations Minières 23-24'!$G$2:$G$105,'Exportations Minières 23-24'!$C$2:$C$105,A30,'Exportations Minières 23-24'!$B$2:$B$105,B30,'Exportations Minières 23-24'!$A$2:$A$105,2024)</f>
        <v>230418</v>
      </c>
      <c r="E30" s="4" t="str">
        <f>IFERROR((SUMIFS('Exportations Minières 23-24'!$I$2:$I$105,'Exportations Minières 23-24'!$C$2:$C$105,A30,'Exportations Minières 23-24'!$B$2:$B$105,B30,'Exportations Minières 23-24'!$A$2:$A$105,2023))/C30,"NC")</f>
        <v>NC</v>
      </c>
      <c r="F30" s="4">
        <f>IFERROR((SUMIFS('Exportations Minières 23-24'!$I$2:$I$105,'Exportations Minières 23-24'!$C$2:$C$105,A30,'Exportations Minières 23-24'!$B$2:$B$105,B30,'Exportations Minières 23-24'!$A$2:$A$105,2024))/D30,"NC")</f>
        <v>142.68965098212814</v>
      </c>
      <c r="G30" s="4" t="str">
        <f>IFERROR((SUMIFS('Exportations Minières 23-24'!$H$2:$H$105,'Exportations Minières 23-24'!$C$2:$C$105,A30,'Exportations Minières 23-24'!$B$2:$B$105,B30,'Exportations Minières 23-24'!$A$2:$A$105,2023))/C30,"NC")</f>
        <v>NC</v>
      </c>
      <c r="H30" s="4">
        <f>IFERROR((SUMIFS('Exportations Minières 23-24'!$H$2:$H$105,'Exportations Minières 23-24'!$C$2:$C$105,A30,'Exportations Minières 23-24'!$B$2:$B$105,B30,'Exportations Minières 23-24'!$A$2:$A$105,2024))/D30,"NC")</f>
        <v>86435.881142098267</v>
      </c>
      <c r="I30" s="2" t="s">
        <v>32</v>
      </c>
    </row>
    <row r="31" spans="1:9" x14ac:dyDescent="0.35">
      <c r="A31" s="2" t="s">
        <v>48</v>
      </c>
      <c r="B31" s="2" t="s">
        <v>82</v>
      </c>
      <c r="C31" s="3">
        <f>SUMIFS('Exportations Minières 23-24'!$G$2:$G$105,'Exportations Minières 23-24'!$C$2:$C$105,A31,'Exportations Minières 23-24'!$B$2:$B$105,B31,'Exportations Minières 23-24'!$A$2:$A$105,2023)</f>
        <v>0</v>
      </c>
      <c r="D31" s="3">
        <f>SUMIFS('Exportations Minières 23-24'!$G$2:$G$105,'Exportations Minières 23-24'!$C$2:$C$105,A31,'Exportations Minières 23-24'!$B$2:$B$105,B31,'Exportations Minières 23-24'!$A$2:$A$105,2024)</f>
        <v>177129</v>
      </c>
      <c r="E31" s="4" t="str">
        <f>IFERROR((SUMIFS('Exportations Minières 23-24'!$I$2:$I$105,'Exportations Minières 23-24'!$C$2:$C$105,A31,'Exportations Minières 23-24'!$B$2:$B$105,B31,'Exportations Minières 23-24'!$A$2:$A$105,2023))/C31,"NC")</f>
        <v>NC</v>
      </c>
      <c r="F31" s="4">
        <f>IFERROR((SUMIFS('Exportations Minières 23-24'!$I$2:$I$105,'Exportations Minières 23-24'!$C$2:$C$105,A31,'Exportations Minières 23-24'!$B$2:$B$105,B31,'Exportations Minières 23-24'!$A$2:$A$105,2024))/D31,"NC")</f>
        <v>119.25144950855027</v>
      </c>
      <c r="G31" s="4" t="str">
        <f>IFERROR((SUMIFS('Exportations Minières 23-24'!$H$2:$H$105,'Exportations Minières 23-24'!$C$2:$C$105,A31,'Exportations Minières 23-24'!$B$2:$B$105,B31,'Exportations Minières 23-24'!$A$2:$A$105,2023))/C31,"NC")</f>
        <v>NC</v>
      </c>
      <c r="H31" s="4">
        <f>IFERROR((SUMIFS('Exportations Minières 23-24'!$H$2:$H$105,'Exportations Minières 23-24'!$C$2:$C$105,A31,'Exportations Minières 23-24'!$B$2:$B$105,B31,'Exportations Minières 23-24'!$A$2:$A$105,2024))/D31,"NC")</f>
        <v>72307.84576212817</v>
      </c>
      <c r="I31" s="2" t="s">
        <v>32</v>
      </c>
    </row>
    <row r="32" spans="1:9" x14ac:dyDescent="0.35">
      <c r="A32" s="2" t="s">
        <v>23</v>
      </c>
      <c r="B32" s="2" t="s">
        <v>88</v>
      </c>
      <c r="C32" s="3">
        <f>SUMIFS('Exportations Minières 23-24'!$G$2:$G$105,'Exportations Minières 23-24'!$C$2:$C$105,A32,'Exportations Minières 23-24'!$B$2:$B$105,B32,'Exportations Minières 23-24'!$A$2:$A$105,2023)</f>
        <v>0</v>
      </c>
      <c r="D32" s="3">
        <f>SUMIFS('Exportations Minières 23-24'!$G$2:$G$105,'Exportations Minières 23-24'!$C$2:$C$105,A32,'Exportations Minières 23-24'!$B$2:$B$105,B32,'Exportations Minières 23-24'!$A$2:$A$105,2024)</f>
        <v>73606</v>
      </c>
      <c r="E32" s="4" t="str">
        <f>IFERROR((SUMIFS('Exportations Minières 23-24'!$I$2:$I$105,'Exportations Minières 23-24'!$C$2:$C$105,A32,'Exportations Minières 23-24'!$B$2:$B$105,B32,'Exportations Minières 23-24'!$A$2:$A$105,2023))/C32,"NC")</f>
        <v>NC</v>
      </c>
      <c r="F32" s="4">
        <f>IFERROR((SUMIFS('Exportations Minières 23-24'!$I$2:$I$105,'Exportations Minières 23-24'!$C$2:$C$105,A32,'Exportations Minières 23-24'!$B$2:$B$105,B32,'Exportations Minières 23-24'!$A$2:$A$105,2024))/D32,"NC")</f>
        <v>652.7940113577697</v>
      </c>
      <c r="G32" s="4" t="str">
        <f>IFERROR((SUMIFS('Exportations Minières 23-24'!$H$2:$H$105,'Exportations Minières 23-24'!$C$2:$C$105,A32,'Exportations Minières 23-24'!$B$2:$B$105,B32,'Exportations Minières 23-24'!$A$2:$A$105,2023))/C32,"NC")</f>
        <v>NC</v>
      </c>
      <c r="H32" s="4">
        <f>IFERROR((SUMIFS('Exportations Minières 23-24'!$H$2:$H$105,'Exportations Minières 23-24'!$C$2:$C$105,A32,'Exportations Minières 23-24'!$B$2:$B$105,B32,'Exportations Minières 23-24'!$A$2:$A$105,2024))/D32,"NC")</f>
        <v>401948.19210390456</v>
      </c>
      <c r="I32" s="2" t="s">
        <v>26</v>
      </c>
    </row>
    <row r="33" spans="1:9" x14ac:dyDescent="0.35">
      <c r="A33" s="2" t="s">
        <v>23</v>
      </c>
      <c r="B33" s="2" t="s">
        <v>90</v>
      </c>
      <c r="C33" s="3">
        <f>SUMIFS('Exportations Minières 23-24'!$G$2:$G$105,'Exportations Minières 23-24'!$C$2:$C$105,A33,'Exportations Minières 23-24'!$B$2:$B$105,B33,'Exportations Minières 23-24'!$A$2:$A$105,2023)</f>
        <v>0</v>
      </c>
      <c r="D33" s="3">
        <f>SUMIFS('Exportations Minières 23-24'!$G$2:$G$105,'Exportations Minières 23-24'!$C$2:$C$105,A33,'Exportations Minières 23-24'!$B$2:$B$105,B33,'Exportations Minières 23-24'!$A$2:$A$105,2024)</f>
        <v>19663</v>
      </c>
      <c r="E33" s="4" t="str">
        <f>IFERROR((SUMIFS('Exportations Minières 23-24'!$I$2:$I$105,'Exportations Minières 23-24'!$C$2:$C$105,A33,'Exportations Minières 23-24'!$B$2:$B$105,B33,'Exportations Minières 23-24'!$A$2:$A$105,2023))/C33,"NC")</f>
        <v>NC</v>
      </c>
      <c r="F33" s="4">
        <f>IFERROR((SUMIFS('Exportations Minières 23-24'!$I$2:$I$105,'Exportations Minières 23-24'!$C$2:$C$105,A33,'Exportations Minières 23-24'!$B$2:$B$105,B33,'Exportations Minières 23-24'!$A$2:$A$105,2024))/D33,"NC")</f>
        <v>521.57742969028129</v>
      </c>
      <c r="G33" s="4" t="str">
        <f>IFERROR((SUMIFS('Exportations Minières 23-24'!$H$2:$H$105,'Exportations Minières 23-24'!$C$2:$C$105,A33,'Exportations Minières 23-24'!$B$2:$B$105,B33,'Exportations Minières 23-24'!$A$2:$A$105,2023))/C33,"NC")</f>
        <v>NC</v>
      </c>
      <c r="H33" s="4">
        <f>IFERROR((SUMIFS('Exportations Minières 23-24'!$H$2:$H$105,'Exportations Minières 23-24'!$C$2:$C$105,A33,'Exportations Minières 23-24'!$B$2:$B$105,B33,'Exportations Minières 23-24'!$A$2:$A$105,2024))/D33,"NC")</f>
        <v>318170.50643340283</v>
      </c>
      <c r="I33" s="2" t="s">
        <v>26</v>
      </c>
    </row>
    <row r="34" spans="1:9" x14ac:dyDescent="0.35">
      <c r="A34" s="2" t="s">
        <v>42</v>
      </c>
      <c r="B34" s="2" t="s">
        <v>91</v>
      </c>
      <c r="C34" s="3">
        <f>SUMIFS('Exportations Minières 23-24'!$G$2:$G$105,'Exportations Minières 23-24'!$C$2:$C$105,A34,'Exportations Minières 23-24'!$B$2:$B$105,B34,'Exportations Minières 23-24'!$A$2:$A$105,2023)</f>
        <v>0</v>
      </c>
      <c r="D34" s="3">
        <f>SUMIFS('Exportations Minières 23-24'!$G$2:$G$105,'Exportations Minières 23-24'!$C$2:$C$105,A34,'Exportations Minières 23-24'!$B$2:$B$105,B34,'Exportations Minières 23-24'!$A$2:$A$105,2024)</f>
        <v>31443</v>
      </c>
      <c r="E34" s="4" t="str">
        <f>IFERROR((SUMIFS('Exportations Minières 23-24'!$I$2:$I$105,'Exportations Minières 23-24'!$C$2:$C$105,A34,'Exportations Minières 23-24'!$B$2:$B$105,B34,'Exportations Minières 23-24'!$A$2:$A$105,2023))/C34,"NC")</f>
        <v>NC</v>
      </c>
      <c r="F34" s="4">
        <f>IFERROR((SUMIFS('Exportations Minières 23-24'!$I$2:$I$105,'Exportations Minières 23-24'!$C$2:$C$105,A34,'Exportations Minières 23-24'!$B$2:$B$105,B34,'Exportations Minières 23-24'!$A$2:$A$105,2024))/D34,"NC")</f>
        <v>226.38094329421492</v>
      </c>
      <c r="G34" s="4" t="str">
        <f>IFERROR((SUMIFS('Exportations Minières 23-24'!$H$2:$H$105,'Exportations Minières 23-24'!$C$2:$C$105,A34,'Exportations Minières 23-24'!$B$2:$B$105,B34,'Exportations Minières 23-24'!$A$2:$A$105,2023))/C34,"NC")</f>
        <v>NC</v>
      </c>
      <c r="H34" s="4">
        <f>IFERROR((SUMIFS('Exportations Minières 23-24'!$H$2:$H$105,'Exportations Minières 23-24'!$C$2:$C$105,A34,'Exportations Minières 23-24'!$B$2:$B$105,B34,'Exportations Minières 23-24'!$A$2:$A$105,2024))/D34,"NC")</f>
        <v>137121.13290716536</v>
      </c>
      <c r="I34" s="2" t="s">
        <v>32</v>
      </c>
    </row>
    <row r="35" spans="1:9" x14ac:dyDescent="0.35">
      <c r="A35" s="2" t="s">
        <v>23</v>
      </c>
      <c r="B35" s="2" t="s">
        <v>92</v>
      </c>
      <c r="C35" s="3">
        <f>SUMIFS('Exportations Minières 23-24'!$G$2:$G$105,'Exportations Minières 23-24'!$C$2:$C$105,A35,'Exportations Minières 23-24'!$B$2:$B$105,B35,'Exportations Minières 23-24'!$A$2:$A$105,2023)</f>
        <v>0</v>
      </c>
      <c r="D35" s="3">
        <f>SUMIFS('Exportations Minières 23-24'!$G$2:$G$105,'Exportations Minières 23-24'!$C$2:$C$105,A35,'Exportations Minières 23-24'!$B$2:$B$105,B35,'Exportations Minières 23-24'!$A$2:$A$105,2024)</f>
        <v>1980</v>
      </c>
      <c r="E35" s="4" t="str">
        <f>IFERROR((SUMIFS('Exportations Minières 23-24'!$I$2:$I$105,'Exportations Minières 23-24'!$C$2:$C$105,A35,'Exportations Minières 23-24'!$B$2:$B$105,B35,'Exportations Minières 23-24'!$A$2:$A$105,2023))/C35,"NC")</f>
        <v>NC</v>
      </c>
      <c r="F35" s="4">
        <f>IFERROR((SUMIFS('Exportations Minières 23-24'!$I$2:$I$105,'Exportations Minières 23-24'!$C$2:$C$105,A35,'Exportations Minières 23-24'!$B$2:$B$105,B35,'Exportations Minières 23-24'!$A$2:$A$105,2024))/D35,"NC")</f>
        <v>675.20050505050506</v>
      </c>
      <c r="G35" s="4" t="str">
        <f>IFERROR((SUMIFS('Exportations Minières 23-24'!$H$2:$H$105,'Exportations Minières 23-24'!$C$2:$C$105,A35,'Exportations Minières 23-24'!$B$2:$B$105,B35,'Exportations Minières 23-24'!$A$2:$A$105,2023))/C35,"NC")</f>
        <v>NC</v>
      </c>
      <c r="H35" s="4">
        <f>IFERROR((SUMIFS('Exportations Minières 23-24'!$H$2:$H$105,'Exportations Minières 23-24'!$C$2:$C$105,A35,'Exportations Minières 23-24'!$B$2:$B$105,B35,'Exportations Minières 23-24'!$A$2:$A$105,2024))/D35,"NC")</f>
        <v>400000</v>
      </c>
      <c r="I35" s="2" t="s">
        <v>26</v>
      </c>
    </row>
    <row r="36" spans="1:9" x14ac:dyDescent="0.35">
      <c r="A36" s="2" t="s">
        <v>23</v>
      </c>
      <c r="B36" s="2" t="s">
        <v>93</v>
      </c>
      <c r="C36" s="3">
        <f>SUMIFS('Exportations Minières 23-24'!$G$2:$G$105,'Exportations Minières 23-24'!$C$2:$C$105,A36,'Exportations Minières 23-24'!$B$2:$B$105,B36,'Exportations Minières 23-24'!$A$2:$A$105,2023)</f>
        <v>0</v>
      </c>
      <c r="D36" s="3">
        <f>SUMIFS('Exportations Minières 23-24'!$G$2:$G$105,'Exportations Minières 23-24'!$C$2:$C$105,A36,'Exportations Minières 23-24'!$B$2:$B$105,B36,'Exportations Minières 23-24'!$A$2:$A$105,2024)</f>
        <v>1061</v>
      </c>
      <c r="E36" s="4" t="str">
        <f>IFERROR((SUMIFS('Exportations Minières 23-24'!$I$2:$I$105,'Exportations Minières 23-24'!$C$2:$C$105,A36,'Exportations Minières 23-24'!$B$2:$B$105,B36,'Exportations Minières 23-24'!$A$2:$A$105,2023))/C36,"NC")</f>
        <v>NC</v>
      </c>
      <c r="F36" s="4">
        <f>IFERROR((SUMIFS('Exportations Minières 23-24'!$I$2:$I$105,'Exportations Minières 23-24'!$C$2:$C$105,A36,'Exportations Minières 23-24'!$B$2:$B$105,B36,'Exportations Minières 23-24'!$A$2:$A$105,2024))/D36,"NC")</f>
        <v>139.9406220546654</v>
      </c>
      <c r="G36" s="4" t="str">
        <f>IFERROR((SUMIFS('Exportations Minières 23-24'!$H$2:$H$105,'Exportations Minières 23-24'!$C$2:$C$105,A36,'Exportations Minières 23-24'!$B$2:$B$105,B36,'Exportations Minières 23-24'!$A$2:$A$105,2023))/C36,"NC")</f>
        <v>NC</v>
      </c>
      <c r="H36" s="4">
        <f>IFERROR((SUMIFS('Exportations Minières 23-24'!$H$2:$H$105,'Exportations Minières 23-24'!$C$2:$C$105,A36,'Exportations Minières 23-24'!$B$2:$B$105,B36,'Exportations Minières 23-24'!$A$2:$A$105,2024))/D36,"NC")</f>
        <v>85000</v>
      </c>
      <c r="I36" s="2" t="s">
        <v>26</v>
      </c>
    </row>
  </sheetData>
  <autoFilter ref="A1:I36"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6"/>
  <sheetViews>
    <sheetView zoomScaleNormal="100" workbookViewId="0"/>
  </sheetViews>
  <sheetFormatPr baseColWidth="10" defaultColWidth="8.6328125" defaultRowHeight="14.5" x14ac:dyDescent="0.35"/>
  <cols>
    <col min="1" max="1" width="100" customWidth="1"/>
  </cols>
  <sheetData>
    <row r="1" spans="1:1" ht="21.75" customHeight="1" x14ac:dyDescent="0.35">
      <c r="A1" s="6" t="s">
        <v>143</v>
      </c>
    </row>
    <row r="2" spans="1:1" ht="3.75" customHeight="1" x14ac:dyDescent="0.35">
      <c r="A2" s="7"/>
    </row>
    <row r="3" spans="1:1" ht="15.75" customHeight="1" x14ac:dyDescent="0.35">
      <c r="A3" s="8" t="s">
        <v>144</v>
      </c>
    </row>
    <row r="4" spans="1:1" ht="30" customHeight="1" x14ac:dyDescent="0.35">
      <c r="A4" s="7" t="s">
        <v>145</v>
      </c>
    </row>
    <row r="5" spans="1:1" ht="39.75" customHeight="1" x14ac:dyDescent="0.35">
      <c r="A5" s="7" t="s">
        <v>146</v>
      </c>
    </row>
    <row r="6" spans="1:1" ht="15" customHeight="1" x14ac:dyDescent="0.35">
      <c r="A6" s="7" t="s">
        <v>147</v>
      </c>
    </row>
    <row r="7" spans="1:1" ht="3.75" customHeight="1" x14ac:dyDescent="0.35">
      <c r="A7" s="7"/>
    </row>
    <row r="8" spans="1:1" ht="15.75" customHeight="1" x14ac:dyDescent="0.35">
      <c r="A8" s="8" t="s">
        <v>148</v>
      </c>
    </row>
    <row r="9" spans="1:1" ht="15" customHeight="1" x14ac:dyDescent="0.35">
      <c r="A9" s="7" t="s">
        <v>149</v>
      </c>
    </row>
    <row r="10" spans="1:1" ht="15" customHeight="1" x14ac:dyDescent="0.35">
      <c r="A10" s="7" t="s">
        <v>150</v>
      </c>
    </row>
    <row r="11" spans="1:1" ht="30" customHeight="1" x14ac:dyDescent="0.35">
      <c r="A11" s="7" t="s">
        <v>151</v>
      </c>
    </row>
    <row r="12" spans="1:1" ht="3.75" customHeight="1" x14ac:dyDescent="0.35">
      <c r="A12" s="7"/>
    </row>
    <row r="13" spans="1:1" ht="15.75" customHeight="1" x14ac:dyDescent="0.35">
      <c r="A13" s="8" t="s">
        <v>152</v>
      </c>
    </row>
    <row r="14" spans="1:1" ht="15" customHeight="1" x14ac:dyDescent="0.35">
      <c r="A14" s="7" t="s">
        <v>153</v>
      </c>
    </row>
    <row r="15" spans="1:1" ht="15" customHeight="1" x14ac:dyDescent="0.35">
      <c r="A15" s="7" t="s">
        <v>154</v>
      </c>
    </row>
    <row r="16" spans="1:1" ht="3.75" customHeight="1" x14ac:dyDescent="0.35">
      <c r="A16" s="7"/>
    </row>
    <row r="17" spans="1:1" ht="15.75" customHeight="1" x14ac:dyDescent="0.35">
      <c r="A17" s="8" t="s">
        <v>155</v>
      </c>
    </row>
    <row r="18" spans="1:1" ht="24.75" customHeight="1" x14ac:dyDescent="0.35">
      <c r="A18" s="7" t="s">
        <v>156</v>
      </c>
    </row>
    <row r="19" spans="1:1" ht="21.75" customHeight="1" x14ac:dyDescent="0.35">
      <c r="A19" s="7" t="s">
        <v>157</v>
      </c>
    </row>
    <row r="20" spans="1:1" ht="34.5" customHeight="1" x14ac:dyDescent="0.35">
      <c r="A20" s="7" t="s">
        <v>158</v>
      </c>
    </row>
    <row r="21" spans="1:1" ht="24.75" customHeight="1" x14ac:dyDescent="0.35">
      <c r="A21" s="7" t="s">
        <v>159</v>
      </c>
    </row>
    <row r="22" spans="1:1" ht="21.75" customHeight="1" x14ac:dyDescent="0.35">
      <c r="A22" s="7" t="s">
        <v>160</v>
      </c>
    </row>
    <row r="23" spans="1:1" ht="3.75" customHeight="1" x14ac:dyDescent="0.35">
      <c r="A23" s="7"/>
    </row>
    <row r="24" spans="1:1" ht="15.75" customHeight="1" x14ac:dyDescent="0.35">
      <c r="A24" s="8" t="s">
        <v>161</v>
      </c>
    </row>
    <row r="25" spans="1:1" ht="24.75" customHeight="1" x14ac:dyDescent="0.35">
      <c r="A25" s="7" t="s">
        <v>162</v>
      </c>
    </row>
    <row r="26" spans="1:1" ht="24.75" customHeight="1" x14ac:dyDescent="0.35">
      <c r="A26" s="7" t="s">
        <v>163</v>
      </c>
    </row>
    <row r="27" spans="1:1" ht="30" customHeight="1" x14ac:dyDescent="0.35">
      <c r="A27" s="7" t="s">
        <v>164</v>
      </c>
    </row>
    <row r="28" spans="1:1" ht="45" customHeight="1" x14ac:dyDescent="0.35">
      <c r="A28" s="7" t="s">
        <v>165</v>
      </c>
    </row>
    <row r="29" spans="1:1" ht="3.75" customHeight="1" x14ac:dyDescent="0.35">
      <c r="A29" s="7"/>
    </row>
    <row r="30" spans="1:1" ht="15.75" customHeight="1" x14ac:dyDescent="0.35">
      <c r="A30" s="8" t="s">
        <v>166</v>
      </c>
    </row>
    <row r="31" spans="1:1" ht="24.75" customHeight="1" x14ac:dyDescent="0.35">
      <c r="A31" s="7" t="s">
        <v>167</v>
      </c>
    </row>
    <row r="32" spans="1:1" ht="24.75" customHeight="1" x14ac:dyDescent="0.35">
      <c r="A32" s="7" t="s">
        <v>168</v>
      </c>
    </row>
    <row r="33" spans="1:1" ht="21.75" customHeight="1" x14ac:dyDescent="0.35">
      <c r="A33" s="7" t="s">
        <v>169</v>
      </c>
    </row>
    <row r="34" spans="1:1" ht="3.75" customHeight="1" x14ac:dyDescent="0.35">
      <c r="A34" s="7"/>
    </row>
    <row r="35" spans="1:1" ht="15.75" customHeight="1" x14ac:dyDescent="0.35">
      <c r="A35" s="8" t="s">
        <v>170</v>
      </c>
    </row>
    <row r="36" spans="1:1" ht="49.5" customHeight="1" x14ac:dyDescent="0.35">
      <c r="A36" s="7" t="s">
        <v>171</v>
      </c>
    </row>
    <row r="37" spans="1:1" ht="39.75" customHeight="1" x14ac:dyDescent="0.35">
      <c r="A37" s="7" t="s">
        <v>172</v>
      </c>
    </row>
    <row r="38" spans="1:1" ht="39.75" customHeight="1" x14ac:dyDescent="0.35">
      <c r="A38" s="7" t="s">
        <v>173</v>
      </c>
    </row>
    <row r="39" spans="1:1" ht="34.5" customHeight="1" x14ac:dyDescent="0.35">
      <c r="A39" s="7" t="s">
        <v>174</v>
      </c>
    </row>
    <row r="40" spans="1:1" ht="30" customHeight="1" x14ac:dyDescent="0.35">
      <c r="A40" s="7" t="s">
        <v>175</v>
      </c>
    </row>
    <row r="41" spans="1:1" ht="54.75" customHeight="1" x14ac:dyDescent="0.35">
      <c r="A41" s="7" t="s">
        <v>176</v>
      </c>
    </row>
    <row r="42" spans="1:1" ht="34.5" customHeight="1" x14ac:dyDescent="0.35">
      <c r="A42" s="7" t="s">
        <v>177</v>
      </c>
    </row>
    <row r="43" spans="1:1" ht="30" customHeight="1" x14ac:dyDescent="0.35">
      <c r="A43" s="7" t="s">
        <v>178</v>
      </c>
    </row>
    <row r="44" spans="1:1" ht="15" customHeight="1" x14ac:dyDescent="0.35">
      <c r="A44" s="7" t="s">
        <v>179</v>
      </c>
    </row>
    <row r="45" spans="1:1" ht="30" customHeight="1" x14ac:dyDescent="0.35">
      <c r="A45" s="7" t="s">
        <v>180</v>
      </c>
    </row>
    <row r="46" spans="1:1" ht="34.5" customHeight="1" x14ac:dyDescent="0.35">
      <c r="A46" s="7" t="s">
        <v>181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Exportations Minières 23-24</vt:lpstr>
      <vt:lpstr>Exportations Hydrocarbures 24</vt:lpstr>
      <vt:lpstr>Prix par Société</vt:lpstr>
      <vt:lpstr>Prix par Substance</vt:lpstr>
      <vt:lpstr>Prix par Société et Substance</vt:lpstr>
      <vt:lpstr>Notes Méthodologiques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sie rachid traore</cp:lastModifiedBy>
  <cp:revision>0</cp:revision>
  <dcterms:created xsi:type="dcterms:W3CDTF">2026-07-06T13:36:46Z</dcterms:created>
  <dcterms:modified xsi:type="dcterms:W3CDTF">2026-07-06T14:38:12Z</dcterms:modified>
  <dc:language>en-US</dc:language>
</cp:coreProperties>
</file>