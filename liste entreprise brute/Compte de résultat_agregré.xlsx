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Stage ITIE\Liste entreprise brute\"/>
    </mc:Choice>
  </mc:AlternateContent>
  <xr:revisionPtr revIDLastSave="0" documentId="13_ncr:1_{53AA37E7-FA5E-4F28-AD50-B8BC9FBD63B8}" xr6:coauthVersionLast="47" xr6:coauthVersionMax="47" xr10:uidLastSave="{00000000-0000-0000-0000-000000000000}"/>
  <bookViews>
    <workbookView xWindow="1470" yWindow="1470" windowWidth="15375" windowHeight="7785" firstSheet="17" activeTab="19" xr2:uid="{00000000-000D-0000-FFFF-FFFF00000000}"/>
  </bookViews>
  <sheets>
    <sheet name="Feuil3" sheetId="34" r:id="rId1"/>
    <sheet name="WOODSIDE" sheetId="14" r:id="rId2"/>
    <sheet name="TOTAL E&amp;P" sheetId="12" r:id="rId3"/>
    <sheet name="KOSMOS" sheetId="11" r:id="rId4"/>
    <sheet name="SOMIVA" sheetId="10" r:id="rId5"/>
    <sheet name="BARRICK GOLD" sheetId="15" r:id="rId6"/>
    <sheet name="SMC" sheetId="21" r:id="rId7"/>
    <sheet name="AIG" sheetId="27" r:id="rId8"/>
    <sheet name="SORED" sheetId="28" r:id="rId9"/>
    <sheet name="CAPRICORN" sheetId="29" r:id="rId10"/>
    <sheet name="MIFERSO" sheetId="30" r:id="rId11"/>
    <sheet name="ORANTO" sheetId="31" r:id="rId12"/>
    <sheet name="SGO" sheetId="3" r:id="rId13"/>
    <sheet name="PMC" sheetId="2" r:id="rId14"/>
    <sheet name="GCO" sheetId="4" r:id="rId15"/>
    <sheet name="GPHOS" sheetId="6" r:id="rId16"/>
    <sheet name="CSE" sheetId="22" r:id="rId17"/>
    <sheet name="SOCOCIM" sheetId="19" r:id="rId18"/>
    <sheet name="BP SENEGAL" sheetId="1" r:id="rId19"/>
    <sheet name="ICS" sheetId="7" r:id="rId20"/>
    <sheet name="SAR" sheetId="32" r:id="rId21"/>
    <sheet name="IAMGOLD" sheetId="5" r:id="rId22"/>
    <sheet name="CSL" sheetId="8" r:id="rId23"/>
    <sheet name="BMCC" sheetId="13" r:id="rId24"/>
    <sheet name="DANGOTE" sheetId="9" r:id="rId25"/>
    <sheet name="CDS" sheetId="36" r:id="rId26"/>
    <sheet name="SEN_MINES" sheetId="35" r:id="rId27"/>
    <sheet name="SNSSS" sheetId="33" r:id="rId28"/>
    <sheet name="SSPT" sheetId="16" r:id="rId29"/>
    <sheet name="AGEM" sheetId="17" r:id="rId30"/>
    <sheet name="COGECA" sheetId="18" r:id="rId31"/>
    <sheet name="SEPHOS" sheetId="20" r:id="rId32"/>
    <sheet name="PETROSEN" sheetId="23" r:id="rId33"/>
    <sheet name="TALIX MINES" sheetId="24" r:id="rId34"/>
    <sheet name="GECAMINES" sheetId="25" r:id="rId35"/>
    <sheet name="GRAVITA" sheetId="38" r:id="rId36"/>
    <sheet name="FORTESA" sheetId="26" r:id="rId37"/>
    <sheet name="AOD" sheetId="39" r:id="rId38"/>
    <sheet name="FIS_SN" sheetId="40" r:id="rId39"/>
    <sheet name="IDC" sheetId="41" r:id="rId40"/>
    <sheet name="ASR" sheetId="42" r:id="rId41"/>
    <sheet name="GBO" sheetId="45" r:id="rId42"/>
    <sheet name="AFRIGOLD" sheetId="43" r:id="rId43"/>
    <sheet name="TANOR" sheetId="44" r:id="rId44"/>
    <sheet name="CHESSER" sheetId="46" r:id="rId45"/>
    <sheet name="KG HOLDING" sheetId="47" r:id="rId46"/>
    <sheet name="GOES" sheetId="48" r:id="rId47"/>
    <sheet name="FMS" sheetId="49" r:id="rId48"/>
    <sheet name="CHEMTRA" sheetId="50" r:id="rId49"/>
    <sheet name="LCP" sheetId="51" r:id="rId50"/>
    <sheet name="ZENITH" sheetId="52" r:id="rId51"/>
    <sheet name="SOMISEN" sheetId="53" r:id="rId52"/>
    <sheet name="ASCO" sheetId="54" r:id="rId53"/>
    <sheet name="SILEX" sheetId="55" r:id="rId54"/>
    <sheet name="CMS" sheetId="56" r:id="rId55"/>
    <sheet name="SOCABEG" sheetId="58" r:id="rId56"/>
    <sheet name="BOSFOR" sheetId="59" r:id="rId57"/>
    <sheet name="BAMBADJI" sheetId="60" r:id="rId58"/>
    <sheet name="AECI" sheetId="61" r:id="rId59"/>
    <sheet name="SOCOBE" sheetId="62" r:id="rId60"/>
    <sheet name="MANDINGA" sheetId="63" r:id="rId61"/>
    <sheet name="CPM" sheetId="68" r:id="rId62"/>
    <sheet name="PROCHIMAT" sheetId="69" r:id="rId63"/>
    <sheet name="RAPPORT" sheetId="57" r:id="rId64"/>
  </sheets>
  <externalReferences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xlnm._FilterDatabase" localSheetId="62" hidden="1">PROCHIMAT!#REF!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69" l="1"/>
  <c r="E3" i="69"/>
  <c r="B5" i="17" l="1"/>
  <c r="G4" i="17"/>
  <c r="G3" i="17"/>
  <c r="B5" i="56" l="1"/>
  <c r="E4" i="56"/>
  <c r="E3" i="56"/>
  <c r="E48" i="55" l="1"/>
  <c r="F46" i="55"/>
  <c r="E46" i="55"/>
  <c r="F40" i="55"/>
  <c r="E40" i="55"/>
  <c r="E33" i="55"/>
  <c r="E29" i="55"/>
  <c r="E31" i="55" s="1"/>
  <c r="E34" i="55" s="1"/>
  <c r="E41" i="55" s="1"/>
  <c r="F15" i="55"/>
  <c r="F29" i="55" s="1"/>
  <c r="F31" i="55" s="1"/>
  <c r="F34" i="55" s="1"/>
  <c r="F41" i="55" s="1"/>
  <c r="F49" i="55" s="1"/>
  <c r="E15" i="55"/>
  <c r="F11" i="55"/>
  <c r="E11" i="55"/>
  <c r="B5" i="55"/>
  <c r="E4" i="55"/>
  <c r="A4" i="55"/>
  <c r="E3" i="55"/>
  <c r="F46" i="54" l="1"/>
  <c r="E46" i="54"/>
  <c r="F40" i="54"/>
  <c r="E40" i="54"/>
  <c r="F15" i="54"/>
  <c r="E15" i="54"/>
  <c r="F11" i="54"/>
  <c r="F29" i="54" s="1"/>
  <c r="F31" i="54" s="1"/>
  <c r="F34" i="54" s="1"/>
  <c r="F41" i="54" s="1"/>
  <c r="E11" i="54"/>
  <c r="E29" i="54" s="1"/>
  <c r="E31" i="54" s="1"/>
  <c r="E34" i="54" s="1"/>
  <c r="E41" i="54" s="1"/>
  <c r="B5" i="54"/>
  <c r="E4" i="54"/>
  <c r="A4" i="54"/>
  <c r="E3" i="54"/>
  <c r="A3" i="54"/>
  <c r="E49" i="54" l="1"/>
  <c r="F49" i="54"/>
  <c r="F46" i="53" l="1"/>
  <c r="E46" i="53"/>
  <c r="F29" i="53"/>
  <c r="F31" i="53" s="1"/>
  <c r="F34" i="53" s="1"/>
  <c r="F41" i="53" s="1"/>
  <c r="F49" i="53" s="1"/>
  <c r="E29" i="53"/>
  <c r="E31" i="53" s="1"/>
  <c r="E34" i="53" s="1"/>
  <c r="E41" i="53" s="1"/>
  <c r="E49" i="53" s="1"/>
  <c r="B5" i="53"/>
  <c r="E4" i="53"/>
  <c r="E3" i="53"/>
  <c r="B5" i="52" l="1"/>
  <c r="E4" i="52"/>
  <c r="A4" i="52"/>
  <c r="E3" i="52"/>
  <c r="B5" i="50" l="1"/>
  <c r="E4" i="50"/>
  <c r="A4" i="50"/>
  <c r="E3" i="50"/>
  <c r="B5" i="48" l="1"/>
  <c r="E4" i="48"/>
  <c r="A4" i="48"/>
  <c r="E3" i="48"/>
  <c r="E30" i="47" l="1"/>
  <c r="E27" i="47"/>
  <c r="E26" i="47"/>
  <c r="E25" i="47"/>
  <c r="E23" i="47"/>
  <c r="F15" i="47"/>
  <c r="F29" i="47" s="1"/>
  <c r="F31" i="47" s="1"/>
  <c r="F34" i="47" s="1"/>
  <c r="F41" i="47" s="1"/>
  <c r="F49" i="47" s="1"/>
  <c r="E15" i="47"/>
  <c r="E29" i="47" s="1"/>
  <c r="E31" i="47" s="1"/>
  <c r="E34" i="47" s="1"/>
  <c r="E41" i="47" s="1"/>
  <c r="E49" i="47" s="1"/>
  <c r="B5" i="47"/>
  <c r="E4" i="47"/>
  <c r="E3" i="47"/>
  <c r="B5" i="46" l="1"/>
  <c r="E4" i="46"/>
  <c r="E3" i="46"/>
  <c r="B5" i="22" l="1"/>
  <c r="E4" i="22"/>
  <c r="E3" i="22"/>
  <c r="B5" i="44" l="1"/>
  <c r="E4" i="44"/>
  <c r="A4" i="44"/>
  <c r="E3" i="44"/>
  <c r="B5" i="63" l="1"/>
  <c r="E4" i="63"/>
  <c r="A4" i="63"/>
  <c r="E3" i="63"/>
  <c r="B5" i="62" l="1"/>
  <c r="E4" i="62"/>
  <c r="A4" i="62"/>
  <c r="E3" i="62"/>
  <c r="B5" i="60" l="1"/>
  <c r="E4" i="60"/>
  <c r="A4" i="60"/>
  <c r="E3" i="60"/>
  <c r="E34" i="59" l="1"/>
  <c r="B5" i="59"/>
  <c r="E4" i="59"/>
  <c r="A4" i="59"/>
  <c r="E3" i="59"/>
  <c r="B5" i="58" l="1"/>
  <c r="E4" i="58"/>
  <c r="E3" i="58"/>
  <c r="B5" i="43" l="1"/>
  <c r="E4" i="43"/>
  <c r="E3" i="43"/>
  <c r="B5" i="42" l="1"/>
  <c r="E4" i="42"/>
  <c r="E3" i="42"/>
  <c r="F46" i="41" l="1"/>
  <c r="F49" i="41" s="1"/>
  <c r="E46" i="41"/>
  <c r="E40" i="41"/>
  <c r="F29" i="41"/>
  <c r="F31" i="41" s="1"/>
  <c r="F34" i="41" s="1"/>
  <c r="E29" i="41"/>
  <c r="E31" i="41" s="1"/>
  <c r="E34" i="41" s="1"/>
  <c r="E41" i="41" s="1"/>
  <c r="E49" i="41" s="1"/>
  <c r="E15" i="41"/>
  <c r="B5" i="41"/>
  <c r="E4" i="41"/>
  <c r="E3" i="41"/>
  <c r="B5" i="38" l="1"/>
  <c r="G4" i="38"/>
  <c r="A4" i="38"/>
  <c r="G3" i="38"/>
  <c r="B5" i="25" l="1"/>
  <c r="G4" i="25"/>
  <c r="G3" i="25"/>
  <c r="B5" i="36" l="1"/>
  <c r="G4" i="36"/>
  <c r="G3" i="36"/>
  <c r="B5" i="35" l="1"/>
  <c r="G4" i="35"/>
  <c r="G3" i="35"/>
  <c r="B5" i="16" l="1"/>
  <c r="E4" i="16"/>
  <c r="E3" i="16"/>
  <c r="B5" i="7" l="1"/>
  <c r="G4" i="7"/>
  <c r="G3" i="7"/>
  <c r="E31" i="23" l="1"/>
  <c r="E34" i="23" s="1"/>
  <c r="E41" i="23" s="1"/>
  <c r="E49" i="23" s="1"/>
  <c r="B5" i="33" l="1"/>
  <c r="G4" i="33"/>
  <c r="A4" i="33"/>
  <c r="G3" i="33"/>
  <c r="B5" i="24" l="1"/>
  <c r="G4" i="24"/>
  <c r="G3" i="24"/>
  <c r="H40" i="19" l="1"/>
  <c r="G40" i="19"/>
  <c r="H34" i="19"/>
  <c r="G34" i="19"/>
  <c r="H9" i="19"/>
  <c r="H23" i="19" s="1"/>
  <c r="H25" i="19" s="1"/>
  <c r="H28" i="19" s="1"/>
  <c r="H35" i="19" s="1"/>
  <c r="H43" i="19" s="1"/>
  <c r="G9" i="19"/>
  <c r="G23" i="19" s="1"/>
  <c r="G25" i="19" s="1"/>
  <c r="G28" i="19" s="1"/>
  <c r="G35" i="19" s="1"/>
  <c r="G43" i="19" s="1"/>
  <c r="G22" i="4" l="1"/>
  <c r="G23" i="4"/>
  <c r="G25" i="4" s="1"/>
  <c r="G28" i="4" s="1"/>
  <c r="G29" i="4"/>
  <c r="G34" i="4" s="1"/>
  <c r="B5" i="3" l="1"/>
  <c r="G4" i="3"/>
  <c r="G3" i="3"/>
  <c r="B5" i="2" l="1"/>
  <c r="G4" i="2"/>
  <c r="G3" i="2"/>
  <c r="G40" i="1" l="1"/>
  <c r="F40" i="1"/>
  <c r="G34" i="1"/>
  <c r="F34" i="1"/>
  <c r="G23" i="1"/>
  <c r="G25" i="1" s="1"/>
  <c r="G28" i="1" s="1"/>
  <c r="F23" i="1"/>
  <c r="F25" i="1" s="1"/>
  <c r="F28" i="1" s="1"/>
  <c r="G35" i="1" l="1"/>
  <c r="G43" i="1" s="1"/>
  <c r="F35" i="1"/>
  <c r="F43" i="1" s="1"/>
</calcChain>
</file>

<file path=xl/sharedStrings.xml><?xml version="1.0" encoding="utf-8"?>
<sst xmlns="http://schemas.openxmlformats.org/spreadsheetml/2006/main" count="6584" uniqueCount="255">
  <si>
    <t>COMPTE DE RESULTAT</t>
  </si>
  <si>
    <t>Excercice clos le :</t>
  </si>
  <si>
    <t>Durée en mois :</t>
  </si>
  <si>
    <t>Numéro d'identification :</t>
  </si>
  <si>
    <t>REF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</si>
  <si>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</si>
  <si>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</si>
  <si>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</si>
  <si>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</si>
  <si>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</si>
  <si>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</si>
  <si>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</si>
  <si>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</si>
  <si>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</si>
  <si>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</si>
  <si>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</si>
  <si>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</si>
  <si>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</si>
  <si>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</si>
  <si>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</si>
  <si>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</si>
  <si>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</si>
  <si>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</si>
  <si>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</si>
  <si>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</si>
  <si>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</si>
  <si>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</si>
  <si>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</si>
  <si>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</si>
  <si>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</si>
  <si>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</si>
  <si>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</si>
  <si>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</si>
  <si>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</si>
  <si>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</si>
  <si>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</si>
  <si>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</si>
  <si>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</si>
  <si>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</si>
  <si>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</si>
  <si>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</si>
  <si>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</si>
  <si>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</si>
  <si>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</si>
  <si>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</si>
  <si>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</si>
  <si>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</si>
  <si>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</si>
  <si>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</si>
  <si>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</si>
  <si>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</si>
  <si>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</si>
  <si>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</si>
  <si>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</si>
  <si>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</si>
  <si>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</si>
  <si>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</si>
  <si>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</si>
  <si>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</si>
  <si>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</si>
  <si>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</si>
  <si>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</si>
  <si>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</si>
  <si>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</si>
  <si>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</si>
  <si>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</si>
  <si>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</si>
  <si>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</si>
  <si>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</si>
  <si>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</si>
  <si>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</si>
  <si>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</si>
  <si>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</si>
  <si>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</si>
  <si>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</si>
  <si>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</si>
  <si>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</si>
  <si>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</si>
  <si>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</si>
  <si>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</si>
  <si>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</si>
  <si>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</si>
  <si>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</si>
  <si>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</si>
  <si>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</si>
  <si>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</si>
  <si>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</si>
  <si>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</si>
  <si>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</si>
  <si>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</si>
  <si>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</si>
  <si>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</si>
  <si>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</si>
  <si>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</si>
  <si>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</si>
  <si>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</si>
  <si>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Désignation entité :</t>
  </si>
  <si>
    <t>Désignation entité :Sabodala Gold Operations S.A</t>
  </si>
  <si>
    <t>Variation de stocks</t>
  </si>
  <si>
    <t>Transferts de charges</t>
  </si>
  <si>
    <t>Reprises d'amortissements</t>
  </si>
  <si>
    <t>Tranfert de charges financières</t>
  </si>
  <si>
    <t>Charges H.A.O.</t>
  </si>
  <si>
    <t>Participations des travailleurs</t>
  </si>
  <si>
    <t>31/12/2022</t>
  </si>
  <si>
    <t>G-PHOS</t>
  </si>
  <si>
    <t>004716033 2V3</t>
  </si>
  <si>
    <t>2024</t>
  </si>
  <si>
    <t>2023</t>
  </si>
  <si>
    <t>2022</t>
  </si>
  <si>
    <t>2021</t>
  </si>
  <si>
    <t>31/12/N</t>
  </si>
  <si>
    <t>31/12/N-1</t>
  </si>
  <si>
    <t xml:space="preserve">Désignation entité : </t>
  </si>
  <si>
    <t>31/12/2024</t>
  </si>
  <si>
    <t>SOCIETE AFRICAINE DE RAFFINAGE</t>
  </si>
  <si>
    <t>00125762G3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</si>
  <si>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</si>
  <si>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</si>
  <si>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</si>
  <si>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</si>
  <si>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t>SEPHOS SENEGAL SA</t>
  </si>
  <si>
    <t>004013041</t>
  </si>
  <si>
    <t>SOCIETES DES PETROLES DU SENEGAL D'EXPLORATION ET DE PRODUCTION - SA</t>
  </si>
  <si>
    <t>007644736</t>
  </si>
  <si>
    <t>manque 2020</t>
  </si>
  <si>
    <t>manque 2022 2021 2020</t>
  </si>
  <si>
    <t>INDUSTRIES CHIMIQUES DU SENEGAL</t>
  </si>
  <si>
    <t>manque 2024 2023 2020</t>
  </si>
  <si>
    <t>SOCIETE SENEGALAISE DES PHOSPHATES DE THIES</t>
  </si>
  <si>
    <t>COMPAGNIE SENEGALAISE DES LUBRIFIANTS</t>
  </si>
  <si>
    <t>000033457</t>
  </si>
  <si>
    <t>SENEGAL MINES</t>
  </si>
  <si>
    <t>LES CIMENTS DU SAHEL SA</t>
  </si>
  <si>
    <t>Désignation de l'entreprise :</t>
  </si>
  <si>
    <t>AFRIQUE DE L'OUEST DRILLING SOFITER</t>
  </si>
  <si>
    <t>002828129</t>
  </si>
  <si>
    <t>FORTESA INTERNATIONAL SENEGAL SN</t>
  </si>
  <si>
    <t>004113081</t>
  </si>
  <si>
    <t>INTERNATIONAL DRILLING COMPANY SENEGAL SASU</t>
  </si>
  <si>
    <t>BAOBAB MINING AND CHEMICALS CORPORATION SA</t>
  </si>
  <si>
    <t>004408622 2C2</t>
  </si>
  <si>
    <t>Désignation entité : AFRICAN STAR RESSOURCES SARL</t>
  </si>
  <si>
    <t xml:space="preserve">Désignation entité : AFRIGOLD </t>
  </si>
  <si>
    <t xml:space="preserve"> </t>
  </si>
  <si>
    <t>GADD BISSIK PHOSPHATES OPERATIONS</t>
  </si>
  <si>
    <t>005478020</t>
  </si>
  <si>
    <t xml:space="preserve">AECI SENEGAL SUARL </t>
  </si>
  <si>
    <t>006186862 2A2</t>
  </si>
  <si>
    <t>Dénomination sociale de l’entreprise</t>
  </si>
  <si>
    <t>Numéro d'identification fiscale:</t>
  </si>
  <si>
    <t>CHESSER - SAU</t>
  </si>
  <si>
    <t>KUTLU GABANE HOLDING SA</t>
  </si>
  <si>
    <t>FALCON MINING SENEGAL</t>
  </si>
  <si>
    <t>007766663</t>
  </si>
  <si>
    <t>3C&amp;28</t>
  </si>
  <si>
    <t>LES CARRIERES DE POUT SARL</t>
  </si>
  <si>
    <t>Transfert de charges financières</t>
  </si>
  <si>
    <t>Désignation entité : CAPITAL DRILLING MINING SERVICES SENEGAL SAU</t>
  </si>
  <si>
    <t>Désignation entité : AGEM SENEGAL EXPLORATION</t>
  </si>
  <si>
    <t>CAYOR PHOSPHATE MINING SA</t>
  </si>
  <si>
    <t>008519160 2G3</t>
  </si>
  <si>
    <t>000018459</t>
  </si>
  <si>
    <t>COMPAGNIE DES PRODUITS CHIMIQUES &amp; MATERIAUX</t>
  </si>
  <si>
    <t>REF LIBELLES NOTE 31/12/N 31/12/N-1</t>
  </si>
  <si>
    <t>TA Ventes de marchandises A + 21 0 0</t>
  </si>
  <si>
    <t>RA Achats de marchandises - 22 0 -32 305 554 305 554</t>
  </si>
  <si>
    <t>RB Variation de stocks de marchandises -/+ 6 0 0</t>
  </si>
  <si>
    <t>XA MARGE BRUTE SUR MARCHANDISES (somme TA à RB) 0 -32 305 554 305 554</t>
  </si>
  <si>
    <t>TB Ventes de produits fabriqués B + 21 749 551 002 551 002 510 364 703 364 703</t>
  </si>
  <si>
    <t>TC Travaux, services vendus C + 21 0 0</t>
  </si>
  <si>
    <t>TD Produits accessoires D + 21 0 0</t>
  </si>
  <si>
    <t>XB CHIFFRE D'AFFAIRES (A + B + C + D) 749 551 002 551 002 510 364 703 364 703</t>
  </si>
  <si>
    <t>TE Production stockée (ou destockage) -/+ 6 32 826 666 826 666 893 291 291</t>
  </si>
  <si>
    <t>TF Production immobilisée 21 0 0</t>
  </si>
  <si>
    <t>TG Subventions d'exploitation 21 0 0</t>
  </si>
  <si>
    <t>TH Autres produits + 21 0 0</t>
  </si>
  <si>
    <t>TI Transferts de charges d'exploitation + 12 0 0</t>
  </si>
  <si>
    <t>RC Achats de matières premières et fournitures liées - 22 -165 058 192 058 192 -104 394 055 394 055</t>
  </si>
  <si>
    <t>RD Variation de stocks de stocks de matières premières et fournitures liées -/+ 6 -34 770 401 770 401 23 549 323 549 323</t>
  </si>
  <si>
    <t>RE Autres achats - 22 -41 602 440 602 440 -50 987 239 987 239</t>
  </si>
  <si>
    <t>RF Variation de stocks d'autres approvisionnements -/+ 6 0 0</t>
  </si>
  <si>
    <t>RG Transports - 23 -20 851 591 851 591 -1 946 598 946 598</t>
  </si>
  <si>
    <t>RH Services extérieurs - 24 -49 298 469 298 469 -35 716 033 716 033</t>
  </si>
  <si>
    <t>RI Impôts et taxes - 25 -41 224 018 224 018 -25 273 037 273 037</t>
  </si>
  <si>
    <t>RJ Autres charges - 26 0 -41 765 000 765 000</t>
  </si>
  <si>
    <t>XC VALEUR AJOUTEE (XB + RA + RB) + (somme TE à RJ) 429 572 557 572 557 242 419 801 419 801</t>
  </si>
  <si>
    <t>RK Charges de personnel - 27 -242 823 940 823 940 -203 509 446 509 446</t>
  </si>
  <si>
    <t>XD EXCEDENT BRUT D'EXPLOITATION (XC + RK) 186 748 617 748 617 38 910 355 910 355</t>
  </si>
  <si>
    <t>TJ Reprises d'amortissements, provisions et dépréciations + 28 0 0</t>
  </si>
  <si>
    <t>RL Dotations aux amortissements, aux provisions et dépréciations - 3C &amp; 28 -184 408 654 408 654 -40 964 099 964 099</t>
  </si>
  <si>
    <t>XE RESULTAT D'EXPLOITATION (XD + TJ + RL) 2 339 963 339 963 -2 053 744 053 744</t>
  </si>
  <si>
    <t>TK Revenus financiers et assimilés + 29 0 0</t>
  </si>
  <si>
    <t>TL Reprises de provisions et dépréciations financières + 28 0 0</t>
  </si>
  <si>
    <t>TM Tranferts de charges financières + 12 0 0</t>
  </si>
  <si>
    <t>RM Frais financiers et charges assimilées - 29 -1 446 900 446 900 -728 318 318</t>
  </si>
  <si>
    <t>RN Dotations aux provisions et aux dépréciations financières - 3C &amp; 28 0 0</t>
  </si>
  <si>
    <t>XF RESULTAT FINANCIER (somme TK à RN) -1 446 900 446 900 -728 318 318</t>
  </si>
  <si>
    <t>XG RESULTAT DES ACTIVITES ORDINAIRES (XE + XF) 893 063 063 -2 782 062 782 062</t>
  </si>
  <si>
    <t>TN Produits des cessions d'immobilisations + 3D 0 0</t>
  </si>
  <si>
    <t>TO Autres produits H.A.O. + 30 0 0</t>
  </si>
  <si>
    <t>RO Valeurs comptables des cessions d'immobilisations - 3D 0 0</t>
  </si>
  <si>
    <t>RP Autres charges H.A.O. - 30 0 0</t>
  </si>
  <si>
    <t>XH RESULTAT HORS ACTIVITES ORDINAIRES (somme TN à RP) 0 0</t>
  </si>
  <si>
    <t>RQ Participation des travailleurs - 30 0 0</t>
  </si>
  <si>
    <t>RS Impôts sur le résultat - -4 252 997 252 997 -43 783 069 783 069</t>
  </si>
  <si>
    <t>XI RESULTAT NET (XG + XH + RQ + RS) -3 359 934 359 934 -46 565 131 565 13</t>
  </si>
  <si>
    <t>2 632 606 203</t>
  </si>
  <si>
    <t>4 210 516 843</t>
  </si>
  <si>
    <t>528 007 820</t>
  </si>
  <si>
    <t>-2 027 516 927</t>
  </si>
  <si>
    <t>-1 578 483 958</t>
  </si>
  <si>
    <t>-1 109 412 557</t>
  </si>
  <si>
    <t>-4 603 901 932</t>
  </si>
  <si>
    <t>-255 012 459</t>
  </si>
  <si>
    <t>-190 774 588</t>
  </si>
  <si>
    <t>-2 394 225 092</t>
  </si>
  <si>
    <t>-190 367 729</t>
  </si>
  <si>
    <t>-2 584 592 821</t>
  </si>
  <si>
    <t>-1 691 689 997</t>
  </si>
  <si>
    <t>-4 276 282 818</t>
  </si>
  <si>
    <t>520 895 424</t>
  </si>
  <si>
    <t>-468 544 971</t>
  </si>
  <si>
    <t>52 350 453</t>
  </si>
  <si>
    <t>-4 223 932 365</t>
  </si>
  <si>
    <t>4 220 658 894</t>
  </si>
  <si>
    <t>-4 138 938 844</t>
  </si>
  <si>
    <t>81 720 050</t>
  </si>
  <si>
    <t>-4 142 212 315</t>
  </si>
  <si>
    <t>-253 738</t>
  </si>
  <si>
    <t>81 622 116 701</t>
  </si>
  <si>
    <t>1 309 928 679</t>
  </si>
  <si>
    <t>48 410 439</t>
  </si>
  <si>
    <t>82 980 455 719</t>
  </si>
  <si>
    <t>-3 622 251 761</t>
  </si>
  <si>
    <t>63 169 683</t>
  </si>
  <si>
    <t>-23 522 521 477</t>
  </si>
  <si>
    <t>-753 888 790</t>
  </si>
  <si>
    <t>-17 850 546 356</t>
  </si>
  <si>
    <t>2 688 836 106</t>
  </si>
  <si>
    <t>-124 853 371</t>
  </si>
  <si>
    <t>-4 147 008 531</t>
  </si>
  <si>
    <t>-203 418 554</t>
  </si>
  <si>
    <t>-253 581 515</t>
  </si>
  <si>
    <t>35 254 390 163</t>
  </si>
  <si>
    <t>-8 242 359 010</t>
  </si>
  <si>
    <t>27 012 031 243</t>
  </si>
  <si>
    <t>104 152 219</t>
  </si>
  <si>
    <t>5 455 153 284</t>
  </si>
  <si>
    <t>-9 886 568 856</t>
  </si>
  <si>
    <t>-8 099 280</t>
  </si>
  <si>
    <t>4 895 547 928</t>
  </si>
  <si>
    <t>14 713 048 916</t>
  </si>
  <si>
    <t>19 048 895 549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</si>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</sst>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\ _F"/>
    <numFmt numFmtId="165" formatCode="_ * #,##0_)\ _$_ ;_ * \(#,##0\)\ _$_ ;_ * &quot;-&quot;??_)\ _$_ ;_ @_ "/>
    <numFmt numFmtId="169" formatCode="_-* #,##0\ _€_-;\-* #,##0\ _€_-;_-* &quot;-&quot;??\ _€_-;_-@_-"/>
    <numFmt numFmtId="170" formatCode="_(* #,##0_);_(* \(#,##0\);_(* &quot;-&quot;_);_(@_)"/>
    <numFmt numFmtId="175" formatCode="_-* #,##0_-;\-* #,##0_-;_-* &quot;-&quot;??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  <font>
      <sz val="10"/>
      <color indexed="0"/>
      <name val="Cambria"/>
      <family val="1"/>
    </font>
    <font>
      <b/>
      <sz val="10"/>
      <color indexed="1"/>
      <name val="Cambria"/>
      <family val="1"/>
    </font>
    <font>
      <b/>
      <sz val="10"/>
      <color indexed="0"/>
      <name val="Cambria"/>
      <family val="1"/>
    </font>
    <font>
      <sz val="11"/>
      <color theme="1"/>
      <name val="Calibri"/>
      <family val="2"/>
    </font>
    <font>
      <b/>
      <sz val="10"/>
      <color indexed="2"/>
      <name val="Cambria"/>
      <family val="1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indexed="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indexed="0"/>
      <name val="Calibri"/>
      <family val="2"/>
    </font>
    <font>
      <b/>
      <sz val="10"/>
      <color indexed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mbria"/>
      <family val="1"/>
    </font>
    <font>
      <sz val="10"/>
      <name val="CG Times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FFFFFF"/>
      <name val="Cambria"/>
      <family val="1"/>
    </font>
    <font>
      <b/>
      <sz val="10"/>
      <color theme="0"/>
      <name val="Calibri"/>
      <family val="2"/>
      <scheme val="minor"/>
    </font>
    <font>
      <sz val="10"/>
      <color theme="1" tint="0.14999847407452621"/>
      <name val="Cambria"/>
      <family val="1"/>
    </font>
    <font>
      <b/>
      <sz val="10"/>
      <color theme="1" tint="0.14999847407452621"/>
      <name val="Cambria"/>
      <family val="1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2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rgb="FF548235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A9D08E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54813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3" fillId="0" borderId="0" applyAlignment="0" applyProtection="0"/>
    <xf numFmtId="0" fontId="13" fillId="0" borderId="0" applyAlignment="0" applyProtection="0"/>
    <xf numFmtId="0" fontId="13" fillId="0" borderId="0" applyAlignment="0" applyProtection="0"/>
    <xf numFmtId="0" fontId="13" fillId="0" borderId="0" applyAlignment="0" applyProtection="0"/>
    <xf numFmtId="0" fontId="1" fillId="0" borderId="0"/>
    <xf numFmtId="0" fontId="26" fillId="0" borderId="0"/>
  </cellStyleXfs>
  <cellXfs count="313">
    <xf numFmtId="0" fontId="0" fillId="0" borderId="0" xfId="0"/>
    <xf numFmtId="0" fontId="3" fillId="0" borderId="0" xfId="1" applyFont="1" applyProtection="1">
      <protection locked="0" hidden="1"/>
    </xf>
    <xf numFmtId="164" fontId="3" fillId="0" borderId="0" xfId="1" applyNumberFormat="1" applyFont="1" applyProtection="1">
      <protection locked="0" hidden="1"/>
    </xf>
    <xf numFmtId="0" fontId="3" fillId="0" borderId="0" xfId="1" applyFont="1" applyAlignment="1" applyProtection="1">
      <alignment horizontal="center" vertical="center"/>
      <protection locked="0" hidden="1"/>
    </xf>
    <xf numFmtId="0" fontId="3" fillId="0" borderId="0" xfId="1" applyFont="1" applyAlignment="1" applyProtection="1">
      <alignment vertical="center" wrapText="1"/>
      <protection locked="0"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vertical="center" wrapText="1"/>
      <protection hidden="1"/>
    </xf>
    <xf numFmtId="3" fontId="5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5" xfId="0" applyFont="1" applyBorder="1" applyAlignment="1" applyProtection="1">
      <alignment vertical="center"/>
      <protection hidden="1"/>
    </xf>
    <xf numFmtId="3" fontId="6" fillId="0" borderId="5" xfId="0" applyNumberFormat="1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vertical="center"/>
      <protection hidden="1"/>
    </xf>
    <xf numFmtId="3" fontId="6" fillId="0" borderId="6" xfId="0" applyNumberFormat="1" applyFont="1" applyBorder="1" applyAlignment="1" applyProtection="1">
      <alignment vertical="center"/>
      <protection hidden="1"/>
    </xf>
    <xf numFmtId="0" fontId="6" fillId="0" borderId="6" xfId="0" quotePrefix="1" applyFont="1" applyBorder="1" applyAlignment="1" applyProtection="1">
      <alignment vertical="center"/>
      <protection hidden="1"/>
    </xf>
    <xf numFmtId="0" fontId="6" fillId="0" borderId="6" xfId="0" quotePrefix="1" applyFont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vertical="center"/>
      <protection hidden="1"/>
    </xf>
    <xf numFmtId="3" fontId="7" fillId="2" borderId="6" xfId="0" applyNumberFormat="1" applyFont="1" applyFill="1" applyBorder="1" applyAlignment="1" applyProtection="1">
      <alignment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vertical="center"/>
      <protection hidden="1"/>
    </xf>
    <xf numFmtId="3" fontId="9" fillId="0" borderId="6" xfId="0" applyNumberFormat="1" applyFont="1" applyBorder="1" applyAlignment="1" applyProtection="1">
      <alignment vertical="center"/>
      <protection hidden="1"/>
    </xf>
    <xf numFmtId="0" fontId="5" fillId="3" borderId="6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vertical="center"/>
      <protection hidden="1"/>
    </xf>
    <xf numFmtId="3" fontId="5" fillId="3" borderId="6" xfId="0" applyNumberFormat="1" applyFont="1" applyFill="1" applyBorder="1" applyAlignment="1" applyProtection="1">
      <alignment vertical="center"/>
      <protection hidden="1"/>
    </xf>
    <xf numFmtId="0" fontId="3" fillId="0" borderId="0" xfId="1" applyFont="1" applyAlignment="1" applyProtection="1">
      <alignment horizontal="center" vertical="center"/>
      <protection locked="0"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3" fontId="6" fillId="0" borderId="0" xfId="0" applyNumberFormat="1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3" fontId="6" fillId="0" borderId="0" xfId="0" applyNumberFormat="1" applyFont="1" applyAlignment="1" applyProtection="1">
      <alignment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3" fontId="10" fillId="0" borderId="6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quotePrefix="1" applyFont="1" applyBorder="1" applyAlignment="1">
      <alignment vertical="center"/>
    </xf>
    <xf numFmtId="0" fontId="6" fillId="0" borderId="6" xfId="0" quotePrefix="1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3" fontId="11" fillId="4" borderId="6" xfId="0" applyNumberFormat="1" applyFont="1" applyFill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3" fontId="12" fillId="6" borderId="6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11" fillId="7" borderId="6" xfId="0" applyNumberFormat="1" applyFont="1" applyFill="1" applyBorder="1" applyAlignment="1">
      <alignment horizontal="right" vertical="center"/>
    </xf>
    <xf numFmtId="3" fontId="12" fillId="4" borderId="6" xfId="0" applyNumberFormat="1" applyFont="1" applyFill="1" applyBorder="1" applyAlignment="1">
      <alignment horizontal="right" vertical="center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3" fontId="6" fillId="0" borderId="6" xfId="0" applyNumberFormat="1" applyFont="1" applyBorder="1" applyAlignment="1" applyProtection="1">
      <alignment horizontal="center" vertical="center"/>
      <protection hidden="1"/>
    </xf>
    <xf numFmtId="3" fontId="7" fillId="2" borderId="6" xfId="0" applyNumberFormat="1" applyFont="1" applyFill="1" applyBorder="1" applyAlignment="1" applyProtection="1">
      <alignment horizontal="center" vertical="center"/>
      <protection hidden="1"/>
    </xf>
    <xf numFmtId="3" fontId="8" fillId="0" borderId="6" xfId="0" applyNumberFormat="1" applyFont="1" applyBorder="1" applyAlignment="1" applyProtection="1">
      <alignment horizontal="center" vertical="center"/>
      <protection hidden="1"/>
    </xf>
    <xf numFmtId="3" fontId="5" fillId="3" borderId="6" xfId="0" applyNumberFormat="1" applyFont="1" applyFill="1" applyBorder="1" applyAlignment="1" applyProtection="1">
      <alignment horizontal="center" vertical="center"/>
      <protection hidden="1"/>
    </xf>
    <xf numFmtId="0" fontId="5" fillId="2" borderId="4" xfId="0" applyNumberFormat="1" applyFont="1" applyFill="1" applyBorder="1" applyAlignment="1" applyProtection="1">
      <alignment horizontal="center" vertical="center" wrapText="1"/>
      <protection hidden="1"/>
    </xf>
    <xf numFmtId="165" fontId="10" fillId="0" borderId="6" xfId="2" applyNumberFormat="1" applyFont="1" applyBorder="1" applyAlignment="1" applyProtection="1">
      <alignment horizontal="right" vertical="center"/>
    </xf>
    <xf numFmtId="165" fontId="11" fillId="7" borderId="6" xfId="2" applyNumberFormat="1" applyFont="1" applyFill="1" applyBorder="1" applyAlignment="1" applyProtection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65" fontId="14" fillId="0" borderId="6" xfId="2" applyNumberFormat="1" applyFont="1" applyBorder="1" applyAlignment="1" applyProtection="1">
      <alignment horizontal="right" vertical="center"/>
    </xf>
    <xf numFmtId="165" fontId="12" fillId="4" borderId="6" xfId="2" applyNumberFormat="1" applyFont="1" applyFill="1" applyBorder="1" applyAlignment="1" applyProtection="1">
      <alignment horizontal="right" vertical="center"/>
    </xf>
    <xf numFmtId="3" fontId="14" fillId="0" borderId="6" xfId="0" applyNumberFormat="1" applyFont="1" applyBorder="1" applyAlignment="1">
      <alignment horizontal="right" vertical="center"/>
    </xf>
    <xf numFmtId="0" fontId="2" fillId="2" borderId="0" xfId="1" applyFont="1" applyFill="1" applyAlignment="1" applyProtection="1">
      <alignment horizontal="center" vertical="center"/>
      <protection locked="0" hidden="1"/>
    </xf>
    <xf numFmtId="0" fontId="3" fillId="0" borderId="0" xfId="1" applyFont="1" applyAlignment="1" applyProtection="1">
      <alignment horizontal="left"/>
      <protection locked="0" hidden="1"/>
    </xf>
    <xf numFmtId="14" fontId="4" fillId="0" borderId="1" xfId="1" applyNumberFormat="1" applyFont="1" applyBorder="1" applyAlignment="1" applyProtection="1">
      <alignment horizontal="center" vertical="center"/>
      <protection hidden="1"/>
    </xf>
    <xf numFmtId="0" fontId="4" fillId="0" borderId="1" xfId="1" applyFont="1" applyBorder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center" vertical="center"/>
      <protection locked="0" hidden="1"/>
    </xf>
    <xf numFmtId="0" fontId="4" fillId="0" borderId="2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/>
      <protection hidden="1"/>
    </xf>
    <xf numFmtId="1" fontId="4" fillId="0" borderId="1" xfId="1" applyNumberFormat="1" applyFont="1" applyBorder="1" applyAlignment="1" applyProtection="1">
      <alignment horizontal="center" vertical="center"/>
      <protection hidden="1"/>
    </xf>
    <xf numFmtId="49" fontId="5" fillId="2" borderId="4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4" xfId="0" applyNumberFormat="1" applyFont="1" applyFill="1" applyBorder="1" applyAlignment="1" applyProtection="1">
      <alignment vertical="center" wrapText="1"/>
      <protection hidden="1"/>
    </xf>
    <xf numFmtId="49" fontId="6" fillId="0" borderId="5" xfId="0" applyNumberFormat="1" applyFont="1" applyBorder="1" applyAlignment="1" applyProtection="1">
      <alignment horizontal="center" vertical="center"/>
      <protection hidden="1"/>
    </xf>
    <xf numFmtId="49" fontId="6" fillId="0" borderId="5" xfId="0" applyNumberFormat="1" applyFont="1" applyBorder="1" applyAlignment="1" applyProtection="1">
      <alignment vertical="center"/>
      <protection hidden="1"/>
    </xf>
    <xf numFmtId="49" fontId="6" fillId="0" borderId="6" xfId="0" applyNumberFormat="1" applyFont="1" applyBorder="1" applyAlignment="1" applyProtection="1">
      <alignment horizontal="center" vertical="center"/>
      <protection hidden="1"/>
    </xf>
    <xf numFmtId="49" fontId="6" fillId="0" borderId="6" xfId="0" applyNumberFormat="1" applyFont="1" applyBorder="1" applyAlignment="1" applyProtection="1">
      <alignment vertical="center"/>
      <protection hidden="1"/>
    </xf>
    <xf numFmtId="49" fontId="6" fillId="0" borderId="6" xfId="0" quotePrefix="1" applyNumberFormat="1" applyFont="1" applyBorder="1" applyAlignment="1" applyProtection="1">
      <alignment vertical="center"/>
      <protection hidden="1"/>
    </xf>
    <xf numFmtId="49" fontId="6" fillId="0" borderId="6" xfId="0" quotePrefix="1" applyNumberFormat="1" applyFont="1" applyBorder="1" applyAlignment="1" applyProtection="1">
      <alignment horizontal="center" vertical="center"/>
      <protection hidden="1"/>
    </xf>
    <xf numFmtId="49" fontId="7" fillId="2" borderId="6" xfId="0" applyNumberFormat="1" applyFont="1" applyFill="1" applyBorder="1" applyAlignment="1" applyProtection="1">
      <alignment horizontal="center" vertical="center"/>
      <protection hidden="1"/>
    </xf>
    <xf numFmtId="49" fontId="7" fillId="2" borderId="6" xfId="0" applyNumberFormat="1" applyFont="1" applyFill="1" applyBorder="1" applyAlignment="1" applyProtection="1">
      <alignment vertical="center"/>
      <protection hidden="1"/>
    </xf>
    <xf numFmtId="49" fontId="9" fillId="0" borderId="6" xfId="0" applyNumberFormat="1" applyFont="1" applyBorder="1" applyAlignment="1" applyProtection="1">
      <alignment horizontal="center" vertical="center"/>
      <protection hidden="1"/>
    </xf>
    <xf numFmtId="49" fontId="9" fillId="0" borderId="6" xfId="0" applyNumberFormat="1" applyFont="1" applyBorder="1" applyAlignment="1" applyProtection="1">
      <alignment vertical="center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49" fontId="5" fillId="3" borderId="6" xfId="0" applyNumberFormat="1" applyFont="1" applyFill="1" applyBorder="1" applyAlignment="1" applyProtection="1">
      <alignment vertical="center"/>
      <protection hidden="1"/>
    </xf>
    <xf numFmtId="0" fontId="16" fillId="2" borderId="0" xfId="4" applyFont="1" applyFill="1" applyAlignment="1" applyProtection="1">
      <alignment horizontal="center" vertical="center"/>
      <protection locked="0"/>
    </xf>
    <xf numFmtId="0" fontId="17" fillId="0" borderId="0" xfId="4" applyFont="1" applyProtection="1">
      <protection locked="0"/>
    </xf>
    <xf numFmtId="164" fontId="17" fillId="0" borderId="0" xfId="4" applyNumberFormat="1" applyFont="1" applyProtection="1">
      <protection locked="0"/>
    </xf>
    <xf numFmtId="0" fontId="17" fillId="0" borderId="0" xfId="4" applyFont="1" applyAlignment="1" applyProtection="1">
      <alignment horizontal="left"/>
      <protection locked="0"/>
    </xf>
    <xf numFmtId="14" fontId="18" fillId="0" borderId="7" xfId="0" applyNumberFormat="1" applyFont="1" applyBorder="1" applyAlignment="1">
      <alignment horizontal="center" vertical="center"/>
    </xf>
    <xf numFmtId="0" fontId="19" fillId="0" borderId="1" xfId="4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horizontal="center" vertical="center"/>
    </xf>
    <xf numFmtId="0" fontId="17" fillId="0" borderId="0" xfId="4" applyFont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 vertical="center"/>
    </xf>
    <xf numFmtId="0" fontId="19" fillId="0" borderId="2" xfId="4" applyFont="1" applyBorder="1" applyAlignment="1" applyProtection="1">
      <alignment horizontal="center" vertical="center"/>
      <protection locked="0"/>
    </xf>
    <xf numFmtId="0" fontId="17" fillId="0" borderId="0" xfId="4" applyFont="1" applyAlignment="1" applyProtection="1">
      <alignment vertical="center" wrapText="1"/>
      <protection locked="0"/>
    </xf>
    <xf numFmtId="0" fontId="18" fillId="0" borderId="9" xfId="0" applyFont="1" applyBorder="1" applyAlignment="1">
      <alignment horizontal="center" vertical="center"/>
    </xf>
    <xf numFmtId="0" fontId="19" fillId="0" borderId="3" xfId="4" applyFont="1" applyBorder="1" applyAlignment="1" applyProtection="1">
      <alignment horizontal="center" vertical="center"/>
      <protection locked="0"/>
    </xf>
    <xf numFmtId="0" fontId="20" fillId="8" borderId="10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vertical="center"/>
    </xf>
    <xf numFmtId="3" fontId="20" fillId="8" borderId="10" xfId="0" applyNumberFormat="1" applyFont="1" applyFill="1" applyBorder="1" applyAlignment="1">
      <alignment vertical="center"/>
    </xf>
    <xf numFmtId="0" fontId="17" fillId="0" borderId="0" xfId="0" applyFont="1"/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3" fontId="21" fillId="0" borderId="11" xfId="0" applyNumberFormat="1" applyFont="1" applyBorder="1" applyAlignment="1">
      <alignment horizontal="right" vertical="center"/>
    </xf>
    <xf numFmtId="3" fontId="22" fillId="9" borderId="11" xfId="0" applyNumberFormat="1" applyFont="1" applyFill="1" applyBorder="1" applyAlignment="1">
      <alignment horizontal="right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19" fillId="10" borderId="10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vertical="center"/>
    </xf>
    <xf numFmtId="3" fontId="18" fillId="11" borderId="11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0" xfId="4" applyFont="1" applyAlignment="1" applyProtection="1">
      <alignment horizontal="center" vertical="center"/>
      <protection locked="0"/>
    </xf>
    <xf numFmtId="0" fontId="16" fillId="2" borderId="0" xfId="3" applyFont="1" applyFill="1" applyAlignment="1" applyProtection="1">
      <alignment horizontal="center" vertical="center"/>
    </xf>
    <xf numFmtId="0" fontId="17" fillId="0" borderId="0" xfId="3" applyFont="1" applyProtection="1"/>
    <xf numFmtId="164" fontId="17" fillId="0" borderId="0" xfId="3" applyNumberFormat="1" applyFont="1" applyProtection="1"/>
    <xf numFmtId="0" fontId="17" fillId="0" borderId="0" xfId="3" applyFont="1" applyAlignment="1" applyProtection="1">
      <alignment horizontal="left"/>
    </xf>
    <xf numFmtId="14" fontId="24" fillId="0" borderId="12" xfId="0" applyNumberFormat="1" applyFont="1" applyBorder="1" applyAlignment="1">
      <alignment horizontal="center" vertical="center"/>
    </xf>
    <xf numFmtId="0" fontId="19" fillId="0" borderId="1" xfId="3" applyFont="1" applyBorder="1" applyAlignment="1" applyProtection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17" fillId="0" borderId="0" xfId="3" applyFont="1" applyAlignment="1" applyProtection="1">
      <alignment horizontal="center" vertical="center"/>
    </xf>
    <xf numFmtId="0" fontId="19" fillId="0" borderId="2" xfId="3" applyFont="1" applyBorder="1" applyAlignment="1" applyProtection="1">
      <alignment horizontal="center" vertical="center"/>
    </xf>
    <xf numFmtId="0" fontId="17" fillId="0" borderId="0" xfId="3" applyFont="1" applyAlignment="1" applyProtection="1">
      <alignment vertical="center" wrapText="1"/>
    </xf>
    <xf numFmtId="0" fontId="24" fillId="0" borderId="13" xfId="0" applyFont="1" applyBorder="1" applyAlignment="1">
      <alignment horizontal="center" vertical="center"/>
    </xf>
    <xf numFmtId="0" fontId="19" fillId="0" borderId="3" xfId="3" applyFont="1" applyBorder="1" applyAlignment="1" applyProtection="1">
      <alignment horizontal="center" vertical="center"/>
    </xf>
    <xf numFmtId="0" fontId="17" fillId="0" borderId="0" xfId="3" applyFont="1" applyAlignment="1" applyProtection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0" borderId="1" xfId="1" applyFont="1" applyBorder="1" applyAlignment="1" applyProtection="1">
      <alignment horizontal="left" vertical="center"/>
      <protection hidden="1"/>
    </xf>
    <xf numFmtId="0" fontId="4" fillId="0" borderId="3" xfId="1" quotePrefix="1" applyFont="1" applyBorder="1" applyAlignment="1" applyProtection="1">
      <alignment horizontal="center" vertical="center"/>
      <protection hidden="1"/>
    </xf>
    <xf numFmtId="3" fontId="25" fillId="0" borderId="6" xfId="0" applyNumberFormat="1" applyFont="1" applyBorder="1" applyAlignment="1" applyProtection="1">
      <alignment vertical="center"/>
      <protection hidden="1"/>
    </xf>
    <xf numFmtId="165" fontId="6" fillId="0" borderId="5" xfId="2" applyNumberFormat="1" applyFont="1" applyBorder="1" applyAlignment="1" applyProtection="1">
      <alignment vertical="center"/>
      <protection hidden="1"/>
    </xf>
    <xf numFmtId="165" fontId="6" fillId="0" borderId="6" xfId="2" applyNumberFormat="1" applyFont="1" applyBorder="1" applyAlignment="1" applyProtection="1">
      <alignment vertical="center"/>
      <protection hidden="1"/>
    </xf>
    <xf numFmtId="165" fontId="7" fillId="2" borderId="6" xfId="2" applyNumberFormat="1" applyFont="1" applyFill="1" applyBorder="1" applyAlignment="1" applyProtection="1">
      <alignment vertical="center"/>
      <protection hidden="1"/>
    </xf>
    <xf numFmtId="165" fontId="9" fillId="0" borderId="6" xfId="2" applyNumberFormat="1" applyFont="1" applyBorder="1" applyAlignment="1" applyProtection="1">
      <alignment vertical="center"/>
      <protection hidden="1"/>
    </xf>
    <xf numFmtId="165" fontId="5" fillId="3" borderId="6" xfId="2" applyNumberFormat="1" applyFont="1" applyFill="1" applyBorder="1" applyAlignment="1" applyProtection="1">
      <alignment vertical="center"/>
      <protection hidden="1"/>
    </xf>
    <xf numFmtId="3" fontId="17" fillId="0" borderId="0" xfId="0" applyNumberFormat="1" applyFont="1"/>
    <xf numFmtId="49" fontId="4" fillId="0" borderId="3" xfId="1" applyNumberFormat="1" applyFont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vertical="center" wrapText="1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16" xfId="0" applyFont="1" applyBorder="1" applyAlignment="1" applyProtection="1">
      <alignment vertical="center"/>
      <protection hidden="1"/>
    </xf>
    <xf numFmtId="3" fontId="6" fillId="0" borderId="16" xfId="0" applyNumberFormat="1" applyFont="1" applyBorder="1" applyAlignment="1" applyProtection="1">
      <alignment vertical="center"/>
      <protection hidden="1"/>
    </xf>
    <xf numFmtId="0" fontId="5" fillId="2" borderId="15" xfId="0" applyNumberFormat="1" applyFont="1" applyFill="1" applyBorder="1" applyAlignment="1" applyProtection="1">
      <alignment horizontal="center" vertical="center" wrapText="1"/>
      <protection hidden="1"/>
    </xf>
    <xf numFmtId="3" fontId="6" fillId="0" borderId="17" xfId="0" applyNumberFormat="1" applyFont="1" applyBorder="1" applyAlignment="1" applyProtection="1">
      <alignment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3" fontId="6" fillId="0" borderId="10" xfId="0" applyNumberFormat="1" applyFont="1" applyBorder="1" applyAlignment="1" applyProtection="1">
      <alignment vertical="center" wrapText="1"/>
      <protection hidden="1"/>
    </xf>
    <xf numFmtId="3" fontId="6" fillId="0" borderId="10" xfId="0" applyNumberFormat="1" applyFont="1" applyBorder="1" applyAlignment="1" applyProtection="1">
      <alignment vertical="center"/>
      <protection hidden="1"/>
    </xf>
    <xf numFmtId="0" fontId="8" fillId="0" borderId="18" xfId="0" applyFont="1" applyBorder="1" applyAlignment="1" applyProtection="1">
      <alignment horizontal="center" vertical="center"/>
      <protection hidden="1"/>
    </xf>
    <xf numFmtId="3" fontId="6" fillId="0" borderId="10" xfId="0" applyNumberFormat="1" applyFont="1" applyBorder="1" applyAlignment="1" applyProtection="1">
      <alignment horizontal="right" vertical="center"/>
      <protection hidden="1"/>
    </xf>
    <xf numFmtId="3" fontId="9" fillId="0" borderId="10" xfId="0" applyNumberFormat="1" applyFont="1" applyBorder="1" applyAlignment="1" applyProtection="1">
      <alignment horizontal="right" vertical="center"/>
      <protection hidden="1"/>
    </xf>
    <xf numFmtId="3" fontId="6" fillId="0" borderId="10" xfId="0" applyNumberFormat="1" applyFont="1" applyBorder="1" applyAlignment="1" applyProtection="1">
      <alignment horizontal="right" vertical="center" wrapText="1"/>
      <protection hidden="1"/>
    </xf>
    <xf numFmtId="3" fontId="6" fillId="0" borderId="14" xfId="0" applyNumberFormat="1" applyFont="1" applyBorder="1" applyAlignment="1" applyProtection="1">
      <alignment horizontal="right" vertical="center"/>
      <protection hidden="1"/>
    </xf>
    <xf numFmtId="3" fontId="6" fillId="0" borderId="6" xfId="0" applyNumberFormat="1" applyFont="1" applyBorder="1" applyAlignment="1" applyProtection="1">
      <alignment horizontal="right" vertical="center"/>
      <protection hidden="1"/>
    </xf>
    <xf numFmtId="3" fontId="7" fillId="2" borderId="6" xfId="0" applyNumberFormat="1" applyFont="1" applyFill="1" applyBorder="1" applyAlignment="1" applyProtection="1">
      <alignment horizontal="right" vertical="center"/>
      <protection hidden="1"/>
    </xf>
    <xf numFmtId="3" fontId="9" fillId="0" borderId="6" xfId="0" applyNumberFormat="1" applyFont="1" applyBorder="1" applyAlignment="1" applyProtection="1">
      <alignment horizontal="right" vertical="center"/>
      <protection hidden="1"/>
    </xf>
    <xf numFmtId="3" fontId="6" fillId="2" borderId="6" xfId="0" applyNumberFormat="1" applyFont="1" applyFill="1" applyBorder="1" applyAlignment="1" applyProtection="1">
      <alignment vertical="center"/>
      <protection hidden="1"/>
    </xf>
    <xf numFmtId="0" fontId="16" fillId="2" borderId="0" xfId="5" applyFont="1" applyFill="1" applyAlignment="1" applyProtection="1">
      <alignment horizontal="center" vertical="center"/>
      <protection locked="0"/>
    </xf>
    <xf numFmtId="0" fontId="17" fillId="0" borderId="0" xfId="5" applyFont="1" applyProtection="1">
      <protection locked="0"/>
    </xf>
    <xf numFmtId="164" fontId="17" fillId="0" borderId="0" xfId="5" applyNumberFormat="1" applyFont="1" applyProtection="1">
      <protection locked="0"/>
    </xf>
    <xf numFmtId="0" fontId="17" fillId="0" borderId="0" xfId="5" applyFont="1" applyAlignment="1" applyProtection="1">
      <alignment horizontal="left"/>
      <protection locked="0"/>
    </xf>
    <xf numFmtId="14" fontId="18" fillId="0" borderId="7" xfId="6" applyNumberFormat="1" applyFont="1" applyBorder="1" applyAlignment="1" applyProtection="1">
      <alignment horizontal="center" vertical="center"/>
    </xf>
    <xf numFmtId="0" fontId="19" fillId="0" borderId="1" xfId="5" applyFont="1" applyBorder="1" applyAlignment="1" applyProtection="1">
      <alignment horizontal="center" vertical="center"/>
      <protection locked="0"/>
    </xf>
    <xf numFmtId="0" fontId="18" fillId="0" borderId="7" xfId="6" applyFont="1" applyBorder="1" applyAlignment="1" applyProtection="1">
      <alignment horizontal="center" vertical="center"/>
    </xf>
    <xf numFmtId="0" fontId="17" fillId="0" borderId="0" xfId="5" applyFont="1" applyAlignment="1" applyProtection="1">
      <alignment horizontal="center" vertical="center"/>
      <protection locked="0"/>
    </xf>
    <xf numFmtId="0" fontId="18" fillId="0" borderId="8" xfId="6" applyFont="1" applyBorder="1" applyAlignment="1" applyProtection="1">
      <alignment horizontal="center" vertical="center"/>
    </xf>
    <xf numFmtId="0" fontId="19" fillId="0" borderId="2" xfId="5" applyFont="1" applyBorder="1" applyAlignment="1" applyProtection="1">
      <alignment horizontal="center" vertical="center"/>
      <protection locked="0"/>
    </xf>
    <xf numFmtId="0" fontId="17" fillId="0" borderId="0" xfId="5" applyFont="1" applyAlignment="1" applyProtection="1">
      <alignment vertical="center" wrapText="1"/>
      <protection locked="0"/>
    </xf>
    <xf numFmtId="0" fontId="18" fillId="0" borderId="9" xfId="6" applyFont="1" applyBorder="1" applyAlignment="1" applyProtection="1">
      <alignment horizontal="center" vertical="center"/>
    </xf>
    <xf numFmtId="0" fontId="19" fillId="0" borderId="3" xfId="5" applyFont="1" applyBorder="1" applyAlignment="1" applyProtection="1">
      <alignment horizontal="center" vertical="center"/>
      <protection locked="0"/>
    </xf>
    <xf numFmtId="0" fontId="20" fillId="8" borderId="10" xfId="6" applyFont="1" applyFill="1" applyBorder="1" applyAlignment="1">
      <alignment horizontal="center" vertical="center"/>
    </xf>
    <xf numFmtId="0" fontId="20" fillId="8" borderId="10" xfId="6" applyFont="1" applyFill="1" applyBorder="1" applyAlignment="1">
      <alignment vertical="center"/>
    </xf>
    <xf numFmtId="3" fontId="20" fillId="8" borderId="10" xfId="6" applyNumberFormat="1" applyFont="1" applyFill="1" applyBorder="1" applyAlignment="1">
      <alignment vertical="center"/>
    </xf>
    <xf numFmtId="0" fontId="17" fillId="0" borderId="10" xfId="6" applyFont="1" applyBorder="1" applyAlignment="1">
      <alignment horizontal="center" vertical="center"/>
    </xf>
    <xf numFmtId="0" fontId="17" fillId="0" borderId="10" xfId="6" applyFont="1" applyBorder="1" applyAlignment="1">
      <alignment vertical="center"/>
    </xf>
    <xf numFmtId="3" fontId="21" fillId="0" borderId="11" xfId="6" applyNumberFormat="1" applyFont="1" applyBorder="1" applyAlignment="1" applyProtection="1">
      <alignment horizontal="right" vertical="center"/>
    </xf>
    <xf numFmtId="3" fontId="22" fillId="9" borderId="11" xfId="6" applyNumberFormat="1" applyFont="1" applyFill="1" applyBorder="1" applyAlignment="1" applyProtection="1">
      <alignment horizontal="right" vertical="center"/>
    </xf>
    <xf numFmtId="0" fontId="23" fillId="0" borderId="10" xfId="6" applyFont="1" applyBorder="1" applyAlignment="1">
      <alignment horizontal="center" vertical="center"/>
    </xf>
    <xf numFmtId="0" fontId="23" fillId="0" borderId="10" xfId="6" applyFont="1" applyBorder="1" applyAlignment="1">
      <alignment vertical="center"/>
    </xf>
    <xf numFmtId="0" fontId="19" fillId="10" borderId="10" xfId="6" applyFont="1" applyFill="1" applyBorder="1" applyAlignment="1">
      <alignment horizontal="center" vertical="center"/>
    </xf>
    <xf numFmtId="0" fontId="19" fillId="10" borderId="10" xfId="6" applyFont="1" applyFill="1" applyBorder="1" applyAlignment="1">
      <alignment vertical="center"/>
    </xf>
    <xf numFmtId="3" fontId="18" fillId="11" borderId="11" xfId="6" applyNumberFormat="1" applyFont="1" applyFill="1" applyBorder="1" applyAlignment="1" applyProtection="1">
      <alignment horizontal="right" vertical="center"/>
    </xf>
    <xf numFmtId="0" fontId="27" fillId="15" borderId="0" xfId="0" applyFont="1" applyFill="1" applyAlignment="1" applyProtection="1">
      <alignment horizontal="center" vertical="center"/>
      <protection locked="0" hidden="1"/>
    </xf>
    <xf numFmtId="0" fontId="28" fillId="0" borderId="0" xfId="0" applyFont="1" applyProtection="1">
      <protection locked="0" hidden="1"/>
    </xf>
    <xf numFmtId="164" fontId="28" fillId="0" borderId="0" xfId="0" applyNumberFormat="1" applyFont="1" applyProtection="1">
      <protection locked="0" hidden="1"/>
    </xf>
    <xf numFmtId="0" fontId="28" fillId="0" borderId="0" xfId="0" applyFont="1" applyAlignment="1" applyProtection="1">
      <alignment horizontal="left"/>
      <protection locked="0" hidden="1"/>
    </xf>
    <xf numFmtId="14" fontId="29" fillId="0" borderId="7" xfId="0" applyNumberFormat="1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/>
      <protection locked="0"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vertical="center" wrapText="1"/>
      <protection locked="0"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30" fillId="15" borderId="11" xfId="0" applyFont="1" applyFill="1" applyBorder="1" applyAlignment="1" applyProtection="1">
      <alignment horizontal="center" vertical="center" wrapText="1"/>
      <protection hidden="1"/>
    </xf>
    <xf numFmtId="0" fontId="30" fillId="15" borderId="11" xfId="0" applyFont="1" applyFill="1" applyBorder="1" applyAlignment="1" applyProtection="1">
      <alignment vertical="center" wrapText="1"/>
      <protection hidden="1"/>
    </xf>
    <xf numFmtId="3" fontId="30" fillId="15" borderId="11" xfId="0" applyNumberFormat="1" applyFont="1" applyFill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11" xfId="0" applyFont="1" applyBorder="1" applyAlignment="1" applyProtection="1">
      <alignment horizontal="center" vertical="center"/>
      <protection hidden="1"/>
    </xf>
    <xf numFmtId="0" fontId="31" fillId="0" borderId="11" xfId="0" applyFont="1" applyBorder="1" applyAlignment="1" applyProtection="1">
      <alignment vertical="center"/>
      <protection hidden="1"/>
    </xf>
    <xf numFmtId="3" fontId="31" fillId="0" borderId="11" xfId="0" applyNumberFormat="1" applyFont="1" applyBorder="1" applyAlignment="1" applyProtection="1">
      <alignment vertical="center"/>
      <protection hidden="1"/>
    </xf>
    <xf numFmtId="0" fontId="31" fillId="0" borderId="11" xfId="0" quotePrefix="1" applyFont="1" applyBorder="1" applyAlignment="1" applyProtection="1">
      <alignment vertical="center"/>
      <protection hidden="1"/>
    </xf>
    <xf numFmtId="0" fontId="31" fillId="0" borderId="11" xfId="0" quotePrefix="1" applyFont="1" applyBorder="1" applyAlignment="1" applyProtection="1">
      <alignment horizontal="center" vertical="center"/>
      <protection hidden="1"/>
    </xf>
    <xf numFmtId="0" fontId="32" fillId="15" borderId="11" xfId="0" applyFont="1" applyFill="1" applyBorder="1" applyAlignment="1" applyProtection="1">
      <alignment horizontal="center" vertical="center"/>
      <protection hidden="1"/>
    </xf>
    <xf numFmtId="0" fontId="32" fillId="15" borderId="11" xfId="0" applyFont="1" applyFill="1" applyBorder="1" applyAlignment="1" applyProtection="1">
      <alignment vertical="center"/>
      <protection hidden="1"/>
    </xf>
    <xf numFmtId="3" fontId="32" fillId="15" borderId="11" xfId="0" applyNumberFormat="1" applyFont="1" applyFill="1" applyBorder="1" applyAlignment="1" applyProtection="1">
      <alignment vertical="center"/>
      <protection hidden="1"/>
    </xf>
    <xf numFmtId="3" fontId="9" fillId="0" borderId="11" xfId="0" applyNumberFormat="1" applyFont="1" applyBorder="1" applyAlignment="1" applyProtection="1">
      <alignment vertical="center"/>
      <protection hidden="1"/>
    </xf>
    <xf numFmtId="3" fontId="31" fillId="0" borderId="0" xfId="0" applyNumberFormat="1" applyFont="1" applyAlignment="1" applyProtection="1">
      <alignment vertical="center"/>
      <protection hidden="1"/>
    </xf>
    <xf numFmtId="3" fontId="0" fillId="0" borderId="0" xfId="0" applyNumberFormat="1"/>
    <xf numFmtId="0" fontId="30" fillId="16" borderId="11" xfId="0" applyFont="1" applyFill="1" applyBorder="1" applyAlignment="1" applyProtection="1">
      <alignment horizontal="center" vertical="center"/>
      <protection hidden="1"/>
    </xf>
    <xf numFmtId="0" fontId="30" fillId="16" borderId="11" xfId="0" applyFont="1" applyFill="1" applyBorder="1" applyAlignment="1" applyProtection="1">
      <alignment vertical="center"/>
      <protection hidden="1"/>
    </xf>
    <xf numFmtId="3" fontId="30" fillId="16" borderId="11" xfId="0" applyNumberFormat="1" applyFont="1" applyFill="1" applyBorder="1" applyAlignment="1" applyProtection="1">
      <alignment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3" fontId="31" fillId="0" borderId="0" xfId="0" applyNumberFormat="1" applyFont="1" applyAlignment="1" applyProtection="1">
      <alignment vertical="center" wrapText="1"/>
      <protection hidden="1"/>
    </xf>
    <xf numFmtId="3" fontId="5" fillId="2" borderId="6" xfId="0" applyNumberFormat="1" applyFont="1" applyFill="1" applyBorder="1" applyAlignment="1" applyProtection="1">
      <alignment vertical="center"/>
      <protection hidden="1"/>
    </xf>
    <xf numFmtId="0" fontId="2" fillId="2" borderId="0" xfId="7" applyFont="1" applyFill="1" applyAlignment="1" applyProtection="1">
      <alignment horizontal="center" vertical="center"/>
      <protection locked="0" hidden="1"/>
    </xf>
    <xf numFmtId="0" fontId="3" fillId="0" borderId="0" xfId="7" applyFont="1" applyProtection="1">
      <protection locked="0" hidden="1"/>
    </xf>
    <xf numFmtId="164" fontId="3" fillId="0" borderId="0" xfId="7" applyNumberFormat="1" applyFont="1" applyProtection="1">
      <protection locked="0" hidden="1"/>
    </xf>
    <xf numFmtId="0" fontId="3" fillId="0" borderId="0" xfId="7" applyFont="1" applyAlignment="1" applyProtection="1">
      <alignment horizontal="left"/>
      <protection locked="0" hidden="1"/>
    </xf>
    <xf numFmtId="14" fontId="4" fillId="0" borderId="1" xfId="7" applyNumberFormat="1" applyFont="1" applyBorder="1" applyAlignment="1" applyProtection="1">
      <alignment horizontal="center" vertical="center"/>
      <protection hidden="1"/>
    </xf>
    <xf numFmtId="0" fontId="4" fillId="0" borderId="1" xfId="7" applyFont="1" applyBorder="1" applyAlignment="1" applyProtection="1">
      <alignment horizontal="center" vertical="center"/>
      <protection hidden="1"/>
    </xf>
    <xf numFmtId="0" fontId="3" fillId="0" borderId="0" xfId="7" applyFont="1" applyAlignment="1" applyProtection="1">
      <alignment horizontal="center" vertical="center"/>
      <protection locked="0" hidden="1"/>
    </xf>
    <xf numFmtId="0" fontId="4" fillId="0" borderId="2" xfId="7" applyFont="1" applyBorder="1" applyAlignment="1" applyProtection="1">
      <alignment horizontal="center" vertical="center"/>
      <protection hidden="1"/>
    </xf>
    <xf numFmtId="0" fontId="3" fillId="0" borderId="0" xfId="7" applyFont="1" applyAlignment="1" applyProtection="1">
      <alignment vertical="center" wrapText="1"/>
      <protection locked="0" hidden="1"/>
    </xf>
    <xf numFmtId="49" fontId="4" fillId="0" borderId="3" xfId="7" applyNumberFormat="1" applyFont="1" applyBorder="1" applyAlignment="1" applyProtection="1">
      <alignment horizontal="center" vertical="center"/>
      <protection hidden="1"/>
    </xf>
    <xf numFmtId="0" fontId="4" fillId="0" borderId="3" xfId="7" applyFont="1" applyBorder="1" applyAlignment="1" applyProtection="1">
      <alignment horizontal="center" vertical="center"/>
      <protection hidden="1"/>
    </xf>
    <xf numFmtId="0" fontId="5" fillId="2" borderId="4" xfId="8" applyFont="1" applyFill="1" applyBorder="1" applyAlignment="1" applyProtection="1">
      <alignment horizontal="center" vertical="center" wrapText="1"/>
      <protection hidden="1"/>
    </xf>
    <xf numFmtId="0" fontId="5" fillId="2" borderId="4" xfId="8" applyFont="1" applyFill="1" applyBorder="1" applyAlignment="1" applyProtection="1">
      <alignment vertical="center" wrapText="1"/>
      <protection hidden="1"/>
    </xf>
    <xf numFmtId="0" fontId="6" fillId="0" borderId="0" xfId="8" applyFont="1" applyAlignment="1" applyProtection="1">
      <alignment vertical="center"/>
      <protection hidden="1"/>
    </xf>
    <xf numFmtId="0" fontId="6" fillId="0" borderId="5" xfId="8" applyFont="1" applyBorder="1" applyAlignment="1" applyProtection="1">
      <alignment horizontal="center" vertical="center"/>
      <protection hidden="1"/>
    </xf>
    <xf numFmtId="0" fontId="6" fillId="0" borderId="5" xfId="8" applyFont="1" applyBorder="1" applyAlignment="1" applyProtection="1">
      <alignment vertical="center"/>
      <protection hidden="1"/>
    </xf>
    <xf numFmtId="3" fontId="6" fillId="0" borderId="5" xfId="8" applyNumberFormat="1" applyFont="1" applyBorder="1" applyAlignment="1" applyProtection="1">
      <alignment vertical="center"/>
      <protection hidden="1"/>
    </xf>
    <xf numFmtId="0" fontId="6" fillId="0" borderId="6" xfId="8" applyFont="1" applyBorder="1" applyAlignment="1" applyProtection="1">
      <alignment horizontal="center" vertical="center"/>
      <protection hidden="1"/>
    </xf>
    <xf numFmtId="0" fontId="6" fillId="0" borderId="6" xfId="8" applyFont="1" applyBorder="1" applyAlignment="1" applyProtection="1">
      <alignment vertical="center"/>
      <protection hidden="1"/>
    </xf>
    <xf numFmtId="3" fontId="6" fillId="0" borderId="6" xfId="8" applyNumberFormat="1" applyFont="1" applyBorder="1" applyAlignment="1" applyProtection="1">
      <alignment vertical="center"/>
      <protection hidden="1"/>
    </xf>
    <xf numFmtId="0" fontId="6" fillId="0" borderId="6" xfId="8" quotePrefix="1" applyFont="1" applyBorder="1" applyAlignment="1" applyProtection="1">
      <alignment vertical="center"/>
      <protection hidden="1"/>
    </xf>
    <xf numFmtId="0" fontId="6" fillId="0" borderId="6" xfId="8" quotePrefix="1" applyFont="1" applyBorder="1" applyAlignment="1" applyProtection="1">
      <alignment horizontal="center" vertical="center"/>
      <protection hidden="1"/>
    </xf>
    <xf numFmtId="0" fontId="7" fillId="2" borderId="6" xfId="8" applyFont="1" applyFill="1" applyBorder="1" applyAlignment="1" applyProtection="1">
      <alignment horizontal="center" vertical="center"/>
      <protection hidden="1"/>
    </xf>
    <xf numFmtId="0" fontId="7" fillId="2" borderId="6" xfId="8" applyFont="1" applyFill="1" applyBorder="1" applyAlignment="1" applyProtection="1">
      <alignment vertical="center"/>
      <protection hidden="1"/>
    </xf>
    <xf numFmtId="3" fontId="7" fillId="2" borderId="6" xfId="8" applyNumberFormat="1" applyFont="1" applyFill="1" applyBorder="1" applyAlignment="1" applyProtection="1">
      <alignment vertical="center"/>
      <protection hidden="1"/>
    </xf>
    <xf numFmtId="0" fontId="5" fillId="3" borderId="6" xfId="8" applyFont="1" applyFill="1" applyBorder="1" applyAlignment="1" applyProtection="1">
      <alignment horizontal="center" vertical="center"/>
      <protection hidden="1"/>
    </xf>
    <xf numFmtId="0" fontId="5" fillId="3" borderId="6" xfId="8" applyFont="1" applyFill="1" applyBorder="1" applyAlignment="1" applyProtection="1">
      <alignment vertical="center"/>
      <protection hidden="1"/>
    </xf>
    <xf numFmtId="3" fontId="5" fillId="3" borderId="6" xfId="8" applyNumberFormat="1" applyFont="1" applyFill="1" applyBorder="1" applyAlignment="1" applyProtection="1">
      <alignment vertical="center"/>
      <protection hidden="1"/>
    </xf>
    <xf numFmtId="0" fontId="6" fillId="0" borderId="0" xfId="8" applyFont="1" applyAlignment="1" applyProtection="1">
      <alignment horizontal="center" vertical="center"/>
      <protection hidden="1"/>
    </xf>
    <xf numFmtId="0" fontId="5" fillId="0" borderId="0" xfId="8" applyFont="1" applyAlignment="1" applyProtection="1">
      <alignment vertical="center"/>
      <protection hidden="1"/>
    </xf>
    <xf numFmtId="3" fontId="6" fillId="0" borderId="0" xfId="8" applyNumberFormat="1" applyFont="1" applyAlignment="1" applyProtection="1">
      <alignment vertical="center" wrapText="1"/>
      <protection hidden="1"/>
    </xf>
    <xf numFmtId="3" fontId="6" fillId="0" borderId="0" xfId="8" applyNumberFormat="1" applyFont="1" applyAlignment="1" applyProtection="1">
      <alignment vertical="center"/>
      <protection hidden="1"/>
    </xf>
    <xf numFmtId="0" fontId="5" fillId="2" borderId="4" xfId="8" applyNumberFormat="1" applyFont="1" applyFill="1" applyBorder="1" applyAlignment="1" applyProtection="1">
      <alignment horizontal="center" vertical="center" wrapText="1"/>
      <protection hidden="1"/>
    </xf>
    <xf numFmtId="169" fontId="3" fillId="0" borderId="19" xfId="2" applyNumberFormat="1" applyFont="1" applyBorder="1" applyAlignment="1" applyProtection="1">
      <alignment vertical="center"/>
      <protection locked="0" hidden="1"/>
    </xf>
    <xf numFmtId="3" fontId="5" fillId="2" borderId="20" xfId="0" applyNumberFormat="1" applyFont="1" applyFill="1" applyBorder="1" applyAlignment="1" applyProtection="1">
      <alignment horizontal="center" vertical="center" wrapText="1"/>
      <protection hidden="1"/>
    </xf>
    <xf numFmtId="3" fontId="5" fillId="2" borderId="10" xfId="0" applyNumberFormat="1" applyFont="1" applyFill="1" applyBorder="1" applyAlignment="1" applyProtection="1">
      <alignment horizontal="center" vertical="center" wrapText="1"/>
      <protection hidden="1"/>
    </xf>
    <xf numFmtId="3" fontId="6" fillId="0" borderId="21" xfId="0" applyNumberFormat="1" applyFont="1" applyBorder="1" applyAlignment="1" applyProtection="1">
      <alignment vertical="center"/>
      <protection hidden="1"/>
    </xf>
    <xf numFmtId="3" fontId="6" fillId="0" borderId="22" xfId="0" applyNumberFormat="1" applyFont="1" applyBorder="1" applyAlignment="1" applyProtection="1">
      <alignment vertical="center"/>
      <protection hidden="1"/>
    </xf>
    <xf numFmtId="3" fontId="6" fillId="0" borderId="18" xfId="0" applyNumberFormat="1" applyFont="1" applyBorder="1" applyAlignment="1" applyProtection="1">
      <alignment vertical="center"/>
      <protection hidden="1"/>
    </xf>
    <xf numFmtId="3" fontId="6" fillId="0" borderId="23" xfId="0" applyNumberFormat="1" applyFont="1" applyBorder="1" applyAlignment="1" applyProtection="1">
      <alignment vertical="center"/>
      <protection hidden="1"/>
    </xf>
    <xf numFmtId="3" fontId="7" fillId="2" borderId="18" xfId="0" applyNumberFormat="1" applyFont="1" applyFill="1" applyBorder="1" applyAlignment="1" applyProtection="1">
      <alignment vertical="center"/>
      <protection hidden="1"/>
    </xf>
    <xf numFmtId="3" fontId="7" fillId="2" borderId="23" xfId="0" applyNumberFormat="1" applyFont="1" applyFill="1" applyBorder="1" applyAlignment="1" applyProtection="1">
      <alignment vertical="center"/>
      <protection hidden="1"/>
    </xf>
    <xf numFmtId="165" fontId="3" fillId="0" borderId="19" xfId="2" applyNumberFormat="1" applyFont="1" applyBorder="1" applyAlignment="1" applyProtection="1">
      <alignment vertical="center"/>
      <protection locked="0" hidden="1"/>
    </xf>
    <xf numFmtId="165" fontId="3" fillId="0" borderId="24" xfId="2" applyNumberFormat="1" applyFont="1" applyBorder="1" applyAlignment="1" applyProtection="1">
      <alignment vertical="center"/>
      <protection locked="0" hidden="1"/>
    </xf>
    <xf numFmtId="165" fontId="33" fillId="2" borderId="19" xfId="2" applyNumberFormat="1" applyFont="1" applyFill="1" applyBorder="1" applyAlignment="1" applyProtection="1">
      <alignment vertical="center"/>
      <protection locked="0" hidden="1"/>
    </xf>
    <xf numFmtId="165" fontId="33" fillId="2" borderId="24" xfId="2" applyNumberFormat="1" applyFont="1" applyFill="1" applyBorder="1" applyAlignment="1" applyProtection="1">
      <alignment vertical="center"/>
      <protection locked="0" hidden="1"/>
    </xf>
    <xf numFmtId="165" fontId="4" fillId="3" borderId="19" xfId="2" applyNumberFormat="1" applyFont="1" applyFill="1" applyBorder="1" applyAlignment="1" applyProtection="1">
      <alignment vertical="center"/>
      <protection locked="0" hidden="1"/>
    </xf>
    <xf numFmtId="165" fontId="4" fillId="3" borderId="24" xfId="2" applyNumberFormat="1" applyFont="1" applyFill="1" applyBorder="1" applyAlignment="1" applyProtection="1">
      <alignment vertical="center"/>
      <protection locked="0" hidden="1"/>
    </xf>
    <xf numFmtId="1" fontId="4" fillId="0" borderId="2" xfId="1" applyNumberFormat="1" applyFont="1" applyBorder="1" applyAlignment="1" applyProtection="1">
      <alignment horizontal="center" vertical="center"/>
      <protection hidden="1"/>
    </xf>
    <xf numFmtId="170" fontId="6" fillId="17" borderId="25" xfId="0" applyNumberFormat="1" applyFont="1" applyFill="1" applyBorder="1" applyProtection="1">
      <protection locked="0" hidden="1"/>
    </xf>
    <xf numFmtId="170" fontId="6" fillId="18" borderId="26" xfId="0" applyNumberFormat="1" applyFont="1" applyFill="1" applyBorder="1" applyProtection="1">
      <protection locked="0" hidden="1"/>
    </xf>
    <xf numFmtId="170" fontId="6" fillId="2" borderId="25" xfId="0" applyNumberFormat="1" applyFont="1" applyFill="1" applyBorder="1" applyProtection="1">
      <protection locked="0" hidden="1"/>
    </xf>
    <xf numFmtId="170" fontId="6" fillId="2" borderId="26" xfId="0" applyNumberFormat="1" applyFont="1" applyFill="1" applyBorder="1" applyProtection="1">
      <protection locked="0" hidden="1"/>
    </xf>
    <xf numFmtId="170" fontId="6" fillId="17" borderId="27" xfId="0" applyNumberFormat="1" applyFont="1" applyFill="1" applyBorder="1" applyProtection="1">
      <protection locked="0" hidden="1"/>
    </xf>
    <xf numFmtId="170" fontId="9" fillId="17" borderId="27" xfId="0" applyNumberFormat="1" applyFont="1" applyFill="1" applyBorder="1" applyProtection="1">
      <protection locked="0" hidden="1"/>
    </xf>
    <xf numFmtId="170" fontId="6" fillId="17" borderId="28" xfId="0" applyNumberFormat="1" applyFont="1" applyFill="1" applyBorder="1" applyProtection="1">
      <protection locked="0" hidden="1"/>
    </xf>
    <xf numFmtId="170" fontId="6" fillId="17" borderId="29" xfId="0" applyNumberFormat="1" applyFont="1" applyFill="1" applyBorder="1" applyProtection="1">
      <protection locked="0" hidden="1"/>
    </xf>
    <xf numFmtId="170" fontId="6" fillId="2" borderId="10" xfId="0" applyNumberFormat="1" applyFont="1" applyFill="1" applyBorder="1" applyProtection="1">
      <protection locked="0" hidden="1"/>
    </xf>
    <xf numFmtId="170" fontId="6" fillId="17" borderId="30" xfId="0" applyNumberFormat="1" applyFont="1" applyFill="1" applyBorder="1" applyProtection="1">
      <protection locked="0" hidden="1"/>
    </xf>
    <xf numFmtId="170" fontId="9" fillId="17" borderId="30" xfId="0" applyNumberFormat="1" applyFont="1" applyFill="1" applyBorder="1" applyProtection="1">
      <protection locked="0" hidden="1"/>
    </xf>
    <xf numFmtId="170" fontId="6" fillId="17" borderId="31" xfId="0" applyNumberFormat="1" applyFont="1" applyFill="1" applyBorder="1" applyProtection="1">
      <protection locked="0" hidden="1"/>
    </xf>
    <xf numFmtId="170" fontId="6" fillId="18" borderId="10" xfId="0" applyNumberFormat="1" applyFont="1" applyFill="1" applyBorder="1" applyProtection="1">
      <protection locked="0" hidden="1"/>
    </xf>
    <xf numFmtId="170" fontId="6" fillId="3" borderId="10" xfId="0" applyNumberFormat="1" applyFont="1" applyFill="1" applyBorder="1" applyProtection="1">
      <protection locked="0" hidden="1"/>
    </xf>
    <xf numFmtId="170" fontId="6" fillId="3" borderId="27" xfId="0" applyNumberFormat="1" applyFont="1" applyFill="1" applyBorder="1" applyProtection="1">
      <protection locked="0" hidden="1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0" fontId="6" fillId="2" borderId="31" xfId="0" applyNumberFormat="1" applyFont="1" applyFill="1" applyBorder="1" applyProtection="1">
      <protection locked="0" hidden="1"/>
    </xf>
    <xf numFmtId="3" fontId="34" fillId="0" borderId="5" xfId="0" applyNumberFormat="1" applyFont="1" applyBorder="1" applyAlignment="1" applyProtection="1">
      <alignment vertical="center"/>
      <protection hidden="1"/>
    </xf>
    <xf numFmtId="3" fontId="34" fillId="0" borderId="32" xfId="0" applyNumberFormat="1" applyFont="1" applyBorder="1" applyAlignment="1" applyProtection="1">
      <alignment vertical="center"/>
      <protection hidden="1"/>
    </xf>
    <xf numFmtId="3" fontId="34" fillId="0" borderId="6" xfId="0" applyNumberFormat="1" applyFont="1" applyBorder="1" applyAlignment="1" applyProtection="1">
      <alignment vertical="center"/>
      <protection hidden="1"/>
    </xf>
    <xf numFmtId="3" fontId="34" fillId="0" borderId="33" xfId="0" applyNumberFormat="1" applyFont="1" applyBorder="1" applyAlignment="1" applyProtection="1">
      <alignment vertical="center"/>
      <protection hidden="1"/>
    </xf>
    <xf numFmtId="3" fontId="35" fillId="2" borderId="6" xfId="0" applyNumberFormat="1" applyFont="1" applyFill="1" applyBorder="1" applyAlignment="1" applyProtection="1">
      <alignment vertical="center"/>
      <protection hidden="1"/>
    </xf>
    <xf numFmtId="3" fontId="35" fillId="2" borderId="33" xfId="0" applyNumberFormat="1" applyFont="1" applyFill="1" applyBorder="1" applyAlignment="1" applyProtection="1">
      <alignment vertical="center"/>
      <protection hidden="1"/>
    </xf>
    <xf numFmtId="3" fontId="35" fillId="3" borderId="6" xfId="0" applyNumberFormat="1" applyFont="1" applyFill="1" applyBorder="1" applyAlignment="1" applyProtection="1">
      <alignment vertical="center"/>
      <protection hidden="1"/>
    </xf>
    <xf numFmtId="3" fontId="35" fillId="3" borderId="33" xfId="0" applyNumberFormat="1" applyFont="1" applyFill="1" applyBorder="1" applyAlignment="1" applyProtection="1">
      <alignment vertical="center"/>
      <protection hidden="1"/>
    </xf>
    <xf numFmtId="3" fontId="35" fillId="2" borderId="34" xfId="0" applyNumberFormat="1" applyFont="1" applyFill="1" applyBorder="1" applyAlignment="1" applyProtection="1">
      <alignment vertical="center"/>
      <protection hidden="1"/>
    </xf>
    <xf numFmtId="3" fontId="35" fillId="2" borderId="35" xfId="0" applyNumberFormat="1" applyFont="1" applyFill="1" applyBorder="1" applyAlignment="1" applyProtection="1">
      <alignment vertical="center"/>
      <protection hidden="1"/>
    </xf>
    <xf numFmtId="0" fontId="3" fillId="0" borderId="0" xfId="1" applyFont="1" applyAlignment="1" applyProtection="1">
      <alignment horizontal="left" vertical="center"/>
      <protection locked="0" hidden="1"/>
    </xf>
    <xf numFmtId="0" fontId="4" fillId="0" borderId="0" xfId="1" applyFont="1" applyAlignment="1" applyProtection="1">
      <alignment horizontal="left"/>
      <protection locked="0" hidden="1"/>
    </xf>
    <xf numFmtId="165" fontId="3" fillId="0" borderId="0" xfId="2" applyNumberFormat="1" applyFont="1" applyProtection="1">
      <protection locked="0" hidden="1"/>
    </xf>
    <xf numFmtId="165" fontId="5" fillId="2" borderId="4" xfId="2" applyNumberFormat="1" applyFont="1" applyFill="1" applyBorder="1" applyAlignment="1" applyProtection="1">
      <alignment horizontal="center" vertical="center" wrapText="1"/>
      <protection hidden="1"/>
    </xf>
    <xf numFmtId="165" fontId="6" fillId="0" borderId="0" xfId="2" applyNumberFormat="1" applyFont="1" applyAlignment="1" applyProtection="1">
      <alignment vertical="center" wrapText="1"/>
      <protection hidden="1"/>
    </xf>
    <xf numFmtId="165" fontId="6" fillId="0" borderId="0" xfId="2" applyNumberFormat="1" applyFont="1" applyAlignment="1" applyProtection="1">
      <alignment vertical="center"/>
      <protection hidden="1"/>
    </xf>
    <xf numFmtId="0" fontId="19" fillId="0" borderId="1" xfId="4" applyFont="1" applyBorder="1" applyAlignment="1" applyProtection="1">
      <alignment vertical="center"/>
      <protection locked="0"/>
    </xf>
    <xf numFmtId="0" fontId="19" fillId="0" borderId="7" xfId="4" applyFont="1" applyBorder="1" applyAlignment="1" applyProtection="1">
      <alignment horizontal="center" vertical="center"/>
      <protection locked="0"/>
    </xf>
    <xf numFmtId="49" fontId="18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2" borderId="0" xfId="0" applyFont="1" applyFill="1" applyAlignment="1" applyProtection="1">
      <alignment vertical="center"/>
      <protection hidden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175" fontId="8" fillId="0" borderId="6" xfId="2" applyNumberFormat="1" applyFont="1" applyBorder="1" applyAlignment="1" applyProtection="1">
      <alignment horizontal="center" vertical="center"/>
      <protection hidden="1"/>
    </xf>
    <xf numFmtId="0" fontId="15" fillId="19" borderId="0" xfId="0" applyFont="1" applyFill="1"/>
  </cellXfs>
  <cellStyles count="9">
    <cellStyle name="Milliers" xfId="2" builtinId="3"/>
    <cellStyle name="Normal" xfId="0" builtinId="0"/>
    <cellStyle name="Normal 2" xfId="6" xr:uid="{66772B21-B3CC-4281-8AFB-4522ED5D941B}"/>
    <cellStyle name="Normal 4" xfId="1" xr:uid="{41E99E2F-42EA-4245-BA6D-859136476CF0}"/>
    <cellStyle name="Normal 4 2" xfId="7" xr:uid="{5818D1AB-6277-4A9A-86D4-7CEB29B85B18}"/>
    <cellStyle name="Normal 8 2" xfId="8" xr:uid="{F66382E6-689D-43E4-AFDE-A9E6CE0075AC}"/>
    <cellStyle name="Style 12" xfId="3" xr:uid="{824E394C-0FCF-42CE-97A5-D8CDDCBAEE43}"/>
    <cellStyle name="Style 5" xfId="4" xr:uid="{01B63BE4-DC35-49E3-B2AF-D4055AA772DD}"/>
    <cellStyle name="Style 5 2" xfId="5" xr:uid="{7F037881-6398-4D55-AD58-924606369AAC}"/>
  </cellStyles>
  <dxfs count="2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84" Type="http://schemas.openxmlformats.org/officeDocument/2006/relationships/externalLink" Target="externalLinks/externalLink20.xml"/><Relationship Id="rId89" Type="http://schemas.openxmlformats.org/officeDocument/2006/relationships/externalLink" Target="externalLinks/externalLink25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0.xml"/><Relationship Id="rId79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6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5.xml"/><Relationship Id="rId80" Type="http://schemas.openxmlformats.org/officeDocument/2006/relationships/externalLink" Target="externalLinks/externalLink16.xml"/><Relationship Id="rId85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6.xml"/><Relationship Id="rId75" Type="http://schemas.openxmlformats.org/officeDocument/2006/relationships/externalLink" Target="externalLinks/externalLink11.xml"/><Relationship Id="rId83" Type="http://schemas.openxmlformats.org/officeDocument/2006/relationships/externalLink" Target="externalLinks/externalLink19.xml"/><Relationship Id="rId88" Type="http://schemas.openxmlformats.org/officeDocument/2006/relationships/externalLink" Target="externalLinks/externalLink24.xml"/><Relationship Id="rId91" Type="http://schemas.openxmlformats.org/officeDocument/2006/relationships/externalLink" Target="externalLinks/externalLink27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externalLink" Target="externalLinks/externalLink9.xml"/><Relationship Id="rId78" Type="http://schemas.openxmlformats.org/officeDocument/2006/relationships/externalLink" Target="externalLinks/externalLink14.xml"/><Relationship Id="rId81" Type="http://schemas.openxmlformats.org/officeDocument/2006/relationships/externalLink" Target="externalLinks/externalLink17.xml"/><Relationship Id="rId86" Type="http://schemas.openxmlformats.org/officeDocument/2006/relationships/externalLink" Target="externalLinks/externalLink22.xml"/><Relationship Id="rId94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2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7.xml"/><Relationship Id="rId92" Type="http://schemas.openxmlformats.org/officeDocument/2006/relationships/externalLink" Target="externalLinks/externalLink2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2.xml"/><Relationship Id="rId87" Type="http://schemas.openxmlformats.org/officeDocument/2006/relationships/externalLink" Target="externalLinks/externalLink23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8.xml"/><Relationship Id="rId93" Type="http://schemas.openxmlformats.org/officeDocument/2006/relationships/externalLink" Target="externalLinks/externalLink29.xml"/><Relationship Id="rId9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tat%20Financier%20Entreprise%20E00/002850023_2G3_EtafiEnExcel_2022_S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cuments/biblioth&#232;que%20de%20travail/2%20El&#232;ve%20ing&#233;nieur/ISE/Cours/ISE3/Stage%20ITIE/Analyse%20ETAT/Liste%20entreprise/Etat%20Financier%20Entreprise%20E00/005844700_2G3_EtafiEnExcel_2022_PM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tat%20Financier%20Entreprise%20E00/002236190_2G2_EtafiEnExcel_2022_Talix%20mi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0018699_2G3_EtafiEnExcel_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tat%20Financier%20Entreprise%20E00/000022955_2G3_EtafiEnExcel_2022_IC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0028797_2G3_EtafiEnExcel_2024_SSP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0113457_2G3_EtafiEnExcel_2024_SEN_MIN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0325995_2G3_EtafiEnExcel_2024_CD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2292168_2G3_EtafiEnExcel_2024_GECAMIN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2697938_2G3_EtafiEnExcel_2024_GRAVIT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4331188_2B2_EtafiEnExcel_2024_IDC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4410601_2Y2_EtafiEnExcel_2024_AS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4736198_2G3_EtafiEnExcel_2024_AFRIGOL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5758711_2G3_EtafiEnExcel_2024_SOCABE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5790367_2G2_EtafiEnExcel_2024_BOSFO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6046173_2G3_EtafiEnExcel_2024_BAMBADJI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6389507_2A2_EtafiEnExcel_2024_SOCOB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6495693_1V2_EtafiEnExcel_2024_MANDING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6634027_2Z2_EtafiEnExcel_2024_TANO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dione\Desktop\MAJ%202025\MDIONE%202025\modele_etats_financiers_DGID%20(Nouveau)%20(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6873873_2V3_EtafiEnExcel_2024_CHESS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7086665_2C3_EtafiEnExcel_2024_KG_HOLDING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7626255_2Y2_EtafiEnExcel_2024_GOE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8114233_2Y2_EtafiEnExcel_2024_CHEMTR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8567680_2G2_EtafiEnExcel_2024_ZENITH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8650196_2V3_EtafiEnExcel_2024_SOMISE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8804610_2A2_EtafiEnExcel_2024_ASC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8814180_2E3_EtafiEnExcel_2024_SILEX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ntreprise%20E&amp;G/009071151_2G3_EtafiEnExcel_2024_CM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tat%20Financier%20Entreprise%20E00/004151750_22_EtafiEnExcel_2022_AG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002850023</v>
          </cell>
          <cell r="V10">
            <v>44926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005844700</v>
          </cell>
          <cell r="V10">
            <v>44926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002236190</v>
          </cell>
          <cell r="V10">
            <v>44926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SOCIETE NOUVELLE DES SALINS DU SINE SALOUM</v>
          </cell>
        </row>
        <row r="10">
          <cell r="J10" t="str">
            <v>000018699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 xml:space="preserve">000022955  </v>
          </cell>
          <cell r="V10">
            <v>44926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 xml:space="preserve">000028797 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000113457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000325995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002292168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GRAVITA SENEGAL SAU</v>
          </cell>
        </row>
        <row r="10">
          <cell r="J10" t="str">
            <v>002697938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004331188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004410601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004736198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005758711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BOSFOR SARL</v>
          </cell>
        </row>
        <row r="10">
          <cell r="J10" t="str">
            <v>005790367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BAMBADJI-SA</v>
          </cell>
        </row>
        <row r="10">
          <cell r="J10" t="str">
            <v>006046173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>
        <row r="51">
          <cell r="N51" t="str">
            <v>006389507</v>
          </cell>
        </row>
      </sheetData>
      <sheetData sheetId="1">
        <row r="10"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>
        <row r="4">
          <cell r="A4" t="str">
            <v>SOCIETE DE CONCASSAGE ET DE BETON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 refreshError="1">
        <row r="4">
          <cell r="J4" t="str">
            <v>MANDINGA RESSOURCES SARL</v>
          </cell>
        </row>
        <row r="10">
          <cell r="J10" t="str">
            <v>006495693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TANOR SAS</v>
          </cell>
        </row>
        <row r="10">
          <cell r="J10" t="str">
            <v xml:space="preserve">006634027 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 refreshError="1">
        <row r="10">
          <cell r="J10">
            <v>0</v>
          </cell>
          <cell r="V10">
            <v>0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006873873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007086665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GOREE OFFSHORE ENGINEERING SENEGAL - SARL</v>
          </cell>
        </row>
        <row r="10">
          <cell r="J10" t="str">
            <v>007626255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CHEMTRA SARL</v>
          </cell>
        </row>
        <row r="10">
          <cell r="J10" t="str">
            <v>008114233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4">
          <cell r="J4" t="str">
            <v>ZENITH ENERGY SENEGAL SARL</v>
          </cell>
        </row>
        <row r="10">
          <cell r="J10" t="str">
            <v>008567680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008650196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008804610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>
        <row r="3">
          <cell r="A3" t="str">
            <v>Désignation entité :</v>
          </cell>
        </row>
        <row r="4">
          <cell r="A4" t="str">
            <v>ASCO SENEGAL LLC</v>
          </cell>
        </row>
      </sheetData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 xml:space="preserve">008814180 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4">
          <cell r="C24">
            <v>55283860.799999997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009071151</v>
          </cell>
          <cell r="V10">
            <v>45657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>
        <row r="10">
          <cell r="J10" t="str">
            <v>004151750</v>
          </cell>
          <cell r="V10">
            <v>44926</v>
          </cell>
          <cell r="AH10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F98F-8901-4A64-BB17-7FFAD47B699B}">
  <dimension ref="A1:B4"/>
  <sheetViews>
    <sheetView workbookViewId="0">
      <selection activeCell="B5" sqref="B5"/>
    </sheetView>
  </sheetViews>
  <sheetFormatPr baseColWidth="10" defaultRowHeight="15"/>
  <sheetData>
    <row r="1" spans="1:2">
      <c r="A1" s="133"/>
      <c r="B1" t="s">
        <v>125</v>
      </c>
    </row>
    <row r="2" spans="1:2">
      <c r="A2" s="134"/>
      <c r="B2" t="s">
        <v>126</v>
      </c>
    </row>
    <row r="3" spans="1:2">
      <c r="A3" s="135"/>
      <c r="B3" t="s">
        <v>128</v>
      </c>
    </row>
    <row r="4" spans="1:2">
      <c r="A4" s="312"/>
      <c r="B4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6C15-D521-4DCD-AE6F-28A675B9CC48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AAAA-1999-435E-85FE-5BF8F5BE38EB}">
  <sheetPr>
    <tabColor rgb="FFFF0000"/>
  </sheetPr>
  <dimension ref="A1"/>
  <sheetViews>
    <sheetView topLeftCell="AB1"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7F2E-3716-4249-8A6B-164E6C9BC78E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3DE9-1121-4DB6-818D-D64A8E1B7A9E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142-3073-4BAA-8AB5-149100A69A6F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18D6-3CB7-46C1-9D70-6281889A6B48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B04F-4396-4D40-9E37-BD46B2726EDF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28B3-36D7-4AD8-943F-05D1D3AF71EF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149C-F908-4221-9AD0-13A43720841E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2089-1C89-4CF0-AAD6-316AC58FF06A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F250-DD54-4D77-BD84-B6ED2727717C}">
  <sheetPr>
    <tabColor rgb="FFFF0000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AE6C-4794-43B5-A4F4-03E883158D6D}">
  <sheetPr>
    <tabColor rgb="FF00B050"/>
  </sheetPr>
  <dimension ref="A1:H49"/>
  <sheetViews>
    <sheetView workbookViewId="0">
      <selection activeCell="B19" sqref="B19"/>
    </sheetView>
  </sheetViews>
  <sheetFormatPr baseColWidth="10" defaultRowHeight="15"/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97</v>
      </c>
      <c r="B3" s="71"/>
      <c r="C3" s="71"/>
      <c r="D3" s="1" t="s">
        <v>1</v>
      </c>
      <c r="E3" s="1"/>
      <c r="F3" s="1"/>
      <c r="G3" s="72">
        <f>+'[1]Fiche de renseignement R1'!$V$10</f>
        <v>44926</v>
      </c>
      <c r="H3" s="73"/>
    </row>
    <row r="4" spans="1:8">
      <c r="A4" s="73"/>
      <c r="B4" s="73"/>
      <c r="C4" s="73"/>
      <c r="D4" s="74" t="s">
        <v>2</v>
      </c>
      <c r="E4" s="3"/>
      <c r="F4" s="3"/>
      <c r="G4" s="75">
        <f>+'[1]Fiche de renseignement R1'!$AH$10</f>
        <v>12</v>
      </c>
      <c r="H4" s="75"/>
    </row>
    <row r="5" spans="1:8" ht="38.25">
      <c r="A5" s="4" t="s">
        <v>3</v>
      </c>
      <c r="B5" s="76" t="str">
        <f>+'[1]Fiche de renseignement R1'!$J$10</f>
        <v>002850023</v>
      </c>
      <c r="C5" s="76"/>
      <c r="D5" s="74"/>
      <c r="E5" s="3"/>
      <c r="F5" s="3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10"/>
      <c r="H8" s="10"/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  <c r="G9" s="13"/>
      <c r="H9" s="13"/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  <c r="G10" s="13"/>
      <c r="H10" s="13"/>
    </row>
    <row r="11" spans="1:8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  <c r="G11" s="18">
        <v>0</v>
      </c>
      <c r="H11" s="18"/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3">
        <v>337162693234.63837</v>
      </c>
      <c r="F12" s="13">
        <v>354075329142.07953</v>
      </c>
      <c r="G12" s="13">
        <v>392961612956.48334</v>
      </c>
      <c r="H12" s="13">
        <v>391192164800.62994</v>
      </c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  <c r="G13" s="13">
        <v>0</v>
      </c>
      <c r="H13" s="13">
        <v>68783085945.218781</v>
      </c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  <c r="G14" s="13">
        <v>0</v>
      </c>
      <c r="H14" s="13"/>
    </row>
    <row r="15" spans="1:8">
      <c r="A15" s="16" t="s">
        <v>24</v>
      </c>
      <c r="B15" s="17" t="s">
        <v>25</v>
      </c>
      <c r="C15" s="16"/>
      <c r="D15" s="16"/>
      <c r="E15" s="18">
        <v>337162693235</v>
      </c>
      <c r="F15" s="18">
        <v>354075329142.07953</v>
      </c>
      <c r="G15" s="18">
        <v>392961612956</v>
      </c>
      <c r="H15" s="18">
        <v>459975250746</v>
      </c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3">
        <v>17407545199.252274</v>
      </c>
      <c r="F16" s="13">
        <v>26055475998.868736</v>
      </c>
      <c r="G16" s="13">
        <v>16333582805.434906</v>
      </c>
      <c r="H16" s="13">
        <v>8561237397.0399923</v>
      </c>
    </row>
    <row r="17" spans="1:8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/>
      <c r="H17" s="13"/>
    </row>
    <row r="18" spans="1:8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/>
      <c r="H18" s="13"/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3">
        <v>9736214814.5540714</v>
      </c>
      <c r="F19" s="13">
        <v>24449239619.555</v>
      </c>
      <c r="G19" s="13">
        <v>14622542270.0951</v>
      </c>
      <c r="H19" s="13">
        <v>8824234732.5661869</v>
      </c>
    </row>
    <row r="20" spans="1:8">
      <c r="A20" s="19" t="s">
        <v>34</v>
      </c>
      <c r="B20" s="20" t="s">
        <v>35</v>
      </c>
      <c r="C20" s="19" t="s">
        <v>9</v>
      </c>
      <c r="D20" s="11">
        <v>12</v>
      </c>
      <c r="E20" s="13">
        <v>20101757331.471352</v>
      </c>
      <c r="F20" s="13">
        <v>20280952637.922081</v>
      </c>
      <c r="G20" s="13">
        <v>17370833685.193001</v>
      </c>
      <c r="H20" s="13">
        <v>2810848823.4814801</v>
      </c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  <c r="G21" s="13">
        <v>0</v>
      </c>
      <c r="H21" s="13">
        <v>-280168679901.79797</v>
      </c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  <c r="G22" s="13">
        <v>0</v>
      </c>
      <c r="H22" s="13"/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13">
        <v>-98270284408.303177</v>
      </c>
      <c r="F23" s="13">
        <v>-71364240026.8172</v>
      </c>
      <c r="G23" s="13">
        <v>-69844371738.874649</v>
      </c>
      <c r="H23" s="13">
        <v>-48156827997.388702</v>
      </c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13">
        <v>10999104078.230015</v>
      </c>
      <c r="F24" s="13">
        <v>1217480937.2537956</v>
      </c>
      <c r="G24" s="13">
        <v>1274802287.7420399</v>
      </c>
      <c r="H24" s="13">
        <v>-9555475721.6329403</v>
      </c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13">
        <v>-2524666838.8093276</v>
      </c>
      <c r="F25" s="13">
        <v>-1888887771.2032862</v>
      </c>
      <c r="G25" s="13">
        <v>-1733591383.3186381</v>
      </c>
      <c r="H25" s="13">
        <v>-1707254274.9518299</v>
      </c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13">
        <v>-28766950918.801579</v>
      </c>
      <c r="F26" s="13">
        <v>-25755497732.153709</v>
      </c>
      <c r="G26" s="13">
        <v>-25377742331.998451</v>
      </c>
      <c r="H26" s="13">
        <v>-21248072410.1507</v>
      </c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13">
        <v>-23151839938.203617</v>
      </c>
      <c r="F27" s="13">
        <v>-44009458558</v>
      </c>
      <c r="G27" s="13">
        <v>-23867095913.477333</v>
      </c>
      <c r="H27" s="13">
        <v>-20712511746.68</v>
      </c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13">
        <v>-11879174886.712189</v>
      </c>
      <c r="F28" s="13">
        <v>-11186585424.820631</v>
      </c>
      <c r="G28" s="13">
        <v>-34621787046.826965</v>
      </c>
      <c r="H28" s="13">
        <v>-12980338565.5203</v>
      </c>
    </row>
    <row r="29" spans="1:8">
      <c r="A29" s="16" t="s">
        <v>52</v>
      </c>
      <c r="B29" s="17" t="s">
        <v>53</v>
      </c>
      <c r="C29" s="16"/>
      <c r="D29" s="16"/>
      <c r="E29" s="18">
        <v>230814397667.31619</v>
      </c>
      <c r="F29" s="18">
        <v>271873808822.68433</v>
      </c>
      <c r="G29" s="18">
        <v>287118785590.45227</v>
      </c>
      <c r="H29" s="18">
        <v>85642411080.813965</v>
      </c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13">
        <v>-51202886506.72966</v>
      </c>
      <c r="F30" s="13">
        <v>-36700822915.79689</v>
      </c>
      <c r="G30" s="13">
        <v>-34616432415.330826</v>
      </c>
      <c r="H30" s="13">
        <v>-27400314069.004601</v>
      </c>
    </row>
    <row r="31" spans="1:8">
      <c r="A31" s="16" t="s">
        <v>56</v>
      </c>
      <c r="B31" s="17" t="s">
        <v>57</v>
      </c>
      <c r="C31" s="16"/>
      <c r="D31" s="16"/>
      <c r="E31" s="18">
        <v>179611511160.58655</v>
      </c>
      <c r="F31" s="18">
        <v>235172985906.88745</v>
      </c>
      <c r="G31" s="18">
        <v>252502353175.12146</v>
      </c>
      <c r="H31" s="18">
        <v>58242097011.809364</v>
      </c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3">
        <v>1720764917.8115482</v>
      </c>
      <c r="F32" s="13">
        <v>1023260732.9364569</v>
      </c>
      <c r="G32" s="13">
        <v>0</v>
      </c>
      <c r="H32" s="13"/>
    </row>
    <row r="33" spans="1:8">
      <c r="A33" s="19" t="s">
        <v>60</v>
      </c>
      <c r="B33" s="20" t="s">
        <v>61</v>
      </c>
      <c r="C33" s="19" t="s">
        <v>12</v>
      </c>
      <c r="D33" s="11" t="s">
        <v>62</v>
      </c>
      <c r="E33" s="13">
        <v>-97413142778.429901</v>
      </c>
      <c r="F33" s="13">
        <v>-61139750871.928558</v>
      </c>
      <c r="G33" s="13">
        <v>-50065009031.914398</v>
      </c>
      <c r="H33" s="13">
        <v>-19075692070.951698</v>
      </c>
    </row>
    <row r="34" spans="1:8">
      <c r="A34" s="16" t="s">
        <v>63</v>
      </c>
      <c r="B34" s="17" t="s">
        <v>64</v>
      </c>
      <c r="C34" s="16"/>
      <c r="D34" s="16"/>
      <c r="E34" s="18">
        <v>83919133299.968201</v>
      </c>
      <c r="F34" s="18">
        <v>175056495767.89536</v>
      </c>
      <c r="G34" s="18">
        <v>202437344143.20706</v>
      </c>
      <c r="H34" s="18">
        <v>39166404940.857666</v>
      </c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0</v>
      </c>
      <c r="G35" s="13">
        <v>310410959</v>
      </c>
      <c r="H35" s="13">
        <v>333170988.5</v>
      </c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3">
        <v>3540652435.9254732</v>
      </c>
      <c r="F36" s="13">
        <v>13394152562.410324</v>
      </c>
      <c r="G36" s="13">
        <v>2444705401.2514601</v>
      </c>
      <c r="H36" s="13">
        <v>1516223299.7940741</v>
      </c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>
        <v>0</v>
      </c>
      <c r="H37" s="13"/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13">
        <v>-3426536431.6299996</v>
      </c>
      <c r="F38" s="13">
        <v>-1556205052.1200001</v>
      </c>
      <c r="G38" s="13">
        <v>-5464055.7100000009</v>
      </c>
      <c r="H38" s="13">
        <v>-1170972338.55</v>
      </c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3">
        <v>-4501650925.8673048</v>
      </c>
      <c r="F39" s="13">
        <v>-1622367658.7951572</v>
      </c>
      <c r="G39" s="13">
        <v>-5032374533.929143</v>
      </c>
      <c r="H39" s="13">
        <v>-2704951097.0700002</v>
      </c>
    </row>
    <row r="40" spans="1:8">
      <c r="A40" s="16" t="s">
        <v>75</v>
      </c>
      <c r="B40" s="17" t="s">
        <v>76</v>
      </c>
      <c r="C40" s="16"/>
      <c r="D40" s="16"/>
      <c r="E40" s="18">
        <v>-4387534921.5718307</v>
      </c>
      <c r="F40" s="18">
        <v>10215579851.495167</v>
      </c>
      <c r="G40" s="18">
        <v>-2282722229.3876829</v>
      </c>
      <c r="H40" s="18">
        <v>-2026529147.3259261</v>
      </c>
    </row>
    <row r="41" spans="1:8">
      <c r="A41" s="22" t="s">
        <v>77</v>
      </c>
      <c r="B41" s="23" t="s">
        <v>78</v>
      </c>
      <c r="C41" s="22"/>
      <c r="D41" s="22"/>
      <c r="E41" s="24">
        <v>79531598378.396362</v>
      </c>
      <c r="F41" s="24">
        <v>185272075619.39053</v>
      </c>
      <c r="G41" s="24">
        <v>200154621913.81937</v>
      </c>
      <c r="H41" s="24">
        <v>37139875793.531738</v>
      </c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  <c r="G42" s="13">
        <v>0</v>
      </c>
      <c r="H42" s="13">
        <v>2950200</v>
      </c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  <c r="G43" s="13">
        <v>0</v>
      </c>
      <c r="H43" s="13"/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3">
        <v>-881014155.78388751</v>
      </c>
      <c r="F44" s="13">
        <v>-398789944.49456298</v>
      </c>
      <c r="G44" s="13">
        <v>-566644423.68875074</v>
      </c>
      <c r="H44" s="13">
        <v>-215044350.93000001</v>
      </c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/>
      <c r="G45" s="13">
        <v>0</v>
      </c>
      <c r="H45" s="13"/>
    </row>
    <row r="46" spans="1:8">
      <c r="A46" s="22" t="s">
        <v>88</v>
      </c>
      <c r="B46" s="23" t="s">
        <v>89</v>
      </c>
      <c r="C46" s="22"/>
      <c r="D46" s="22"/>
      <c r="E46" s="24">
        <v>-881014155.78388751</v>
      </c>
      <c r="F46" s="24">
        <v>-398789944.49456298</v>
      </c>
      <c r="G46" s="24">
        <v>-566644423.68875074</v>
      </c>
      <c r="H46" s="24">
        <v>-212094150.93000001</v>
      </c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/>
      <c r="H47" s="13"/>
    </row>
    <row r="48" spans="1:8">
      <c r="A48" s="11" t="s">
        <v>92</v>
      </c>
      <c r="B48" s="12" t="s">
        <v>93</v>
      </c>
      <c r="C48" s="11" t="s">
        <v>12</v>
      </c>
      <c r="D48" s="11"/>
      <c r="E48" s="13">
        <v>-20798921681.376602</v>
      </c>
      <c r="F48" s="13">
        <v>-47776945172</v>
      </c>
      <c r="G48" s="13">
        <v>-56031664384.824814</v>
      </c>
      <c r="H48" s="13">
        <v>-10209148562</v>
      </c>
    </row>
    <row r="49" spans="1:8">
      <c r="A49" s="16" t="s">
        <v>94</v>
      </c>
      <c r="B49" s="17" t="s">
        <v>95</v>
      </c>
      <c r="C49" s="16"/>
      <c r="D49" s="16"/>
      <c r="E49" s="18">
        <v>57851662541</v>
      </c>
      <c r="F49" s="18">
        <v>137096340502.89597</v>
      </c>
      <c r="G49" s="18">
        <v>143556313105</v>
      </c>
      <c r="H49" s="18">
        <v>26718633081</v>
      </c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5BA454B-8A0C-4DD5-AE6D-06BA3EAA4F8B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C67472F5-83D9-4359-B357-A57CDF0ADCB1}"/>
    <dataValidation allowBlank="1" showInputMessage="1" showErrorMessage="1" errorTitle="Erreur de saisie" error="La cellule ne peut prendre que du numérique." promptTitle="Information" prompt="Cette cellule ne peut prendre que du numérique," sqref="E8:H49" xr:uid="{DE5CEA7F-3827-4493-BA9B-60D888DC1AEA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150D-F581-44DB-AE01-5809A4169E54}">
  <sheetPr>
    <tabColor rgb="FF00B050"/>
  </sheetPr>
  <dimension ref="A1:H84"/>
  <sheetViews>
    <sheetView topLeftCell="C1" workbookViewId="0">
      <selection activeCell="E15" sqref="E15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6.140625" style="27" bestFit="1" customWidth="1"/>
    <col min="7" max="7" width="18.7109375" style="28" bestFit="1" customWidth="1" collapsed="1"/>
    <col min="8" max="8" width="18.7109375" style="28" customWidth="1" collapsed="1"/>
  </cols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96</v>
      </c>
      <c r="B3" s="71"/>
      <c r="C3" s="71"/>
      <c r="D3" s="1" t="s">
        <v>1</v>
      </c>
      <c r="E3" s="1"/>
      <c r="F3" s="1"/>
      <c r="G3" s="72">
        <f>+'[2]Fiche de renseignement R1'!$V$10</f>
        <v>44926</v>
      </c>
      <c r="H3" s="73"/>
    </row>
    <row r="4" spans="1:8">
      <c r="A4" s="73"/>
      <c r="B4" s="73"/>
      <c r="C4" s="73"/>
      <c r="D4" s="74" t="s">
        <v>2</v>
      </c>
      <c r="E4" s="3"/>
      <c r="F4" s="3"/>
      <c r="G4" s="75">
        <f>+'[2]Fiche de renseignement R1'!$AH$10</f>
        <v>12</v>
      </c>
      <c r="H4" s="75"/>
    </row>
    <row r="5" spans="1:8" ht="38.25">
      <c r="A5" s="4" t="s">
        <v>3</v>
      </c>
      <c r="B5" s="76" t="str">
        <f>+'[2]Fiche de renseignement R1'!$J$10</f>
        <v>005844700</v>
      </c>
      <c r="C5" s="76"/>
      <c r="D5" s="74"/>
      <c r="E5" s="3"/>
      <c r="F5" s="3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10">
        <v>0</v>
      </c>
      <c r="H8" s="10">
        <v>0</v>
      </c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  <c r="G9" s="13">
        <v>0</v>
      </c>
      <c r="H9" s="13">
        <v>0</v>
      </c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  <c r="G10" s="13">
        <v>0</v>
      </c>
      <c r="H10" s="13">
        <v>0</v>
      </c>
    </row>
    <row r="11" spans="1:8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  <c r="G11" s="18">
        <v>0</v>
      </c>
      <c r="H11" s="18">
        <v>0</v>
      </c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3">
        <v>174953117808</v>
      </c>
      <c r="F12" s="13">
        <v>138230031551</v>
      </c>
      <c r="G12" s="13">
        <v>147862815768</v>
      </c>
      <c r="H12" s="13">
        <v>123502918007</v>
      </c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  <c r="G13" s="13">
        <v>0</v>
      </c>
      <c r="H13" s="13">
        <v>0</v>
      </c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13">
        <v>180740767</v>
      </c>
      <c r="F14" s="13">
        <v>1</v>
      </c>
      <c r="G14" s="13">
        <v>0</v>
      </c>
      <c r="H14" s="13">
        <v>0</v>
      </c>
    </row>
    <row r="15" spans="1:8">
      <c r="A15" s="16" t="s">
        <v>24</v>
      </c>
      <c r="B15" s="17" t="s">
        <v>25</v>
      </c>
      <c r="C15" s="16"/>
      <c r="D15" s="16"/>
      <c r="E15" s="18">
        <v>175133858574</v>
      </c>
      <c r="F15" s="18">
        <v>138230031552</v>
      </c>
      <c r="G15" s="18">
        <v>147862815768</v>
      </c>
      <c r="H15" s="18">
        <v>123502918007</v>
      </c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3">
        <v>36720394087</v>
      </c>
      <c r="F16" s="13">
        <v>4966368064</v>
      </c>
      <c r="G16" s="13">
        <v>-4807792050</v>
      </c>
      <c r="H16" s="13">
        <v>-6704188980</v>
      </c>
    </row>
    <row r="17" spans="1:8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>
        <v>0</v>
      </c>
      <c r="H17" s="13">
        <v>0</v>
      </c>
    </row>
    <row r="18" spans="1:8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>
        <v>0</v>
      </c>
      <c r="H18" s="13">
        <v>0</v>
      </c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3">
        <v>2362240488</v>
      </c>
      <c r="F19" s="13">
        <v>837311222</v>
      </c>
      <c r="G19" s="13"/>
      <c r="H19" s="13"/>
    </row>
    <row r="20" spans="1:8">
      <c r="A20" s="19" t="s">
        <v>34</v>
      </c>
      <c r="B20" s="20" t="s">
        <v>35</v>
      </c>
      <c r="C20" s="19" t="s">
        <v>9</v>
      </c>
      <c r="D20" s="19">
        <v>12</v>
      </c>
      <c r="E20" s="21">
        <v>7604357440</v>
      </c>
      <c r="F20" s="21">
        <v>27251039666</v>
      </c>
      <c r="G20" s="21">
        <v>9110991892</v>
      </c>
      <c r="H20" s="21">
        <v>7719075633</v>
      </c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  <c r="G21" s="13">
        <v>0</v>
      </c>
      <c r="H21" s="13">
        <v>0</v>
      </c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  <c r="G22" s="13">
        <v>0</v>
      </c>
      <c r="H22" s="13">
        <v>0</v>
      </c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13">
        <v>-35265934979</v>
      </c>
      <c r="F23" s="13">
        <v>-38869287620</v>
      </c>
      <c r="G23" s="13">
        <v>-28972484795</v>
      </c>
      <c r="H23" s="13">
        <v>-25627698216</v>
      </c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13">
        <v>0</v>
      </c>
      <c r="F24" s="13">
        <v>0</v>
      </c>
      <c r="G24" s="13">
        <v>0</v>
      </c>
      <c r="H24" s="13">
        <v>0</v>
      </c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13">
        <v>-1236735313</v>
      </c>
      <c r="F25" s="13">
        <v>-987987721</v>
      </c>
      <c r="G25" s="13">
        <v>-1938920751</v>
      </c>
      <c r="H25" s="13">
        <v>-2143364262</v>
      </c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13">
        <v>-41330084012</v>
      </c>
      <c r="F26" s="13">
        <v>-58087789082</v>
      </c>
      <c r="G26" s="13">
        <v>-60332576785</v>
      </c>
      <c r="H26" s="13">
        <v>-41919108874</v>
      </c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13">
        <v>-18702270857</v>
      </c>
      <c r="F27" s="13">
        <v>-12045231792</v>
      </c>
      <c r="G27" s="13">
        <v>-8102403993</v>
      </c>
      <c r="H27" s="13">
        <v>-12190593348</v>
      </c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13">
        <v>-3859773656</v>
      </c>
      <c r="F28" s="13">
        <v>-3212140466</v>
      </c>
      <c r="G28" s="13">
        <v>-2393184997</v>
      </c>
      <c r="H28" s="13">
        <v>-1174926095</v>
      </c>
    </row>
    <row r="29" spans="1:8">
      <c r="A29" s="16" t="s">
        <v>52</v>
      </c>
      <c r="B29" s="17" t="s">
        <v>53</v>
      </c>
      <c r="C29" s="16"/>
      <c r="D29" s="16"/>
      <c r="E29" s="18">
        <v>121426051773</v>
      </c>
      <c r="F29" s="18">
        <v>58082313823</v>
      </c>
      <c r="G29" s="18">
        <v>50426444289</v>
      </c>
      <c r="H29" s="18">
        <v>41462113865</v>
      </c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13">
        <v>-7486859343</v>
      </c>
      <c r="F30" s="13">
        <v>-8770657004</v>
      </c>
      <c r="G30" s="13">
        <v>-9407376883</v>
      </c>
      <c r="H30" s="13">
        <v>-8825653749</v>
      </c>
    </row>
    <row r="31" spans="1:8">
      <c r="A31" s="16" t="s">
        <v>56</v>
      </c>
      <c r="B31" s="17" t="s">
        <v>57</v>
      </c>
      <c r="C31" s="16"/>
      <c r="D31" s="16"/>
      <c r="E31" s="18">
        <v>113939192429</v>
      </c>
      <c r="F31" s="18">
        <v>49311656819</v>
      </c>
      <c r="G31" s="18">
        <v>41019067406</v>
      </c>
      <c r="H31" s="18">
        <v>32636460116</v>
      </c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3">
        <v>14287127</v>
      </c>
      <c r="F32" s="13">
        <v>356721423</v>
      </c>
      <c r="G32" s="13">
        <v>1024614886</v>
      </c>
      <c r="H32" s="13">
        <v>10883406160</v>
      </c>
    </row>
    <row r="33" spans="1:8">
      <c r="A33" s="19" t="s">
        <v>60</v>
      </c>
      <c r="B33" s="20" t="s">
        <v>61</v>
      </c>
      <c r="C33" s="19" t="s">
        <v>12</v>
      </c>
      <c r="D33" s="19" t="s">
        <v>62</v>
      </c>
      <c r="E33" s="21">
        <v>-48480016032</v>
      </c>
      <c r="F33" s="21">
        <v>-21695361635</v>
      </c>
      <c r="G33" s="21">
        <v>-19706100090</v>
      </c>
      <c r="H33" s="21">
        <v>-15987695123</v>
      </c>
    </row>
    <row r="34" spans="1:8">
      <c r="A34" s="16" t="s">
        <v>63</v>
      </c>
      <c r="B34" s="17" t="s">
        <v>64</v>
      </c>
      <c r="C34" s="16"/>
      <c r="D34" s="16"/>
      <c r="E34" s="18">
        <v>65473463524.400024</v>
      </c>
      <c r="F34" s="18">
        <v>27973016607</v>
      </c>
      <c r="G34" s="18">
        <v>22337582202</v>
      </c>
      <c r="H34" s="18">
        <v>27532171153</v>
      </c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3">
        <v>1941073514</v>
      </c>
      <c r="F35" s="13">
        <v>377125502</v>
      </c>
      <c r="G35" s="13">
        <v>6086860</v>
      </c>
      <c r="H35" s="13">
        <v>55751090</v>
      </c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  <c r="G36" s="13">
        <v>760520603</v>
      </c>
      <c r="H36" s="13">
        <v>4017146942</v>
      </c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>
        <v>0</v>
      </c>
      <c r="H37" s="13">
        <v>0</v>
      </c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13">
        <v>-2437620279</v>
      </c>
      <c r="F38" s="13">
        <v>-8615660779</v>
      </c>
      <c r="G38" s="13">
        <v>-248279570</v>
      </c>
      <c r="H38" s="13">
        <v>-267345321</v>
      </c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  <c r="G39" s="13">
        <v>0</v>
      </c>
      <c r="H39" s="13">
        <v>0</v>
      </c>
    </row>
    <row r="40" spans="1:8">
      <c r="A40" s="16" t="s">
        <v>75</v>
      </c>
      <c r="B40" s="17" t="s">
        <v>76</v>
      </c>
      <c r="C40" s="16"/>
      <c r="D40" s="16"/>
      <c r="E40" s="18">
        <v>-496546765</v>
      </c>
      <c r="F40" s="18">
        <v>-8238535277</v>
      </c>
      <c r="G40" s="18">
        <v>518327893</v>
      </c>
      <c r="H40" s="18">
        <v>3805552711</v>
      </c>
    </row>
    <row r="41" spans="1:8">
      <c r="A41" s="22" t="s">
        <v>77</v>
      </c>
      <c r="B41" s="23" t="s">
        <v>78</v>
      </c>
      <c r="C41" s="22"/>
      <c r="D41" s="22"/>
      <c r="E41" s="24">
        <v>64976916759.610023</v>
      </c>
      <c r="F41" s="24">
        <v>19734481330</v>
      </c>
      <c r="G41" s="24">
        <v>22855910095</v>
      </c>
      <c r="H41" s="24">
        <v>31337723864</v>
      </c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  <c r="G42" s="13">
        <v>0</v>
      </c>
      <c r="H42" s="13">
        <v>0</v>
      </c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6220973118</v>
      </c>
      <c r="G43" s="13">
        <v>0</v>
      </c>
      <c r="H43" s="13">
        <v>0</v>
      </c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  <c r="G44" s="13">
        <v>0</v>
      </c>
      <c r="H44" s="13">
        <v>0</v>
      </c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13">
        <v>0</v>
      </c>
      <c r="H45" s="13">
        <v>0</v>
      </c>
    </row>
    <row r="46" spans="1:8">
      <c r="A46" s="22" t="s">
        <v>88</v>
      </c>
      <c r="B46" s="23" t="s">
        <v>89</v>
      </c>
      <c r="C46" s="22"/>
      <c r="D46" s="22"/>
      <c r="E46" s="24">
        <v>0</v>
      </c>
      <c r="F46" s="24">
        <v>6220973118</v>
      </c>
      <c r="G46" s="24">
        <v>0</v>
      </c>
      <c r="H46" s="24">
        <v>0</v>
      </c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>
        <v>0</v>
      </c>
      <c r="H47" s="13">
        <v>0</v>
      </c>
    </row>
    <row r="48" spans="1:8">
      <c r="A48" s="11" t="s">
        <v>92</v>
      </c>
      <c r="B48" s="12" t="s">
        <v>93</v>
      </c>
      <c r="C48" s="11" t="s">
        <v>12</v>
      </c>
      <c r="D48" s="11"/>
      <c r="E48" s="31">
        <v>-28580759584</v>
      </c>
      <c r="F48" s="13">
        <v>-3261215482</v>
      </c>
      <c r="G48" s="13">
        <v>0</v>
      </c>
      <c r="H48" s="13">
        <v>0</v>
      </c>
    </row>
    <row r="49" spans="1:8">
      <c r="A49" s="16" t="s">
        <v>94</v>
      </c>
      <c r="B49" s="17" t="s">
        <v>95</v>
      </c>
      <c r="C49" s="16"/>
      <c r="D49" s="16"/>
      <c r="E49" s="18">
        <v>36396157176</v>
      </c>
      <c r="F49" s="18">
        <v>22694238966</v>
      </c>
      <c r="G49" s="18">
        <v>22855910095</v>
      </c>
      <c r="H49" s="18">
        <v>31337723864</v>
      </c>
    </row>
    <row r="53" spans="1:8">
      <c r="B53" s="29"/>
      <c r="C53" s="29"/>
    </row>
    <row r="54" spans="1:8">
      <c r="B54" s="29"/>
      <c r="C54" s="29"/>
    </row>
    <row r="55" spans="1:8">
      <c r="B55" s="29"/>
      <c r="C55" s="29"/>
    </row>
    <row r="58" spans="1:8">
      <c r="B58" s="29"/>
      <c r="C58" s="29"/>
    </row>
    <row r="59" spans="1:8">
      <c r="B59" s="29"/>
      <c r="C59" s="29"/>
    </row>
    <row r="62" spans="1:8">
      <c r="G62" s="30"/>
      <c r="H62" s="30"/>
    </row>
    <row r="63" spans="1:8">
      <c r="G63" s="30"/>
      <c r="H63" s="30"/>
    </row>
    <row r="64" spans="1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  <row r="79" spans="7:8">
      <c r="G79" s="30"/>
      <c r="H79" s="30"/>
    </row>
    <row r="80" spans="7:8">
      <c r="G80" s="30"/>
      <c r="H80" s="30"/>
    </row>
    <row r="81" spans="7:8">
      <c r="G81" s="30"/>
      <c r="H81" s="30"/>
    </row>
    <row r="82" spans="7:8">
      <c r="G82" s="30"/>
      <c r="H82" s="30"/>
    </row>
    <row r="83" spans="7:8">
      <c r="G83" s="30"/>
      <c r="H83" s="30"/>
    </row>
    <row r="84" spans="7:8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2228B268-92B0-49A5-B00A-B00E8201D44B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E8:H49" xr:uid="{6BECF56A-4E34-460D-ACCE-723311687DAB}"/>
    <dataValidation allowBlank="1" showInputMessage="1" showErrorMessage="1" errorTitle="Erreur de saisie" error="La cellule ne peut prendre que du numérique." promptTitle="Information" prompt="Cette cellule ne peut prendre que du numérique." sqref="D1:H6" xr:uid="{BFF7403D-0CDE-42F4-B9D6-13C47159D317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30F3-59C6-46DD-A7AE-D0AB4FAF48D2}">
  <sheetPr>
    <tabColor rgb="FF00B050"/>
  </sheetPr>
  <dimension ref="A1:H78"/>
  <sheetViews>
    <sheetView topLeftCell="C1" workbookViewId="0">
      <selection activeCell="C1" sqref="A1:XFD1"/>
    </sheetView>
  </sheetViews>
  <sheetFormatPr baseColWidth="10" defaultRowHeight="15"/>
  <cols>
    <col min="1" max="1" width="4.140625" style="49" customWidth="1" collapsed="1"/>
    <col min="2" max="2" width="56" style="50" bestFit="1" customWidth="1" collapsed="1"/>
    <col min="3" max="3" width="3.140625" style="50" bestFit="1" customWidth="1" collapsed="1"/>
    <col min="4" max="4" width="7.140625" style="50" bestFit="1" customWidth="1" collapsed="1"/>
    <col min="5" max="6" width="16.140625" style="50" bestFit="1" customWidth="1"/>
    <col min="7" max="7" width="20" style="51" customWidth="1" collapsed="1"/>
    <col min="8" max="8" width="16.42578125" style="51" bestFit="1" customWidth="1" collapsed="1"/>
  </cols>
  <sheetData>
    <row r="1" spans="1:8" ht="25.5">
      <c r="A1" s="32" t="s">
        <v>4</v>
      </c>
      <c r="B1" s="33" t="s">
        <v>5</v>
      </c>
      <c r="C1" s="32"/>
      <c r="D1" s="32" t="s">
        <v>6</v>
      </c>
      <c r="E1" s="34">
        <v>2024</v>
      </c>
      <c r="F1" s="34">
        <v>2023</v>
      </c>
      <c r="G1" s="34">
        <v>2022</v>
      </c>
      <c r="H1" s="34">
        <v>2021</v>
      </c>
    </row>
    <row r="2" spans="1:8">
      <c r="A2" s="35" t="s">
        <v>7</v>
      </c>
      <c r="B2" s="36" t="s">
        <v>8</v>
      </c>
      <c r="C2" s="35" t="s">
        <v>9</v>
      </c>
      <c r="D2" s="35">
        <v>21</v>
      </c>
      <c r="E2" s="37">
        <v>0</v>
      </c>
      <c r="F2" s="37">
        <v>0</v>
      </c>
      <c r="G2" s="37">
        <v>0</v>
      </c>
      <c r="H2" s="37">
        <v>0</v>
      </c>
    </row>
    <row r="3" spans="1:8">
      <c r="A3" s="38" t="s">
        <v>10</v>
      </c>
      <c r="B3" s="39" t="s">
        <v>11</v>
      </c>
      <c r="C3" s="38" t="s">
        <v>12</v>
      </c>
      <c r="D3" s="38">
        <v>22</v>
      </c>
      <c r="E3" s="37">
        <v>0</v>
      </c>
      <c r="F3" s="37">
        <v>0</v>
      </c>
      <c r="G3" s="37">
        <v>0</v>
      </c>
      <c r="H3" s="37">
        <v>0</v>
      </c>
    </row>
    <row r="4" spans="1:8">
      <c r="A4" s="38" t="s">
        <v>13</v>
      </c>
      <c r="B4" s="40" t="s">
        <v>98</v>
      </c>
      <c r="C4" s="41" t="s">
        <v>15</v>
      </c>
      <c r="D4" s="41">
        <v>6</v>
      </c>
      <c r="E4" s="37">
        <v>0</v>
      </c>
      <c r="F4" s="37">
        <v>0</v>
      </c>
      <c r="G4" s="37">
        <v>0</v>
      </c>
      <c r="H4" s="37">
        <v>0</v>
      </c>
    </row>
    <row r="5" spans="1:8">
      <c r="A5" s="42" t="s">
        <v>16</v>
      </c>
      <c r="B5" s="43" t="s">
        <v>17</v>
      </c>
      <c r="C5" s="42"/>
      <c r="D5" s="42"/>
      <c r="E5" s="54">
        <v>0</v>
      </c>
      <c r="F5" s="54">
        <v>0</v>
      </c>
      <c r="G5" s="44">
        <v>0</v>
      </c>
      <c r="H5" s="44">
        <v>0</v>
      </c>
    </row>
    <row r="6" spans="1:8">
      <c r="A6" s="38" t="s">
        <v>18</v>
      </c>
      <c r="B6" s="39" t="s">
        <v>19</v>
      </c>
      <c r="C6" s="38" t="s">
        <v>9</v>
      </c>
      <c r="D6" s="38">
        <v>21</v>
      </c>
      <c r="E6" s="37">
        <v>170524042823.89999</v>
      </c>
      <c r="F6" s="37">
        <v>140526187361.70001</v>
      </c>
      <c r="G6" s="37">
        <v>208511840359.79999</v>
      </c>
      <c r="H6" s="37">
        <v>147604340692.20001</v>
      </c>
    </row>
    <row r="7" spans="1:8">
      <c r="A7" s="38" t="s">
        <v>20</v>
      </c>
      <c r="B7" s="39" t="s">
        <v>21</v>
      </c>
      <c r="C7" s="38" t="s">
        <v>9</v>
      </c>
      <c r="D7" s="38">
        <v>21</v>
      </c>
      <c r="E7" s="37">
        <v>0</v>
      </c>
      <c r="F7" s="37">
        <v>0</v>
      </c>
      <c r="G7" s="37">
        <v>0</v>
      </c>
      <c r="H7" s="37">
        <v>0</v>
      </c>
    </row>
    <row r="8" spans="1:8">
      <c r="A8" s="38" t="s">
        <v>22</v>
      </c>
      <c r="B8" s="39" t="s">
        <v>23</v>
      </c>
      <c r="C8" s="38" t="s">
        <v>9</v>
      </c>
      <c r="D8" s="38">
        <v>21</v>
      </c>
      <c r="E8" s="37">
        <v>557255376</v>
      </c>
      <c r="F8" s="37">
        <v>538368343.22000003</v>
      </c>
      <c r="G8" s="37">
        <v>55340464</v>
      </c>
      <c r="H8" s="37">
        <v>653233219.10000002</v>
      </c>
    </row>
    <row r="9" spans="1:8">
      <c r="A9" s="42" t="s">
        <v>24</v>
      </c>
      <c r="B9" s="43" t="s">
        <v>25</v>
      </c>
      <c r="C9" s="42"/>
      <c r="D9" s="42"/>
      <c r="E9" s="54">
        <v>171081298200</v>
      </c>
      <c r="F9" s="54">
        <v>141064555704</v>
      </c>
      <c r="G9" s="44">
        <v>208567180824</v>
      </c>
      <c r="H9" s="44">
        <v>148257573911.29999</v>
      </c>
    </row>
    <row r="10" spans="1:8">
      <c r="A10" s="38" t="s">
        <v>26</v>
      </c>
      <c r="B10" s="39" t="s">
        <v>27</v>
      </c>
      <c r="C10" s="41" t="s">
        <v>15</v>
      </c>
      <c r="D10" s="38">
        <v>6</v>
      </c>
      <c r="E10" s="37">
        <v>1586204642.3199999</v>
      </c>
      <c r="F10" s="37">
        <v>565247534</v>
      </c>
      <c r="G10" s="37">
        <v>-3215216799</v>
      </c>
      <c r="H10" s="37">
        <v>-1162794026.0899999</v>
      </c>
    </row>
    <row r="11" spans="1:8">
      <c r="A11" s="38" t="s">
        <v>28</v>
      </c>
      <c r="B11" s="39" t="s">
        <v>29</v>
      </c>
      <c r="C11" s="38"/>
      <c r="D11" s="38">
        <v>21</v>
      </c>
      <c r="E11" s="37">
        <v>0</v>
      </c>
      <c r="F11" s="37">
        <v>0</v>
      </c>
      <c r="G11" s="37">
        <v>0</v>
      </c>
      <c r="H11" s="37">
        <v>0</v>
      </c>
    </row>
    <row r="12" spans="1:8">
      <c r="A12" s="38" t="s">
        <v>30</v>
      </c>
      <c r="B12" s="39" t="s">
        <v>31</v>
      </c>
      <c r="C12" s="38"/>
      <c r="D12" s="38">
        <v>21</v>
      </c>
      <c r="E12" s="45">
        <v>0</v>
      </c>
      <c r="F12" s="45">
        <v>0</v>
      </c>
      <c r="G12" s="37">
        <v>0</v>
      </c>
      <c r="H12" s="37">
        <v>0</v>
      </c>
    </row>
    <row r="13" spans="1:8">
      <c r="A13" s="38" t="s">
        <v>32</v>
      </c>
      <c r="B13" s="39" t="s">
        <v>33</v>
      </c>
      <c r="C13" s="38" t="s">
        <v>9</v>
      </c>
      <c r="D13" s="38">
        <v>21</v>
      </c>
      <c r="E13" s="45">
        <v>1248700913.76</v>
      </c>
      <c r="F13" s="45">
        <v>3441286082.3299999</v>
      </c>
      <c r="G13" s="45">
        <v>2914174580.5100002</v>
      </c>
      <c r="H13" s="45">
        <v>1019684573.64</v>
      </c>
    </row>
    <row r="14" spans="1:8">
      <c r="A14" s="38" t="s">
        <v>34</v>
      </c>
      <c r="B14" s="39" t="s">
        <v>99</v>
      </c>
      <c r="C14" s="38" t="s">
        <v>9</v>
      </c>
      <c r="D14" s="38">
        <v>12</v>
      </c>
      <c r="E14" s="45">
        <v>1351866612.2</v>
      </c>
      <c r="F14" s="45">
        <v>651350722.82000005</v>
      </c>
      <c r="G14" s="45">
        <v>813248624.64999998</v>
      </c>
      <c r="H14" s="45">
        <v>34316439</v>
      </c>
    </row>
    <row r="15" spans="1:8">
      <c r="A15" s="38" t="s">
        <v>36</v>
      </c>
      <c r="B15" s="39" t="s">
        <v>37</v>
      </c>
      <c r="C15" s="38" t="s">
        <v>12</v>
      </c>
      <c r="D15" s="38">
        <v>22</v>
      </c>
      <c r="E15" s="45">
        <v>0</v>
      </c>
      <c r="F15" s="45">
        <v>0</v>
      </c>
      <c r="G15" s="45">
        <v>0</v>
      </c>
      <c r="H15" s="45">
        <v>0</v>
      </c>
    </row>
    <row r="16" spans="1:8">
      <c r="A16" s="38" t="s">
        <v>38</v>
      </c>
      <c r="B16" s="40" t="s">
        <v>39</v>
      </c>
      <c r="C16" s="41" t="s">
        <v>15</v>
      </c>
      <c r="D16" s="38">
        <v>6</v>
      </c>
      <c r="E16" s="45">
        <v>0</v>
      </c>
      <c r="F16" s="45">
        <v>0</v>
      </c>
      <c r="G16" s="37">
        <v>0</v>
      </c>
      <c r="H16" s="37">
        <v>0</v>
      </c>
    </row>
    <row r="17" spans="1:8">
      <c r="A17" s="38" t="s">
        <v>40</v>
      </c>
      <c r="B17" s="39" t="s">
        <v>41</v>
      </c>
      <c r="C17" s="38" t="s">
        <v>12</v>
      </c>
      <c r="D17" s="38">
        <v>22</v>
      </c>
      <c r="E17" s="45">
        <v>-30422148300.290001</v>
      </c>
      <c r="F17" s="45">
        <v>-32898635870.009998</v>
      </c>
      <c r="G17" s="37">
        <v>-24061007402.75</v>
      </c>
      <c r="H17" s="37">
        <v>-19999945921.82</v>
      </c>
    </row>
    <row r="18" spans="1:8">
      <c r="A18" s="38" t="s">
        <v>42</v>
      </c>
      <c r="B18" s="40" t="s">
        <v>43</v>
      </c>
      <c r="C18" s="41" t="s">
        <v>15</v>
      </c>
      <c r="D18" s="38">
        <v>6</v>
      </c>
      <c r="E18" s="45">
        <v>-3134080851.9200001</v>
      </c>
      <c r="F18" s="45">
        <v>-190041208.66999999</v>
      </c>
      <c r="G18" s="37">
        <v>-1513008720</v>
      </c>
      <c r="H18" s="37">
        <v>-846250447.63999999</v>
      </c>
    </row>
    <row r="19" spans="1:8">
      <c r="A19" s="38" t="s">
        <v>44</v>
      </c>
      <c r="B19" s="39" t="s">
        <v>45</v>
      </c>
      <c r="C19" s="38" t="s">
        <v>12</v>
      </c>
      <c r="D19" s="38">
        <v>23</v>
      </c>
      <c r="E19" s="45">
        <v>-4001718568.5300002</v>
      </c>
      <c r="F19" s="45">
        <v>-2304099993.5999999</v>
      </c>
      <c r="G19" s="37">
        <v>-4071698522.1900001</v>
      </c>
      <c r="H19" s="37">
        <v>-8338773177.4399996</v>
      </c>
    </row>
    <row r="20" spans="1:8">
      <c r="A20" s="38" t="s">
        <v>46</v>
      </c>
      <c r="B20" s="39" t="s">
        <v>47</v>
      </c>
      <c r="C20" s="38" t="s">
        <v>12</v>
      </c>
      <c r="D20" s="38">
        <v>24</v>
      </c>
      <c r="E20" s="45">
        <v>-36977305895.900002</v>
      </c>
      <c r="F20" s="45">
        <v>-28073807787.759998</v>
      </c>
      <c r="G20" s="37">
        <v>-36167605623.769997</v>
      </c>
      <c r="H20" s="37">
        <v>-25352162056.75</v>
      </c>
    </row>
    <row r="21" spans="1:8">
      <c r="A21" s="38" t="s">
        <v>48</v>
      </c>
      <c r="B21" s="39" t="s">
        <v>49</v>
      </c>
      <c r="C21" s="38" t="s">
        <v>12</v>
      </c>
      <c r="D21" s="38">
        <v>25</v>
      </c>
      <c r="E21" s="37">
        <v>-128429650</v>
      </c>
      <c r="F21" s="37">
        <v>-1411219658</v>
      </c>
      <c r="G21" s="37">
        <v>-256590518</v>
      </c>
      <c r="H21" s="37">
        <v>-2597254221</v>
      </c>
    </row>
    <row r="22" spans="1:8">
      <c r="A22" s="38" t="s">
        <v>50</v>
      </c>
      <c r="B22" s="39" t="s">
        <v>51</v>
      </c>
      <c r="C22" s="38" t="s">
        <v>12</v>
      </c>
      <c r="D22" s="38">
        <v>26</v>
      </c>
      <c r="E22" s="37">
        <v>-3994781488.77</v>
      </c>
      <c r="F22" s="37">
        <v>-8242637270</v>
      </c>
      <c r="G22" s="37">
        <f>-12597863518.24+317428853</f>
        <v>-12280434665.24</v>
      </c>
      <c r="H22" s="37">
        <v>-3849899375.6799998</v>
      </c>
    </row>
    <row r="23" spans="1:8">
      <c r="A23" s="42" t="s">
        <v>52</v>
      </c>
      <c r="B23" s="43" t="s">
        <v>53</v>
      </c>
      <c r="C23" s="42"/>
      <c r="D23" s="42"/>
      <c r="E23" s="54">
        <v>96609605612.770004</v>
      </c>
      <c r="F23" s="54">
        <v>72601998256</v>
      </c>
      <c r="G23" s="44">
        <f>SUM(G9:G22)</f>
        <v>130729041778.21001</v>
      </c>
      <c r="H23" s="44">
        <v>87164495697.470001</v>
      </c>
    </row>
    <row r="24" spans="1:8">
      <c r="A24" s="38" t="s">
        <v>54</v>
      </c>
      <c r="B24" s="39" t="s">
        <v>55</v>
      </c>
      <c r="C24" s="38" t="s">
        <v>12</v>
      </c>
      <c r="D24" s="38">
        <v>27</v>
      </c>
      <c r="E24" s="37">
        <v>-27975212944.049999</v>
      </c>
      <c r="F24" s="37">
        <v>-25303473731</v>
      </c>
      <c r="G24" s="37">
        <v>-23686592667.619999</v>
      </c>
      <c r="H24" s="37">
        <v>-20604689454.490002</v>
      </c>
    </row>
    <row r="25" spans="1:8">
      <c r="A25" s="42" t="s">
        <v>56</v>
      </c>
      <c r="B25" s="43" t="s">
        <v>57</v>
      </c>
      <c r="C25" s="42"/>
      <c r="D25" s="42"/>
      <c r="E25" s="54">
        <v>68634392668.720001</v>
      </c>
      <c r="F25" s="54">
        <v>47298524524.339996</v>
      </c>
      <c r="G25" s="44">
        <f>SUM(G23:G24)</f>
        <v>107042449110.59001</v>
      </c>
      <c r="H25" s="44">
        <v>66559806242.980003</v>
      </c>
    </row>
    <row r="26" spans="1:8">
      <c r="A26" s="38" t="s">
        <v>58</v>
      </c>
      <c r="B26" s="39" t="s">
        <v>100</v>
      </c>
      <c r="C26" s="38" t="s">
        <v>9</v>
      </c>
      <c r="D26" s="38">
        <v>28</v>
      </c>
      <c r="E26" s="45">
        <v>2147340756</v>
      </c>
      <c r="F26" s="45">
        <v>399017709</v>
      </c>
      <c r="G26" s="37">
        <v>302600107</v>
      </c>
      <c r="H26" s="37">
        <v>220052906</v>
      </c>
    </row>
    <row r="27" spans="1:8">
      <c r="A27" s="38" t="s">
        <v>60</v>
      </c>
      <c r="B27" s="39" t="s">
        <v>61</v>
      </c>
      <c r="C27" s="38" t="s">
        <v>12</v>
      </c>
      <c r="D27" s="38" t="s">
        <v>62</v>
      </c>
      <c r="E27" s="45">
        <v>-23126876299.759998</v>
      </c>
      <c r="F27" s="45">
        <v>-25725328624.380001</v>
      </c>
      <c r="G27" s="45">
        <v>-21751797892.110001</v>
      </c>
      <c r="H27" s="45">
        <v>-21440178060.610001</v>
      </c>
    </row>
    <row r="28" spans="1:8">
      <c r="A28" s="42" t="s">
        <v>63</v>
      </c>
      <c r="B28" s="43" t="s">
        <v>64</v>
      </c>
      <c r="C28" s="42"/>
      <c r="D28" s="42"/>
      <c r="E28" s="54">
        <v>47654857124.959999</v>
      </c>
      <c r="F28" s="54">
        <v>21972213608.959999</v>
      </c>
      <c r="G28" s="44">
        <f>SUM(G25:G27)</f>
        <v>85593251325.480011</v>
      </c>
      <c r="H28" s="44">
        <v>45339681088.370003</v>
      </c>
    </row>
    <row r="29" spans="1:8">
      <c r="A29" s="38" t="s">
        <v>65</v>
      </c>
      <c r="B29" s="39" t="s">
        <v>66</v>
      </c>
      <c r="C29" s="38" t="s">
        <v>9</v>
      </c>
      <c r="D29" s="38">
        <v>29</v>
      </c>
      <c r="E29" s="37">
        <v>871039395.39999998</v>
      </c>
      <c r="F29" s="37">
        <v>1340473884.8800001</v>
      </c>
      <c r="G29" s="37">
        <f>742709602.3+28349028</f>
        <v>771058630.29999995</v>
      </c>
      <c r="H29" s="37">
        <v>61812228.200000003</v>
      </c>
    </row>
    <row r="30" spans="1:8">
      <c r="A30" s="38" t="s">
        <v>67</v>
      </c>
      <c r="B30" s="39" t="s">
        <v>68</v>
      </c>
      <c r="C30" s="38" t="s">
        <v>9</v>
      </c>
      <c r="D30" s="38">
        <v>28</v>
      </c>
      <c r="E30" s="37">
        <v>36034843362</v>
      </c>
      <c r="F30" s="37">
        <v>51617906763</v>
      </c>
      <c r="G30" s="37">
        <v>45237079498</v>
      </c>
      <c r="H30" s="37">
        <v>20677465859</v>
      </c>
    </row>
    <row r="31" spans="1:8">
      <c r="A31" s="38" t="s">
        <v>69</v>
      </c>
      <c r="B31" s="39" t="s">
        <v>101</v>
      </c>
      <c r="C31" s="38" t="s">
        <v>9</v>
      </c>
      <c r="D31" s="38">
        <v>12</v>
      </c>
      <c r="E31" s="37">
        <v>0</v>
      </c>
      <c r="F31" s="37">
        <v>0</v>
      </c>
      <c r="G31" s="37">
        <v>0</v>
      </c>
      <c r="H31" s="37">
        <v>0</v>
      </c>
    </row>
    <row r="32" spans="1:8">
      <c r="A32" s="38" t="s">
        <v>71</v>
      </c>
      <c r="B32" s="39" t="s">
        <v>72</v>
      </c>
      <c r="C32" s="38" t="s">
        <v>12</v>
      </c>
      <c r="D32" s="38">
        <v>29</v>
      </c>
      <c r="E32" s="37">
        <v>-11968609048.91</v>
      </c>
      <c r="F32" s="37">
        <v>-10063450621.379999</v>
      </c>
      <c r="G32" s="37">
        <v>-22105386640.310001</v>
      </c>
      <c r="H32" s="37">
        <v>-7432865108.3599997</v>
      </c>
    </row>
    <row r="33" spans="1:8">
      <c r="A33" s="38" t="s">
        <v>73</v>
      </c>
      <c r="B33" s="39" t="s">
        <v>74</v>
      </c>
      <c r="C33" s="38" t="s">
        <v>12</v>
      </c>
      <c r="D33" s="38" t="s">
        <v>62</v>
      </c>
      <c r="E33" s="37">
        <v>-47342532027.75</v>
      </c>
      <c r="F33" s="37">
        <v>-36034843111.730003</v>
      </c>
      <c r="G33" s="37">
        <v>-51797156691</v>
      </c>
      <c r="H33" s="37">
        <v>-45391756625.190002</v>
      </c>
    </row>
    <row r="34" spans="1:8">
      <c r="A34" s="42" t="s">
        <v>75</v>
      </c>
      <c r="B34" s="43" t="s">
        <v>76</v>
      </c>
      <c r="C34" s="42"/>
      <c r="D34" s="42"/>
      <c r="E34" s="54">
        <v>-22405258319.259998</v>
      </c>
      <c r="F34" s="54">
        <v>6860086914.7700005</v>
      </c>
      <c r="G34" s="44">
        <f>SUM(G29:G33)</f>
        <v>-27894405203.009998</v>
      </c>
      <c r="H34" s="44">
        <v>-32085343646.349998</v>
      </c>
    </row>
    <row r="35" spans="1:8">
      <c r="A35" s="46" t="s">
        <v>77</v>
      </c>
      <c r="B35" s="47" t="s">
        <v>78</v>
      </c>
      <c r="C35" s="46"/>
      <c r="D35" s="46"/>
      <c r="E35" s="55">
        <v>25249598805.700001</v>
      </c>
      <c r="F35" s="55">
        <v>28832300523.73</v>
      </c>
      <c r="G35" s="48">
        <v>57698846122.18</v>
      </c>
      <c r="H35" s="48">
        <v>13254337442.02</v>
      </c>
    </row>
    <row r="36" spans="1:8">
      <c r="A36" s="38" t="s">
        <v>79</v>
      </c>
      <c r="B36" s="39" t="s">
        <v>80</v>
      </c>
      <c r="C36" s="38" t="s">
        <v>9</v>
      </c>
      <c r="D36" s="38" t="s">
        <v>81</v>
      </c>
      <c r="E36" s="37">
        <v>623359580.04999995</v>
      </c>
      <c r="F36" s="37">
        <v>0</v>
      </c>
      <c r="G36" s="37">
        <v>0</v>
      </c>
      <c r="H36" s="37">
        <v>0</v>
      </c>
    </row>
    <row r="37" spans="1:8">
      <c r="A37" s="38" t="s">
        <v>82</v>
      </c>
      <c r="B37" s="39" t="s">
        <v>83</v>
      </c>
      <c r="C37" s="38" t="s">
        <v>9</v>
      </c>
      <c r="D37" s="38">
        <v>30</v>
      </c>
      <c r="E37" s="37">
        <v>0</v>
      </c>
      <c r="F37" s="37">
        <v>0</v>
      </c>
      <c r="G37" s="37">
        <v>0</v>
      </c>
      <c r="H37" s="37">
        <v>0</v>
      </c>
    </row>
    <row r="38" spans="1:8">
      <c r="A38" s="38" t="s">
        <v>84</v>
      </c>
      <c r="B38" s="39" t="s">
        <v>85</v>
      </c>
      <c r="C38" s="38" t="s">
        <v>12</v>
      </c>
      <c r="D38" s="38" t="s">
        <v>81</v>
      </c>
      <c r="E38" s="37">
        <v>-839897922</v>
      </c>
      <c r="F38" s="37">
        <v>0</v>
      </c>
      <c r="G38" s="37">
        <v>0</v>
      </c>
      <c r="H38" s="37">
        <v>0</v>
      </c>
    </row>
    <row r="39" spans="1:8">
      <c r="A39" s="38" t="s">
        <v>86</v>
      </c>
      <c r="B39" s="39" t="s">
        <v>102</v>
      </c>
      <c r="C39" s="38" t="s">
        <v>12</v>
      </c>
      <c r="D39" s="38">
        <v>30</v>
      </c>
      <c r="E39" s="37">
        <v>0</v>
      </c>
      <c r="F39" s="37">
        <v>0</v>
      </c>
      <c r="G39" s="37">
        <v>0</v>
      </c>
      <c r="H39" s="37">
        <v>0</v>
      </c>
    </row>
    <row r="40" spans="1:8">
      <c r="A40" s="46" t="s">
        <v>88</v>
      </c>
      <c r="B40" s="47" t="s">
        <v>89</v>
      </c>
      <c r="C40" s="46"/>
      <c r="D40" s="46"/>
      <c r="E40" s="55">
        <v>-216538341.94999999</v>
      </c>
      <c r="F40" s="55">
        <v>0</v>
      </c>
      <c r="G40" s="48">
        <v>0</v>
      </c>
      <c r="H40" s="48">
        <v>0</v>
      </c>
    </row>
    <row r="41" spans="1:8">
      <c r="A41" s="38" t="s">
        <v>90</v>
      </c>
      <c r="B41" s="39" t="s">
        <v>103</v>
      </c>
      <c r="C41" s="38" t="s">
        <v>12</v>
      </c>
      <c r="D41" s="38">
        <v>30</v>
      </c>
      <c r="E41" s="37">
        <v>0</v>
      </c>
      <c r="F41" s="37">
        <v>0</v>
      </c>
      <c r="G41" s="37">
        <v>0</v>
      </c>
      <c r="H41" s="37">
        <v>0</v>
      </c>
    </row>
    <row r="42" spans="1:8">
      <c r="A42" s="38" t="s">
        <v>92</v>
      </c>
      <c r="B42" s="39" t="s">
        <v>93</v>
      </c>
      <c r="C42" s="38" t="s">
        <v>12</v>
      </c>
      <c r="D42" s="38"/>
      <c r="E42" s="37">
        <v>-10609795322.23</v>
      </c>
      <c r="F42" s="37">
        <v>-7123250300</v>
      </c>
      <c r="G42" s="37">
        <v>0</v>
      </c>
      <c r="H42" s="37">
        <v>0</v>
      </c>
    </row>
    <row r="43" spans="1:8">
      <c r="A43" s="42" t="s">
        <v>94</v>
      </c>
      <c r="B43" s="43" t="s">
        <v>95</v>
      </c>
      <c r="C43" s="42"/>
      <c r="D43" s="42"/>
      <c r="E43" s="54">
        <v>14423265142</v>
      </c>
      <c r="F43" s="54">
        <v>21709050224</v>
      </c>
      <c r="G43" s="44">
        <v>57698846122</v>
      </c>
      <c r="H43" s="44">
        <v>13254337442.02</v>
      </c>
    </row>
    <row r="47" spans="1:8">
      <c r="B47" s="52"/>
      <c r="C47" s="52"/>
    </row>
    <row r="48" spans="1:8">
      <c r="B48" s="52"/>
      <c r="C48" s="52"/>
    </row>
    <row r="49" spans="2:8">
      <c r="B49" s="52"/>
      <c r="C49" s="52"/>
    </row>
    <row r="52" spans="2:8">
      <c r="B52" s="52"/>
      <c r="C52" s="52"/>
    </row>
    <row r="53" spans="2:8">
      <c r="B53" s="52"/>
      <c r="C53" s="52"/>
    </row>
    <row r="56" spans="2:8">
      <c r="G56" s="53"/>
      <c r="H56" s="53"/>
    </row>
    <row r="57" spans="2:8">
      <c r="G57" s="53"/>
      <c r="H57" s="53"/>
    </row>
    <row r="58" spans="2:8">
      <c r="G58" s="53"/>
      <c r="H58" s="53"/>
    </row>
    <row r="59" spans="2:8">
      <c r="G59" s="53"/>
      <c r="H59" s="53"/>
    </row>
    <row r="60" spans="2:8">
      <c r="G60" s="53"/>
      <c r="H60" s="53"/>
    </row>
    <row r="61" spans="2:8">
      <c r="G61" s="53"/>
      <c r="H61" s="53"/>
    </row>
    <row r="62" spans="2:8">
      <c r="G62" s="53"/>
      <c r="H62" s="53"/>
    </row>
    <row r="63" spans="2:8">
      <c r="G63" s="53"/>
      <c r="H63" s="53"/>
    </row>
    <row r="64" spans="2:8">
      <c r="G64" s="53"/>
      <c r="H64" s="53"/>
    </row>
    <row r="65" spans="7:8">
      <c r="G65" s="53"/>
      <c r="H65" s="53"/>
    </row>
    <row r="66" spans="7:8">
      <c r="G66" s="53"/>
      <c r="H66" s="53"/>
    </row>
    <row r="67" spans="7:8">
      <c r="G67" s="53"/>
      <c r="H67" s="53"/>
    </row>
    <row r="68" spans="7:8">
      <c r="G68" s="53"/>
      <c r="H68" s="53"/>
    </row>
    <row r="69" spans="7:8">
      <c r="G69" s="53"/>
      <c r="H69" s="53"/>
    </row>
    <row r="70" spans="7:8">
      <c r="G70" s="53"/>
      <c r="H70" s="53"/>
    </row>
    <row r="71" spans="7:8">
      <c r="G71" s="53"/>
      <c r="H71" s="53"/>
    </row>
    <row r="72" spans="7:8">
      <c r="G72" s="53"/>
      <c r="H72" s="53"/>
    </row>
    <row r="73" spans="7:8">
      <c r="G73" s="53"/>
      <c r="H73" s="53"/>
    </row>
    <row r="74" spans="7:8">
      <c r="G74" s="53"/>
      <c r="H74" s="53"/>
    </row>
    <row r="75" spans="7:8">
      <c r="G75" s="53"/>
      <c r="H75" s="53"/>
    </row>
    <row r="76" spans="7:8">
      <c r="G76" s="53"/>
      <c r="H76" s="53"/>
    </row>
    <row r="77" spans="7:8">
      <c r="G77" s="53"/>
      <c r="H77" s="53"/>
    </row>
    <row r="78" spans="7:8">
      <c r="G78" s="53"/>
      <c r="H78" s="53"/>
    </row>
  </sheetData>
  <dataValidations count="2">
    <dataValidation allowBlank="1" showInputMessage="1" showErrorMessage="1" errorTitle="Erreur de saisie" error="La cellule ne peut prendre que du numérique." promptTitle="Information" prompt="Cette cellule ne peut prendre que du numérique," sqref="F2:H43 E2:E42" xr:uid="{16423D9B-D88F-4F55-B0C6-CA86B97B04B8}"/>
    <dataValidation allowBlank="1" showInputMessage="1" showErrorMessage="1" errorTitle="Erreur de saisie" error="La cellule ne peut prendre que du numérique." promptTitle="Information" prompt="Cette cellule ne peut prendre que du numérique." sqref="E43" xr:uid="{DD01E8FA-3852-4B66-B99E-B238054F7AB6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7C57-F039-4F26-82E9-762FBA8E53FD}">
  <sheetPr>
    <tabColor rgb="FF00B050"/>
  </sheetPr>
  <dimension ref="A1:H84"/>
  <sheetViews>
    <sheetView workbookViewId="0">
      <selection activeCell="D21" sqref="D21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5.7109375" style="28" customWidth="1" collapsed="1"/>
  </cols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96</v>
      </c>
      <c r="B3" s="71"/>
      <c r="C3" s="71"/>
      <c r="D3" s="1" t="s">
        <v>1</v>
      </c>
      <c r="E3" s="1"/>
      <c r="F3" s="1"/>
      <c r="G3" s="72" t="s">
        <v>104</v>
      </c>
      <c r="H3" s="73"/>
    </row>
    <row r="4" spans="1:8">
      <c r="A4" s="77" t="s">
        <v>105</v>
      </c>
      <c r="B4" s="73"/>
      <c r="C4" s="73"/>
      <c r="D4" s="74" t="s">
        <v>2</v>
      </c>
      <c r="E4" s="3"/>
      <c r="F4" s="3"/>
      <c r="G4" s="75">
        <v>12</v>
      </c>
      <c r="H4" s="75"/>
    </row>
    <row r="5" spans="1:8" ht="38.25">
      <c r="A5" s="4" t="s">
        <v>3</v>
      </c>
      <c r="B5" s="76" t="s">
        <v>106</v>
      </c>
      <c r="C5" s="76"/>
      <c r="D5" s="74"/>
      <c r="E5" s="3"/>
      <c r="F5" s="3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5">
        <v>2024</v>
      </c>
      <c r="F7" s="5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8">
        <v>0</v>
      </c>
      <c r="F8" s="8">
        <v>0</v>
      </c>
      <c r="G8" s="10">
        <v>0</v>
      </c>
      <c r="H8" s="10">
        <v>0</v>
      </c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1">
        <v>0</v>
      </c>
      <c r="F9" s="11">
        <v>0</v>
      </c>
      <c r="G9" s="13">
        <v>0</v>
      </c>
      <c r="H9" s="13">
        <v>0</v>
      </c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5">
        <v>0</v>
      </c>
      <c r="F10" s="15">
        <v>0</v>
      </c>
      <c r="G10" s="13">
        <v>0</v>
      </c>
      <c r="H10" s="13">
        <v>0</v>
      </c>
    </row>
    <row r="11" spans="1:8">
      <c r="A11" s="16" t="s">
        <v>16</v>
      </c>
      <c r="B11" s="17" t="s">
        <v>17</v>
      </c>
      <c r="C11" s="16"/>
      <c r="D11" s="16"/>
      <c r="E11" s="16">
        <v>0</v>
      </c>
      <c r="F11" s="16">
        <v>0</v>
      </c>
      <c r="G11" s="18">
        <v>0</v>
      </c>
      <c r="H11" s="18">
        <v>0</v>
      </c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1">
        <v>0</v>
      </c>
      <c r="F12" s="11">
        <v>0</v>
      </c>
      <c r="G12" s="13">
        <v>0</v>
      </c>
      <c r="H12" s="13">
        <v>0</v>
      </c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1">
        <v>0</v>
      </c>
      <c r="F13" s="11">
        <v>0</v>
      </c>
      <c r="G13" s="13">
        <v>0</v>
      </c>
      <c r="H13" s="13">
        <v>0</v>
      </c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58">
        <v>339990650</v>
      </c>
      <c r="F14" s="58">
        <v>590714400</v>
      </c>
      <c r="G14" s="13">
        <v>357766575</v>
      </c>
      <c r="H14" s="13">
        <v>0</v>
      </c>
    </row>
    <row r="15" spans="1:8">
      <c r="A15" s="16" t="s">
        <v>24</v>
      </c>
      <c r="B15" s="17" t="s">
        <v>25</v>
      </c>
      <c r="C15" s="16"/>
      <c r="D15" s="16"/>
      <c r="E15" s="59">
        <v>339990650</v>
      </c>
      <c r="F15" s="59">
        <v>590714400</v>
      </c>
      <c r="G15" s="18">
        <v>357766575</v>
      </c>
      <c r="H15" s="18">
        <v>0</v>
      </c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1">
        <v>0</v>
      </c>
      <c r="F16" s="11">
        <v>0</v>
      </c>
      <c r="G16" s="13">
        <v>0</v>
      </c>
      <c r="H16" s="13">
        <v>0</v>
      </c>
    </row>
    <row r="17" spans="1:8">
      <c r="A17" s="11" t="s">
        <v>28</v>
      </c>
      <c r="B17" s="12" t="s">
        <v>29</v>
      </c>
      <c r="C17" s="11"/>
      <c r="D17" s="11">
        <v>21</v>
      </c>
      <c r="E17" s="58">
        <v>771589458</v>
      </c>
      <c r="F17" s="58">
        <v>376372262</v>
      </c>
      <c r="G17" s="13">
        <v>821886243</v>
      </c>
      <c r="H17" s="13">
        <v>139134976</v>
      </c>
    </row>
    <row r="18" spans="1:8">
      <c r="A18" s="11" t="s">
        <v>30</v>
      </c>
      <c r="B18" s="12" t="s">
        <v>31</v>
      </c>
      <c r="C18" s="11"/>
      <c r="D18" s="11">
        <v>21</v>
      </c>
      <c r="E18" s="11">
        <v>0</v>
      </c>
      <c r="F18" s="11">
        <v>0</v>
      </c>
      <c r="G18" s="13">
        <v>0</v>
      </c>
      <c r="H18" s="13">
        <v>0</v>
      </c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1">
        <v>1</v>
      </c>
      <c r="F19" s="11">
        <v>60</v>
      </c>
      <c r="G19" s="13">
        <v>10000</v>
      </c>
      <c r="H19" s="13">
        <v>888</v>
      </c>
    </row>
    <row r="20" spans="1:8">
      <c r="A20" s="19" t="s">
        <v>34</v>
      </c>
      <c r="B20" s="20" t="s">
        <v>35</v>
      </c>
      <c r="C20" s="19" t="s">
        <v>9</v>
      </c>
      <c r="D20" s="19">
        <v>12</v>
      </c>
      <c r="E20" s="19">
        <v>0</v>
      </c>
      <c r="F20" s="19">
        <v>0</v>
      </c>
      <c r="G20" s="13">
        <v>0</v>
      </c>
      <c r="H20" s="13">
        <v>0</v>
      </c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1">
        <v>0</v>
      </c>
      <c r="F21" s="11">
        <v>0</v>
      </c>
      <c r="G21" s="13">
        <v>0</v>
      </c>
      <c r="H21" s="13">
        <v>0</v>
      </c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1">
        <v>0</v>
      </c>
      <c r="F22" s="11">
        <v>0</v>
      </c>
      <c r="G22" s="13">
        <v>0</v>
      </c>
      <c r="H22" s="13">
        <v>0</v>
      </c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58">
        <v>13009581</v>
      </c>
      <c r="F23" s="58">
        <v>12206331</v>
      </c>
      <c r="G23" s="13">
        <v>-207385675</v>
      </c>
      <c r="H23" s="13">
        <v>-536142</v>
      </c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58">
        <v>16904983</v>
      </c>
      <c r="F24" s="58">
        <v>28269575</v>
      </c>
      <c r="G24" s="13">
        <v>61659958</v>
      </c>
      <c r="H24" s="13">
        <v>0</v>
      </c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58">
        <v>3792461</v>
      </c>
      <c r="F25" s="58">
        <v>10425478</v>
      </c>
      <c r="G25" s="13">
        <v>-5140777</v>
      </c>
      <c r="H25" s="13">
        <v>-1634996</v>
      </c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58">
        <v>80614460</v>
      </c>
      <c r="F26" s="58">
        <v>58272261</v>
      </c>
      <c r="G26" s="13">
        <v>-248477419</v>
      </c>
      <c r="H26" s="13">
        <v>-176082257</v>
      </c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58">
        <v>13642063</v>
      </c>
      <c r="F27" s="58">
        <v>9279806</v>
      </c>
      <c r="G27" s="13">
        <v>-33000</v>
      </c>
      <c r="H27" s="13">
        <v>-182925</v>
      </c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58">
        <v>10784029</v>
      </c>
      <c r="F28" s="58">
        <v>24437321</v>
      </c>
      <c r="G28" s="13">
        <v>-48340889</v>
      </c>
      <c r="H28" s="13">
        <v>-588750</v>
      </c>
    </row>
    <row r="29" spans="1:8">
      <c r="A29" s="16" t="s">
        <v>52</v>
      </c>
      <c r="B29" s="17" t="s">
        <v>53</v>
      </c>
      <c r="C29" s="16"/>
      <c r="D29" s="16"/>
      <c r="E29" s="59">
        <v>972832532</v>
      </c>
      <c r="F29" s="59">
        <v>824195950</v>
      </c>
      <c r="G29" s="18">
        <v>731945016</v>
      </c>
      <c r="H29" s="18">
        <v>-39889206</v>
      </c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58">
        <v>66951657</v>
      </c>
      <c r="F30" s="11">
        <v>0</v>
      </c>
      <c r="G30" s="13">
        <v>0</v>
      </c>
      <c r="H30" s="13">
        <v>0</v>
      </c>
    </row>
    <row r="31" spans="1:8">
      <c r="A31" s="16" t="s">
        <v>56</v>
      </c>
      <c r="B31" s="17" t="s">
        <v>57</v>
      </c>
      <c r="C31" s="16"/>
      <c r="D31" s="16"/>
      <c r="E31" s="59">
        <v>905880875</v>
      </c>
      <c r="F31" s="59">
        <v>824195950</v>
      </c>
      <c r="G31" s="18">
        <v>731945016</v>
      </c>
      <c r="H31" s="18">
        <v>-39889206</v>
      </c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1">
        <v>0</v>
      </c>
      <c r="F32" s="11">
        <v>0</v>
      </c>
      <c r="G32" s="13">
        <v>0</v>
      </c>
      <c r="H32" s="13">
        <v>0</v>
      </c>
    </row>
    <row r="33" spans="1:8">
      <c r="A33" s="19" t="s">
        <v>60</v>
      </c>
      <c r="B33" s="20" t="s">
        <v>61</v>
      </c>
      <c r="C33" s="19" t="s">
        <v>12</v>
      </c>
      <c r="D33" s="19" t="s">
        <v>62</v>
      </c>
      <c r="E33" s="60">
        <v>826269207</v>
      </c>
      <c r="F33" s="60">
        <v>705091062</v>
      </c>
      <c r="G33" s="13">
        <v>-649674783</v>
      </c>
      <c r="H33" s="13">
        <v>-7205572</v>
      </c>
    </row>
    <row r="34" spans="1:8">
      <c r="A34" s="16" t="s">
        <v>63</v>
      </c>
      <c r="B34" s="17" t="s">
        <v>64</v>
      </c>
      <c r="C34" s="16"/>
      <c r="D34" s="16"/>
      <c r="E34" s="59">
        <v>79611668</v>
      </c>
      <c r="F34" s="59">
        <v>119104888</v>
      </c>
      <c r="G34" s="18">
        <v>82270233</v>
      </c>
      <c r="H34" s="18">
        <v>-47094778</v>
      </c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1">
        <v>0</v>
      </c>
      <c r="F35" s="11">
        <v>0</v>
      </c>
      <c r="G35" s="13">
        <v>0</v>
      </c>
      <c r="H35" s="13">
        <v>0</v>
      </c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1">
        <v>0</v>
      </c>
      <c r="F36" s="11">
        <v>0</v>
      </c>
      <c r="G36" s="13">
        <v>0</v>
      </c>
      <c r="H36" s="13">
        <v>0</v>
      </c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1">
        <v>0</v>
      </c>
      <c r="F37" s="11">
        <v>0</v>
      </c>
      <c r="G37" s="13">
        <v>0</v>
      </c>
      <c r="H37" s="13">
        <v>0</v>
      </c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58">
        <v>403960612</v>
      </c>
      <c r="F38" s="58">
        <v>246924819</v>
      </c>
      <c r="G38" s="13">
        <v>-106222581</v>
      </c>
      <c r="H38" s="13">
        <v>-5341375</v>
      </c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1">
        <v>0</v>
      </c>
      <c r="F39" s="11">
        <v>0</v>
      </c>
      <c r="G39" s="13">
        <v>0</v>
      </c>
      <c r="H39" s="13">
        <v>0</v>
      </c>
    </row>
    <row r="40" spans="1:8">
      <c r="A40" s="16" t="s">
        <v>75</v>
      </c>
      <c r="B40" s="17" t="s">
        <v>76</v>
      </c>
      <c r="C40" s="16"/>
      <c r="D40" s="16"/>
      <c r="E40" s="59">
        <v>-403960612</v>
      </c>
      <c r="F40" s="59">
        <v>-246924819</v>
      </c>
      <c r="G40" s="18">
        <v>-106222581</v>
      </c>
      <c r="H40" s="18">
        <v>-5341375</v>
      </c>
    </row>
    <row r="41" spans="1:8">
      <c r="A41" s="22" t="s">
        <v>77</v>
      </c>
      <c r="B41" s="23" t="s">
        <v>78</v>
      </c>
      <c r="C41" s="22"/>
      <c r="D41" s="22"/>
      <c r="E41" s="61">
        <v>-324348944</v>
      </c>
      <c r="F41" s="61">
        <v>-127819931</v>
      </c>
      <c r="G41" s="24">
        <v>-23952348</v>
      </c>
      <c r="H41" s="24">
        <v>-52436153</v>
      </c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1">
        <v>0</v>
      </c>
      <c r="F42" s="11">
        <v>0</v>
      </c>
      <c r="G42" s="13">
        <v>0</v>
      </c>
      <c r="H42" s="13">
        <v>0</v>
      </c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1">
        <v>0</v>
      </c>
      <c r="F43" s="11">
        <v>0</v>
      </c>
      <c r="G43" s="13">
        <v>0</v>
      </c>
      <c r="H43" s="13">
        <v>0</v>
      </c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1">
        <v>0</v>
      </c>
      <c r="F44" s="11">
        <v>0</v>
      </c>
      <c r="G44" s="13">
        <v>0</v>
      </c>
      <c r="H44" s="13">
        <v>0</v>
      </c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1">
        <v>0</v>
      </c>
      <c r="F45" s="11">
        <v>0</v>
      </c>
      <c r="G45" s="13">
        <v>0</v>
      </c>
      <c r="H45" s="13">
        <v>0</v>
      </c>
    </row>
    <row r="46" spans="1:8">
      <c r="A46" s="22" t="s">
        <v>88</v>
      </c>
      <c r="B46" s="23" t="s">
        <v>89</v>
      </c>
      <c r="C46" s="22"/>
      <c r="D46" s="22"/>
      <c r="E46" s="22">
        <v>0</v>
      </c>
      <c r="F46" s="22">
        <v>0</v>
      </c>
      <c r="G46" s="24">
        <v>0</v>
      </c>
      <c r="H46" s="24">
        <v>0</v>
      </c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1">
        <v>0</v>
      </c>
      <c r="F47" s="11">
        <v>0</v>
      </c>
      <c r="G47" s="13">
        <v>0</v>
      </c>
      <c r="H47" s="13">
        <v>0</v>
      </c>
    </row>
    <row r="48" spans="1:8">
      <c r="A48" s="11" t="s">
        <v>92</v>
      </c>
      <c r="B48" s="12" t="s">
        <v>93</v>
      </c>
      <c r="C48" s="11" t="s">
        <v>12</v>
      </c>
      <c r="D48" s="11"/>
      <c r="E48" s="58">
        <v>1699953</v>
      </c>
      <c r="F48" s="58">
        <v>2953572</v>
      </c>
      <c r="G48" s="13">
        <v>-1788833</v>
      </c>
      <c r="H48" s="13">
        <v>0</v>
      </c>
    </row>
    <row r="49" spans="1:8">
      <c r="A49" s="16" t="s">
        <v>94</v>
      </c>
      <c r="B49" s="17" t="s">
        <v>95</v>
      </c>
      <c r="C49" s="16"/>
      <c r="D49" s="16"/>
      <c r="E49" s="59">
        <v>-326048897</v>
      </c>
      <c r="F49" s="59">
        <v>-130773503</v>
      </c>
      <c r="G49" s="18">
        <v>-25741181</v>
      </c>
      <c r="H49" s="18">
        <v>-52436153</v>
      </c>
    </row>
    <row r="53" spans="1:8">
      <c r="B53" s="29"/>
      <c r="C53" s="29"/>
    </row>
    <row r="54" spans="1:8">
      <c r="B54" s="29"/>
      <c r="C54" s="29"/>
    </row>
    <row r="55" spans="1:8">
      <c r="B55" s="29"/>
      <c r="C55" s="29"/>
    </row>
    <row r="58" spans="1:8">
      <c r="B58" s="29"/>
      <c r="C58" s="29"/>
    </row>
    <row r="59" spans="1:8">
      <c r="B59" s="29"/>
      <c r="C59" s="29"/>
    </row>
    <row r="62" spans="1:8">
      <c r="G62" s="30"/>
      <c r="H62" s="30"/>
    </row>
    <row r="63" spans="1:8">
      <c r="G63" s="30"/>
      <c r="H63" s="30"/>
    </row>
    <row r="64" spans="1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  <row r="79" spans="7:8">
      <c r="G79" s="30"/>
      <c r="H79" s="30"/>
    </row>
    <row r="80" spans="7:8">
      <c r="G80" s="30"/>
      <c r="H80" s="30"/>
    </row>
    <row r="81" spans="7:8">
      <c r="G81" s="30"/>
      <c r="H81" s="30"/>
    </row>
    <row r="82" spans="7:8">
      <c r="G82" s="30"/>
      <c r="H82" s="30"/>
    </row>
    <row r="83" spans="7:8">
      <c r="G83" s="30"/>
      <c r="H83" s="30"/>
    </row>
    <row r="84" spans="7:8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8302B17F-5425-416D-8B74-666283F2AC12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C9970F67-287C-4058-9730-8220A9DAD124}"/>
    <dataValidation allowBlank="1" showInputMessage="1" showErrorMessage="1" errorTitle="Erreur de saisie" error="La cellule ne peut prendre que du numérique." promptTitle="Information" prompt="Cette cellule ne peut prendre que du numérique," sqref="G8:H49" xr:uid="{F01CAB8C-D4DC-49AE-B664-3D3F9CF5C042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8D06-3F10-4EFB-897F-A55460E63F1C}">
  <sheetPr>
    <tabColor rgb="FF00B050"/>
  </sheetPr>
  <dimension ref="A1:H84"/>
  <sheetViews>
    <sheetView zoomScale="83" workbookViewId="0">
      <selection activeCell="F19" sqref="F19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5" width="17.7109375" style="28" bestFit="1" customWidth="1" collapsed="1"/>
    <col min="6" max="6" width="16.85546875" style="28" bestFit="1" customWidth="1" collapsed="1"/>
    <col min="7" max="8" width="14.85546875" style="27" bestFit="1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E3" s="72">
        <f>+'[20]Fiche de renseignement R1'!$V$10</f>
        <v>0</v>
      </c>
      <c r="F3" s="73"/>
    </row>
    <row r="4" spans="1:8" s="1" customFormat="1" ht="15" customHeight="1">
      <c r="A4" s="73"/>
      <c r="B4" s="73"/>
      <c r="C4" s="73"/>
      <c r="D4" s="74" t="s">
        <v>2</v>
      </c>
      <c r="E4" s="75">
        <f>+'[20]Fiche de renseignement R1'!$AH$10</f>
        <v>12</v>
      </c>
      <c r="F4" s="75"/>
    </row>
    <row r="5" spans="1:8" s="1" customFormat="1" ht="30.95" customHeight="1">
      <c r="A5" s="4" t="s">
        <v>3</v>
      </c>
      <c r="B5" s="76">
        <f>+'[20]Fiche de renseignement R1'!$J$10</f>
        <v>0</v>
      </c>
      <c r="C5" s="76"/>
      <c r="D5" s="74"/>
      <c r="E5" s="73"/>
      <c r="F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11770696251</v>
      </c>
      <c r="F8" s="10">
        <v>12724385125</v>
      </c>
      <c r="G8" s="150">
        <v>9623643793</v>
      </c>
      <c r="H8" s="150">
        <v>8282301497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530365104</v>
      </c>
      <c r="F9" s="13">
        <v>618927141</v>
      </c>
      <c r="G9" s="13">
        <v>690098032</v>
      </c>
      <c r="H9" s="13">
        <v>230114319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4933977</v>
      </c>
      <c r="F10" s="13">
        <v>-7645854</v>
      </c>
      <c r="G10" s="13">
        <v>304822514</v>
      </c>
      <c r="H10" s="13">
        <v>17510838</v>
      </c>
    </row>
    <row r="11" spans="1:8" ht="18" customHeight="1">
      <c r="A11" s="16" t="s">
        <v>16</v>
      </c>
      <c r="B11" s="17" t="s">
        <v>17</v>
      </c>
      <c r="C11" s="16"/>
      <c r="D11" s="16"/>
      <c r="E11" s="18">
        <v>11235397170</v>
      </c>
      <c r="F11" s="18">
        <v>12113103838</v>
      </c>
      <c r="G11" s="18">
        <v>8628723247</v>
      </c>
      <c r="H11" s="18">
        <v>8034676340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/>
      <c r="G12" s="13"/>
      <c r="H12" s="13"/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/>
      <c r="F13" s="13"/>
      <c r="G13" s="13"/>
      <c r="H13" s="13"/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6120286556</v>
      </c>
      <c r="F14" s="13">
        <v>7124315876</v>
      </c>
      <c r="G14" s="13">
        <v>6136256408</v>
      </c>
      <c r="H14" s="13">
        <v>3962006370</v>
      </c>
    </row>
    <row r="15" spans="1:8" ht="18" customHeight="1">
      <c r="A15" s="16" t="s">
        <v>24</v>
      </c>
      <c r="B15" s="17" t="s">
        <v>25</v>
      </c>
      <c r="C15" s="16"/>
      <c r="D15" s="16"/>
      <c r="E15" s="18">
        <v>17890982807</v>
      </c>
      <c r="F15" s="18">
        <v>19848701001</v>
      </c>
      <c r="G15" s="18">
        <v>15759900201</v>
      </c>
      <c r="H15" s="18">
        <v>12244307867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-74772584</v>
      </c>
      <c r="F16" s="13">
        <v>-56285126</v>
      </c>
      <c r="G16" s="13">
        <v>-151990024</v>
      </c>
      <c r="H16" s="13">
        <v>431006630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  <c r="G17" s="13"/>
      <c r="H17" s="13"/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  <c r="G18" s="13"/>
      <c r="H18" s="13"/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14897020</v>
      </c>
      <c r="F19" s="13">
        <v>6591540</v>
      </c>
      <c r="G19" s="13">
        <v>50538728</v>
      </c>
      <c r="H19" s="13">
        <v>1324068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  <c r="G20" s="21"/>
      <c r="H20" s="21"/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265768024</v>
      </c>
      <c r="F21" s="13">
        <v>68913058</v>
      </c>
      <c r="G21" s="13">
        <v>113859017</v>
      </c>
      <c r="H21" s="13">
        <v>1324068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/>
      <c r="F22" s="13"/>
      <c r="G22" s="13"/>
      <c r="H22" s="13"/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8831791420</v>
      </c>
      <c r="F23" s="13">
        <v>11095634096</v>
      </c>
      <c r="G23" s="13">
        <v>6133228522</v>
      </c>
      <c r="H23" s="13">
        <v>5161733757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/>
      <c r="F24" s="13"/>
      <c r="G24" s="13"/>
      <c r="H24" s="13"/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219451804</v>
      </c>
      <c r="F25" s="13">
        <v>182824519</v>
      </c>
      <c r="G25" s="13">
        <v>135750737</v>
      </c>
      <c r="H25" s="13">
        <v>126465752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1971774216</v>
      </c>
      <c r="F26" s="13">
        <v>2315706629</v>
      </c>
      <c r="G26" s="13">
        <v>3560407150</v>
      </c>
      <c r="H26" s="13">
        <v>2577503620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754930448</v>
      </c>
      <c r="F27" s="13">
        <v>733753917</v>
      </c>
      <c r="G27" s="13">
        <v>588135441</v>
      </c>
      <c r="H27" s="13">
        <v>666543573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151021377</v>
      </c>
      <c r="F28" s="13">
        <v>107618379</v>
      </c>
      <c r="G28" s="13">
        <v>69508985</v>
      </c>
      <c r="H28" s="13">
        <v>153495775</v>
      </c>
    </row>
    <row r="29" spans="1:8" ht="18" customHeight="1">
      <c r="A29" s="16" t="s">
        <v>52</v>
      </c>
      <c r="B29" s="17" t="s">
        <v>53</v>
      </c>
      <c r="C29" s="16"/>
      <c r="D29" s="16"/>
      <c r="E29" s="18">
        <v>5101070873</v>
      </c>
      <c r="F29" s="18">
        <v>4683275530</v>
      </c>
      <c r="G29" s="18">
        <v>4062638507</v>
      </c>
      <c r="H29" s="18">
        <v>3677997201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2316964185</v>
      </c>
      <c r="F30" s="13">
        <v>1858093499</v>
      </c>
      <c r="G30" s="13">
        <v>1476419756</v>
      </c>
      <c r="H30" s="13">
        <v>1148922993</v>
      </c>
    </row>
    <row r="31" spans="1:8" ht="18" customHeight="1">
      <c r="A31" s="16" t="s">
        <v>56</v>
      </c>
      <c r="B31" s="17" t="s">
        <v>57</v>
      </c>
      <c r="C31" s="16"/>
      <c r="D31" s="16"/>
      <c r="E31" s="18">
        <v>2784106688</v>
      </c>
      <c r="F31" s="18">
        <v>2825182031</v>
      </c>
      <c r="G31" s="18">
        <v>2586218751</v>
      </c>
      <c r="H31" s="18">
        <v>2529074208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78559787</v>
      </c>
      <c r="F32" s="13">
        <v>142523302</v>
      </c>
      <c r="G32" s="13">
        <v>47055372</v>
      </c>
      <c r="H32" s="13">
        <v>40126788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1689132123</v>
      </c>
      <c r="F33" s="21">
        <v>1451998825</v>
      </c>
      <c r="G33" s="21">
        <v>1653247858</v>
      </c>
      <c r="H33" s="21">
        <v>1667109158</v>
      </c>
    </row>
    <row r="34" spans="1:8" ht="18" customHeight="1">
      <c r="A34" s="16" t="s">
        <v>63</v>
      </c>
      <c r="B34" s="17" t="s">
        <v>64</v>
      </c>
      <c r="C34" s="16"/>
      <c r="D34" s="16"/>
      <c r="E34" s="18">
        <v>1173534352</v>
      </c>
      <c r="F34" s="18">
        <v>1515706508</v>
      </c>
      <c r="G34" s="18">
        <v>980026265</v>
      </c>
      <c r="H34" s="18">
        <v>902091838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76586</v>
      </c>
      <c r="F35" s="13"/>
      <c r="G35" s="13">
        <v>768002</v>
      </c>
      <c r="H35" s="13">
        <v>5217228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  <c r="G36" s="13"/>
      <c r="H36" s="13"/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  <c r="G37" s="13"/>
      <c r="H37" s="13"/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87243747</v>
      </c>
      <c r="F38" s="13">
        <v>41477800</v>
      </c>
      <c r="G38" s="13">
        <v>23156781</v>
      </c>
      <c r="H38" s="13">
        <v>46155726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207663614</v>
      </c>
      <c r="F39" s="13">
        <v>78559787</v>
      </c>
      <c r="G39" s="13">
        <v>53628356</v>
      </c>
      <c r="H39" s="13">
        <v>47055372</v>
      </c>
    </row>
    <row r="40" spans="1:8" ht="18" customHeight="1">
      <c r="A40" s="16" t="s">
        <v>75</v>
      </c>
      <c r="B40" s="17" t="s">
        <v>76</v>
      </c>
      <c r="C40" s="16"/>
      <c r="D40" s="16"/>
      <c r="E40" s="18">
        <v>-294830775</v>
      </c>
      <c r="F40" s="18">
        <v>-120037587</v>
      </c>
      <c r="G40" s="18">
        <v>-76017135</v>
      </c>
      <c r="H40" s="18">
        <v>-87993870</v>
      </c>
    </row>
    <row r="41" spans="1:8" ht="18" customHeight="1">
      <c r="A41" s="22" t="s">
        <v>77</v>
      </c>
      <c r="B41" s="23" t="s">
        <v>78</v>
      </c>
      <c r="C41" s="22"/>
      <c r="D41" s="22"/>
      <c r="E41" s="24">
        <v>878703577</v>
      </c>
      <c r="F41" s="24">
        <v>1395668921</v>
      </c>
      <c r="G41" s="24">
        <v>904009130</v>
      </c>
      <c r="H41" s="24">
        <v>814097968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24850616</v>
      </c>
      <c r="F42" s="13"/>
      <c r="G42" s="13"/>
      <c r="H42" s="13"/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  <c r="G43" s="13"/>
      <c r="H43" s="13"/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17714512</v>
      </c>
      <c r="F44" s="13"/>
      <c r="G44" s="13"/>
      <c r="H44" s="13"/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  <c r="G45" s="13"/>
      <c r="H45" s="13"/>
    </row>
    <row r="46" spans="1:8" ht="18" customHeight="1">
      <c r="A46" s="22" t="s">
        <v>88</v>
      </c>
      <c r="B46" s="23" t="s">
        <v>89</v>
      </c>
      <c r="C46" s="22"/>
      <c r="D46" s="22"/>
      <c r="E46" s="24">
        <v>7136104</v>
      </c>
      <c r="F46" s="24"/>
      <c r="G46" s="24"/>
      <c r="H46" s="24"/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  <c r="G47" s="13"/>
      <c r="H47" s="13"/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3">
        <v>347501166</v>
      </c>
      <c r="F48" s="13">
        <v>460038612</v>
      </c>
      <c r="G48" s="13">
        <v>294707605</v>
      </c>
      <c r="H48" s="13">
        <v>298522859</v>
      </c>
    </row>
    <row r="49" spans="1:8" ht="18" customHeight="1">
      <c r="A49" s="16" t="s">
        <v>94</v>
      </c>
      <c r="B49" s="17" t="s">
        <v>95</v>
      </c>
      <c r="C49" s="16"/>
      <c r="D49" s="16"/>
      <c r="E49" s="18">
        <v>538338515</v>
      </c>
      <c r="F49" s="18">
        <v>935630309</v>
      </c>
      <c r="G49" s="18">
        <v>609301525</v>
      </c>
      <c r="H49" s="18">
        <v>515575109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E62" s="30"/>
      <c r="F62" s="30"/>
    </row>
    <row r="63" spans="1:8" ht="12.75" customHeight="1">
      <c r="E63" s="30"/>
      <c r="F63" s="30"/>
    </row>
    <row r="64" spans="1:8" ht="12.75" customHeight="1">
      <c r="E64" s="30"/>
      <c r="F64" s="30"/>
    </row>
    <row r="65" spans="5:6" s="27" customFormat="1" ht="12.75" customHeight="1">
      <c r="E65" s="30"/>
      <c r="F65" s="30"/>
    </row>
    <row r="66" spans="5:6" s="27" customFormat="1" ht="12.75" customHeight="1">
      <c r="E66" s="30"/>
      <c r="F66" s="30"/>
    </row>
    <row r="67" spans="5:6" s="27" customFormat="1" ht="12.75" customHeight="1">
      <c r="E67" s="30"/>
      <c r="F67" s="30"/>
    </row>
    <row r="68" spans="5:6" s="27" customFormat="1" ht="12.75" customHeight="1">
      <c r="E68" s="30"/>
      <c r="F68" s="30"/>
    </row>
    <row r="69" spans="5:6" s="27" customFormat="1" ht="12.75" customHeight="1">
      <c r="E69" s="30"/>
      <c r="F69" s="30"/>
    </row>
    <row r="70" spans="5:6" s="27" customFormat="1" ht="12.75" customHeight="1">
      <c r="E70" s="30"/>
      <c r="F70" s="30"/>
    </row>
    <row r="71" spans="5:6" s="27" customFormat="1" ht="12.75" customHeight="1">
      <c r="E71" s="30"/>
      <c r="F71" s="30"/>
    </row>
    <row r="72" spans="5:6" s="27" customFormat="1" ht="12.75" customHeight="1">
      <c r="E72" s="30"/>
      <c r="F72" s="30"/>
    </row>
    <row r="73" spans="5:6" s="27" customFormat="1" ht="12.75" customHeight="1">
      <c r="E73" s="30"/>
      <c r="F73" s="30"/>
    </row>
    <row r="74" spans="5:6" s="27" customFormat="1" ht="12.75" customHeight="1">
      <c r="E74" s="30"/>
      <c r="F74" s="30"/>
    </row>
    <row r="75" spans="5:6" s="27" customFormat="1" ht="12.75" customHeight="1">
      <c r="E75" s="30"/>
      <c r="F75" s="30"/>
    </row>
    <row r="76" spans="5:6" s="27" customFormat="1" ht="12.75" customHeight="1">
      <c r="E76" s="30"/>
      <c r="F76" s="30"/>
    </row>
    <row r="77" spans="5:6" s="27" customFormat="1" ht="12.75" customHeight="1">
      <c r="E77" s="30"/>
      <c r="F77" s="30"/>
    </row>
    <row r="78" spans="5:6" s="27" customFormat="1" ht="12.75" customHeight="1">
      <c r="E78" s="30"/>
      <c r="F78" s="30"/>
    </row>
    <row r="79" spans="5:6" s="27" customFormat="1" ht="12.75" customHeight="1">
      <c r="E79" s="30"/>
      <c r="F79" s="30"/>
    </row>
    <row r="80" spans="5:6" s="27" customFormat="1" ht="12.75" customHeight="1">
      <c r="E80" s="30"/>
      <c r="F80" s="30"/>
    </row>
    <row r="81" spans="5:6" s="27" customFormat="1" ht="12.75" customHeight="1">
      <c r="E81" s="30"/>
      <c r="F81" s="30"/>
    </row>
    <row r="82" spans="5:6" s="27" customFormat="1" ht="12.75" customHeight="1">
      <c r="E82" s="30"/>
      <c r="F82" s="30"/>
    </row>
    <row r="83" spans="5:6" s="27" customFormat="1" ht="12.75" customHeight="1">
      <c r="E83" s="30"/>
      <c r="F83" s="30"/>
    </row>
    <row r="84" spans="5:6" s="27" customFormat="1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31B3FE9A-858F-481B-8A3B-169B39049E5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B4BE111A-8356-4C0B-9606-ACF697169E0D}"/>
    <dataValidation allowBlank="1" showInputMessage="1" showErrorMessage="1" errorTitle="Erreur de saisie" error="La cellule ne peut prendre que du numérique." promptTitle="Information" prompt="Cette cellule ne peut prendre que du numérique," sqref="E8:H49" xr:uid="{8867F3B5-C899-4C06-9922-24AF4D62B811}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F4A6-F5DC-4A2F-B34B-A0284003F158}">
  <sheetPr>
    <tabColor rgb="FF00B050"/>
  </sheetPr>
  <dimension ref="A1:H78"/>
  <sheetViews>
    <sheetView zoomScale="85" zoomScaleNormal="85" workbookViewId="0">
      <selection activeCell="F6" sqref="F6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6.42578125" style="27" bestFit="1" customWidth="1"/>
    <col min="7" max="7" width="18.7109375" style="28" customWidth="1" collapsed="1"/>
    <col min="8" max="8" width="19.140625" style="28" bestFit="1" customWidth="1" collapsed="1"/>
  </cols>
  <sheetData>
    <row r="1" spans="1:8">
      <c r="A1" s="5" t="s">
        <v>4</v>
      </c>
      <c r="B1" s="6" t="s">
        <v>5</v>
      </c>
      <c r="C1" s="5"/>
      <c r="D1" s="5" t="s">
        <v>6</v>
      </c>
      <c r="E1" s="62">
        <v>2024</v>
      </c>
      <c r="F1" s="62">
        <v>2023</v>
      </c>
      <c r="G1" s="7">
        <v>2022</v>
      </c>
      <c r="H1" s="7">
        <v>2021</v>
      </c>
    </row>
    <row r="2" spans="1:8">
      <c r="A2" s="8" t="s">
        <v>7</v>
      </c>
      <c r="B2" s="9" t="s">
        <v>8</v>
      </c>
      <c r="C2" s="8" t="s">
        <v>9</v>
      </c>
      <c r="D2" s="8">
        <v>21</v>
      </c>
      <c r="E2" s="10"/>
      <c r="F2" s="10"/>
      <c r="G2" s="10"/>
      <c r="H2" s="10"/>
    </row>
    <row r="3" spans="1:8">
      <c r="A3" s="11" t="s">
        <v>10</v>
      </c>
      <c r="B3" s="12" t="s">
        <v>11</v>
      </c>
      <c r="C3" s="11" t="s">
        <v>12</v>
      </c>
      <c r="D3" s="11">
        <v>22</v>
      </c>
      <c r="E3" s="13"/>
      <c r="F3" s="13"/>
      <c r="G3" s="13"/>
      <c r="H3" s="13"/>
    </row>
    <row r="4" spans="1:8">
      <c r="A4" s="11" t="s">
        <v>13</v>
      </c>
      <c r="B4" s="14" t="s">
        <v>14</v>
      </c>
      <c r="C4" s="15" t="s">
        <v>15</v>
      </c>
      <c r="D4" s="15">
        <v>6</v>
      </c>
      <c r="E4" s="13"/>
      <c r="F4" s="13"/>
      <c r="G4" s="13"/>
      <c r="H4" s="13"/>
    </row>
    <row r="5" spans="1:8">
      <c r="A5" s="16" t="s">
        <v>16</v>
      </c>
      <c r="B5" s="17" t="s">
        <v>17</v>
      </c>
      <c r="C5" s="16"/>
      <c r="D5" s="16"/>
      <c r="E5" s="18"/>
      <c r="F5" s="18"/>
      <c r="G5" s="18"/>
      <c r="H5" s="18"/>
    </row>
    <row r="6" spans="1:8">
      <c r="A6" s="11" t="s">
        <v>18</v>
      </c>
      <c r="B6" s="12" t="s">
        <v>19</v>
      </c>
      <c r="C6" s="11" t="s">
        <v>9</v>
      </c>
      <c r="D6" s="11">
        <v>21</v>
      </c>
      <c r="E6" s="13">
        <v>161370972033</v>
      </c>
      <c r="F6" s="13">
        <v>165733808700</v>
      </c>
      <c r="G6" s="13">
        <v>160002338803</v>
      </c>
      <c r="H6" s="13">
        <v>156468214865</v>
      </c>
    </row>
    <row r="7" spans="1:8">
      <c r="A7" s="11" t="s">
        <v>20</v>
      </c>
      <c r="B7" s="12" t="s">
        <v>21</v>
      </c>
      <c r="C7" s="11" t="s">
        <v>9</v>
      </c>
      <c r="D7" s="11">
        <v>21</v>
      </c>
      <c r="E7" s="13">
        <v>6518179</v>
      </c>
      <c r="F7" s="13">
        <v>3293816</v>
      </c>
      <c r="G7" s="13">
        <v>10064732</v>
      </c>
      <c r="H7" s="13">
        <v>49644732</v>
      </c>
    </row>
    <row r="8" spans="1:8">
      <c r="A8" s="11" t="s">
        <v>22</v>
      </c>
      <c r="B8" s="12" t="s">
        <v>23</v>
      </c>
      <c r="C8" s="11" t="s">
        <v>9</v>
      </c>
      <c r="D8" s="11">
        <v>21</v>
      </c>
      <c r="E8" s="13">
        <v>1133279113</v>
      </c>
      <c r="F8" s="13">
        <v>1267823384</v>
      </c>
      <c r="G8" s="13">
        <v>1007745291</v>
      </c>
      <c r="H8" s="13">
        <v>1255878165</v>
      </c>
    </row>
    <row r="9" spans="1:8">
      <c r="A9" s="16" t="s">
        <v>24</v>
      </c>
      <c r="B9" s="17" t="s">
        <v>25</v>
      </c>
      <c r="C9" s="16"/>
      <c r="D9" s="16"/>
      <c r="E9" s="18">
        <v>162510769325</v>
      </c>
      <c r="F9" s="18">
        <v>167004925900</v>
      </c>
      <c r="G9" s="18">
        <f>SUM(G6:G8,G2)</f>
        <v>161020148826</v>
      </c>
      <c r="H9" s="18">
        <f>SUM(H6:H8,H2)</f>
        <v>157773737762</v>
      </c>
    </row>
    <row r="10" spans="1:8">
      <c r="A10" s="11" t="s">
        <v>26</v>
      </c>
      <c r="B10" s="12" t="s">
        <v>27</v>
      </c>
      <c r="C10" s="15" t="s">
        <v>15</v>
      </c>
      <c r="D10" s="11">
        <v>6</v>
      </c>
      <c r="E10" s="13">
        <v>-1272650903</v>
      </c>
      <c r="F10" s="13">
        <v>2713804461</v>
      </c>
      <c r="G10" s="13">
        <v>722619185.99999988</v>
      </c>
      <c r="H10" s="13">
        <v>-1034238394</v>
      </c>
    </row>
    <row r="11" spans="1:8">
      <c r="A11" s="11" t="s">
        <v>28</v>
      </c>
      <c r="B11" s="12" t="s">
        <v>29</v>
      </c>
      <c r="C11" s="11"/>
      <c r="D11" s="11">
        <v>21</v>
      </c>
      <c r="E11" s="13">
        <v>729661311</v>
      </c>
      <c r="F11" s="13">
        <v>483397733</v>
      </c>
      <c r="G11" s="13">
        <v>322000000</v>
      </c>
      <c r="H11" s="13">
        <v>208691666</v>
      </c>
    </row>
    <row r="12" spans="1:8">
      <c r="A12" s="11" t="s">
        <v>30</v>
      </c>
      <c r="B12" s="12" t="s">
        <v>31</v>
      </c>
      <c r="C12" s="11"/>
      <c r="D12" s="11">
        <v>21</v>
      </c>
      <c r="E12" s="13"/>
      <c r="F12" s="13"/>
      <c r="G12" s="13"/>
      <c r="H12" s="13"/>
    </row>
    <row r="13" spans="1:8">
      <c r="A13" s="11" t="s">
        <v>32</v>
      </c>
      <c r="B13" s="12" t="s">
        <v>33</v>
      </c>
      <c r="C13" s="11" t="s">
        <v>9</v>
      </c>
      <c r="D13" s="11">
        <v>21</v>
      </c>
      <c r="E13" s="13">
        <v>43253832</v>
      </c>
      <c r="F13" s="13">
        <v>89475499</v>
      </c>
      <c r="G13" s="13">
        <v>353918311</v>
      </c>
      <c r="H13" s="13">
        <v>2732162493</v>
      </c>
    </row>
    <row r="14" spans="1:8">
      <c r="A14" s="19" t="s">
        <v>34</v>
      </c>
      <c r="B14" s="20" t="s">
        <v>35</v>
      </c>
      <c r="C14" s="19" t="s">
        <v>9</v>
      </c>
      <c r="D14" s="19">
        <v>12</v>
      </c>
      <c r="E14" s="21">
        <v>383089242</v>
      </c>
      <c r="F14" s="21">
        <v>111348400</v>
      </c>
      <c r="G14" s="21">
        <v>111524000</v>
      </c>
      <c r="H14" s="21">
        <v>105983800</v>
      </c>
    </row>
    <row r="15" spans="1:8">
      <c r="A15" s="11" t="s">
        <v>36</v>
      </c>
      <c r="B15" s="12" t="s">
        <v>37</v>
      </c>
      <c r="C15" s="11" t="s">
        <v>12</v>
      </c>
      <c r="D15" s="11">
        <v>22</v>
      </c>
      <c r="E15" s="13">
        <v>79734363076</v>
      </c>
      <c r="F15" s="13">
        <v>91134454136</v>
      </c>
      <c r="G15" s="13">
        <v>109444026555</v>
      </c>
      <c r="H15" s="13">
        <v>87538880005</v>
      </c>
    </row>
    <row r="16" spans="1:8">
      <c r="A16" s="11" t="s">
        <v>38</v>
      </c>
      <c r="B16" s="14" t="s">
        <v>39</v>
      </c>
      <c r="C16" s="15" t="s">
        <v>15</v>
      </c>
      <c r="D16" s="11">
        <v>6</v>
      </c>
      <c r="E16" s="13">
        <v>-3050936152</v>
      </c>
      <c r="F16" s="13">
        <v>463785755</v>
      </c>
      <c r="G16" s="13">
        <v>1253198334</v>
      </c>
      <c r="H16" s="13">
        <v>-2211979423</v>
      </c>
    </row>
    <row r="17" spans="1:8">
      <c r="A17" s="11" t="s">
        <v>40</v>
      </c>
      <c r="B17" s="12" t="s">
        <v>41</v>
      </c>
      <c r="C17" s="11" t="s">
        <v>12</v>
      </c>
      <c r="D17" s="11">
        <v>22</v>
      </c>
      <c r="E17" s="13">
        <v>11841781868</v>
      </c>
      <c r="F17" s="13">
        <v>14297713214</v>
      </c>
      <c r="G17" s="13">
        <v>14091960238</v>
      </c>
      <c r="H17" s="13">
        <v>12488793768</v>
      </c>
    </row>
    <row r="18" spans="1:8">
      <c r="A18" s="11" t="s">
        <v>42</v>
      </c>
      <c r="B18" s="14" t="s">
        <v>43</v>
      </c>
      <c r="C18" s="15" t="s">
        <v>15</v>
      </c>
      <c r="D18" s="11">
        <v>6</v>
      </c>
      <c r="E18" s="13">
        <v>2678503643</v>
      </c>
      <c r="F18" s="13">
        <v>992792373</v>
      </c>
      <c r="G18" s="13">
        <v>-10751229476</v>
      </c>
      <c r="H18" s="13">
        <v>-6970218084</v>
      </c>
    </row>
    <row r="19" spans="1:8">
      <c r="A19" s="11" t="s">
        <v>44</v>
      </c>
      <c r="B19" s="12" t="s">
        <v>45</v>
      </c>
      <c r="C19" s="11" t="s">
        <v>12</v>
      </c>
      <c r="D19" s="11">
        <v>23</v>
      </c>
      <c r="E19" s="13">
        <v>1404483457</v>
      </c>
      <c r="F19" s="13">
        <v>1564034120</v>
      </c>
      <c r="G19" s="13">
        <v>1340085198</v>
      </c>
      <c r="H19" s="13">
        <v>1352587655</v>
      </c>
    </row>
    <row r="20" spans="1:8">
      <c r="A20" s="11" t="s">
        <v>46</v>
      </c>
      <c r="B20" s="12" t="s">
        <v>47</v>
      </c>
      <c r="C20" s="11" t="s">
        <v>12</v>
      </c>
      <c r="D20" s="11">
        <v>24</v>
      </c>
      <c r="E20" s="13">
        <v>26911028662</v>
      </c>
      <c r="F20" s="13">
        <v>27390599667</v>
      </c>
      <c r="G20" s="13">
        <v>21686722506</v>
      </c>
      <c r="H20" s="13">
        <v>24763649838</v>
      </c>
    </row>
    <row r="21" spans="1:8">
      <c r="A21" s="11" t="s">
        <v>48</v>
      </c>
      <c r="B21" s="12" t="s">
        <v>49</v>
      </c>
      <c r="C21" s="11" t="s">
        <v>12</v>
      </c>
      <c r="D21" s="11">
        <v>25</v>
      </c>
      <c r="E21" s="13">
        <v>1758497239</v>
      </c>
      <c r="F21" s="13">
        <v>1804804364</v>
      </c>
      <c r="G21" s="13">
        <v>2877975328</v>
      </c>
      <c r="H21" s="13">
        <v>1780936913</v>
      </c>
    </row>
    <row r="22" spans="1:8">
      <c r="A22" s="11" t="s">
        <v>50</v>
      </c>
      <c r="B22" s="12" t="s">
        <v>51</v>
      </c>
      <c r="C22" s="11" t="s">
        <v>12</v>
      </c>
      <c r="D22" s="11">
        <v>26</v>
      </c>
      <c r="E22" s="13">
        <v>942316177</v>
      </c>
      <c r="F22" s="13">
        <v>4823411279</v>
      </c>
      <c r="G22" s="13">
        <v>393294216</v>
      </c>
      <c r="H22" s="13">
        <v>1179697978</v>
      </c>
    </row>
    <row r="23" spans="1:8">
      <c r="A23" s="16" t="s">
        <v>52</v>
      </c>
      <c r="B23" s="17" t="s">
        <v>53</v>
      </c>
      <c r="C23" s="16"/>
      <c r="D23" s="16"/>
      <c r="E23" s="18">
        <v>40174084837</v>
      </c>
      <c r="F23" s="18">
        <v>27931357085</v>
      </c>
      <c r="G23" s="18">
        <f>G9+G10+G11+G12+G13+G14-G15-G16-G17-G18-G19-G20-G21-G22</f>
        <v>22194177424</v>
      </c>
      <c r="H23" s="18">
        <f>H9+H10+H11+H12+H13+H14-H15-H16-H17-H18-H19-H20-H21-H22</f>
        <v>39863988677</v>
      </c>
    </row>
    <row r="24" spans="1:8">
      <c r="A24" s="11" t="s">
        <v>54</v>
      </c>
      <c r="B24" s="12" t="s">
        <v>55</v>
      </c>
      <c r="C24" s="11" t="s">
        <v>12</v>
      </c>
      <c r="D24" s="11">
        <v>27</v>
      </c>
      <c r="E24" s="13">
        <v>14235167535</v>
      </c>
      <c r="F24" s="13">
        <v>13233827940</v>
      </c>
      <c r="G24" s="13">
        <v>12140811347</v>
      </c>
      <c r="H24" s="13">
        <v>11083922253</v>
      </c>
    </row>
    <row r="25" spans="1:8">
      <c r="A25" s="16" t="s">
        <v>56</v>
      </c>
      <c r="B25" s="17" t="s">
        <v>57</v>
      </c>
      <c r="C25" s="16"/>
      <c r="D25" s="16"/>
      <c r="E25" s="18">
        <v>25938917302</v>
      </c>
      <c r="F25" s="18">
        <v>14697529145</v>
      </c>
      <c r="G25" s="18">
        <f>G23-G24</f>
        <v>10053366077</v>
      </c>
      <c r="H25" s="18">
        <f>H23-H24</f>
        <v>28780066424</v>
      </c>
    </row>
    <row r="26" spans="1:8">
      <c r="A26" s="11" t="s">
        <v>58</v>
      </c>
      <c r="B26" s="12" t="s">
        <v>59</v>
      </c>
      <c r="C26" s="11" t="s">
        <v>9</v>
      </c>
      <c r="D26" s="11">
        <v>28</v>
      </c>
      <c r="E26" s="13">
        <v>946311609</v>
      </c>
      <c r="F26" s="13">
        <v>730996422</v>
      </c>
      <c r="G26" s="13">
        <v>314812926</v>
      </c>
      <c r="H26" s="13">
        <v>72368279</v>
      </c>
    </row>
    <row r="27" spans="1:8">
      <c r="A27" s="19" t="s">
        <v>60</v>
      </c>
      <c r="B27" s="20" t="s">
        <v>61</v>
      </c>
      <c r="C27" s="19" t="s">
        <v>12</v>
      </c>
      <c r="D27" s="19" t="s">
        <v>62</v>
      </c>
      <c r="E27" s="21">
        <v>17173414283</v>
      </c>
      <c r="F27" s="21">
        <v>14478657436</v>
      </c>
      <c r="G27" s="21">
        <v>12170310936</v>
      </c>
      <c r="H27" s="21">
        <v>10708013209</v>
      </c>
    </row>
    <row r="28" spans="1:8">
      <c r="A28" s="16" t="s">
        <v>63</v>
      </c>
      <c r="B28" s="17" t="s">
        <v>64</v>
      </c>
      <c r="C28" s="16"/>
      <c r="D28" s="16"/>
      <c r="E28" s="18">
        <v>9711814628</v>
      </c>
      <c r="F28" s="18">
        <v>949868131</v>
      </c>
      <c r="G28" s="18">
        <f>G25+G26-G27</f>
        <v>-1802131933</v>
      </c>
      <c r="H28" s="18">
        <f>H25+H26-H27</f>
        <v>18144421494</v>
      </c>
    </row>
    <row r="29" spans="1:8">
      <c r="A29" s="11" t="s">
        <v>65</v>
      </c>
      <c r="B29" s="12" t="s">
        <v>66</v>
      </c>
      <c r="C29" s="11" t="s">
        <v>9</v>
      </c>
      <c r="D29" s="11">
        <v>29</v>
      </c>
      <c r="E29" s="13">
        <v>1711973396</v>
      </c>
      <c r="F29" s="13">
        <v>1220856</v>
      </c>
      <c r="G29" s="13">
        <v>111713634</v>
      </c>
      <c r="H29" s="13">
        <v>107334723</v>
      </c>
    </row>
    <row r="30" spans="1:8">
      <c r="A30" s="11" t="s">
        <v>67</v>
      </c>
      <c r="B30" s="12" t="s">
        <v>68</v>
      </c>
      <c r="C30" s="11" t="s">
        <v>9</v>
      </c>
      <c r="D30" s="11">
        <v>28</v>
      </c>
      <c r="E30" s="13"/>
      <c r="F30" s="13"/>
      <c r="G30" s="13"/>
      <c r="H30" s="13">
        <v>45000000</v>
      </c>
    </row>
    <row r="31" spans="1:8">
      <c r="A31" s="11" t="s">
        <v>69</v>
      </c>
      <c r="B31" s="12" t="s">
        <v>70</v>
      </c>
      <c r="C31" s="11" t="s">
        <v>9</v>
      </c>
      <c r="D31" s="11">
        <v>12</v>
      </c>
      <c r="E31" s="13"/>
      <c r="F31" s="13"/>
      <c r="G31" s="13"/>
      <c r="H31" s="13"/>
    </row>
    <row r="32" spans="1:8">
      <c r="A32" s="11" t="s">
        <v>71</v>
      </c>
      <c r="B32" s="12" t="s">
        <v>72</v>
      </c>
      <c r="C32" s="11" t="s">
        <v>12</v>
      </c>
      <c r="D32" s="11">
        <v>29</v>
      </c>
      <c r="E32" s="13">
        <v>2651284570</v>
      </c>
      <c r="F32" s="13">
        <v>2071381762</v>
      </c>
      <c r="G32" s="13">
        <v>3016282289</v>
      </c>
      <c r="H32" s="13">
        <v>2250160921</v>
      </c>
    </row>
    <row r="33" spans="1:8">
      <c r="A33" s="11" t="s">
        <v>73</v>
      </c>
      <c r="B33" s="12" t="s">
        <v>74</v>
      </c>
      <c r="C33" s="11" t="s">
        <v>12</v>
      </c>
      <c r="D33" s="11" t="s">
        <v>62</v>
      </c>
      <c r="E33" s="13">
        <v>202824610</v>
      </c>
      <c r="F33" s="13">
        <v>198870629</v>
      </c>
      <c r="G33" s="13">
        <v>174970510</v>
      </c>
      <c r="H33" s="13">
        <v>208506055</v>
      </c>
    </row>
    <row r="34" spans="1:8">
      <c r="A34" s="16" t="s">
        <v>75</v>
      </c>
      <c r="B34" s="17" t="s">
        <v>76</v>
      </c>
      <c r="C34" s="16"/>
      <c r="D34" s="16"/>
      <c r="E34" s="18">
        <v>-1142135784</v>
      </c>
      <c r="F34" s="18">
        <v>-2269031535</v>
      </c>
      <c r="G34" s="18">
        <f>G29+G30+G31-G32-G33</f>
        <v>-3079539165</v>
      </c>
      <c r="H34" s="18">
        <f>H29+H30+H31-H32-H33</f>
        <v>-2306332253</v>
      </c>
    </row>
    <row r="35" spans="1:8">
      <c r="A35" s="22" t="s">
        <v>77</v>
      </c>
      <c r="B35" s="23" t="s">
        <v>78</v>
      </c>
      <c r="C35" s="22"/>
      <c r="D35" s="22"/>
      <c r="E35" s="24">
        <v>8569678844</v>
      </c>
      <c r="F35" s="24">
        <v>-1319163404</v>
      </c>
      <c r="G35" s="24">
        <f>G28+G34</f>
        <v>-4881671098</v>
      </c>
      <c r="H35" s="24">
        <f>H28+H34</f>
        <v>15838089241</v>
      </c>
    </row>
    <row r="36" spans="1:8">
      <c r="A36" s="11" t="s">
        <v>79</v>
      </c>
      <c r="B36" s="12" t="s">
        <v>80</v>
      </c>
      <c r="C36" s="11" t="s">
        <v>9</v>
      </c>
      <c r="D36" s="11" t="s">
        <v>81</v>
      </c>
      <c r="E36" s="13">
        <v>25535496000</v>
      </c>
      <c r="F36" s="13"/>
      <c r="G36" s="13"/>
      <c r="H36" s="13">
        <v>60000</v>
      </c>
    </row>
    <row r="37" spans="1:8">
      <c r="A37" s="11" t="s">
        <v>82</v>
      </c>
      <c r="B37" s="12" t="s">
        <v>83</v>
      </c>
      <c r="C37" s="11" t="s">
        <v>9</v>
      </c>
      <c r="D37" s="11">
        <v>30</v>
      </c>
      <c r="E37" s="13"/>
      <c r="F37" s="13"/>
      <c r="G37" s="13"/>
      <c r="H37" s="13"/>
    </row>
    <row r="38" spans="1:8">
      <c r="A38" s="11" t="s">
        <v>84</v>
      </c>
      <c r="B38" s="12" t="s">
        <v>85</v>
      </c>
      <c r="C38" s="11" t="s">
        <v>12</v>
      </c>
      <c r="D38" s="11" t="s">
        <v>81</v>
      </c>
      <c r="E38" s="13">
        <v>3758447033</v>
      </c>
      <c r="F38" s="13"/>
      <c r="G38" s="13"/>
      <c r="H38" s="13">
        <v>4720068</v>
      </c>
    </row>
    <row r="39" spans="1:8">
      <c r="A39" s="11" t="s">
        <v>86</v>
      </c>
      <c r="B39" s="12" t="s">
        <v>87</v>
      </c>
      <c r="C39" s="11" t="s">
        <v>12</v>
      </c>
      <c r="D39" s="11">
        <v>30</v>
      </c>
      <c r="E39" s="13">
        <v>12823647730</v>
      </c>
      <c r="F39" s="13">
        <v>779697573</v>
      </c>
      <c r="G39" s="13">
        <v>1212888860</v>
      </c>
      <c r="H39" s="13">
        <v>978741990</v>
      </c>
    </row>
    <row r="40" spans="1:8">
      <c r="A40" s="22" t="s">
        <v>88</v>
      </c>
      <c r="B40" s="23" t="s">
        <v>89</v>
      </c>
      <c r="C40" s="22"/>
      <c r="D40" s="22"/>
      <c r="E40" s="24">
        <v>8953401237</v>
      </c>
      <c r="F40" s="24">
        <v>-779697573</v>
      </c>
      <c r="G40" s="24">
        <f>G36+G37-G38-G39</f>
        <v>-1212888860</v>
      </c>
      <c r="H40" s="24">
        <f>H36+H37-H38-H39</f>
        <v>-983402058</v>
      </c>
    </row>
    <row r="41" spans="1:8">
      <c r="A41" s="11" t="s">
        <v>90</v>
      </c>
      <c r="B41" s="12" t="s">
        <v>91</v>
      </c>
      <c r="C41" s="11" t="s">
        <v>12</v>
      </c>
      <c r="D41" s="11">
        <v>30</v>
      </c>
      <c r="E41" s="13"/>
      <c r="F41" s="13"/>
      <c r="G41" s="13"/>
      <c r="H41" s="13"/>
    </row>
    <row r="42" spans="1:8">
      <c r="A42" s="11" t="s">
        <v>92</v>
      </c>
      <c r="B42" s="12" t="s">
        <v>93</v>
      </c>
      <c r="C42" s="11" t="s">
        <v>12</v>
      </c>
      <c r="D42" s="11"/>
      <c r="E42" s="13"/>
      <c r="F42" s="13"/>
      <c r="G42" s="13">
        <v>-2497318846</v>
      </c>
      <c r="H42" s="13">
        <v>2497318846</v>
      </c>
    </row>
    <row r="43" spans="1:8">
      <c r="A43" s="16" t="s">
        <v>94</v>
      </c>
      <c r="B43" s="17" t="s">
        <v>95</v>
      </c>
      <c r="C43" s="16"/>
      <c r="D43" s="16"/>
      <c r="E43" s="18">
        <v>17523080081</v>
      </c>
      <c r="F43" s="18">
        <v>-2098860977</v>
      </c>
      <c r="G43" s="18">
        <f>G35+G40+G41-G42</f>
        <v>-3597241112</v>
      </c>
      <c r="H43" s="18">
        <f>H35+H40+H41-H42</f>
        <v>12357368337</v>
      </c>
    </row>
    <row r="47" spans="1:8">
      <c r="B47" s="29"/>
      <c r="C47" s="29"/>
    </row>
    <row r="48" spans="1:8">
      <c r="B48" s="29"/>
      <c r="C48" s="29"/>
    </row>
    <row r="49" spans="2:8">
      <c r="B49" s="29"/>
      <c r="C49" s="29"/>
    </row>
    <row r="52" spans="2:8">
      <c r="B52" s="29"/>
      <c r="C52" s="29"/>
    </row>
    <row r="53" spans="2:8">
      <c r="B53" s="29"/>
      <c r="C53" s="29"/>
    </row>
    <row r="56" spans="2:8">
      <c r="G56" s="30"/>
      <c r="H56" s="30"/>
    </row>
    <row r="57" spans="2:8">
      <c r="G57" s="30"/>
      <c r="H57" s="30"/>
    </row>
    <row r="58" spans="2:8">
      <c r="G58" s="30"/>
      <c r="H58" s="30"/>
    </row>
    <row r="59" spans="2:8">
      <c r="G59" s="30"/>
      <c r="H59" s="30"/>
    </row>
    <row r="60" spans="2:8">
      <c r="G60" s="30"/>
      <c r="H60" s="30"/>
    </row>
    <row r="61" spans="2:8">
      <c r="G61" s="30"/>
      <c r="H61" s="30"/>
    </row>
    <row r="62" spans="2:8">
      <c r="G62" s="30"/>
      <c r="H62" s="30"/>
    </row>
    <row r="63" spans="2:8">
      <c r="G63" s="30"/>
      <c r="H63" s="30"/>
    </row>
    <row r="64" spans="2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E2:H43" xr:uid="{13F6993E-99F3-4E06-9FF6-716974F2D9BF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I43"/>
  <sheetViews>
    <sheetView workbookViewId="0">
      <selection activeCell="B9" sqref="B9"/>
    </sheetView>
  </sheetViews>
  <sheetFormatPr baseColWidth="10" defaultColWidth="9.140625" defaultRowHeight="15"/>
  <cols>
    <col min="1" max="1" width="9" bestFit="1" customWidth="1"/>
    <col min="2" max="2" width="24" customWidth="1"/>
    <col min="6" max="7" width="16.7109375" bestFit="1" customWidth="1"/>
    <col min="8" max="9" width="16.7109375" customWidth="1"/>
  </cols>
  <sheetData>
    <row r="1" spans="1:9">
      <c r="A1" s="5" t="s">
        <v>4</v>
      </c>
      <c r="B1" s="6" t="s">
        <v>5</v>
      </c>
      <c r="C1" s="5"/>
      <c r="D1" s="5" t="s">
        <v>6</v>
      </c>
      <c r="E1" s="5"/>
      <c r="F1" s="7">
        <v>2024</v>
      </c>
      <c r="G1" s="7">
        <v>2023</v>
      </c>
      <c r="H1" s="7">
        <v>2022</v>
      </c>
      <c r="I1" s="7">
        <v>2021</v>
      </c>
    </row>
    <row r="2" spans="1:9">
      <c r="A2" s="8" t="s">
        <v>7</v>
      </c>
      <c r="B2" s="9" t="s">
        <v>8</v>
      </c>
      <c r="C2" s="8" t="s">
        <v>9</v>
      </c>
      <c r="D2" s="8">
        <v>21</v>
      </c>
      <c r="E2" s="8"/>
      <c r="F2" s="10"/>
      <c r="G2" s="10"/>
      <c r="H2" s="10"/>
      <c r="I2" s="10"/>
    </row>
    <row r="3" spans="1:9">
      <c r="A3" s="11" t="s">
        <v>10</v>
      </c>
      <c r="B3" s="12" t="s">
        <v>11</v>
      </c>
      <c r="C3" s="11" t="s">
        <v>12</v>
      </c>
      <c r="D3" s="11">
        <v>22</v>
      </c>
      <c r="E3" s="11"/>
      <c r="F3" s="13"/>
      <c r="G3" s="13"/>
      <c r="H3" s="13"/>
      <c r="I3" s="13"/>
    </row>
    <row r="4" spans="1:9">
      <c r="A4" s="11" t="s">
        <v>13</v>
      </c>
      <c r="B4" s="14" t="s">
        <v>14</v>
      </c>
      <c r="C4" s="15" t="s">
        <v>15</v>
      </c>
      <c r="D4" s="15">
        <v>6</v>
      </c>
      <c r="E4" s="15"/>
      <c r="F4" s="13"/>
      <c r="G4" s="13"/>
      <c r="H4" s="13"/>
      <c r="I4" s="13"/>
    </row>
    <row r="5" spans="1:9">
      <c r="A5" s="16" t="s">
        <v>16</v>
      </c>
      <c r="B5" s="17" t="s">
        <v>17</v>
      </c>
      <c r="C5" s="16"/>
      <c r="D5" s="16"/>
      <c r="E5" s="16"/>
      <c r="F5" s="18"/>
      <c r="G5" s="18"/>
      <c r="H5" s="18"/>
      <c r="I5" s="18"/>
    </row>
    <row r="6" spans="1:9">
      <c r="A6" s="11" t="s">
        <v>18</v>
      </c>
      <c r="B6" s="12" t="s">
        <v>19</v>
      </c>
      <c r="C6" s="11" t="s">
        <v>9</v>
      </c>
      <c r="D6" s="11">
        <v>21</v>
      </c>
      <c r="E6" s="11"/>
      <c r="F6" s="13"/>
      <c r="G6" s="13"/>
      <c r="H6" s="13"/>
      <c r="I6" s="13"/>
    </row>
    <row r="7" spans="1:9">
      <c r="A7" s="11" t="s">
        <v>20</v>
      </c>
      <c r="B7" s="12" t="s">
        <v>21</v>
      </c>
      <c r="C7" s="11" t="s">
        <v>9</v>
      </c>
      <c r="D7" s="11">
        <v>21</v>
      </c>
      <c r="E7" s="11"/>
      <c r="F7" s="13"/>
      <c r="G7" s="13"/>
      <c r="H7" s="13"/>
      <c r="I7" s="13"/>
    </row>
    <row r="8" spans="1:9">
      <c r="A8" s="11" t="s">
        <v>22</v>
      </c>
      <c r="B8" s="12" t="s">
        <v>23</v>
      </c>
      <c r="C8" s="11" t="s">
        <v>9</v>
      </c>
      <c r="D8" s="11">
        <v>21</v>
      </c>
      <c r="E8" s="11"/>
      <c r="F8" s="13"/>
      <c r="G8" s="13"/>
      <c r="H8" s="13"/>
      <c r="I8" s="13"/>
    </row>
    <row r="9" spans="1:9">
      <c r="A9" s="16" t="s">
        <v>24</v>
      </c>
      <c r="B9" s="17" t="s">
        <v>25</v>
      </c>
      <c r="C9" s="16"/>
      <c r="D9" s="16"/>
      <c r="E9" s="16"/>
      <c r="F9" s="18"/>
      <c r="G9" s="18"/>
      <c r="H9" s="18"/>
      <c r="I9" s="18"/>
    </row>
    <row r="10" spans="1:9">
      <c r="A10" s="11" t="s">
        <v>26</v>
      </c>
      <c r="B10" s="12" t="s">
        <v>27</v>
      </c>
      <c r="C10" s="15" t="s">
        <v>15</v>
      </c>
      <c r="D10" s="11">
        <v>6</v>
      </c>
      <c r="E10" s="11"/>
      <c r="F10" s="13"/>
      <c r="G10" s="13"/>
      <c r="H10" s="13"/>
      <c r="I10" s="13"/>
    </row>
    <row r="11" spans="1:9">
      <c r="A11" s="11" t="s">
        <v>28</v>
      </c>
      <c r="B11" s="12" t="s">
        <v>29</v>
      </c>
      <c r="C11" s="11"/>
      <c r="D11" s="11">
        <v>21</v>
      </c>
      <c r="E11" s="11"/>
      <c r="F11" s="13"/>
      <c r="G11" s="13"/>
      <c r="H11" s="13"/>
      <c r="I11" s="13"/>
    </row>
    <row r="12" spans="1:9">
      <c r="A12" s="11" t="s">
        <v>30</v>
      </c>
      <c r="B12" s="12" t="s">
        <v>31</v>
      </c>
      <c r="C12" s="11"/>
      <c r="D12" s="11">
        <v>21</v>
      </c>
      <c r="E12" s="11"/>
      <c r="F12" s="13"/>
      <c r="G12" s="13"/>
      <c r="H12" s="13"/>
      <c r="I12" s="13"/>
    </row>
    <row r="13" spans="1:9">
      <c r="A13" s="11" t="s">
        <v>32</v>
      </c>
      <c r="B13" s="12" t="s">
        <v>33</v>
      </c>
      <c r="C13" s="11" t="s">
        <v>9</v>
      </c>
      <c r="D13" s="11">
        <v>21</v>
      </c>
      <c r="E13" s="11"/>
      <c r="F13" s="13">
        <v>65622333340</v>
      </c>
      <c r="G13" s="13">
        <v>29451422956</v>
      </c>
      <c r="H13" s="13"/>
      <c r="I13" s="13"/>
    </row>
    <row r="14" spans="1:9">
      <c r="A14" s="19" t="s">
        <v>34</v>
      </c>
      <c r="B14" s="20" t="s">
        <v>35</v>
      </c>
      <c r="C14" s="19" t="s">
        <v>9</v>
      </c>
      <c r="D14" s="19">
        <v>12</v>
      </c>
      <c r="E14" s="19"/>
      <c r="F14" s="21">
        <v>330683633109</v>
      </c>
      <c r="G14" s="21">
        <v>227337887846</v>
      </c>
      <c r="H14" s="21"/>
      <c r="I14" s="21"/>
    </row>
    <row r="15" spans="1:9">
      <c r="A15" s="11" t="s">
        <v>36</v>
      </c>
      <c r="B15" s="12" t="s">
        <v>37</v>
      </c>
      <c r="C15" s="11" t="s">
        <v>12</v>
      </c>
      <c r="D15" s="11">
        <v>22</v>
      </c>
      <c r="E15" s="11"/>
      <c r="F15" s="13">
        <v>0</v>
      </c>
      <c r="G15" s="13"/>
      <c r="H15" s="13"/>
      <c r="I15" s="13"/>
    </row>
    <row r="16" spans="1:9">
      <c r="A16" s="11" t="s">
        <v>38</v>
      </c>
      <c r="B16" s="14" t="s">
        <v>39</v>
      </c>
      <c r="C16" s="15" t="s">
        <v>15</v>
      </c>
      <c r="D16" s="11">
        <v>6</v>
      </c>
      <c r="E16" s="11"/>
      <c r="F16" s="13">
        <v>0</v>
      </c>
      <c r="G16" s="13"/>
      <c r="H16" s="13"/>
      <c r="I16" s="13"/>
    </row>
    <row r="17" spans="1:9">
      <c r="A17" s="11" t="s">
        <v>40</v>
      </c>
      <c r="B17" s="12" t="s">
        <v>41</v>
      </c>
      <c r="C17" s="11" t="s">
        <v>12</v>
      </c>
      <c r="D17" s="11">
        <v>22</v>
      </c>
      <c r="E17" s="11"/>
      <c r="F17" s="13">
        <v>-87568982052</v>
      </c>
      <c r="G17" s="13">
        <v>-3526394713</v>
      </c>
      <c r="H17" s="13"/>
      <c r="I17" s="13"/>
    </row>
    <row r="18" spans="1:9">
      <c r="A18" s="11" t="s">
        <v>42</v>
      </c>
      <c r="B18" s="14" t="s">
        <v>43</v>
      </c>
      <c r="C18" s="15" t="s">
        <v>15</v>
      </c>
      <c r="D18" s="11">
        <v>6</v>
      </c>
      <c r="E18" s="11"/>
      <c r="F18" s="13">
        <v>0</v>
      </c>
      <c r="G18" s="13"/>
      <c r="H18" s="13"/>
      <c r="I18" s="13"/>
    </row>
    <row r="19" spans="1:9">
      <c r="A19" s="11" t="s">
        <v>44</v>
      </c>
      <c r="B19" s="12" t="s">
        <v>45</v>
      </c>
      <c r="C19" s="11" t="s">
        <v>12</v>
      </c>
      <c r="D19" s="11">
        <v>23</v>
      </c>
      <c r="E19" s="11"/>
      <c r="F19" s="13">
        <v>-2165578529</v>
      </c>
      <c r="G19" s="13">
        <v>-1230374694</v>
      </c>
      <c r="H19" s="13"/>
      <c r="I19" s="13"/>
    </row>
    <row r="20" spans="1:9">
      <c r="A20" s="11" t="s">
        <v>46</v>
      </c>
      <c r="B20" s="12" t="s">
        <v>47</v>
      </c>
      <c r="C20" s="11" t="s">
        <v>12</v>
      </c>
      <c r="D20" s="11">
        <v>24</v>
      </c>
      <c r="E20" s="11"/>
      <c r="F20" s="13">
        <v>-297596047735</v>
      </c>
      <c r="G20" s="13">
        <v>-243636854441</v>
      </c>
      <c r="H20" s="13"/>
      <c r="I20" s="13"/>
    </row>
    <row r="21" spans="1:9">
      <c r="A21" s="11" t="s">
        <v>48</v>
      </c>
      <c r="B21" s="12" t="s">
        <v>49</v>
      </c>
      <c r="C21" s="11" t="s">
        <v>12</v>
      </c>
      <c r="D21" s="11">
        <v>25</v>
      </c>
      <c r="E21" s="11"/>
      <c r="F21" s="13">
        <v>-2917019660</v>
      </c>
      <c r="G21" s="13">
        <v>-997401988</v>
      </c>
      <c r="H21" s="13"/>
      <c r="I21" s="13"/>
    </row>
    <row r="22" spans="1:9">
      <c r="A22" s="11" t="s">
        <v>50</v>
      </c>
      <c r="B22" s="12" t="s">
        <v>51</v>
      </c>
      <c r="C22" s="11" t="s">
        <v>12</v>
      </c>
      <c r="D22" s="11">
        <v>26</v>
      </c>
      <c r="E22" s="11"/>
      <c r="F22" s="13">
        <v>-2938842171</v>
      </c>
      <c r="G22" s="13">
        <v>-1464607258</v>
      </c>
      <c r="H22" s="13"/>
      <c r="I22" s="13"/>
    </row>
    <row r="23" spans="1:9">
      <c r="A23" s="16" t="s">
        <v>52</v>
      </c>
      <c r="B23" s="17" t="s">
        <v>53</v>
      </c>
      <c r="C23" s="16"/>
      <c r="D23" s="16"/>
      <c r="E23" s="16"/>
      <c r="F23" s="18">
        <f>SUM(F10:F22)</f>
        <v>3119496302</v>
      </c>
      <c r="G23" s="18">
        <f>SUM(G10:G22)</f>
        <v>5933677708</v>
      </c>
      <c r="H23" s="18"/>
      <c r="I23" s="18"/>
    </row>
    <row r="24" spans="1:9">
      <c r="A24" s="11" t="s">
        <v>54</v>
      </c>
      <c r="B24" s="12" t="s">
        <v>55</v>
      </c>
      <c r="C24" s="11" t="s">
        <v>12</v>
      </c>
      <c r="D24" s="11">
        <v>27</v>
      </c>
      <c r="E24" s="11"/>
      <c r="F24" s="13">
        <v>-36970372772</v>
      </c>
      <c r="G24" s="13">
        <v>-20776813944</v>
      </c>
      <c r="H24" s="13"/>
      <c r="I24" s="13"/>
    </row>
    <row r="25" spans="1:9">
      <c r="A25" s="16" t="s">
        <v>56</v>
      </c>
      <c r="B25" s="17" t="s">
        <v>57</v>
      </c>
      <c r="C25" s="16"/>
      <c r="D25" s="16"/>
      <c r="E25" s="16"/>
      <c r="F25" s="18">
        <f>+F23+F24</f>
        <v>-33850876470</v>
      </c>
      <c r="G25" s="18">
        <f>+G23+G24</f>
        <v>-14843136236</v>
      </c>
      <c r="H25" s="18"/>
      <c r="I25" s="18"/>
    </row>
    <row r="26" spans="1:9">
      <c r="A26" s="11" t="s">
        <v>58</v>
      </c>
      <c r="B26" s="12" t="s">
        <v>59</v>
      </c>
      <c r="C26" s="11" t="s">
        <v>9</v>
      </c>
      <c r="D26" s="11">
        <v>28</v>
      </c>
      <c r="E26" s="11"/>
      <c r="F26" s="13"/>
      <c r="G26" s="13"/>
      <c r="H26" s="13"/>
      <c r="I26" s="13"/>
    </row>
    <row r="27" spans="1:9">
      <c r="A27" s="19" t="s">
        <v>60</v>
      </c>
      <c r="B27" s="20" t="s">
        <v>61</v>
      </c>
      <c r="C27" s="19" t="s">
        <v>12</v>
      </c>
      <c r="D27" s="19" t="s">
        <v>62</v>
      </c>
      <c r="E27" s="19"/>
      <c r="F27" s="21">
        <v>-406497759063</v>
      </c>
      <c r="G27" s="21">
        <v>-329782576463</v>
      </c>
      <c r="H27" s="21"/>
      <c r="I27" s="21"/>
    </row>
    <row r="28" spans="1:9">
      <c r="A28" s="16" t="s">
        <v>63</v>
      </c>
      <c r="B28" s="17" t="s">
        <v>64</v>
      </c>
      <c r="C28" s="16"/>
      <c r="D28" s="16"/>
      <c r="E28" s="16"/>
      <c r="F28" s="18">
        <f>+F25+F26+F27</f>
        <v>-440348635533</v>
      </c>
      <c r="G28" s="18">
        <f>+G25+G26+G27</f>
        <v>-344625712699</v>
      </c>
      <c r="H28" s="18"/>
      <c r="I28" s="18"/>
    </row>
    <row r="29" spans="1:9">
      <c r="A29" s="11" t="s">
        <v>65</v>
      </c>
      <c r="B29" s="12" t="s">
        <v>66</v>
      </c>
      <c r="C29" s="11" t="s">
        <v>9</v>
      </c>
      <c r="D29" s="11">
        <v>29</v>
      </c>
      <c r="E29" s="11"/>
      <c r="F29" s="13">
        <v>1369726877</v>
      </c>
      <c r="G29" s="13">
        <v>1304961305</v>
      </c>
      <c r="H29" s="13"/>
      <c r="I29" s="13"/>
    </row>
    <row r="30" spans="1:9">
      <c r="A30" s="11" t="s">
        <v>67</v>
      </c>
      <c r="B30" s="12" t="s">
        <v>68</v>
      </c>
      <c r="C30" s="11" t="s">
        <v>9</v>
      </c>
      <c r="D30" s="11">
        <v>28</v>
      </c>
      <c r="E30" s="11"/>
      <c r="F30" s="13">
        <v>0</v>
      </c>
      <c r="G30" s="13"/>
      <c r="H30" s="13"/>
      <c r="I30" s="13"/>
    </row>
    <row r="31" spans="1:9">
      <c r="A31" s="11" t="s">
        <v>69</v>
      </c>
      <c r="B31" s="12" t="s">
        <v>70</v>
      </c>
      <c r="C31" s="11" t="s">
        <v>9</v>
      </c>
      <c r="D31" s="11">
        <v>12</v>
      </c>
      <c r="E31" s="11"/>
      <c r="F31" s="13">
        <v>0</v>
      </c>
      <c r="G31" s="13"/>
      <c r="H31" s="13"/>
      <c r="I31" s="13"/>
    </row>
    <row r="32" spans="1:9">
      <c r="A32" s="11" t="s">
        <v>71</v>
      </c>
      <c r="B32" s="12" t="s">
        <v>72</v>
      </c>
      <c r="C32" s="11" t="s">
        <v>12</v>
      </c>
      <c r="D32" s="11">
        <v>29</v>
      </c>
      <c r="E32" s="11"/>
      <c r="F32" s="13">
        <v>-87159583259</v>
      </c>
      <c r="G32" s="13">
        <v>-53027838152</v>
      </c>
      <c r="H32" s="13"/>
      <c r="I32" s="13"/>
    </row>
    <row r="33" spans="1:9">
      <c r="A33" s="11" t="s">
        <v>73</v>
      </c>
      <c r="B33" s="12" t="s">
        <v>74</v>
      </c>
      <c r="C33" s="11" t="s">
        <v>12</v>
      </c>
      <c r="D33" s="11" t="s">
        <v>62</v>
      </c>
      <c r="E33" s="11"/>
      <c r="F33" s="13">
        <v>0</v>
      </c>
      <c r="G33" s="13"/>
      <c r="H33" s="13"/>
      <c r="I33" s="13"/>
    </row>
    <row r="34" spans="1:9">
      <c r="A34" s="16" t="s">
        <v>75</v>
      </c>
      <c r="B34" s="17" t="s">
        <v>76</v>
      </c>
      <c r="C34" s="16"/>
      <c r="D34" s="16"/>
      <c r="E34" s="16"/>
      <c r="F34" s="18">
        <f>SUM(F29:F33)</f>
        <v>-85789856382</v>
      </c>
      <c r="G34" s="18">
        <f>SUM(G29:G33)</f>
        <v>-51722876847</v>
      </c>
      <c r="H34" s="18"/>
      <c r="I34" s="18"/>
    </row>
    <row r="35" spans="1:9">
      <c r="A35" s="22" t="s">
        <v>77</v>
      </c>
      <c r="B35" s="23" t="s">
        <v>78</v>
      </c>
      <c r="C35" s="22"/>
      <c r="D35" s="22"/>
      <c r="E35" s="22"/>
      <c r="F35" s="24">
        <f>+F28+F34</f>
        <v>-526138491915</v>
      </c>
      <c r="G35" s="24">
        <f>+G28+G34</f>
        <v>-396348589546</v>
      </c>
      <c r="H35" s="24"/>
      <c r="I35" s="24"/>
    </row>
    <row r="36" spans="1:9">
      <c r="A36" s="11" t="s">
        <v>79</v>
      </c>
      <c r="B36" s="12" t="s">
        <v>80</v>
      </c>
      <c r="C36" s="11" t="s">
        <v>9</v>
      </c>
      <c r="D36" s="11" t="s">
        <v>81</v>
      </c>
      <c r="E36" s="11"/>
      <c r="F36" s="13"/>
      <c r="G36" s="13"/>
      <c r="H36" s="13"/>
      <c r="I36" s="13"/>
    </row>
    <row r="37" spans="1:9">
      <c r="A37" s="11" t="s">
        <v>82</v>
      </c>
      <c r="B37" s="12" t="s">
        <v>83</v>
      </c>
      <c r="C37" s="11" t="s">
        <v>9</v>
      </c>
      <c r="D37" s="11">
        <v>30</v>
      </c>
      <c r="E37" s="11"/>
      <c r="F37" s="13">
        <v>453476563</v>
      </c>
      <c r="G37" s="13">
        <v>16394527194</v>
      </c>
      <c r="H37" s="13"/>
      <c r="I37" s="13"/>
    </row>
    <row r="38" spans="1:9">
      <c r="A38" s="11" t="s">
        <v>84</v>
      </c>
      <c r="B38" s="12" t="s">
        <v>85</v>
      </c>
      <c r="C38" s="11" t="s">
        <v>12</v>
      </c>
      <c r="D38" s="11" t="s">
        <v>81</v>
      </c>
      <c r="E38" s="11"/>
      <c r="F38" s="13">
        <v>42850163</v>
      </c>
      <c r="G38" s="13">
        <v>-203497705675</v>
      </c>
      <c r="H38" s="13"/>
      <c r="I38" s="13"/>
    </row>
    <row r="39" spans="1:9">
      <c r="A39" s="11" t="s">
        <v>86</v>
      </c>
      <c r="B39" s="12" t="s">
        <v>87</v>
      </c>
      <c r="C39" s="11" t="s">
        <v>12</v>
      </c>
      <c r="D39" s="11">
        <v>30</v>
      </c>
      <c r="E39" s="11"/>
      <c r="F39" s="13"/>
      <c r="G39" s="13"/>
      <c r="H39" s="13"/>
      <c r="I39" s="13"/>
    </row>
    <row r="40" spans="1:9">
      <c r="A40" s="22" t="s">
        <v>88</v>
      </c>
      <c r="B40" s="23" t="s">
        <v>89</v>
      </c>
      <c r="C40" s="22"/>
      <c r="D40" s="22"/>
      <c r="E40" s="22"/>
      <c r="F40" s="24">
        <f>SUM(F36:F39)</f>
        <v>496326726</v>
      </c>
      <c r="G40" s="24">
        <f>SUM(G36:G39)</f>
        <v>-187103178481</v>
      </c>
      <c r="H40" s="24"/>
      <c r="I40" s="24"/>
    </row>
    <row r="41" spans="1:9">
      <c r="A41" s="11" t="s">
        <v>90</v>
      </c>
      <c r="B41" s="12" t="s">
        <v>91</v>
      </c>
      <c r="C41" s="11" t="s">
        <v>12</v>
      </c>
      <c r="D41" s="11">
        <v>30</v>
      </c>
      <c r="E41" s="11"/>
      <c r="F41" s="13"/>
      <c r="G41" s="13"/>
      <c r="H41" s="13"/>
      <c r="I41" s="13"/>
    </row>
    <row r="42" spans="1:9">
      <c r="A42" s="11" t="s">
        <v>92</v>
      </c>
      <c r="B42" s="12" t="s">
        <v>93</v>
      </c>
      <c r="C42" s="11" t="s">
        <v>12</v>
      </c>
      <c r="D42" s="11"/>
      <c r="E42" s="11"/>
      <c r="F42" s="13"/>
      <c r="G42" s="13"/>
      <c r="H42" s="13"/>
      <c r="I42" s="13"/>
    </row>
    <row r="43" spans="1:9">
      <c r="A43" s="16" t="s">
        <v>94</v>
      </c>
      <c r="B43" s="17" t="s">
        <v>95</v>
      </c>
      <c r="C43" s="16"/>
      <c r="D43" s="16"/>
      <c r="E43" s="16"/>
      <c r="F43" s="18">
        <f>+F35+F40</f>
        <v>-525642165189</v>
      </c>
      <c r="G43" s="18">
        <f>+G35+G40</f>
        <v>-583451768027</v>
      </c>
      <c r="H43" s="18"/>
      <c r="I43" s="18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F2:I43" xr:uid="{DFD4204E-9473-4E4F-97DA-8A39FA7843FA}"/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30D9-3C6C-4946-8A53-9A7AC5718306}">
  <sheetPr>
    <tabColor theme="7"/>
  </sheetPr>
  <dimension ref="A1:H84"/>
  <sheetViews>
    <sheetView tabSelected="1" workbookViewId="0">
      <selection activeCell="I7" sqref="I7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9.140625" style="28" customWidth="1" collapsed="1"/>
  </cols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96</v>
      </c>
      <c r="B3" s="71"/>
      <c r="C3" s="71"/>
      <c r="D3" s="1" t="s">
        <v>1</v>
      </c>
      <c r="E3" s="1"/>
      <c r="F3" s="1"/>
      <c r="G3" s="72">
        <f>+'[5]Fiche de renseignement R1'!$V$10</f>
        <v>44926</v>
      </c>
      <c r="H3" s="73"/>
    </row>
    <row r="4" spans="1:8">
      <c r="A4" s="73" t="s">
        <v>127</v>
      </c>
      <c r="B4" s="73"/>
      <c r="C4" s="73"/>
      <c r="D4" s="74" t="s">
        <v>2</v>
      </c>
      <c r="E4" s="25"/>
      <c r="F4" s="25"/>
      <c r="G4" s="75">
        <f>+'[5]Fiche de renseignement R1'!$AH$10</f>
        <v>12</v>
      </c>
      <c r="H4" s="75"/>
    </row>
    <row r="5" spans="1:8" ht="38.25">
      <c r="A5" s="4" t="s">
        <v>3</v>
      </c>
      <c r="B5" s="76" t="str">
        <f>+'[5]Fiche de renseignement R1'!$J$10</f>
        <v xml:space="preserve">000022955  </v>
      </c>
      <c r="C5" s="76"/>
      <c r="D5" s="74"/>
      <c r="E5" s="25"/>
      <c r="F5" s="25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5">
        <v>2024</v>
      </c>
      <c r="F7" s="5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8"/>
      <c r="F8" s="8"/>
      <c r="G8" s="10">
        <v>0</v>
      </c>
      <c r="H8" s="10">
        <v>0</v>
      </c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1"/>
      <c r="F9" s="11"/>
      <c r="G9" s="13">
        <v>0</v>
      </c>
      <c r="H9" s="13">
        <v>0</v>
      </c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5"/>
      <c r="F10" s="15"/>
      <c r="G10" s="13">
        <v>0</v>
      </c>
      <c r="H10" s="13">
        <v>0</v>
      </c>
    </row>
    <row r="11" spans="1:8">
      <c r="A11" s="16" t="s">
        <v>16</v>
      </c>
      <c r="B11" s="17" t="s">
        <v>17</v>
      </c>
      <c r="C11" s="16"/>
      <c r="D11" s="16"/>
      <c r="E11" s="16"/>
      <c r="F11" s="16"/>
      <c r="G11" s="18">
        <v>0</v>
      </c>
      <c r="H11" s="18">
        <v>0</v>
      </c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1"/>
      <c r="F12" s="11"/>
      <c r="G12" s="13">
        <v>565991767063</v>
      </c>
      <c r="H12" s="13">
        <v>344468573096</v>
      </c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1"/>
      <c r="F13" s="11"/>
      <c r="G13" s="13">
        <v>0</v>
      </c>
      <c r="H13" s="13">
        <v>0</v>
      </c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11"/>
      <c r="F14" s="11"/>
      <c r="G14" s="13">
        <v>432086528</v>
      </c>
      <c r="H14" s="13">
        <v>74540525</v>
      </c>
    </row>
    <row r="15" spans="1:8">
      <c r="A15" s="16" t="s">
        <v>24</v>
      </c>
      <c r="B15" s="17" t="s">
        <v>25</v>
      </c>
      <c r="C15" s="16"/>
      <c r="D15" s="16"/>
      <c r="E15" s="16"/>
      <c r="F15" s="16"/>
      <c r="G15" s="18">
        <v>566423853591</v>
      </c>
      <c r="H15" s="18">
        <v>344543113621</v>
      </c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1"/>
      <c r="F16" s="11"/>
      <c r="G16" s="13">
        <v>-295903902</v>
      </c>
      <c r="H16" s="13">
        <v>-336865235</v>
      </c>
    </row>
    <row r="17" spans="1:8">
      <c r="A17" s="11" t="s">
        <v>28</v>
      </c>
      <c r="B17" s="12" t="s">
        <v>29</v>
      </c>
      <c r="C17" s="11"/>
      <c r="D17" s="11">
        <v>21</v>
      </c>
      <c r="E17" s="11"/>
      <c r="F17" s="11"/>
      <c r="G17" s="13">
        <v>1393112827</v>
      </c>
      <c r="H17" s="13">
        <v>0</v>
      </c>
    </row>
    <row r="18" spans="1:8">
      <c r="A18" s="11" t="s">
        <v>30</v>
      </c>
      <c r="B18" s="12" t="s">
        <v>31</v>
      </c>
      <c r="C18" s="11"/>
      <c r="D18" s="11">
        <v>21</v>
      </c>
      <c r="E18" s="11"/>
      <c r="F18" s="11"/>
      <c r="G18" s="13">
        <v>0</v>
      </c>
      <c r="H18" s="13">
        <v>0</v>
      </c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1"/>
      <c r="F19" s="11"/>
      <c r="G19" s="13">
        <v>12331907205</v>
      </c>
      <c r="H19" s="13">
        <v>7117754297</v>
      </c>
    </row>
    <row r="20" spans="1:8">
      <c r="A20" s="19" t="s">
        <v>34</v>
      </c>
      <c r="B20" s="20" t="s">
        <v>35</v>
      </c>
      <c r="C20" s="19" t="s">
        <v>9</v>
      </c>
      <c r="D20" s="19">
        <v>12</v>
      </c>
      <c r="E20" s="19"/>
      <c r="F20" s="19"/>
      <c r="G20" s="21">
        <v>0</v>
      </c>
      <c r="H20" s="21">
        <v>0</v>
      </c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1"/>
      <c r="F21" s="11"/>
      <c r="G21" s="13">
        <v>-183666041764</v>
      </c>
      <c r="H21" s="13">
        <v>-88126293352</v>
      </c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1"/>
      <c r="F22" s="11"/>
      <c r="G22" s="13">
        <v>17997737628</v>
      </c>
      <c r="H22" s="13">
        <v>13528958997</v>
      </c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11"/>
      <c r="F23" s="11"/>
      <c r="G23" s="13">
        <v>-36386157972</v>
      </c>
      <c r="H23" s="13">
        <v>-47686624680</v>
      </c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11"/>
      <c r="F24" s="11"/>
      <c r="G24" s="13">
        <v>-10350489934</v>
      </c>
      <c r="H24" s="13">
        <v>2065610698</v>
      </c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11"/>
      <c r="F25" s="11"/>
      <c r="G25" s="13">
        <v>-44154305841</v>
      </c>
      <c r="H25" s="13">
        <v>-26221136206</v>
      </c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11"/>
      <c r="F26" s="11"/>
      <c r="G26" s="13">
        <v>-37398422238</v>
      </c>
      <c r="H26" s="13">
        <v>-33209329411</v>
      </c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11"/>
      <c r="F27" s="11"/>
      <c r="G27" s="13">
        <v>-10000000</v>
      </c>
      <c r="H27" s="13">
        <v>-2000</v>
      </c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11"/>
      <c r="F28" s="11"/>
      <c r="G28" s="13">
        <v>-14765231537</v>
      </c>
      <c r="H28" s="13">
        <v>-9123819784</v>
      </c>
    </row>
    <row r="29" spans="1:8">
      <c r="A29" s="16" t="s">
        <v>52</v>
      </c>
      <c r="B29" s="17" t="s">
        <v>53</v>
      </c>
      <c r="C29" s="16"/>
      <c r="D29" s="16"/>
      <c r="E29" s="16"/>
      <c r="F29" s="16"/>
      <c r="G29" s="18">
        <v>271120058063</v>
      </c>
      <c r="H29" s="18">
        <v>162551366945</v>
      </c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11"/>
      <c r="F30" s="11"/>
      <c r="G30" s="13">
        <v>-23662306388</v>
      </c>
      <c r="H30" s="13">
        <v>-22579538003</v>
      </c>
    </row>
    <row r="31" spans="1:8">
      <c r="A31" s="16" t="s">
        <v>56</v>
      </c>
      <c r="B31" s="17" t="s">
        <v>57</v>
      </c>
      <c r="C31" s="16"/>
      <c r="D31" s="16"/>
      <c r="E31" s="16"/>
      <c r="F31" s="16"/>
      <c r="G31" s="18">
        <v>247457751675</v>
      </c>
      <c r="H31" s="18">
        <v>139971828942</v>
      </c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1"/>
      <c r="F32" s="11"/>
      <c r="G32" s="13">
        <v>12664863</v>
      </c>
      <c r="H32" s="13">
        <v>448119705</v>
      </c>
    </row>
    <row r="33" spans="1:8">
      <c r="A33" s="19" t="s">
        <v>60</v>
      </c>
      <c r="B33" s="20" t="s">
        <v>61</v>
      </c>
      <c r="C33" s="19" t="s">
        <v>12</v>
      </c>
      <c r="D33" s="19" t="s">
        <v>62</v>
      </c>
      <c r="E33" s="19"/>
      <c r="F33" s="19"/>
      <c r="G33" s="21">
        <v>-16651221407</v>
      </c>
      <c r="H33" s="21">
        <v>-14385896175</v>
      </c>
    </row>
    <row r="34" spans="1:8">
      <c r="A34" s="16" t="s">
        <v>63</v>
      </c>
      <c r="B34" s="17" t="s">
        <v>64</v>
      </c>
      <c r="C34" s="16"/>
      <c r="D34" s="16"/>
      <c r="E34" s="16"/>
      <c r="F34" s="16"/>
      <c r="G34" s="18">
        <v>230819195131</v>
      </c>
      <c r="H34" s="18">
        <v>126034052472</v>
      </c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1"/>
      <c r="F35" s="11"/>
      <c r="G35" s="13">
        <v>2966186103</v>
      </c>
      <c r="H35" s="13">
        <v>1330500750</v>
      </c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1"/>
      <c r="F36" s="11"/>
      <c r="G36" s="13">
        <v>0</v>
      </c>
      <c r="H36" s="13">
        <v>0</v>
      </c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1"/>
      <c r="F37" s="11"/>
      <c r="G37" s="13">
        <v>0</v>
      </c>
      <c r="H37" s="13">
        <v>0</v>
      </c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11"/>
      <c r="F38" s="11"/>
      <c r="G38" s="13">
        <v>-5106640154</v>
      </c>
      <c r="H38" s="13">
        <v>-5139291894</v>
      </c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1"/>
      <c r="F39" s="11"/>
      <c r="G39" s="13">
        <v>0</v>
      </c>
      <c r="H39" s="13">
        <v>0</v>
      </c>
    </row>
    <row r="40" spans="1:8">
      <c r="A40" s="16" t="s">
        <v>75</v>
      </c>
      <c r="B40" s="17" t="s">
        <v>76</v>
      </c>
      <c r="C40" s="16"/>
      <c r="D40" s="16"/>
      <c r="E40" s="16"/>
      <c r="F40" s="16"/>
      <c r="G40" s="18">
        <v>-2140454051</v>
      </c>
      <c r="H40" s="18">
        <v>-3808791144</v>
      </c>
    </row>
    <row r="41" spans="1:8">
      <c r="A41" s="22" t="s">
        <v>77</v>
      </c>
      <c r="B41" s="23" t="s">
        <v>78</v>
      </c>
      <c r="C41" s="22"/>
      <c r="D41" s="22"/>
      <c r="E41" s="22"/>
      <c r="F41" s="22"/>
      <c r="G41" s="24">
        <v>228678741080</v>
      </c>
      <c r="H41" s="24">
        <v>122225261328</v>
      </c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1"/>
      <c r="F42" s="11"/>
      <c r="G42" s="13">
        <v>0</v>
      </c>
      <c r="H42" s="13">
        <v>0</v>
      </c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1"/>
      <c r="F43" s="11"/>
      <c r="G43" s="13">
        <v>1574661046</v>
      </c>
      <c r="H43" s="13">
        <v>255088018</v>
      </c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1"/>
      <c r="F44" s="11"/>
      <c r="G44" s="13">
        <v>-88081849</v>
      </c>
      <c r="H44" s="13">
        <v>0</v>
      </c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1"/>
      <c r="F45" s="11"/>
      <c r="G45" s="13">
        <v>0</v>
      </c>
      <c r="H45" s="13">
        <v>-5002699789</v>
      </c>
    </row>
    <row r="46" spans="1:8">
      <c r="A46" s="22" t="s">
        <v>88</v>
      </c>
      <c r="B46" s="23" t="s">
        <v>89</v>
      </c>
      <c r="C46" s="22"/>
      <c r="D46" s="22"/>
      <c r="E46" s="22"/>
      <c r="F46" s="22"/>
      <c r="G46" s="24">
        <v>1486579197</v>
      </c>
      <c r="H46" s="24">
        <v>-4747611771</v>
      </c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1"/>
      <c r="F47" s="11"/>
      <c r="G47" s="13">
        <v>0</v>
      </c>
      <c r="H47" s="13">
        <v>0</v>
      </c>
    </row>
    <row r="48" spans="1:8">
      <c r="A48" s="11" t="s">
        <v>92</v>
      </c>
      <c r="B48" s="12" t="s">
        <v>93</v>
      </c>
      <c r="C48" s="11" t="s">
        <v>12</v>
      </c>
      <c r="D48" s="11"/>
      <c r="E48" s="11"/>
      <c r="F48" s="11"/>
      <c r="G48" s="13">
        <v>0</v>
      </c>
      <c r="H48" s="13">
        <v>0</v>
      </c>
    </row>
    <row r="49" spans="1:8">
      <c r="A49" s="16" t="s">
        <v>94</v>
      </c>
      <c r="B49" s="17" t="s">
        <v>95</v>
      </c>
      <c r="C49" s="16"/>
      <c r="D49" s="16"/>
      <c r="E49" s="16"/>
      <c r="F49" s="16"/>
      <c r="G49" s="18">
        <v>230165320277</v>
      </c>
      <c r="H49" s="18">
        <v>117477649557</v>
      </c>
    </row>
    <row r="53" spans="1:8">
      <c r="B53" s="29"/>
      <c r="C53" s="29"/>
    </row>
    <row r="54" spans="1:8">
      <c r="B54" s="29"/>
      <c r="C54" s="29"/>
    </row>
    <row r="55" spans="1:8">
      <c r="B55" s="29"/>
      <c r="C55" s="29"/>
    </row>
    <row r="58" spans="1:8">
      <c r="B58" s="29"/>
      <c r="C58" s="29"/>
    </row>
    <row r="59" spans="1:8">
      <c r="B59" s="29"/>
      <c r="C59" s="29"/>
    </row>
    <row r="62" spans="1:8">
      <c r="G62" s="30"/>
      <c r="H62" s="30"/>
    </row>
    <row r="63" spans="1:8">
      <c r="G63" s="30"/>
      <c r="H63" s="30"/>
    </row>
    <row r="64" spans="1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  <row r="79" spans="7:8">
      <c r="G79" s="30"/>
      <c r="H79" s="30"/>
    </row>
    <row r="80" spans="7:8">
      <c r="G80" s="30"/>
      <c r="H80" s="30"/>
    </row>
    <row r="81" spans="7:8">
      <c r="G81" s="30"/>
      <c r="H81" s="30"/>
    </row>
    <row r="82" spans="7:8">
      <c r="G82" s="30"/>
      <c r="H82" s="30"/>
    </row>
    <row r="83" spans="7:8">
      <c r="G83" s="30"/>
      <c r="H83" s="30"/>
    </row>
    <row r="84" spans="7:8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CE6B9A60-7611-4FB5-AB81-47AC6BC2EE89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A368E756-07F3-41AB-900D-EF9B239102A4}"/>
    <dataValidation allowBlank="1" showInputMessage="1" showErrorMessage="1" errorTitle="Erreur de saisie" error="La cellule ne peut prendre que du numérique." promptTitle="Information" prompt="Cette cellule ne peut prendre que du numérique," sqref="G8:H49" xr:uid="{9F4B32F8-929E-4FA9-B0C5-3212B138F21D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F47-1BCC-4610-9971-86FC20D866B7}">
  <dimension ref="A1:H84"/>
  <sheetViews>
    <sheetView topLeftCell="B1" zoomScale="93" workbookViewId="0">
      <selection activeCell="F8" sqref="F8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42578125" style="27" customWidth="1" collapsed="1"/>
    <col min="5" max="6" width="16.140625" style="27" bestFit="1" customWidth="1"/>
    <col min="7" max="8" width="17.28515625" style="28" bestFit="1" customWidth="1" collapsed="1"/>
  </cols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96</v>
      </c>
      <c r="B3" s="71"/>
      <c r="C3" s="71"/>
      <c r="D3" s="1" t="s">
        <v>1</v>
      </c>
      <c r="E3" s="1"/>
      <c r="F3" s="1"/>
      <c r="G3" s="72" t="s">
        <v>114</v>
      </c>
      <c r="H3" s="73"/>
    </row>
    <row r="4" spans="1:8">
      <c r="A4" s="77" t="s">
        <v>115</v>
      </c>
      <c r="B4" s="73"/>
      <c r="C4" s="73"/>
      <c r="D4" s="74" t="s">
        <v>2</v>
      </c>
      <c r="E4" s="25"/>
      <c r="F4" s="25"/>
      <c r="G4" s="75">
        <v>12</v>
      </c>
      <c r="H4" s="75"/>
    </row>
    <row r="5" spans="1:8" ht="38.25">
      <c r="A5" s="4" t="s">
        <v>3</v>
      </c>
      <c r="B5" s="76" t="s">
        <v>116</v>
      </c>
      <c r="C5" s="76"/>
      <c r="D5" s="74"/>
      <c r="E5" s="25"/>
      <c r="F5" s="25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10">
        <v>292733792353</v>
      </c>
      <c r="F8" s="10">
        <v>292079202273</v>
      </c>
      <c r="G8" s="10"/>
      <c r="H8" s="10"/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3">
        <v>-284606689387</v>
      </c>
      <c r="F9" s="13">
        <v>-276018837641</v>
      </c>
      <c r="G9" s="13"/>
      <c r="H9" s="13"/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-6051834653</v>
      </c>
      <c r="G10" s="13"/>
      <c r="H10" s="13"/>
    </row>
    <row r="11" spans="1:8">
      <c r="A11" s="16" t="s">
        <v>16</v>
      </c>
      <c r="B11" s="17" t="s">
        <v>17</v>
      </c>
      <c r="C11" s="16"/>
      <c r="D11" s="16"/>
      <c r="E11" s="18">
        <v>8127102966</v>
      </c>
      <c r="F11" s="18">
        <v>10008529979</v>
      </c>
      <c r="G11" s="18"/>
      <c r="H11" s="18"/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3">
        <v>623377561399</v>
      </c>
      <c r="F12" s="13">
        <v>616981194645</v>
      </c>
      <c r="G12" s="13"/>
      <c r="H12" s="13"/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  <c r="G13" s="13"/>
      <c r="H13" s="13"/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13">
        <v>6833798383</v>
      </c>
      <c r="F14" s="13">
        <v>4218403360</v>
      </c>
      <c r="G14" s="13"/>
      <c r="H14" s="13"/>
    </row>
    <row r="15" spans="1:8">
      <c r="A15" s="16" t="s">
        <v>24</v>
      </c>
      <c r="B15" s="17" t="s">
        <v>25</v>
      </c>
      <c r="C15" s="16"/>
      <c r="D15" s="16"/>
      <c r="E15" s="18">
        <v>922945152135</v>
      </c>
      <c r="F15" s="18">
        <v>913278800278</v>
      </c>
      <c r="G15" s="18"/>
      <c r="H15" s="18"/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3">
        <v>-1185684887</v>
      </c>
      <c r="F16" s="13">
        <v>3717146964</v>
      </c>
      <c r="G16" s="13"/>
      <c r="H16" s="13"/>
    </row>
    <row r="17" spans="1:8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/>
      <c r="H17" s="13"/>
    </row>
    <row r="18" spans="1:8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/>
      <c r="H18" s="13"/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3">
        <v>9000647763</v>
      </c>
      <c r="F19" s="13">
        <v>9030284291</v>
      </c>
      <c r="G19" s="13"/>
      <c r="H19" s="13"/>
    </row>
    <row r="20" spans="1:8">
      <c r="A20" s="19" t="s">
        <v>34</v>
      </c>
      <c r="B20" s="20" t="s">
        <v>35</v>
      </c>
      <c r="C20" s="19" t="s">
        <v>9</v>
      </c>
      <c r="D20" s="19">
        <v>12</v>
      </c>
      <c r="E20" s="13">
        <v>0</v>
      </c>
      <c r="F20" s="13">
        <v>0</v>
      </c>
      <c r="G20" s="13"/>
      <c r="H20" s="13"/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3">
        <v>-552713596707</v>
      </c>
      <c r="F21" s="13">
        <v>-567731437248</v>
      </c>
      <c r="G21" s="13"/>
      <c r="H21" s="13"/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3">
        <v>-1419132879</v>
      </c>
      <c r="F22" s="13">
        <v>26227480661</v>
      </c>
      <c r="G22" s="13"/>
      <c r="H22" s="13"/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13">
        <v>-3014047329</v>
      </c>
      <c r="F23" s="13">
        <v>-2804392792</v>
      </c>
      <c r="G23" s="13"/>
      <c r="H23" s="13"/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13">
        <v>642934736</v>
      </c>
      <c r="F24" s="13">
        <v>-411325538</v>
      </c>
      <c r="G24" s="13"/>
      <c r="H24" s="13"/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13">
        <v>-495369447</v>
      </c>
      <c r="F25" s="13">
        <v>-495872493</v>
      </c>
      <c r="G25" s="13"/>
      <c r="H25" s="13"/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13">
        <v>-19587537196</v>
      </c>
      <c r="F26" s="13">
        <v>-18940656719</v>
      </c>
      <c r="G26" s="13"/>
      <c r="H26" s="13"/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13">
        <v>-4788692867</v>
      </c>
      <c r="F27" s="13">
        <v>-6876856152</v>
      </c>
      <c r="G27" s="13"/>
      <c r="H27" s="13"/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13">
        <v>-6871784282</v>
      </c>
      <c r="F28" s="13">
        <v>-13040768504</v>
      </c>
      <c r="G28" s="13"/>
      <c r="H28" s="13"/>
    </row>
    <row r="29" spans="1:8">
      <c r="A29" s="16" t="s">
        <v>52</v>
      </c>
      <c r="B29" s="17" t="s">
        <v>53</v>
      </c>
      <c r="C29" s="16"/>
      <c r="D29" s="16"/>
      <c r="E29" s="18">
        <v>57906199653</v>
      </c>
      <c r="F29" s="18">
        <v>59881730454</v>
      </c>
      <c r="G29" s="18"/>
      <c r="H29" s="18"/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13">
        <v>-13351156868</v>
      </c>
      <c r="F30" s="13">
        <v>-13576525634</v>
      </c>
      <c r="G30" s="13"/>
      <c r="H30" s="13"/>
    </row>
    <row r="31" spans="1:8">
      <c r="A31" s="16" t="s">
        <v>56</v>
      </c>
      <c r="B31" s="17" t="s">
        <v>57</v>
      </c>
      <c r="C31" s="16"/>
      <c r="D31" s="16"/>
      <c r="E31" s="18">
        <v>44555042785</v>
      </c>
      <c r="F31" s="18">
        <v>46305204820</v>
      </c>
      <c r="G31" s="18"/>
      <c r="H31" s="18"/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3">
        <v>0</v>
      </c>
      <c r="F32" s="13">
        <v>0</v>
      </c>
      <c r="G32" s="13"/>
      <c r="H32" s="13"/>
    </row>
    <row r="33" spans="1:8">
      <c r="A33" s="19" t="s">
        <v>60</v>
      </c>
      <c r="B33" s="20" t="s">
        <v>61</v>
      </c>
      <c r="C33" s="19" t="s">
        <v>12</v>
      </c>
      <c r="D33" s="19" t="s">
        <v>62</v>
      </c>
      <c r="E33" s="13">
        <v>-7859916141</v>
      </c>
      <c r="F33" s="13">
        <v>-7279352927</v>
      </c>
      <c r="G33" s="13"/>
      <c r="H33" s="13"/>
    </row>
    <row r="34" spans="1:8">
      <c r="A34" s="16" t="s">
        <v>63</v>
      </c>
      <c r="B34" s="17" t="s">
        <v>64</v>
      </c>
      <c r="C34" s="16"/>
      <c r="D34" s="16"/>
      <c r="E34" s="18">
        <v>36695126644</v>
      </c>
      <c r="F34" s="18">
        <v>39025851893</v>
      </c>
      <c r="G34" s="18"/>
      <c r="H34" s="18"/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3">
        <v>872428136</v>
      </c>
      <c r="F35" s="13">
        <v>713554342</v>
      </c>
      <c r="G35" s="13"/>
      <c r="H35" s="13"/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  <c r="G36" s="13"/>
      <c r="H36" s="13"/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/>
      <c r="H37" s="13"/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13">
        <v>-5610571572</v>
      </c>
      <c r="F38" s="13">
        <v>-7209005144</v>
      </c>
      <c r="G38" s="13"/>
      <c r="H38" s="13"/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  <c r="G39" s="13"/>
      <c r="H39" s="13"/>
    </row>
    <row r="40" spans="1:8">
      <c r="A40" s="16" t="s">
        <v>75</v>
      </c>
      <c r="B40" s="17" t="s">
        <v>76</v>
      </c>
      <c r="C40" s="16"/>
      <c r="D40" s="16"/>
      <c r="E40" s="18">
        <v>-4738143436</v>
      </c>
      <c r="F40" s="18">
        <v>-6495450802</v>
      </c>
      <c r="G40" s="18"/>
      <c r="H40" s="18"/>
    </row>
    <row r="41" spans="1:8">
      <c r="A41" s="22" t="s">
        <v>77</v>
      </c>
      <c r="B41" s="23" t="s">
        <v>78</v>
      </c>
      <c r="C41" s="22"/>
      <c r="D41" s="22"/>
      <c r="E41" s="24">
        <v>31956983208</v>
      </c>
      <c r="F41" s="24">
        <v>32530401091</v>
      </c>
      <c r="G41" s="24"/>
      <c r="H41" s="24"/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  <c r="G42" s="13"/>
      <c r="H42" s="13"/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  <c r="G43" s="13"/>
      <c r="H43" s="13"/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3">
        <v>-24612200</v>
      </c>
      <c r="F44" s="13">
        <v>-26675978</v>
      </c>
      <c r="G44" s="13"/>
      <c r="H44" s="13"/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13"/>
      <c r="H45" s="13"/>
    </row>
    <row r="46" spans="1:8">
      <c r="A46" s="22" t="s">
        <v>88</v>
      </c>
      <c r="B46" s="23" t="s">
        <v>89</v>
      </c>
      <c r="C46" s="22"/>
      <c r="D46" s="22"/>
      <c r="E46" s="24">
        <v>-24612200</v>
      </c>
      <c r="F46" s="24">
        <v>-26675978</v>
      </c>
      <c r="G46" s="24"/>
      <c r="H46" s="24"/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/>
      <c r="H47" s="13"/>
    </row>
    <row r="48" spans="1:8">
      <c r="A48" s="11" t="s">
        <v>92</v>
      </c>
      <c r="B48" s="12" t="s">
        <v>93</v>
      </c>
      <c r="C48" s="11" t="s">
        <v>12</v>
      </c>
      <c r="D48" s="11"/>
      <c r="E48" s="13">
        <v>-9615461534</v>
      </c>
      <c r="F48" s="13">
        <v>-11363380166</v>
      </c>
      <c r="G48" s="13"/>
      <c r="H48" s="13"/>
    </row>
    <row r="49" spans="1:8">
      <c r="A49" s="16" t="s">
        <v>94</v>
      </c>
      <c r="B49" s="17" t="s">
        <v>95</v>
      </c>
      <c r="C49" s="16"/>
      <c r="D49" s="16"/>
      <c r="E49" s="18">
        <v>22316909474</v>
      </c>
      <c r="F49" s="18">
        <v>21140344947</v>
      </c>
      <c r="G49" s="18"/>
      <c r="H49" s="18"/>
    </row>
    <row r="53" spans="1:8">
      <c r="B53" s="29"/>
      <c r="C53" s="29"/>
    </row>
    <row r="54" spans="1:8">
      <c r="B54" s="29"/>
      <c r="C54" s="29"/>
    </row>
    <row r="55" spans="1:8">
      <c r="B55" s="29"/>
      <c r="C55" s="29"/>
    </row>
    <row r="58" spans="1:8">
      <c r="B58" s="29"/>
      <c r="C58" s="29"/>
    </row>
    <row r="59" spans="1:8">
      <c r="B59" s="29"/>
      <c r="C59" s="29"/>
    </row>
    <row r="62" spans="1:8">
      <c r="G62" s="30"/>
      <c r="H62" s="30"/>
    </row>
    <row r="63" spans="1:8">
      <c r="G63" s="30"/>
      <c r="H63" s="30"/>
    </row>
    <row r="64" spans="1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  <row r="79" spans="7:8">
      <c r="G79" s="30"/>
      <c r="H79" s="30"/>
    </row>
    <row r="80" spans="7:8">
      <c r="G80" s="30"/>
      <c r="H80" s="30"/>
    </row>
    <row r="81" spans="7:8">
      <c r="G81" s="30"/>
      <c r="H81" s="30"/>
    </row>
    <row r="82" spans="7:8">
      <c r="G82" s="30"/>
      <c r="H82" s="30"/>
    </row>
    <row r="83" spans="7:8">
      <c r="G83" s="30"/>
      <c r="H83" s="30"/>
    </row>
    <row r="84" spans="7:8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B622AE9-8AD1-4CA4-A12F-2615B95A765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G8:H49 E8:F49" xr:uid="{52A895F8-69A3-4B74-B7B8-BE5DDED62F40}"/>
    <dataValidation allowBlank="1" showInputMessage="1" showErrorMessage="1" errorTitle="Erreur de saisie" error="La cellule ne peut prendre que du numérique." promptTitle="Information" prompt="Cette cellule ne peut prendre que du numérique." sqref="D1:H6" xr:uid="{A0E21BE3-C400-4519-AA83-997FAA3702DA}"/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31BC-83BE-4A02-9B53-A48883D7CAEA}">
  <dimension ref="A1:H78"/>
  <sheetViews>
    <sheetView topLeftCell="C1" workbookViewId="0">
      <selection activeCell="H5" sqref="H5"/>
    </sheetView>
  </sheetViews>
  <sheetFormatPr baseColWidth="10" defaultRowHeight="15"/>
  <cols>
    <col min="1" max="1" width="4.140625" style="26" customWidth="1" collapsed="1"/>
    <col min="2" max="2" width="56" style="27" bestFit="1" customWidth="1" collapsed="1"/>
    <col min="3" max="3" width="3.140625" style="27" bestFit="1" customWidth="1" collapsed="1"/>
    <col min="4" max="4" width="8.28515625" style="27" bestFit="1" customWidth="1" collapsed="1"/>
    <col min="5" max="6" width="8.28515625" style="27" customWidth="1"/>
    <col min="7" max="8" width="15.7109375" style="28" customWidth="1" collapsed="1"/>
  </cols>
  <sheetData>
    <row r="1" spans="1:8" ht="25.5">
      <c r="A1" s="5" t="s">
        <v>4</v>
      </c>
      <c r="B1" s="6" t="s">
        <v>5</v>
      </c>
      <c r="C1" s="5"/>
      <c r="D1" s="5" t="s">
        <v>6</v>
      </c>
      <c r="E1" s="5">
        <v>2024</v>
      </c>
      <c r="F1" s="5">
        <v>2023</v>
      </c>
      <c r="G1" s="7">
        <v>2022</v>
      </c>
      <c r="H1" s="7">
        <v>2021</v>
      </c>
    </row>
    <row r="2" spans="1:8">
      <c r="A2" s="8" t="s">
        <v>7</v>
      </c>
      <c r="B2" s="9" t="s">
        <v>8</v>
      </c>
      <c r="C2" s="8" t="s">
        <v>9</v>
      </c>
      <c r="D2" s="8">
        <v>21</v>
      </c>
      <c r="E2" s="8"/>
      <c r="F2" s="8"/>
      <c r="G2" s="10"/>
      <c r="H2" s="10"/>
    </row>
    <row r="3" spans="1:8">
      <c r="A3" s="11" t="s">
        <v>10</v>
      </c>
      <c r="B3" s="12" t="s">
        <v>11</v>
      </c>
      <c r="C3" s="11" t="s">
        <v>12</v>
      </c>
      <c r="D3" s="11">
        <v>22</v>
      </c>
      <c r="E3" s="11"/>
      <c r="F3" s="11"/>
      <c r="G3" s="13"/>
      <c r="H3" s="13"/>
    </row>
    <row r="4" spans="1:8">
      <c r="A4" s="11" t="s">
        <v>13</v>
      </c>
      <c r="B4" s="14" t="s">
        <v>98</v>
      </c>
      <c r="C4" s="15" t="s">
        <v>15</v>
      </c>
      <c r="D4" s="15">
        <v>6</v>
      </c>
      <c r="E4" s="15"/>
      <c r="F4" s="15"/>
      <c r="G4" s="13"/>
      <c r="H4" s="13"/>
    </row>
    <row r="5" spans="1:8">
      <c r="A5" s="16" t="s">
        <v>16</v>
      </c>
      <c r="B5" s="17" t="s">
        <v>17</v>
      </c>
      <c r="C5" s="16"/>
      <c r="D5" s="16"/>
      <c r="E5" s="16"/>
      <c r="F5" s="16"/>
      <c r="G5" s="18"/>
      <c r="H5" s="18"/>
    </row>
    <row r="6" spans="1:8">
      <c r="A6" s="11" t="s">
        <v>18</v>
      </c>
      <c r="B6" s="12" t="s">
        <v>19</v>
      </c>
      <c r="C6" s="11" t="s">
        <v>9</v>
      </c>
      <c r="D6" s="11">
        <v>21</v>
      </c>
      <c r="E6" s="11"/>
      <c r="F6" s="11"/>
      <c r="G6" s="13"/>
      <c r="H6" s="13"/>
    </row>
    <row r="7" spans="1:8">
      <c r="A7" s="11" t="s">
        <v>20</v>
      </c>
      <c r="B7" s="12" t="s">
        <v>21</v>
      </c>
      <c r="C7" s="11" t="s">
        <v>9</v>
      </c>
      <c r="D7" s="11">
        <v>21</v>
      </c>
      <c r="E7" s="11"/>
      <c r="F7" s="11"/>
      <c r="G7" s="13"/>
      <c r="H7" s="13"/>
    </row>
    <row r="8" spans="1:8">
      <c r="A8" s="11" t="s">
        <v>22</v>
      </c>
      <c r="B8" s="12" t="s">
        <v>23</v>
      </c>
      <c r="C8" s="11" t="s">
        <v>9</v>
      </c>
      <c r="D8" s="11">
        <v>21</v>
      </c>
      <c r="E8" s="11"/>
      <c r="F8" s="11"/>
      <c r="G8" s="13"/>
      <c r="H8" s="13"/>
    </row>
    <row r="9" spans="1:8">
      <c r="A9" s="16" t="s">
        <v>24</v>
      </c>
      <c r="B9" s="17" t="s">
        <v>25</v>
      </c>
      <c r="C9" s="16"/>
      <c r="D9" s="16"/>
      <c r="E9" s="16"/>
      <c r="F9" s="16"/>
      <c r="G9" s="18">
        <v>0</v>
      </c>
      <c r="H9" s="18"/>
    </row>
    <row r="10" spans="1:8">
      <c r="A10" s="11" t="s">
        <v>26</v>
      </c>
      <c r="B10" s="12" t="s">
        <v>27</v>
      </c>
      <c r="C10" s="15" t="s">
        <v>15</v>
      </c>
      <c r="D10" s="11">
        <v>6</v>
      </c>
      <c r="E10" s="11"/>
      <c r="F10" s="11"/>
      <c r="G10" s="13"/>
      <c r="H10" s="13"/>
    </row>
    <row r="11" spans="1:8">
      <c r="A11" s="11" t="s">
        <v>28</v>
      </c>
      <c r="B11" s="12" t="s">
        <v>29</v>
      </c>
      <c r="C11" s="11"/>
      <c r="D11" s="11">
        <v>21</v>
      </c>
      <c r="E11" s="11"/>
      <c r="F11" s="11"/>
      <c r="G11" s="13">
        <v>9236283675</v>
      </c>
      <c r="H11" s="13">
        <v>9652980330</v>
      </c>
    </row>
    <row r="12" spans="1:8">
      <c r="A12" s="11" t="s">
        <v>30</v>
      </c>
      <c r="B12" s="12" t="s">
        <v>31</v>
      </c>
      <c r="C12" s="11"/>
      <c r="D12" s="11">
        <v>21</v>
      </c>
      <c r="E12" s="11"/>
      <c r="F12" s="11"/>
      <c r="G12" s="13">
        <v>0</v>
      </c>
      <c r="H12" s="13">
        <v>0</v>
      </c>
    </row>
    <row r="13" spans="1:8">
      <c r="A13" s="11" t="s">
        <v>32</v>
      </c>
      <c r="B13" s="12" t="s">
        <v>33</v>
      </c>
      <c r="C13" s="11" t="s">
        <v>9</v>
      </c>
      <c r="D13" s="11">
        <v>21</v>
      </c>
      <c r="E13" s="11"/>
      <c r="F13" s="11"/>
      <c r="G13" s="13">
        <v>2861563</v>
      </c>
      <c r="H13" s="13">
        <v>4846702</v>
      </c>
    </row>
    <row r="14" spans="1:8">
      <c r="A14" s="56" t="s">
        <v>34</v>
      </c>
      <c r="B14" s="57" t="s">
        <v>99</v>
      </c>
      <c r="C14" s="56" t="s">
        <v>9</v>
      </c>
      <c r="D14" s="56">
        <v>12</v>
      </c>
      <c r="E14" s="56"/>
      <c r="F14" s="56"/>
      <c r="G14" s="21">
        <v>46112334</v>
      </c>
      <c r="H14" s="21">
        <v>137671940</v>
      </c>
    </row>
    <row r="15" spans="1:8">
      <c r="A15" s="11" t="s">
        <v>36</v>
      </c>
      <c r="B15" s="12" t="s">
        <v>37</v>
      </c>
      <c r="C15" s="11" t="s">
        <v>12</v>
      </c>
      <c r="D15" s="11">
        <v>22</v>
      </c>
      <c r="E15" s="11"/>
      <c r="F15" s="11"/>
      <c r="G15" s="13">
        <v>0</v>
      </c>
      <c r="H15" s="13">
        <v>0</v>
      </c>
    </row>
    <row r="16" spans="1:8">
      <c r="A16" s="11" t="s">
        <v>38</v>
      </c>
      <c r="B16" s="14" t="s">
        <v>39</v>
      </c>
      <c r="C16" s="15" t="s">
        <v>15</v>
      </c>
      <c r="D16" s="11">
        <v>6</v>
      </c>
      <c r="E16" s="11"/>
      <c r="F16" s="11"/>
      <c r="G16" s="13">
        <v>0</v>
      </c>
      <c r="H16" s="13">
        <v>0</v>
      </c>
    </row>
    <row r="17" spans="1:8">
      <c r="A17" s="11" t="s">
        <v>40</v>
      </c>
      <c r="B17" s="12" t="s">
        <v>41</v>
      </c>
      <c r="C17" s="11" t="s">
        <v>12</v>
      </c>
      <c r="D17" s="11">
        <v>22</v>
      </c>
      <c r="E17" s="11"/>
      <c r="F17" s="11"/>
      <c r="G17" s="13">
        <v>349152470</v>
      </c>
      <c r="H17" s="13">
        <v>713609614</v>
      </c>
    </row>
    <row r="18" spans="1:8">
      <c r="A18" s="11" t="s">
        <v>42</v>
      </c>
      <c r="B18" s="14" t="s">
        <v>43</v>
      </c>
      <c r="C18" s="15" t="s">
        <v>15</v>
      </c>
      <c r="D18" s="11">
        <v>6</v>
      </c>
      <c r="E18" s="11"/>
      <c r="F18" s="11"/>
      <c r="G18" s="13">
        <v>-20674821</v>
      </c>
      <c r="H18" s="13">
        <v>-14631508</v>
      </c>
    </row>
    <row r="19" spans="1:8">
      <c r="A19" s="11" t="s">
        <v>44</v>
      </c>
      <c r="B19" s="12" t="s">
        <v>45</v>
      </c>
      <c r="C19" s="11" t="s">
        <v>12</v>
      </c>
      <c r="D19" s="11">
        <v>23</v>
      </c>
      <c r="E19" s="11"/>
      <c r="F19" s="11"/>
      <c r="G19" s="13">
        <v>146271853</v>
      </c>
      <c r="H19" s="13">
        <v>185281834</v>
      </c>
    </row>
    <row r="20" spans="1:8">
      <c r="A20" s="11" t="s">
        <v>46</v>
      </c>
      <c r="B20" s="12" t="s">
        <v>47</v>
      </c>
      <c r="C20" s="11" t="s">
        <v>12</v>
      </c>
      <c r="D20" s="11">
        <v>24</v>
      </c>
      <c r="E20" s="11"/>
      <c r="F20" s="11"/>
      <c r="G20" s="13">
        <v>3536776621</v>
      </c>
      <c r="H20" s="13">
        <v>6829030561</v>
      </c>
    </row>
    <row r="21" spans="1:8">
      <c r="A21" s="11" t="s">
        <v>48</v>
      </c>
      <c r="B21" s="12" t="s">
        <v>49</v>
      </c>
      <c r="C21" s="11" t="s">
        <v>12</v>
      </c>
      <c r="D21" s="11">
        <v>25</v>
      </c>
      <c r="E21" s="11"/>
      <c r="F21" s="11"/>
      <c r="G21" s="13">
        <v>13207676</v>
      </c>
      <c r="H21" s="13">
        <v>9661831</v>
      </c>
    </row>
    <row r="22" spans="1:8">
      <c r="A22" s="11" t="s">
        <v>50</v>
      </c>
      <c r="B22" s="12" t="s">
        <v>51</v>
      </c>
      <c r="C22" s="11" t="s">
        <v>12</v>
      </c>
      <c r="D22" s="11">
        <v>26</v>
      </c>
      <c r="E22" s="11"/>
      <c r="F22" s="11"/>
      <c r="G22" s="13">
        <v>786944946</v>
      </c>
      <c r="H22" s="13">
        <v>518558600</v>
      </c>
    </row>
    <row r="23" spans="1:8">
      <c r="A23" s="16" t="s">
        <v>52</v>
      </c>
      <c r="B23" s="17" t="s">
        <v>53</v>
      </c>
      <c r="C23" s="16"/>
      <c r="D23" s="16"/>
      <c r="E23" s="16"/>
      <c r="F23" s="16"/>
      <c r="G23" s="18">
        <v>4473578827</v>
      </c>
      <c r="H23" s="18">
        <v>1553988040</v>
      </c>
    </row>
    <row r="24" spans="1:8">
      <c r="A24" s="11" t="s">
        <v>54</v>
      </c>
      <c r="B24" s="12" t="s">
        <v>55</v>
      </c>
      <c r="C24" s="11" t="s">
        <v>12</v>
      </c>
      <c r="D24" s="11">
        <v>27</v>
      </c>
      <c r="E24" s="11"/>
      <c r="F24" s="11"/>
      <c r="G24" s="13">
        <v>1138660841</v>
      </c>
      <c r="H24" s="13">
        <v>1434746792</v>
      </c>
    </row>
    <row r="25" spans="1:8">
      <c r="A25" s="16" t="s">
        <v>56</v>
      </c>
      <c r="B25" s="17" t="s">
        <v>57</v>
      </c>
      <c r="C25" s="16"/>
      <c r="D25" s="16"/>
      <c r="E25" s="16"/>
      <c r="F25" s="16"/>
      <c r="G25" s="18">
        <v>3334917986</v>
      </c>
      <c r="H25" s="18">
        <v>119241248</v>
      </c>
    </row>
    <row r="26" spans="1:8">
      <c r="A26" s="11" t="s">
        <v>58</v>
      </c>
      <c r="B26" s="12" t="s">
        <v>100</v>
      </c>
      <c r="C26" s="11" t="s">
        <v>9</v>
      </c>
      <c r="D26" s="11">
        <v>28</v>
      </c>
      <c r="E26" s="11"/>
      <c r="F26" s="11"/>
      <c r="G26" s="13">
        <v>0</v>
      </c>
      <c r="H26" s="13">
        <v>0</v>
      </c>
    </row>
    <row r="27" spans="1:8">
      <c r="A27" s="56" t="s">
        <v>60</v>
      </c>
      <c r="B27" s="57" t="s">
        <v>61</v>
      </c>
      <c r="C27" s="56" t="s">
        <v>12</v>
      </c>
      <c r="D27" s="56" t="s">
        <v>62</v>
      </c>
      <c r="E27" s="56"/>
      <c r="F27" s="56"/>
      <c r="G27" s="21">
        <v>174654368</v>
      </c>
      <c r="H27" s="21">
        <v>142175480</v>
      </c>
    </row>
    <row r="28" spans="1:8">
      <c r="A28" s="16" t="s">
        <v>63</v>
      </c>
      <c r="B28" s="17" t="s">
        <v>64</v>
      </c>
      <c r="C28" s="16"/>
      <c r="D28" s="16"/>
      <c r="E28" s="16"/>
      <c r="F28" s="16"/>
      <c r="G28" s="18">
        <v>3160263618</v>
      </c>
      <c r="H28" s="18">
        <v>-22934232</v>
      </c>
    </row>
    <row r="29" spans="1:8">
      <c r="A29" s="11" t="s">
        <v>65</v>
      </c>
      <c r="B29" s="12" t="s">
        <v>66</v>
      </c>
      <c r="C29" s="11" t="s">
        <v>9</v>
      </c>
      <c r="D29" s="11">
        <v>29</v>
      </c>
      <c r="E29" s="11"/>
      <c r="F29" s="11"/>
      <c r="G29" s="13">
        <v>9643057</v>
      </c>
      <c r="H29" s="13">
        <v>30480926</v>
      </c>
    </row>
    <row r="30" spans="1:8">
      <c r="A30" s="11" t="s">
        <v>67</v>
      </c>
      <c r="B30" s="12" t="s">
        <v>68</v>
      </c>
      <c r="C30" s="11" t="s">
        <v>9</v>
      </c>
      <c r="D30" s="11">
        <v>28</v>
      </c>
      <c r="E30" s="11"/>
      <c r="F30" s="11"/>
      <c r="G30" s="13">
        <v>0</v>
      </c>
      <c r="H30" s="13">
        <v>0</v>
      </c>
    </row>
    <row r="31" spans="1:8">
      <c r="A31" s="11" t="s">
        <v>69</v>
      </c>
      <c r="B31" s="12" t="s">
        <v>101</v>
      </c>
      <c r="C31" s="11" t="s">
        <v>9</v>
      </c>
      <c r="D31" s="11">
        <v>12</v>
      </c>
      <c r="E31" s="11"/>
      <c r="F31" s="11"/>
      <c r="G31" s="13">
        <v>0</v>
      </c>
      <c r="H31" s="13">
        <v>0</v>
      </c>
    </row>
    <row r="32" spans="1:8">
      <c r="A32" s="11" t="s">
        <v>71</v>
      </c>
      <c r="B32" s="12" t="s">
        <v>72</v>
      </c>
      <c r="C32" s="11" t="s">
        <v>12</v>
      </c>
      <c r="D32" s="11">
        <v>29</v>
      </c>
      <c r="E32" s="11"/>
      <c r="F32" s="11"/>
      <c r="G32" s="13">
        <v>300108253</v>
      </c>
      <c r="H32" s="13">
        <v>7546694</v>
      </c>
    </row>
    <row r="33" spans="1:8">
      <c r="A33" s="11" t="s">
        <v>73</v>
      </c>
      <c r="B33" s="12" t="s">
        <v>74</v>
      </c>
      <c r="C33" s="11" t="s">
        <v>12</v>
      </c>
      <c r="D33" s="11" t="s">
        <v>62</v>
      </c>
      <c r="E33" s="11"/>
      <c r="F33" s="11"/>
      <c r="G33" s="13">
        <v>2869798422</v>
      </c>
      <c r="H33" s="13">
        <v>0</v>
      </c>
    </row>
    <row r="34" spans="1:8">
      <c r="A34" s="16" t="s">
        <v>75</v>
      </c>
      <c r="B34" s="17" t="s">
        <v>76</v>
      </c>
      <c r="C34" s="16"/>
      <c r="D34" s="16"/>
      <c r="E34" s="16"/>
      <c r="F34" s="16"/>
      <c r="G34" s="18">
        <v>-3160263618</v>
      </c>
      <c r="H34" s="18">
        <v>22934232</v>
      </c>
    </row>
    <row r="35" spans="1:8">
      <c r="A35" s="22" t="s">
        <v>77</v>
      </c>
      <c r="B35" s="23" t="s">
        <v>78</v>
      </c>
      <c r="C35" s="22"/>
      <c r="D35" s="22"/>
      <c r="E35" s="22"/>
      <c r="F35" s="22"/>
      <c r="G35" s="24"/>
      <c r="H35" s="24"/>
    </row>
    <row r="36" spans="1:8">
      <c r="A36" s="11" t="s">
        <v>79</v>
      </c>
      <c r="B36" s="12" t="s">
        <v>80</v>
      </c>
      <c r="C36" s="11" t="s">
        <v>9</v>
      </c>
      <c r="D36" s="11" t="s">
        <v>81</v>
      </c>
      <c r="E36" s="11"/>
      <c r="F36" s="11"/>
      <c r="G36" s="13"/>
      <c r="H36" s="13"/>
    </row>
    <row r="37" spans="1:8">
      <c r="A37" s="11" t="s">
        <v>82</v>
      </c>
      <c r="B37" s="12" t="s">
        <v>83</v>
      </c>
      <c r="C37" s="11" t="s">
        <v>9</v>
      </c>
      <c r="D37" s="11">
        <v>30</v>
      </c>
      <c r="E37" s="11"/>
      <c r="F37" s="11"/>
      <c r="G37" s="13"/>
      <c r="H37" s="13"/>
    </row>
    <row r="38" spans="1:8">
      <c r="A38" s="11" t="s">
        <v>84</v>
      </c>
      <c r="B38" s="12" t="s">
        <v>85</v>
      </c>
      <c r="C38" s="11" t="s">
        <v>12</v>
      </c>
      <c r="D38" s="11" t="s">
        <v>81</v>
      </c>
      <c r="E38" s="11"/>
      <c r="F38" s="11"/>
      <c r="G38" s="13"/>
      <c r="H38" s="13"/>
    </row>
    <row r="39" spans="1:8">
      <c r="A39" s="11" t="s">
        <v>86</v>
      </c>
      <c r="B39" s="12" t="s">
        <v>102</v>
      </c>
      <c r="C39" s="11" t="s">
        <v>12</v>
      </c>
      <c r="D39" s="11">
        <v>30</v>
      </c>
      <c r="E39" s="11"/>
      <c r="F39" s="11"/>
      <c r="G39" s="13"/>
      <c r="H39" s="13"/>
    </row>
    <row r="40" spans="1:8">
      <c r="A40" s="22" t="s">
        <v>88</v>
      </c>
      <c r="B40" s="23" t="s">
        <v>89</v>
      </c>
      <c r="C40" s="22"/>
      <c r="D40" s="22"/>
      <c r="E40" s="22"/>
      <c r="F40" s="22"/>
      <c r="G40" s="24"/>
      <c r="H40" s="24"/>
    </row>
    <row r="41" spans="1:8">
      <c r="A41" s="11" t="s">
        <v>90</v>
      </c>
      <c r="B41" s="12" t="s">
        <v>103</v>
      </c>
      <c r="C41" s="11" t="s">
        <v>12</v>
      </c>
      <c r="D41" s="11">
        <v>30</v>
      </c>
      <c r="E41" s="11"/>
      <c r="F41" s="11"/>
      <c r="G41" s="13"/>
      <c r="H41" s="13"/>
    </row>
    <row r="42" spans="1:8">
      <c r="A42" s="11" t="s">
        <v>92</v>
      </c>
      <c r="B42" s="12" t="s">
        <v>93</v>
      </c>
      <c r="C42" s="11" t="s">
        <v>12</v>
      </c>
      <c r="D42" s="11"/>
      <c r="E42" s="11"/>
      <c r="F42" s="11"/>
      <c r="G42" s="13"/>
      <c r="H42" s="13"/>
    </row>
    <row r="43" spans="1:8">
      <c r="A43" s="16" t="s">
        <v>94</v>
      </c>
      <c r="B43" s="17" t="s">
        <v>95</v>
      </c>
      <c r="C43" s="16"/>
      <c r="D43" s="16"/>
      <c r="E43" s="16"/>
      <c r="F43" s="16"/>
      <c r="G43" s="18">
        <v>0</v>
      </c>
      <c r="H43" s="18">
        <v>0</v>
      </c>
    </row>
    <row r="47" spans="1:8">
      <c r="B47" s="29"/>
      <c r="C47" s="29"/>
    </row>
    <row r="48" spans="1:8">
      <c r="B48" s="29"/>
      <c r="C48" s="29"/>
    </row>
    <row r="49" spans="2:8">
      <c r="B49" s="29"/>
      <c r="C49" s="29"/>
    </row>
    <row r="52" spans="2:8">
      <c r="B52" s="29"/>
      <c r="C52" s="29"/>
    </row>
    <row r="53" spans="2:8">
      <c r="B53" s="29"/>
      <c r="C53" s="29"/>
    </row>
    <row r="56" spans="2:8">
      <c r="G56" s="30"/>
      <c r="H56" s="30"/>
    </row>
    <row r="57" spans="2:8">
      <c r="G57" s="30"/>
      <c r="H57" s="30"/>
    </row>
    <row r="58" spans="2:8">
      <c r="G58" s="30"/>
      <c r="H58" s="30"/>
    </row>
    <row r="59" spans="2:8">
      <c r="G59" s="30"/>
      <c r="H59" s="30"/>
    </row>
    <row r="60" spans="2:8">
      <c r="G60" s="30"/>
      <c r="H60" s="30"/>
    </row>
    <row r="61" spans="2:8">
      <c r="G61" s="30"/>
      <c r="H61" s="30"/>
    </row>
    <row r="62" spans="2:8">
      <c r="G62" s="30"/>
      <c r="H62" s="30"/>
    </row>
    <row r="63" spans="2:8">
      <c r="G63" s="30"/>
      <c r="H63" s="30"/>
    </row>
    <row r="64" spans="2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G2:H43" xr:uid="{FE39B66A-07F5-4CCD-9122-23E0D80F4946}"/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9350-E57B-4E4F-BE90-8C591A201A1B}">
  <dimension ref="A1:H84"/>
  <sheetViews>
    <sheetView topLeftCell="C2" workbookViewId="0">
      <selection activeCell="E8" sqref="E8"/>
    </sheetView>
  </sheetViews>
  <sheetFormatPr baseColWidth="10" defaultColWidth="10.28515625" defaultRowHeight="12.75"/>
  <cols>
    <col min="1" max="1" width="11.42578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5.7109375" style="28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25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G3" s="72">
        <v>45657</v>
      </c>
      <c r="H3" s="73"/>
    </row>
    <row r="4" spans="1:8" s="1" customFormat="1" ht="15" customHeight="1">
      <c r="A4" s="136" t="s">
        <v>130</v>
      </c>
      <c r="B4" s="136"/>
      <c r="C4" s="136"/>
      <c r="D4" s="74" t="s">
        <v>2</v>
      </c>
      <c r="E4" s="25"/>
      <c r="F4" s="25"/>
      <c r="G4" s="75">
        <v>12</v>
      </c>
      <c r="H4" s="75"/>
    </row>
    <row r="5" spans="1:8" s="1" customFormat="1" ht="31.35" customHeight="1">
      <c r="A5" s="4" t="s">
        <v>3</v>
      </c>
      <c r="B5" s="137" t="s">
        <v>131</v>
      </c>
      <c r="C5" s="76"/>
      <c r="D5" s="74"/>
      <c r="E5" s="25"/>
      <c r="F5" s="25"/>
      <c r="G5" s="73"/>
      <c r="H5" s="73"/>
    </row>
    <row r="6" spans="1:8" s="1" customFormat="1" ht="8.25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10"/>
      <c r="H8" s="10"/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0">
        <v>1451658842</v>
      </c>
      <c r="F9" s="10">
        <v>1042198734</v>
      </c>
      <c r="G9" s="10"/>
      <c r="H9" s="10"/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0">
        <v>0</v>
      </c>
      <c r="F10" s="10">
        <v>0</v>
      </c>
      <c r="G10" s="10"/>
      <c r="H10" s="10"/>
    </row>
    <row r="11" spans="1:8" ht="18" customHeight="1">
      <c r="A11" s="16" t="s">
        <v>16</v>
      </c>
      <c r="B11" s="17" t="s">
        <v>17</v>
      </c>
      <c r="C11" s="16"/>
      <c r="D11" s="16"/>
      <c r="E11" s="18">
        <v>-1451658842</v>
      </c>
      <c r="F11" s="18">
        <v>-1042198734</v>
      </c>
      <c r="G11" s="18"/>
      <c r="H11" s="18"/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0">
        <v>54363903293</v>
      </c>
      <c r="F12" s="10">
        <v>49467658370</v>
      </c>
      <c r="G12" s="10"/>
      <c r="H12" s="10"/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0">
        <v>0</v>
      </c>
      <c r="F13" s="10">
        <v>0</v>
      </c>
      <c r="G13" s="10"/>
      <c r="H13" s="10"/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0">
        <v>0</v>
      </c>
      <c r="F14" s="10">
        <v>0</v>
      </c>
      <c r="G14" s="10"/>
      <c r="H14" s="10"/>
    </row>
    <row r="15" spans="1:8" ht="18" customHeight="1">
      <c r="A15" s="16" t="s">
        <v>24</v>
      </c>
      <c r="B15" s="17" t="s">
        <v>25</v>
      </c>
      <c r="C15" s="16"/>
      <c r="D15" s="16"/>
      <c r="E15" s="18">
        <v>54363903293</v>
      </c>
      <c r="F15" s="18">
        <v>49467658370</v>
      </c>
      <c r="G15" s="18"/>
      <c r="H15" s="18"/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0">
        <v>903108869</v>
      </c>
      <c r="F16" s="10">
        <v>-971562411</v>
      </c>
      <c r="G16" s="10"/>
      <c r="H16" s="10"/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0">
        <v>0</v>
      </c>
      <c r="F17" s="10">
        <v>0</v>
      </c>
      <c r="G17" s="10"/>
      <c r="H17" s="10"/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0">
        <v>0</v>
      </c>
      <c r="F18" s="10">
        <v>0</v>
      </c>
      <c r="G18" s="10"/>
      <c r="H18" s="10"/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0">
        <v>482445412</v>
      </c>
      <c r="F19" s="10">
        <v>224144344</v>
      </c>
      <c r="G19" s="10"/>
      <c r="H19" s="10"/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0">
        <v>0</v>
      </c>
      <c r="F20" s="10">
        <v>0</v>
      </c>
      <c r="G20" s="10"/>
      <c r="H20" s="10"/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0">
        <v>39668557928</v>
      </c>
      <c r="F21" s="10">
        <v>34478244794</v>
      </c>
      <c r="G21" s="10"/>
      <c r="H21" s="10"/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0">
        <v>555605110</v>
      </c>
      <c r="F22" s="10">
        <v>2996459982</v>
      </c>
      <c r="G22" s="10"/>
      <c r="H22" s="10"/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0">
        <v>5708112946</v>
      </c>
      <c r="F23" s="10">
        <v>5368477171</v>
      </c>
      <c r="G23" s="10"/>
      <c r="H23" s="10"/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0">
        <v>0</v>
      </c>
      <c r="F24" s="10">
        <v>0</v>
      </c>
      <c r="G24" s="10"/>
      <c r="H24" s="10"/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0">
        <v>166037184</v>
      </c>
      <c r="F25" s="10">
        <v>155465166</v>
      </c>
      <c r="G25" s="10"/>
      <c r="H25" s="10"/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0">
        <v>1995192475</v>
      </c>
      <c r="F26" s="10">
        <v>1861454824</v>
      </c>
      <c r="G26" s="10"/>
      <c r="H26" s="10"/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0">
        <v>900038182</v>
      </c>
      <c r="F27" s="10">
        <v>377882572</v>
      </c>
      <c r="G27" s="10"/>
      <c r="H27" s="10"/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0">
        <v>674930617</v>
      </c>
      <c r="F28" s="10">
        <v>674930618</v>
      </c>
      <c r="G28" s="10"/>
      <c r="H28" s="10"/>
    </row>
    <row r="29" spans="1:8" ht="18" customHeight="1">
      <c r="A29" s="16" t="s">
        <v>52</v>
      </c>
      <c r="B29" s="17" t="s">
        <v>53</v>
      </c>
      <c r="C29" s="16"/>
      <c r="D29" s="16"/>
      <c r="E29" s="18">
        <v>4629324290</v>
      </c>
      <c r="F29" s="18">
        <v>1765126442</v>
      </c>
      <c r="G29" s="18"/>
      <c r="H29" s="18"/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0">
        <v>1784502304</v>
      </c>
      <c r="F30" s="10">
        <v>1709856433</v>
      </c>
      <c r="G30" s="10"/>
      <c r="H30" s="10"/>
    </row>
    <row r="31" spans="1:8" ht="18" customHeight="1">
      <c r="A31" s="16" t="s">
        <v>56</v>
      </c>
      <c r="B31" s="17" t="s">
        <v>57</v>
      </c>
      <c r="C31" s="16"/>
      <c r="D31" s="16"/>
      <c r="E31" s="18">
        <v>2844821986</v>
      </c>
      <c r="F31" s="18">
        <v>55270009</v>
      </c>
      <c r="G31" s="18"/>
      <c r="H31" s="18"/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0">
        <v>0</v>
      </c>
      <c r="F32" s="10">
        <v>0</v>
      </c>
      <c r="G32" s="10"/>
      <c r="H32" s="10"/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0">
        <v>486580469</v>
      </c>
      <c r="F33" s="10">
        <v>434751829</v>
      </c>
      <c r="G33" s="10"/>
      <c r="H33" s="10"/>
    </row>
    <row r="34" spans="1:8" ht="18" customHeight="1">
      <c r="A34" s="16" t="s">
        <v>63</v>
      </c>
      <c r="B34" s="17" t="s">
        <v>64</v>
      </c>
      <c r="C34" s="16"/>
      <c r="D34" s="16"/>
      <c r="E34" s="18">
        <v>2358241517</v>
      </c>
      <c r="F34" s="18">
        <v>-379481820</v>
      </c>
      <c r="G34" s="18"/>
      <c r="H34" s="18"/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0">
        <v>0</v>
      </c>
      <c r="F35" s="10">
        <v>0</v>
      </c>
      <c r="G35" s="10"/>
      <c r="H35" s="10"/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0">
        <v>0</v>
      </c>
      <c r="F36" s="10">
        <v>0</v>
      </c>
      <c r="G36" s="10"/>
      <c r="H36" s="10"/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0">
        <v>0</v>
      </c>
      <c r="F37" s="10">
        <v>0</v>
      </c>
      <c r="G37" s="10"/>
      <c r="H37" s="10"/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0">
        <v>843748631</v>
      </c>
      <c r="F38" s="10">
        <v>587297534</v>
      </c>
      <c r="G38" s="10"/>
      <c r="H38" s="10"/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0">
        <v>0</v>
      </c>
      <c r="F39" s="10">
        <v>0</v>
      </c>
      <c r="G39" s="10"/>
      <c r="H39" s="10"/>
    </row>
    <row r="40" spans="1:8" ht="18" customHeight="1">
      <c r="A40" s="16" t="s">
        <v>75</v>
      </c>
      <c r="B40" s="17" t="s">
        <v>76</v>
      </c>
      <c r="C40" s="16"/>
      <c r="D40" s="16"/>
      <c r="E40" s="18">
        <v>-843748631</v>
      </c>
      <c r="F40" s="18">
        <v>-587297534</v>
      </c>
      <c r="G40" s="18"/>
      <c r="H40" s="18"/>
    </row>
    <row r="41" spans="1:8" ht="18" customHeight="1">
      <c r="A41" s="22" t="s">
        <v>77</v>
      </c>
      <c r="B41" s="23" t="s">
        <v>78</v>
      </c>
      <c r="C41" s="22"/>
      <c r="D41" s="22"/>
      <c r="E41" s="24">
        <v>1514492886</v>
      </c>
      <c r="F41" s="24">
        <v>-966779354</v>
      </c>
      <c r="G41" s="24"/>
      <c r="H41" s="24"/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0">
        <v>0</v>
      </c>
      <c r="F42" s="10">
        <v>0</v>
      </c>
      <c r="G42" s="10"/>
      <c r="H42" s="10"/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0">
        <v>0</v>
      </c>
      <c r="F43" s="10">
        <v>0</v>
      </c>
      <c r="G43" s="10"/>
      <c r="H43" s="10"/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0">
        <v>0</v>
      </c>
      <c r="F44" s="10">
        <v>0</v>
      </c>
      <c r="G44" s="10"/>
      <c r="H44" s="10"/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0">
        <v>0</v>
      </c>
      <c r="F45" s="10">
        <v>0</v>
      </c>
      <c r="G45" s="10"/>
      <c r="H45" s="10"/>
    </row>
    <row r="46" spans="1:8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  <c r="G46" s="24"/>
      <c r="H46" s="24"/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0">
        <v>0</v>
      </c>
      <c r="F47" s="10">
        <v>0</v>
      </c>
      <c r="G47" s="10"/>
      <c r="H47" s="10"/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0">
        <v>838818531</v>
      </c>
      <c r="F48" s="10">
        <v>5000000</v>
      </c>
      <c r="G48" s="10"/>
      <c r="H48" s="10"/>
    </row>
    <row r="49" spans="1:8" ht="18" customHeight="1">
      <c r="A49" s="16" t="s">
        <v>94</v>
      </c>
      <c r="B49" s="17" t="s">
        <v>95</v>
      </c>
      <c r="C49" s="16"/>
      <c r="D49" s="16"/>
      <c r="E49" s="18">
        <v>675674355</v>
      </c>
      <c r="F49" s="18">
        <v>-971779354</v>
      </c>
      <c r="G49" s="18"/>
      <c r="H49" s="18"/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4A7E19D8-A6D0-47CF-ACCB-3B4E30A30D7D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A0E07C9B-F8B8-466A-AEF6-344C7740C851}"/>
    <dataValidation allowBlank="1" showInputMessage="1" showErrorMessage="1" errorTitle="Erreur de saisie" error="La cellule ne peut prendre que du numérique." promptTitle="Information" prompt="Cette cellule ne peut prendre que du numérique," sqref="E8:H49" xr:uid="{E2DBCA06-675A-43AF-B339-FB90413C2610}"/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FE66-1B3C-4C0D-B2A9-DCFC23F83C8D}">
  <dimension ref="A1:H84"/>
  <sheetViews>
    <sheetView topLeftCell="B12" workbookViewId="0">
      <selection activeCell="F10" sqref="F10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42578125" style="27" customWidth="1" collapsed="1"/>
    <col min="5" max="5" width="19.140625" style="28" customWidth="1" collapsed="1"/>
    <col min="6" max="6" width="15.7109375" style="28" customWidth="1" collapsed="1"/>
    <col min="7" max="7" width="13" style="27" bestFit="1" customWidth="1" collapsed="1"/>
    <col min="8" max="8" width="10.28515625" style="27"/>
    <col min="9" max="16384" width="10.28515625" style="27" collapsed="1"/>
  </cols>
  <sheetData>
    <row r="1" spans="1:7" s="1" customFormat="1" ht="24.6" customHeight="1">
      <c r="A1" s="70" t="s">
        <v>0</v>
      </c>
      <c r="B1" s="70"/>
      <c r="C1" s="70"/>
      <c r="D1" s="70"/>
      <c r="E1" s="70"/>
      <c r="F1" s="70"/>
    </row>
    <row r="2" spans="1:7" s="1" customFormat="1" ht="8.1" customHeight="1">
      <c r="C2" s="2"/>
    </row>
    <row r="3" spans="1:7" s="1" customFormat="1" ht="25.5" customHeight="1">
      <c r="A3" s="71" t="s">
        <v>96</v>
      </c>
      <c r="B3" s="71"/>
      <c r="C3" s="71"/>
      <c r="D3" s="1" t="s">
        <v>1</v>
      </c>
      <c r="E3" s="72" t="s">
        <v>114</v>
      </c>
      <c r="F3" s="73"/>
    </row>
    <row r="4" spans="1:7" s="1" customFormat="1" ht="15" customHeight="1">
      <c r="A4" s="77" t="s">
        <v>140</v>
      </c>
      <c r="B4" s="73"/>
      <c r="C4" s="73"/>
      <c r="D4" s="74" t="s">
        <v>2</v>
      </c>
      <c r="E4" s="75">
        <v>12</v>
      </c>
      <c r="F4" s="75"/>
    </row>
    <row r="5" spans="1:7" s="1" customFormat="1" ht="31.15" customHeight="1">
      <c r="A5" s="4" t="s">
        <v>3</v>
      </c>
      <c r="B5" s="76" t="s">
        <v>141</v>
      </c>
      <c r="C5" s="76"/>
      <c r="D5" s="74"/>
      <c r="E5" s="73"/>
      <c r="F5" s="73"/>
    </row>
    <row r="6" spans="1:7" s="1" customFormat="1" ht="8.1" customHeight="1">
      <c r="C6" s="2"/>
    </row>
    <row r="7" spans="1:7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</row>
    <row r="8" spans="1:7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27">
        <v>0</v>
      </c>
    </row>
    <row r="9" spans="1:7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  <c r="G9" s="307" t="s">
        <v>229</v>
      </c>
    </row>
    <row r="10" spans="1:7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  <c r="G10" s="307">
        <v>0</v>
      </c>
    </row>
    <row r="11" spans="1:7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  <c r="G11" s="308">
        <v>-253738</v>
      </c>
    </row>
    <row r="12" spans="1:7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10396105687</v>
      </c>
      <c r="F12" s="13">
        <v>7699622013</v>
      </c>
      <c r="G12" s="307" t="s">
        <v>207</v>
      </c>
    </row>
    <row r="13" spans="1:7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  <c r="G13" s="307">
        <v>0</v>
      </c>
    </row>
    <row r="14" spans="1:7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5348061</v>
      </c>
      <c r="F14" s="13">
        <v>0</v>
      </c>
      <c r="G14" s="27">
        <v>0</v>
      </c>
    </row>
    <row r="15" spans="1:7" ht="18" customHeight="1">
      <c r="A15" s="16" t="s">
        <v>24</v>
      </c>
      <c r="B15" s="17" t="s">
        <v>25</v>
      </c>
      <c r="C15" s="16"/>
      <c r="D15" s="16"/>
      <c r="E15" s="18">
        <v>10401453748</v>
      </c>
      <c r="F15" s="18">
        <v>7699622013</v>
      </c>
      <c r="G15" s="309" t="s">
        <v>207</v>
      </c>
    </row>
    <row r="16" spans="1:7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1426802404</v>
      </c>
      <c r="F16" s="13">
        <v>287662967</v>
      </c>
      <c r="G16" s="307" t="s">
        <v>208</v>
      </c>
    </row>
    <row r="17" spans="1:7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307">
        <v>0</v>
      </c>
    </row>
    <row r="18" spans="1:7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307">
        <v>0</v>
      </c>
    </row>
    <row r="19" spans="1:7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248591373</v>
      </c>
      <c r="F19" s="13">
        <v>0</v>
      </c>
      <c r="G19" s="27">
        <v>0</v>
      </c>
    </row>
    <row r="20" spans="1:7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6752645930</v>
      </c>
      <c r="F20" s="13">
        <v>4394455177</v>
      </c>
      <c r="G20" s="307" t="s">
        <v>209</v>
      </c>
    </row>
    <row r="21" spans="1:7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-17251821</v>
      </c>
      <c r="F21" s="13">
        <v>-19141426</v>
      </c>
      <c r="G21" s="27">
        <v>0</v>
      </c>
    </row>
    <row r="22" spans="1:7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  <c r="G22" s="27">
        <v>0</v>
      </c>
    </row>
    <row r="23" spans="1:7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-4102711643</v>
      </c>
      <c r="F23" s="13">
        <v>-4664850884</v>
      </c>
      <c r="G23" s="307" t="s">
        <v>210</v>
      </c>
    </row>
    <row r="24" spans="1:7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2550841612</v>
      </c>
      <c r="F24" s="13">
        <v>2599029108</v>
      </c>
      <c r="G24" s="307" t="s">
        <v>211</v>
      </c>
    </row>
    <row r="25" spans="1:7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-1413808349</v>
      </c>
      <c r="F25" s="13">
        <v>-1038771829</v>
      </c>
      <c r="G25" s="307" t="s">
        <v>212</v>
      </c>
    </row>
    <row r="26" spans="1:7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-10736266641</v>
      </c>
      <c r="F26" s="13">
        <v>-7458908641</v>
      </c>
      <c r="G26" s="307" t="s">
        <v>213</v>
      </c>
    </row>
    <row r="27" spans="1:7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-1856255814</v>
      </c>
      <c r="F27" s="13">
        <v>-35593220</v>
      </c>
      <c r="G27" s="307" t="s">
        <v>214</v>
      </c>
    </row>
    <row r="28" spans="1:7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-1596419589</v>
      </c>
      <c r="F28" s="13">
        <v>-637586536</v>
      </c>
      <c r="G28" s="307" t="s">
        <v>215</v>
      </c>
    </row>
    <row r="29" spans="1:7" ht="18" customHeight="1">
      <c r="A29" s="16" t="s">
        <v>52</v>
      </c>
      <c r="B29" s="17" t="s">
        <v>53</v>
      </c>
      <c r="C29" s="16"/>
      <c r="D29" s="16"/>
      <c r="E29" s="18">
        <v>1657621210</v>
      </c>
      <c r="F29" s="18">
        <v>1125916729</v>
      </c>
      <c r="G29" s="309" t="s">
        <v>216</v>
      </c>
    </row>
    <row r="30" spans="1:7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-1879445709</v>
      </c>
      <c r="F30" s="13">
        <v>-1568478109</v>
      </c>
      <c r="G30" s="307" t="s">
        <v>217</v>
      </c>
    </row>
    <row r="31" spans="1:7" ht="18" customHeight="1">
      <c r="A31" s="16" t="s">
        <v>56</v>
      </c>
      <c r="B31" s="17" t="s">
        <v>57</v>
      </c>
      <c r="C31" s="16"/>
      <c r="D31" s="16"/>
      <c r="E31" s="18">
        <v>-221824499</v>
      </c>
      <c r="F31" s="18">
        <v>-442561380</v>
      </c>
      <c r="G31" s="309" t="s">
        <v>218</v>
      </c>
    </row>
    <row r="32" spans="1:7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349</v>
      </c>
      <c r="F32" s="13">
        <v>2077</v>
      </c>
      <c r="G32" s="307">
        <v>0</v>
      </c>
    </row>
    <row r="33" spans="1:7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3">
        <v>-7048054854</v>
      </c>
      <c r="F33" s="13">
        <v>-3071403855</v>
      </c>
      <c r="G33" s="307" t="s">
        <v>219</v>
      </c>
    </row>
    <row r="34" spans="1:7" ht="18" customHeight="1">
      <c r="A34" s="16" t="s">
        <v>63</v>
      </c>
      <c r="B34" s="17" t="s">
        <v>64</v>
      </c>
      <c r="C34" s="16"/>
      <c r="D34" s="16"/>
      <c r="E34" s="18">
        <v>-7269879004</v>
      </c>
      <c r="F34" s="18">
        <v>-3513963158</v>
      </c>
      <c r="G34" s="309" t="s">
        <v>220</v>
      </c>
    </row>
    <row r="35" spans="1:7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367617159</v>
      </c>
      <c r="F35" s="13">
        <v>325409696</v>
      </c>
      <c r="G35" s="307" t="s">
        <v>221</v>
      </c>
    </row>
    <row r="36" spans="1:7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190981253</v>
      </c>
      <c r="F36" s="13">
        <v>0</v>
      </c>
      <c r="G36" s="307">
        <v>0</v>
      </c>
    </row>
    <row r="37" spans="1:7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27">
        <v>0</v>
      </c>
    </row>
    <row r="38" spans="1:7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-1014809544</v>
      </c>
      <c r="F38" s="13">
        <v>-786583030</v>
      </c>
      <c r="G38" s="307" t="s">
        <v>222</v>
      </c>
    </row>
    <row r="39" spans="1:7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  <c r="G39" s="307">
        <v>0</v>
      </c>
    </row>
    <row r="40" spans="1:7" ht="18" customHeight="1">
      <c r="A40" s="16" t="s">
        <v>75</v>
      </c>
      <c r="B40" s="17" t="s">
        <v>76</v>
      </c>
      <c r="C40" s="16"/>
      <c r="D40" s="16"/>
      <c r="E40" s="18">
        <v>-456211132</v>
      </c>
      <c r="F40" s="18">
        <v>-461173334</v>
      </c>
      <c r="G40" s="309" t="s">
        <v>223</v>
      </c>
    </row>
    <row r="41" spans="1:7" ht="18" customHeight="1">
      <c r="A41" s="22" t="s">
        <v>77</v>
      </c>
      <c r="B41" s="23" t="s">
        <v>78</v>
      </c>
      <c r="C41" s="22"/>
      <c r="D41" s="22"/>
      <c r="E41" s="24">
        <v>-7726090136</v>
      </c>
      <c r="F41" s="24">
        <v>-3975136492</v>
      </c>
      <c r="G41" s="310" t="s">
        <v>224</v>
      </c>
    </row>
    <row r="42" spans="1:7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  <c r="G42" s="307">
        <v>0</v>
      </c>
    </row>
    <row r="43" spans="1:7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  <c r="G43" s="307" t="s">
        <v>225</v>
      </c>
    </row>
    <row r="44" spans="1:7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  <c r="G44" s="307">
        <v>0</v>
      </c>
    </row>
    <row r="45" spans="1:7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307" t="s">
        <v>226</v>
      </c>
    </row>
    <row r="46" spans="1:7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  <c r="G46" s="310" t="s">
        <v>227</v>
      </c>
    </row>
    <row r="47" spans="1:7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27">
        <v>0</v>
      </c>
    </row>
    <row r="48" spans="1:7" ht="18" customHeight="1">
      <c r="A48" s="11" t="s">
        <v>92</v>
      </c>
      <c r="B48" s="12" t="s">
        <v>93</v>
      </c>
      <c r="C48" s="11" t="s">
        <v>12</v>
      </c>
      <c r="D48" s="11"/>
      <c r="E48" s="13">
        <v>0</v>
      </c>
      <c r="F48" s="13">
        <v>0</v>
      </c>
      <c r="G48" s="27">
        <v>0</v>
      </c>
    </row>
    <row r="49" spans="1:7" ht="18" customHeight="1">
      <c r="A49" s="16" t="s">
        <v>94</v>
      </c>
      <c r="B49" s="17" t="s">
        <v>95</v>
      </c>
      <c r="C49" s="16"/>
      <c r="D49" s="16"/>
      <c r="E49" s="18">
        <v>-7726090136</v>
      </c>
      <c r="F49" s="18">
        <v>-3975136492</v>
      </c>
      <c r="G49" s="309" t="s">
        <v>228</v>
      </c>
    </row>
    <row r="53" spans="1:7" ht="12.75" customHeight="1">
      <c r="B53" s="29"/>
      <c r="C53" s="29"/>
    </row>
    <row r="54" spans="1:7" ht="12.75" customHeight="1">
      <c r="B54" s="29"/>
      <c r="C54" s="29"/>
    </row>
    <row r="55" spans="1:7" ht="12.75" customHeight="1">
      <c r="B55" s="29"/>
      <c r="C55" s="29"/>
    </row>
    <row r="58" spans="1:7" ht="12.75" customHeight="1">
      <c r="B58" s="29"/>
      <c r="C58" s="29"/>
    </row>
    <row r="59" spans="1:7" ht="12.75" customHeight="1">
      <c r="B59" s="29"/>
      <c r="C59" s="29"/>
    </row>
    <row r="62" spans="1:7" ht="12.75" customHeight="1">
      <c r="E62" s="30"/>
      <c r="F62" s="30"/>
    </row>
    <row r="63" spans="1:7" ht="12.75" customHeight="1">
      <c r="E63" s="30"/>
      <c r="F63" s="30"/>
    </row>
    <row r="64" spans="1:7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phoneticPr fontId="36" type="noConversion"/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BA6B9B98-0DC4-4865-8F76-67D5E7229F3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0A473BE3-7AA4-423E-81F9-30333957449E}"/>
    <dataValidation allowBlank="1" showInputMessage="1" showErrorMessage="1" errorTitle="Erreur de saisie" error="La cellule ne peut prendre que du numérique." promptTitle="Information" prompt="Cette cellule ne peut prendre que du numérique," sqref="E8:F49" xr:uid="{B044111B-6B5B-4F0D-899F-3A3AF1DFB2C6}"/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3F5A-1941-43AF-AE70-486E320468EE}">
  <dimension ref="A1:H78"/>
  <sheetViews>
    <sheetView zoomScale="48" workbookViewId="0">
      <selection activeCell="G11" sqref="G11"/>
    </sheetView>
  </sheetViews>
  <sheetFormatPr baseColWidth="10" defaultRowHeight="1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5" width="13.5703125" style="27" customWidth="1"/>
    <col min="6" max="6" width="19.5703125" style="27" bestFit="1" customWidth="1"/>
    <col min="7" max="7" width="17" style="28" customWidth="1" collapsed="1"/>
    <col min="8" max="8" width="17.85546875" style="28" bestFit="1" customWidth="1" collapsed="1"/>
  </cols>
  <sheetData>
    <row r="1" spans="1:8">
      <c r="A1" s="5" t="s">
        <v>4</v>
      </c>
      <c r="B1" s="6" t="s">
        <v>5</v>
      </c>
      <c r="C1" s="5"/>
      <c r="D1" s="5" t="s">
        <v>6</v>
      </c>
      <c r="E1" s="5">
        <v>2024</v>
      </c>
      <c r="F1" s="5">
        <v>2023</v>
      </c>
      <c r="G1" s="7">
        <v>2022</v>
      </c>
      <c r="H1" s="7">
        <v>2021</v>
      </c>
    </row>
    <row r="2" spans="1:8">
      <c r="A2" s="8" t="s">
        <v>7</v>
      </c>
      <c r="B2" s="9" t="s">
        <v>8</v>
      </c>
      <c r="C2" s="8" t="s">
        <v>9</v>
      </c>
      <c r="D2" s="8">
        <v>21</v>
      </c>
      <c r="E2" s="8"/>
      <c r="F2" s="8">
        <v>0</v>
      </c>
      <c r="G2" s="10"/>
      <c r="H2" s="10"/>
    </row>
    <row r="3" spans="1:8">
      <c r="A3" s="11" t="s">
        <v>10</v>
      </c>
      <c r="B3" s="12" t="s">
        <v>11</v>
      </c>
      <c r="C3" s="11" t="s">
        <v>12</v>
      </c>
      <c r="D3" s="11">
        <v>22</v>
      </c>
      <c r="E3" s="11"/>
      <c r="F3" s="11">
        <v>0</v>
      </c>
      <c r="G3" s="13"/>
      <c r="H3" s="13"/>
    </row>
    <row r="4" spans="1:8">
      <c r="A4" s="11" t="s">
        <v>13</v>
      </c>
      <c r="B4" s="14" t="s">
        <v>14</v>
      </c>
      <c r="C4" s="15" t="s">
        <v>15</v>
      </c>
      <c r="D4" s="15">
        <v>6</v>
      </c>
      <c r="E4" s="15"/>
      <c r="F4" s="15">
        <v>0</v>
      </c>
      <c r="G4" s="13"/>
      <c r="H4" s="13"/>
    </row>
    <row r="5" spans="1:8">
      <c r="A5" s="16" t="s">
        <v>16</v>
      </c>
      <c r="B5" s="17" t="s">
        <v>17</v>
      </c>
      <c r="C5" s="16"/>
      <c r="D5" s="16"/>
      <c r="E5" s="16"/>
      <c r="F5" s="16"/>
      <c r="G5" s="18"/>
      <c r="H5" s="18"/>
    </row>
    <row r="6" spans="1:8">
      <c r="A6" s="11" t="s">
        <v>18</v>
      </c>
      <c r="B6" s="12" t="s">
        <v>19</v>
      </c>
      <c r="C6" s="11" t="s">
        <v>9</v>
      </c>
      <c r="D6" s="11">
        <v>21</v>
      </c>
      <c r="E6" s="11"/>
      <c r="F6" s="11" t="s">
        <v>230</v>
      </c>
      <c r="G6" s="13">
        <v>48587145691</v>
      </c>
      <c r="H6" s="13">
        <v>68181456700</v>
      </c>
    </row>
    <row r="7" spans="1:8">
      <c r="A7" s="11" t="s">
        <v>20</v>
      </c>
      <c r="B7" s="12" t="s">
        <v>21</v>
      </c>
      <c r="C7" s="11" t="s">
        <v>9</v>
      </c>
      <c r="D7" s="11">
        <v>21</v>
      </c>
      <c r="E7" s="11"/>
      <c r="F7" s="11" t="s">
        <v>231</v>
      </c>
      <c r="G7" s="13">
        <v>983167064</v>
      </c>
      <c r="H7" s="13">
        <v>1369606092</v>
      </c>
    </row>
    <row r="8" spans="1:8">
      <c r="A8" s="11" t="s">
        <v>22</v>
      </c>
      <c r="B8" s="12" t="s">
        <v>23</v>
      </c>
      <c r="C8" s="11" t="s">
        <v>9</v>
      </c>
      <c r="D8" s="11">
        <v>21</v>
      </c>
      <c r="E8" s="11"/>
      <c r="F8" s="11" t="s">
        <v>232</v>
      </c>
      <c r="G8" s="13">
        <v>10967626</v>
      </c>
      <c r="H8" s="13">
        <v>22428118</v>
      </c>
    </row>
    <row r="9" spans="1:8">
      <c r="A9" s="16" t="s">
        <v>24</v>
      </c>
      <c r="B9" s="17" t="s">
        <v>25</v>
      </c>
      <c r="C9" s="16"/>
      <c r="D9" s="16"/>
      <c r="E9" s="16"/>
      <c r="F9" s="16" t="s">
        <v>233</v>
      </c>
      <c r="G9" s="18">
        <v>49581280381</v>
      </c>
      <c r="H9" s="18">
        <v>69573490910</v>
      </c>
    </row>
    <row r="10" spans="1:8">
      <c r="A10" s="11" t="s">
        <v>26</v>
      </c>
      <c r="B10" s="12" t="s">
        <v>27</v>
      </c>
      <c r="C10" s="15" t="s">
        <v>15</v>
      </c>
      <c r="D10" s="11">
        <v>6</v>
      </c>
      <c r="E10" s="11"/>
      <c r="F10" s="11" t="s">
        <v>234</v>
      </c>
      <c r="G10" s="13">
        <v>4340729600</v>
      </c>
      <c r="H10" s="13">
        <v>-46890788</v>
      </c>
    </row>
    <row r="11" spans="1:8">
      <c r="A11" s="11" t="s">
        <v>28</v>
      </c>
      <c r="B11" s="12" t="s">
        <v>29</v>
      </c>
      <c r="C11" s="11"/>
      <c r="D11" s="11">
        <v>21</v>
      </c>
      <c r="E11" s="11"/>
      <c r="F11" s="11">
        <v>0</v>
      </c>
      <c r="G11" s="13"/>
      <c r="H11" s="13"/>
    </row>
    <row r="12" spans="1:8">
      <c r="A12" s="11" t="s">
        <v>30</v>
      </c>
      <c r="B12" s="12" t="s">
        <v>31</v>
      </c>
      <c r="C12" s="11"/>
      <c r="D12" s="11">
        <v>21</v>
      </c>
      <c r="E12" s="11"/>
      <c r="F12" s="11">
        <v>0</v>
      </c>
      <c r="G12" s="13"/>
      <c r="H12" s="13"/>
    </row>
    <row r="13" spans="1:8">
      <c r="A13" s="11" t="s">
        <v>32</v>
      </c>
      <c r="B13" s="12" t="s">
        <v>33</v>
      </c>
      <c r="C13" s="11" t="s">
        <v>9</v>
      </c>
      <c r="D13" s="11">
        <v>21</v>
      </c>
      <c r="E13" s="11"/>
      <c r="F13" s="307" t="s">
        <v>235</v>
      </c>
      <c r="G13" s="13">
        <v>35782237</v>
      </c>
      <c r="H13" s="13">
        <v>59900721</v>
      </c>
    </row>
    <row r="14" spans="1:8">
      <c r="A14" s="19" t="s">
        <v>34</v>
      </c>
      <c r="B14" s="20" t="s">
        <v>35</v>
      </c>
      <c r="C14" s="19" t="s">
        <v>9</v>
      </c>
      <c r="D14" s="19">
        <v>12</v>
      </c>
      <c r="E14" s="19"/>
      <c r="F14" s="19">
        <v>0</v>
      </c>
      <c r="G14" s="21"/>
      <c r="H14" s="21"/>
    </row>
    <row r="15" spans="1:8">
      <c r="A15" s="11" t="s">
        <v>36</v>
      </c>
      <c r="B15" s="12" t="s">
        <v>37</v>
      </c>
      <c r="C15" s="11" t="s">
        <v>12</v>
      </c>
      <c r="D15" s="11">
        <v>22</v>
      </c>
      <c r="E15" s="11"/>
      <c r="F15" s="11" t="s">
        <v>236</v>
      </c>
      <c r="G15" s="13">
        <v>-21683166404</v>
      </c>
      <c r="H15" s="13">
        <v>-18764821809</v>
      </c>
    </row>
    <row r="16" spans="1:8">
      <c r="A16" s="11" t="s">
        <v>38</v>
      </c>
      <c r="B16" s="14" t="s">
        <v>39</v>
      </c>
      <c r="C16" s="15" t="s">
        <v>15</v>
      </c>
      <c r="D16" s="11">
        <v>6</v>
      </c>
      <c r="E16" s="11"/>
      <c r="F16" s="11" t="s">
        <v>237</v>
      </c>
      <c r="G16" s="13">
        <v>-2733636833</v>
      </c>
      <c r="H16" s="13">
        <v>1480632591</v>
      </c>
    </row>
    <row r="17" spans="1:8">
      <c r="A17" s="11" t="s">
        <v>40</v>
      </c>
      <c r="B17" s="12" t="s">
        <v>41</v>
      </c>
      <c r="C17" s="11" t="s">
        <v>12</v>
      </c>
      <c r="D17" s="11">
        <v>22</v>
      </c>
      <c r="E17" s="11"/>
      <c r="F17" s="11" t="s">
        <v>238</v>
      </c>
      <c r="G17" s="13">
        <v>-17803787497</v>
      </c>
      <c r="H17" s="13">
        <v>-14964846928</v>
      </c>
    </row>
    <row r="18" spans="1:8">
      <c r="A18" s="11" t="s">
        <v>42</v>
      </c>
      <c r="B18" s="14" t="s">
        <v>43</v>
      </c>
      <c r="C18" s="15" t="s">
        <v>15</v>
      </c>
      <c r="D18" s="11">
        <v>6</v>
      </c>
      <c r="E18" s="11"/>
      <c r="F18" s="11" t="s">
        <v>239</v>
      </c>
      <c r="G18" s="13">
        <v>6690760593</v>
      </c>
      <c r="H18" s="13">
        <v>3019572696</v>
      </c>
    </row>
    <row r="19" spans="1:8">
      <c r="A19" s="11" t="s">
        <v>44</v>
      </c>
      <c r="B19" s="12" t="s">
        <v>45</v>
      </c>
      <c r="C19" s="11" t="s">
        <v>12</v>
      </c>
      <c r="D19" s="11">
        <v>23</v>
      </c>
      <c r="E19" s="11"/>
      <c r="F19" s="11" t="s">
        <v>240</v>
      </c>
      <c r="G19" s="13">
        <v>-240428829</v>
      </c>
      <c r="H19" s="13">
        <v>-173097122</v>
      </c>
    </row>
    <row r="20" spans="1:8">
      <c r="A20" s="11" t="s">
        <v>46</v>
      </c>
      <c r="B20" s="12" t="s">
        <v>47</v>
      </c>
      <c r="C20" s="11" t="s">
        <v>12</v>
      </c>
      <c r="D20" s="11">
        <v>24</v>
      </c>
      <c r="E20" s="11"/>
      <c r="F20" s="11" t="s">
        <v>241</v>
      </c>
      <c r="G20" s="13">
        <v>-3801006633</v>
      </c>
      <c r="H20" s="13">
        <v>-3490699178</v>
      </c>
    </row>
    <row r="21" spans="1:8">
      <c r="A21" s="11" t="s">
        <v>48</v>
      </c>
      <c r="B21" s="12" t="s">
        <v>49</v>
      </c>
      <c r="C21" s="11" t="s">
        <v>12</v>
      </c>
      <c r="D21" s="11">
        <v>25</v>
      </c>
      <c r="E21" s="11"/>
      <c r="F21" s="11" t="s">
        <v>242</v>
      </c>
      <c r="G21" s="13">
        <v>-135265500</v>
      </c>
      <c r="H21" s="13">
        <v>-211881042</v>
      </c>
    </row>
    <row r="22" spans="1:8">
      <c r="A22" s="11" t="s">
        <v>50</v>
      </c>
      <c r="B22" s="12" t="s">
        <v>51</v>
      </c>
      <c r="C22" s="11" t="s">
        <v>12</v>
      </c>
      <c r="D22" s="11">
        <v>26</v>
      </c>
      <c r="E22" s="11"/>
      <c r="F22" s="11" t="s">
        <v>243</v>
      </c>
      <c r="G22" s="13">
        <v>-144717646</v>
      </c>
      <c r="H22" s="13">
        <v>-231705416</v>
      </c>
    </row>
    <row r="23" spans="1:8">
      <c r="A23" s="16" t="s">
        <v>52</v>
      </c>
      <c r="B23" s="17" t="s">
        <v>53</v>
      </c>
      <c r="C23" s="16"/>
      <c r="D23" s="16"/>
      <c r="E23" s="16"/>
      <c r="F23" s="16" t="s">
        <v>244</v>
      </c>
      <c r="G23" s="18">
        <v>14106543469</v>
      </c>
      <c r="H23" s="18">
        <v>36249654635</v>
      </c>
    </row>
    <row r="24" spans="1:8">
      <c r="A24" s="11" t="s">
        <v>54</v>
      </c>
      <c r="B24" s="12" t="s">
        <v>55</v>
      </c>
      <c r="C24" s="11" t="s">
        <v>12</v>
      </c>
      <c r="D24" s="11">
        <v>27</v>
      </c>
      <c r="E24" s="11"/>
      <c r="F24" s="11" t="s">
        <v>245</v>
      </c>
      <c r="G24" s="13">
        <v>-7202239681</v>
      </c>
      <c r="H24" s="13">
        <v>-7262670027</v>
      </c>
    </row>
    <row r="25" spans="1:8">
      <c r="A25" s="16" t="s">
        <v>56</v>
      </c>
      <c r="B25" s="17" t="s">
        <v>57</v>
      </c>
      <c r="C25" s="16"/>
      <c r="D25" s="16"/>
      <c r="E25" s="16"/>
      <c r="F25" s="16" t="s">
        <v>246</v>
      </c>
      <c r="G25" s="18">
        <v>6904303788</v>
      </c>
      <c r="H25" s="18">
        <v>28986984608</v>
      </c>
    </row>
    <row r="26" spans="1:8">
      <c r="A26" s="11" t="s">
        <v>58</v>
      </c>
      <c r="B26" s="12" t="s">
        <v>59</v>
      </c>
      <c r="C26" s="11" t="s">
        <v>9</v>
      </c>
      <c r="D26" s="11">
        <v>28</v>
      </c>
      <c r="E26" s="11"/>
      <c r="F26" s="11">
        <v>0</v>
      </c>
      <c r="G26" s="13"/>
      <c r="H26" s="13">
        <v>205735863</v>
      </c>
    </row>
    <row r="27" spans="1:8">
      <c r="A27" s="19" t="s">
        <v>60</v>
      </c>
      <c r="B27" s="20" t="s">
        <v>61</v>
      </c>
      <c r="C27" s="19" t="s">
        <v>12</v>
      </c>
      <c r="D27" s="19" t="s">
        <v>62</v>
      </c>
      <c r="E27" s="19"/>
      <c r="F27" s="311">
        <v>-7963649694</v>
      </c>
      <c r="G27" s="21">
        <v>-7518012048</v>
      </c>
      <c r="H27" s="21">
        <v>-7526360310</v>
      </c>
    </row>
    <row r="28" spans="1:8">
      <c r="A28" s="16" t="s">
        <v>63</v>
      </c>
      <c r="B28" s="17" t="s">
        <v>64</v>
      </c>
      <c r="C28" s="16"/>
      <c r="D28" s="16"/>
      <c r="E28" s="16"/>
      <c r="F28" s="16" t="s">
        <v>253</v>
      </c>
      <c r="G28" s="18">
        <v>-613708260</v>
      </c>
      <c r="H28" s="18">
        <v>21666360161</v>
      </c>
    </row>
    <row r="29" spans="1:8">
      <c r="A29" s="11" t="s">
        <v>65</v>
      </c>
      <c r="B29" s="12" t="s">
        <v>66</v>
      </c>
      <c r="C29" s="11" t="s">
        <v>9</v>
      </c>
      <c r="D29" s="11">
        <v>29</v>
      </c>
      <c r="E29" s="11"/>
      <c r="F29" s="11" t="s">
        <v>247</v>
      </c>
      <c r="G29" s="13">
        <v>506680688</v>
      </c>
      <c r="H29" s="13">
        <v>157539010</v>
      </c>
    </row>
    <row r="30" spans="1:8">
      <c r="A30" s="11" t="s">
        <v>67</v>
      </c>
      <c r="B30" s="12" t="s">
        <v>68</v>
      </c>
      <c r="C30" s="11" t="s">
        <v>9</v>
      </c>
      <c r="D30" s="11">
        <v>28</v>
      </c>
      <c r="E30" s="11"/>
      <c r="F30" s="11" t="s">
        <v>248</v>
      </c>
      <c r="G30" s="13">
        <v>8120422322</v>
      </c>
      <c r="H30" s="13">
        <v>5403061010</v>
      </c>
    </row>
    <row r="31" spans="1:8">
      <c r="A31" s="11" t="s">
        <v>69</v>
      </c>
      <c r="B31" s="12" t="s">
        <v>70</v>
      </c>
      <c r="C31" s="11" t="s">
        <v>9</v>
      </c>
      <c r="D31" s="11">
        <v>12</v>
      </c>
      <c r="E31" s="11"/>
      <c r="F31" s="11">
        <v>0</v>
      </c>
      <c r="G31" s="13"/>
      <c r="H31" s="13"/>
    </row>
    <row r="32" spans="1:8">
      <c r="A32" s="11" t="s">
        <v>71</v>
      </c>
      <c r="B32" s="12" t="s">
        <v>72</v>
      </c>
      <c r="C32" s="11" t="s">
        <v>12</v>
      </c>
      <c r="D32" s="11">
        <v>29</v>
      </c>
      <c r="E32" s="11"/>
      <c r="F32" s="11" t="s">
        <v>249</v>
      </c>
      <c r="G32" s="13">
        <v>-9196818729</v>
      </c>
      <c r="H32" s="13">
        <v>-2424173740</v>
      </c>
    </row>
    <row r="33" spans="1:8">
      <c r="A33" s="11" t="s">
        <v>73</v>
      </c>
      <c r="B33" s="12" t="s">
        <v>74</v>
      </c>
      <c r="C33" s="11" t="s">
        <v>12</v>
      </c>
      <c r="D33" s="11" t="s">
        <v>62</v>
      </c>
      <c r="E33" s="11"/>
      <c r="F33" s="11" t="s">
        <v>250</v>
      </c>
      <c r="G33" s="13">
        <v>-5455153284</v>
      </c>
      <c r="H33" s="13">
        <v>-8132838440</v>
      </c>
    </row>
    <row r="34" spans="1:8">
      <c r="A34" s="16" t="s">
        <v>75</v>
      </c>
      <c r="B34" s="17" t="s">
        <v>76</v>
      </c>
      <c r="C34" s="16"/>
      <c r="D34" s="16"/>
      <c r="E34" s="16"/>
      <c r="F34" s="16" t="s">
        <v>251</v>
      </c>
      <c r="G34" s="18">
        <v>-6024869003</v>
      </c>
      <c r="H34" s="18">
        <v>-4996412160</v>
      </c>
    </row>
    <row r="35" spans="1:8">
      <c r="A35" s="22" t="s">
        <v>77</v>
      </c>
      <c r="B35" s="23" t="s">
        <v>78</v>
      </c>
      <c r="C35" s="22"/>
      <c r="D35" s="22"/>
      <c r="E35" s="22"/>
      <c r="F35" s="22" t="s">
        <v>252</v>
      </c>
      <c r="G35" s="24">
        <v>-6638577263</v>
      </c>
      <c r="H35" s="24">
        <v>16669948001</v>
      </c>
    </row>
    <row r="36" spans="1:8">
      <c r="A36" s="11" t="s">
        <v>79</v>
      </c>
      <c r="B36" s="12" t="s">
        <v>80</v>
      </c>
      <c r="C36" s="11" t="s">
        <v>9</v>
      </c>
      <c r="D36" s="11" t="s">
        <v>81</v>
      </c>
      <c r="E36" s="11"/>
      <c r="F36" s="11"/>
      <c r="G36" s="13">
        <v>29928392</v>
      </c>
      <c r="H36" s="13">
        <v>26360999</v>
      </c>
    </row>
    <row r="37" spans="1:8">
      <c r="A37" s="11" t="s">
        <v>82</v>
      </c>
      <c r="B37" s="12" t="s">
        <v>83</v>
      </c>
      <c r="C37" s="11" t="s">
        <v>9</v>
      </c>
      <c r="D37" s="11">
        <v>30</v>
      </c>
      <c r="E37" s="11"/>
      <c r="F37" s="11"/>
      <c r="G37" s="13"/>
      <c r="H37" s="13"/>
    </row>
    <row r="38" spans="1:8">
      <c r="A38" s="11" t="s">
        <v>84</v>
      </c>
      <c r="B38" s="12" t="s">
        <v>85</v>
      </c>
      <c r="C38" s="11" t="s">
        <v>12</v>
      </c>
      <c r="D38" s="11" t="s">
        <v>81</v>
      </c>
      <c r="E38" s="11"/>
      <c r="F38" s="11"/>
      <c r="G38" s="13"/>
      <c r="H38" s="13">
        <v>-1521365</v>
      </c>
    </row>
    <row r="39" spans="1:8">
      <c r="A39" s="11" t="s">
        <v>86</v>
      </c>
      <c r="B39" s="12" t="s">
        <v>87</v>
      </c>
      <c r="C39" s="11" t="s">
        <v>12</v>
      </c>
      <c r="D39" s="11">
        <v>30</v>
      </c>
      <c r="E39" s="11"/>
      <c r="F39" s="11"/>
      <c r="G39" s="13"/>
      <c r="H39" s="13"/>
    </row>
    <row r="40" spans="1:8">
      <c r="A40" s="22" t="s">
        <v>88</v>
      </c>
      <c r="B40" s="23" t="s">
        <v>89</v>
      </c>
      <c r="C40" s="22"/>
      <c r="D40" s="22"/>
      <c r="E40" s="22"/>
      <c r="F40" s="22"/>
      <c r="G40" s="24">
        <v>29928392</v>
      </c>
      <c r="H40" s="24">
        <v>24839634</v>
      </c>
    </row>
    <row r="41" spans="1:8">
      <c r="A41" s="11" t="s">
        <v>90</v>
      </c>
      <c r="B41" s="12" t="s">
        <v>91</v>
      </c>
      <c r="C41" s="11" t="s">
        <v>12</v>
      </c>
      <c r="D41" s="11">
        <v>30</v>
      </c>
      <c r="E41" s="11"/>
      <c r="F41" s="11"/>
      <c r="G41" s="13"/>
      <c r="H41" s="13"/>
    </row>
    <row r="42" spans="1:8">
      <c r="A42" s="11" t="s">
        <v>92</v>
      </c>
      <c r="B42" s="12" t="s">
        <v>93</v>
      </c>
      <c r="C42" s="11" t="s">
        <v>12</v>
      </c>
      <c r="D42" s="11"/>
      <c r="E42" s="11"/>
      <c r="F42" s="11"/>
      <c r="G42" s="13"/>
      <c r="H42" s="13"/>
    </row>
    <row r="43" spans="1:8">
      <c r="A43" s="16" t="s">
        <v>94</v>
      </c>
      <c r="B43" s="17" t="s">
        <v>95</v>
      </c>
      <c r="C43" s="16"/>
      <c r="D43" s="16"/>
      <c r="E43" s="16"/>
      <c r="F43" s="16" t="s">
        <v>252</v>
      </c>
      <c r="G43" s="18">
        <v>-6608648871</v>
      </c>
      <c r="H43" s="18">
        <v>16694787635</v>
      </c>
    </row>
    <row r="47" spans="1:8">
      <c r="B47" s="29"/>
      <c r="C47" s="29"/>
    </row>
    <row r="48" spans="1:8">
      <c r="B48" s="29"/>
      <c r="C48" s="29"/>
    </row>
    <row r="49" spans="2:8">
      <c r="B49" s="29"/>
      <c r="C49" s="29"/>
    </row>
    <row r="52" spans="2:8">
      <c r="B52" s="29"/>
      <c r="C52" s="29"/>
    </row>
    <row r="53" spans="2:8">
      <c r="B53" s="29"/>
      <c r="C53" s="29"/>
    </row>
    <row r="56" spans="2:8">
      <c r="G56" s="30"/>
      <c r="H56" s="30"/>
    </row>
    <row r="57" spans="2:8">
      <c r="G57" s="30"/>
      <c r="H57" s="30"/>
    </row>
    <row r="58" spans="2:8">
      <c r="G58" s="30"/>
      <c r="H58" s="30"/>
    </row>
    <row r="59" spans="2:8">
      <c r="G59" s="30"/>
      <c r="H59" s="30"/>
    </row>
    <row r="60" spans="2:8">
      <c r="G60" s="30"/>
      <c r="H60" s="30"/>
    </row>
    <row r="61" spans="2:8">
      <c r="G61" s="30"/>
      <c r="H61" s="30"/>
    </row>
    <row r="62" spans="2:8">
      <c r="G62" s="30"/>
      <c r="H62" s="30"/>
    </row>
    <row r="63" spans="2:8">
      <c r="G63" s="30"/>
      <c r="H63" s="30"/>
    </row>
    <row r="64" spans="2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G2:H43" xr:uid="{EF54C8B3-542B-46FB-A656-7DB2E1BECB17}"/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D1A8-A5A5-41D8-A53B-C14ACFCD1793}">
  <dimension ref="A1:H84"/>
  <sheetViews>
    <sheetView topLeftCell="C1" workbookViewId="0">
      <selection activeCell="H10" sqref="H10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23.7109375" style="28" bestFit="1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G3" s="72">
        <f>+'[8]Fiche de renseignement R1'!$V$10</f>
        <v>45657</v>
      </c>
      <c r="H3" s="73"/>
    </row>
    <row r="4" spans="1:8" s="1" customFormat="1" ht="15" customHeight="1">
      <c r="A4" s="73" t="s">
        <v>133</v>
      </c>
      <c r="B4" s="73"/>
      <c r="C4" s="73"/>
      <c r="D4" s="74" t="s">
        <v>2</v>
      </c>
      <c r="E4" s="25"/>
      <c r="F4" s="25"/>
      <c r="G4" s="75">
        <f>+'[8]Fiche de renseignement R1'!$AH$10</f>
        <v>12</v>
      </c>
      <c r="H4" s="75"/>
    </row>
    <row r="5" spans="1:8" s="1" customFormat="1" ht="30.95" customHeight="1">
      <c r="A5" s="4" t="s">
        <v>3</v>
      </c>
      <c r="B5" s="76" t="str">
        <f>+'[8]Fiche de renseignement R1'!$J$10</f>
        <v>000325995</v>
      </c>
      <c r="C5" s="76"/>
      <c r="D5" s="74"/>
      <c r="E5" s="25"/>
      <c r="F5" s="25"/>
      <c r="G5" s="73"/>
      <c r="H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39">
        <v>0</v>
      </c>
      <c r="F8" s="139">
        <v>0</v>
      </c>
      <c r="G8" s="139">
        <v>0</v>
      </c>
      <c r="H8" s="139">
        <v>0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40">
        <v>0</v>
      </c>
      <c r="F9" s="140">
        <v>0</v>
      </c>
      <c r="G9" s="140">
        <v>0</v>
      </c>
      <c r="H9" s="140">
        <v>0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40">
        <v>0</v>
      </c>
      <c r="F10" s="140">
        <v>0</v>
      </c>
      <c r="G10" s="140">
        <v>0</v>
      </c>
      <c r="H10" s="140">
        <v>0</v>
      </c>
    </row>
    <row r="11" spans="1:8" ht="18" customHeight="1">
      <c r="A11" s="16" t="s">
        <v>16</v>
      </c>
      <c r="B11" s="17" t="s">
        <v>17</v>
      </c>
      <c r="C11" s="16"/>
      <c r="D11" s="16"/>
      <c r="E11" s="141">
        <v>0</v>
      </c>
      <c r="F11" s="141">
        <v>0</v>
      </c>
      <c r="G11" s="141">
        <v>0</v>
      </c>
      <c r="H11" s="141">
        <v>0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40">
        <v>207547001732</v>
      </c>
      <c r="F12" s="140">
        <v>207243747372</v>
      </c>
      <c r="G12" s="140">
        <v>163509154430</v>
      </c>
      <c r="H12" s="140">
        <v>125183908080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40">
        <v>592000000</v>
      </c>
      <c r="F13" s="140">
        <v>686050000</v>
      </c>
      <c r="G13" s="140">
        <v>253425000</v>
      </c>
      <c r="H13" s="140">
        <v>654050000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40">
        <v>136365083</v>
      </c>
      <c r="F14" s="140">
        <v>109600847</v>
      </c>
      <c r="G14" s="140">
        <v>101913137</v>
      </c>
      <c r="H14" s="140">
        <v>100743814</v>
      </c>
    </row>
    <row r="15" spans="1:8" ht="18" customHeight="1">
      <c r="A15" s="16" t="s">
        <v>24</v>
      </c>
      <c r="B15" s="17" t="s">
        <v>25</v>
      </c>
      <c r="C15" s="16"/>
      <c r="D15" s="16"/>
      <c r="E15" s="141">
        <v>208275366815</v>
      </c>
      <c r="F15" s="141">
        <v>208039398219</v>
      </c>
      <c r="G15" s="141">
        <v>163864492567</v>
      </c>
      <c r="H15" s="141">
        <v>125938701894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40">
        <v>3545112826</v>
      </c>
      <c r="F16" s="140">
        <v>11812400926</v>
      </c>
      <c r="G16" s="140">
        <v>2297580460</v>
      </c>
      <c r="H16" s="140">
        <v>-498542192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40">
        <v>177305220</v>
      </c>
      <c r="F17" s="140">
        <v>11961348468</v>
      </c>
      <c r="G17" s="140">
        <v>11005564502</v>
      </c>
      <c r="H17" s="140">
        <v>1918417390</v>
      </c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40">
        <v>0</v>
      </c>
      <c r="F18" s="140">
        <v>0</v>
      </c>
      <c r="G18" s="140">
        <v>0</v>
      </c>
      <c r="H18" s="140">
        <v>0</v>
      </c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40">
        <v>688692277</v>
      </c>
      <c r="F19" s="140">
        <v>2804887253</v>
      </c>
      <c r="G19" s="140">
        <v>13649782188</v>
      </c>
      <c r="H19" s="140">
        <v>9263913896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42">
        <v>33542700</v>
      </c>
      <c r="F20" s="142">
        <v>37623600</v>
      </c>
      <c r="G20" s="142">
        <v>39915400</v>
      </c>
      <c r="H20" s="142">
        <v>39767700</v>
      </c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40">
        <v>-19844851391</v>
      </c>
      <c r="F21" s="140">
        <v>-67048251533</v>
      </c>
      <c r="G21" s="140">
        <v>-111080892177</v>
      </c>
      <c r="H21" s="140">
        <v>-80415871801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40">
        <v>-32957639797</v>
      </c>
      <c r="F22" s="140">
        <v>-9599169737</v>
      </c>
      <c r="G22" s="140">
        <v>18260947670</v>
      </c>
      <c r="H22" s="140">
        <v>27716583325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40">
        <v>-64806794459</v>
      </c>
      <c r="F23" s="140">
        <v>-67638918522</v>
      </c>
      <c r="G23" s="140">
        <v>-47553956537</v>
      </c>
      <c r="H23" s="140">
        <v>-33354097300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40">
        <v>973832774</v>
      </c>
      <c r="F24" s="140">
        <v>764816058</v>
      </c>
      <c r="G24" s="140">
        <v>4516615023</v>
      </c>
      <c r="H24" s="140">
        <v>4579046188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40">
        <v>-168885017</v>
      </c>
      <c r="F25" s="140">
        <v>-174097196</v>
      </c>
      <c r="G25" s="140">
        <v>-482701476</v>
      </c>
      <c r="H25" s="140">
        <v>-811559750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40">
        <v>-11992899283</v>
      </c>
      <c r="F26" s="140">
        <v>-10332744644</v>
      </c>
      <c r="G26" s="140">
        <v>-9003917867</v>
      </c>
      <c r="H26" s="140">
        <v>-8533631969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40">
        <v>-556452057</v>
      </c>
      <c r="F27" s="140">
        <v>-1353529227</v>
      </c>
      <c r="G27" s="140">
        <v>-2767921517</v>
      </c>
      <c r="H27" s="140">
        <v>-2719205249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40">
        <v>-814318090</v>
      </c>
      <c r="F28" s="140">
        <v>-1833563157</v>
      </c>
      <c r="G28" s="140">
        <v>-1835858175</v>
      </c>
      <c r="H28" s="140">
        <v>-969486697</v>
      </c>
    </row>
    <row r="29" spans="1:8" ht="18" customHeight="1">
      <c r="A29" s="16" t="s">
        <v>52</v>
      </c>
      <c r="B29" s="17" t="s">
        <v>53</v>
      </c>
      <c r="C29" s="16"/>
      <c r="D29" s="16"/>
      <c r="E29" s="141">
        <v>82552012518</v>
      </c>
      <c r="F29" s="141">
        <v>77440200508</v>
      </c>
      <c r="G29" s="141">
        <v>40909650061</v>
      </c>
      <c r="H29" s="141">
        <v>42154035435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40">
        <v>-11881745987</v>
      </c>
      <c r="F30" s="140">
        <v>-10286901744</v>
      </c>
      <c r="G30" s="140">
        <v>-8721539807</v>
      </c>
      <c r="H30" s="140">
        <v>-7860542932</v>
      </c>
    </row>
    <row r="31" spans="1:8" ht="18" customHeight="1">
      <c r="A31" s="16" t="s">
        <v>56</v>
      </c>
      <c r="B31" s="17" t="s">
        <v>57</v>
      </c>
      <c r="C31" s="16"/>
      <c r="D31" s="16"/>
      <c r="E31" s="141">
        <v>70670266531</v>
      </c>
      <c r="F31" s="141">
        <v>67153298764</v>
      </c>
      <c r="G31" s="141">
        <v>32188110254</v>
      </c>
      <c r="H31" s="141">
        <v>34293492503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40">
        <v>3283345022</v>
      </c>
      <c r="F32" s="140">
        <v>2789636865</v>
      </c>
      <c r="G32" s="140">
        <v>2370818729</v>
      </c>
      <c r="H32" s="140">
        <v>2088198775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42">
        <v>-24382888917</v>
      </c>
      <c r="F33" s="142">
        <v>-12739344773</v>
      </c>
      <c r="G33" s="142">
        <v>-12995071965</v>
      </c>
      <c r="H33" s="142">
        <v>-13073885128</v>
      </c>
    </row>
    <row r="34" spans="1:8" ht="18" customHeight="1">
      <c r="A34" s="16" t="s">
        <v>63</v>
      </c>
      <c r="B34" s="17" t="s">
        <v>64</v>
      </c>
      <c r="C34" s="16"/>
      <c r="D34" s="16"/>
      <c r="E34" s="141">
        <v>49570722636</v>
      </c>
      <c r="F34" s="141">
        <v>57203590856</v>
      </c>
      <c r="G34" s="141">
        <v>21563857018</v>
      </c>
      <c r="H34" s="141">
        <v>23307806150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40">
        <v>10326419277</v>
      </c>
      <c r="F35" s="140">
        <v>7604382953</v>
      </c>
      <c r="G35" s="140">
        <v>5465327978</v>
      </c>
      <c r="H35" s="140">
        <v>6328503690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40">
        <v>0</v>
      </c>
      <c r="F36" s="140">
        <v>0</v>
      </c>
      <c r="G36" s="140">
        <v>0</v>
      </c>
      <c r="H36" s="140">
        <v>0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40">
        <v>0</v>
      </c>
      <c r="F37" s="140">
        <v>0</v>
      </c>
      <c r="G37" s="140">
        <v>0</v>
      </c>
      <c r="H37" s="140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40">
        <v>-19791441524</v>
      </c>
      <c r="F38" s="140">
        <v>-19437299011</v>
      </c>
      <c r="G38" s="140">
        <v>-17552912915</v>
      </c>
      <c r="H38" s="140">
        <v>-2639573602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40">
        <v>0</v>
      </c>
      <c r="F39" s="140">
        <v>0</v>
      </c>
      <c r="G39" s="140">
        <v>0</v>
      </c>
      <c r="H39" s="140">
        <v>0</v>
      </c>
    </row>
    <row r="40" spans="1:8" ht="18" customHeight="1">
      <c r="A40" s="16" t="s">
        <v>75</v>
      </c>
      <c r="B40" s="17" t="s">
        <v>76</v>
      </c>
      <c r="C40" s="16"/>
      <c r="D40" s="16"/>
      <c r="E40" s="141">
        <v>-9465022247</v>
      </c>
      <c r="F40" s="141">
        <v>-11832916058</v>
      </c>
      <c r="G40" s="141">
        <v>-12087584937</v>
      </c>
      <c r="H40" s="141">
        <v>3688930088</v>
      </c>
    </row>
    <row r="41" spans="1:8" ht="18" customHeight="1">
      <c r="A41" s="22" t="s">
        <v>77</v>
      </c>
      <c r="B41" s="23" t="s">
        <v>78</v>
      </c>
      <c r="C41" s="22"/>
      <c r="D41" s="22"/>
      <c r="E41" s="143">
        <v>40105700389</v>
      </c>
      <c r="F41" s="143">
        <v>45370674798</v>
      </c>
      <c r="G41" s="143">
        <v>9476272081</v>
      </c>
      <c r="H41" s="143">
        <v>26996736238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40">
        <v>45423730</v>
      </c>
      <c r="F42" s="140">
        <v>9322035</v>
      </c>
      <c r="G42" s="140">
        <v>18347458</v>
      </c>
      <c r="H42" s="140">
        <v>13711866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40">
        <v>0</v>
      </c>
      <c r="F43" s="140">
        <v>0</v>
      </c>
      <c r="G43" s="140">
        <v>0</v>
      </c>
      <c r="H43" s="140">
        <v>0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40">
        <v>0</v>
      </c>
      <c r="F44" s="140">
        <v>0</v>
      </c>
      <c r="G44" s="140">
        <v>0</v>
      </c>
      <c r="H44" s="140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40">
        <v>0</v>
      </c>
      <c r="F45" s="140">
        <v>0</v>
      </c>
      <c r="G45" s="140">
        <v>-20852792</v>
      </c>
      <c r="H45" s="140">
        <v>-12216971</v>
      </c>
    </row>
    <row r="46" spans="1:8" ht="18" customHeight="1">
      <c r="A46" s="22" t="s">
        <v>88</v>
      </c>
      <c r="B46" s="23" t="s">
        <v>89</v>
      </c>
      <c r="C46" s="22"/>
      <c r="D46" s="22"/>
      <c r="E46" s="143">
        <v>45423730</v>
      </c>
      <c r="F46" s="143">
        <v>9322035</v>
      </c>
      <c r="G46" s="143">
        <v>-2505334</v>
      </c>
      <c r="H46" s="143">
        <v>1494895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40">
        <v>0</v>
      </c>
      <c r="F47" s="140">
        <v>0</v>
      </c>
      <c r="G47" s="140">
        <v>0</v>
      </c>
      <c r="H47" s="140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40">
        <v>0</v>
      </c>
      <c r="F48" s="140">
        <v>0</v>
      </c>
      <c r="G48" s="140">
        <v>0</v>
      </c>
      <c r="H48" s="140">
        <v>0</v>
      </c>
    </row>
    <row r="49" spans="1:8" ht="18" customHeight="1">
      <c r="A49" s="16" t="s">
        <v>94</v>
      </c>
      <c r="B49" s="17" t="s">
        <v>95</v>
      </c>
      <c r="C49" s="16"/>
      <c r="D49" s="16"/>
      <c r="E49" s="141">
        <v>40151124119</v>
      </c>
      <c r="F49" s="141">
        <v>45379996833</v>
      </c>
      <c r="G49" s="141">
        <v>9473766747</v>
      </c>
      <c r="H49" s="141">
        <v>26998231133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71634869-2C04-4691-9FD8-7B49A3C3EBAA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DA584E3E-86C6-4806-8F9D-EC5695ADFA60}"/>
    <dataValidation allowBlank="1" showInputMessage="1" showErrorMessage="1" errorTitle="Erreur de saisie" error="La cellule ne peut prendre que du numérique." promptTitle="Information" prompt="Cette cellule ne peut prendre que du numérique," sqref="E8:H49" xr:uid="{131ABD15-A68D-48EA-9AA0-DDBB76A25EBA}"/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E740-6DE3-4525-B39F-FE3787A0FE9C}">
  <dimension ref="A1:K84"/>
  <sheetViews>
    <sheetView topLeftCell="C1" workbookViewId="0">
      <selection activeCell="I7" sqref="I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5.7109375" style="28" customWidth="1" collapsed="1"/>
    <col min="9" max="9" width="10.28515625" style="27" collapsed="1"/>
    <col min="10" max="10" width="11.28515625" style="27" bestFit="1" customWidth="1" collapsed="1"/>
    <col min="11" max="11" width="17.140625" style="27" customWidth="1" collapsed="1"/>
    <col min="12" max="16384" width="10.28515625" style="27" collapsed="1"/>
  </cols>
  <sheetData>
    <row r="1" spans="1:11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11" s="1" customFormat="1" ht="8.1" customHeight="1">
      <c r="C2" s="2"/>
    </row>
    <row r="3" spans="1:11" s="1" customFormat="1" ht="25.5" customHeight="1">
      <c r="A3" s="71" t="s">
        <v>113</v>
      </c>
      <c r="B3" s="71"/>
      <c r="C3" s="71"/>
      <c r="D3" s="1" t="s">
        <v>1</v>
      </c>
      <c r="G3" s="72">
        <f>+'[7]Fiche de renseignement R1'!$V$10</f>
        <v>45657</v>
      </c>
      <c r="H3" s="73"/>
    </row>
    <row r="4" spans="1:11" s="1" customFormat="1" ht="15" customHeight="1">
      <c r="A4" s="73" t="s">
        <v>132</v>
      </c>
      <c r="B4" s="73"/>
      <c r="C4" s="73"/>
      <c r="D4" s="74" t="s">
        <v>2</v>
      </c>
      <c r="E4" s="25"/>
      <c r="F4" s="25"/>
      <c r="G4" s="75">
        <f>+'[7]Fiche de renseignement R1'!$AH$10</f>
        <v>12</v>
      </c>
      <c r="H4" s="75"/>
    </row>
    <row r="5" spans="1:11" s="1" customFormat="1" ht="30.95" customHeight="1">
      <c r="A5" s="4" t="s">
        <v>3</v>
      </c>
      <c r="B5" s="76" t="str">
        <f>+'[7]Fiche de renseignement R1'!$J$10</f>
        <v>000113457</v>
      </c>
      <c r="C5" s="76"/>
      <c r="D5" s="74"/>
      <c r="E5" s="25"/>
      <c r="F5" s="25"/>
      <c r="G5" s="73"/>
      <c r="H5" s="73"/>
    </row>
    <row r="6" spans="1:11" s="1" customFormat="1" ht="8.1" customHeight="1">
      <c r="C6" s="2"/>
    </row>
    <row r="7" spans="1:11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11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10"/>
      <c r="H8" s="10"/>
    </row>
    <row r="9" spans="1:11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  <c r="G9" s="13"/>
      <c r="H9" s="13"/>
    </row>
    <row r="10" spans="1:11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  <c r="G10" s="13"/>
      <c r="H10" s="13"/>
    </row>
    <row r="11" spans="1:11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  <c r="G11" s="18"/>
      <c r="H11" s="18"/>
    </row>
    <row r="12" spans="1:11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2845183426</v>
      </c>
      <c r="F12" s="13">
        <v>2198339105</v>
      </c>
      <c r="G12" s="13"/>
      <c r="H12" s="13"/>
    </row>
    <row r="13" spans="1:11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  <c r="G13" s="13"/>
      <c r="H13" s="13"/>
    </row>
    <row r="14" spans="1:11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  <c r="G14" s="13"/>
      <c r="H14" s="13"/>
    </row>
    <row r="15" spans="1:11" ht="18" customHeight="1">
      <c r="A15" s="16" t="s">
        <v>24</v>
      </c>
      <c r="B15" s="17" t="s">
        <v>25</v>
      </c>
      <c r="C15" s="16"/>
      <c r="D15" s="16"/>
      <c r="E15" s="18">
        <v>2845183426</v>
      </c>
      <c r="F15" s="18">
        <v>2198339105</v>
      </c>
      <c r="G15" s="18"/>
      <c r="H15" s="18"/>
      <c r="J15" s="30"/>
      <c r="K15" s="30"/>
    </row>
    <row r="16" spans="1:11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-108472521</v>
      </c>
      <c r="F16" s="13">
        <v>77424629</v>
      </c>
      <c r="G16" s="13"/>
      <c r="H16" s="13"/>
      <c r="J16" s="30"/>
      <c r="K16" s="30"/>
    </row>
    <row r="17" spans="1:11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/>
      <c r="H17" s="13"/>
    </row>
    <row r="18" spans="1:11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/>
      <c r="H18" s="13"/>
    </row>
    <row r="19" spans="1:11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4338286</v>
      </c>
      <c r="F19" s="13">
        <v>2770418</v>
      </c>
      <c r="G19" s="13"/>
      <c r="H19" s="13"/>
      <c r="J19" s="30"/>
      <c r="K19" s="30"/>
    </row>
    <row r="20" spans="1:11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50037</v>
      </c>
      <c r="F20" s="13">
        <v>29571</v>
      </c>
      <c r="G20" s="13"/>
      <c r="H20" s="13"/>
    </row>
    <row r="21" spans="1:11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  <c r="G21" s="13"/>
      <c r="H21" s="13"/>
    </row>
    <row r="22" spans="1:11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-877420</v>
      </c>
      <c r="G22" s="13"/>
      <c r="H22" s="13"/>
    </row>
    <row r="23" spans="1:11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-622108972</v>
      </c>
      <c r="F23" s="13">
        <v>-596212144</v>
      </c>
      <c r="G23" s="13"/>
      <c r="H23" s="13"/>
    </row>
    <row r="24" spans="1:11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73940608</v>
      </c>
      <c r="F24" s="13">
        <v>1558563</v>
      </c>
      <c r="G24" s="13"/>
      <c r="H24" s="13"/>
    </row>
    <row r="25" spans="1:11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-534031911</v>
      </c>
      <c r="F25" s="13">
        <v>-172503377</v>
      </c>
      <c r="G25" s="13"/>
      <c r="H25" s="13"/>
    </row>
    <row r="26" spans="1:11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-641441363</v>
      </c>
      <c r="F26" s="13">
        <v>-794765129</v>
      </c>
      <c r="G26" s="13"/>
      <c r="H26" s="13"/>
    </row>
    <row r="27" spans="1:11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-105721513</v>
      </c>
      <c r="F27" s="13">
        <v>-50334578</v>
      </c>
      <c r="G27" s="13"/>
      <c r="H27" s="13"/>
    </row>
    <row r="28" spans="1:11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-49068628</v>
      </c>
      <c r="F28" s="13">
        <v>-61683688</v>
      </c>
      <c r="G28" s="13"/>
      <c r="H28" s="13"/>
    </row>
    <row r="29" spans="1:11" ht="18" customHeight="1">
      <c r="A29" s="16" t="s">
        <v>52</v>
      </c>
      <c r="B29" s="17" t="s">
        <v>53</v>
      </c>
      <c r="C29" s="16"/>
      <c r="D29" s="16"/>
      <c r="E29" s="18">
        <v>862667449</v>
      </c>
      <c r="F29" s="18">
        <v>603745950</v>
      </c>
      <c r="G29" s="18"/>
      <c r="H29" s="18"/>
    </row>
    <row r="30" spans="1:11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-627846178</v>
      </c>
      <c r="F30" s="13">
        <v>-610066406</v>
      </c>
      <c r="G30" s="13"/>
      <c r="H30" s="13"/>
    </row>
    <row r="31" spans="1:11" ht="18" customHeight="1">
      <c r="A31" s="16" t="s">
        <v>56</v>
      </c>
      <c r="B31" s="17" t="s">
        <v>57</v>
      </c>
      <c r="C31" s="16"/>
      <c r="D31" s="16"/>
      <c r="E31" s="18">
        <v>234821271</v>
      </c>
      <c r="F31" s="18">
        <v>-6320456</v>
      </c>
      <c r="G31" s="18"/>
      <c r="H31" s="18"/>
    </row>
    <row r="32" spans="1:11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240845728</v>
      </c>
      <c r="F32" s="13">
        <v>142331132</v>
      </c>
      <c r="G32" s="13"/>
      <c r="H32" s="13"/>
      <c r="J32" s="30"/>
      <c r="K32" s="30"/>
    </row>
    <row r="33" spans="1:11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38">
        <v>-565354486</v>
      </c>
      <c r="F33" s="138">
        <v>-470601981</v>
      </c>
      <c r="G33" s="138"/>
      <c r="H33" s="138"/>
      <c r="J33" s="30"/>
    </row>
    <row r="34" spans="1:11" ht="18" customHeight="1">
      <c r="A34" s="16" t="s">
        <v>63</v>
      </c>
      <c r="B34" s="17" t="s">
        <v>64</v>
      </c>
      <c r="C34" s="16"/>
      <c r="D34" s="16"/>
      <c r="E34" s="18">
        <v>-89687487</v>
      </c>
      <c r="F34" s="18">
        <v>-334591305</v>
      </c>
      <c r="G34" s="18"/>
      <c r="H34" s="18"/>
    </row>
    <row r="35" spans="1:11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572550</v>
      </c>
      <c r="G35" s="13"/>
      <c r="H35" s="13"/>
      <c r="K35" s="30"/>
    </row>
    <row r="36" spans="1:11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  <c r="G36" s="13"/>
      <c r="H36" s="13"/>
    </row>
    <row r="37" spans="1:11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/>
      <c r="H37" s="13"/>
    </row>
    <row r="38" spans="1:11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-351528472</v>
      </c>
      <c r="F38" s="13">
        <v>-381714707</v>
      </c>
      <c r="G38" s="13"/>
      <c r="H38" s="13"/>
    </row>
    <row r="39" spans="1:11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  <c r="G39" s="13"/>
      <c r="H39" s="13"/>
    </row>
    <row r="40" spans="1:11" ht="18" customHeight="1">
      <c r="A40" s="16" t="s">
        <v>75</v>
      </c>
      <c r="B40" s="17" t="s">
        <v>76</v>
      </c>
      <c r="C40" s="16"/>
      <c r="D40" s="16"/>
      <c r="E40" s="18">
        <v>-351528472</v>
      </c>
      <c r="F40" s="18">
        <v>-381142157</v>
      </c>
      <c r="G40" s="18"/>
      <c r="H40" s="18"/>
    </row>
    <row r="41" spans="1:11" ht="18" customHeight="1">
      <c r="A41" s="22" t="s">
        <v>77</v>
      </c>
      <c r="B41" s="23" t="s">
        <v>78</v>
      </c>
      <c r="C41" s="22"/>
      <c r="D41" s="22"/>
      <c r="E41" s="22">
        <v>-441215959</v>
      </c>
      <c r="F41" s="22">
        <v>-715733462</v>
      </c>
      <c r="G41" s="22"/>
      <c r="H41" s="22"/>
    </row>
    <row r="42" spans="1:11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  <c r="G42" s="13"/>
      <c r="H42" s="13"/>
    </row>
    <row r="43" spans="1:11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2500000</v>
      </c>
      <c r="G43" s="13"/>
      <c r="H43" s="13"/>
    </row>
    <row r="44" spans="1:11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  <c r="G44" s="13"/>
      <c r="H44" s="13"/>
    </row>
    <row r="45" spans="1:11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13"/>
      <c r="H45" s="13"/>
    </row>
    <row r="46" spans="1:11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2500000</v>
      </c>
      <c r="G46" s="24"/>
      <c r="H46" s="24"/>
    </row>
    <row r="47" spans="1:11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/>
      <c r="H47" s="13"/>
    </row>
    <row r="48" spans="1:11" ht="18" customHeight="1">
      <c r="A48" s="11" t="s">
        <v>92</v>
      </c>
      <c r="B48" s="12" t="s">
        <v>93</v>
      </c>
      <c r="C48" s="11" t="s">
        <v>12</v>
      </c>
      <c r="D48" s="11"/>
      <c r="E48" s="13">
        <v>-5000000</v>
      </c>
      <c r="F48" s="13">
        <v>-5000000</v>
      </c>
      <c r="G48" s="13"/>
      <c r="H48" s="13"/>
    </row>
    <row r="49" spans="1:8" ht="18" customHeight="1">
      <c r="A49" s="16" t="s">
        <v>94</v>
      </c>
      <c r="B49" s="17" t="s">
        <v>95</v>
      </c>
      <c r="C49" s="16"/>
      <c r="D49" s="16"/>
      <c r="E49" s="18">
        <v>-446215959</v>
      </c>
      <c r="F49" s="18">
        <v>-718233462</v>
      </c>
      <c r="G49" s="18"/>
      <c r="H49" s="18"/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44897F51-7E3C-4515-AE97-4CE47698DF83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35A4AA14-2CC9-40CC-A7C2-4DD4CFF3086C}"/>
    <dataValidation allowBlank="1" showInputMessage="1" showErrorMessage="1" errorTitle="Erreur de saisie" error="La cellule ne peut prendre que du numérique." promptTitle="Information" prompt="Cette cellule ne peut prendre que du numérique," sqref="E8:H49" xr:uid="{7512F206-3427-4D3C-8376-8A468F185E63}"/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4FF8-2590-49B7-BD24-EE6209615F3C}">
  <sheetPr>
    <tabColor theme="8"/>
  </sheetPr>
  <dimension ref="A1:H49"/>
  <sheetViews>
    <sheetView topLeftCell="B1" workbookViewId="0">
      <selection activeCell="E8" sqref="E8"/>
    </sheetView>
  </sheetViews>
  <sheetFormatPr baseColWidth="10" defaultColWidth="11.42578125" defaultRowHeight="12.7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28515625" style="108" customWidth="1" collapsed="1"/>
    <col min="5" max="6" width="13.28515625" style="108" bestFit="1" customWidth="1"/>
    <col min="7" max="8" width="13.85546875" style="108" customWidth="1" collapsed="1"/>
    <col min="9" max="16384" width="11.42578125" style="108" collapsed="1"/>
  </cols>
  <sheetData>
    <row r="1" spans="1:8" s="93" customFormat="1" ht="24.6" customHeight="1">
      <c r="A1" s="92" t="s">
        <v>0</v>
      </c>
      <c r="B1" s="92"/>
      <c r="C1" s="92"/>
      <c r="D1" s="92"/>
      <c r="E1" s="92"/>
      <c r="F1" s="92"/>
      <c r="G1" s="92"/>
      <c r="H1" s="92"/>
    </row>
    <row r="2" spans="1:8" s="93" customFormat="1" ht="8.1" customHeight="1">
      <c r="C2" s="94"/>
    </row>
    <row r="3" spans="1:8" s="93" customFormat="1" ht="25.5" customHeight="1">
      <c r="A3" s="95" t="s">
        <v>96</v>
      </c>
      <c r="B3" s="95"/>
      <c r="C3" s="95"/>
      <c r="D3" s="93" t="s">
        <v>1</v>
      </c>
      <c r="G3" s="96">
        <f>+'[4]Fiche de renseignement R1'!$V$10</f>
        <v>45657</v>
      </c>
      <c r="H3" s="97"/>
    </row>
    <row r="4" spans="1:8" s="93" customFormat="1" ht="15" customHeight="1">
      <c r="A4" s="98" t="str">
        <f>'[4]Fiche de renseignement R1'!$J$4</f>
        <v>SOCIETE NOUVELLE DES SALINS DU SINE SALOUM</v>
      </c>
      <c r="B4" s="97"/>
      <c r="C4" s="97"/>
      <c r="D4" s="99" t="s">
        <v>2</v>
      </c>
      <c r="E4" s="119"/>
      <c r="F4" s="119"/>
      <c r="G4" s="100">
        <f>+'[4]Fiche de renseignement R1'!$AH$10</f>
        <v>12</v>
      </c>
      <c r="H4" s="101"/>
    </row>
    <row r="5" spans="1:8" s="93" customFormat="1" ht="30.95" customHeight="1">
      <c r="A5" s="102" t="s">
        <v>3</v>
      </c>
      <c r="B5" s="103" t="str">
        <f>+'[4]Fiche de renseignement R1'!$J$10</f>
        <v>000018699</v>
      </c>
      <c r="C5" s="104"/>
      <c r="D5" s="99"/>
      <c r="E5" s="119"/>
      <c r="F5" s="119"/>
      <c r="G5" s="97"/>
      <c r="H5" s="97"/>
    </row>
    <row r="7" spans="1:8" ht="18" customHeight="1">
      <c r="A7" s="105" t="s">
        <v>4</v>
      </c>
      <c r="B7" s="106" t="s">
        <v>5</v>
      </c>
      <c r="C7" s="106"/>
      <c r="D7" s="105" t="s">
        <v>6</v>
      </c>
      <c r="E7" s="107">
        <v>2024</v>
      </c>
      <c r="F7" s="107">
        <v>2023</v>
      </c>
      <c r="G7" s="107">
        <v>2022</v>
      </c>
      <c r="H7" s="107">
        <v>2021</v>
      </c>
    </row>
    <row r="8" spans="1:8">
      <c r="A8" s="109" t="s">
        <v>7</v>
      </c>
      <c r="B8" s="110" t="s">
        <v>117</v>
      </c>
      <c r="C8" s="109" t="s">
        <v>9</v>
      </c>
      <c r="D8" s="109">
        <v>21</v>
      </c>
      <c r="E8" s="111">
        <v>0</v>
      </c>
      <c r="F8" s="111">
        <v>0</v>
      </c>
      <c r="G8" s="111"/>
      <c r="H8" s="111"/>
    </row>
    <row r="9" spans="1:8">
      <c r="A9" s="109" t="s">
        <v>10</v>
      </c>
      <c r="B9" s="110" t="s">
        <v>11</v>
      </c>
      <c r="C9" s="109" t="s">
        <v>12</v>
      </c>
      <c r="D9" s="109">
        <v>22</v>
      </c>
      <c r="E9" s="111">
        <v>0</v>
      </c>
      <c r="F9" s="111">
        <v>0</v>
      </c>
      <c r="G9" s="111"/>
      <c r="H9" s="111"/>
    </row>
    <row r="10" spans="1:8">
      <c r="A10" s="109" t="s">
        <v>13</v>
      </c>
      <c r="B10" s="110" t="s">
        <v>98</v>
      </c>
      <c r="C10" s="109" t="s">
        <v>15</v>
      </c>
      <c r="D10" s="109">
        <v>6</v>
      </c>
      <c r="E10" s="111">
        <v>0</v>
      </c>
      <c r="F10" s="111">
        <v>0</v>
      </c>
      <c r="G10" s="111"/>
      <c r="H10" s="111"/>
    </row>
    <row r="11" spans="1:8">
      <c r="A11" s="105" t="s">
        <v>16</v>
      </c>
      <c r="B11" s="106" t="s">
        <v>17</v>
      </c>
      <c r="C11" s="105"/>
      <c r="D11" s="105"/>
      <c r="E11" s="112">
        <v>0</v>
      </c>
      <c r="F11" s="112">
        <v>0</v>
      </c>
      <c r="G11" s="112"/>
      <c r="H11" s="112"/>
    </row>
    <row r="12" spans="1:8">
      <c r="A12" s="109" t="s">
        <v>18</v>
      </c>
      <c r="B12" s="110" t="s">
        <v>118</v>
      </c>
      <c r="C12" s="109" t="s">
        <v>9</v>
      </c>
      <c r="D12" s="109">
        <v>21</v>
      </c>
      <c r="E12" s="111">
        <v>15098202108</v>
      </c>
      <c r="F12" s="111">
        <v>17748425468</v>
      </c>
      <c r="G12" s="111"/>
      <c r="H12" s="111"/>
    </row>
    <row r="13" spans="1:8">
      <c r="A13" s="109" t="s">
        <v>20</v>
      </c>
      <c r="B13" s="110" t="s">
        <v>119</v>
      </c>
      <c r="C13" s="109" t="s">
        <v>9</v>
      </c>
      <c r="D13" s="109">
        <v>21</v>
      </c>
      <c r="E13" s="111">
        <v>0</v>
      </c>
      <c r="F13" s="111">
        <v>0</v>
      </c>
      <c r="G13" s="111"/>
      <c r="H13" s="111"/>
    </row>
    <row r="14" spans="1:8">
      <c r="A14" s="109" t="s">
        <v>22</v>
      </c>
      <c r="B14" s="110" t="s">
        <v>120</v>
      </c>
      <c r="C14" s="109" t="s">
        <v>9</v>
      </c>
      <c r="D14" s="109">
        <v>21</v>
      </c>
      <c r="E14" s="111">
        <v>20686680</v>
      </c>
      <c r="F14" s="111">
        <v>12712</v>
      </c>
      <c r="G14" s="111"/>
      <c r="H14" s="111"/>
    </row>
    <row r="15" spans="1:8">
      <c r="A15" s="105" t="s">
        <v>24</v>
      </c>
      <c r="B15" s="106" t="s">
        <v>25</v>
      </c>
      <c r="C15" s="105"/>
      <c r="D15" s="105"/>
      <c r="E15" s="112">
        <v>15118888788</v>
      </c>
      <c r="F15" s="112">
        <v>17748438180</v>
      </c>
      <c r="G15" s="112"/>
      <c r="H15" s="112"/>
    </row>
    <row r="16" spans="1:8">
      <c r="A16" s="109" t="s">
        <v>26</v>
      </c>
      <c r="B16" s="110" t="s">
        <v>27</v>
      </c>
      <c r="C16" s="109" t="s">
        <v>15</v>
      </c>
      <c r="D16" s="109">
        <v>6</v>
      </c>
      <c r="E16" s="111">
        <v>237085553</v>
      </c>
      <c r="F16" s="111">
        <v>100359957</v>
      </c>
      <c r="G16" s="111"/>
      <c r="H16" s="111"/>
    </row>
    <row r="17" spans="1:8">
      <c r="A17" s="109" t="s">
        <v>28</v>
      </c>
      <c r="B17" s="110" t="s">
        <v>29</v>
      </c>
      <c r="C17" s="109"/>
      <c r="D17" s="109">
        <v>21</v>
      </c>
      <c r="E17" s="111">
        <v>63508535</v>
      </c>
      <c r="F17" s="111">
        <v>31315159</v>
      </c>
      <c r="G17" s="111"/>
      <c r="H17" s="111"/>
    </row>
    <row r="18" spans="1:8">
      <c r="A18" s="109" t="s">
        <v>30</v>
      </c>
      <c r="B18" s="110" t="s">
        <v>31</v>
      </c>
      <c r="C18" s="109"/>
      <c r="D18" s="109">
        <v>21</v>
      </c>
      <c r="E18" s="111">
        <v>0</v>
      </c>
      <c r="F18" s="111">
        <v>0</v>
      </c>
      <c r="G18" s="111"/>
      <c r="H18" s="111"/>
    </row>
    <row r="19" spans="1:8">
      <c r="A19" s="109" t="s">
        <v>32</v>
      </c>
      <c r="B19" s="110" t="s">
        <v>33</v>
      </c>
      <c r="C19" s="109" t="s">
        <v>9</v>
      </c>
      <c r="D19" s="109">
        <v>21</v>
      </c>
      <c r="E19" s="111">
        <v>1000949</v>
      </c>
      <c r="F19" s="111">
        <v>531038</v>
      </c>
      <c r="G19" s="111"/>
      <c r="H19" s="111"/>
    </row>
    <row r="20" spans="1:8">
      <c r="A20" s="109" t="s">
        <v>34</v>
      </c>
      <c r="B20" s="110" t="s">
        <v>99</v>
      </c>
      <c r="C20" s="109" t="s">
        <v>9</v>
      </c>
      <c r="D20" s="109">
        <v>12</v>
      </c>
      <c r="E20" s="111">
        <v>0</v>
      </c>
      <c r="F20" s="111">
        <v>53520000</v>
      </c>
      <c r="G20" s="111"/>
      <c r="H20" s="111"/>
    </row>
    <row r="21" spans="1:8">
      <c r="A21" s="109" t="s">
        <v>36</v>
      </c>
      <c r="B21" s="110" t="s">
        <v>37</v>
      </c>
      <c r="C21" s="109" t="s">
        <v>12</v>
      </c>
      <c r="D21" s="109">
        <v>22</v>
      </c>
      <c r="E21" s="111">
        <v>0</v>
      </c>
      <c r="F21" s="111">
        <v>0</v>
      </c>
      <c r="G21" s="111"/>
      <c r="H21" s="111"/>
    </row>
    <row r="22" spans="1:8">
      <c r="A22" s="109" t="s">
        <v>38</v>
      </c>
      <c r="B22" s="110" t="s">
        <v>39</v>
      </c>
      <c r="C22" s="109" t="s">
        <v>15</v>
      </c>
      <c r="D22" s="109">
        <v>6</v>
      </c>
      <c r="E22" s="111">
        <v>0</v>
      </c>
      <c r="F22" s="111">
        <v>0</v>
      </c>
      <c r="G22" s="111"/>
      <c r="H22" s="111"/>
    </row>
    <row r="23" spans="1:8">
      <c r="A23" s="109" t="s">
        <v>40</v>
      </c>
      <c r="B23" s="110" t="s">
        <v>41</v>
      </c>
      <c r="C23" s="109" t="s">
        <v>12</v>
      </c>
      <c r="D23" s="109">
        <v>22</v>
      </c>
      <c r="E23" s="111">
        <v>-3585894455</v>
      </c>
      <c r="F23" s="111">
        <v>-4237015280</v>
      </c>
      <c r="G23" s="111"/>
      <c r="H23" s="111"/>
    </row>
    <row r="24" spans="1:8">
      <c r="A24" s="109" t="s">
        <v>42</v>
      </c>
      <c r="B24" s="110" t="s">
        <v>43</v>
      </c>
      <c r="C24" s="109" t="s">
        <v>15</v>
      </c>
      <c r="D24" s="109">
        <v>6</v>
      </c>
      <c r="E24" s="111">
        <v>119698651</v>
      </c>
      <c r="F24" s="111">
        <v>330742202</v>
      </c>
      <c r="G24" s="111"/>
      <c r="H24" s="111"/>
    </row>
    <row r="25" spans="1:8">
      <c r="A25" s="109" t="s">
        <v>44</v>
      </c>
      <c r="B25" s="110" t="s">
        <v>45</v>
      </c>
      <c r="C25" s="109" t="s">
        <v>12</v>
      </c>
      <c r="D25" s="109">
        <v>23</v>
      </c>
      <c r="E25" s="111">
        <v>-3453328573</v>
      </c>
      <c r="F25" s="111">
        <v>-4753977481</v>
      </c>
      <c r="G25" s="111"/>
      <c r="H25" s="111"/>
    </row>
    <row r="26" spans="1:8">
      <c r="A26" s="109" t="s">
        <v>46</v>
      </c>
      <c r="B26" s="110" t="s">
        <v>47</v>
      </c>
      <c r="C26" s="109" t="s">
        <v>12</v>
      </c>
      <c r="D26" s="109">
        <v>24</v>
      </c>
      <c r="E26" s="111">
        <v>-831356141</v>
      </c>
      <c r="F26" s="111">
        <v>-818209910</v>
      </c>
      <c r="G26" s="111"/>
      <c r="H26" s="111"/>
    </row>
    <row r="27" spans="1:8">
      <c r="A27" s="109" t="s">
        <v>48</v>
      </c>
      <c r="B27" s="110" t="s">
        <v>49</v>
      </c>
      <c r="C27" s="109" t="s">
        <v>12</v>
      </c>
      <c r="D27" s="109">
        <v>25</v>
      </c>
      <c r="E27" s="111">
        <v>-12622427</v>
      </c>
      <c r="F27" s="111">
        <v>-126423698</v>
      </c>
      <c r="G27" s="111"/>
      <c r="H27" s="111"/>
    </row>
    <row r="28" spans="1:8">
      <c r="A28" s="109" t="s">
        <v>50</v>
      </c>
      <c r="B28" s="110" t="s">
        <v>51</v>
      </c>
      <c r="C28" s="109" t="s">
        <v>12</v>
      </c>
      <c r="D28" s="109">
        <v>26</v>
      </c>
      <c r="E28" s="111">
        <v>-206216425</v>
      </c>
      <c r="F28" s="111">
        <v>-107531581</v>
      </c>
      <c r="G28" s="111"/>
      <c r="H28" s="111"/>
    </row>
    <row r="29" spans="1:8">
      <c r="A29" s="105" t="s">
        <v>52</v>
      </c>
      <c r="B29" s="106" t="s">
        <v>53</v>
      </c>
      <c r="C29" s="105"/>
      <c r="D29" s="105"/>
      <c r="E29" s="112">
        <v>7450764455</v>
      </c>
      <c r="F29" s="112">
        <v>8221748586</v>
      </c>
      <c r="G29" s="112"/>
      <c r="H29" s="112"/>
    </row>
    <row r="30" spans="1:8">
      <c r="A30" s="109" t="s">
        <v>54</v>
      </c>
      <c r="B30" s="110" t="s">
        <v>55</v>
      </c>
      <c r="C30" s="109" t="s">
        <v>12</v>
      </c>
      <c r="D30" s="109">
        <v>27</v>
      </c>
      <c r="E30" s="111">
        <v>-2313753672</v>
      </c>
      <c r="F30" s="111">
        <v>-2215358068</v>
      </c>
      <c r="G30" s="111"/>
      <c r="H30" s="111"/>
    </row>
    <row r="31" spans="1:8">
      <c r="A31" s="105" t="s">
        <v>56</v>
      </c>
      <c r="B31" s="106" t="s">
        <v>57</v>
      </c>
      <c r="C31" s="105"/>
      <c r="D31" s="105"/>
      <c r="E31" s="112">
        <v>5137010783</v>
      </c>
      <c r="F31" s="112">
        <v>6006390518</v>
      </c>
      <c r="G31" s="112"/>
      <c r="H31" s="112"/>
    </row>
    <row r="32" spans="1:8">
      <c r="A32" s="113" t="s">
        <v>58</v>
      </c>
      <c r="B32" s="114" t="s">
        <v>100</v>
      </c>
      <c r="C32" s="113" t="s">
        <v>9</v>
      </c>
      <c r="D32" s="113">
        <v>28</v>
      </c>
      <c r="E32" s="111">
        <v>82283490</v>
      </c>
      <c r="F32" s="111">
        <v>582203207</v>
      </c>
      <c r="G32" s="111"/>
      <c r="H32" s="111"/>
    </row>
    <row r="33" spans="1:8">
      <c r="A33" s="109" t="s">
        <v>60</v>
      </c>
      <c r="B33" s="110" t="s">
        <v>61</v>
      </c>
      <c r="C33" s="109" t="s">
        <v>12</v>
      </c>
      <c r="D33" s="109" t="s">
        <v>62</v>
      </c>
      <c r="E33" s="111">
        <v>-861586282</v>
      </c>
      <c r="F33" s="111">
        <v>-874274421</v>
      </c>
      <c r="G33" s="111"/>
      <c r="H33" s="111"/>
    </row>
    <row r="34" spans="1:8">
      <c r="A34" s="105" t="s">
        <v>63</v>
      </c>
      <c r="B34" s="106" t="s">
        <v>64</v>
      </c>
      <c r="C34" s="105"/>
      <c r="D34" s="105"/>
      <c r="E34" s="112">
        <v>4357707991</v>
      </c>
      <c r="F34" s="112">
        <v>5714319304</v>
      </c>
      <c r="G34" s="112"/>
      <c r="H34" s="112"/>
    </row>
    <row r="35" spans="1:8">
      <c r="A35" s="109" t="s">
        <v>65</v>
      </c>
      <c r="B35" s="110" t="s">
        <v>66</v>
      </c>
      <c r="C35" s="109" t="s">
        <v>9</v>
      </c>
      <c r="D35" s="109">
        <v>29</v>
      </c>
      <c r="E35" s="111">
        <v>23880790</v>
      </c>
      <c r="F35" s="111">
        <v>12452925</v>
      </c>
      <c r="G35" s="111"/>
      <c r="H35" s="111"/>
    </row>
    <row r="36" spans="1:8">
      <c r="A36" s="109" t="s">
        <v>67</v>
      </c>
      <c r="B36" s="110" t="s">
        <v>68</v>
      </c>
      <c r="C36" s="109" t="s">
        <v>9</v>
      </c>
      <c r="D36" s="109">
        <v>28</v>
      </c>
      <c r="E36" s="111">
        <v>0</v>
      </c>
      <c r="F36" s="111">
        <v>0</v>
      </c>
      <c r="G36" s="111"/>
      <c r="H36" s="111"/>
    </row>
    <row r="37" spans="1:8">
      <c r="A37" s="109" t="s">
        <v>69</v>
      </c>
      <c r="B37" s="110" t="s">
        <v>101</v>
      </c>
      <c r="C37" s="109" t="s">
        <v>9</v>
      </c>
      <c r="D37" s="109">
        <v>12</v>
      </c>
      <c r="E37" s="111">
        <v>0</v>
      </c>
      <c r="F37" s="111">
        <v>0</v>
      </c>
      <c r="G37" s="111"/>
      <c r="H37" s="111"/>
    </row>
    <row r="38" spans="1:8">
      <c r="A38" s="109" t="s">
        <v>71</v>
      </c>
      <c r="B38" s="110" t="s">
        <v>72</v>
      </c>
      <c r="C38" s="109" t="s">
        <v>12</v>
      </c>
      <c r="D38" s="109">
        <v>29</v>
      </c>
      <c r="E38" s="111">
        <v>0</v>
      </c>
      <c r="F38" s="111">
        <v>-8096</v>
      </c>
      <c r="G38" s="111"/>
      <c r="H38" s="111"/>
    </row>
    <row r="39" spans="1:8">
      <c r="A39" s="109" t="s">
        <v>73</v>
      </c>
      <c r="B39" s="110" t="s">
        <v>74</v>
      </c>
      <c r="C39" s="109" t="s">
        <v>12</v>
      </c>
      <c r="D39" s="109" t="s">
        <v>62</v>
      </c>
      <c r="E39" s="111">
        <v>0</v>
      </c>
      <c r="F39" s="111">
        <v>0</v>
      </c>
      <c r="G39" s="111"/>
      <c r="H39" s="111"/>
    </row>
    <row r="40" spans="1:8">
      <c r="A40" s="105" t="s">
        <v>75</v>
      </c>
      <c r="B40" s="106" t="s">
        <v>76</v>
      </c>
      <c r="C40" s="105"/>
      <c r="D40" s="105"/>
      <c r="E40" s="112">
        <v>23880790</v>
      </c>
      <c r="F40" s="112">
        <v>12444829</v>
      </c>
      <c r="G40" s="112"/>
      <c r="H40" s="112"/>
    </row>
    <row r="41" spans="1:8">
      <c r="A41" s="115" t="s">
        <v>77</v>
      </c>
      <c r="B41" s="116" t="s">
        <v>78</v>
      </c>
      <c r="C41" s="115"/>
      <c r="D41" s="115"/>
      <c r="E41" s="117">
        <v>4381588781</v>
      </c>
      <c r="F41" s="117">
        <v>5726764133</v>
      </c>
      <c r="G41" s="117"/>
      <c r="H41" s="117"/>
    </row>
    <row r="42" spans="1:8">
      <c r="A42" s="109" t="s">
        <v>79</v>
      </c>
      <c r="B42" s="110" t="s">
        <v>80</v>
      </c>
      <c r="C42" s="109" t="s">
        <v>9</v>
      </c>
      <c r="D42" s="109" t="s">
        <v>81</v>
      </c>
      <c r="E42" s="111">
        <v>2118644</v>
      </c>
      <c r="F42" s="111">
        <v>0</v>
      </c>
      <c r="G42" s="111"/>
      <c r="H42" s="111"/>
    </row>
    <row r="43" spans="1:8">
      <c r="A43" s="109" t="s">
        <v>82</v>
      </c>
      <c r="B43" s="110" t="s">
        <v>83</v>
      </c>
      <c r="C43" s="109" t="s">
        <v>9</v>
      </c>
      <c r="D43" s="109">
        <v>30</v>
      </c>
      <c r="E43" s="111">
        <v>0</v>
      </c>
      <c r="F43" s="111">
        <v>0</v>
      </c>
      <c r="G43" s="111"/>
      <c r="H43" s="111"/>
    </row>
    <row r="44" spans="1:8">
      <c r="A44" s="109" t="s">
        <v>84</v>
      </c>
      <c r="B44" s="110" t="s">
        <v>85</v>
      </c>
      <c r="C44" s="109" t="s">
        <v>12</v>
      </c>
      <c r="D44" s="109" t="s">
        <v>81</v>
      </c>
      <c r="E44" s="111">
        <v>-604299</v>
      </c>
      <c r="F44" s="111">
        <v>-4614421</v>
      </c>
      <c r="G44" s="111"/>
      <c r="H44" s="111"/>
    </row>
    <row r="45" spans="1:8">
      <c r="A45" s="109" t="s">
        <v>86</v>
      </c>
      <c r="B45" s="110" t="s">
        <v>102</v>
      </c>
      <c r="C45" s="109" t="s">
        <v>12</v>
      </c>
      <c r="D45" s="109">
        <v>30</v>
      </c>
      <c r="E45" s="111">
        <v>0</v>
      </c>
      <c r="F45" s="111">
        <v>-530648278</v>
      </c>
      <c r="G45" s="111"/>
      <c r="H45" s="111"/>
    </row>
    <row r="46" spans="1:8">
      <c r="A46" s="115" t="s">
        <v>88</v>
      </c>
      <c r="B46" s="116" t="s">
        <v>89</v>
      </c>
      <c r="C46" s="115"/>
      <c r="D46" s="115"/>
      <c r="E46" s="117">
        <v>1514345</v>
      </c>
      <c r="F46" s="117">
        <v>-535262699</v>
      </c>
      <c r="G46" s="117"/>
      <c r="H46" s="117"/>
    </row>
    <row r="47" spans="1:8">
      <c r="A47" s="109" t="s">
        <v>90</v>
      </c>
      <c r="B47" s="110" t="s">
        <v>103</v>
      </c>
      <c r="C47" s="109" t="s">
        <v>12</v>
      </c>
      <c r="D47" s="109">
        <v>30</v>
      </c>
      <c r="E47" s="111">
        <v>0</v>
      </c>
      <c r="F47" s="111">
        <v>0</v>
      </c>
      <c r="G47" s="111"/>
      <c r="H47" s="111"/>
    </row>
    <row r="48" spans="1:8">
      <c r="A48" s="109" t="s">
        <v>92</v>
      </c>
      <c r="B48" s="110" t="s">
        <v>93</v>
      </c>
      <c r="C48" s="109" t="s">
        <v>12</v>
      </c>
      <c r="D48" s="109">
        <v>37</v>
      </c>
      <c r="E48" s="111">
        <v>-689324700</v>
      </c>
      <c r="F48" s="111">
        <v>-822376950</v>
      </c>
      <c r="G48" s="111"/>
      <c r="H48" s="111"/>
    </row>
    <row r="49" spans="1:8">
      <c r="A49" s="105" t="s">
        <v>94</v>
      </c>
      <c r="B49" s="106" t="s">
        <v>95</v>
      </c>
      <c r="C49" s="105"/>
      <c r="D49" s="106"/>
      <c r="E49" s="112">
        <v>3693778426</v>
      </c>
      <c r="F49" s="112">
        <v>4369124484</v>
      </c>
      <c r="G49" s="112"/>
      <c r="H49" s="112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H5" xr:uid="{0FD59901-E571-4CB3-86EA-9789E68F39FD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60BDA3F7-E2C1-4D09-A61F-04E31DF29916}">
      <formula1>0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3B51-D314-4C1B-8F66-F85DEC73C3B1}">
  <sheetPr>
    <tabColor rgb="FF00B050"/>
  </sheetPr>
  <dimension ref="A1:H84"/>
  <sheetViews>
    <sheetView topLeftCell="C4" workbookViewId="0">
      <selection activeCell="G12" sqref="G12"/>
    </sheetView>
  </sheetViews>
  <sheetFormatPr baseColWidth="10" defaultColWidth="10.28515625" defaultRowHeight="12.75"/>
  <cols>
    <col min="1" max="1" width="11.5703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5" width="15.7109375" style="28" customWidth="1" collapsed="1"/>
    <col min="6" max="7" width="15.7109375" style="28" customWidth="1"/>
    <col min="8" max="8" width="15.7109375" style="28" customWidth="1" collapsed="1"/>
    <col min="9" max="16384" width="10.28515625" style="27" collapsed="1"/>
  </cols>
  <sheetData>
    <row r="1" spans="1:8" s="1" customFormat="1" ht="24.4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E3" s="72">
        <f>+'[6]Fiche de renseignement R1'!$V$10</f>
        <v>45657</v>
      </c>
      <c r="F3" s="72"/>
      <c r="G3" s="72"/>
      <c r="H3" s="73"/>
    </row>
    <row r="4" spans="1:8" s="1" customFormat="1" ht="15" customHeight="1">
      <c r="A4" s="73" t="s">
        <v>129</v>
      </c>
      <c r="B4" s="73"/>
      <c r="C4" s="73"/>
      <c r="D4" s="74" t="s">
        <v>2</v>
      </c>
      <c r="E4" s="75">
        <f>+'[6]Fiche de renseignement R1'!$AH$10</f>
        <v>12</v>
      </c>
      <c r="F4" s="75"/>
      <c r="G4" s="75"/>
      <c r="H4" s="75"/>
    </row>
    <row r="5" spans="1:8" s="1" customFormat="1" ht="31.15" customHeight="1">
      <c r="A5" s="4" t="s">
        <v>3</v>
      </c>
      <c r="B5" s="76" t="str">
        <f>+'[6]Fiche de renseignement R1'!$J$10</f>
        <v xml:space="preserve">000028797 </v>
      </c>
      <c r="C5" s="76"/>
      <c r="D5" s="74"/>
      <c r="E5" s="73"/>
      <c r="F5" s="73"/>
      <c r="G5" s="73"/>
      <c r="H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4872000</v>
      </c>
      <c r="F8" s="10">
        <v>55042000</v>
      </c>
      <c r="G8" s="10">
        <v>9591209</v>
      </c>
      <c r="H8" s="10">
        <v>32567814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-9782220</v>
      </c>
      <c r="F9" s="13">
        <v>-26550000</v>
      </c>
      <c r="G9" s="13">
        <v>-14060620</v>
      </c>
      <c r="H9" s="13"/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9126340</v>
      </c>
      <c r="F10" s="13">
        <v>0</v>
      </c>
      <c r="G10" s="13">
        <v>0</v>
      </c>
      <c r="H10" s="13">
        <v>-18948000</v>
      </c>
    </row>
    <row r="11" spans="1:8" ht="18" customHeight="1">
      <c r="A11" s="16" t="s">
        <v>16</v>
      </c>
      <c r="B11" s="17" t="s">
        <v>17</v>
      </c>
      <c r="C11" s="16"/>
      <c r="D11" s="16"/>
      <c r="E11" s="18">
        <v>4216120</v>
      </c>
      <c r="F11" s="18">
        <v>28492000</v>
      </c>
      <c r="G11" s="18">
        <v>-4469411</v>
      </c>
      <c r="H11" s="18">
        <v>13619814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4369859187</v>
      </c>
      <c r="F12" s="13">
        <v>4677813303</v>
      </c>
      <c r="G12" s="13">
        <v>3562453679</v>
      </c>
      <c r="H12" s="13">
        <v>7547834379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510698706</v>
      </c>
      <c r="F13" s="13">
        <v>561153717</v>
      </c>
      <c r="G13" s="13">
        <v>402106207</v>
      </c>
      <c r="H13" s="13">
        <v>529360936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27593244</v>
      </c>
      <c r="F14" s="13">
        <v>27593244</v>
      </c>
      <c r="G14" s="13">
        <v>28135344</v>
      </c>
      <c r="H14" s="13">
        <v>30324205</v>
      </c>
    </row>
    <row r="15" spans="1:8" ht="18" customHeight="1">
      <c r="A15" s="16" t="s">
        <v>24</v>
      </c>
      <c r="B15" s="17" t="s">
        <v>25</v>
      </c>
      <c r="C15" s="16"/>
      <c r="D15" s="16"/>
      <c r="E15" s="18">
        <v>4913023137</v>
      </c>
      <c r="F15" s="18">
        <v>5321602264</v>
      </c>
      <c r="G15" s="18">
        <v>4002286439</v>
      </c>
      <c r="H15" s="18">
        <v>8140087334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-49063489</v>
      </c>
      <c r="F16" s="13">
        <v>330326749</v>
      </c>
      <c r="G16" s="13">
        <v>123654048</v>
      </c>
      <c r="H16" s="13">
        <v>76516869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  <c r="G17" s="13"/>
      <c r="H17" s="13"/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  <c r="G18" s="13"/>
      <c r="H18" s="13"/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15959905</v>
      </c>
      <c r="F19" s="13">
        <v>9948633</v>
      </c>
      <c r="G19" s="13">
        <v>7540599</v>
      </c>
      <c r="H19" s="13">
        <v>10691787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  <c r="G20" s="21"/>
      <c r="H20" s="21"/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/>
      <c r="F21" s="13"/>
      <c r="G21" s="13"/>
      <c r="H21" s="13"/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79176380</v>
      </c>
      <c r="F22" s="13">
        <v>18904523</v>
      </c>
      <c r="G22" s="13">
        <v>-266861481</v>
      </c>
      <c r="H22" s="13">
        <v>-158293378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-803996681</v>
      </c>
      <c r="F23" s="13">
        <v>-663898559</v>
      </c>
      <c r="G23" s="13">
        <v>-602490841</v>
      </c>
      <c r="H23" s="13">
        <v>-605407530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25813098</v>
      </c>
      <c r="F24" s="13">
        <v>-47184027</v>
      </c>
      <c r="G24" s="13">
        <v>-8249672</v>
      </c>
      <c r="H24" s="13">
        <v>-612780865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-406810833</v>
      </c>
      <c r="F25" s="13">
        <v>-654738151</v>
      </c>
      <c r="G25" s="13">
        <v>-669264084</v>
      </c>
      <c r="H25" s="13">
        <v>-4785670942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-2525092868</v>
      </c>
      <c r="F26" s="13">
        <v>-2813981324</v>
      </c>
      <c r="G26" s="13">
        <v>-1872046375</v>
      </c>
      <c r="H26" s="13">
        <v>-1815474056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-158771053</v>
      </c>
      <c r="F27" s="13">
        <v>-356592941</v>
      </c>
      <c r="G27" s="13">
        <v>-96948384</v>
      </c>
      <c r="H27" s="13">
        <v>-75322543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-31353273</v>
      </c>
      <c r="F28" s="13">
        <v>-21273378</v>
      </c>
      <c r="G28" s="13">
        <v>-23453336</v>
      </c>
      <c r="H28" s="13">
        <v>-164083387</v>
      </c>
    </row>
    <row r="29" spans="1:8" ht="18" customHeight="1">
      <c r="A29" s="16" t="s">
        <v>52</v>
      </c>
      <c r="B29" s="17" t="s">
        <v>53</v>
      </c>
      <c r="C29" s="16"/>
      <c r="D29" s="16"/>
      <c r="E29" s="18">
        <v>1058228443</v>
      </c>
      <c r="F29" s="18">
        <v>1096563789</v>
      </c>
      <c r="G29" s="18">
        <v>580106293</v>
      </c>
      <c r="H29" s="18">
        <v>-8684711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-1041608527</v>
      </c>
      <c r="F30" s="13">
        <v>-1016390100</v>
      </c>
      <c r="G30" s="13">
        <v>-771443937</v>
      </c>
      <c r="H30" s="13">
        <v>-819664250</v>
      </c>
    </row>
    <row r="31" spans="1:8" ht="18" customHeight="1">
      <c r="A31" s="16" t="s">
        <v>56</v>
      </c>
      <c r="B31" s="17" t="s">
        <v>57</v>
      </c>
      <c r="C31" s="16"/>
      <c r="D31" s="16"/>
      <c r="E31" s="18">
        <v>16619916</v>
      </c>
      <c r="F31" s="18">
        <v>80173689</v>
      </c>
      <c r="G31" s="18">
        <v>-191337644</v>
      </c>
      <c r="H31" s="18">
        <v>-828348961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27893265</v>
      </c>
      <c r="F32" s="13">
        <v>31340056</v>
      </c>
      <c r="G32" s="13">
        <v>28437869</v>
      </c>
      <c r="H32" s="13">
        <v>651046672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-257573898</v>
      </c>
      <c r="F33" s="21">
        <v>-245699707</v>
      </c>
      <c r="G33" s="21">
        <v>-234417091</v>
      </c>
      <c r="H33" s="21">
        <v>-250327809</v>
      </c>
    </row>
    <row r="34" spans="1:8" ht="18" customHeight="1">
      <c r="A34" s="16" t="s">
        <v>63</v>
      </c>
      <c r="B34" s="17" t="s">
        <v>64</v>
      </c>
      <c r="C34" s="16"/>
      <c r="D34" s="16"/>
      <c r="E34" s="18">
        <v>-213060717</v>
      </c>
      <c r="F34" s="18">
        <v>-134185962</v>
      </c>
      <c r="G34" s="18">
        <v>-397316866</v>
      </c>
      <c r="H34" s="18">
        <v>-427630098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1017644</v>
      </c>
      <c r="F35" s="13">
        <v>10545146</v>
      </c>
      <c r="G35" s="13">
        <v>29816161</v>
      </c>
      <c r="H35" s="13">
        <v>31169444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  <c r="G36" s="13"/>
      <c r="H36" s="13"/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  <c r="G37" s="13"/>
      <c r="H37" s="13"/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-41799017</v>
      </c>
      <c r="F38" s="13">
        <v>-39624830</v>
      </c>
      <c r="G38" s="13">
        <v>-36639607</v>
      </c>
      <c r="H38" s="13">
        <v>-24340182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>
        <v>0</v>
      </c>
      <c r="G39" s="13">
        <v>0</v>
      </c>
      <c r="H39" s="13">
        <v>0</v>
      </c>
    </row>
    <row r="40" spans="1:8" ht="18" customHeight="1">
      <c r="A40" s="16" t="s">
        <v>75</v>
      </c>
      <c r="B40" s="17" t="s">
        <v>76</v>
      </c>
      <c r="C40" s="16"/>
      <c r="D40" s="16"/>
      <c r="E40" s="18">
        <v>-40781373</v>
      </c>
      <c r="F40" s="18">
        <v>-29079684</v>
      </c>
      <c r="G40" s="18">
        <v>-6823446</v>
      </c>
      <c r="H40" s="18">
        <v>6829262</v>
      </c>
    </row>
    <row r="41" spans="1:8" ht="18" customHeight="1">
      <c r="A41" s="22" t="s">
        <v>77</v>
      </c>
      <c r="B41" s="23" t="s">
        <v>78</v>
      </c>
      <c r="C41" s="22"/>
      <c r="D41" s="22"/>
      <c r="E41" s="24">
        <v>-253842090</v>
      </c>
      <c r="F41" s="24">
        <v>-163265646</v>
      </c>
      <c r="G41" s="24">
        <v>-404140312</v>
      </c>
      <c r="H41" s="24">
        <v>-420800836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>
        <v>4000000</v>
      </c>
      <c r="G42" s="13">
        <v>1092741400</v>
      </c>
      <c r="H42" s="13">
        <v>142810271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1590930</v>
      </c>
      <c r="F43" s="13">
        <v>16662088</v>
      </c>
      <c r="G43" s="13">
        <v>1000000</v>
      </c>
      <c r="H43" s="13">
        <v>12715983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-3729900</v>
      </c>
      <c r="F44" s="13">
        <v>-2000000</v>
      </c>
      <c r="G44" s="13">
        <v>-14706952</v>
      </c>
      <c r="H44" s="13"/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-22259400</v>
      </c>
      <c r="F45" s="13">
        <v>-1344999</v>
      </c>
      <c r="G45" s="13">
        <v>0</v>
      </c>
      <c r="H45" s="13">
        <v>-4309849</v>
      </c>
    </row>
    <row r="46" spans="1:8" ht="18" customHeight="1">
      <c r="A46" s="22" t="s">
        <v>88</v>
      </c>
      <c r="B46" s="23" t="s">
        <v>89</v>
      </c>
      <c r="C46" s="22"/>
      <c r="D46" s="22"/>
      <c r="E46" s="24">
        <v>-24398370</v>
      </c>
      <c r="F46" s="24">
        <v>17317089</v>
      </c>
      <c r="G46" s="24">
        <v>1079034448</v>
      </c>
      <c r="H46" s="24">
        <v>151216405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  <c r="G47" s="13"/>
      <c r="H47" s="13"/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3">
        <v>-5000000</v>
      </c>
      <c r="F48" s="13">
        <v>-5000000</v>
      </c>
      <c r="G48" s="13">
        <v>-319089854</v>
      </c>
      <c r="H48" s="13">
        <v>-5000000</v>
      </c>
    </row>
    <row r="49" spans="1:8" ht="18" customHeight="1">
      <c r="A49" s="16" t="s">
        <v>94</v>
      </c>
      <c r="B49" s="17" t="s">
        <v>95</v>
      </c>
      <c r="C49" s="16"/>
      <c r="D49" s="16"/>
      <c r="E49" s="18">
        <v>-283240460</v>
      </c>
      <c r="F49" s="18">
        <v>-150948557</v>
      </c>
      <c r="G49" s="18">
        <v>355804282</v>
      </c>
      <c r="H49" s="18">
        <v>-274584431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E62" s="30"/>
      <c r="F62" s="30"/>
      <c r="G62" s="30"/>
      <c r="H62" s="30"/>
    </row>
    <row r="63" spans="1:8" ht="12.75" customHeight="1">
      <c r="E63" s="30"/>
      <c r="F63" s="30"/>
      <c r="G63" s="30"/>
      <c r="H63" s="30"/>
    </row>
    <row r="64" spans="1:8" ht="12.75" customHeight="1">
      <c r="E64" s="30"/>
      <c r="F64" s="30"/>
      <c r="G64" s="30"/>
      <c r="H64" s="30"/>
    </row>
    <row r="65" spans="5:8" ht="12.75" customHeight="1">
      <c r="E65" s="30"/>
      <c r="F65" s="30"/>
      <c r="G65" s="30"/>
      <c r="H65" s="30"/>
    </row>
    <row r="66" spans="5:8" ht="12.75" customHeight="1">
      <c r="E66" s="30"/>
      <c r="F66" s="30"/>
      <c r="G66" s="30"/>
      <c r="H66" s="30"/>
    </row>
    <row r="67" spans="5:8" ht="12.75" customHeight="1">
      <c r="E67" s="30"/>
      <c r="F67" s="30"/>
      <c r="G67" s="30"/>
      <c r="H67" s="30"/>
    </row>
    <row r="68" spans="5:8" ht="12.75" customHeight="1">
      <c r="E68" s="30"/>
      <c r="F68" s="30"/>
      <c r="G68" s="30"/>
      <c r="H68" s="30"/>
    </row>
    <row r="69" spans="5:8" ht="12.75" customHeight="1">
      <c r="E69" s="30"/>
      <c r="F69" s="30"/>
      <c r="G69" s="30"/>
      <c r="H69" s="30"/>
    </row>
    <row r="70" spans="5:8" ht="12.75" customHeight="1">
      <c r="E70" s="30"/>
      <c r="F70" s="30"/>
      <c r="G70" s="30"/>
      <c r="H70" s="30"/>
    </row>
    <row r="71" spans="5:8" ht="12.75" customHeight="1">
      <c r="E71" s="30"/>
      <c r="F71" s="30"/>
      <c r="G71" s="30"/>
      <c r="H71" s="30"/>
    </row>
    <row r="72" spans="5:8" ht="12.75" customHeight="1">
      <c r="E72" s="30"/>
      <c r="F72" s="30"/>
      <c r="G72" s="30"/>
      <c r="H72" s="30"/>
    </row>
    <row r="73" spans="5:8" ht="12.75" customHeight="1">
      <c r="E73" s="30"/>
      <c r="F73" s="30"/>
      <c r="G73" s="30"/>
      <c r="H73" s="30"/>
    </row>
    <row r="74" spans="5:8" ht="12.75" customHeight="1">
      <c r="E74" s="30"/>
      <c r="F74" s="30"/>
      <c r="G74" s="30"/>
      <c r="H74" s="30"/>
    </row>
    <row r="75" spans="5:8" ht="12.75" customHeight="1">
      <c r="E75" s="30"/>
      <c r="F75" s="30"/>
      <c r="G75" s="30"/>
      <c r="H75" s="30"/>
    </row>
    <row r="76" spans="5:8" ht="12.75" customHeight="1">
      <c r="E76" s="30"/>
      <c r="F76" s="30"/>
      <c r="G76" s="30"/>
      <c r="H76" s="30"/>
    </row>
    <row r="77" spans="5:8" ht="12.75" customHeight="1">
      <c r="E77" s="30"/>
      <c r="F77" s="30"/>
      <c r="G77" s="30"/>
      <c r="H77" s="30"/>
    </row>
    <row r="78" spans="5:8" ht="12.75" customHeight="1">
      <c r="E78" s="30"/>
      <c r="F78" s="30"/>
      <c r="G78" s="30"/>
      <c r="H78" s="30"/>
    </row>
    <row r="79" spans="5:8" ht="12.75" customHeight="1">
      <c r="E79" s="30"/>
      <c r="F79" s="30"/>
      <c r="G79" s="30"/>
      <c r="H79" s="30"/>
    </row>
    <row r="80" spans="5:8" ht="12.75" customHeight="1">
      <c r="E80" s="30"/>
      <c r="F80" s="30"/>
      <c r="G80" s="30"/>
      <c r="H80" s="30"/>
    </row>
    <row r="81" spans="5:8" ht="12.75" customHeight="1">
      <c r="E81" s="30"/>
      <c r="F81" s="30"/>
      <c r="G81" s="30"/>
      <c r="H81" s="30"/>
    </row>
    <row r="82" spans="5:8" ht="12.75" customHeight="1">
      <c r="E82" s="30"/>
      <c r="F82" s="30"/>
      <c r="G82" s="30"/>
      <c r="H82" s="30"/>
    </row>
    <row r="83" spans="5:8" ht="12.75" customHeight="1">
      <c r="E83" s="30"/>
      <c r="F83" s="30"/>
      <c r="G83" s="30"/>
      <c r="H83" s="30"/>
    </row>
    <row r="84" spans="5:8" ht="12.75" customHeight="1">
      <c r="E84" s="30"/>
      <c r="F84" s="30"/>
      <c r="G84" s="30"/>
      <c r="H84" s="30"/>
    </row>
  </sheetData>
  <mergeCells count="7">
    <mergeCell ref="A1:H1"/>
    <mergeCell ref="A3:C3"/>
    <mergeCell ref="E3:H3"/>
    <mergeCell ref="A4:C4"/>
    <mergeCell ref="D4:D5"/>
    <mergeCell ref="E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45227D69-27BF-4214-9DDA-3A0D47EFA2DA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4675D168-4D25-45EF-A777-D8EC4A1F4D59}"/>
    <dataValidation allowBlank="1" showInputMessage="1" showErrorMessage="1" errorTitle="Erreur de saisie" error="La cellule ne peut prendre que du numérique." promptTitle="Information" prompt="Cette cellule ne peut prendre que du numérique," sqref="E8:H49" xr:uid="{D9F1FC45-CE9F-4307-B3C2-0054FD8D830E}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8454-4F49-441B-AE95-E4FDEE442E64}">
  <dimension ref="A1:H84"/>
  <sheetViews>
    <sheetView topLeftCell="C1" workbookViewId="0">
      <selection activeCell="E8" sqref="E8"/>
    </sheetView>
  </sheetViews>
  <sheetFormatPr baseColWidth="10" defaultColWidth="10.28515625" defaultRowHeight="12.75"/>
  <cols>
    <col min="1" max="1" width="11.5703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5.7109375" style="28" customWidth="1" collapsed="1"/>
    <col min="9" max="16384" width="10.28515625" style="27" collapsed="1"/>
  </cols>
  <sheetData>
    <row r="1" spans="1:8" s="1" customFormat="1" ht="24.4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</row>
    <row r="3" spans="1:8" s="1" customFormat="1" ht="25.5" customHeight="1">
      <c r="A3" s="71" t="s">
        <v>159</v>
      </c>
      <c r="B3" s="71"/>
      <c r="C3" s="71"/>
      <c r="D3" s="1" t="s">
        <v>1</v>
      </c>
      <c r="G3" s="72">
        <f>+'[30]Fiche de renseignement R1'!$V$10</f>
        <v>44926</v>
      </c>
      <c r="H3" s="73"/>
    </row>
    <row r="4" spans="1:8" s="1" customFormat="1" ht="15" customHeight="1">
      <c r="A4" s="73"/>
      <c r="B4" s="73"/>
      <c r="C4" s="73"/>
      <c r="D4" s="74" t="s">
        <v>2</v>
      </c>
      <c r="E4" s="25"/>
      <c r="F4" s="25"/>
      <c r="G4" s="75">
        <f>+'[30]Fiche de renseignement R1'!$AH$10</f>
        <v>12</v>
      </c>
      <c r="H4" s="75"/>
    </row>
    <row r="5" spans="1:8" s="1" customFormat="1" ht="31.15" customHeight="1">
      <c r="A5" s="4" t="s">
        <v>3</v>
      </c>
      <c r="B5" s="76" t="str">
        <f>+'[30]Fiche de renseignement R1'!$J$10</f>
        <v>004151750</v>
      </c>
      <c r="C5" s="76"/>
      <c r="D5" s="74"/>
      <c r="E5" s="25"/>
      <c r="F5" s="25"/>
      <c r="G5" s="73"/>
      <c r="H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8"/>
      <c r="F8" s="8"/>
      <c r="G8" s="10">
        <v>0</v>
      </c>
      <c r="H8" s="10">
        <v>0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1"/>
      <c r="F9" s="11"/>
      <c r="G9" s="13">
        <v>0</v>
      </c>
      <c r="H9" s="13">
        <v>0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5"/>
      <c r="F10" s="15"/>
      <c r="G10" s="13">
        <v>0</v>
      </c>
      <c r="H10" s="13">
        <v>0</v>
      </c>
    </row>
    <row r="11" spans="1:8" ht="18" customHeight="1">
      <c r="A11" s="16" t="s">
        <v>16</v>
      </c>
      <c r="B11" s="17" t="s">
        <v>17</v>
      </c>
      <c r="C11" s="16"/>
      <c r="D11" s="16"/>
      <c r="E11" s="16"/>
      <c r="F11" s="16"/>
      <c r="G11" s="18">
        <v>0</v>
      </c>
      <c r="H11" s="18">
        <v>0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1"/>
      <c r="F12" s="11"/>
      <c r="G12" s="13">
        <v>0</v>
      </c>
      <c r="H12" s="13">
        <v>0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1"/>
      <c r="F13" s="11"/>
      <c r="G13" s="13">
        <v>0</v>
      </c>
      <c r="H13" s="13">
        <v>0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1"/>
      <c r="F14" s="11"/>
      <c r="G14" s="13">
        <v>0</v>
      </c>
      <c r="H14" s="13">
        <v>0</v>
      </c>
    </row>
    <row r="15" spans="1:8" ht="18" customHeight="1">
      <c r="A15" s="16" t="s">
        <v>24</v>
      </c>
      <c r="B15" s="17" t="s">
        <v>25</v>
      </c>
      <c r="C15" s="16"/>
      <c r="D15" s="16"/>
      <c r="E15" s="16"/>
      <c r="F15" s="16"/>
      <c r="G15" s="18">
        <v>0</v>
      </c>
      <c r="H15" s="18">
        <v>0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1"/>
      <c r="F16" s="11"/>
      <c r="G16" s="13">
        <v>0</v>
      </c>
      <c r="H16" s="13">
        <v>0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1"/>
      <c r="F17" s="11"/>
      <c r="G17" s="13">
        <v>0</v>
      </c>
      <c r="H17" s="13">
        <v>0</v>
      </c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1"/>
      <c r="F18" s="11"/>
      <c r="G18" s="13">
        <v>0</v>
      </c>
      <c r="H18" s="13">
        <v>0</v>
      </c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1"/>
      <c r="F19" s="11"/>
      <c r="G19" s="13">
        <v>44028458545</v>
      </c>
      <c r="H19" s="13">
        <v>1481140435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9"/>
      <c r="F20" s="19"/>
      <c r="G20" s="21">
        <v>2061426599</v>
      </c>
      <c r="H20" s="21">
        <v>1817403075</v>
      </c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1"/>
      <c r="F21" s="11"/>
      <c r="G21" s="13">
        <v>0</v>
      </c>
      <c r="H21" s="13">
        <v>0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1"/>
      <c r="F22" s="11"/>
      <c r="G22" s="13">
        <v>0</v>
      </c>
      <c r="H22" s="13">
        <v>0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1"/>
      <c r="F23" s="11"/>
      <c r="G23" s="13">
        <v>165566822</v>
      </c>
      <c r="H23" s="13">
        <v>238822752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1"/>
      <c r="F24" s="11"/>
      <c r="G24" s="13">
        <v>0</v>
      </c>
      <c r="H24" s="13">
        <v>0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1"/>
      <c r="F25" s="11"/>
      <c r="G25" s="13">
        <v>61471674</v>
      </c>
      <c r="H25" s="13">
        <v>50566947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1"/>
      <c r="F26" s="11"/>
      <c r="G26" s="13">
        <v>400445924</v>
      </c>
      <c r="H26" s="13">
        <v>321697063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1"/>
      <c r="F27" s="11"/>
      <c r="G27" s="13">
        <v>3419691</v>
      </c>
      <c r="H27" s="13">
        <v>4322386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1"/>
      <c r="F28" s="11"/>
      <c r="G28" s="13">
        <v>44103492263</v>
      </c>
      <c r="H28" s="13">
        <v>1204382196</v>
      </c>
    </row>
    <row r="29" spans="1:8" ht="18" customHeight="1">
      <c r="A29" s="16" t="s">
        <v>52</v>
      </c>
      <c r="B29" s="17" t="s">
        <v>53</v>
      </c>
      <c r="C29" s="16"/>
      <c r="D29" s="16"/>
      <c r="E29" s="16"/>
      <c r="F29" s="16"/>
      <c r="G29" s="18">
        <v>1355488770</v>
      </c>
      <c r="H29" s="18">
        <v>1478752166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1"/>
      <c r="F30" s="11"/>
      <c r="G30" s="13">
        <v>1343359100</v>
      </c>
      <c r="H30" s="13">
        <v>1244035072</v>
      </c>
    </row>
    <row r="31" spans="1:8" ht="18" customHeight="1">
      <c r="A31" s="16" t="s">
        <v>56</v>
      </c>
      <c r="B31" s="17" t="s">
        <v>57</v>
      </c>
      <c r="C31" s="16"/>
      <c r="D31" s="16"/>
      <c r="E31" s="16"/>
      <c r="F31" s="16"/>
      <c r="G31" s="18">
        <v>12129670</v>
      </c>
      <c r="H31" s="18">
        <v>234717094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1"/>
      <c r="F32" s="11"/>
      <c r="G32" s="13">
        <v>60033092</v>
      </c>
      <c r="H32" s="13">
        <v>0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9"/>
      <c r="F33" s="19"/>
      <c r="G33" s="21">
        <v>73502626</v>
      </c>
      <c r="H33" s="21">
        <v>234980579</v>
      </c>
    </row>
    <row r="34" spans="1:8" ht="18" customHeight="1">
      <c r="A34" s="16" t="s">
        <v>63</v>
      </c>
      <c r="B34" s="17" t="s">
        <v>64</v>
      </c>
      <c r="C34" s="16"/>
      <c r="D34" s="16"/>
      <c r="E34" s="16"/>
      <c r="F34" s="16"/>
      <c r="G34" s="18">
        <v>-1339864</v>
      </c>
      <c r="H34" s="18">
        <v>-263485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1"/>
      <c r="F35" s="11"/>
      <c r="G35" s="13">
        <v>1607257</v>
      </c>
      <c r="H35" s="13">
        <v>522169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1"/>
      <c r="F36" s="11"/>
      <c r="G36" s="13">
        <v>0</v>
      </c>
      <c r="H36" s="13">
        <v>0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1"/>
      <c r="F37" s="11"/>
      <c r="G37" s="13">
        <v>0</v>
      </c>
      <c r="H37" s="13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1"/>
      <c r="F38" s="11"/>
      <c r="G38" s="13">
        <v>267393</v>
      </c>
      <c r="H38" s="13">
        <v>258684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1"/>
      <c r="F39" s="11"/>
      <c r="G39" s="13">
        <v>0</v>
      </c>
      <c r="H39" s="13">
        <v>0</v>
      </c>
    </row>
    <row r="40" spans="1:8" ht="18" customHeight="1">
      <c r="A40" s="16" t="s">
        <v>75</v>
      </c>
      <c r="B40" s="17" t="s">
        <v>76</v>
      </c>
      <c r="C40" s="16"/>
      <c r="D40" s="16"/>
      <c r="E40" s="16"/>
      <c r="F40" s="16"/>
      <c r="G40" s="18">
        <v>1339864</v>
      </c>
      <c r="H40" s="18">
        <v>263485</v>
      </c>
    </row>
    <row r="41" spans="1:8" ht="18" customHeight="1">
      <c r="A41" s="22" t="s">
        <v>77</v>
      </c>
      <c r="B41" s="23" t="s">
        <v>78</v>
      </c>
      <c r="C41" s="22"/>
      <c r="D41" s="22"/>
      <c r="E41" s="22"/>
      <c r="F41" s="22"/>
      <c r="G41" s="24">
        <v>0</v>
      </c>
      <c r="H41" s="24">
        <v>0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1"/>
      <c r="F42" s="11"/>
      <c r="G42" s="13">
        <v>0</v>
      </c>
      <c r="H42" s="13">
        <v>0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1"/>
      <c r="F43" s="11"/>
      <c r="G43" s="13">
        <v>0</v>
      </c>
      <c r="H43" s="13">
        <v>0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1"/>
      <c r="F44" s="11"/>
      <c r="G44" s="13">
        <v>0</v>
      </c>
      <c r="H44" s="13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1"/>
      <c r="F45" s="11"/>
      <c r="G45" s="13">
        <v>0</v>
      </c>
      <c r="H45" s="13">
        <v>0</v>
      </c>
    </row>
    <row r="46" spans="1:8" ht="18" customHeight="1">
      <c r="A46" s="22" t="s">
        <v>88</v>
      </c>
      <c r="B46" s="23" t="s">
        <v>89</v>
      </c>
      <c r="C46" s="22"/>
      <c r="D46" s="22"/>
      <c r="E46" s="22"/>
      <c r="F46" s="22"/>
      <c r="G46" s="24">
        <v>0</v>
      </c>
      <c r="H46" s="24">
        <v>0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1"/>
      <c r="F47" s="11"/>
      <c r="G47" s="13">
        <v>0</v>
      </c>
      <c r="H47" s="13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1"/>
      <c r="F48" s="11"/>
      <c r="G48" s="13">
        <v>0</v>
      </c>
      <c r="H48" s="13">
        <v>0</v>
      </c>
    </row>
    <row r="49" spans="1:8" ht="18" customHeight="1">
      <c r="A49" s="16" t="s">
        <v>94</v>
      </c>
      <c r="B49" s="17" t="s">
        <v>95</v>
      </c>
      <c r="C49" s="16"/>
      <c r="D49" s="16"/>
      <c r="E49" s="16"/>
      <c r="F49" s="16"/>
      <c r="G49" s="18">
        <v>0</v>
      </c>
      <c r="H49" s="18">
        <v>0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1F7AAD4-0750-4D15-9D2F-7C4854B235F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84C3F4E6-A354-4EA2-9063-5DFA01A3CED7}"/>
    <dataValidation allowBlank="1" showInputMessage="1" showErrorMessage="1" errorTitle="Erreur de saisie" error="La cellule ne peut prendre que du numérique." promptTitle="Information" prompt="Cette cellule ne peut prendre que du numérique," sqref="G8:H49" xr:uid="{1ECE9232-6A78-4B2E-8E4A-A9CF0F7F3310}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D9EB-F64C-46AB-A6E2-1073F0DFE314}">
  <dimension ref="A1:H43"/>
  <sheetViews>
    <sheetView topLeftCell="B1" workbookViewId="0">
      <selection activeCell="C2" sqref="C2"/>
    </sheetView>
  </sheetViews>
  <sheetFormatPr baseColWidth="10" defaultRowHeight="15"/>
  <sheetData>
    <row r="1" spans="1:8">
      <c r="A1" s="78" t="s">
        <v>4</v>
      </c>
      <c r="B1" s="79" t="s">
        <v>5</v>
      </c>
      <c r="C1" s="78"/>
      <c r="D1" s="78" t="s">
        <v>6</v>
      </c>
      <c r="E1" s="78" t="s">
        <v>107</v>
      </c>
      <c r="F1" s="78" t="s">
        <v>108</v>
      </c>
      <c r="G1" s="78" t="s">
        <v>109</v>
      </c>
      <c r="H1" s="78" t="s">
        <v>110</v>
      </c>
    </row>
    <row r="2" spans="1:8">
      <c r="A2" s="80" t="s">
        <v>7</v>
      </c>
      <c r="B2" s="81" t="s">
        <v>8</v>
      </c>
      <c r="C2" s="80" t="s">
        <v>9</v>
      </c>
      <c r="D2" s="80">
        <v>21</v>
      </c>
      <c r="E2" s="80"/>
      <c r="F2" s="80"/>
      <c r="G2" s="10">
        <v>0</v>
      </c>
      <c r="H2" s="10">
        <v>0</v>
      </c>
    </row>
    <row r="3" spans="1:8">
      <c r="A3" s="82" t="s">
        <v>10</v>
      </c>
      <c r="B3" s="83" t="s">
        <v>11</v>
      </c>
      <c r="C3" s="82" t="s">
        <v>12</v>
      </c>
      <c r="D3" s="82">
        <v>22</v>
      </c>
      <c r="E3" s="82"/>
      <c r="F3" s="82"/>
      <c r="G3" s="13">
        <v>0</v>
      </c>
      <c r="H3" s="13">
        <v>0</v>
      </c>
    </row>
    <row r="4" spans="1:8">
      <c r="A4" s="82" t="s">
        <v>13</v>
      </c>
      <c r="B4" s="84" t="s">
        <v>98</v>
      </c>
      <c r="C4" s="85" t="s">
        <v>15</v>
      </c>
      <c r="D4" s="85">
        <v>6</v>
      </c>
      <c r="E4" s="85"/>
      <c r="F4" s="85"/>
      <c r="G4" s="13">
        <v>0</v>
      </c>
      <c r="H4" s="13">
        <v>0</v>
      </c>
    </row>
    <row r="5" spans="1:8">
      <c r="A5" s="86" t="s">
        <v>16</v>
      </c>
      <c r="B5" s="87" t="s">
        <v>17</v>
      </c>
      <c r="C5" s="86"/>
      <c r="D5" s="86"/>
      <c r="E5" s="86"/>
      <c r="F5" s="86"/>
      <c r="G5" s="18">
        <v>0</v>
      </c>
      <c r="H5" s="18">
        <v>0</v>
      </c>
    </row>
    <row r="6" spans="1:8">
      <c r="A6" s="82" t="s">
        <v>18</v>
      </c>
      <c r="B6" s="83" t="s">
        <v>19</v>
      </c>
      <c r="C6" s="82" t="s">
        <v>9</v>
      </c>
      <c r="D6" s="82">
        <v>21</v>
      </c>
      <c r="E6" s="82"/>
      <c r="F6" s="82"/>
      <c r="G6" s="13">
        <v>16418122419</v>
      </c>
      <c r="H6" s="13">
        <v>13438954975</v>
      </c>
    </row>
    <row r="7" spans="1:8">
      <c r="A7" s="82" t="s">
        <v>20</v>
      </c>
      <c r="B7" s="83" t="s">
        <v>21</v>
      </c>
      <c r="C7" s="82" t="s">
        <v>9</v>
      </c>
      <c r="D7" s="82">
        <v>21</v>
      </c>
      <c r="E7" s="82"/>
      <c r="F7" s="82"/>
      <c r="G7" s="13">
        <v>8550951451</v>
      </c>
      <c r="H7" s="13">
        <v>9627770206</v>
      </c>
    </row>
    <row r="8" spans="1:8">
      <c r="A8" s="82" t="s">
        <v>22</v>
      </c>
      <c r="B8" s="83" t="s">
        <v>23</v>
      </c>
      <c r="C8" s="82" t="s">
        <v>9</v>
      </c>
      <c r="D8" s="82">
        <v>21</v>
      </c>
      <c r="E8" s="82"/>
      <c r="F8" s="82"/>
      <c r="G8" s="13">
        <v>0</v>
      </c>
      <c r="H8" s="13">
        <v>0</v>
      </c>
    </row>
    <row r="9" spans="1:8">
      <c r="A9" s="86" t="s">
        <v>24</v>
      </c>
      <c r="B9" s="87" t="s">
        <v>25</v>
      </c>
      <c r="C9" s="86"/>
      <c r="D9" s="86"/>
      <c r="E9" s="86"/>
      <c r="F9" s="86"/>
      <c r="G9" s="18">
        <v>24969073870</v>
      </c>
      <c r="H9" s="18">
        <v>23066725181</v>
      </c>
    </row>
    <row r="10" spans="1:8">
      <c r="A10" s="82" t="s">
        <v>26</v>
      </c>
      <c r="B10" s="83" t="s">
        <v>27</v>
      </c>
      <c r="C10" s="85" t="s">
        <v>15</v>
      </c>
      <c r="D10" s="82">
        <v>6</v>
      </c>
      <c r="E10" s="82"/>
      <c r="F10" s="82"/>
      <c r="G10" s="13">
        <v>27460400</v>
      </c>
      <c r="H10" s="13">
        <v>1228892600</v>
      </c>
    </row>
    <row r="11" spans="1:8">
      <c r="A11" s="82" t="s">
        <v>28</v>
      </c>
      <c r="B11" s="83" t="s">
        <v>29</v>
      </c>
      <c r="C11" s="82"/>
      <c r="D11" s="82">
        <v>21</v>
      </c>
      <c r="E11" s="82"/>
      <c r="F11" s="82"/>
      <c r="G11" s="13">
        <v>11961797</v>
      </c>
      <c r="H11" s="13">
        <v>6296167</v>
      </c>
    </row>
    <row r="12" spans="1:8">
      <c r="A12" s="82" t="s">
        <v>30</v>
      </c>
      <c r="B12" s="83" t="s">
        <v>31</v>
      </c>
      <c r="C12" s="82"/>
      <c r="D12" s="82">
        <v>21</v>
      </c>
      <c r="E12" s="82"/>
      <c r="F12" s="82"/>
      <c r="G12" s="13">
        <v>0</v>
      </c>
      <c r="H12" s="13">
        <v>0</v>
      </c>
    </row>
    <row r="13" spans="1:8">
      <c r="A13" s="82" t="s">
        <v>32</v>
      </c>
      <c r="B13" s="83" t="s">
        <v>33</v>
      </c>
      <c r="C13" s="82" t="s">
        <v>9</v>
      </c>
      <c r="D13" s="82">
        <v>21</v>
      </c>
      <c r="E13" s="82"/>
      <c r="F13" s="82"/>
      <c r="G13" s="13">
        <v>70996151</v>
      </c>
      <c r="H13" s="13">
        <v>192236063</v>
      </c>
    </row>
    <row r="14" spans="1:8">
      <c r="A14" s="88" t="s">
        <v>34</v>
      </c>
      <c r="B14" s="89" t="s">
        <v>99</v>
      </c>
      <c r="C14" s="88" t="s">
        <v>9</v>
      </c>
      <c r="D14" s="88">
        <v>12</v>
      </c>
      <c r="E14" s="88"/>
      <c r="F14" s="88"/>
      <c r="G14" s="21">
        <v>15319330</v>
      </c>
      <c r="H14" s="21">
        <v>1806860</v>
      </c>
    </row>
    <row r="15" spans="1:8">
      <c r="A15" s="82" t="s">
        <v>36</v>
      </c>
      <c r="B15" s="83" t="s">
        <v>37</v>
      </c>
      <c r="C15" s="82" t="s">
        <v>12</v>
      </c>
      <c r="D15" s="82">
        <v>22</v>
      </c>
      <c r="E15" s="82"/>
      <c r="F15" s="82"/>
      <c r="G15" s="13">
        <v>-5097151430</v>
      </c>
      <c r="H15" s="13">
        <v>-4450139106</v>
      </c>
    </row>
    <row r="16" spans="1:8">
      <c r="A16" s="82" t="s">
        <v>38</v>
      </c>
      <c r="B16" s="84" t="s">
        <v>39</v>
      </c>
      <c r="C16" s="85" t="s">
        <v>15</v>
      </c>
      <c r="D16" s="82">
        <v>6</v>
      </c>
      <c r="E16" s="82"/>
      <c r="F16" s="82"/>
      <c r="G16" s="13">
        <v>0</v>
      </c>
      <c r="H16" s="13">
        <v>-8610000</v>
      </c>
    </row>
    <row r="17" spans="1:8">
      <c r="A17" s="82" t="s">
        <v>40</v>
      </c>
      <c r="B17" s="83" t="s">
        <v>41</v>
      </c>
      <c r="C17" s="82" t="s">
        <v>12</v>
      </c>
      <c r="D17" s="82">
        <v>22</v>
      </c>
      <c r="E17" s="82"/>
      <c r="F17" s="82"/>
      <c r="G17" s="13">
        <v>-7232398426</v>
      </c>
      <c r="H17" s="13">
        <v>-6315420633</v>
      </c>
    </row>
    <row r="18" spans="1:8">
      <c r="A18" s="82" t="s">
        <v>42</v>
      </c>
      <c r="B18" s="84" t="s">
        <v>43</v>
      </c>
      <c r="C18" s="85" t="s">
        <v>15</v>
      </c>
      <c r="D18" s="82">
        <v>6</v>
      </c>
      <c r="E18" s="82"/>
      <c r="F18" s="82"/>
      <c r="G18" s="13">
        <v>-8229126</v>
      </c>
      <c r="H18" s="13">
        <v>102181528</v>
      </c>
    </row>
    <row r="19" spans="1:8">
      <c r="A19" s="82" t="s">
        <v>44</v>
      </c>
      <c r="B19" s="83" t="s">
        <v>45</v>
      </c>
      <c r="C19" s="82" t="s">
        <v>12</v>
      </c>
      <c r="D19" s="82">
        <v>23</v>
      </c>
      <c r="E19" s="82"/>
      <c r="F19" s="82"/>
      <c r="G19" s="13">
        <v>-3121374560</v>
      </c>
      <c r="H19" s="13">
        <v>-2632450877</v>
      </c>
    </row>
    <row r="20" spans="1:8">
      <c r="A20" s="82" t="s">
        <v>46</v>
      </c>
      <c r="B20" s="83" t="s">
        <v>47</v>
      </c>
      <c r="C20" s="82" t="s">
        <v>12</v>
      </c>
      <c r="D20" s="82">
        <v>24</v>
      </c>
      <c r="E20" s="82"/>
      <c r="F20" s="82"/>
      <c r="G20" s="13">
        <v>-1562924499</v>
      </c>
      <c r="H20" s="13">
        <v>-1348306300</v>
      </c>
    </row>
    <row r="21" spans="1:8">
      <c r="A21" s="82" t="s">
        <v>48</v>
      </c>
      <c r="B21" s="83" t="s">
        <v>49</v>
      </c>
      <c r="C21" s="82" t="s">
        <v>12</v>
      </c>
      <c r="D21" s="82">
        <v>25</v>
      </c>
      <c r="E21" s="82"/>
      <c r="F21" s="82"/>
      <c r="G21" s="13">
        <v>-895577720</v>
      </c>
      <c r="H21" s="13">
        <v>-830763590</v>
      </c>
    </row>
    <row r="22" spans="1:8">
      <c r="A22" s="82" t="s">
        <v>50</v>
      </c>
      <c r="B22" s="83" t="s">
        <v>51</v>
      </c>
      <c r="C22" s="82" t="s">
        <v>12</v>
      </c>
      <c r="D22" s="82">
        <v>26</v>
      </c>
      <c r="E22" s="82"/>
      <c r="F22" s="82"/>
      <c r="G22" s="13">
        <v>-19074494</v>
      </c>
      <c r="H22" s="13">
        <v>-91026851</v>
      </c>
    </row>
    <row r="23" spans="1:8">
      <c r="A23" s="86" t="s">
        <v>52</v>
      </c>
      <c r="B23" s="87" t="s">
        <v>53</v>
      </c>
      <c r="C23" s="86"/>
      <c r="D23" s="86"/>
      <c r="E23" s="86"/>
      <c r="F23" s="86"/>
      <c r="G23" s="18">
        <v>7158081293</v>
      </c>
      <c r="H23" s="18">
        <v>8921421042</v>
      </c>
    </row>
    <row r="24" spans="1:8">
      <c r="A24" s="82" t="s">
        <v>54</v>
      </c>
      <c r="B24" s="83" t="s">
        <v>55</v>
      </c>
      <c r="C24" s="82" t="s">
        <v>12</v>
      </c>
      <c r="D24" s="82">
        <v>27</v>
      </c>
      <c r="E24" s="82"/>
      <c r="F24" s="82"/>
      <c r="G24" s="13">
        <v>-2297980457</v>
      </c>
      <c r="H24" s="13">
        <v>-2177889334</v>
      </c>
    </row>
    <row r="25" spans="1:8">
      <c r="A25" s="86" t="s">
        <v>56</v>
      </c>
      <c r="B25" s="87" t="s">
        <v>57</v>
      </c>
      <c r="C25" s="86"/>
      <c r="D25" s="86"/>
      <c r="E25" s="86"/>
      <c r="F25" s="86"/>
      <c r="G25" s="18">
        <v>4860100836</v>
      </c>
      <c r="H25" s="18">
        <v>6743531708</v>
      </c>
    </row>
    <row r="26" spans="1:8">
      <c r="A26" s="82" t="s">
        <v>58</v>
      </c>
      <c r="B26" s="83" t="s">
        <v>100</v>
      </c>
      <c r="C26" s="82" t="s">
        <v>9</v>
      </c>
      <c r="D26" s="82">
        <v>28</v>
      </c>
      <c r="E26" s="82"/>
      <c r="F26" s="82"/>
      <c r="G26" s="13">
        <v>289859990</v>
      </c>
      <c r="H26" s="13">
        <v>274469796</v>
      </c>
    </row>
    <row r="27" spans="1:8">
      <c r="A27" s="88" t="s">
        <v>60</v>
      </c>
      <c r="B27" s="89" t="s">
        <v>61</v>
      </c>
      <c r="C27" s="88" t="s">
        <v>12</v>
      </c>
      <c r="D27" s="88" t="s">
        <v>62</v>
      </c>
      <c r="E27" s="88"/>
      <c r="F27" s="88"/>
      <c r="G27" s="21">
        <v>-3555464692</v>
      </c>
      <c r="H27" s="21">
        <v>-2750711428</v>
      </c>
    </row>
    <row r="28" spans="1:8">
      <c r="A28" s="86" t="s">
        <v>63</v>
      </c>
      <c r="B28" s="87" t="s">
        <v>64</v>
      </c>
      <c r="C28" s="86"/>
      <c r="D28" s="86"/>
      <c r="E28" s="86"/>
      <c r="F28" s="86"/>
      <c r="G28" s="18">
        <v>1594496134</v>
      </c>
      <c r="H28" s="18">
        <v>4267290076</v>
      </c>
    </row>
    <row r="29" spans="1:8">
      <c r="A29" s="82" t="s">
        <v>65</v>
      </c>
      <c r="B29" s="83" t="s">
        <v>66</v>
      </c>
      <c r="C29" s="82" t="s">
        <v>9</v>
      </c>
      <c r="D29" s="82">
        <v>29</v>
      </c>
      <c r="E29" s="82"/>
      <c r="F29" s="82"/>
      <c r="G29" s="13">
        <v>585332749</v>
      </c>
      <c r="H29" s="13">
        <v>539393218</v>
      </c>
    </row>
    <row r="30" spans="1:8">
      <c r="A30" s="82" t="s">
        <v>67</v>
      </c>
      <c r="B30" s="83" t="s">
        <v>68</v>
      </c>
      <c r="C30" s="82" t="s">
        <v>9</v>
      </c>
      <c r="D30" s="82">
        <v>28</v>
      </c>
      <c r="E30" s="82"/>
      <c r="F30" s="82"/>
      <c r="G30" s="13">
        <v>0</v>
      </c>
      <c r="H30" s="13">
        <v>0</v>
      </c>
    </row>
    <row r="31" spans="1:8">
      <c r="A31" s="82" t="s">
        <v>69</v>
      </c>
      <c r="B31" s="83" t="s">
        <v>101</v>
      </c>
      <c r="C31" s="82" t="s">
        <v>9</v>
      </c>
      <c r="D31" s="82">
        <v>12</v>
      </c>
      <c r="E31" s="82"/>
      <c r="F31" s="82"/>
      <c r="G31" s="13">
        <v>0</v>
      </c>
      <c r="H31" s="13">
        <v>0</v>
      </c>
    </row>
    <row r="32" spans="1:8">
      <c r="A32" s="82" t="s">
        <v>71</v>
      </c>
      <c r="B32" s="83" t="s">
        <v>72</v>
      </c>
      <c r="C32" s="82" t="s">
        <v>12</v>
      </c>
      <c r="D32" s="82">
        <v>29</v>
      </c>
      <c r="E32" s="82"/>
      <c r="F32" s="82"/>
      <c r="G32" s="13">
        <v>-202321906</v>
      </c>
      <c r="H32" s="13">
        <v>-23696980</v>
      </c>
    </row>
    <row r="33" spans="1:8">
      <c r="A33" s="82" t="s">
        <v>73</v>
      </c>
      <c r="B33" s="83" t="s">
        <v>74</v>
      </c>
      <c r="C33" s="82" t="s">
        <v>12</v>
      </c>
      <c r="D33" s="82" t="s">
        <v>62</v>
      </c>
      <c r="E33" s="82"/>
      <c r="F33" s="82"/>
      <c r="G33" s="13">
        <v>0</v>
      </c>
      <c r="H33" s="13">
        <v>0</v>
      </c>
    </row>
    <row r="34" spans="1:8">
      <c r="A34" s="86" t="s">
        <v>75</v>
      </c>
      <c r="B34" s="87" t="s">
        <v>76</v>
      </c>
      <c r="C34" s="86"/>
      <c r="D34" s="86"/>
      <c r="E34" s="86"/>
      <c r="F34" s="86"/>
      <c r="G34" s="18">
        <v>383010843</v>
      </c>
      <c r="H34" s="18">
        <v>515696238</v>
      </c>
    </row>
    <row r="35" spans="1:8">
      <c r="A35" s="90" t="s">
        <v>77</v>
      </c>
      <c r="B35" s="91" t="s">
        <v>78</v>
      </c>
      <c r="C35" s="90"/>
      <c r="D35" s="90"/>
      <c r="E35" s="90"/>
      <c r="F35" s="90"/>
      <c r="G35" s="24">
        <v>1977506977</v>
      </c>
      <c r="H35" s="24">
        <v>4782986314</v>
      </c>
    </row>
    <row r="36" spans="1:8">
      <c r="A36" s="82" t="s">
        <v>79</v>
      </c>
      <c r="B36" s="83" t="s">
        <v>80</v>
      </c>
      <c r="C36" s="82" t="s">
        <v>9</v>
      </c>
      <c r="D36" s="82" t="s">
        <v>81</v>
      </c>
      <c r="E36" s="82"/>
      <c r="F36" s="82"/>
      <c r="G36" s="13">
        <v>6500000</v>
      </c>
      <c r="H36" s="13">
        <v>500000</v>
      </c>
    </row>
    <row r="37" spans="1:8">
      <c r="A37" s="82" t="s">
        <v>82</v>
      </c>
      <c r="B37" s="83" t="s">
        <v>83</v>
      </c>
      <c r="C37" s="82" t="s">
        <v>9</v>
      </c>
      <c r="D37" s="82">
        <v>30</v>
      </c>
      <c r="E37" s="82"/>
      <c r="F37" s="82"/>
      <c r="G37" s="13">
        <v>0</v>
      </c>
      <c r="H37" s="13">
        <v>0</v>
      </c>
    </row>
    <row r="38" spans="1:8">
      <c r="A38" s="82" t="s">
        <v>84</v>
      </c>
      <c r="B38" s="83" t="s">
        <v>85</v>
      </c>
      <c r="C38" s="82" t="s">
        <v>12</v>
      </c>
      <c r="D38" s="82" t="s">
        <v>81</v>
      </c>
      <c r="E38" s="82"/>
      <c r="F38" s="82"/>
      <c r="G38" s="13">
        <v>0</v>
      </c>
      <c r="H38" s="13">
        <v>0</v>
      </c>
    </row>
    <row r="39" spans="1:8">
      <c r="A39" s="82" t="s">
        <v>86</v>
      </c>
      <c r="B39" s="83" t="s">
        <v>102</v>
      </c>
      <c r="C39" s="82" t="s">
        <v>12</v>
      </c>
      <c r="D39" s="82">
        <v>30</v>
      </c>
      <c r="E39" s="82"/>
      <c r="F39" s="82"/>
      <c r="G39" s="13">
        <v>0</v>
      </c>
      <c r="H39" s="13">
        <v>0</v>
      </c>
    </row>
    <row r="40" spans="1:8">
      <c r="A40" s="90" t="s">
        <v>88</v>
      </c>
      <c r="B40" s="91" t="s">
        <v>89</v>
      </c>
      <c r="C40" s="90"/>
      <c r="D40" s="90"/>
      <c r="E40" s="90"/>
      <c r="F40" s="90"/>
      <c r="G40" s="24">
        <v>6500000</v>
      </c>
      <c r="H40" s="24">
        <v>500000</v>
      </c>
    </row>
    <row r="41" spans="1:8">
      <c r="A41" s="82" t="s">
        <v>90</v>
      </c>
      <c r="B41" s="83" t="s">
        <v>103</v>
      </c>
      <c r="C41" s="82" t="s">
        <v>12</v>
      </c>
      <c r="D41" s="82">
        <v>30</v>
      </c>
      <c r="E41" s="82"/>
      <c r="F41" s="82"/>
      <c r="G41" s="13">
        <v>0</v>
      </c>
      <c r="H41" s="13">
        <v>0</v>
      </c>
    </row>
    <row r="42" spans="1:8">
      <c r="A42" s="82" t="s">
        <v>92</v>
      </c>
      <c r="B42" s="83" t="s">
        <v>93</v>
      </c>
      <c r="C42" s="82" t="s">
        <v>12</v>
      </c>
      <c r="D42" s="82"/>
      <c r="E42" s="82"/>
      <c r="F42" s="82"/>
      <c r="G42" s="13">
        <v>-623022900</v>
      </c>
      <c r="H42" s="13">
        <v>-1474105800</v>
      </c>
    </row>
    <row r="43" spans="1:8">
      <c r="A43" s="86" t="s">
        <v>94</v>
      </c>
      <c r="B43" s="87" t="s">
        <v>95</v>
      </c>
      <c r="C43" s="86"/>
      <c r="D43" s="86"/>
      <c r="E43" s="86"/>
      <c r="F43" s="86"/>
      <c r="G43" s="18">
        <v>1360984077</v>
      </c>
      <c r="H43" s="18">
        <v>3309380514</v>
      </c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G2:H43" xr:uid="{4F4C483D-E863-4655-80E3-834DAB4AE76B}"/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FFF7-39E6-4F3D-8C42-4815C25FF430}">
  <dimension ref="A1:H84"/>
  <sheetViews>
    <sheetView topLeftCell="D1" workbookViewId="0">
      <selection activeCell="I7" sqref="I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5.7109375" style="28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G3" s="72" t="s">
        <v>114</v>
      </c>
      <c r="H3" s="73"/>
    </row>
    <row r="4" spans="1:8" s="1" customFormat="1" ht="15" customHeight="1">
      <c r="A4" s="77" t="s">
        <v>121</v>
      </c>
      <c r="B4" s="73"/>
      <c r="C4" s="73"/>
      <c r="D4" s="74" t="s">
        <v>2</v>
      </c>
      <c r="E4" s="25"/>
      <c r="F4" s="25"/>
      <c r="G4" s="75">
        <v>12</v>
      </c>
      <c r="H4" s="75"/>
    </row>
    <row r="5" spans="1:8" s="1" customFormat="1" ht="30.95" customHeight="1">
      <c r="A5" s="4" t="s">
        <v>3</v>
      </c>
      <c r="B5" s="76" t="s">
        <v>122</v>
      </c>
      <c r="C5" s="76"/>
      <c r="D5" s="74"/>
      <c r="E5" s="25"/>
      <c r="F5" s="25"/>
      <c r="G5" s="73"/>
      <c r="H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  <c r="G8" s="10"/>
      <c r="H8" s="10"/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  <c r="G9" s="13"/>
      <c r="H9" s="13"/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  <c r="G10" s="13"/>
      <c r="H10" s="13"/>
    </row>
    <row r="11" spans="1:8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  <c r="G11" s="18"/>
      <c r="H11" s="18"/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13061875796</v>
      </c>
      <c r="F12" s="13">
        <v>9549548473</v>
      </c>
      <c r="G12" s="13"/>
      <c r="H12" s="13"/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16517800</v>
      </c>
      <c r="F13" s="13">
        <v>8284586</v>
      </c>
      <c r="G13" s="13"/>
      <c r="H13" s="13"/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10919677</v>
      </c>
      <c r="F14" s="13">
        <v>401700</v>
      </c>
      <c r="G14" s="13"/>
      <c r="H14" s="13"/>
    </row>
    <row r="15" spans="1:8" ht="18" customHeight="1">
      <c r="A15" s="16" t="s">
        <v>24</v>
      </c>
      <c r="B15" s="17" t="s">
        <v>25</v>
      </c>
      <c r="C15" s="16"/>
      <c r="D15" s="16"/>
      <c r="E15" s="18">
        <v>13089313273</v>
      </c>
      <c r="F15" s="18">
        <v>9558234759</v>
      </c>
      <c r="G15" s="18"/>
      <c r="H15" s="18"/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-1509456595</v>
      </c>
      <c r="F16" s="13">
        <v>444198418</v>
      </c>
      <c r="G16" s="13"/>
      <c r="H16" s="13"/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/>
      <c r="H17" s="13"/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/>
      <c r="H18" s="13"/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155734639</v>
      </c>
      <c r="F19" s="13">
        <v>384450</v>
      </c>
      <c r="G19" s="13"/>
      <c r="H19" s="13"/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0</v>
      </c>
      <c r="F20" s="13">
        <v>0</v>
      </c>
      <c r="G20" s="13"/>
      <c r="H20" s="13"/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  <c r="G21" s="13"/>
      <c r="H21" s="13"/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  <c r="G22" s="13"/>
      <c r="H22" s="13"/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-1894411194</v>
      </c>
      <c r="F23" s="13">
        <v>-2125748108</v>
      </c>
      <c r="G23" s="13"/>
      <c r="H23" s="13"/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10951538</v>
      </c>
      <c r="F24" s="13">
        <v>-49744773</v>
      </c>
      <c r="G24" s="13"/>
      <c r="H24" s="13"/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-3558226855</v>
      </c>
      <c r="F25" s="13">
        <v>-3222130130</v>
      </c>
      <c r="G25" s="13"/>
      <c r="H25" s="13"/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-2420263113</v>
      </c>
      <c r="F26" s="13">
        <v>-1832925195</v>
      </c>
      <c r="G26" s="13"/>
      <c r="H26" s="13"/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-391328986</v>
      </c>
      <c r="F27" s="13">
        <v>-226883226</v>
      </c>
      <c r="G27" s="13"/>
      <c r="H27" s="13"/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-50033133</v>
      </c>
      <c r="F28" s="13">
        <v>-139082886</v>
      </c>
      <c r="G28" s="13"/>
      <c r="H28" s="13"/>
    </row>
    <row r="29" spans="1:8" ht="18" customHeight="1">
      <c r="A29" s="16" t="s">
        <v>52</v>
      </c>
      <c r="B29" s="17" t="s">
        <v>53</v>
      </c>
      <c r="C29" s="16"/>
      <c r="D29" s="16"/>
      <c r="E29" s="18">
        <v>3432279574</v>
      </c>
      <c r="F29" s="18">
        <v>2406303309</v>
      </c>
      <c r="G29" s="18"/>
      <c r="H29" s="18"/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-1461378819</v>
      </c>
      <c r="F30" s="13">
        <v>-1184605387</v>
      </c>
      <c r="G30" s="13"/>
      <c r="H30" s="13"/>
    </row>
    <row r="31" spans="1:8" ht="18" customHeight="1">
      <c r="A31" s="16" t="s">
        <v>56</v>
      </c>
      <c r="B31" s="17" t="s">
        <v>57</v>
      </c>
      <c r="C31" s="16"/>
      <c r="D31" s="16"/>
      <c r="E31" s="18">
        <v>1970900755</v>
      </c>
      <c r="F31" s="18">
        <v>1221697922</v>
      </c>
      <c r="G31" s="18"/>
      <c r="H31" s="18"/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110591477</v>
      </c>
      <c r="F32" s="13">
        <v>69191800</v>
      </c>
      <c r="G32" s="13"/>
      <c r="H32" s="13"/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3">
        <v>-238726000</v>
      </c>
      <c r="F33" s="13">
        <v>-181103543</v>
      </c>
      <c r="G33" s="13"/>
      <c r="H33" s="13"/>
    </row>
    <row r="34" spans="1:8" ht="18" customHeight="1">
      <c r="A34" s="16" t="s">
        <v>63</v>
      </c>
      <c r="B34" s="17" t="s">
        <v>64</v>
      </c>
      <c r="C34" s="16"/>
      <c r="D34" s="16"/>
      <c r="E34" s="18">
        <v>1842766232</v>
      </c>
      <c r="F34" s="18">
        <v>1109786179</v>
      </c>
      <c r="G34" s="18"/>
      <c r="H34" s="18"/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266059061</v>
      </c>
      <c r="F35" s="13">
        <v>215705618</v>
      </c>
      <c r="G35" s="13"/>
      <c r="H35" s="13"/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  <c r="G36" s="13"/>
      <c r="H36" s="13"/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/>
      <c r="H37" s="13"/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-115436232</v>
      </c>
      <c r="F38" s="13">
        <v>-92694642</v>
      </c>
      <c r="G38" s="13"/>
      <c r="H38" s="13"/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  <c r="G39" s="13"/>
      <c r="H39" s="13"/>
    </row>
    <row r="40" spans="1:8" ht="18" customHeight="1">
      <c r="A40" s="16" t="s">
        <v>75</v>
      </c>
      <c r="B40" s="17" t="s">
        <v>76</v>
      </c>
      <c r="C40" s="16"/>
      <c r="D40" s="16"/>
      <c r="E40" s="18">
        <v>150622829</v>
      </c>
      <c r="F40" s="18">
        <v>123010976</v>
      </c>
      <c r="G40" s="18"/>
      <c r="H40" s="18"/>
    </row>
    <row r="41" spans="1:8" ht="18" customHeight="1">
      <c r="A41" s="22" t="s">
        <v>77</v>
      </c>
      <c r="B41" s="23" t="s">
        <v>78</v>
      </c>
      <c r="C41" s="22"/>
      <c r="D41" s="22"/>
      <c r="E41" s="24">
        <v>1993389061</v>
      </c>
      <c r="F41" s="24">
        <v>1232797155</v>
      </c>
      <c r="G41" s="24"/>
      <c r="H41" s="24"/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48000000</v>
      </c>
      <c r="F42" s="13">
        <v>0</v>
      </c>
      <c r="G42" s="13"/>
      <c r="H42" s="13"/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  <c r="G43" s="13"/>
      <c r="H43" s="13"/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-41656500</v>
      </c>
      <c r="F44" s="13">
        <v>0</v>
      </c>
      <c r="G44" s="13"/>
      <c r="H44" s="13"/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13"/>
      <c r="H45" s="13"/>
    </row>
    <row r="46" spans="1:8" ht="18" customHeight="1">
      <c r="A46" s="22" t="s">
        <v>88</v>
      </c>
      <c r="B46" s="23" t="s">
        <v>89</v>
      </c>
      <c r="C46" s="22"/>
      <c r="D46" s="22"/>
      <c r="E46" s="24">
        <v>6343500</v>
      </c>
      <c r="F46" s="24">
        <v>0</v>
      </c>
      <c r="G46" s="24"/>
      <c r="H46" s="24"/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/>
      <c r="H47" s="13"/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3">
        <v>-335876791</v>
      </c>
      <c r="F48" s="13">
        <v>-199311661</v>
      </c>
      <c r="G48" s="13"/>
      <c r="H48" s="13"/>
    </row>
    <row r="49" spans="1:8" ht="18" customHeight="1">
      <c r="A49" s="16" t="s">
        <v>94</v>
      </c>
      <c r="B49" s="17" t="s">
        <v>95</v>
      </c>
      <c r="C49" s="16"/>
      <c r="D49" s="16"/>
      <c r="E49" s="18">
        <v>1663855770</v>
      </c>
      <c r="F49" s="18">
        <v>1033485494</v>
      </c>
      <c r="G49" s="18"/>
      <c r="H49" s="18"/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H49" xr:uid="{7B893A61-C6B1-485F-A00D-93DF328A67BB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B38073E9-D51A-4776-8008-A7819010EDB1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DE6115C7-1EA7-45A3-AAED-57694928C514}"/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1C22-E69D-4223-B1AC-B077BD7BDCCB}">
  <dimension ref="A1:L84"/>
  <sheetViews>
    <sheetView topLeftCell="B18" workbookViewId="0">
      <selection activeCell="F12" sqref="F12"/>
    </sheetView>
  </sheetViews>
  <sheetFormatPr baseColWidth="10" defaultColWidth="10.28515625" defaultRowHeight="12.75"/>
  <cols>
    <col min="1" max="1" width="11.7109375" style="49" customWidth="1" collapsed="1"/>
    <col min="2" max="2" width="56" style="50" bestFit="1" customWidth="1" collapsed="1"/>
    <col min="3" max="3" width="3.140625" style="50" bestFit="1" customWidth="1" collapsed="1"/>
    <col min="4" max="4" width="13.5703125" style="50" customWidth="1" collapsed="1"/>
    <col min="5" max="8" width="13.5703125" style="50" customWidth="1"/>
    <col min="9" max="10" width="10.28515625" style="50" collapsed="1"/>
    <col min="11" max="12" width="10.28515625" style="50"/>
    <col min="13" max="16384" width="10.28515625" style="50" collapsed="1"/>
  </cols>
  <sheetData>
    <row r="1" spans="1:8" s="121" customFormat="1" ht="24.6" customHeight="1">
      <c r="A1" s="120" t="s">
        <v>0</v>
      </c>
      <c r="B1" s="120"/>
      <c r="C1" s="120"/>
      <c r="D1" s="120"/>
      <c r="E1" s="120"/>
      <c r="F1" s="120"/>
      <c r="G1" s="120"/>
      <c r="H1" s="120"/>
    </row>
    <row r="2" spans="1:8" s="121" customFormat="1" ht="8.1" customHeight="1">
      <c r="C2" s="122"/>
    </row>
    <row r="3" spans="1:8" s="121" customFormat="1" ht="25.5" customHeight="1">
      <c r="A3" s="123" t="s">
        <v>96</v>
      </c>
      <c r="B3" s="123"/>
      <c r="C3" s="123"/>
      <c r="D3" s="121" t="s">
        <v>1</v>
      </c>
      <c r="G3" s="124">
        <v>45657</v>
      </c>
      <c r="H3" s="125"/>
    </row>
    <row r="4" spans="1:8" s="121" customFormat="1" ht="15" customHeight="1">
      <c r="A4" s="126" t="s">
        <v>123</v>
      </c>
      <c r="B4" s="125"/>
      <c r="C4" s="125"/>
      <c r="D4" s="127" t="s">
        <v>2</v>
      </c>
      <c r="E4" s="132"/>
      <c r="F4" s="132"/>
      <c r="G4" s="128"/>
      <c r="H4" s="128"/>
    </row>
    <row r="5" spans="1:8" s="121" customFormat="1" ht="30.95" customHeight="1">
      <c r="A5" s="129" t="s">
        <v>3</v>
      </c>
      <c r="B5" s="130" t="s">
        <v>124</v>
      </c>
      <c r="C5" s="131"/>
      <c r="D5" s="127"/>
      <c r="E5" s="132"/>
      <c r="F5" s="132"/>
      <c r="G5" s="126">
        <v>12</v>
      </c>
      <c r="H5" s="125"/>
    </row>
    <row r="6" spans="1:8" s="121" customFormat="1" ht="8.1" customHeight="1">
      <c r="C6" s="122"/>
    </row>
    <row r="7" spans="1:8" ht="18" customHeight="1">
      <c r="A7" s="32" t="s">
        <v>4</v>
      </c>
      <c r="B7" s="33" t="s">
        <v>5</v>
      </c>
      <c r="C7" s="32"/>
      <c r="D7" s="32" t="s">
        <v>6</v>
      </c>
      <c r="E7" s="34">
        <v>2024</v>
      </c>
      <c r="F7" s="34">
        <v>2023</v>
      </c>
      <c r="G7" s="34">
        <v>2022</v>
      </c>
      <c r="H7" s="34">
        <v>2021</v>
      </c>
    </row>
    <row r="8" spans="1:8" ht="18" customHeight="1">
      <c r="A8" s="35" t="s">
        <v>7</v>
      </c>
      <c r="B8" s="36" t="s">
        <v>8</v>
      </c>
      <c r="C8" s="35" t="s">
        <v>9</v>
      </c>
      <c r="D8" s="35">
        <v>21</v>
      </c>
      <c r="E8" s="37">
        <v>0</v>
      </c>
      <c r="F8" s="37">
        <v>0</v>
      </c>
      <c r="G8" s="37"/>
      <c r="H8" s="37"/>
    </row>
    <row r="9" spans="1:8" ht="18" customHeight="1">
      <c r="A9" s="38" t="s">
        <v>10</v>
      </c>
      <c r="B9" s="39" t="s">
        <v>11</v>
      </c>
      <c r="C9" s="38" t="s">
        <v>12</v>
      </c>
      <c r="D9" s="38">
        <v>22</v>
      </c>
      <c r="E9" s="37">
        <v>0</v>
      </c>
      <c r="F9" s="37">
        <v>0</v>
      </c>
      <c r="G9" s="37"/>
      <c r="H9" s="37"/>
    </row>
    <row r="10" spans="1:8" ht="18" customHeight="1">
      <c r="A10" s="38" t="s">
        <v>13</v>
      </c>
      <c r="B10" s="40" t="s">
        <v>14</v>
      </c>
      <c r="C10" s="41" t="s">
        <v>15</v>
      </c>
      <c r="D10" s="41">
        <v>6</v>
      </c>
      <c r="E10" s="63">
        <v>0</v>
      </c>
      <c r="F10" s="63">
        <v>0</v>
      </c>
      <c r="G10" s="63"/>
      <c r="H10" s="63"/>
    </row>
    <row r="11" spans="1:8" ht="18" customHeight="1">
      <c r="A11" s="42" t="s">
        <v>16</v>
      </c>
      <c r="B11" s="43" t="s">
        <v>17</v>
      </c>
      <c r="C11" s="42"/>
      <c r="D11" s="42"/>
      <c r="E11" s="64">
        <v>0</v>
      </c>
      <c r="F11" s="64">
        <v>0</v>
      </c>
      <c r="G11" s="64"/>
      <c r="H11" s="64"/>
    </row>
    <row r="12" spans="1:8" ht="18" customHeight="1">
      <c r="A12" s="38" t="s">
        <v>18</v>
      </c>
      <c r="B12" s="39" t="s">
        <v>19</v>
      </c>
      <c r="C12" s="38" t="s">
        <v>9</v>
      </c>
      <c r="D12" s="38">
        <v>21</v>
      </c>
      <c r="E12" s="63">
        <v>0</v>
      </c>
      <c r="F12" s="63">
        <v>0</v>
      </c>
      <c r="G12" s="63"/>
      <c r="H12" s="63"/>
    </row>
    <row r="13" spans="1:8" ht="18" customHeight="1">
      <c r="A13" s="38" t="s">
        <v>20</v>
      </c>
      <c r="B13" s="39" t="s">
        <v>21</v>
      </c>
      <c r="C13" s="38" t="s">
        <v>9</v>
      </c>
      <c r="D13" s="38">
        <v>21</v>
      </c>
      <c r="E13" s="63">
        <v>2756043638</v>
      </c>
      <c r="F13" s="63">
        <v>903294089</v>
      </c>
      <c r="G13" s="63"/>
      <c r="H13" s="63"/>
    </row>
    <row r="14" spans="1:8" ht="18" customHeight="1">
      <c r="A14" s="38" t="s">
        <v>22</v>
      </c>
      <c r="B14" s="39" t="s">
        <v>23</v>
      </c>
      <c r="C14" s="38" t="s">
        <v>9</v>
      </c>
      <c r="D14" s="38">
        <v>21</v>
      </c>
      <c r="E14" s="63">
        <v>0</v>
      </c>
      <c r="F14" s="63">
        <v>0</v>
      </c>
      <c r="G14" s="63"/>
      <c r="H14" s="63"/>
    </row>
    <row r="15" spans="1:8" ht="18" customHeight="1">
      <c r="A15" s="42" t="s">
        <v>24</v>
      </c>
      <c r="B15" s="43" t="s">
        <v>25</v>
      </c>
      <c r="C15" s="42"/>
      <c r="D15" s="42"/>
      <c r="E15" s="64">
        <v>2756043638</v>
      </c>
      <c r="F15" s="64">
        <v>903294089</v>
      </c>
      <c r="G15" s="64"/>
      <c r="H15" s="64"/>
    </row>
    <row r="16" spans="1:8" ht="18" customHeight="1">
      <c r="A16" s="38" t="s">
        <v>26</v>
      </c>
      <c r="B16" s="39" t="s">
        <v>27</v>
      </c>
      <c r="C16" s="41" t="s">
        <v>15</v>
      </c>
      <c r="D16" s="38">
        <v>6</v>
      </c>
      <c r="E16" s="63">
        <v>0</v>
      </c>
      <c r="F16" s="63">
        <v>0</v>
      </c>
      <c r="G16" s="63"/>
      <c r="H16" s="63"/>
    </row>
    <row r="17" spans="1:8" ht="18" customHeight="1">
      <c r="A17" s="38" t="s">
        <v>28</v>
      </c>
      <c r="B17" s="39" t="s">
        <v>29</v>
      </c>
      <c r="C17" s="38"/>
      <c r="D17" s="38">
        <v>21</v>
      </c>
      <c r="E17" s="63">
        <v>0</v>
      </c>
      <c r="F17" s="63">
        <v>0</v>
      </c>
      <c r="G17" s="63"/>
      <c r="H17" s="63"/>
    </row>
    <row r="18" spans="1:8" ht="18" customHeight="1">
      <c r="A18" s="38" t="s">
        <v>30</v>
      </c>
      <c r="B18" s="39" t="s">
        <v>31</v>
      </c>
      <c r="C18" s="38"/>
      <c r="D18" s="38">
        <v>21</v>
      </c>
      <c r="E18" s="63">
        <v>0</v>
      </c>
      <c r="F18" s="63">
        <v>1400000</v>
      </c>
      <c r="G18" s="63"/>
      <c r="H18" s="63"/>
    </row>
    <row r="19" spans="1:8" ht="18" customHeight="1">
      <c r="A19" s="38" t="s">
        <v>32</v>
      </c>
      <c r="B19" s="39" t="s">
        <v>33</v>
      </c>
      <c r="C19" s="38" t="s">
        <v>9</v>
      </c>
      <c r="D19" s="38">
        <v>21</v>
      </c>
      <c r="E19" s="63">
        <v>936876563</v>
      </c>
      <c r="F19" s="63">
        <v>760451571</v>
      </c>
      <c r="G19" s="63"/>
      <c r="H19" s="63"/>
    </row>
    <row r="20" spans="1:8" ht="18" customHeight="1">
      <c r="A20" s="65" t="s">
        <v>34</v>
      </c>
      <c r="B20" s="66" t="s">
        <v>35</v>
      </c>
      <c r="C20" s="65" t="s">
        <v>9</v>
      </c>
      <c r="D20" s="65">
        <v>12</v>
      </c>
      <c r="E20" s="67">
        <v>0</v>
      </c>
      <c r="F20" s="67">
        <v>0</v>
      </c>
      <c r="G20" s="67"/>
      <c r="H20" s="67"/>
    </row>
    <row r="21" spans="1:8" ht="18" customHeight="1">
      <c r="A21" s="38" t="s">
        <v>36</v>
      </c>
      <c r="B21" s="39" t="s">
        <v>37</v>
      </c>
      <c r="C21" s="38" t="s">
        <v>12</v>
      </c>
      <c r="D21" s="38">
        <v>22</v>
      </c>
      <c r="E21" s="63">
        <v>0</v>
      </c>
      <c r="F21" s="63">
        <v>0</v>
      </c>
      <c r="G21" s="63"/>
      <c r="H21" s="63"/>
    </row>
    <row r="22" spans="1:8" ht="18" customHeight="1">
      <c r="A22" s="38" t="s">
        <v>38</v>
      </c>
      <c r="B22" s="40" t="s">
        <v>39</v>
      </c>
      <c r="C22" s="41" t="s">
        <v>15</v>
      </c>
      <c r="D22" s="38">
        <v>6</v>
      </c>
      <c r="E22" s="63">
        <v>-879810</v>
      </c>
      <c r="F22" s="63">
        <v>0</v>
      </c>
      <c r="G22" s="63"/>
      <c r="H22" s="63"/>
    </row>
    <row r="23" spans="1:8" ht="18" customHeight="1">
      <c r="A23" s="38" t="s">
        <v>40</v>
      </c>
      <c r="B23" s="39" t="s">
        <v>41</v>
      </c>
      <c r="C23" s="38" t="s">
        <v>12</v>
      </c>
      <c r="D23" s="38">
        <v>22</v>
      </c>
      <c r="E23" s="63">
        <v>86080379</v>
      </c>
      <c r="F23" s="63">
        <v>41780502</v>
      </c>
      <c r="G23" s="63"/>
      <c r="H23" s="63"/>
    </row>
    <row r="24" spans="1:8" ht="18" customHeight="1">
      <c r="A24" s="38" t="s">
        <v>42</v>
      </c>
      <c r="B24" s="40" t="s">
        <v>43</v>
      </c>
      <c r="C24" s="41" t="s">
        <v>15</v>
      </c>
      <c r="D24" s="38">
        <v>6</v>
      </c>
      <c r="E24" s="63">
        <v>-18016072</v>
      </c>
      <c r="F24" s="63">
        <v>1525672</v>
      </c>
      <c r="G24" s="63"/>
      <c r="H24" s="63"/>
    </row>
    <row r="25" spans="1:8" ht="18" customHeight="1">
      <c r="A25" s="38" t="s">
        <v>44</v>
      </c>
      <c r="B25" s="39" t="s">
        <v>45</v>
      </c>
      <c r="C25" s="38" t="s">
        <v>12</v>
      </c>
      <c r="D25" s="38">
        <v>23</v>
      </c>
      <c r="E25" s="63">
        <v>55203526</v>
      </c>
      <c r="F25" s="63">
        <v>17700455</v>
      </c>
      <c r="G25" s="63"/>
      <c r="H25" s="63"/>
    </row>
    <row r="26" spans="1:8" ht="18" customHeight="1">
      <c r="A26" s="38" t="s">
        <v>46</v>
      </c>
      <c r="B26" s="39" t="s">
        <v>47</v>
      </c>
      <c r="C26" s="38" t="s">
        <v>12</v>
      </c>
      <c r="D26" s="38">
        <v>24</v>
      </c>
      <c r="E26" s="63">
        <v>406951844</v>
      </c>
      <c r="F26" s="63">
        <v>507125523</v>
      </c>
      <c r="G26" s="63"/>
      <c r="H26" s="63"/>
    </row>
    <row r="27" spans="1:8" ht="18" customHeight="1">
      <c r="A27" s="38" t="s">
        <v>48</v>
      </c>
      <c r="B27" s="39" t="s">
        <v>49</v>
      </c>
      <c r="C27" s="38" t="s">
        <v>12</v>
      </c>
      <c r="D27" s="38">
        <v>25</v>
      </c>
      <c r="E27" s="63">
        <v>77330476</v>
      </c>
      <c r="F27" s="63">
        <v>99088185</v>
      </c>
      <c r="G27" s="63"/>
      <c r="H27" s="63"/>
    </row>
    <row r="28" spans="1:8" ht="18" customHeight="1">
      <c r="A28" s="38" t="s">
        <v>50</v>
      </c>
      <c r="B28" s="39" t="s">
        <v>51</v>
      </c>
      <c r="C28" s="38" t="s">
        <v>12</v>
      </c>
      <c r="D28" s="38">
        <v>26</v>
      </c>
      <c r="E28" s="63">
        <v>44571436</v>
      </c>
      <c r="F28" s="63">
        <v>37759937</v>
      </c>
      <c r="G28" s="63"/>
      <c r="H28" s="63"/>
    </row>
    <row r="29" spans="1:8" ht="18" customHeight="1">
      <c r="A29" s="42" t="s">
        <v>52</v>
      </c>
      <c r="B29" s="43" t="s">
        <v>53</v>
      </c>
      <c r="C29" s="42"/>
      <c r="D29" s="42"/>
      <c r="E29" s="64">
        <v>3041678422</v>
      </c>
      <c r="F29" s="64">
        <v>960165386</v>
      </c>
      <c r="G29" s="64"/>
      <c r="H29" s="64"/>
    </row>
    <row r="30" spans="1:8" ht="18" customHeight="1">
      <c r="A30" s="38" t="s">
        <v>54</v>
      </c>
      <c r="B30" s="39" t="s">
        <v>55</v>
      </c>
      <c r="C30" s="38" t="s">
        <v>12</v>
      </c>
      <c r="D30" s="38">
        <v>27</v>
      </c>
      <c r="E30" s="63">
        <v>2212722482</v>
      </c>
      <c r="F30" s="63">
        <v>2088756356</v>
      </c>
      <c r="G30" s="63"/>
      <c r="H30" s="63"/>
    </row>
    <row r="31" spans="1:8" ht="18" customHeight="1">
      <c r="A31" s="42" t="s">
        <v>56</v>
      </c>
      <c r="B31" s="43" t="s">
        <v>57</v>
      </c>
      <c r="C31" s="42"/>
      <c r="D31" s="42"/>
      <c r="E31" s="64">
        <f>+E29-E30</f>
        <v>828955940</v>
      </c>
      <c r="F31" s="64">
        <v>-1128590970</v>
      </c>
      <c r="G31" s="64"/>
      <c r="H31" s="64"/>
    </row>
    <row r="32" spans="1:8" ht="18" customHeight="1">
      <c r="A32" s="38" t="s">
        <v>58</v>
      </c>
      <c r="B32" s="39" t="s">
        <v>59</v>
      </c>
      <c r="C32" s="38" t="s">
        <v>9</v>
      </c>
      <c r="D32" s="38">
        <v>28</v>
      </c>
      <c r="E32" s="63">
        <v>16579730</v>
      </c>
      <c r="F32" s="63">
        <v>9265021</v>
      </c>
      <c r="G32" s="63"/>
      <c r="H32" s="63"/>
    </row>
    <row r="33" spans="1:8" ht="18" customHeight="1">
      <c r="A33" s="65" t="s">
        <v>60</v>
      </c>
      <c r="B33" s="66" t="s">
        <v>61</v>
      </c>
      <c r="C33" s="65" t="s">
        <v>12</v>
      </c>
      <c r="D33" s="65" t="s">
        <v>62</v>
      </c>
      <c r="E33" s="67">
        <v>50152728</v>
      </c>
      <c r="F33" s="67">
        <v>148714789</v>
      </c>
      <c r="G33" s="67"/>
      <c r="H33" s="67"/>
    </row>
    <row r="34" spans="1:8" ht="18" customHeight="1">
      <c r="A34" s="42" t="s">
        <v>63</v>
      </c>
      <c r="B34" s="43" t="s">
        <v>64</v>
      </c>
      <c r="C34" s="42"/>
      <c r="D34" s="42"/>
      <c r="E34" s="64">
        <f>+E31+E32-E33</f>
        <v>795382942</v>
      </c>
      <c r="F34" s="64">
        <v>-1268040738</v>
      </c>
      <c r="G34" s="64"/>
      <c r="H34" s="64"/>
    </row>
    <row r="35" spans="1:8" ht="18" customHeight="1">
      <c r="A35" s="38" t="s">
        <v>65</v>
      </c>
      <c r="B35" s="39" t="s">
        <v>66</v>
      </c>
      <c r="C35" s="38" t="s">
        <v>9</v>
      </c>
      <c r="D35" s="38">
        <v>29</v>
      </c>
      <c r="E35" s="63">
        <v>101421</v>
      </c>
      <c r="F35" s="63">
        <v>10582835</v>
      </c>
      <c r="G35" s="63"/>
      <c r="H35" s="63"/>
    </row>
    <row r="36" spans="1:8" ht="18" customHeight="1">
      <c r="A36" s="38" t="s">
        <v>67</v>
      </c>
      <c r="B36" s="39" t="s">
        <v>68</v>
      </c>
      <c r="C36" s="38" t="s">
        <v>9</v>
      </c>
      <c r="D36" s="38">
        <v>28</v>
      </c>
      <c r="E36" s="63">
        <v>38475</v>
      </c>
      <c r="F36" s="63">
        <v>0</v>
      </c>
      <c r="G36" s="63"/>
      <c r="H36" s="63"/>
    </row>
    <row r="37" spans="1:8" ht="18" customHeight="1">
      <c r="A37" s="38" t="s">
        <v>69</v>
      </c>
      <c r="B37" s="39" t="s">
        <v>70</v>
      </c>
      <c r="C37" s="38" t="s">
        <v>9</v>
      </c>
      <c r="D37" s="38">
        <v>12</v>
      </c>
      <c r="E37" s="63">
        <v>0</v>
      </c>
      <c r="F37" s="63">
        <v>0</v>
      </c>
      <c r="G37" s="63"/>
      <c r="H37" s="63"/>
    </row>
    <row r="38" spans="1:8" ht="18" customHeight="1">
      <c r="A38" s="38" t="s">
        <v>71</v>
      </c>
      <c r="B38" s="39" t="s">
        <v>72</v>
      </c>
      <c r="C38" s="38" t="s">
        <v>12</v>
      </c>
      <c r="D38" s="38">
        <v>29</v>
      </c>
      <c r="E38" s="63">
        <v>17947603</v>
      </c>
      <c r="F38" s="63">
        <v>8193682</v>
      </c>
      <c r="G38" s="63"/>
      <c r="H38" s="63"/>
    </row>
    <row r="39" spans="1:8" ht="18" customHeight="1">
      <c r="A39" s="38" t="s">
        <v>73</v>
      </c>
      <c r="B39" s="39" t="s">
        <v>74</v>
      </c>
      <c r="C39" s="38" t="s">
        <v>12</v>
      </c>
      <c r="D39" s="38" t="s">
        <v>62</v>
      </c>
      <c r="E39" s="63">
        <v>0</v>
      </c>
      <c r="F39" s="63">
        <v>0</v>
      </c>
      <c r="G39" s="63"/>
      <c r="H39" s="63"/>
    </row>
    <row r="40" spans="1:8" ht="18" customHeight="1">
      <c r="A40" s="42" t="s">
        <v>75</v>
      </c>
      <c r="B40" s="43" t="s">
        <v>76</v>
      </c>
      <c r="C40" s="42"/>
      <c r="D40" s="42"/>
      <c r="E40" s="64">
        <v>-17807707</v>
      </c>
      <c r="F40" s="64">
        <v>2389153</v>
      </c>
      <c r="G40" s="64"/>
      <c r="H40" s="64"/>
    </row>
    <row r="41" spans="1:8" ht="18" customHeight="1">
      <c r="A41" s="46" t="s">
        <v>77</v>
      </c>
      <c r="B41" s="47" t="s">
        <v>78</v>
      </c>
      <c r="C41" s="46"/>
      <c r="D41" s="46"/>
      <c r="E41" s="68">
        <f>+E34+E40</f>
        <v>777575235</v>
      </c>
      <c r="F41" s="68">
        <v>-1265651585</v>
      </c>
      <c r="G41" s="68"/>
      <c r="H41" s="68"/>
    </row>
    <row r="42" spans="1:8" ht="18" customHeight="1">
      <c r="A42" s="38" t="s">
        <v>79</v>
      </c>
      <c r="B42" s="39" t="s">
        <v>80</v>
      </c>
      <c r="C42" s="38" t="s">
        <v>9</v>
      </c>
      <c r="D42" s="38" t="s">
        <v>81</v>
      </c>
      <c r="E42" s="63">
        <v>561761630</v>
      </c>
      <c r="F42" s="63">
        <v>0</v>
      </c>
      <c r="G42" s="63"/>
      <c r="H42" s="63"/>
    </row>
    <row r="43" spans="1:8" ht="18" customHeight="1">
      <c r="A43" s="38" t="s">
        <v>82</v>
      </c>
      <c r="B43" s="39" t="s">
        <v>83</v>
      </c>
      <c r="C43" s="38" t="s">
        <v>9</v>
      </c>
      <c r="D43" s="38">
        <v>30</v>
      </c>
      <c r="E43" s="63">
        <v>0</v>
      </c>
      <c r="F43" s="63">
        <v>0</v>
      </c>
      <c r="G43" s="63"/>
      <c r="H43" s="63"/>
    </row>
    <row r="44" spans="1:8" ht="18" customHeight="1">
      <c r="A44" s="38" t="s">
        <v>84</v>
      </c>
      <c r="B44" s="39" t="s">
        <v>85</v>
      </c>
      <c r="C44" s="38" t="s">
        <v>12</v>
      </c>
      <c r="D44" s="38" t="s">
        <v>81</v>
      </c>
      <c r="E44" s="63">
        <v>116548056</v>
      </c>
      <c r="F44" s="63">
        <v>0</v>
      </c>
      <c r="G44" s="63"/>
      <c r="H44" s="63"/>
    </row>
    <row r="45" spans="1:8" ht="18" customHeight="1">
      <c r="A45" s="38" t="s">
        <v>86</v>
      </c>
      <c r="B45" s="39" t="s">
        <v>87</v>
      </c>
      <c r="C45" s="38" t="s">
        <v>12</v>
      </c>
      <c r="D45" s="38">
        <v>30</v>
      </c>
      <c r="E45" s="63">
        <v>0</v>
      </c>
      <c r="F45" s="63">
        <v>0</v>
      </c>
      <c r="G45" s="63"/>
      <c r="H45" s="63"/>
    </row>
    <row r="46" spans="1:8" ht="18" customHeight="1">
      <c r="A46" s="46" t="s">
        <v>88</v>
      </c>
      <c r="B46" s="47" t="s">
        <v>89</v>
      </c>
      <c r="C46" s="46"/>
      <c r="D46" s="46"/>
      <c r="E46" s="68">
        <v>445213574</v>
      </c>
      <c r="F46" s="68">
        <v>0</v>
      </c>
      <c r="G46" s="68"/>
      <c r="H46" s="68"/>
    </row>
    <row r="47" spans="1:8" ht="18" customHeight="1">
      <c r="A47" s="38" t="s">
        <v>90</v>
      </c>
      <c r="B47" s="39" t="s">
        <v>91</v>
      </c>
      <c r="C47" s="38" t="s">
        <v>12</v>
      </c>
      <c r="D47" s="38">
        <v>30</v>
      </c>
      <c r="E47" s="63">
        <v>0</v>
      </c>
      <c r="F47" s="63">
        <v>0</v>
      </c>
      <c r="G47" s="63"/>
      <c r="H47" s="63"/>
    </row>
    <row r="48" spans="1:8" ht="18" customHeight="1">
      <c r="A48" s="38" t="s">
        <v>92</v>
      </c>
      <c r="B48" s="39" t="s">
        <v>93</v>
      </c>
      <c r="C48" s="38" t="s">
        <v>12</v>
      </c>
      <c r="D48" s="38"/>
      <c r="E48" s="63">
        <v>5000000</v>
      </c>
      <c r="F48" s="63">
        <v>5000000</v>
      </c>
      <c r="G48" s="63"/>
      <c r="H48" s="63"/>
    </row>
    <row r="49" spans="1:8" ht="18" customHeight="1">
      <c r="A49" s="42" t="s">
        <v>94</v>
      </c>
      <c r="B49" s="43" t="s">
        <v>95</v>
      </c>
      <c r="C49" s="42"/>
      <c r="D49" s="42"/>
      <c r="E49" s="64">
        <f>+E41+E46+E47-E48</f>
        <v>1217788809</v>
      </c>
      <c r="F49" s="64">
        <v>-1270651585</v>
      </c>
      <c r="G49" s="64"/>
      <c r="H49" s="64"/>
    </row>
    <row r="53" spans="1:8" ht="12.75" customHeight="1">
      <c r="B53" s="52"/>
      <c r="C53" s="52"/>
    </row>
    <row r="54" spans="1:8" ht="12.75" customHeight="1">
      <c r="B54" s="52"/>
      <c r="C54" s="52"/>
    </row>
    <row r="55" spans="1:8" ht="12.75" customHeight="1">
      <c r="B55" s="52"/>
      <c r="C55" s="52"/>
    </row>
    <row r="58" spans="1:8" ht="12.75" customHeight="1">
      <c r="B58" s="52"/>
      <c r="C58" s="52"/>
    </row>
    <row r="59" spans="1:8" ht="12.75" customHeight="1">
      <c r="B59" s="52"/>
      <c r="C59" s="52"/>
    </row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H49" xr:uid="{E32902F0-F986-40F1-B1ED-84761C03406F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A9C5831-47F8-4C1A-B84E-FAE6FB99618F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9180B8D6-6C98-45A1-9509-7830DEB5BB69}"/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C3B0-92C6-41FB-9254-13D09703C9C2}">
  <dimension ref="A1:H84"/>
  <sheetViews>
    <sheetView topLeftCell="E1" zoomScale="80" workbookViewId="0">
      <selection activeCell="B13" sqref="B13"/>
    </sheetView>
  </sheetViews>
  <sheetFormatPr baseColWidth="10" defaultRowHeight="15"/>
  <cols>
    <col min="1" max="1" width="11.5703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7" width="20.85546875" style="28" customWidth="1" collapsed="1"/>
    <col min="8" max="8" width="24" style="28" customWidth="1" collapsed="1"/>
  </cols>
  <sheetData>
    <row r="1" spans="1:8" ht="18.75">
      <c r="A1" s="70" t="s">
        <v>0</v>
      </c>
      <c r="B1" s="70"/>
      <c r="C1" s="70"/>
      <c r="D1" s="70"/>
      <c r="E1" s="70"/>
      <c r="F1" s="70"/>
      <c r="G1" s="70"/>
      <c r="H1" s="70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71" t="s">
        <v>96</v>
      </c>
      <c r="B3" s="71"/>
      <c r="C3" s="71"/>
      <c r="D3" s="1" t="s">
        <v>1</v>
      </c>
      <c r="E3" s="1"/>
      <c r="F3" s="1"/>
      <c r="G3" s="72">
        <f>+'[3]Fiche de renseignement R1'!$V$10</f>
        <v>44926</v>
      </c>
      <c r="H3" s="73"/>
    </row>
    <row r="4" spans="1:8">
      <c r="A4" s="73"/>
      <c r="B4" s="73"/>
      <c r="C4" s="73"/>
      <c r="D4" s="74" t="s">
        <v>2</v>
      </c>
      <c r="E4" s="25"/>
      <c r="F4" s="25"/>
      <c r="G4" s="75">
        <f>+'[3]Fiche de renseignement R1'!$AH$10</f>
        <v>12</v>
      </c>
      <c r="H4" s="75"/>
    </row>
    <row r="5" spans="1:8" ht="38.25">
      <c r="A5" s="4" t="s">
        <v>3</v>
      </c>
      <c r="B5" s="76" t="str">
        <f>+'[3]Fiche de renseignement R1'!$J$10</f>
        <v>002236190</v>
      </c>
      <c r="C5" s="76"/>
      <c r="D5" s="74"/>
      <c r="E5" s="25"/>
      <c r="F5" s="25"/>
      <c r="G5" s="73"/>
      <c r="H5" s="73"/>
    </row>
    <row r="6" spans="1:8">
      <c r="A6" s="1"/>
      <c r="B6" s="1"/>
      <c r="C6" s="2"/>
      <c r="D6" s="1"/>
      <c r="E6" s="1"/>
      <c r="F6" s="1"/>
      <c r="G6" s="1"/>
      <c r="H6" s="1"/>
    </row>
    <row r="7" spans="1:8">
      <c r="A7" s="5" t="s">
        <v>4</v>
      </c>
      <c r="B7" s="6" t="s">
        <v>5</v>
      </c>
      <c r="C7" s="5"/>
      <c r="D7" s="5" t="s">
        <v>6</v>
      </c>
      <c r="E7" s="5">
        <v>2024</v>
      </c>
      <c r="F7" s="5">
        <v>2023</v>
      </c>
      <c r="G7" s="7">
        <v>2022</v>
      </c>
      <c r="H7" s="7">
        <v>2021</v>
      </c>
    </row>
    <row r="8" spans="1:8">
      <c r="A8" s="8" t="s">
        <v>7</v>
      </c>
      <c r="B8" s="9" t="s">
        <v>8</v>
      </c>
      <c r="C8" s="8" t="s">
        <v>9</v>
      </c>
      <c r="D8" s="8">
        <v>21</v>
      </c>
      <c r="E8" s="8"/>
      <c r="F8" s="8"/>
      <c r="G8" s="10"/>
      <c r="H8" s="10"/>
    </row>
    <row r="9" spans="1:8">
      <c r="A9" s="11" t="s">
        <v>10</v>
      </c>
      <c r="B9" s="12" t="s">
        <v>11</v>
      </c>
      <c r="C9" s="11" t="s">
        <v>12</v>
      </c>
      <c r="D9" s="11">
        <v>22</v>
      </c>
      <c r="E9" s="11"/>
      <c r="F9" s="11"/>
      <c r="G9" s="13"/>
      <c r="H9" s="13"/>
    </row>
    <row r="10" spans="1:8">
      <c r="A10" s="11" t="s">
        <v>13</v>
      </c>
      <c r="B10" s="14" t="s">
        <v>14</v>
      </c>
      <c r="C10" s="15" t="s">
        <v>15</v>
      </c>
      <c r="D10" s="15">
        <v>6</v>
      </c>
      <c r="E10" s="15"/>
      <c r="F10" s="15"/>
      <c r="G10" s="13"/>
      <c r="H10" s="13"/>
    </row>
    <row r="11" spans="1:8">
      <c r="A11" s="16" t="s">
        <v>16</v>
      </c>
      <c r="B11" s="17" t="s">
        <v>17</v>
      </c>
      <c r="C11" s="16"/>
      <c r="D11" s="16"/>
      <c r="E11" s="16"/>
      <c r="F11" s="16"/>
      <c r="G11" s="18"/>
      <c r="H11" s="18"/>
    </row>
    <row r="12" spans="1:8">
      <c r="A12" s="11" t="s">
        <v>18</v>
      </c>
      <c r="B12" s="12" t="s">
        <v>19</v>
      </c>
      <c r="C12" s="11" t="s">
        <v>9</v>
      </c>
      <c r="D12" s="11">
        <v>21</v>
      </c>
      <c r="E12" s="11"/>
      <c r="F12" s="11"/>
      <c r="G12" s="13">
        <v>1851563752</v>
      </c>
      <c r="H12" s="13">
        <v>2150541340</v>
      </c>
    </row>
    <row r="13" spans="1:8">
      <c r="A13" s="11" t="s">
        <v>20</v>
      </c>
      <c r="B13" s="12" t="s">
        <v>21</v>
      </c>
      <c r="C13" s="11" t="s">
        <v>9</v>
      </c>
      <c r="D13" s="11">
        <v>21</v>
      </c>
      <c r="E13" s="11"/>
      <c r="F13" s="11"/>
      <c r="G13" s="13"/>
      <c r="H13" s="13"/>
    </row>
    <row r="14" spans="1:8">
      <c r="A14" s="11" t="s">
        <v>22</v>
      </c>
      <c r="B14" s="12" t="s">
        <v>23</v>
      </c>
      <c r="C14" s="11" t="s">
        <v>9</v>
      </c>
      <c r="D14" s="11">
        <v>21</v>
      </c>
      <c r="E14" s="11"/>
      <c r="F14" s="11"/>
      <c r="G14" s="13">
        <v>8302309</v>
      </c>
      <c r="H14" s="13">
        <v>14465924</v>
      </c>
    </row>
    <row r="15" spans="1:8">
      <c r="A15" s="16" t="s">
        <v>24</v>
      </c>
      <c r="B15" s="17" t="s">
        <v>25</v>
      </c>
      <c r="C15" s="16"/>
      <c r="D15" s="16"/>
      <c r="E15" s="16"/>
      <c r="F15" s="16"/>
      <c r="G15" s="18">
        <v>1859866061</v>
      </c>
      <c r="H15" s="18">
        <v>2165007264</v>
      </c>
    </row>
    <row r="16" spans="1:8">
      <c r="A16" s="11" t="s">
        <v>26</v>
      </c>
      <c r="B16" s="12" t="s">
        <v>27</v>
      </c>
      <c r="C16" s="15" t="s">
        <v>15</v>
      </c>
      <c r="D16" s="11">
        <v>6</v>
      </c>
      <c r="E16" s="11"/>
      <c r="F16" s="11"/>
      <c r="G16" s="13">
        <v>20212275</v>
      </c>
      <c r="H16" s="13">
        <v>70892766</v>
      </c>
    </row>
    <row r="17" spans="1:8">
      <c r="A17" s="11" t="s">
        <v>28</v>
      </c>
      <c r="B17" s="12" t="s">
        <v>29</v>
      </c>
      <c r="C17" s="11"/>
      <c r="D17" s="11">
        <v>21</v>
      </c>
      <c r="E17" s="11"/>
      <c r="F17" s="11"/>
      <c r="G17" s="13"/>
      <c r="H17" s="13"/>
    </row>
    <row r="18" spans="1:8">
      <c r="A18" s="11" t="s">
        <v>30</v>
      </c>
      <c r="B18" s="12" t="s">
        <v>31</v>
      </c>
      <c r="C18" s="11"/>
      <c r="D18" s="11">
        <v>21</v>
      </c>
      <c r="E18" s="11"/>
      <c r="F18" s="11"/>
      <c r="G18" s="13"/>
      <c r="H18" s="13"/>
    </row>
    <row r="19" spans="1:8">
      <c r="A19" s="11" t="s">
        <v>32</v>
      </c>
      <c r="B19" s="12" t="s">
        <v>33</v>
      </c>
      <c r="C19" s="11" t="s">
        <v>9</v>
      </c>
      <c r="D19" s="11">
        <v>21</v>
      </c>
      <c r="E19" s="11"/>
      <c r="F19" s="11"/>
      <c r="G19" s="13"/>
      <c r="H19" s="13"/>
    </row>
    <row r="20" spans="1:8">
      <c r="A20" s="19" t="s">
        <v>34</v>
      </c>
      <c r="B20" s="20" t="s">
        <v>35</v>
      </c>
      <c r="C20" s="19" t="s">
        <v>9</v>
      </c>
      <c r="D20" s="19">
        <v>12</v>
      </c>
      <c r="E20" s="19"/>
      <c r="F20" s="19"/>
      <c r="G20" s="21">
        <v>3345355</v>
      </c>
      <c r="H20" s="21"/>
    </row>
    <row r="21" spans="1:8">
      <c r="A21" s="11" t="s">
        <v>36</v>
      </c>
      <c r="B21" s="12" t="s">
        <v>37</v>
      </c>
      <c r="C21" s="11" t="s">
        <v>12</v>
      </c>
      <c r="D21" s="11">
        <v>22</v>
      </c>
      <c r="E21" s="11"/>
      <c r="F21" s="11"/>
      <c r="G21" s="13">
        <v>-1250</v>
      </c>
      <c r="H21" s="13">
        <v>-840074</v>
      </c>
    </row>
    <row r="22" spans="1:8">
      <c r="A22" s="11" t="s">
        <v>38</v>
      </c>
      <c r="B22" s="14" t="s">
        <v>39</v>
      </c>
      <c r="C22" s="15" t="s">
        <v>15</v>
      </c>
      <c r="D22" s="11">
        <v>6</v>
      </c>
      <c r="E22" s="11"/>
      <c r="F22" s="11"/>
      <c r="G22" s="13"/>
      <c r="H22" s="13"/>
    </row>
    <row r="23" spans="1:8">
      <c r="A23" s="11" t="s">
        <v>40</v>
      </c>
      <c r="B23" s="12" t="s">
        <v>41</v>
      </c>
      <c r="C23" s="11" t="s">
        <v>12</v>
      </c>
      <c r="D23" s="11">
        <v>22</v>
      </c>
      <c r="E23" s="11"/>
      <c r="F23" s="11"/>
      <c r="G23" s="13">
        <v>-675098791</v>
      </c>
      <c r="H23" s="13">
        <v>-1297454890</v>
      </c>
    </row>
    <row r="24" spans="1:8">
      <c r="A24" s="11" t="s">
        <v>42</v>
      </c>
      <c r="B24" s="14" t="s">
        <v>43</v>
      </c>
      <c r="C24" s="15" t="s">
        <v>15</v>
      </c>
      <c r="D24" s="11">
        <v>6</v>
      </c>
      <c r="E24" s="11"/>
      <c r="F24" s="11"/>
      <c r="G24" s="13">
        <v>2389092</v>
      </c>
      <c r="H24" s="13">
        <v>1329415</v>
      </c>
    </row>
    <row r="25" spans="1:8">
      <c r="A25" s="11" t="s">
        <v>44</v>
      </c>
      <c r="B25" s="12" t="s">
        <v>45</v>
      </c>
      <c r="C25" s="11" t="s">
        <v>12</v>
      </c>
      <c r="D25" s="11">
        <v>23</v>
      </c>
      <c r="E25" s="11"/>
      <c r="F25" s="11"/>
      <c r="G25" s="13">
        <v>-1211834</v>
      </c>
      <c r="H25" s="13">
        <v>-5710333</v>
      </c>
    </row>
    <row r="26" spans="1:8">
      <c r="A26" s="11" t="s">
        <v>46</v>
      </c>
      <c r="B26" s="12" t="s">
        <v>47</v>
      </c>
      <c r="C26" s="11" t="s">
        <v>12</v>
      </c>
      <c r="D26" s="11">
        <v>24</v>
      </c>
      <c r="E26" s="11"/>
      <c r="F26" s="11"/>
      <c r="G26" s="13">
        <v>-189507978</v>
      </c>
      <c r="H26" s="13">
        <v>-246937130</v>
      </c>
    </row>
    <row r="27" spans="1:8">
      <c r="A27" s="11" t="s">
        <v>48</v>
      </c>
      <c r="B27" s="12" t="s">
        <v>49</v>
      </c>
      <c r="C27" s="11" t="s">
        <v>12</v>
      </c>
      <c r="D27" s="11">
        <v>25</v>
      </c>
      <c r="E27" s="11"/>
      <c r="F27" s="11"/>
      <c r="G27" s="13">
        <v>-140801033</v>
      </c>
      <c r="H27" s="13">
        <v>-89630586</v>
      </c>
    </row>
    <row r="28" spans="1:8">
      <c r="A28" s="11" t="s">
        <v>50</v>
      </c>
      <c r="B28" s="12" t="s">
        <v>51</v>
      </c>
      <c r="C28" s="11" t="s">
        <v>12</v>
      </c>
      <c r="D28" s="11">
        <v>26</v>
      </c>
      <c r="E28" s="11"/>
      <c r="F28" s="11"/>
      <c r="G28" s="13">
        <v>-2218256</v>
      </c>
      <c r="H28" s="13">
        <v>-53934422</v>
      </c>
    </row>
    <row r="29" spans="1:8">
      <c r="A29" s="16" t="s">
        <v>52</v>
      </c>
      <c r="B29" s="17" t="s">
        <v>53</v>
      </c>
      <c r="C29" s="16"/>
      <c r="D29" s="16"/>
      <c r="E29" s="16"/>
      <c r="F29" s="16"/>
      <c r="G29" s="18">
        <v>912973641</v>
      </c>
      <c r="H29" s="18">
        <v>542722010</v>
      </c>
    </row>
    <row r="30" spans="1:8">
      <c r="A30" s="11" t="s">
        <v>54</v>
      </c>
      <c r="B30" s="12" t="s">
        <v>55</v>
      </c>
      <c r="C30" s="11" t="s">
        <v>12</v>
      </c>
      <c r="D30" s="11">
        <v>27</v>
      </c>
      <c r="E30" s="11"/>
      <c r="F30" s="11"/>
      <c r="G30" s="13">
        <v>-306882712</v>
      </c>
      <c r="H30" s="13">
        <v>-282216132</v>
      </c>
    </row>
    <row r="31" spans="1:8">
      <c r="A31" s="16" t="s">
        <v>56</v>
      </c>
      <c r="B31" s="17" t="s">
        <v>57</v>
      </c>
      <c r="C31" s="16"/>
      <c r="D31" s="16"/>
      <c r="E31" s="16"/>
      <c r="F31" s="16"/>
      <c r="G31" s="18">
        <v>606090929</v>
      </c>
      <c r="H31" s="18">
        <v>260505878</v>
      </c>
    </row>
    <row r="32" spans="1:8">
      <c r="A32" s="11" t="s">
        <v>58</v>
      </c>
      <c r="B32" s="12" t="s">
        <v>59</v>
      </c>
      <c r="C32" s="11" t="s">
        <v>9</v>
      </c>
      <c r="D32" s="11">
        <v>28</v>
      </c>
      <c r="E32" s="11"/>
      <c r="F32" s="11"/>
      <c r="G32" s="13">
        <v>19908401</v>
      </c>
      <c r="H32" s="13">
        <v>16432030</v>
      </c>
    </row>
    <row r="33" spans="1:8">
      <c r="A33" s="19" t="s">
        <v>60</v>
      </c>
      <c r="B33" s="20" t="s">
        <v>61</v>
      </c>
      <c r="C33" s="19" t="s">
        <v>12</v>
      </c>
      <c r="D33" s="19" t="s">
        <v>62</v>
      </c>
      <c r="E33" s="19"/>
      <c r="F33" s="19"/>
      <c r="G33" s="21">
        <v>-462851446</v>
      </c>
      <c r="H33" s="21">
        <v>-214543548</v>
      </c>
    </row>
    <row r="34" spans="1:8">
      <c r="A34" s="16" t="s">
        <v>63</v>
      </c>
      <c r="B34" s="17" t="s">
        <v>64</v>
      </c>
      <c r="C34" s="16"/>
      <c r="D34" s="16"/>
      <c r="E34" s="16"/>
      <c r="F34" s="16"/>
      <c r="G34" s="18">
        <v>163147884</v>
      </c>
      <c r="H34" s="18">
        <v>62394360</v>
      </c>
    </row>
    <row r="35" spans="1:8">
      <c r="A35" s="11" t="s">
        <v>65</v>
      </c>
      <c r="B35" s="12" t="s">
        <v>66</v>
      </c>
      <c r="C35" s="11" t="s">
        <v>9</v>
      </c>
      <c r="D35" s="11">
        <v>29</v>
      </c>
      <c r="E35" s="11"/>
      <c r="F35" s="11"/>
      <c r="G35" s="13">
        <v>14815535</v>
      </c>
      <c r="H35" s="13"/>
    </row>
    <row r="36" spans="1:8">
      <c r="A36" s="11" t="s">
        <v>67</v>
      </c>
      <c r="B36" s="12" t="s">
        <v>68</v>
      </c>
      <c r="C36" s="11" t="s">
        <v>9</v>
      </c>
      <c r="D36" s="11">
        <v>28</v>
      </c>
      <c r="E36" s="11"/>
      <c r="F36" s="11"/>
      <c r="G36" s="13"/>
      <c r="H36" s="13"/>
    </row>
    <row r="37" spans="1:8">
      <c r="A37" s="11" t="s">
        <v>69</v>
      </c>
      <c r="B37" s="12" t="s">
        <v>70</v>
      </c>
      <c r="C37" s="11" t="s">
        <v>9</v>
      </c>
      <c r="D37" s="11">
        <v>12</v>
      </c>
      <c r="E37" s="11"/>
      <c r="F37" s="11"/>
      <c r="G37" s="13"/>
      <c r="H37" s="13"/>
    </row>
    <row r="38" spans="1:8">
      <c r="A38" s="11" t="s">
        <v>71</v>
      </c>
      <c r="B38" s="12" t="s">
        <v>72</v>
      </c>
      <c r="C38" s="11" t="s">
        <v>12</v>
      </c>
      <c r="D38" s="11">
        <v>29</v>
      </c>
      <c r="E38" s="11"/>
      <c r="F38" s="11"/>
      <c r="G38" s="13">
        <v>-115193531</v>
      </c>
      <c r="H38" s="13">
        <v>-35246174</v>
      </c>
    </row>
    <row r="39" spans="1:8">
      <c r="A39" s="11" t="s">
        <v>73</v>
      </c>
      <c r="B39" s="12" t="s">
        <v>74</v>
      </c>
      <c r="C39" s="11" t="s">
        <v>12</v>
      </c>
      <c r="D39" s="11" t="s">
        <v>62</v>
      </c>
      <c r="E39" s="11"/>
      <c r="F39" s="11"/>
      <c r="G39" s="13"/>
      <c r="H39" s="13"/>
    </row>
    <row r="40" spans="1:8">
      <c r="A40" s="16" t="s">
        <v>75</v>
      </c>
      <c r="B40" s="17" t="s">
        <v>76</v>
      </c>
      <c r="C40" s="16"/>
      <c r="D40" s="16"/>
      <c r="E40" s="16"/>
      <c r="F40" s="16"/>
      <c r="G40" s="18">
        <v>-100377996</v>
      </c>
      <c r="H40" s="18">
        <v>-35246174</v>
      </c>
    </row>
    <row r="41" spans="1:8">
      <c r="A41" s="22" t="s">
        <v>77</v>
      </c>
      <c r="B41" s="23" t="s">
        <v>78</v>
      </c>
      <c r="C41" s="22"/>
      <c r="D41" s="22"/>
      <c r="E41" s="22"/>
      <c r="F41" s="22"/>
      <c r="G41" s="24">
        <v>62769888</v>
      </c>
      <c r="H41" s="24">
        <v>27148186</v>
      </c>
    </row>
    <row r="42" spans="1:8">
      <c r="A42" s="11" t="s">
        <v>79</v>
      </c>
      <c r="B42" s="12" t="s">
        <v>80</v>
      </c>
      <c r="C42" s="11" t="s">
        <v>9</v>
      </c>
      <c r="D42" s="11" t="s">
        <v>81</v>
      </c>
      <c r="E42" s="11"/>
      <c r="F42" s="11"/>
      <c r="G42" s="13"/>
      <c r="H42" s="13"/>
    </row>
    <row r="43" spans="1:8">
      <c r="A43" s="11" t="s">
        <v>82</v>
      </c>
      <c r="B43" s="12" t="s">
        <v>83</v>
      </c>
      <c r="C43" s="11" t="s">
        <v>9</v>
      </c>
      <c r="D43" s="11">
        <v>30</v>
      </c>
      <c r="E43" s="11"/>
      <c r="F43" s="11"/>
      <c r="G43" s="13"/>
      <c r="H43" s="13"/>
    </row>
    <row r="44" spans="1:8">
      <c r="A44" s="11" t="s">
        <v>84</v>
      </c>
      <c r="B44" s="12" t="s">
        <v>85</v>
      </c>
      <c r="C44" s="11" t="s">
        <v>12</v>
      </c>
      <c r="D44" s="11" t="s">
        <v>81</v>
      </c>
      <c r="E44" s="11"/>
      <c r="F44" s="11"/>
      <c r="G44" s="13"/>
      <c r="H44" s="13"/>
    </row>
    <row r="45" spans="1:8">
      <c r="A45" s="11" t="s">
        <v>86</v>
      </c>
      <c r="B45" s="12" t="s">
        <v>87</v>
      </c>
      <c r="C45" s="11" t="s">
        <v>12</v>
      </c>
      <c r="D45" s="11">
        <v>30</v>
      </c>
      <c r="E45" s="11"/>
      <c r="F45" s="11"/>
      <c r="G45" s="13"/>
      <c r="H45" s="13"/>
    </row>
    <row r="46" spans="1:8">
      <c r="A46" s="22" t="s">
        <v>88</v>
      </c>
      <c r="B46" s="23" t="s">
        <v>89</v>
      </c>
      <c r="C46" s="22"/>
      <c r="D46" s="22"/>
      <c r="E46" s="22"/>
      <c r="F46" s="22"/>
      <c r="G46" s="24"/>
      <c r="H46" s="24"/>
    </row>
    <row r="47" spans="1:8">
      <c r="A47" s="11" t="s">
        <v>90</v>
      </c>
      <c r="B47" s="12" t="s">
        <v>91</v>
      </c>
      <c r="C47" s="11" t="s">
        <v>12</v>
      </c>
      <c r="D47" s="11">
        <v>30</v>
      </c>
      <c r="E47" s="11"/>
      <c r="F47" s="11"/>
      <c r="G47" s="13"/>
      <c r="H47" s="13"/>
    </row>
    <row r="48" spans="1:8">
      <c r="A48" s="11" t="s">
        <v>92</v>
      </c>
      <c r="B48" s="12" t="s">
        <v>93</v>
      </c>
      <c r="C48" s="11" t="s">
        <v>12</v>
      </c>
      <c r="D48" s="11"/>
      <c r="E48" s="11"/>
      <c r="F48" s="11"/>
      <c r="G48" s="13">
        <v>-19895735</v>
      </c>
      <c r="H48" s="13">
        <v>-19989212</v>
      </c>
    </row>
    <row r="49" spans="1:8">
      <c r="A49" s="16" t="s">
        <v>94</v>
      </c>
      <c r="B49" s="17" t="s">
        <v>95</v>
      </c>
      <c r="C49" s="16"/>
      <c r="D49" s="16"/>
      <c r="E49" s="16"/>
      <c r="F49" s="16"/>
      <c r="G49" s="18">
        <v>42874153</v>
      </c>
      <c r="H49" s="18">
        <v>7158974</v>
      </c>
    </row>
    <row r="53" spans="1:8">
      <c r="B53" s="29"/>
      <c r="C53" s="29"/>
    </row>
    <row r="54" spans="1:8">
      <c r="B54" s="29"/>
      <c r="C54" s="29"/>
    </row>
    <row r="55" spans="1:8">
      <c r="B55" s="29"/>
      <c r="C55" s="29"/>
    </row>
    <row r="58" spans="1:8">
      <c r="B58" s="29"/>
      <c r="C58" s="29"/>
    </row>
    <row r="59" spans="1:8">
      <c r="B59" s="29"/>
      <c r="C59" s="29"/>
    </row>
    <row r="62" spans="1:8">
      <c r="G62" s="30"/>
      <c r="H62" s="30"/>
    </row>
    <row r="63" spans="1:8">
      <c r="G63" s="30"/>
      <c r="H63" s="30"/>
    </row>
    <row r="64" spans="1:8">
      <c r="G64" s="30"/>
      <c r="H64" s="30"/>
    </row>
    <row r="65" spans="7:8">
      <c r="G65" s="30"/>
      <c r="H65" s="30"/>
    </row>
    <row r="66" spans="7:8">
      <c r="G66" s="30"/>
      <c r="H66" s="30"/>
    </row>
    <row r="67" spans="7:8">
      <c r="G67" s="30"/>
      <c r="H67" s="30"/>
    </row>
    <row r="68" spans="7:8">
      <c r="G68" s="30"/>
      <c r="H68" s="30"/>
    </row>
    <row r="69" spans="7:8">
      <c r="G69" s="30"/>
      <c r="H69" s="30"/>
    </row>
    <row r="70" spans="7:8">
      <c r="G70" s="30"/>
      <c r="H70" s="30"/>
    </row>
    <row r="71" spans="7:8">
      <c r="G71" s="30"/>
      <c r="H71" s="30"/>
    </row>
    <row r="72" spans="7:8">
      <c r="G72" s="30"/>
      <c r="H72" s="30"/>
    </row>
    <row r="73" spans="7:8">
      <c r="G73" s="30"/>
      <c r="H73" s="30"/>
    </row>
    <row r="74" spans="7:8">
      <c r="G74" s="30"/>
      <c r="H74" s="30"/>
    </row>
    <row r="75" spans="7:8">
      <c r="G75" s="30"/>
      <c r="H75" s="30"/>
    </row>
    <row r="76" spans="7:8">
      <c r="G76" s="30"/>
      <c r="H76" s="30"/>
    </row>
    <row r="77" spans="7:8">
      <c r="G77" s="30"/>
      <c r="H77" s="30"/>
    </row>
    <row r="78" spans="7:8">
      <c r="G78" s="30"/>
      <c r="H78" s="30"/>
    </row>
    <row r="79" spans="7:8">
      <c r="G79" s="30"/>
      <c r="H79" s="30"/>
    </row>
    <row r="80" spans="7:8">
      <c r="G80" s="30"/>
      <c r="H80" s="30"/>
    </row>
    <row r="81" spans="7:8">
      <c r="G81" s="30"/>
      <c r="H81" s="30"/>
    </row>
    <row r="82" spans="7:8">
      <c r="G82" s="30"/>
      <c r="H82" s="30"/>
    </row>
    <row r="83" spans="7:8">
      <c r="G83" s="30"/>
      <c r="H83" s="30"/>
    </row>
    <row r="84" spans="7:8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3A27353-7CEC-4155-9F82-07B767BCEB8B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E2B6E2BE-3907-450D-AC8D-3E09E07C3A51}"/>
    <dataValidation allowBlank="1" showInputMessage="1" showErrorMessage="1" errorTitle="Erreur de saisie" error="La cellule ne peut prendre que du numérique." promptTitle="Information" prompt="Cette cellule ne peut prendre que du numérique," sqref="G8:H49" xr:uid="{312E5426-5F6C-49E4-8D17-68ABFEF6C029}"/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55DA-E6CE-471D-B1B1-AEDD6ECC4133}">
  <dimension ref="A1:H84"/>
  <sheetViews>
    <sheetView topLeftCell="C1" workbookViewId="0">
      <selection activeCell="G10" sqref="G10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3.5703125" style="27" customWidth="1"/>
    <col min="7" max="8" width="17.7109375" style="28" bestFit="1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G3" s="72">
        <f>+'[9]Fiche de renseignement R1'!$V$10</f>
        <v>45657</v>
      </c>
      <c r="H3" s="73"/>
    </row>
    <row r="4" spans="1:8" s="1" customFormat="1" ht="15" customHeight="1">
      <c r="A4" s="73"/>
      <c r="B4" s="73"/>
      <c r="C4" s="73"/>
      <c r="D4" s="74" t="s">
        <v>2</v>
      </c>
      <c r="E4" s="25"/>
      <c r="F4" s="25"/>
      <c r="G4" s="75">
        <f>+'[9]Fiche de renseignement R1'!$AH$10</f>
        <v>12</v>
      </c>
      <c r="H4" s="75"/>
    </row>
    <row r="5" spans="1:8" s="1" customFormat="1" ht="30.95" customHeight="1">
      <c r="A5" s="4" t="s">
        <v>3</v>
      </c>
      <c r="B5" s="76" t="str">
        <f>+'[9]Fiche de renseignement R1'!$J$10</f>
        <v>002292168</v>
      </c>
      <c r="C5" s="76"/>
      <c r="D5" s="74"/>
      <c r="E5" s="25"/>
      <c r="F5" s="25"/>
      <c r="G5" s="73"/>
      <c r="H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107325314</v>
      </c>
      <c r="F8" s="10">
        <v>9021476</v>
      </c>
      <c r="G8" s="10">
        <v>-23728387</v>
      </c>
      <c r="H8" s="10">
        <v>-36887028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-95482513</v>
      </c>
      <c r="F9" s="13">
        <v>-14169082</v>
      </c>
      <c r="G9" s="13">
        <v>-4330935</v>
      </c>
      <c r="H9" s="13">
        <v>0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-11989211</v>
      </c>
      <c r="F10" s="13">
        <v>8355291</v>
      </c>
      <c r="G10" s="13">
        <v>3633920</v>
      </c>
      <c r="H10" s="13">
        <v>0</v>
      </c>
    </row>
    <row r="11" spans="1:8" ht="18" customHeight="1">
      <c r="A11" s="16" t="s">
        <v>16</v>
      </c>
      <c r="B11" s="17" t="s">
        <v>17</v>
      </c>
      <c r="C11" s="16"/>
      <c r="D11" s="16"/>
      <c r="E11" s="18">
        <v>-146410</v>
      </c>
      <c r="F11" s="18">
        <v>3207685</v>
      </c>
      <c r="G11" s="18">
        <v>-24425402</v>
      </c>
      <c r="H11" s="18">
        <v>-36887028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20776004902</v>
      </c>
      <c r="F12" s="13">
        <v>21081304182</v>
      </c>
      <c r="G12" s="13">
        <v>19510547154.849998</v>
      </c>
      <c r="H12" s="13">
        <v>15809290551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8134740262</v>
      </c>
      <c r="F13" s="13">
        <v>7753345282</v>
      </c>
      <c r="G13" s="13">
        <v>5426086397.6000004</v>
      </c>
      <c r="H13" s="13">
        <v>3638048131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1653455290</v>
      </c>
      <c r="F14" s="13">
        <v>1479976381</v>
      </c>
      <c r="G14" s="13">
        <v>1056924090.5085001</v>
      </c>
      <c r="H14" s="13">
        <v>1089198935</v>
      </c>
    </row>
    <row r="15" spans="1:8" ht="18" customHeight="1">
      <c r="A15" s="16" t="s">
        <v>24</v>
      </c>
      <c r="B15" s="17" t="s">
        <v>25</v>
      </c>
      <c r="C15" s="16"/>
      <c r="D15" s="16"/>
      <c r="E15" s="18">
        <v>30671525768</v>
      </c>
      <c r="F15" s="18">
        <v>30323647321</v>
      </c>
      <c r="G15" s="18">
        <v>25969829256</v>
      </c>
      <c r="H15" s="18">
        <v>20499650589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705462611</v>
      </c>
      <c r="F16" s="13">
        <v>-1170969346.4158001</v>
      </c>
      <c r="G16" s="13">
        <v>-865211736.28851604</v>
      </c>
      <c r="H16" s="13">
        <v>680953831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  <c r="G17" s="13">
        <v>0</v>
      </c>
      <c r="H17" s="13">
        <v>0</v>
      </c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  <c r="G18" s="13">
        <v>0</v>
      </c>
      <c r="H18" s="13">
        <v>0</v>
      </c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675434602</v>
      </c>
      <c r="F19" s="13">
        <v>626676244.86886001</v>
      </c>
      <c r="G19" s="13">
        <v>594851797.98000002</v>
      </c>
      <c r="H19" s="13">
        <v>87870551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0</v>
      </c>
      <c r="F20" s="13">
        <v>0</v>
      </c>
      <c r="G20" s="13">
        <v>0</v>
      </c>
      <c r="H20" s="13">
        <v>0</v>
      </c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  <c r="G21" s="13">
        <v>0</v>
      </c>
      <c r="H21" s="13">
        <v>0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  <c r="G22" s="13">
        <v>0</v>
      </c>
      <c r="H22" s="13">
        <v>0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-9380976729</v>
      </c>
      <c r="F23" s="13">
        <v>-9186338958</v>
      </c>
      <c r="G23" s="13">
        <v>-7968541790.7787399</v>
      </c>
      <c r="H23" s="13">
        <v>-6252712903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1070776975</v>
      </c>
      <c r="F24" s="13">
        <v>827382535</v>
      </c>
      <c r="G24" s="13">
        <v>935086303.6983912</v>
      </c>
      <c r="H24" s="13">
        <v>559150741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-8050366317</v>
      </c>
      <c r="F25" s="13">
        <v>-7350182670</v>
      </c>
      <c r="G25" s="13">
        <v>-5644798258.3898306</v>
      </c>
      <c r="H25" s="13">
        <v>-3793251986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-3834089935</v>
      </c>
      <c r="F26" s="13">
        <v>-3247770635</v>
      </c>
      <c r="G26" s="13">
        <v>-3146647050.4237204</v>
      </c>
      <c r="H26" s="13">
        <v>-3605111979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-1658436373</v>
      </c>
      <c r="F27" s="13">
        <v>-1491632220</v>
      </c>
      <c r="G27" s="13">
        <v>-1260666970.9152501</v>
      </c>
      <c r="H27" s="13">
        <v>-1088965308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-580002531</v>
      </c>
      <c r="F28" s="13">
        <v>-1040111371.9725599</v>
      </c>
      <c r="G28" s="13">
        <v>-664639862.07999992</v>
      </c>
      <c r="H28" s="13">
        <v>-968287142</v>
      </c>
    </row>
    <row r="29" spans="1:8" ht="18" customHeight="1">
      <c r="A29" s="16" t="s">
        <v>52</v>
      </c>
      <c r="B29" s="17" t="s">
        <v>53</v>
      </c>
      <c r="C29" s="16"/>
      <c r="D29" s="16"/>
      <c r="E29" s="18">
        <v>9511856347</v>
      </c>
      <c r="F29" s="18">
        <v>8284887108.4804993</v>
      </c>
      <c r="G29" s="18">
        <v>7948564673.7608337</v>
      </c>
      <c r="H29" s="18">
        <v>6119296394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-2989400362</v>
      </c>
      <c r="F30" s="13">
        <v>-2645377206</v>
      </c>
      <c r="G30" s="13">
        <v>-2043278180</v>
      </c>
      <c r="H30" s="13">
        <v>-1793376457</v>
      </c>
    </row>
    <row r="31" spans="1:8" ht="18" customHeight="1">
      <c r="A31" s="16" t="s">
        <v>56</v>
      </c>
      <c r="B31" s="17" t="s">
        <v>57</v>
      </c>
      <c r="C31" s="16"/>
      <c r="D31" s="16"/>
      <c r="E31" s="18">
        <v>6522455985</v>
      </c>
      <c r="F31" s="18">
        <v>5639509902.4804993</v>
      </c>
      <c r="G31" s="18">
        <v>5905286493.7608337</v>
      </c>
      <c r="H31" s="18">
        <v>4325919937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10976020</v>
      </c>
      <c r="F32" s="13">
        <v>27819000</v>
      </c>
      <c r="G32" s="13">
        <v>23488960</v>
      </c>
      <c r="H32" s="13">
        <v>775897602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3">
        <v>-2586057624.7399998</v>
      </c>
      <c r="F33" s="13">
        <v>-2299870472</v>
      </c>
      <c r="G33" s="13">
        <v>-2389187584.2600002</v>
      </c>
      <c r="H33" s="13">
        <v>-2331347430</v>
      </c>
    </row>
    <row r="34" spans="1:8" ht="18" customHeight="1">
      <c r="A34" s="16" t="s">
        <v>63</v>
      </c>
      <c r="B34" s="17" t="s">
        <v>64</v>
      </c>
      <c r="C34" s="16"/>
      <c r="D34" s="16"/>
      <c r="E34" s="18">
        <v>3947374380.2600002</v>
      </c>
      <c r="F34" s="18">
        <v>3367458430.4804993</v>
      </c>
      <c r="G34" s="18">
        <v>3539587869.5008335</v>
      </c>
      <c r="H34" s="18">
        <v>2770470109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4423</v>
      </c>
      <c r="F35" s="13">
        <v>404</v>
      </c>
      <c r="G35" s="13">
        <v>0</v>
      </c>
      <c r="H35" s="13">
        <v>0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  <c r="G36" s="13">
        <v>0</v>
      </c>
      <c r="H36" s="13">
        <v>0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  <c r="G37" s="13">
        <v>0</v>
      </c>
      <c r="H37" s="13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-777809479</v>
      </c>
      <c r="F38" s="13">
        <v>-652866538.65038002</v>
      </c>
      <c r="G38" s="13">
        <v>-634303538</v>
      </c>
      <c r="H38" s="13">
        <v>-811378748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-54152171</v>
      </c>
      <c r="F39" s="13">
        <v>-25488572</v>
      </c>
      <c r="G39" s="13">
        <v>-21703996</v>
      </c>
      <c r="H39" s="13">
        <v>-45233372</v>
      </c>
    </row>
    <row r="40" spans="1:8" ht="18" customHeight="1">
      <c r="A40" s="16" t="s">
        <v>75</v>
      </c>
      <c r="B40" s="17" t="s">
        <v>76</v>
      </c>
      <c r="C40" s="16"/>
      <c r="D40" s="16"/>
      <c r="E40" s="18">
        <v>-831957227</v>
      </c>
      <c r="F40" s="18">
        <v>-678354706.65038002</v>
      </c>
      <c r="G40" s="18">
        <v>-656007534</v>
      </c>
      <c r="H40" s="18">
        <v>-856612120</v>
      </c>
    </row>
    <row r="41" spans="1:8" ht="18" customHeight="1">
      <c r="A41" s="22" t="s">
        <v>77</v>
      </c>
      <c r="B41" s="23" t="s">
        <v>78</v>
      </c>
      <c r="C41" s="22"/>
      <c r="D41" s="22"/>
      <c r="E41" s="24">
        <v>3115417153.2600002</v>
      </c>
      <c r="F41" s="24">
        <v>2689103723.8301191</v>
      </c>
      <c r="G41" s="24">
        <v>2883580335.5008335</v>
      </c>
      <c r="H41" s="24">
        <v>1913857989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67023728</v>
      </c>
      <c r="F42" s="13">
        <v>9322034</v>
      </c>
      <c r="G42" s="13">
        <v>0</v>
      </c>
      <c r="H42" s="13">
        <v>0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  <c r="G43" s="13">
        <v>0</v>
      </c>
      <c r="H43" s="13">
        <v>341164468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-12842070</v>
      </c>
      <c r="F44" s="13">
        <v>0</v>
      </c>
      <c r="G44" s="13">
        <v>0</v>
      </c>
      <c r="H44" s="13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  <c r="G45" s="13">
        <v>0</v>
      </c>
      <c r="H45" s="13">
        <v>-114441168</v>
      </c>
    </row>
    <row r="46" spans="1:8" ht="18" customHeight="1">
      <c r="A46" s="22" t="s">
        <v>88</v>
      </c>
      <c r="B46" s="23" t="s">
        <v>89</v>
      </c>
      <c r="C46" s="22"/>
      <c r="D46" s="22"/>
      <c r="E46" s="24">
        <v>54181658</v>
      </c>
      <c r="F46" s="24">
        <v>9322034</v>
      </c>
      <c r="G46" s="24">
        <v>0</v>
      </c>
      <c r="H46" s="24">
        <v>226723300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  <c r="G47" s="13">
        <v>0</v>
      </c>
      <c r="H47" s="13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3">
        <v>-1172240100</v>
      </c>
      <c r="F48" s="13">
        <v>-966556200</v>
      </c>
      <c r="G48" s="13">
        <v>-1071376500</v>
      </c>
      <c r="H48" s="13">
        <v>-813610826</v>
      </c>
    </row>
    <row r="49" spans="1:8" ht="18" customHeight="1">
      <c r="A49" s="16" t="s">
        <v>94</v>
      </c>
      <c r="B49" s="17" t="s">
        <v>95</v>
      </c>
      <c r="C49" s="16"/>
      <c r="D49" s="16"/>
      <c r="E49" s="18">
        <v>1997358711</v>
      </c>
      <c r="F49" s="18">
        <v>1731869558</v>
      </c>
      <c r="G49" s="18">
        <v>1812203836</v>
      </c>
      <c r="H49" s="18">
        <v>1326970463</v>
      </c>
    </row>
    <row r="50" spans="1:8">
      <c r="E50" s="28"/>
      <c r="F50" s="28"/>
    </row>
    <row r="51" spans="1:8">
      <c r="E51" s="28"/>
      <c r="F51" s="28"/>
    </row>
    <row r="52" spans="1:8">
      <c r="E52" s="28"/>
      <c r="F52" s="28"/>
    </row>
    <row r="53" spans="1:8" ht="12.75" customHeight="1">
      <c r="B53" s="29"/>
      <c r="C53" s="29"/>
      <c r="E53" s="28"/>
      <c r="F53" s="28"/>
    </row>
    <row r="54" spans="1:8" ht="12.75" customHeight="1">
      <c r="B54" s="29"/>
      <c r="C54" s="29"/>
      <c r="E54" s="28"/>
      <c r="F54" s="28"/>
    </row>
    <row r="55" spans="1:8" ht="12.75" customHeight="1">
      <c r="B55" s="29"/>
      <c r="C55" s="29"/>
      <c r="E55" s="28"/>
      <c r="F55" s="28"/>
    </row>
    <row r="56" spans="1:8">
      <c r="E56" s="28"/>
      <c r="F56" s="28"/>
    </row>
    <row r="57" spans="1:8">
      <c r="E57" s="28"/>
      <c r="F57" s="28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"/>
      <c r="H62" s="30"/>
    </row>
    <row r="63" spans="1:8" ht="12.75" customHeight="1">
      <c r="G63" s="30"/>
      <c r="H63" s="30"/>
    </row>
    <row r="64" spans="1:8" ht="12.75" customHeight="1">
      <c r="G64" s="30"/>
      <c r="H64" s="30"/>
    </row>
    <row r="65" spans="7:8" ht="12.75" customHeight="1">
      <c r="G65" s="30"/>
      <c r="H65" s="30"/>
    </row>
    <row r="66" spans="7:8" ht="12.75" customHeight="1">
      <c r="G66" s="30"/>
      <c r="H66" s="30"/>
    </row>
    <row r="67" spans="7:8" ht="12.75" customHeight="1">
      <c r="G67" s="30"/>
      <c r="H67" s="30"/>
    </row>
    <row r="68" spans="7:8" ht="12.75" customHeight="1">
      <c r="G68" s="30"/>
      <c r="H68" s="30"/>
    </row>
    <row r="69" spans="7:8" ht="12.75" customHeight="1">
      <c r="G69" s="30"/>
      <c r="H69" s="30"/>
    </row>
    <row r="70" spans="7:8" ht="12.75" customHeight="1">
      <c r="G70" s="30"/>
      <c r="H70" s="30"/>
    </row>
    <row r="71" spans="7:8" ht="12.75" customHeight="1">
      <c r="G71" s="30"/>
      <c r="H71" s="30"/>
    </row>
    <row r="72" spans="7:8" ht="12.75" customHeight="1">
      <c r="G72" s="30"/>
      <c r="H72" s="30"/>
    </row>
    <row r="73" spans="7:8" ht="12.75" customHeight="1">
      <c r="G73" s="30"/>
      <c r="H73" s="30"/>
    </row>
    <row r="74" spans="7:8" ht="12.75" customHeight="1">
      <c r="G74" s="30"/>
      <c r="H74" s="30"/>
    </row>
    <row r="75" spans="7:8" ht="12.75" customHeight="1">
      <c r="G75" s="30"/>
      <c r="H75" s="30"/>
    </row>
    <row r="76" spans="7:8" ht="12.75" customHeight="1">
      <c r="G76" s="30"/>
      <c r="H76" s="30"/>
    </row>
    <row r="77" spans="7:8" ht="12.75" customHeight="1">
      <c r="G77" s="30"/>
      <c r="H77" s="30"/>
    </row>
    <row r="78" spans="7:8" ht="12.75" customHeight="1">
      <c r="G78" s="30"/>
      <c r="H78" s="30"/>
    </row>
    <row r="79" spans="7:8" ht="12.75" customHeight="1">
      <c r="G79" s="30"/>
      <c r="H79" s="30"/>
    </row>
    <row r="80" spans="7:8" ht="12.75" customHeight="1">
      <c r="G80" s="30"/>
      <c r="H80" s="30"/>
    </row>
    <row r="81" spans="7:8" ht="12.75" customHeight="1">
      <c r="G81" s="30"/>
      <c r="H81" s="30"/>
    </row>
    <row r="82" spans="7:8" ht="12.75" customHeight="1">
      <c r="G82" s="30"/>
      <c r="H82" s="30"/>
    </row>
    <row r="83" spans="7:8" ht="12.75" customHeight="1">
      <c r="G83" s="30"/>
      <c r="H83" s="30"/>
    </row>
    <row r="84" spans="7:8" ht="12.75" customHeight="1">
      <c r="G84" s="30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389F5E80-3EC4-4580-A26E-705542ECB7B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9D54C583-7DA0-420A-A65C-F9EF806CA25C}"/>
    <dataValidation allowBlank="1" showInputMessage="1" showErrorMessage="1" errorTitle="Erreur de saisie" error="La cellule ne peut prendre que du numérique." promptTitle="Information" prompt="Cette cellule ne peut prendre que du numérique," sqref="E8:H49" xr:uid="{ED466D52-DAB6-4E1D-8619-AE02BF0DCA35}"/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FC6C-2879-4B7B-8B36-520ECF88BA2F}">
  <dimension ref="A1:J49"/>
  <sheetViews>
    <sheetView topLeftCell="C3" workbookViewId="0">
      <selection activeCell="G8" sqref="G8"/>
    </sheetView>
  </sheetViews>
  <sheetFormatPr baseColWidth="10" defaultColWidth="11.42578125" defaultRowHeight="12.7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28515625" style="108" customWidth="1" collapsed="1"/>
    <col min="5" max="6" width="8.28515625" style="108" customWidth="1"/>
    <col min="7" max="8" width="13.85546875" style="108" customWidth="1" collapsed="1"/>
    <col min="9" max="16384" width="11.42578125" style="108" collapsed="1"/>
  </cols>
  <sheetData>
    <row r="1" spans="1:10" s="93" customFormat="1" ht="24.6" customHeight="1">
      <c r="A1" s="92" t="s">
        <v>0</v>
      </c>
      <c r="B1" s="92"/>
      <c r="C1" s="92"/>
      <c r="D1" s="92"/>
      <c r="E1" s="92"/>
      <c r="F1" s="92"/>
      <c r="G1" s="92"/>
      <c r="H1" s="92"/>
    </row>
    <row r="2" spans="1:10" s="93" customFormat="1" ht="8.1" customHeight="1">
      <c r="C2" s="94"/>
    </row>
    <row r="3" spans="1:10" s="93" customFormat="1" ht="25.5" customHeight="1">
      <c r="A3" s="95" t="s">
        <v>134</v>
      </c>
      <c r="B3" s="95"/>
      <c r="C3" s="95"/>
      <c r="D3" s="93" t="s">
        <v>1</v>
      </c>
      <c r="G3" s="96">
        <f>+'[10]Fiche de renseignement R1'!$V$10</f>
        <v>45657</v>
      </c>
      <c r="H3" s="97"/>
    </row>
    <row r="4" spans="1:10" s="93" customFormat="1" ht="15" customHeight="1">
      <c r="A4" s="98" t="str">
        <f>'[10]Fiche de renseignement R1'!$J$4</f>
        <v>GRAVITA SENEGAL SAU</v>
      </c>
      <c r="B4" s="97"/>
      <c r="C4" s="97"/>
      <c r="D4" s="99" t="s">
        <v>2</v>
      </c>
      <c r="E4" s="119"/>
      <c r="F4" s="119"/>
      <c r="G4" s="100">
        <f>+'[10]Fiche de renseignement R1'!$AH$10</f>
        <v>12</v>
      </c>
      <c r="H4" s="101"/>
    </row>
    <row r="5" spans="1:10" s="93" customFormat="1" ht="30.95" customHeight="1">
      <c r="A5" s="102" t="s">
        <v>3</v>
      </c>
      <c r="B5" s="103" t="str">
        <f>+'[10]Fiche de renseignement R1'!$J$10</f>
        <v>002697938</v>
      </c>
      <c r="C5" s="104"/>
      <c r="D5" s="99"/>
      <c r="E5" s="119"/>
      <c r="F5" s="119"/>
      <c r="G5" s="97"/>
      <c r="H5" s="97"/>
    </row>
    <row r="7" spans="1:10" ht="18" customHeight="1">
      <c r="A7" s="105" t="s">
        <v>4</v>
      </c>
      <c r="B7" s="106" t="s">
        <v>5</v>
      </c>
      <c r="C7" s="106"/>
      <c r="D7" s="105" t="s">
        <v>6</v>
      </c>
      <c r="E7" s="107">
        <v>2024</v>
      </c>
      <c r="F7" s="107">
        <v>2023</v>
      </c>
      <c r="G7" s="107">
        <v>2022</v>
      </c>
      <c r="H7" s="107">
        <v>2021</v>
      </c>
      <c r="I7" s="107">
        <v>2020</v>
      </c>
    </row>
    <row r="8" spans="1:10">
      <c r="A8" s="109" t="s">
        <v>7</v>
      </c>
      <c r="B8" s="110" t="s">
        <v>117</v>
      </c>
      <c r="C8" s="109" t="s">
        <v>9</v>
      </c>
      <c r="D8" s="109">
        <v>21</v>
      </c>
      <c r="E8" s="111">
        <v>0</v>
      </c>
      <c r="F8" s="111">
        <v>0</v>
      </c>
    </row>
    <row r="9" spans="1:10">
      <c r="A9" s="109" t="s">
        <v>10</v>
      </c>
      <c r="B9" s="110" t="s">
        <v>11</v>
      </c>
      <c r="C9" s="109" t="s">
        <v>12</v>
      </c>
      <c r="D9" s="109">
        <v>22</v>
      </c>
      <c r="E9" s="111">
        <v>0</v>
      </c>
      <c r="F9" s="111">
        <v>0</v>
      </c>
    </row>
    <row r="10" spans="1:10">
      <c r="A10" s="109" t="s">
        <v>13</v>
      </c>
      <c r="B10" s="110" t="s">
        <v>14</v>
      </c>
      <c r="C10" s="109" t="s">
        <v>15</v>
      </c>
      <c r="D10" s="109">
        <v>6</v>
      </c>
      <c r="E10" s="111">
        <v>0</v>
      </c>
      <c r="F10" s="111">
        <v>0</v>
      </c>
      <c r="J10" s="144"/>
    </row>
    <row r="11" spans="1:10">
      <c r="A11" s="105" t="s">
        <v>16</v>
      </c>
      <c r="B11" s="106" t="s">
        <v>17</v>
      </c>
      <c r="C11" s="105"/>
      <c r="D11" s="105"/>
      <c r="E11" s="112">
        <v>0</v>
      </c>
      <c r="F11" s="112">
        <v>0</v>
      </c>
    </row>
    <row r="12" spans="1:10">
      <c r="A12" s="109" t="s">
        <v>18</v>
      </c>
      <c r="B12" s="110" t="s">
        <v>118</v>
      </c>
      <c r="C12" s="109" t="s">
        <v>9</v>
      </c>
      <c r="D12" s="109">
        <v>21</v>
      </c>
      <c r="E12" s="111">
        <v>12791200832</v>
      </c>
      <c r="F12" s="111">
        <v>10579549714</v>
      </c>
    </row>
    <row r="13" spans="1:10">
      <c r="A13" s="109" t="s">
        <v>20</v>
      </c>
      <c r="B13" s="110" t="s">
        <v>119</v>
      </c>
      <c r="C13" s="109" t="s">
        <v>9</v>
      </c>
      <c r="D13" s="109">
        <v>21</v>
      </c>
      <c r="E13" s="111">
        <v>0</v>
      </c>
      <c r="F13" s="111">
        <v>120750678</v>
      </c>
    </row>
    <row r="14" spans="1:10">
      <c r="A14" s="109" t="s">
        <v>22</v>
      </c>
      <c r="B14" s="110" t="s">
        <v>120</v>
      </c>
      <c r="C14" s="109" t="s">
        <v>9</v>
      </c>
      <c r="D14" s="109">
        <v>21</v>
      </c>
      <c r="E14" s="111">
        <v>0</v>
      </c>
      <c r="F14" s="111">
        <v>0</v>
      </c>
    </row>
    <row r="15" spans="1:10">
      <c r="A15" s="105" t="s">
        <v>24</v>
      </c>
      <c r="B15" s="106" t="s">
        <v>25</v>
      </c>
      <c r="C15" s="105"/>
      <c r="D15" s="105"/>
      <c r="E15" s="112">
        <v>12791200832</v>
      </c>
      <c r="F15" s="112">
        <v>10700300392</v>
      </c>
    </row>
    <row r="16" spans="1:10">
      <c r="A16" s="109" t="s">
        <v>26</v>
      </c>
      <c r="B16" s="110" t="s">
        <v>27</v>
      </c>
      <c r="C16" s="109" t="s">
        <v>15</v>
      </c>
      <c r="D16" s="109">
        <v>6</v>
      </c>
      <c r="E16" s="111">
        <v>1609900807</v>
      </c>
      <c r="F16" s="111">
        <v>1500287891</v>
      </c>
    </row>
    <row r="17" spans="1:6">
      <c r="A17" s="109" t="s">
        <v>28</v>
      </c>
      <c r="B17" s="110" t="s">
        <v>29</v>
      </c>
      <c r="C17" s="109"/>
      <c r="D17" s="109">
        <v>21</v>
      </c>
      <c r="E17" s="111">
        <v>0</v>
      </c>
      <c r="F17" s="111">
        <v>0</v>
      </c>
    </row>
    <row r="18" spans="1:6">
      <c r="A18" s="109" t="s">
        <v>30</v>
      </c>
      <c r="B18" s="110" t="s">
        <v>31</v>
      </c>
      <c r="C18" s="109"/>
      <c r="D18" s="109">
        <v>21</v>
      </c>
      <c r="E18" s="111">
        <v>0</v>
      </c>
      <c r="F18" s="111">
        <v>0</v>
      </c>
    </row>
    <row r="19" spans="1:6">
      <c r="A19" s="109" t="s">
        <v>32</v>
      </c>
      <c r="B19" s="110" t="s">
        <v>33</v>
      </c>
      <c r="C19" s="109" t="s">
        <v>9</v>
      </c>
      <c r="D19" s="109">
        <v>21</v>
      </c>
      <c r="E19" s="111">
        <v>0</v>
      </c>
      <c r="F19" s="111">
        <v>0</v>
      </c>
    </row>
    <row r="20" spans="1:6">
      <c r="A20" s="109" t="s">
        <v>34</v>
      </c>
      <c r="B20" s="110" t="s">
        <v>35</v>
      </c>
      <c r="C20" s="109" t="s">
        <v>9</v>
      </c>
      <c r="D20" s="109">
        <v>12</v>
      </c>
      <c r="E20" s="111">
        <v>0</v>
      </c>
      <c r="F20" s="111">
        <v>0</v>
      </c>
    </row>
    <row r="21" spans="1:6">
      <c r="A21" s="109" t="s">
        <v>36</v>
      </c>
      <c r="B21" s="110" t="s">
        <v>37</v>
      </c>
      <c r="C21" s="109" t="s">
        <v>12</v>
      </c>
      <c r="D21" s="109">
        <v>22</v>
      </c>
      <c r="E21" s="111">
        <v>8984771924</v>
      </c>
      <c r="F21" s="111">
        <v>9605774522</v>
      </c>
    </row>
    <row r="22" spans="1:6">
      <c r="A22" s="109" t="s">
        <v>38</v>
      </c>
      <c r="B22" s="110" t="s">
        <v>39</v>
      </c>
      <c r="C22" s="109" t="s">
        <v>15</v>
      </c>
      <c r="D22" s="109">
        <v>6</v>
      </c>
      <c r="E22" s="111">
        <v>179094132</v>
      </c>
      <c r="F22" s="111">
        <v>18609866</v>
      </c>
    </row>
    <row r="23" spans="1:6">
      <c r="A23" s="109" t="s">
        <v>40</v>
      </c>
      <c r="B23" s="110" t="s">
        <v>41</v>
      </c>
      <c r="C23" s="109" t="s">
        <v>12</v>
      </c>
      <c r="D23" s="109">
        <v>22</v>
      </c>
      <c r="E23" s="111">
        <v>230619332</v>
      </c>
      <c r="F23" s="111">
        <v>153207400</v>
      </c>
    </row>
    <row r="24" spans="1:6">
      <c r="A24" s="109" t="s">
        <v>42</v>
      </c>
      <c r="B24" s="110" t="s">
        <v>43</v>
      </c>
      <c r="C24" s="109" t="s">
        <v>15</v>
      </c>
      <c r="D24" s="109">
        <v>6</v>
      </c>
      <c r="E24" s="111">
        <v>85453123</v>
      </c>
      <c r="F24" s="111">
        <v>0</v>
      </c>
    </row>
    <row r="25" spans="1:6">
      <c r="A25" s="109" t="s">
        <v>44</v>
      </c>
      <c r="B25" s="110" t="s">
        <v>45</v>
      </c>
      <c r="C25" s="109" t="s">
        <v>12</v>
      </c>
      <c r="D25" s="109">
        <v>23</v>
      </c>
      <c r="E25" s="111">
        <v>18937345</v>
      </c>
      <c r="F25" s="111">
        <v>247440162</v>
      </c>
    </row>
    <row r="26" spans="1:6">
      <c r="A26" s="109" t="s">
        <v>46</v>
      </c>
      <c r="B26" s="110" t="s">
        <v>47</v>
      </c>
      <c r="C26" s="109" t="s">
        <v>12</v>
      </c>
      <c r="D26" s="109">
        <v>24</v>
      </c>
      <c r="E26" s="111">
        <v>393068294</v>
      </c>
      <c r="F26" s="111">
        <v>786356924</v>
      </c>
    </row>
    <row r="27" spans="1:6">
      <c r="A27" s="109" t="s">
        <v>48</v>
      </c>
      <c r="B27" s="110" t="s">
        <v>49</v>
      </c>
      <c r="C27" s="109" t="s">
        <v>12</v>
      </c>
      <c r="D27" s="109">
        <v>25</v>
      </c>
      <c r="E27" s="111">
        <v>160113000</v>
      </c>
      <c r="F27" s="111">
        <v>37613701</v>
      </c>
    </row>
    <row r="28" spans="1:6">
      <c r="A28" s="109" t="s">
        <v>50</v>
      </c>
      <c r="B28" s="110" t="s">
        <v>51</v>
      </c>
      <c r="C28" s="109" t="s">
        <v>12</v>
      </c>
      <c r="D28" s="109">
        <v>26</v>
      </c>
      <c r="E28" s="111">
        <v>28318037</v>
      </c>
      <c r="F28" s="111">
        <v>24469728</v>
      </c>
    </row>
    <row r="29" spans="1:6">
      <c r="A29" s="105" t="s">
        <v>52</v>
      </c>
      <c r="B29" s="106" t="s">
        <v>53</v>
      </c>
      <c r="C29" s="105"/>
      <c r="D29" s="105"/>
      <c r="E29" s="112">
        <v>1100924838</v>
      </c>
      <c r="F29" s="112">
        <v>1327115980</v>
      </c>
    </row>
    <row r="30" spans="1:6">
      <c r="A30" s="109" t="s">
        <v>54</v>
      </c>
      <c r="B30" s="110" t="s">
        <v>55</v>
      </c>
      <c r="C30" s="109" t="s">
        <v>12</v>
      </c>
      <c r="D30" s="109">
        <v>27</v>
      </c>
      <c r="E30" s="111">
        <v>610210646</v>
      </c>
      <c r="F30" s="111">
        <v>565182039</v>
      </c>
    </row>
    <row r="31" spans="1:6">
      <c r="A31" s="105" t="s">
        <v>56</v>
      </c>
      <c r="B31" s="106" t="s">
        <v>57</v>
      </c>
      <c r="C31" s="105"/>
      <c r="D31" s="105"/>
      <c r="E31" s="112">
        <v>490714192</v>
      </c>
      <c r="F31" s="112">
        <v>761933941</v>
      </c>
    </row>
    <row r="32" spans="1:6">
      <c r="A32" s="113" t="s">
        <v>58</v>
      </c>
      <c r="B32" s="114" t="s">
        <v>100</v>
      </c>
      <c r="C32" s="113" t="s">
        <v>9</v>
      </c>
      <c r="D32" s="113">
        <v>28</v>
      </c>
      <c r="E32" s="111">
        <v>0</v>
      </c>
      <c r="F32" s="111">
        <v>0</v>
      </c>
    </row>
    <row r="33" spans="1:6">
      <c r="A33" s="109" t="s">
        <v>60</v>
      </c>
      <c r="B33" s="110" t="s">
        <v>61</v>
      </c>
      <c r="C33" s="109" t="s">
        <v>12</v>
      </c>
      <c r="D33" s="109" t="s">
        <v>62</v>
      </c>
      <c r="E33" s="111">
        <v>348867424</v>
      </c>
      <c r="F33" s="111">
        <v>482849001</v>
      </c>
    </row>
    <row r="34" spans="1:6">
      <c r="A34" s="105" t="s">
        <v>63</v>
      </c>
      <c r="B34" s="106" t="s">
        <v>64</v>
      </c>
      <c r="C34" s="105"/>
      <c r="D34" s="105"/>
      <c r="E34" s="112">
        <v>141846768</v>
      </c>
      <c r="F34" s="112">
        <v>279084940</v>
      </c>
    </row>
    <row r="35" spans="1:6">
      <c r="A35" s="109" t="s">
        <v>65</v>
      </c>
      <c r="B35" s="110" t="s">
        <v>66</v>
      </c>
      <c r="C35" s="109" t="s">
        <v>9</v>
      </c>
      <c r="D35" s="109">
        <v>29</v>
      </c>
      <c r="E35" s="111">
        <v>96154766</v>
      </c>
      <c r="F35" s="111">
        <v>159845391</v>
      </c>
    </row>
    <row r="36" spans="1:6">
      <c r="A36" s="109" t="s">
        <v>67</v>
      </c>
      <c r="B36" s="110" t="s">
        <v>68</v>
      </c>
      <c r="C36" s="109" t="s">
        <v>9</v>
      </c>
      <c r="D36" s="109">
        <v>28</v>
      </c>
      <c r="E36" s="111">
        <v>0</v>
      </c>
      <c r="F36" s="111">
        <v>0</v>
      </c>
    </row>
    <row r="37" spans="1:6">
      <c r="A37" s="109" t="s">
        <v>69</v>
      </c>
      <c r="B37" s="110" t="s">
        <v>101</v>
      </c>
      <c r="C37" s="109" t="s">
        <v>9</v>
      </c>
      <c r="D37" s="109">
        <v>12</v>
      </c>
      <c r="E37" s="111">
        <v>0</v>
      </c>
      <c r="F37" s="111">
        <v>0</v>
      </c>
    </row>
    <row r="38" spans="1:6">
      <c r="A38" s="109" t="s">
        <v>71</v>
      </c>
      <c r="B38" s="110" t="s">
        <v>72</v>
      </c>
      <c r="C38" s="109" t="s">
        <v>12</v>
      </c>
      <c r="D38" s="109">
        <v>29</v>
      </c>
      <c r="E38" s="111">
        <v>556214400</v>
      </c>
      <c r="F38" s="111">
        <v>333925530</v>
      </c>
    </row>
    <row r="39" spans="1:6">
      <c r="A39" s="109" t="s">
        <v>73</v>
      </c>
      <c r="B39" s="110" t="s">
        <v>74</v>
      </c>
      <c r="C39" s="109" t="s">
        <v>12</v>
      </c>
      <c r="D39" s="109" t="s">
        <v>62</v>
      </c>
      <c r="E39" s="111">
        <v>0</v>
      </c>
      <c r="F39" s="111">
        <v>0</v>
      </c>
    </row>
    <row r="40" spans="1:6">
      <c r="A40" s="105" t="s">
        <v>75</v>
      </c>
      <c r="B40" s="106" t="s">
        <v>76</v>
      </c>
      <c r="C40" s="105"/>
      <c r="D40" s="105"/>
      <c r="E40" s="112">
        <v>-460059634</v>
      </c>
      <c r="F40" s="112">
        <v>-174080139</v>
      </c>
    </row>
    <row r="41" spans="1:6">
      <c r="A41" s="115" t="s">
        <v>77</v>
      </c>
      <c r="B41" s="116" t="s">
        <v>78</v>
      </c>
      <c r="C41" s="115"/>
      <c r="D41" s="115"/>
      <c r="E41" s="117">
        <v>-318212866</v>
      </c>
      <c r="F41" s="117">
        <v>105004801</v>
      </c>
    </row>
    <row r="42" spans="1:6">
      <c r="A42" s="109" t="s">
        <v>79</v>
      </c>
      <c r="B42" s="110" t="s">
        <v>80</v>
      </c>
      <c r="C42" s="109" t="s">
        <v>9</v>
      </c>
      <c r="D42" s="109" t="s">
        <v>81</v>
      </c>
      <c r="E42" s="111">
        <v>5413335</v>
      </c>
      <c r="F42" s="111">
        <v>0</v>
      </c>
    </row>
    <row r="43" spans="1:6">
      <c r="A43" s="109" t="s">
        <v>82</v>
      </c>
      <c r="B43" s="110" t="s">
        <v>83</v>
      </c>
      <c r="C43" s="109" t="s">
        <v>9</v>
      </c>
      <c r="D43" s="109">
        <v>30</v>
      </c>
      <c r="E43" s="111">
        <v>0</v>
      </c>
      <c r="F43" s="111">
        <v>0</v>
      </c>
    </row>
    <row r="44" spans="1:6">
      <c r="A44" s="109" t="s">
        <v>84</v>
      </c>
      <c r="B44" s="110" t="s">
        <v>85</v>
      </c>
      <c r="C44" s="109" t="s">
        <v>12</v>
      </c>
      <c r="D44" s="109" t="s">
        <v>81</v>
      </c>
      <c r="E44" s="111">
        <v>0</v>
      </c>
      <c r="F44" s="111">
        <v>0</v>
      </c>
    </row>
    <row r="45" spans="1:6">
      <c r="A45" s="109" t="s">
        <v>86</v>
      </c>
      <c r="B45" s="110" t="s">
        <v>102</v>
      </c>
      <c r="C45" s="109" t="s">
        <v>12</v>
      </c>
      <c r="D45" s="109">
        <v>30</v>
      </c>
      <c r="E45" s="111">
        <v>0</v>
      </c>
      <c r="F45" s="111">
        <v>0</v>
      </c>
    </row>
    <row r="46" spans="1:6">
      <c r="A46" s="115" t="s">
        <v>88</v>
      </c>
      <c r="B46" s="116" t="s">
        <v>89</v>
      </c>
      <c r="C46" s="115"/>
      <c r="D46" s="115"/>
      <c r="E46" s="117">
        <v>5413335</v>
      </c>
      <c r="F46" s="117">
        <v>0</v>
      </c>
    </row>
    <row r="47" spans="1:6">
      <c r="A47" s="109" t="s">
        <v>90</v>
      </c>
      <c r="B47" s="110" t="s">
        <v>103</v>
      </c>
      <c r="C47" s="109" t="s">
        <v>12</v>
      </c>
      <c r="D47" s="109">
        <v>30</v>
      </c>
      <c r="E47" s="111">
        <v>0</v>
      </c>
      <c r="F47" s="111">
        <v>0</v>
      </c>
    </row>
    <row r="48" spans="1:6">
      <c r="A48" s="109" t="s">
        <v>92</v>
      </c>
      <c r="B48" s="110" t="s">
        <v>93</v>
      </c>
      <c r="C48" s="109" t="s">
        <v>12</v>
      </c>
      <c r="D48" s="109">
        <v>37</v>
      </c>
      <c r="E48" s="111">
        <v>5000000</v>
      </c>
      <c r="F48" s="111">
        <v>6417833</v>
      </c>
    </row>
    <row r="49" spans="1:6">
      <c r="A49" s="105" t="s">
        <v>94</v>
      </c>
      <c r="B49" s="106" t="s">
        <v>95</v>
      </c>
      <c r="C49" s="105"/>
      <c r="D49" s="106"/>
      <c r="E49" s="112">
        <v>-317799531</v>
      </c>
      <c r="F49" s="112">
        <v>98586968</v>
      </c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H5" xr:uid="{2FC27A69-566C-4F15-A247-A6ECAC34350F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9947DC29-AEC5-40D0-89FF-12E341D97F70}">
      <formula1>0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B787-DA47-48A9-BC41-FA337D95F781}">
  <dimension ref="A1:F78"/>
  <sheetViews>
    <sheetView topLeftCell="D1" workbookViewId="0">
      <selection activeCell="B9" sqref="B9"/>
    </sheetView>
  </sheetViews>
  <sheetFormatPr baseColWidth="10" defaultRowHeight="15"/>
  <cols>
    <col min="1" max="1" width="11.7109375" style="49" customWidth="1" collapsed="1"/>
    <col min="2" max="2" width="56" style="50" bestFit="1" customWidth="1" collapsed="1"/>
    <col min="3" max="3" width="3.140625" style="50" bestFit="1" customWidth="1" collapsed="1"/>
    <col min="4" max="4" width="13.5703125" style="50" customWidth="1" collapsed="1"/>
    <col min="5" max="6" width="15.7109375" style="51" customWidth="1" collapsed="1"/>
  </cols>
  <sheetData>
    <row r="1" spans="1:6">
      <c r="A1" s="32" t="s">
        <v>4</v>
      </c>
      <c r="B1" s="33" t="s">
        <v>5</v>
      </c>
      <c r="C1" s="32"/>
      <c r="D1" s="32" t="s">
        <v>6</v>
      </c>
      <c r="E1" s="34">
        <v>2024</v>
      </c>
      <c r="F1" s="34">
        <v>2023</v>
      </c>
    </row>
    <row r="2" spans="1:6">
      <c r="A2" s="35" t="s">
        <v>7</v>
      </c>
      <c r="B2" s="36" t="s">
        <v>8</v>
      </c>
      <c r="C2" s="35" t="s">
        <v>9</v>
      </c>
      <c r="D2" s="35">
        <v>21</v>
      </c>
      <c r="E2" s="37">
        <v>0</v>
      </c>
      <c r="F2" s="37">
        <v>0</v>
      </c>
    </row>
    <row r="3" spans="1:6">
      <c r="A3" s="38" t="s">
        <v>10</v>
      </c>
      <c r="B3" s="39" t="s">
        <v>11</v>
      </c>
      <c r="C3" s="38" t="s">
        <v>12</v>
      </c>
      <c r="D3" s="38">
        <v>22</v>
      </c>
      <c r="E3" s="37">
        <v>0</v>
      </c>
      <c r="F3" s="37">
        <v>0</v>
      </c>
    </row>
    <row r="4" spans="1:6">
      <c r="A4" s="38" t="s">
        <v>13</v>
      </c>
      <c r="B4" s="40" t="s">
        <v>14</v>
      </c>
      <c r="C4" s="41" t="s">
        <v>15</v>
      </c>
      <c r="D4" s="41">
        <v>6</v>
      </c>
      <c r="E4" s="37">
        <v>0</v>
      </c>
      <c r="F4" s="37">
        <v>0</v>
      </c>
    </row>
    <row r="5" spans="1:6">
      <c r="A5" s="42" t="s">
        <v>16</v>
      </c>
      <c r="B5" s="43" t="s">
        <v>17</v>
      </c>
      <c r="C5" s="42"/>
      <c r="D5" s="42"/>
      <c r="E5" s="54">
        <v>0</v>
      </c>
      <c r="F5" s="54">
        <v>0</v>
      </c>
    </row>
    <row r="6" spans="1:6">
      <c r="A6" s="38" t="s">
        <v>18</v>
      </c>
      <c r="B6" s="39" t="s">
        <v>19</v>
      </c>
      <c r="C6" s="38" t="s">
        <v>9</v>
      </c>
      <c r="D6" s="38">
        <v>21</v>
      </c>
      <c r="E6" s="37">
        <v>0</v>
      </c>
      <c r="F6" s="37">
        <v>0</v>
      </c>
    </row>
    <row r="7" spans="1:6">
      <c r="A7" s="38" t="s">
        <v>20</v>
      </c>
      <c r="B7" s="39" t="s">
        <v>21</v>
      </c>
      <c r="C7" s="38" t="s">
        <v>9</v>
      </c>
      <c r="D7" s="38">
        <v>21</v>
      </c>
      <c r="E7" s="37">
        <v>0</v>
      </c>
      <c r="F7" s="37">
        <v>0</v>
      </c>
    </row>
    <row r="8" spans="1:6">
      <c r="A8" s="38" t="s">
        <v>22</v>
      </c>
      <c r="B8" s="39" t="s">
        <v>23</v>
      </c>
      <c r="C8" s="38" t="s">
        <v>9</v>
      </c>
      <c r="D8" s="38">
        <v>21</v>
      </c>
      <c r="E8" s="37">
        <v>0</v>
      </c>
      <c r="F8" s="37">
        <v>0</v>
      </c>
    </row>
    <row r="9" spans="1:6">
      <c r="A9" s="42" t="s">
        <v>24</v>
      </c>
      <c r="B9" s="43" t="s">
        <v>25</v>
      </c>
      <c r="C9" s="42"/>
      <c r="D9" s="42"/>
      <c r="E9" s="54">
        <v>0</v>
      </c>
      <c r="F9" s="54">
        <v>0</v>
      </c>
    </row>
    <row r="10" spans="1:6">
      <c r="A10" s="38" t="s">
        <v>26</v>
      </c>
      <c r="B10" s="39" t="s">
        <v>27</v>
      </c>
      <c r="C10" s="41" t="s">
        <v>15</v>
      </c>
      <c r="D10" s="38">
        <v>6</v>
      </c>
      <c r="E10" s="37">
        <v>0</v>
      </c>
      <c r="F10" s="37">
        <v>0</v>
      </c>
    </row>
    <row r="11" spans="1:6">
      <c r="A11" s="38" t="s">
        <v>28</v>
      </c>
      <c r="B11" s="39" t="s">
        <v>29</v>
      </c>
      <c r="C11" s="38"/>
      <c r="D11" s="38">
        <v>21</v>
      </c>
      <c r="E11" s="37">
        <v>0</v>
      </c>
      <c r="F11" s="37">
        <v>0</v>
      </c>
    </row>
    <row r="12" spans="1:6">
      <c r="A12" s="38" t="s">
        <v>30</v>
      </c>
      <c r="B12" s="39" t="s">
        <v>31</v>
      </c>
      <c r="C12" s="38"/>
      <c r="D12" s="38">
        <v>21</v>
      </c>
      <c r="E12" s="37">
        <v>0</v>
      </c>
      <c r="F12" s="37">
        <v>0</v>
      </c>
    </row>
    <row r="13" spans="1:6">
      <c r="A13" s="38" t="s">
        <v>32</v>
      </c>
      <c r="B13" s="39" t="s">
        <v>33</v>
      </c>
      <c r="C13" s="38" t="s">
        <v>9</v>
      </c>
      <c r="D13" s="38">
        <v>21</v>
      </c>
      <c r="E13" s="37">
        <v>0</v>
      </c>
      <c r="F13" s="37">
        <v>0</v>
      </c>
    </row>
    <row r="14" spans="1:6">
      <c r="A14" s="65" t="s">
        <v>34</v>
      </c>
      <c r="B14" s="66" t="s">
        <v>35</v>
      </c>
      <c r="C14" s="65" t="s">
        <v>9</v>
      </c>
      <c r="D14" s="65">
        <v>12</v>
      </c>
      <c r="E14" s="69">
        <v>0</v>
      </c>
      <c r="F14" s="69">
        <v>0</v>
      </c>
    </row>
    <row r="15" spans="1:6">
      <c r="A15" s="38" t="s">
        <v>36</v>
      </c>
      <c r="B15" s="39" t="s">
        <v>37</v>
      </c>
      <c r="C15" s="38" t="s">
        <v>12</v>
      </c>
      <c r="D15" s="38">
        <v>22</v>
      </c>
      <c r="E15" s="37">
        <v>0</v>
      </c>
      <c r="F15" s="37">
        <v>0</v>
      </c>
    </row>
    <row r="16" spans="1:6">
      <c r="A16" s="38" t="s">
        <v>38</v>
      </c>
      <c r="B16" s="40" t="s">
        <v>39</v>
      </c>
      <c r="C16" s="41" t="s">
        <v>15</v>
      </c>
      <c r="D16" s="38">
        <v>6</v>
      </c>
      <c r="E16" s="37">
        <v>0</v>
      </c>
      <c r="F16" s="37">
        <v>0</v>
      </c>
    </row>
    <row r="17" spans="1:6">
      <c r="A17" s="38" t="s">
        <v>40</v>
      </c>
      <c r="B17" s="39" t="s">
        <v>41</v>
      </c>
      <c r="C17" s="38" t="s">
        <v>12</v>
      </c>
      <c r="D17" s="38">
        <v>22</v>
      </c>
      <c r="E17" s="37">
        <v>0</v>
      </c>
      <c r="F17" s="37">
        <v>0</v>
      </c>
    </row>
    <row r="18" spans="1:6">
      <c r="A18" s="38" t="s">
        <v>42</v>
      </c>
      <c r="B18" s="40" t="s">
        <v>43</v>
      </c>
      <c r="C18" s="41" t="s">
        <v>15</v>
      </c>
      <c r="D18" s="38">
        <v>6</v>
      </c>
      <c r="E18" s="37">
        <v>0</v>
      </c>
      <c r="F18" s="37">
        <v>0</v>
      </c>
    </row>
    <row r="19" spans="1:6">
      <c r="A19" s="38" t="s">
        <v>44</v>
      </c>
      <c r="B19" s="39" t="s">
        <v>45</v>
      </c>
      <c r="C19" s="38" t="s">
        <v>12</v>
      </c>
      <c r="D19" s="38">
        <v>23</v>
      </c>
      <c r="E19" s="37">
        <v>0</v>
      </c>
      <c r="F19" s="37">
        <v>0</v>
      </c>
    </row>
    <row r="20" spans="1:6">
      <c r="A20" s="38" t="s">
        <v>46</v>
      </c>
      <c r="B20" s="39" t="s">
        <v>47</v>
      </c>
      <c r="C20" s="38" t="s">
        <v>12</v>
      </c>
      <c r="D20" s="38">
        <v>24</v>
      </c>
      <c r="E20" s="37">
        <v>0</v>
      </c>
      <c r="F20" s="37">
        <v>0</v>
      </c>
    </row>
    <row r="21" spans="1:6">
      <c r="A21" s="38" t="s">
        <v>48</v>
      </c>
      <c r="B21" s="39" t="s">
        <v>49</v>
      </c>
      <c r="C21" s="38" t="s">
        <v>12</v>
      </c>
      <c r="D21" s="38">
        <v>25</v>
      </c>
      <c r="E21" s="37">
        <v>0</v>
      </c>
      <c r="F21" s="37">
        <v>0</v>
      </c>
    </row>
    <row r="22" spans="1:6">
      <c r="A22" s="38" t="s">
        <v>50</v>
      </c>
      <c r="B22" s="39" t="s">
        <v>51</v>
      </c>
      <c r="C22" s="38" t="s">
        <v>12</v>
      </c>
      <c r="D22" s="38">
        <v>26</v>
      </c>
      <c r="E22" s="37">
        <v>0</v>
      </c>
      <c r="F22" s="37">
        <v>0</v>
      </c>
    </row>
    <row r="23" spans="1:6">
      <c r="A23" s="42" t="s">
        <v>52</v>
      </c>
      <c r="B23" s="43" t="s">
        <v>53</v>
      </c>
      <c r="C23" s="42"/>
      <c r="D23" s="42"/>
      <c r="E23" s="54">
        <v>0</v>
      </c>
      <c r="F23" s="54">
        <v>0</v>
      </c>
    </row>
    <row r="24" spans="1:6">
      <c r="A24" s="38" t="s">
        <v>54</v>
      </c>
      <c r="B24" s="39" t="s">
        <v>55</v>
      </c>
      <c r="C24" s="38" t="s">
        <v>12</v>
      </c>
      <c r="D24" s="38">
        <v>27</v>
      </c>
      <c r="E24" s="37">
        <v>0</v>
      </c>
      <c r="F24" s="37">
        <v>0</v>
      </c>
    </row>
    <row r="25" spans="1:6">
      <c r="A25" s="42" t="s">
        <v>56</v>
      </c>
      <c r="B25" s="43" t="s">
        <v>57</v>
      </c>
      <c r="C25" s="42"/>
      <c r="D25" s="42"/>
      <c r="E25" s="54">
        <v>0</v>
      </c>
      <c r="F25" s="54">
        <v>0</v>
      </c>
    </row>
    <row r="26" spans="1:6">
      <c r="A26" s="38" t="s">
        <v>58</v>
      </c>
      <c r="B26" s="39" t="s">
        <v>59</v>
      </c>
      <c r="C26" s="38" t="s">
        <v>9</v>
      </c>
      <c r="D26" s="38">
        <v>28</v>
      </c>
      <c r="E26" s="37">
        <v>0</v>
      </c>
      <c r="F26" s="37">
        <v>0</v>
      </c>
    </row>
    <row r="27" spans="1:6">
      <c r="A27" s="65" t="s">
        <v>60</v>
      </c>
      <c r="B27" s="66" t="s">
        <v>61</v>
      </c>
      <c r="C27" s="65" t="s">
        <v>12</v>
      </c>
      <c r="D27" s="65" t="s">
        <v>62</v>
      </c>
      <c r="E27" s="69">
        <v>0</v>
      </c>
      <c r="F27" s="69">
        <v>0</v>
      </c>
    </row>
    <row r="28" spans="1:6">
      <c r="A28" s="42" t="s">
        <v>63</v>
      </c>
      <c r="B28" s="43" t="s">
        <v>64</v>
      </c>
      <c r="C28" s="42"/>
      <c r="D28" s="42"/>
      <c r="E28" s="54">
        <v>0</v>
      </c>
      <c r="F28" s="54">
        <v>0</v>
      </c>
    </row>
    <row r="29" spans="1:6">
      <c r="A29" s="38" t="s">
        <v>65</v>
      </c>
      <c r="B29" s="39" t="s">
        <v>66</v>
      </c>
      <c r="C29" s="38" t="s">
        <v>9</v>
      </c>
      <c r="D29" s="38">
        <v>29</v>
      </c>
      <c r="E29" s="37">
        <v>0</v>
      </c>
      <c r="F29" s="37">
        <v>0</v>
      </c>
    </row>
    <row r="30" spans="1:6">
      <c r="A30" s="38" t="s">
        <v>67</v>
      </c>
      <c r="B30" s="39" t="s">
        <v>68</v>
      </c>
      <c r="C30" s="38" t="s">
        <v>9</v>
      </c>
      <c r="D30" s="38">
        <v>28</v>
      </c>
      <c r="E30" s="37">
        <v>0</v>
      </c>
      <c r="F30" s="37">
        <v>0</v>
      </c>
    </row>
    <row r="31" spans="1:6">
      <c r="A31" s="38" t="s">
        <v>69</v>
      </c>
      <c r="B31" s="39" t="s">
        <v>70</v>
      </c>
      <c r="C31" s="38" t="s">
        <v>9</v>
      </c>
      <c r="D31" s="38">
        <v>12</v>
      </c>
      <c r="E31" s="37">
        <v>0</v>
      </c>
      <c r="F31" s="37">
        <v>0</v>
      </c>
    </row>
    <row r="32" spans="1:6">
      <c r="A32" s="38" t="s">
        <v>71</v>
      </c>
      <c r="B32" s="39" t="s">
        <v>72</v>
      </c>
      <c r="C32" s="38" t="s">
        <v>12</v>
      </c>
      <c r="D32" s="38">
        <v>29</v>
      </c>
      <c r="E32" s="37">
        <v>0</v>
      </c>
      <c r="F32" s="37">
        <v>0</v>
      </c>
    </row>
    <row r="33" spans="1:6">
      <c r="A33" s="38" t="s">
        <v>73</v>
      </c>
      <c r="B33" s="39" t="s">
        <v>74</v>
      </c>
      <c r="C33" s="38" t="s">
        <v>12</v>
      </c>
      <c r="D33" s="38" t="s">
        <v>62</v>
      </c>
      <c r="E33" s="37">
        <v>0</v>
      </c>
      <c r="F33" s="37">
        <v>0</v>
      </c>
    </row>
    <row r="34" spans="1:6">
      <c r="A34" s="42" t="s">
        <v>75</v>
      </c>
      <c r="B34" s="43" t="s">
        <v>76</v>
      </c>
      <c r="C34" s="42"/>
      <c r="D34" s="42"/>
      <c r="E34" s="54">
        <v>0</v>
      </c>
      <c r="F34" s="54">
        <v>0</v>
      </c>
    </row>
    <row r="35" spans="1:6">
      <c r="A35" s="46" t="s">
        <v>77</v>
      </c>
      <c r="B35" s="47" t="s">
        <v>78</v>
      </c>
      <c r="C35" s="46"/>
      <c r="D35" s="46"/>
      <c r="E35" s="55">
        <v>0</v>
      </c>
      <c r="F35" s="55">
        <v>0</v>
      </c>
    </row>
    <row r="36" spans="1:6">
      <c r="A36" s="38" t="s">
        <v>79</v>
      </c>
      <c r="B36" s="39" t="s">
        <v>80</v>
      </c>
      <c r="C36" s="38" t="s">
        <v>9</v>
      </c>
      <c r="D36" s="38" t="s">
        <v>81</v>
      </c>
      <c r="E36" s="37">
        <v>0</v>
      </c>
      <c r="F36" s="37">
        <v>0</v>
      </c>
    </row>
    <row r="37" spans="1:6">
      <c r="A37" s="38" t="s">
        <v>82</v>
      </c>
      <c r="B37" s="39" t="s">
        <v>83</v>
      </c>
      <c r="C37" s="38" t="s">
        <v>9</v>
      </c>
      <c r="D37" s="38">
        <v>30</v>
      </c>
      <c r="E37" s="37">
        <v>0</v>
      </c>
      <c r="F37" s="37">
        <v>0</v>
      </c>
    </row>
    <row r="38" spans="1:6">
      <c r="A38" s="38" t="s">
        <v>84</v>
      </c>
      <c r="B38" s="39" t="s">
        <v>85</v>
      </c>
      <c r="C38" s="38" t="s">
        <v>12</v>
      </c>
      <c r="D38" s="38" t="s">
        <v>81</v>
      </c>
      <c r="E38" s="37">
        <v>0</v>
      </c>
      <c r="F38" s="37">
        <v>0</v>
      </c>
    </row>
    <row r="39" spans="1:6">
      <c r="A39" s="38" t="s">
        <v>86</v>
      </c>
      <c r="B39" s="39" t="s">
        <v>87</v>
      </c>
      <c r="C39" s="38" t="s">
        <v>12</v>
      </c>
      <c r="D39" s="38">
        <v>30</v>
      </c>
      <c r="E39" s="37">
        <v>0</v>
      </c>
      <c r="F39" s="37">
        <v>0</v>
      </c>
    </row>
    <row r="40" spans="1:6">
      <c r="A40" s="46" t="s">
        <v>88</v>
      </c>
      <c r="B40" s="47" t="s">
        <v>89</v>
      </c>
      <c r="C40" s="46"/>
      <c r="D40" s="46"/>
      <c r="E40" s="55">
        <v>0</v>
      </c>
      <c r="F40" s="55">
        <v>0</v>
      </c>
    </row>
    <row r="41" spans="1:6">
      <c r="A41" s="38" t="s">
        <v>90</v>
      </c>
      <c r="B41" s="39" t="s">
        <v>91</v>
      </c>
      <c r="C41" s="38" t="s">
        <v>12</v>
      </c>
      <c r="D41" s="38">
        <v>30</v>
      </c>
      <c r="E41" s="37">
        <v>0</v>
      </c>
      <c r="F41" s="37">
        <v>0</v>
      </c>
    </row>
    <row r="42" spans="1:6">
      <c r="A42" s="38" t="s">
        <v>92</v>
      </c>
      <c r="B42" s="39" t="s">
        <v>93</v>
      </c>
      <c r="C42" s="38" t="s">
        <v>12</v>
      </c>
      <c r="D42" s="38"/>
      <c r="E42" s="37">
        <v>0</v>
      </c>
      <c r="F42" s="37">
        <v>0</v>
      </c>
    </row>
    <row r="43" spans="1:6">
      <c r="A43" s="42" t="s">
        <v>94</v>
      </c>
      <c r="B43" s="43" t="s">
        <v>95</v>
      </c>
      <c r="C43" s="42"/>
      <c r="D43" s="42"/>
      <c r="E43" s="54">
        <v>0</v>
      </c>
      <c r="F43" s="54">
        <v>0</v>
      </c>
    </row>
    <row r="47" spans="1:6">
      <c r="B47" s="52"/>
      <c r="C47" s="52"/>
    </row>
    <row r="48" spans="1:6">
      <c r="B48" s="52"/>
      <c r="C48" s="52"/>
    </row>
    <row r="49" spans="2:6">
      <c r="B49" s="52"/>
      <c r="C49" s="52"/>
    </row>
    <row r="52" spans="2:6">
      <c r="B52" s="52"/>
      <c r="C52" s="52"/>
    </row>
    <row r="53" spans="2:6">
      <c r="B53" s="52"/>
      <c r="C53" s="52"/>
    </row>
    <row r="56" spans="2:6">
      <c r="E56" s="53"/>
      <c r="F56" s="53"/>
    </row>
    <row r="57" spans="2:6">
      <c r="E57" s="53"/>
      <c r="F57" s="53"/>
    </row>
    <row r="58" spans="2:6">
      <c r="E58" s="53"/>
      <c r="F58" s="53"/>
    </row>
    <row r="59" spans="2:6">
      <c r="E59" s="53"/>
      <c r="F59" s="53"/>
    </row>
    <row r="60" spans="2:6">
      <c r="E60" s="53"/>
      <c r="F60" s="53"/>
    </row>
    <row r="61" spans="2:6">
      <c r="E61" s="53"/>
      <c r="F61" s="53"/>
    </row>
    <row r="62" spans="2:6">
      <c r="E62" s="53"/>
      <c r="F62" s="53"/>
    </row>
    <row r="63" spans="2:6">
      <c r="E63" s="53"/>
      <c r="F63" s="53"/>
    </row>
    <row r="64" spans="2:6">
      <c r="E64" s="53"/>
      <c r="F64" s="53"/>
    </row>
    <row r="65" spans="5:6">
      <c r="E65" s="53"/>
      <c r="F65" s="53"/>
    </row>
    <row r="66" spans="5:6">
      <c r="E66" s="53"/>
      <c r="F66" s="53"/>
    </row>
    <row r="67" spans="5:6">
      <c r="E67" s="53"/>
      <c r="F67" s="53"/>
    </row>
    <row r="68" spans="5:6">
      <c r="E68" s="53"/>
      <c r="F68" s="53"/>
    </row>
    <row r="69" spans="5:6">
      <c r="E69" s="53"/>
      <c r="F69" s="53"/>
    </row>
    <row r="70" spans="5:6">
      <c r="E70" s="53"/>
      <c r="F70" s="53"/>
    </row>
    <row r="71" spans="5:6">
      <c r="E71" s="53"/>
      <c r="F71" s="53"/>
    </row>
    <row r="72" spans="5:6">
      <c r="E72" s="53"/>
      <c r="F72" s="53"/>
    </row>
    <row r="73" spans="5:6">
      <c r="E73" s="53"/>
      <c r="F73" s="53"/>
    </row>
    <row r="74" spans="5:6">
      <c r="E74" s="53"/>
      <c r="F74" s="53"/>
    </row>
    <row r="75" spans="5:6">
      <c r="E75" s="53"/>
      <c r="F75" s="53"/>
    </row>
    <row r="76" spans="5:6">
      <c r="E76" s="53"/>
      <c r="F76" s="53"/>
    </row>
    <row r="77" spans="5:6">
      <c r="E77" s="53"/>
      <c r="F77" s="53"/>
    </row>
    <row r="78" spans="5:6">
      <c r="E78" s="53"/>
      <c r="F78" s="53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E2:F43" xr:uid="{04402914-A969-4917-9D27-4585702F813E}"/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5535-C9A1-4DE6-BD5D-3E5E284A1874}">
  <dimension ref="A1:I84"/>
  <sheetViews>
    <sheetView topLeftCell="C1" workbookViewId="0">
      <selection activeCell="E7" sqref="E7:I7"/>
    </sheetView>
  </sheetViews>
  <sheetFormatPr baseColWidth="10" defaultColWidth="10.28515625" defaultRowHeight="12.75"/>
  <cols>
    <col min="1" max="1" width="4.140625" style="26" customWidth="1" collapsed="1"/>
    <col min="2" max="2" width="56" style="27" bestFit="1" customWidth="1" collapsed="1"/>
    <col min="3" max="3" width="2.85546875" style="27" bestFit="1" customWidth="1" collapsed="1"/>
    <col min="4" max="4" width="8" style="27" bestFit="1" customWidth="1" collapsed="1"/>
    <col min="5" max="6" width="15.7109375" style="28" customWidth="1" collapsed="1"/>
    <col min="7" max="16384" width="10.28515625" style="27" collapsed="1"/>
  </cols>
  <sheetData>
    <row r="1" spans="1:9" s="1" customFormat="1" ht="24.6" customHeight="1">
      <c r="A1" s="70" t="s">
        <v>0</v>
      </c>
      <c r="B1" s="70"/>
      <c r="C1" s="70"/>
      <c r="D1" s="70"/>
      <c r="E1" s="70"/>
      <c r="F1" s="70"/>
    </row>
    <row r="2" spans="1:9" s="1" customFormat="1" ht="8.25" customHeight="1">
      <c r="C2" s="2"/>
    </row>
    <row r="3" spans="1:9" s="1" customFormat="1" ht="25.5" customHeight="1">
      <c r="A3" s="71" t="s">
        <v>96</v>
      </c>
      <c r="B3" s="71"/>
      <c r="C3" s="71"/>
      <c r="D3" s="1" t="s">
        <v>1</v>
      </c>
      <c r="E3" s="72">
        <v>45657</v>
      </c>
      <c r="F3" s="73"/>
    </row>
    <row r="4" spans="1:9" s="1" customFormat="1" ht="15" customHeight="1">
      <c r="A4" s="73" t="s">
        <v>135</v>
      </c>
      <c r="B4" s="73"/>
      <c r="C4" s="73"/>
      <c r="D4" s="74" t="s">
        <v>2</v>
      </c>
      <c r="E4" s="75">
        <v>12</v>
      </c>
      <c r="F4" s="75"/>
    </row>
    <row r="5" spans="1:9" s="1" customFormat="1" ht="30.95" customHeight="1">
      <c r="A5" s="4" t="s">
        <v>3</v>
      </c>
      <c r="B5" s="145" t="s">
        <v>136</v>
      </c>
      <c r="C5" s="76"/>
      <c r="D5" s="74"/>
      <c r="E5" s="73"/>
      <c r="F5" s="73"/>
    </row>
    <row r="6" spans="1:9" s="1" customFormat="1" ht="8.25" customHeight="1">
      <c r="C6" s="2"/>
    </row>
    <row r="7" spans="1:9" ht="18" customHeight="1">
      <c r="A7" s="146" t="s">
        <v>4</v>
      </c>
      <c r="B7" s="147" t="s">
        <v>5</v>
      </c>
      <c r="C7" s="146"/>
      <c r="D7" s="146" t="s">
        <v>6</v>
      </c>
      <c r="E7" s="151">
        <v>2024</v>
      </c>
      <c r="F7" s="151">
        <v>2023</v>
      </c>
      <c r="G7" s="151">
        <v>2022</v>
      </c>
      <c r="H7" s="151">
        <v>2021</v>
      </c>
      <c r="I7" s="151">
        <v>2020</v>
      </c>
    </row>
    <row r="8" spans="1:9" ht="18" customHeight="1">
      <c r="A8" s="148" t="s">
        <v>7</v>
      </c>
      <c r="B8" s="149" t="s">
        <v>8</v>
      </c>
      <c r="C8" s="148" t="s">
        <v>9</v>
      </c>
      <c r="D8" s="148">
        <v>21</v>
      </c>
      <c r="E8" s="150">
        <v>0</v>
      </c>
      <c r="F8" s="150">
        <v>0</v>
      </c>
    </row>
    <row r="9" spans="1:9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</row>
    <row r="10" spans="1:9" ht="18" customHeight="1">
      <c r="A10" s="11" t="s">
        <v>13</v>
      </c>
      <c r="B10" s="14" t="s">
        <v>98</v>
      </c>
      <c r="C10" s="15" t="s">
        <v>15</v>
      </c>
      <c r="D10" s="15">
        <v>6</v>
      </c>
      <c r="E10" s="13">
        <v>0</v>
      </c>
      <c r="F10" s="13">
        <v>0</v>
      </c>
    </row>
    <row r="11" spans="1:9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9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0</v>
      </c>
      <c r="F12" s="13">
        <v>0</v>
      </c>
    </row>
    <row r="13" spans="1:9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3539622265</v>
      </c>
      <c r="F13" s="13">
        <v>3712007237</v>
      </c>
    </row>
    <row r="14" spans="1:9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</row>
    <row r="15" spans="1:9" ht="18" customHeight="1">
      <c r="A15" s="16" t="s">
        <v>24</v>
      </c>
      <c r="B15" s="17" t="s">
        <v>25</v>
      </c>
      <c r="C15" s="16"/>
      <c r="D15" s="16"/>
      <c r="E15" s="18">
        <v>3539622265</v>
      </c>
      <c r="F15" s="18">
        <v>3712007237</v>
      </c>
    </row>
    <row r="16" spans="1:9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0</v>
      </c>
      <c r="F16" s="13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1266</v>
      </c>
      <c r="F19" s="13">
        <v>6065392</v>
      </c>
    </row>
    <row r="20" spans="1:6" ht="18" customHeight="1">
      <c r="A20" s="56" t="s">
        <v>34</v>
      </c>
      <c r="B20" s="57" t="s">
        <v>99</v>
      </c>
      <c r="C20" s="56" t="s">
        <v>9</v>
      </c>
      <c r="D20" s="56">
        <v>12</v>
      </c>
      <c r="E20" s="21">
        <v>0</v>
      </c>
      <c r="F20" s="21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2185633985</v>
      </c>
      <c r="F23" s="13">
        <v>2052481105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-78330544</v>
      </c>
      <c r="F24" s="13">
        <v>114897483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19071637</v>
      </c>
      <c r="F25" s="13">
        <v>19041213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451321773</v>
      </c>
      <c r="F26" s="13">
        <v>410624297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99245079</v>
      </c>
      <c r="F27" s="13">
        <v>81046157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6001</v>
      </c>
      <c r="F28" s="13">
        <v>673105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862675600</v>
      </c>
      <c r="F29" s="18">
        <v>1039309269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418004802</v>
      </c>
      <c r="F30" s="13">
        <v>403405542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444670798</v>
      </c>
      <c r="F31" s="18">
        <v>635903727</v>
      </c>
    </row>
    <row r="32" spans="1:6" ht="18" customHeight="1">
      <c r="A32" s="11" t="s">
        <v>58</v>
      </c>
      <c r="B32" s="12" t="s">
        <v>100</v>
      </c>
      <c r="C32" s="11" t="s">
        <v>9</v>
      </c>
      <c r="D32" s="11">
        <v>28</v>
      </c>
      <c r="E32" s="13">
        <v>0</v>
      </c>
      <c r="F32" s="13">
        <v>0</v>
      </c>
    </row>
    <row r="33" spans="1:6" ht="18" customHeight="1">
      <c r="A33" s="56" t="s">
        <v>60</v>
      </c>
      <c r="B33" s="57" t="s">
        <v>61</v>
      </c>
      <c r="C33" s="56" t="s">
        <v>12</v>
      </c>
      <c r="D33" s="56" t="s">
        <v>62</v>
      </c>
      <c r="E33" s="21">
        <v>346323637</v>
      </c>
      <c r="F33" s="21">
        <v>330372237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v>98347161</v>
      </c>
      <c r="F34" s="18">
        <v>305531490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128660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4438323</v>
      </c>
      <c r="F38" s="13">
        <v>18719654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18">
        <v>-4438323</v>
      </c>
      <c r="F40" s="18">
        <v>-18590994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93908838</v>
      </c>
      <c r="F41" s="24">
        <v>286940496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1637458</v>
      </c>
      <c r="F42" s="13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</row>
    <row r="45" spans="1:6" ht="18" customHeight="1">
      <c r="A45" s="11" t="s">
        <v>86</v>
      </c>
      <c r="B45" s="12" t="s">
        <v>102</v>
      </c>
      <c r="C45" s="11" t="s">
        <v>12</v>
      </c>
      <c r="D45" s="11">
        <v>30</v>
      </c>
      <c r="E45" s="13">
        <v>0</v>
      </c>
      <c r="F45" s="13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>
        <v>1637458</v>
      </c>
      <c r="F46" s="24">
        <v>0</v>
      </c>
    </row>
    <row r="47" spans="1:6" ht="18" customHeight="1">
      <c r="A47" s="11" t="s">
        <v>90</v>
      </c>
      <c r="B47" s="12" t="s">
        <v>103</v>
      </c>
      <c r="C47" s="11" t="s">
        <v>12</v>
      </c>
      <c r="D47" s="11">
        <v>30</v>
      </c>
      <c r="E47" s="13">
        <v>0</v>
      </c>
      <c r="F47" s="13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41388600</v>
      </c>
      <c r="F48" s="13">
        <v>105691200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54157696</v>
      </c>
      <c r="F49" s="18">
        <v>181249296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." sqref="D1:F6" xr:uid="{8A5FBF77-C386-4EA8-BAAA-AF6C90A8283D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4E541B9D-5E2A-414A-A2B5-E38A352410F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E8:F49" xr:uid="{8FE9E6A8-BE8D-4CB6-8179-5494EDED08EF}"/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E424-53B5-45BE-BA10-53BCA5539BB2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49" customWidth="1" collapsed="1"/>
    <col min="2" max="2" width="56" style="50" bestFit="1" customWidth="1" collapsed="1"/>
    <col min="3" max="3" width="3.140625" style="50" bestFit="1" customWidth="1" collapsed="1"/>
    <col min="4" max="4" width="13.5703125" style="50" customWidth="1" collapsed="1"/>
    <col min="5" max="6" width="15.7109375" style="51" customWidth="1" collapsed="1"/>
    <col min="7" max="16384" width="10.28515625" style="50" collapsed="1"/>
  </cols>
  <sheetData>
    <row r="1" spans="1:6" s="121" customFormat="1" ht="24.6" customHeight="1">
      <c r="A1" s="120" t="s">
        <v>0</v>
      </c>
      <c r="B1" s="120"/>
      <c r="C1" s="120"/>
      <c r="D1" s="120"/>
      <c r="E1" s="120"/>
      <c r="F1" s="120"/>
    </row>
    <row r="2" spans="1:6" s="121" customFormat="1" ht="8.1" customHeight="1">
      <c r="C2" s="122"/>
    </row>
    <row r="3" spans="1:6" s="121" customFormat="1" ht="25.5" customHeight="1">
      <c r="A3" s="123" t="s">
        <v>96</v>
      </c>
      <c r="B3" s="123"/>
      <c r="C3" s="123"/>
      <c r="D3" s="121" t="s">
        <v>1</v>
      </c>
      <c r="E3" s="124">
        <v>45657</v>
      </c>
      <c r="F3" s="125"/>
    </row>
    <row r="4" spans="1:6" s="121" customFormat="1" ht="15" customHeight="1">
      <c r="A4" s="126" t="s">
        <v>137</v>
      </c>
      <c r="B4" s="125"/>
      <c r="C4" s="125"/>
      <c r="D4" s="127" t="s">
        <v>2</v>
      </c>
      <c r="E4" s="128"/>
      <c r="F4" s="128"/>
    </row>
    <row r="5" spans="1:6" s="121" customFormat="1" ht="30.95" customHeight="1">
      <c r="A5" s="129" t="s">
        <v>3</v>
      </c>
      <c r="B5" s="130" t="s">
        <v>138</v>
      </c>
      <c r="C5" s="131"/>
      <c r="D5" s="127"/>
      <c r="E5" s="126">
        <v>12</v>
      </c>
      <c r="F5" s="125"/>
    </row>
    <row r="6" spans="1:6" s="121" customFormat="1" ht="8.1" customHeight="1">
      <c r="C6" s="122"/>
    </row>
    <row r="7" spans="1:6" ht="18" customHeight="1">
      <c r="A7" s="32" t="s">
        <v>4</v>
      </c>
      <c r="B7" s="33" t="s">
        <v>5</v>
      </c>
      <c r="C7" s="32"/>
      <c r="D7" s="32" t="s">
        <v>6</v>
      </c>
      <c r="E7" s="34">
        <v>2024</v>
      </c>
      <c r="F7" s="34">
        <v>2023</v>
      </c>
    </row>
    <row r="8" spans="1:6" ht="18" customHeight="1">
      <c r="A8" s="35" t="s">
        <v>7</v>
      </c>
      <c r="B8" s="36" t="s">
        <v>8</v>
      </c>
      <c r="C8" s="35" t="s">
        <v>9</v>
      </c>
      <c r="D8" s="35">
        <v>21</v>
      </c>
      <c r="E8" s="37">
        <v>0</v>
      </c>
      <c r="F8" s="37">
        <v>0</v>
      </c>
    </row>
    <row r="9" spans="1:6" ht="18" customHeight="1">
      <c r="A9" s="38" t="s">
        <v>10</v>
      </c>
      <c r="B9" s="39" t="s">
        <v>11</v>
      </c>
      <c r="C9" s="38" t="s">
        <v>12</v>
      </c>
      <c r="D9" s="38">
        <v>22</v>
      </c>
      <c r="E9" s="37">
        <v>0</v>
      </c>
      <c r="F9" s="37">
        <v>0</v>
      </c>
    </row>
    <row r="10" spans="1:6" ht="18" customHeight="1">
      <c r="A10" s="38" t="s">
        <v>13</v>
      </c>
      <c r="B10" s="40" t="s">
        <v>14</v>
      </c>
      <c r="C10" s="41" t="s">
        <v>15</v>
      </c>
      <c r="D10" s="41">
        <v>6</v>
      </c>
      <c r="E10" s="37">
        <v>0</v>
      </c>
      <c r="F10" s="37">
        <v>0</v>
      </c>
    </row>
    <row r="11" spans="1:6" ht="18" customHeight="1">
      <c r="A11" s="42" t="s">
        <v>16</v>
      </c>
      <c r="B11" s="43" t="s">
        <v>17</v>
      </c>
      <c r="C11" s="42"/>
      <c r="D11" s="42"/>
      <c r="E11" s="54">
        <v>0</v>
      </c>
      <c r="F11" s="54">
        <v>0</v>
      </c>
    </row>
    <row r="12" spans="1:6" ht="18" customHeight="1">
      <c r="A12" s="38" t="s">
        <v>18</v>
      </c>
      <c r="B12" s="39" t="s">
        <v>19</v>
      </c>
      <c r="C12" s="38" t="s">
        <v>9</v>
      </c>
      <c r="D12" s="38">
        <v>21</v>
      </c>
      <c r="E12" s="37">
        <v>0</v>
      </c>
      <c r="F12" s="37">
        <v>0</v>
      </c>
    </row>
    <row r="13" spans="1:6" ht="18" customHeight="1">
      <c r="A13" s="38" t="s">
        <v>20</v>
      </c>
      <c r="B13" s="39" t="s">
        <v>21</v>
      </c>
      <c r="C13" s="38" t="s">
        <v>9</v>
      </c>
      <c r="D13" s="38">
        <v>21</v>
      </c>
      <c r="E13" s="37">
        <v>0</v>
      </c>
      <c r="F13" s="37">
        <v>0</v>
      </c>
    </row>
    <row r="14" spans="1:6" ht="18" customHeight="1">
      <c r="A14" s="38" t="s">
        <v>22</v>
      </c>
      <c r="B14" s="39" t="s">
        <v>23</v>
      </c>
      <c r="C14" s="38" t="s">
        <v>9</v>
      </c>
      <c r="D14" s="38">
        <v>21</v>
      </c>
      <c r="E14" s="37">
        <v>0</v>
      </c>
      <c r="F14" s="37">
        <v>0</v>
      </c>
    </row>
    <row r="15" spans="1:6" ht="18" customHeight="1">
      <c r="A15" s="42" t="s">
        <v>24</v>
      </c>
      <c r="B15" s="43" t="s">
        <v>25</v>
      </c>
      <c r="C15" s="42"/>
      <c r="D15" s="42"/>
      <c r="E15" s="54">
        <v>0</v>
      </c>
      <c r="F15" s="54">
        <v>0</v>
      </c>
    </row>
    <row r="16" spans="1:6" ht="18" customHeight="1">
      <c r="A16" s="38" t="s">
        <v>26</v>
      </c>
      <c r="B16" s="39" t="s">
        <v>27</v>
      </c>
      <c r="C16" s="41" t="s">
        <v>15</v>
      </c>
      <c r="D16" s="38">
        <v>6</v>
      </c>
      <c r="E16" s="37">
        <v>0</v>
      </c>
      <c r="F16" s="37">
        <v>0</v>
      </c>
    </row>
    <row r="17" spans="1:6" ht="18" customHeight="1">
      <c r="A17" s="38" t="s">
        <v>28</v>
      </c>
      <c r="B17" s="39" t="s">
        <v>29</v>
      </c>
      <c r="C17" s="38"/>
      <c r="D17" s="38">
        <v>21</v>
      </c>
      <c r="E17" s="37">
        <v>0</v>
      </c>
      <c r="F17" s="37">
        <v>0</v>
      </c>
    </row>
    <row r="18" spans="1:6" ht="18" customHeight="1">
      <c r="A18" s="38" t="s">
        <v>30</v>
      </c>
      <c r="B18" s="39" t="s">
        <v>31</v>
      </c>
      <c r="C18" s="38"/>
      <c r="D18" s="38">
        <v>21</v>
      </c>
      <c r="E18" s="37">
        <v>0</v>
      </c>
      <c r="F18" s="37">
        <v>0</v>
      </c>
    </row>
    <row r="19" spans="1:6" ht="18" customHeight="1">
      <c r="A19" s="38" t="s">
        <v>32</v>
      </c>
      <c r="B19" s="39" t="s">
        <v>33</v>
      </c>
      <c r="C19" s="38" t="s">
        <v>9</v>
      </c>
      <c r="D19" s="38">
        <v>21</v>
      </c>
      <c r="E19" s="37">
        <v>0</v>
      </c>
      <c r="F19" s="37">
        <v>0</v>
      </c>
    </row>
    <row r="20" spans="1:6" ht="18" customHeight="1">
      <c r="A20" s="65" t="s">
        <v>34</v>
      </c>
      <c r="B20" s="66" t="s">
        <v>35</v>
      </c>
      <c r="C20" s="65" t="s">
        <v>9</v>
      </c>
      <c r="D20" s="65">
        <v>12</v>
      </c>
      <c r="E20" s="69">
        <v>0</v>
      </c>
      <c r="F20" s="69">
        <v>0</v>
      </c>
    </row>
    <row r="21" spans="1:6" ht="18" customHeight="1">
      <c r="A21" s="38" t="s">
        <v>36</v>
      </c>
      <c r="B21" s="39" t="s">
        <v>37</v>
      </c>
      <c r="C21" s="38" t="s">
        <v>12</v>
      </c>
      <c r="D21" s="38">
        <v>22</v>
      </c>
      <c r="E21" s="37">
        <v>0</v>
      </c>
      <c r="F21" s="37">
        <v>0</v>
      </c>
    </row>
    <row r="22" spans="1:6" ht="18" customHeight="1">
      <c r="A22" s="38" t="s">
        <v>38</v>
      </c>
      <c r="B22" s="40" t="s">
        <v>39</v>
      </c>
      <c r="C22" s="41" t="s">
        <v>15</v>
      </c>
      <c r="D22" s="38">
        <v>6</v>
      </c>
      <c r="E22" s="37">
        <v>0</v>
      </c>
      <c r="F22" s="37">
        <v>0</v>
      </c>
    </row>
    <row r="23" spans="1:6" ht="18" customHeight="1">
      <c r="A23" s="38" t="s">
        <v>40</v>
      </c>
      <c r="B23" s="39" t="s">
        <v>41</v>
      </c>
      <c r="C23" s="38" t="s">
        <v>12</v>
      </c>
      <c r="D23" s="38">
        <v>22</v>
      </c>
      <c r="E23" s="37">
        <v>0</v>
      </c>
      <c r="F23" s="37">
        <v>0</v>
      </c>
    </row>
    <row r="24" spans="1:6" ht="18" customHeight="1">
      <c r="A24" s="38" t="s">
        <v>42</v>
      </c>
      <c r="B24" s="40" t="s">
        <v>43</v>
      </c>
      <c r="C24" s="41" t="s">
        <v>15</v>
      </c>
      <c r="D24" s="38">
        <v>6</v>
      </c>
      <c r="E24" s="37">
        <v>0</v>
      </c>
      <c r="F24" s="37">
        <v>0</v>
      </c>
    </row>
    <row r="25" spans="1:6" ht="18" customHeight="1">
      <c r="A25" s="38" t="s">
        <v>44</v>
      </c>
      <c r="B25" s="39" t="s">
        <v>45</v>
      </c>
      <c r="C25" s="38" t="s">
        <v>12</v>
      </c>
      <c r="D25" s="38">
        <v>23</v>
      </c>
      <c r="E25" s="37">
        <v>0</v>
      </c>
      <c r="F25" s="37">
        <v>0</v>
      </c>
    </row>
    <row r="26" spans="1:6" ht="18" customHeight="1">
      <c r="A26" s="38" t="s">
        <v>46</v>
      </c>
      <c r="B26" s="39" t="s">
        <v>47</v>
      </c>
      <c r="C26" s="38" t="s">
        <v>12</v>
      </c>
      <c r="D26" s="38">
        <v>24</v>
      </c>
      <c r="E26" s="37">
        <v>0</v>
      </c>
      <c r="F26" s="37">
        <v>0</v>
      </c>
    </row>
    <row r="27" spans="1:6" ht="18" customHeight="1">
      <c r="A27" s="38" t="s">
        <v>48</v>
      </c>
      <c r="B27" s="39" t="s">
        <v>49</v>
      </c>
      <c r="C27" s="38" t="s">
        <v>12</v>
      </c>
      <c r="D27" s="38">
        <v>25</v>
      </c>
      <c r="E27" s="37">
        <v>0</v>
      </c>
      <c r="F27" s="37">
        <v>0</v>
      </c>
    </row>
    <row r="28" spans="1:6" ht="18" customHeight="1">
      <c r="A28" s="38" t="s">
        <v>50</v>
      </c>
      <c r="B28" s="39" t="s">
        <v>51</v>
      </c>
      <c r="C28" s="38" t="s">
        <v>12</v>
      </c>
      <c r="D28" s="38">
        <v>26</v>
      </c>
      <c r="E28" s="37">
        <v>0</v>
      </c>
      <c r="F28" s="37">
        <v>0</v>
      </c>
    </row>
    <row r="29" spans="1:6" ht="18" customHeight="1">
      <c r="A29" s="42" t="s">
        <v>52</v>
      </c>
      <c r="B29" s="43" t="s">
        <v>53</v>
      </c>
      <c r="C29" s="42"/>
      <c r="D29" s="42"/>
      <c r="E29" s="54">
        <v>0</v>
      </c>
      <c r="F29" s="54">
        <v>0</v>
      </c>
    </row>
    <row r="30" spans="1:6" ht="18" customHeight="1">
      <c r="A30" s="38" t="s">
        <v>54</v>
      </c>
      <c r="B30" s="39" t="s">
        <v>55</v>
      </c>
      <c r="C30" s="38" t="s">
        <v>12</v>
      </c>
      <c r="D30" s="38">
        <v>27</v>
      </c>
      <c r="E30" s="37">
        <v>0</v>
      </c>
      <c r="F30" s="37">
        <v>0</v>
      </c>
    </row>
    <row r="31" spans="1:6" ht="18" customHeight="1">
      <c r="A31" s="42" t="s">
        <v>56</v>
      </c>
      <c r="B31" s="43" t="s">
        <v>57</v>
      </c>
      <c r="C31" s="42"/>
      <c r="D31" s="42"/>
      <c r="E31" s="54">
        <v>0</v>
      </c>
      <c r="F31" s="54">
        <v>0</v>
      </c>
    </row>
    <row r="32" spans="1:6" ht="18" customHeight="1">
      <c r="A32" s="38" t="s">
        <v>58</v>
      </c>
      <c r="B32" s="39" t="s">
        <v>59</v>
      </c>
      <c r="C32" s="38" t="s">
        <v>9</v>
      </c>
      <c r="D32" s="38">
        <v>28</v>
      </c>
      <c r="E32" s="37">
        <v>0</v>
      </c>
      <c r="F32" s="37">
        <v>0</v>
      </c>
    </row>
    <row r="33" spans="1:6" ht="18" customHeight="1">
      <c r="A33" s="65" t="s">
        <v>60</v>
      </c>
      <c r="B33" s="66" t="s">
        <v>61</v>
      </c>
      <c r="C33" s="65" t="s">
        <v>12</v>
      </c>
      <c r="D33" s="65" t="s">
        <v>62</v>
      </c>
      <c r="E33" s="69">
        <v>0</v>
      </c>
      <c r="F33" s="69">
        <v>0</v>
      </c>
    </row>
    <row r="34" spans="1:6" ht="18" customHeight="1">
      <c r="A34" s="42" t="s">
        <v>63</v>
      </c>
      <c r="B34" s="43" t="s">
        <v>64</v>
      </c>
      <c r="C34" s="42"/>
      <c r="D34" s="42"/>
      <c r="E34" s="54">
        <v>0</v>
      </c>
      <c r="F34" s="54">
        <v>0</v>
      </c>
    </row>
    <row r="35" spans="1:6" ht="18" customHeight="1">
      <c r="A35" s="38" t="s">
        <v>65</v>
      </c>
      <c r="B35" s="39" t="s">
        <v>66</v>
      </c>
      <c r="C35" s="38" t="s">
        <v>9</v>
      </c>
      <c r="D35" s="38">
        <v>29</v>
      </c>
      <c r="E35" s="37">
        <v>0</v>
      </c>
      <c r="F35" s="37">
        <v>0</v>
      </c>
    </row>
    <row r="36" spans="1:6" ht="18" customHeight="1">
      <c r="A36" s="38" t="s">
        <v>67</v>
      </c>
      <c r="B36" s="39" t="s">
        <v>68</v>
      </c>
      <c r="C36" s="38" t="s">
        <v>9</v>
      </c>
      <c r="D36" s="38">
        <v>28</v>
      </c>
      <c r="E36" s="37">
        <v>0</v>
      </c>
      <c r="F36" s="37">
        <v>0</v>
      </c>
    </row>
    <row r="37" spans="1:6" ht="18" customHeight="1">
      <c r="A37" s="38" t="s">
        <v>69</v>
      </c>
      <c r="B37" s="39" t="s">
        <v>70</v>
      </c>
      <c r="C37" s="38" t="s">
        <v>9</v>
      </c>
      <c r="D37" s="38">
        <v>12</v>
      </c>
      <c r="E37" s="37">
        <v>0</v>
      </c>
      <c r="F37" s="37">
        <v>0</v>
      </c>
    </row>
    <row r="38" spans="1:6" ht="18" customHeight="1">
      <c r="A38" s="38" t="s">
        <v>71</v>
      </c>
      <c r="B38" s="39" t="s">
        <v>72</v>
      </c>
      <c r="C38" s="38" t="s">
        <v>12</v>
      </c>
      <c r="D38" s="38">
        <v>29</v>
      </c>
      <c r="E38" s="37">
        <v>0</v>
      </c>
      <c r="F38" s="37">
        <v>0</v>
      </c>
    </row>
    <row r="39" spans="1:6" ht="18" customHeight="1">
      <c r="A39" s="38" t="s">
        <v>73</v>
      </c>
      <c r="B39" s="39" t="s">
        <v>74</v>
      </c>
      <c r="C39" s="38" t="s">
        <v>12</v>
      </c>
      <c r="D39" s="38" t="s">
        <v>62</v>
      </c>
      <c r="E39" s="37">
        <v>0</v>
      </c>
      <c r="F39" s="37">
        <v>0</v>
      </c>
    </row>
    <row r="40" spans="1:6" ht="18" customHeight="1">
      <c r="A40" s="42" t="s">
        <v>75</v>
      </c>
      <c r="B40" s="43" t="s">
        <v>76</v>
      </c>
      <c r="C40" s="42"/>
      <c r="D40" s="42"/>
      <c r="E40" s="54">
        <v>0</v>
      </c>
      <c r="F40" s="54">
        <v>0</v>
      </c>
    </row>
    <row r="41" spans="1:6" ht="18" customHeight="1">
      <c r="A41" s="46" t="s">
        <v>77</v>
      </c>
      <c r="B41" s="47" t="s">
        <v>78</v>
      </c>
      <c r="C41" s="46"/>
      <c r="D41" s="46"/>
      <c r="E41" s="55">
        <v>0</v>
      </c>
      <c r="F41" s="55">
        <v>0</v>
      </c>
    </row>
    <row r="42" spans="1:6" ht="18" customHeight="1">
      <c r="A42" s="38" t="s">
        <v>79</v>
      </c>
      <c r="B42" s="39" t="s">
        <v>80</v>
      </c>
      <c r="C42" s="38" t="s">
        <v>9</v>
      </c>
      <c r="D42" s="38" t="s">
        <v>81</v>
      </c>
      <c r="E42" s="37">
        <v>0</v>
      </c>
      <c r="F42" s="37">
        <v>0</v>
      </c>
    </row>
    <row r="43" spans="1:6" ht="18" customHeight="1">
      <c r="A43" s="38" t="s">
        <v>82</v>
      </c>
      <c r="B43" s="39" t="s">
        <v>83</v>
      </c>
      <c r="C43" s="38" t="s">
        <v>9</v>
      </c>
      <c r="D43" s="38">
        <v>30</v>
      </c>
      <c r="E43" s="37">
        <v>0</v>
      </c>
      <c r="F43" s="37">
        <v>0</v>
      </c>
    </row>
    <row r="44" spans="1:6" ht="18" customHeight="1">
      <c r="A44" s="38" t="s">
        <v>84</v>
      </c>
      <c r="B44" s="39" t="s">
        <v>85</v>
      </c>
      <c r="C44" s="38" t="s">
        <v>12</v>
      </c>
      <c r="D44" s="38" t="s">
        <v>81</v>
      </c>
      <c r="E44" s="37">
        <v>0</v>
      </c>
      <c r="F44" s="37">
        <v>0</v>
      </c>
    </row>
    <row r="45" spans="1:6" ht="18" customHeight="1">
      <c r="A45" s="38" t="s">
        <v>86</v>
      </c>
      <c r="B45" s="39" t="s">
        <v>87</v>
      </c>
      <c r="C45" s="38" t="s">
        <v>12</v>
      </c>
      <c r="D45" s="38">
        <v>30</v>
      </c>
      <c r="E45" s="37">
        <v>0</v>
      </c>
      <c r="F45" s="37">
        <v>0</v>
      </c>
    </row>
    <row r="46" spans="1:6" ht="18" customHeight="1">
      <c r="A46" s="46" t="s">
        <v>88</v>
      </c>
      <c r="B46" s="47" t="s">
        <v>89</v>
      </c>
      <c r="C46" s="46"/>
      <c r="D46" s="46"/>
      <c r="E46" s="55">
        <v>0</v>
      </c>
      <c r="F46" s="55">
        <v>0</v>
      </c>
    </row>
    <row r="47" spans="1:6" ht="18" customHeight="1">
      <c r="A47" s="38" t="s">
        <v>90</v>
      </c>
      <c r="B47" s="39" t="s">
        <v>91</v>
      </c>
      <c r="C47" s="38" t="s">
        <v>12</v>
      </c>
      <c r="D47" s="38">
        <v>30</v>
      </c>
      <c r="E47" s="37">
        <v>0</v>
      </c>
      <c r="F47" s="37">
        <v>0</v>
      </c>
    </row>
    <row r="48" spans="1:6" ht="18" customHeight="1">
      <c r="A48" s="38" t="s">
        <v>92</v>
      </c>
      <c r="B48" s="39" t="s">
        <v>93</v>
      </c>
      <c r="C48" s="38" t="s">
        <v>12</v>
      </c>
      <c r="D48" s="38"/>
      <c r="E48" s="37">
        <v>0</v>
      </c>
      <c r="F48" s="37">
        <v>0</v>
      </c>
    </row>
    <row r="49" spans="1:6" ht="18" customHeight="1">
      <c r="A49" s="42" t="s">
        <v>94</v>
      </c>
      <c r="B49" s="43" t="s">
        <v>95</v>
      </c>
      <c r="C49" s="42"/>
      <c r="D49" s="42"/>
      <c r="E49" s="54">
        <v>0</v>
      </c>
      <c r="F49" s="54">
        <v>0</v>
      </c>
    </row>
    <row r="53" spans="1:6" ht="12.75" customHeight="1">
      <c r="B53" s="52"/>
      <c r="C53" s="52"/>
    </row>
    <row r="54" spans="1:6" ht="12.75" customHeight="1">
      <c r="B54" s="52"/>
      <c r="C54" s="52"/>
    </row>
    <row r="55" spans="1:6" ht="12.75" customHeight="1">
      <c r="B55" s="52"/>
      <c r="C55" s="52"/>
    </row>
    <row r="58" spans="1:6" ht="12.75" customHeight="1">
      <c r="B58" s="52"/>
      <c r="C58" s="52"/>
    </row>
    <row r="59" spans="1:6" ht="12.75" customHeight="1">
      <c r="B59" s="52"/>
      <c r="C59" s="52"/>
    </row>
    <row r="62" spans="1:6" ht="12.75" customHeight="1">
      <c r="E62" s="53"/>
      <c r="F62" s="53"/>
    </row>
    <row r="63" spans="1:6" ht="12.75" customHeight="1">
      <c r="E63" s="53"/>
      <c r="F63" s="53"/>
    </row>
    <row r="64" spans="1:6" ht="12.75" customHeight="1">
      <c r="E64" s="53"/>
      <c r="F64" s="53"/>
    </row>
    <row r="65" spans="5:6" ht="12.75" customHeight="1">
      <c r="E65" s="53"/>
      <c r="F65" s="53"/>
    </row>
    <row r="66" spans="5:6" ht="12.75" customHeight="1">
      <c r="E66" s="53"/>
      <c r="F66" s="53"/>
    </row>
    <row r="67" spans="5:6" ht="12.75" customHeight="1">
      <c r="E67" s="53"/>
      <c r="F67" s="53"/>
    </row>
    <row r="68" spans="5:6" ht="12.75" customHeight="1">
      <c r="E68" s="53"/>
      <c r="F68" s="53"/>
    </row>
    <row r="69" spans="5:6" ht="12.75" customHeight="1">
      <c r="E69" s="53"/>
      <c r="F69" s="53"/>
    </row>
    <row r="70" spans="5:6" ht="12.75" customHeight="1">
      <c r="E70" s="53"/>
      <c r="F70" s="53"/>
    </row>
    <row r="71" spans="5:6" ht="12.75" customHeight="1">
      <c r="E71" s="53"/>
      <c r="F71" s="53"/>
    </row>
    <row r="72" spans="5:6" ht="12.75" customHeight="1">
      <c r="E72" s="53"/>
      <c r="F72" s="53"/>
    </row>
    <row r="73" spans="5:6" ht="12.75" customHeight="1">
      <c r="E73" s="53"/>
      <c r="F73" s="53"/>
    </row>
    <row r="74" spans="5:6" ht="12.75" customHeight="1">
      <c r="E74" s="53"/>
      <c r="F74" s="53"/>
    </row>
    <row r="75" spans="5:6" ht="12.75" customHeight="1">
      <c r="E75" s="53"/>
      <c r="F75" s="53"/>
    </row>
    <row r="76" spans="5:6" ht="12.75" customHeight="1">
      <c r="E76" s="53"/>
      <c r="F76" s="53"/>
    </row>
    <row r="77" spans="5:6" ht="12.75" customHeight="1">
      <c r="E77" s="53"/>
      <c r="F77" s="53"/>
    </row>
    <row r="78" spans="5:6" ht="12.75" customHeight="1">
      <c r="E78" s="53"/>
      <c r="F78" s="53"/>
    </row>
    <row r="79" spans="5:6" ht="12.75" customHeight="1">
      <c r="E79" s="53"/>
      <c r="F79" s="53"/>
    </row>
    <row r="80" spans="5:6" ht="12.75" customHeight="1">
      <c r="E80" s="53"/>
      <c r="F80" s="53"/>
    </row>
    <row r="81" spans="5:6" ht="12.75" customHeight="1">
      <c r="E81" s="53"/>
      <c r="F81" s="53"/>
    </row>
    <row r="82" spans="5:6" ht="12.75" customHeight="1">
      <c r="E82" s="53"/>
      <c r="F82" s="53"/>
    </row>
    <row r="83" spans="5:6" ht="12.75" customHeight="1">
      <c r="E83" s="53"/>
      <c r="F83" s="53"/>
    </row>
    <row r="84" spans="5:6" ht="12.75" customHeight="1">
      <c r="E84" s="53"/>
      <c r="F84" s="53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38EF4B89-AECF-41FA-96ED-A682408542A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7E554B73-B11F-4FEF-9712-51AFEE2999A9}"/>
    <dataValidation allowBlank="1" showInputMessage="1" showErrorMessage="1" errorTitle="Erreur de saisie" error="La cellule ne peut prendre que du numérique." promptTitle="Information" prompt="Cette cellule ne peut prendre que du numérique," sqref="E8:F49" xr:uid="{F28D8746-B65C-41E3-8FC4-2492964D48C2}"/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9FE8-D8A3-48CC-B357-B6BDF14CBE49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2.42578125" style="27" bestFit="1" customWidth="1" collapsed="1"/>
    <col min="5" max="5" width="14.28515625" style="28" customWidth="1" collapsed="1"/>
    <col min="6" max="6" width="13.7109375" style="28" bestFit="1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+'[11]Fiche de renseignement R1'!$V$10</f>
        <v>45657</v>
      </c>
      <c r="F3" s="73"/>
    </row>
    <row r="4" spans="1:6" s="1" customFormat="1" ht="15" customHeight="1">
      <c r="A4" s="73" t="s">
        <v>139</v>
      </c>
      <c r="B4" s="73"/>
      <c r="C4" s="73"/>
      <c r="D4" s="74" t="s">
        <v>2</v>
      </c>
      <c r="E4" s="75">
        <f>+'[11]Fiche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+'[11]Fiche de renseignement R1'!$J$10</f>
        <v>004331188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/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3923752499</v>
      </c>
      <c r="F13" s="13">
        <v>2152768626.5999999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63060977</v>
      </c>
      <c r="F14" s="13">
        <v>429868324.80000001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f>E13+E14</f>
        <v>3986813476</v>
      </c>
      <c r="F15" s="18">
        <v>2582636951.4000001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807760435</v>
      </c>
      <c r="F19" s="13">
        <v>554305859.11100006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831328448</v>
      </c>
      <c r="F21" s="13">
        <v>401810309.74200004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36530319</v>
      </c>
      <c r="F22" s="13">
        <v>-115057714.19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1110834664</v>
      </c>
      <c r="F23" s="13">
        <v>1229015267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/>
      <c r="F24" s="13"/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64298907</v>
      </c>
      <c r="F25" s="13">
        <v>50544564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730025312</v>
      </c>
      <c r="F26" s="13">
        <v>818392514.02499998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45221024</v>
      </c>
      <c r="F27" s="13">
        <v>65916289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5574350</v>
      </c>
      <c r="F28" s="13">
        <v>18640755.438000001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f>E15+E19-E21-E22-E23-E25-E26-E27-E28</f>
        <v>1970760887</v>
      </c>
      <c r="F29" s="18">
        <f>F15+F19-F21-F22-F23-F25-F26-F27-F28</f>
        <v>667680825.49600017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892817451</v>
      </c>
      <c r="F30" s="13">
        <v>795311012.67999995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f>E29-E30</f>
        <v>1077943436</v>
      </c>
      <c r="F31" s="18">
        <f>F29-F30</f>
        <v>-127630187.18399978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36583072</v>
      </c>
      <c r="F32" s="13">
        <v>20107304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701333427</v>
      </c>
      <c r="F33" s="21">
        <v>542044469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f>E31+E32-E33</f>
        <v>413193081</v>
      </c>
      <c r="F34" s="18">
        <f>F31+F32-F33</f>
        <v>-649567352.18399978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/>
      <c r="F35" s="13"/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120035984</v>
      </c>
      <c r="F38" s="13">
        <v>113504606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</row>
    <row r="40" spans="1:6" ht="18" customHeight="1">
      <c r="A40" s="16" t="s">
        <v>75</v>
      </c>
      <c r="B40" s="17" t="s">
        <v>76</v>
      </c>
      <c r="C40" s="16"/>
      <c r="D40" s="16"/>
      <c r="E40" s="18">
        <f>E35-E38</f>
        <v>-120035984</v>
      </c>
      <c r="F40" s="18">
        <v>-113504606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f>E34+E40</f>
        <v>293157097</v>
      </c>
      <c r="F41" s="24">
        <v>-763071958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6000000</v>
      </c>
      <c r="F42" s="13">
        <v>2500000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</row>
    <row r="46" spans="1:6" ht="18" customHeight="1">
      <c r="A46" s="22" t="s">
        <v>88</v>
      </c>
      <c r="B46" s="23" t="s">
        <v>89</v>
      </c>
      <c r="C46" s="22"/>
      <c r="D46" s="22"/>
      <c r="E46" s="24">
        <f>E42+E43-E44-E45</f>
        <v>6000000</v>
      </c>
      <c r="F46" s="24">
        <f>F42+F43-F44-F45</f>
        <v>2500000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5000000</v>
      </c>
      <c r="F48" s="13">
        <v>5000000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f>E41+E46-E47-E48</f>
        <v>294157097</v>
      </c>
      <c r="F49" s="18">
        <f>F41+F46-F47-F48</f>
        <v>-765571958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BBD75544-0118-4ABC-88F6-6C3C95C9339E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297CE260-4824-48A9-9868-AC2428D6D7A2}"/>
    <dataValidation allowBlank="1" showInputMessage="1" showErrorMessage="1" errorTitle="Erreur de saisie" error="La cellule ne peut prendre que du numérique." promptTitle="Information" prompt="Cette cellule ne peut prendre que du numérique," sqref="E8:F49" xr:uid="{79E5260E-1DEB-4E5A-B55F-7D1EAA46460A}"/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A696-7D92-41E9-9050-5CFD46D4F2B1}">
  <dimension ref="A1:J84"/>
  <sheetViews>
    <sheetView workbookViewId="0">
      <selection activeCell="G7" sqref="G7"/>
    </sheetView>
  </sheetViews>
  <sheetFormatPr baseColWidth="10" defaultColWidth="10.28515625" defaultRowHeight="12.75"/>
  <cols>
    <col min="1" max="1" width="14.140625" style="26" bestFit="1" customWidth="1" collapsed="1"/>
    <col min="2" max="2" width="60.5703125" style="27" bestFit="1" customWidth="1" collapsed="1"/>
    <col min="3" max="3" width="3.42578125" style="27" bestFit="1" customWidth="1" collapsed="1"/>
    <col min="4" max="4" width="14.85546875" style="27" bestFit="1" customWidth="1" collapsed="1"/>
    <col min="5" max="6" width="13.7109375" style="28" bestFit="1" customWidth="1" collapsed="1"/>
    <col min="7" max="9" width="10.28515625" style="27" collapsed="1"/>
    <col min="10" max="10" width="10.85546875" style="27" bestFit="1" customWidth="1" collapsed="1"/>
    <col min="11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142</v>
      </c>
      <c r="B3" s="71"/>
      <c r="C3" s="71"/>
      <c r="D3" s="1" t="s">
        <v>1</v>
      </c>
      <c r="E3" s="72">
        <f>+'[12]Fiche de renseignement R1'!$V$10</f>
        <v>45657</v>
      </c>
      <c r="F3" s="73"/>
    </row>
    <row r="4" spans="1:6" s="1" customFormat="1" ht="15" customHeight="1">
      <c r="A4" s="73"/>
      <c r="B4" s="73"/>
      <c r="C4" s="73"/>
      <c r="D4" s="74" t="s">
        <v>2</v>
      </c>
      <c r="E4" s="75">
        <f>+'[12]Fiche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+'[12]Fiche de renseignement R1'!$J$10</f>
        <v>004410601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6" ht="18" customHeight="1">
      <c r="A11" s="16" t="s">
        <v>16</v>
      </c>
      <c r="B11" s="17" t="s">
        <v>17</v>
      </c>
      <c r="C11" s="16"/>
      <c r="D11" s="16"/>
      <c r="E11" s="18"/>
      <c r="F11" s="18"/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/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/>
      <c r="F13" s="13"/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/>
      <c r="F14" s="13"/>
    </row>
    <row r="15" spans="1:6" ht="18" customHeight="1">
      <c r="A15" s="16" t="s">
        <v>24</v>
      </c>
      <c r="B15" s="17" t="s">
        <v>25</v>
      </c>
      <c r="C15" s="16"/>
      <c r="D15" s="16"/>
      <c r="E15" s="18"/>
      <c r="F15" s="18"/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52"/>
      <c r="F17" s="152"/>
    </row>
    <row r="18" spans="1:6" ht="18" customHeight="1">
      <c r="A18" s="11" t="s">
        <v>30</v>
      </c>
      <c r="B18" s="12" t="s">
        <v>31</v>
      </c>
      <c r="C18" s="11"/>
      <c r="D18" s="153">
        <v>21</v>
      </c>
      <c r="E18" s="154"/>
      <c r="F18" s="154"/>
    </row>
    <row r="19" spans="1:6" ht="18" customHeight="1">
      <c r="A19" s="11" t="s">
        <v>32</v>
      </c>
      <c r="B19" s="12" t="s">
        <v>33</v>
      </c>
      <c r="C19" s="11" t="s">
        <v>9</v>
      </c>
      <c r="D19" s="153">
        <v>21</v>
      </c>
      <c r="E19" s="155"/>
      <c r="F19" s="155"/>
    </row>
    <row r="20" spans="1:6" ht="18" customHeight="1">
      <c r="A20" s="19" t="s">
        <v>34</v>
      </c>
      <c r="B20" s="20" t="s">
        <v>35</v>
      </c>
      <c r="C20" s="19" t="s">
        <v>9</v>
      </c>
      <c r="D20" s="156">
        <v>12</v>
      </c>
      <c r="E20" s="157">
        <v>2345868715</v>
      </c>
      <c r="F20" s="157">
        <v>3070335908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53">
        <v>22</v>
      </c>
      <c r="E21" s="158"/>
      <c r="F21" s="158"/>
    </row>
    <row r="22" spans="1:6" ht="18" customHeight="1">
      <c r="A22" s="11" t="s">
        <v>38</v>
      </c>
      <c r="B22" s="14" t="s">
        <v>39</v>
      </c>
      <c r="C22" s="15" t="s">
        <v>15</v>
      </c>
      <c r="D22" s="153">
        <v>6</v>
      </c>
      <c r="E22" s="159"/>
      <c r="F22" s="159"/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60">
        <v>364803535</v>
      </c>
      <c r="F23" s="160">
        <v>382204538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61"/>
      <c r="F24" s="161"/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61">
        <v>40730383</v>
      </c>
      <c r="F25" s="161">
        <v>52177353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61">
        <v>1297564180</v>
      </c>
      <c r="F26" s="161">
        <v>1903357655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61">
        <v>9879794</v>
      </c>
      <c r="F27" s="161">
        <v>32778542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61">
        <v>7665602</v>
      </c>
      <c r="F28" s="161">
        <v>8608900</v>
      </c>
    </row>
    <row r="29" spans="1:6" ht="18" customHeight="1">
      <c r="A29" s="16" t="s">
        <v>52</v>
      </c>
      <c r="B29" s="17" t="s">
        <v>53</v>
      </c>
      <c r="C29" s="16"/>
      <c r="D29" s="16"/>
      <c r="E29" s="162">
        <v>625225221</v>
      </c>
      <c r="F29" s="162">
        <v>691208920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61">
        <v>543370983</v>
      </c>
      <c r="F30" s="161">
        <v>593085792</v>
      </c>
    </row>
    <row r="31" spans="1:6" ht="18" customHeight="1">
      <c r="A31" s="16" t="s">
        <v>56</v>
      </c>
      <c r="B31" s="17" t="s">
        <v>57</v>
      </c>
      <c r="C31" s="16"/>
      <c r="D31" s="16"/>
      <c r="E31" s="162">
        <v>81854238</v>
      </c>
      <c r="F31" s="162">
        <v>98123128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61"/>
      <c r="F32" s="161"/>
    </row>
    <row r="33" spans="1:10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63">
        <v>81854238</v>
      </c>
      <c r="F33" s="163">
        <v>98123128</v>
      </c>
    </row>
    <row r="34" spans="1:10" ht="18" customHeight="1">
      <c r="A34" s="16" t="s">
        <v>63</v>
      </c>
      <c r="B34" s="17" t="s">
        <v>64</v>
      </c>
      <c r="C34" s="16"/>
      <c r="D34" s="16"/>
      <c r="E34" s="18"/>
      <c r="F34" s="18"/>
    </row>
    <row r="35" spans="1:10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/>
      <c r="F35" s="13"/>
    </row>
    <row r="36" spans="1:10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10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</row>
    <row r="38" spans="1:10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/>
      <c r="F38" s="13"/>
    </row>
    <row r="39" spans="1:10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</row>
    <row r="40" spans="1:10" ht="18" customHeight="1">
      <c r="A40" s="16" t="s">
        <v>75</v>
      </c>
      <c r="B40" s="17" t="s">
        <v>76</v>
      </c>
      <c r="C40" s="16"/>
      <c r="D40" s="16"/>
      <c r="E40" s="18"/>
      <c r="F40" s="18"/>
    </row>
    <row r="41" spans="1:10" ht="18" customHeight="1">
      <c r="A41" s="22" t="s">
        <v>77</v>
      </c>
      <c r="B41" s="23" t="s">
        <v>78</v>
      </c>
      <c r="C41" s="22"/>
      <c r="D41" s="22"/>
      <c r="E41" s="24"/>
      <c r="F41" s="24"/>
    </row>
    <row r="42" spans="1:10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/>
    </row>
    <row r="43" spans="1:10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10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10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</row>
    <row r="46" spans="1:10" ht="18" customHeight="1">
      <c r="A46" s="22" t="s">
        <v>88</v>
      </c>
      <c r="B46" s="23" t="s">
        <v>89</v>
      </c>
      <c r="C46" s="22"/>
      <c r="D46" s="22"/>
      <c r="E46" s="24"/>
      <c r="F46" s="24"/>
      <c r="J46" s="30"/>
    </row>
    <row r="47" spans="1:10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</row>
    <row r="48" spans="1:10" ht="18" customHeight="1">
      <c r="A48" s="11" t="s">
        <v>92</v>
      </c>
      <c r="B48" s="12" t="s">
        <v>93</v>
      </c>
      <c r="C48" s="11" t="s">
        <v>12</v>
      </c>
      <c r="D48" s="11"/>
      <c r="E48" s="13"/>
      <c r="F48" s="13"/>
    </row>
    <row r="49" spans="1:10" ht="18" customHeight="1">
      <c r="A49" s="16" t="s">
        <v>94</v>
      </c>
      <c r="B49" s="17" t="s">
        <v>95</v>
      </c>
      <c r="C49" s="16"/>
      <c r="D49" s="16"/>
      <c r="E49" s="18"/>
      <c r="F49" s="18"/>
      <c r="J49" s="30"/>
    </row>
    <row r="53" spans="1:10" ht="12.75" customHeight="1">
      <c r="B53" s="29"/>
      <c r="C53" s="29"/>
    </row>
    <row r="54" spans="1:10" ht="12.75" customHeight="1">
      <c r="B54" s="29"/>
      <c r="C54" s="29"/>
    </row>
    <row r="55" spans="1:10" ht="12.75" customHeight="1">
      <c r="B55" s="29"/>
      <c r="C55" s="29"/>
    </row>
    <row r="58" spans="1:10" ht="12.75" customHeight="1">
      <c r="B58" s="29"/>
      <c r="C58" s="29"/>
    </row>
    <row r="59" spans="1:10" ht="12.75" customHeight="1">
      <c r="B59" s="29"/>
      <c r="C59" s="29"/>
    </row>
    <row r="62" spans="1:10" ht="12.75" customHeight="1">
      <c r="E62" s="30"/>
      <c r="F62" s="30"/>
    </row>
    <row r="63" spans="1:10" ht="12.75" customHeight="1">
      <c r="E63" s="30"/>
      <c r="F63" s="30"/>
    </row>
    <row r="64" spans="1:10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17 E19:F21 E23:F49" xr:uid="{B09CCEA3-0F6A-4C17-A458-2C300AFABFBD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CFC98CDF-F2B1-431A-ADA8-5776294048A6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7B6F153D-1099-4B03-95C8-83CF5AF8CED5}"/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AC8F-7042-4454-B71F-7EB64940BC01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42578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 t="s">
        <v>114</v>
      </c>
      <c r="F3" s="73"/>
    </row>
    <row r="4" spans="1:6" s="1" customFormat="1" ht="15" customHeight="1">
      <c r="A4" s="77" t="s">
        <v>145</v>
      </c>
      <c r="B4" s="73"/>
      <c r="C4" s="73"/>
      <c r="D4" s="74" t="s">
        <v>2</v>
      </c>
      <c r="E4" s="75">
        <v>12</v>
      </c>
      <c r="F4" s="75"/>
    </row>
    <row r="5" spans="1:6" s="1" customFormat="1" ht="30.95" customHeight="1">
      <c r="A5" s="4" t="s">
        <v>3</v>
      </c>
      <c r="B5" s="137" t="s">
        <v>146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0</v>
      </c>
      <c r="F12" s="13">
        <v>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v>0</v>
      </c>
      <c r="F15" s="18">
        <v>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0</v>
      </c>
      <c r="F16" s="13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7480000</v>
      </c>
      <c r="F19" s="13">
        <v>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0</v>
      </c>
      <c r="F20" s="13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0</v>
      </c>
      <c r="F23" s="13">
        <v>0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0</v>
      </c>
      <c r="F24" s="13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0</v>
      </c>
      <c r="F25" s="13">
        <v>0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-41200</v>
      </c>
      <c r="F26" s="13">
        <v>-22254885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0</v>
      </c>
      <c r="F27" s="13">
        <v>-800000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0</v>
      </c>
      <c r="F28" s="13">
        <v>0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7438800</v>
      </c>
      <c r="F29" s="18">
        <v>-23054885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0</v>
      </c>
      <c r="F30" s="13">
        <v>4946842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7438800</v>
      </c>
      <c r="F31" s="18">
        <v>-18108043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0</v>
      </c>
      <c r="F32" s="13">
        <v>0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3">
        <v>-16374398</v>
      </c>
      <c r="F33" s="13">
        <v>-270427329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v>-8935598</v>
      </c>
      <c r="F34" s="18">
        <v>-288535372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-368617159</v>
      </c>
      <c r="F38" s="13">
        <v>-333641876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18">
        <v>-368617159</v>
      </c>
      <c r="F40" s="18">
        <v>-333641876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-377552757</v>
      </c>
      <c r="F41" s="24">
        <v>-622177248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0</v>
      </c>
      <c r="F48" s="13">
        <v>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-377552757</v>
      </c>
      <c r="F49" s="18">
        <v>-622177248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9351C85E-7D1B-42BF-B40A-82D06E496C0E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1BB5DBDF-DAA8-42C4-9167-51995FE882E0}"/>
    <dataValidation allowBlank="1" showInputMessage="1" showErrorMessage="1" errorTitle="Erreur de saisie" error="La cellule ne peut prendre que du numérique." promptTitle="Information" prompt="Cette cellule ne peut prendre que du numérique," sqref="E8:F49" xr:uid="{AC634D4E-CD57-4103-9978-3E052CA5D231}"/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56DA-D049-42E6-AEDB-340AA3656E76}">
  <dimension ref="A1:I84"/>
  <sheetViews>
    <sheetView zoomScale="87" workbookViewId="0">
      <selection activeCell="B15" sqref="B15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7.28515625" style="28" bestFit="1" customWidth="1" collapsed="1"/>
    <col min="7" max="7" width="10.28515625" style="27" collapsed="1"/>
    <col min="8" max="8" width="14.140625" style="27" bestFit="1" customWidth="1" collapsed="1"/>
    <col min="9" max="9" width="11.5703125" style="27" bestFit="1" customWidth="1" collapsed="1"/>
    <col min="10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</row>
    <row r="2" spans="1:8" s="1" customFormat="1" ht="8.1" customHeight="1">
      <c r="C2" s="2"/>
    </row>
    <row r="3" spans="1:8" s="1" customFormat="1" ht="25.5" customHeight="1">
      <c r="A3" s="71" t="s">
        <v>143</v>
      </c>
      <c r="B3" s="71"/>
      <c r="C3" s="71"/>
      <c r="D3" s="1" t="s">
        <v>1</v>
      </c>
      <c r="E3" s="72">
        <f>+'[13]Fiche de renseignement R1'!$V$10</f>
        <v>45657</v>
      </c>
      <c r="F3" s="73"/>
    </row>
    <row r="4" spans="1:8" s="1" customFormat="1" ht="15" customHeight="1">
      <c r="A4" s="73"/>
      <c r="B4" s="73"/>
      <c r="C4" s="73"/>
      <c r="D4" s="74" t="s">
        <v>2</v>
      </c>
      <c r="E4" s="75">
        <f>+'[13]Fiche de renseignement R1'!$AH$10</f>
        <v>12</v>
      </c>
      <c r="F4" s="75"/>
    </row>
    <row r="5" spans="1:8" s="1" customFormat="1" ht="30.95" customHeight="1">
      <c r="A5" s="4" t="s">
        <v>3</v>
      </c>
      <c r="B5" s="76" t="str">
        <f>+'[13]Fiche de renseignement R1'!$J$10</f>
        <v>004736198</v>
      </c>
      <c r="C5" s="76"/>
      <c r="D5" s="74"/>
      <c r="E5" s="73"/>
      <c r="F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8" ht="18" customHeight="1">
      <c r="A11" s="16" t="s">
        <v>16</v>
      </c>
      <c r="B11" s="17" t="s">
        <v>17</v>
      </c>
      <c r="C11" s="16"/>
      <c r="D11" s="16"/>
      <c r="E11" s="18"/>
      <c r="F11" s="18"/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2100290502</v>
      </c>
      <c r="F12" s="13">
        <v>3420230204</v>
      </c>
      <c r="H12" s="30"/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/>
      <c r="F13" s="13"/>
      <c r="H13" s="30"/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2318000</v>
      </c>
      <c r="H14" s="30"/>
    </row>
    <row r="15" spans="1:8" ht="18" customHeight="1">
      <c r="A15" s="16" t="s">
        <v>24</v>
      </c>
      <c r="B15" s="17" t="s">
        <v>25</v>
      </c>
      <c r="C15" s="16"/>
      <c r="D15" s="16"/>
      <c r="E15" s="164">
        <v>2100290502</v>
      </c>
      <c r="F15" s="164">
        <v>3422548204</v>
      </c>
      <c r="H15" s="30"/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  <c r="H16" s="30"/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  <c r="H17" s="30"/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  <c r="H18" s="30"/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/>
      <c r="F19" s="13"/>
      <c r="H19" s="30"/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  <c r="H20" s="30"/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/>
      <c r="F21" s="13"/>
      <c r="H21" s="30"/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/>
      <c r="F22" s="13"/>
      <c r="H22" s="30"/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-3385274338</v>
      </c>
      <c r="F23" s="13">
        <v>-1291150438</v>
      </c>
      <c r="H23" s="30"/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F24" s="13"/>
      <c r="H24" s="30"/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-27245750</v>
      </c>
      <c r="F25" s="13">
        <v>-51035867</v>
      </c>
      <c r="H25" s="30"/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-683632478</v>
      </c>
      <c r="F26" s="13">
        <v>-862102262</v>
      </c>
      <c r="H26" s="30"/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F27" s="13">
        <v>-826127</v>
      </c>
      <c r="H27" s="30"/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-53663</v>
      </c>
      <c r="F28" s="13"/>
      <c r="H28" s="30"/>
    </row>
    <row r="29" spans="1:8" ht="18" customHeight="1">
      <c r="A29" s="16" t="s">
        <v>52</v>
      </c>
      <c r="B29" s="17" t="s">
        <v>53</v>
      </c>
      <c r="C29" s="16"/>
      <c r="D29" s="16"/>
      <c r="E29" s="18">
        <v>-1995915727</v>
      </c>
      <c r="F29" s="18">
        <v>1217433450</v>
      </c>
      <c r="H29" s="30"/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-70274441</v>
      </c>
      <c r="F30" s="13">
        <v>-73013511</v>
      </c>
      <c r="H30" s="30"/>
    </row>
    <row r="31" spans="1:8" ht="18" customHeight="1">
      <c r="A31" s="16" t="s">
        <v>56</v>
      </c>
      <c r="B31" s="17" t="s">
        <v>57</v>
      </c>
      <c r="C31" s="16"/>
      <c r="D31" s="16"/>
      <c r="E31" s="18">
        <v>-2066190168</v>
      </c>
      <c r="F31" s="18">
        <v>1144419939</v>
      </c>
      <c r="H31" s="30"/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/>
      <c r="F32" s="13"/>
      <c r="H32" s="30"/>
    </row>
    <row r="33" spans="1:9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-898493299</v>
      </c>
      <c r="F33" s="21">
        <v>-1007453754</v>
      </c>
      <c r="H33" s="30"/>
    </row>
    <row r="34" spans="1:9" ht="18" customHeight="1">
      <c r="A34" s="16" t="s">
        <v>63</v>
      </c>
      <c r="B34" s="17" t="s">
        <v>64</v>
      </c>
      <c r="C34" s="16"/>
      <c r="D34" s="16"/>
      <c r="E34" s="18">
        <v>-2964683467</v>
      </c>
      <c r="F34" s="18">
        <v>136966185</v>
      </c>
      <c r="H34" s="30" t="s">
        <v>144</v>
      </c>
    </row>
    <row r="35" spans="1:9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1295397</v>
      </c>
      <c r="H35" s="30"/>
    </row>
    <row r="36" spans="1:9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  <c r="H36" s="30"/>
    </row>
    <row r="37" spans="1:9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  <c r="H37" s="30"/>
    </row>
    <row r="38" spans="1:9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-707206828</v>
      </c>
      <c r="F38" s="13">
        <v>-32154653</v>
      </c>
      <c r="H38" s="30"/>
      <c r="I38" s="30"/>
    </row>
    <row r="39" spans="1:9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  <c r="H39" s="30"/>
    </row>
    <row r="40" spans="1:9" ht="18" customHeight="1">
      <c r="A40" s="16" t="s">
        <v>75</v>
      </c>
      <c r="B40" s="17" t="s">
        <v>76</v>
      </c>
      <c r="C40" s="16"/>
      <c r="D40" s="16"/>
      <c r="E40" s="18">
        <v>-707206828</v>
      </c>
      <c r="F40" s="18">
        <v>30859256</v>
      </c>
      <c r="H40" s="30"/>
      <c r="I40" s="30"/>
    </row>
    <row r="41" spans="1:9" ht="18" customHeight="1">
      <c r="A41" s="22" t="s">
        <v>77</v>
      </c>
      <c r="B41" s="23" t="s">
        <v>78</v>
      </c>
      <c r="C41" s="22"/>
      <c r="D41" s="22"/>
      <c r="E41" s="24">
        <v>-3671890295</v>
      </c>
      <c r="F41" s="24">
        <v>106106929</v>
      </c>
      <c r="H41" s="30"/>
    </row>
    <row r="42" spans="1:9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3500000</v>
      </c>
      <c r="H42" s="30"/>
    </row>
    <row r="43" spans="1:9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  <c r="H43" s="30"/>
    </row>
    <row r="44" spans="1:9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  <c r="H44" s="30"/>
    </row>
    <row r="45" spans="1:9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  <c r="H45" s="30"/>
    </row>
    <row r="46" spans="1:9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3500000</v>
      </c>
      <c r="H46" s="30"/>
      <c r="I46" s="30"/>
    </row>
    <row r="47" spans="1:9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  <c r="H47" s="30"/>
    </row>
    <row r="48" spans="1:9" ht="18" customHeight="1">
      <c r="A48" s="11" t="s">
        <v>92</v>
      </c>
      <c r="B48" s="12" t="s">
        <v>93</v>
      </c>
      <c r="C48" s="11" t="s">
        <v>12</v>
      </c>
      <c r="D48" s="11"/>
      <c r="E48" s="13">
        <v>-5000000</v>
      </c>
      <c r="F48" s="13">
        <v>-5000000</v>
      </c>
      <c r="H48" s="30"/>
    </row>
    <row r="49" spans="1:9" ht="18" customHeight="1">
      <c r="A49" s="16" t="s">
        <v>94</v>
      </c>
      <c r="B49" s="17" t="s">
        <v>95</v>
      </c>
      <c r="C49" s="16"/>
      <c r="D49" s="16"/>
      <c r="E49" s="18">
        <v>-3676890295</v>
      </c>
      <c r="F49" s="18">
        <v>104606929</v>
      </c>
      <c r="H49" s="30"/>
      <c r="I49" s="30"/>
    </row>
    <row r="53" spans="1:9" ht="12.75" customHeight="1">
      <c r="B53" s="29"/>
      <c r="C53" s="29"/>
    </row>
    <row r="54" spans="1:9" ht="12.75" customHeight="1">
      <c r="B54" s="29"/>
      <c r="C54" s="29"/>
    </row>
    <row r="55" spans="1:9" ht="12.75" customHeight="1">
      <c r="B55" s="29"/>
      <c r="C55" s="29"/>
    </row>
    <row r="58" spans="1:9" ht="12.75" customHeight="1">
      <c r="B58" s="29"/>
      <c r="C58" s="29"/>
    </row>
    <row r="59" spans="1:9" ht="12.75" customHeight="1">
      <c r="B59" s="29"/>
      <c r="C59" s="29"/>
    </row>
    <row r="62" spans="1:9" ht="12.75" customHeight="1">
      <c r="E62" s="30"/>
      <c r="F62" s="30"/>
    </row>
    <row r="63" spans="1:9" ht="12.75" customHeight="1">
      <c r="E63" s="30"/>
      <c r="F63" s="30"/>
    </row>
    <row r="64" spans="1:9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7F557505-F909-4E57-A0A0-0604E889D93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9D024AE2-39EB-442D-BF10-0637B0644ADF}"/>
    <dataValidation allowBlank="1" showInputMessage="1" showErrorMessage="1" errorTitle="Erreur de saisie" error="La cellule ne peut prendre que du numérique." promptTitle="Information" prompt="Cette cellule ne peut prendre que du numérique," sqref="F8:F49 E8:E23 E28:E49 E25:E26" xr:uid="{7F34FAE9-7670-4AB8-92CD-EA6E0E681C1F}"/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A56A-B41E-41DF-8DC5-5D57DA4B1D96}">
  <dimension ref="A1:H84"/>
  <sheetViews>
    <sheetView topLeftCell="C1" workbookViewId="0">
      <selection activeCell="G7" sqref="G7"/>
    </sheetView>
  </sheetViews>
  <sheetFormatPr baseColWidth="10" defaultColWidth="10.28515625" defaultRowHeight="15"/>
  <cols>
    <col min="1" max="1" width="11.7109375" style="218" customWidth="1" collapsed="1"/>
    <col min="2" max="2" width="56" style="203" customWidth="1" collapsed="1"/>
    <col min="3" max="3" width="3.140625" style="203" customWidth="1" collapsed="1"/>
    <col min="4" max="4" width="13.5703125" style="203" customWidth="1" collapsed="1"/>
    <col min="5" max="6" width="23.85546875" style="220" customWidth="1" collapsed="1"/>
    <col min="7" max="7" width="12.7109375" style="203" bestFit="1" customWidth="1" collapsed="1"/>
    <col min="8" max="8" width="11.140625" bestFit="1" customWidth="1" collapsed="1"/>
  </cols>
  <sheetData>
    <row r="1" spans="1:6" s="191" customFormat="1" ht="24.6" customHeight="1">
      <c r="A1" s="190" t="s">
        <v>0</v>
      </c>
      <c r="B1" s="190"/>
      <c r="C1" s="190"/>
      <c r="D1" s="190"/>
      <c r="E1" s="190"/>
      <c r="F1" s="190"/>
    </row>
    <row r="2" spans="1:6" s="191" customFormat="1" ht="8.1" customHeight="1">
      <c r="C2" s="192"/>
    </row>
    <row r="3" spans="1:6" s="191" customFormat="1" ht="25.5" customHeight="1">
      <c r="A3" s="193" t="s">
        <v>149</v>
      </c>
      <c r="B3" s="193"/>
      <c r="C3" s="193"/>
      <c r="D3" s="191" t="s">
        <v>1</v>
      </c>
      <c r="E3" s="194">
        <f>+'[19]Fiche de renseignement R1'!$V$10</f>
        <v>45657</v>
      </c>
      <c r="F3" s="195"/>
    </row>
    <row r="4" spans="1:6" s="191" customFormat="1" ht="25.5" customHeight="1">
      <c r="A4" s="195" t="str">
        <f>'[19]Fiche de renseignement R1'!$J$4</f>
        <v>TANOR SAS</v>
      </c>
      <c r="B4" s="195"/>
      <c r="C4" s="195"/>
      <c r="D4" s="196" t="s">
        <v>2</v>
      </c>
      <c r="E4" s="197">
        <f>+'[19]Fiche de renseignement R1'!$AH$10</f>
        <v>12</v>
      </c>
      <c r="F4" s="197"/>
    </row>
    <row r="5" spans="1:6" s="191" customFormat="1" ht="48.75" customHeight="1">
      <c r="A5" s="198" t="s">
        <v>150</v>
      </c>
      <c r="B5" s="199" t="str">
        <f>+'[19]Fiche de renseignement R1'!$J$10</f>
        <v xml:space="preserve">006634027 </v>
      </c>
      <c r="C5" s="199"/>
      <c r="D5" s="196"/>
      <c r="E5" s="195"/>
      <c r="F5" s="195"/>
    </row>
    <row r="6" spans="1:6" s="191" customFormat="1" ht="8.1" customHeight="1">
      <c r="C6" s="192"/>
    </row>
    <row r="7" spans="1:6" ht="18" customHeight="1">
      <c r="A7" s="200" t="s">
        <v>4</v>
      </c>
      <c r="B7" s="201" t="s">
        <v>5</v>
      </c>
      <c r="C7" s="200"/>
      <c r="D7" s="200" t="s">
        <v>6</v>
      </c>
      <c r="E7" s="202">
        <v>2024</v>
      </c>
      <c r="F7" s="202">
        <v>2023</v>
      </c>
    </row>
    <row r="8" spans="1:6" ht="18" customHeight="1">
      <c r="A8" s="204" t="s">
        <v>7</v>
      </c>
      <c r="B8" s="205" t="s">
        <v>8</v>
      </c>
      <c r="C8" s="204" t="s">
        <v>9</v>
      </c>
      <c r="D8" s="204">
        <v>21</v>
      </c>
      <c r="E8" s="206">
        <v>0</v>
      </c>
      <c r="F8" s="206">
        <v>880712069</v>
      </c>
    </row>
    <row r="9" spans="1:6" ht="18" customHeight="1">
      <c r="A9" s="204" t="s">
        <v>10</v>
      </c>
      <c r="B9" s="205" t="s">
        <v>11</v>
      </c>
      <c r="C9" s="204" t="s">
        <v>12</v>
      </c>
      <c r="D9" s="204">
        <v>22</v>
      </c>
      <c r="E9" s="206">
        <v>0</v>
      </c>
      <c r="F9" s="206">
        <v>-29219859</v>
      </c>
    </row>
    <row r="10" spans="1:6" ht="18" customHeight="1">
      <c r="A10" s="204" t="s">
        <v>13</v>
      </c>
      <c r="B10" s="207" t="s">
        <v>14</v>
      </c>
      <c r="C10" s="208" t="s">
        <v>15</v>
      </c>
      <c r="D10" s="208">
        <v>6</v>
      </c>
      <c r="E10" s="206">
        <v>0</v>
      </c>
      <c r="F10" s="206">
        <v>0</v>
      </c>
    </row>
    <row r="11" spans="1:6" ht="18" customHeight="1">
      <c r="A11" s="209" t="s">
        <v>16</v>
      </c>
      <c r="B11" s="210" t="s">
        <v>17</v>
      </c>
      <c r="C11" s="209"/>
      <c r="D11" s="209"/>
      <c r="E11" s="211">
        <v>0</v>
      </c>
      <c r="F11" s="211">
        <v>851492210</v>
      </c>
    </row>
    <row r="12" spans="1:6" ht="18" customHeight="1">
      <c r="A12" s="204" t="s">
        <v>18</v>
      </c>
      <c r="B12" s="205" t="s">
        <v>19</v>
      </c>
      <c r="C12" s="204" t="s">
        <v>9</v>
      </c>
      <c r="D12" s="204">
        <v>21</v>
      </c>
      <c r="E12" s="206">
        <v>1513452903</v>
      </c>
      <c r="F12" s="206">
        <v>0</v>
      </c>
    </row>
    <row r="13" spans="1:6" ht="18" customHeight="1">
      <c r="A13" s="204" t="s">
        <v>20</v>
      </c>
      <c r="B13" s="205" t="s">
        <v>21</v>
      </c>
      <c r="C13" s="204" t="s">
        <v>9</v>
      </c>
      <c r="D13" s="204">
        <v>21</v>
      </c>
      <c r="E13" s="206">
        <v>0</v>
      </c>
      <c r="F13" s="206">
        <v>0</v>
      </c>
    </row>
    <row r="14" spans="1:6" ht="18" customHeight="1">
      <c r="A14" s="204" t="s">
        <v>22</v>
      </c>
      <c r="B14" s="205" t="s">
        <v>23</v>
      </c>
      <c r="C14" s="204" t="s">
        <v>9</v>
      </c>
      <c r="D14" s="204">
        <v>21</v>
      </c>
      <c r="E14" s="206">
        <v>804000</v>
      </c>
      <c r="F14" s="206">
        <v>580000</v>
      </c>
    </row>
    <row r="15" spans="1:6" ht="18" customHeight="1">
      <c r="A15" s="209" t="s">
        <v>24</v>
      </c>
      <c r="B15" s="210" t="s">
        <v>25</v>
      </c>
      <c r="C15" s="209"/>
      <c r="D15" s="209"/>
      <c r="E15" s="211">
        <v>1514256903</v>
      </c>
      <c r="F15" s="211">
        <v>881292069</v>
      </c>
    </row>
    <row r="16" spans="1:6" ht="18" customHeight="1">
      <c r="A16" s="204" t="s">
        <v>26</v>
      </c>
      <c r="B16" s="205" t="s">
        <v>27</v>
      </c>
      <c r="C16" s="208" t="s">
        <v>15</v>
      </c>
      <c r="D16" s="204">
        <v>6</v>
      </c>
      <c r="E16" s="206">
        <v>166629155</v>
      </c>
      <c r="F16" s="206">
        <v>0</v>
      </c>
    </row>
    <row r="17" spans="1:7" ht="18" customHeight="1">
      <c r="A17" s="204" t="s">
        <v>28</v>
      </c>
      <c r="B17" s="205" t="s">
        <v>29</v>
      </c>
      <c r="C17" s="204"/>
      <c r="D17" s="204">
        <v>21</v>
      </c>
      <c r="E17" s="206">
        <v>0</v>
      </c>
      <c r="F17" s="206">
        <v>0</v>
      </c>
    </row>
    <row r="18" spans="1:7" ht="18" customHeight="1">
      <c r="A18" s="204" t="s">
        <v>30</v>
      </c>
      <c r="B18" s="205" t="s">
        <v>31</v>
      </c>
      <c r="C18" s="204"/>
      <c r="D18" s="204">
        <v>21</v>
      </c>
      <c r="E18" s="206">
        <v>0</v>
      </c>
      <c r="F18" s="206">
        <v>0</v>
      </c>
    </row>
    <row r="19" spans="1:7" ht="18" customHeight="1">
      <c r="A19" s="204" t="s">
        <v>32</v>
      </c>
      <c r="B19" s="205" t="s">
        <v>33</v>
      </c>
      <c r="C19" s="204" t="s">
        <v>9</v>
      </c>
      <c r="D19" s="204">
        <v>21</v>
      </c>
      <c r="E19" s="206">
        <v>158559</v>
      </c>
      <c r="F19" s="206">
        <v>49392</v>
      </c>
    </row>
    <row r="20" spans="1:7" ht="18" customHeight="1">
      <c r="A20" s="204" t="s">
        <v>34</v>
      </c>
      <c r="B20" s="205" t="s">
        <v>35</v>
      </c>
      <c r="C20" s="204" t="s">
        <v>9</v>
      </c>
      <c r="D20" s="204">
        <v>12</v>
      </c>
      <c r="E20" s="212">
        <v>0</v>
      </c>
      <c r="F20" s="212">
        <v>0</v>
      </c>
    </row>
    <row r="21" spans="1:7" ht="18" customHeight="1">
      <c r="A21" s="204" t="s">
        <v>36</v>
      </c>
      <c r="B21" s="205" t="s">
        <v>37</v>
      </c>
      <c r="C21" s="204" t="s">
        <v>12</v>
      </c>
      <c r="D21" s="204">
        <v>22</v>
      </c>
      <c r="E21" s="206">
        <v>-2250148</v>
      </c>
      <c r="F21" s="206">
        <v>-4763815</v>
      </c>
    </row>
    <row r="22" spans="1:7" ht="18" customHeight="1">
      <c r="A22" s="204" t="s">
        <v>38</v>
      </c>
      <c r="B22" s="207" t="s">
        <v>39</v>
      </c>
      <c r="C22" s="208" t="s">
        <v>15</v>
      </c>
      <c r="D22" s="204">
        <v>6</v>
      </c>
      <c r="E22" s="206">
        <v>0</v>
      </c>
      <c r="F22" s="206">
        <v>0</v>
      </c>
    </row>
    <row r="23" spans="1:7" ht="18" customHeight="1">
      <c r="A23" s="204" t="s">
        <v>40</v>
      </c>
      <c r="B23" s="205" t="s">
        <v>41</v>
      </c>
      <c r="C23" s="204" t="s">
        <v>12</v>
      </c>
      <c r="D23" s="204">
        <v>22</v>
      </c>
      <c r="E23" s="206">
        <v>-493810091</v>
      </c>
      <c r="F23" s="206">
        <v>-555655713</v>
      </c>
      <c r="G23" s="213"/>
    </row>
    <row r="24" spans="1:7" ht="18" customHeight="1">
      <c r="A24" s="204" t="s">
        <v>42</v>
      </c>
      <c r="B24" s="207" t="s">
        <v>43</v>
      </c>
      <c r="C24" s="208" t="s">
        <v>15</v>
      </c>
      <c r="D24" s="204">
        <v>6</v>
      </c>
      <c r="E24" s="206">
        <v>-26812069</v>
      </c>
      <c r="F24" s="206">
        <v>271510501</v>
      </c>
    </row>
    <row r="25" spans="1:7" ht="18" customHeight="1">
      <c r="A25" s="204" t="s">
        <v>44</v>
      </c>
      <c r="B25" s="205" t="s">
        <v>45</v>
      </c>
      <c r="C25" s="204" t="s">
        <v>12</v>
      </c>
      <c r="D25" s="204">
        <v>23</v>
      </c>
      <c r="E25" s="206">
        <v>-21418756</v>
      </c>
      <c r="F25" s="206">
        <v>-8339968</v>
      </c>
    </row>
    <row r="26" spans="1:7" ht="18" customHeight="1">
      <c r="A26" s="204" t="s">
        <v>46</v>
      </c>
      <c r="B26" s="205" t="s">
        <v>47</v>
      </c>
      <c r="C26" s="204" t="s">
        <v>12</v>
      </c>
      <c r="D26" s="204">
        <v>24</v>
      </c>
      <c r="E26" s="206">
        <v>-460190411</v>
      </c>
      <c r="F26" s="206">
        <v>-490001233</v>
      </c>
    </row>
    <row r="27" spans="1:7" ht="18" customHeight="1">
      <c r="A27" s="204" t="s">
        <v>48</v>
      </c>
      <c r="B27" s="205" t="s">
        <v>49</v>
      </c>
      <c r="C27" s="204" t="s">
        <v>12</v>
      </c>
      <c r="D27" s="204">
        <v>25</v>
      </c>
      <c r="E27" s="206">
        <v>-10617266</v>
      </c>
      <c r="F27" s="206">
        <v>-12136758</v>
      </c>
    </row>
    <row r="28" spans="1:7" ht="18" customHeight="1">
      <c r="A28" s="204" t="s">
        <v>50</v>
      </c>
      <c r="B28" s="205" t="s">
        <v>51</v>
      </c>
      <c r="C28" s="204" t="s">
        <v>12</v>
      </c>
      <c r="D28" s="204">
        <v>26</v>
      </c>
      <c r="E28" s="206">
        <v>-438825</v>
      </c>
      <c r="F28" s="206">
        <v>-44765</v>
      </c>
    </row>
    <row r="29" spans="1:7" ht="18" customHeight="1">
      <c r="A29" s="209" t="s">
        <v>52</v>
      </c>
      <c r="B29" s="210" t="s">
        <v>53</v>
      </c>
      <c r="C29" s="209"/>
      <c r="D29" s="209"/>
      <c r="E29" s="211">
        <v>665507051</v>
      </c>
      <c r="F29" s="211">
        <v>52689851</v>
      </c>
    </row>
    <row r="30" spans="1:7" ht="18" customHeight="1">
      <c r="A30" s="204" t="s">
        <v>54</v>
      </c>
      <c r="B30" s="205" t="s">
        <v>55</v>
      </c>
      <c r="C30" s="204" t="s">
        <v>12</v>
      </c>
      <c r="D30" s="204">
        <v>27</v>
      </c>
      <c r="E30" s="206">
        <v>-345031838</v>
      </c>
      <c r="F30" s="206">
        <v>-298324178</v>
      </c>
    </row>
    <row r="31" spans="1:7" ht="18" customHeight="1">
      <c r="A31" s="209" t="s">
        <v>56</v>
      </c>
      <c r="B31" s="210" t="s">
        <v>57</v>
      </c>
      <c r="C31" s="209"/>
      <c r="D31" s="209"/>
      <c r="E31" s="211">
        <v>320475213</v>
      </c>
      <c r="F31" s="211">
        <v>-245634327</v>
      </c>
    </row>
    <row r="32" spans="1:7" ht="18" customHeight="1">
      <c r="A32" s="204" t="s">
        <v>58</v>
      </c>
      <c r="B32" s="205" t="s">
        <v>59</v>
      </c>
      <c r="C32" s="204" t="s">
        <v>9</v>
      </c>
      <c r="D32" s="204">
        <v>28</v>
      </c>
      <c r="E32" s="206">
        <v>12114189</v>
      </c>
      <c r="F32" s="206">
        <v>0</v>
      </c>
    </row>
    <row r="33" spans="1:8" ht="18" customHeight="1">
      <c r="A33" s="204" t="s">
        <v>60</v>
      </c>
      <c r="B33" s="205" t="s">
        <v>61</v>
      </c>
      <c r="C33" s="204" t="s">
        <v>12</v>
      </c>
      <c r="D33" s="204" t="s">
        <v>62</v>
      </c>
      <c r="E33" s="212">
        <v>-269883869</v>
      </c>
      <c r="F33" s="212">
        <v>-333812387</v>
      </c>
    </row>
    <row r="34" spans="1:8" ht="18" customHeight="1">
      <c r="A34" s="209" t="s">
        <v>63</v>
      </c>
      <c r="B34" s="210" t="s">
        <v>64</v>
      </c>
      <c r="C34" s="209"/>
      <c r="D34" s="209"/>
      <c r="E34" s="211">
        <v>62705533</v>
      </c>
      <c r="F34" s="211">
        <v>-579446714</v>
      </c>
    </row>
    <row r="35" spans="1:8" ht="18" customHeight="1">
      <c r="A35" s="204" t="s">
        <v>65</v>
      </c>
      <c r="B35" s="205" t="s">
        <v>66</v>
      </c>
      <c r="C35" s="204" t="s">
        <v>9</v>
      </c>
      <c r="D35" s="204">
        <v>29</v>
      </c>
      <c r="E35" s="206">
        <v>0</v>
      </c>
      <c r="F35" s="206">
        <v>0</v>
      </c>
    </row>
    <row r="36" spans="1:8" ht="18" customHeight="1">
      <c r="A36" s="204" t="s">
        <v>67</v>
      </c>
      <c r="B36" s="205" t="s">
        <v>68</v>
      </c>
      <c r="C36" s="204" t="s">
        <v>9</v>
      </c>
      <c r="D36" s="204">
        <v>28</v>
      </c>
      <c r="E36" s="206">
        <v>0</v>
      </c>
      <c r="F36" s="206">
        <v>0</v>
      </c>
    </row>
    <row r="37" spans="1:8" ht="18" customHeight="1">
      <c r="A37" s="204" t="s">
        <v>69</v>
      </c>
      <c r="B37" s="205" t="s">
        <v>70</v>
      </c>
      <c r="C37" s="204" t="s">
        <v>9</v>
      </c>
      <c r="D37" s="204">
        <v>12</v>
      </c>
      <c r="E37" s="206">
        <v>0</v>
      </c>
      <c r="F37" s="206">
        <v>0</v>
      </c>
    </row>
    <row r="38" spans="1:8" ht="18" customHeight="1">
      <c r="A38" s="204" t="s">
        <v>71</v>
      </c>
      <c r="B38" s="205" t="s">
        <v>72</v>
      </c>
      <c r="C38" s="204" t="s">
        <v>12</v>
      </c>
      <c r="D38" s="204">
        <v>29</v>
      </c>
      <c r="E38" s="206">
        <v>-8640591</v>
      </c>
      <c r="F38" s="206">
        <v>-17278143</v>
      </c>
      <c r="H38" s="214"/>
    </row>
    <row r="39" spans="1:8" ht="18" customHeight="1">
      <c r="A39" s="204" t="s">
        <v>73</v>
      </c>
      <c r="B39" s="205" t="s">
        <v>74</v>
      </c>
      <c r="C39" s="204" t="s">
        <v>12</v>
      </c>
      <c r="D39" s="204" t="s">
        <v>62</v>
      </c>
      <c r="E39" s="206">
        <v>0</v>
      </c>
      <c r="F39" s="206">
        <v>0</v>
      </c>
    </row>
    <row r="40" spans="1:8" ht="18" customHeight="1">
      <c r="A40" s="209" t="s">
        <v>75</v>
      </c>
      <c r="B40" s="210" t="s">
        <v>76</v>
      </c>
      <c r="C40" s="209"/>
      <c r="D40" s="209"/>
      <c r="E40" s="211">
        <v>-8640591</v>
      </c>
      <c r="F40" s="211">
        <v>-17278143</v>
      </c>
    </row>
    <row r="41" spans="1:8" ht="18" customHeight="1">
      <c r="A41" s="215" t="s">
        <v>77</v>
      </c>
      <c r="B41" s="216" t="s">
        <v>78</v>
      </c>
      <c r="C41" s="215"/>
      <c r="D41" s="215"/>
      <c r="E41" s="217">
        <v>54064942</v>
      </c>
      <c r="F41" s="217">
        <v>-596724857</v>
      </c>
    </row>
    <row r="42" spans="1:8" ht="18" customHeight="1">
      <c r="A42" s="204" t="s">
        <v>79</v>
      </c>
      <c r="B42" s="205" t="s">
        <v>80</v>
      </c>
      <c r="C42" s="204" t="s">
        <v>9</v>
      </c>
      <c r="D42" s="204" t="s">
        <v>81</v>
      </c>
      <c r="E42" s="206">
        <v>0</v>
      </c>
      <c r="F42" s="206">
        <v>0</v>
      </c>
    </row>
    <row r="43" spans="1:8" ht="18" customHeight="1">
      <c r="A43" s="204" t="s">
        <v>82</v>
      </c>
      <c r="B43" s="205" t="s">
        <v>83</v>
      </c>
      <c r="C43" s="204" t="s">
        <v>9</v>
      </c>
      <c r="D43" s="204">
        <v>30</v>
      </c>
      <c r="E43" s="206">
        <v>0</v>
      </c>
      <c r="F43" s="206">
        <v>0</v>
      </c>
    </row>
    <row r="44" spans="1:8" ht="18" customHeight="1">
      <c r="A44" s="204" t="s">
        <v>84</v>
      </c>
      <c r="B44" s="205" t="s">
        <v>85</v>
      </c>
      <c r="C44" s="204" t="s">
        <v>12</v>
      </c>
      <c r="D44" s="204" t="s">
        <v>81</v>
      </c>
      <c r="E44" s="206">
        <v>0</v>
      </c>
      <c r="F44" s="206">
        <v>0</v>
      </c>
    </row>
    <row r="45" spans="1:8" ht="18" customHeight="1">
      <c r="A45" s="204" t="s">
        <v>86</v>
      </c>
      <c r="B45" s="205" t="s">
        <v>87</v>
      </c>
      <c r="C45" s="204" t="s">
        <v>12</v>
      </c>
      <c r="D45" s="204">
        <v>30</v>
      </c>
      <c r="E45" s="206">
        <v>0</v>
      </c>
      <c r="F45" s="206">
        <v>0</v>
      </c>
    </row>
    <row r="46" spans="1:8" ht="18" customHeight="1">
      <c r="A46" s="215" t="s">
        <v>88</v>
      </c>
      <c r="B46" s="216" t="s">
        <v>89</v>
      </c>
      <c r="C46" s="215"/>
      <c r="D46" s="215"/>
      <c r="E46" s="217">
        <v>0</v>
      </c>
      <c r="F46" s="217">
        <v>0</v>
      </c>
    </row>
    <row r="47" spans="1:8" ht="18" customHeight="1">
      <c r="A47" s="204" t="s">
        <v>90</v>
      </c>
      <c r="B47" s="205" t="s">
        <v>91</v>
      </c>
      <c r="C47" s="204" t="s">
        <v>12</v>
      </c>
      <c r="D47" s="204">
        <v>30</v>
      </c>
      <c r="E47" s="206">
        <v>0</v>
      </c>
      <c r="F47" s="206">
        <v>0</v>
      </c>
    </row>
    <row r="48" spans="1:8" ht="18" customHeight="1">
      <c r="A48" s="204" t="s">
        <v>92</v>
      </c>
      <c r="B48" s="205" t="s">
        <v>93</v>
      </c>
      <c r="C48" s="204" t="s">
        <v>12</v>
      </c>
      <c r="D48" s="204"/>
      <c r="E48" s="206">
        <v>0</v>
      </c>
      <c r="F48" s="206">
        <v>0</v>
      </c>
    </row>
    <row r="49" spans="1:6" ht="18" customHeight="1">
      <c r="A49" s="209" t="s">
        <v>94</v>
      </c>
      <c r="B49" s="210" t="s">
        <v>95</v>
      </c>
      <c r="C49" s="209"/>
      <c r="D49" s="209"/>
      <c r="E49" s="211">
        <v>54064942</v>
      </c>
      <c r="F49" s="211">
        <v>-596724857</v>
      </c>
    </row>
    <row r="53" spans="1:6" ht="12.75" customHeight="1">
      <c r="B53" s="219"/>
      <c r="C53" s="219"/>
    </row>
    <row r="54" spans="1:6" ht="12.75" customHeight="1">
      <c r="B54" s="219"/>
      <c r="C54" s="219"/>
    </row>
    <row r="55" spans="1:6" ht="12.75" customHeight="1">
      <c r="B55" s="219"/>
      <c r="C55" s="219"/>
    </row>
    <row r="58" spans="1:6" ht="12.75" customHeight="1">
      <c r="B58" s="219"/>
      <c r="C58" s="219"/>
    </row>
    <row r="59" spans="1:6" ht="12.75" customHeight="1">
      <c r="B59" s="219"/>
      <c r="C59" s="219"/>
    </row>
    <row r="62" spans="1:6" ht="12.75" customHeight="1">
      <c r="E62" s="213"/>
      <c r="F62" s="213"/>
    </row>
    <row r="63" spans="1:6" ht="12.75" customHeight="1">
      <c r="E63" s="213"/>
      <c r="F63" s="213"/>
    </row>
    <row r="64" spans="1:6" ht="12.75" customHeight="1">
      <c r="E64" s="213"/>
      <c r="F64" s="213"/>
    </row>
    <row r="65" spans="5:6" ht="12.75" customHeight="1">
      <c r="E65" s="213"/>
      <c r="F65" s="213"/>
    </row>
    <row r="66" spans="5:6" ht="12.75" customHeight="1">
      <c r="E66" s="213"/>
      <c r="F66" s="213"/>
    </row>
    <row r="67" spans="5:6" ht="12.75" customHeight="1">
      <c r="E67" s="213"/>
      <c r="F67" s="213"/>
    </row>
    <row r="68" spans="5:6" ht="12.75" customHeight="1">
      <c r="E68" s="213"/>
      <c r="F68" s="213"/>
    </row>
    <row r="69" spans="5:6" ht="12.75" customHeight="1">
      <c r="E69" s="213"/>
      <c r="F69" s="213"/>
    </row>
    <row r="70" spans="5:6" ht="12.75" customHeight="1">
      <c r="E70" s="213"/>
      <c r="F70" s="213"/>
    </row>
    <row r="71" spans="5:6" ht="12.75" customHeight="1">
      <c r="E71" s="213"/>
      <c r="F71" s="213"/>
    </row>
    <row r="72" spans="5:6" ht="12.75" customHeight="1">
      <c r="E72" s="213"/>
      <c r="F72" s="213"/>
    </row>
    <row r="73" spans="5:6" ht="12.75" customHeight="1">
      <c r="E73" s="213"/>
      <c r="F73" s="213"/>
    </row>
    <row r="74" spans="5:6" ht="12.75" customHeight="1">
      <c r="E74" s="213"/>
      <c r="F74" s="213"/>
    </row>
    <row r="75" spans="5:6" ht="12.75" customHeight="1">
      <c r="E75" s="213"/>
      <c r="F75" s="213"/>
    </row>
    <row r="76" spans="5:6" ht="12.75" customHeight="1">
      <c r="E76" s="213"/>
      <c r="F76" s="213"/>
    </row>
    <row r="77" spans="5:6" ht="12.75" customHeight="1">
      <c r="E77" s="213"/>
      <c r="F77" s="213"/>
    </row>
    <row r="78" spans="5:6" ht="12.75" customHeight="1">
      <c r="E78" s="213"/>
      <c r="F78" s="213"/>
    </row>
    <row r="79" spans="5:6" ht="12.75" customHeight="1">
      <c r="E79" s="213"/>
      <c r="F79" s="213"/>
    </row>
    <row r="80" spans="5:6" ht="12.75" customHeight="1">
      <c r="E80" s="213"/>
      <c r="F80" s="213"/>
    </row>
    <row r="81" spans="5:6" ht="12.75" customHeight="1">
      <c r="E81" s="213"/>
      <c r="F81" s="213"/>
    </row>
    <row r="82" spans="5:6" ht="12.75" customHeight="1">
      <c r="E82" s="213"/>
      <c r="F82" s="213"/>
    </row>
    <row r="83" spans="5:6" ht="12.75" customHeight="1">
      <c r="E83" s="213"/>
      <c r="F83" s="213"/>
    </row>
    <row r="84" spans="5:6" ht="12.75" customHeight="1">
      <c r="E84" s="213"/>
      <c r="F84" s="213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DF2316EC-EE92-4C22-94B3-D84529FC5E69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85AC2463-24DD-4B88-9E0C-2B58B738DFA5}"/>
    <dataValidation allowBlank="1" showInputMessage="1" showErrorMessage="1" errorTitle="Erreur de saisie" error="La cellule ne peut prendre que du numérique." promptTitle="Information" prompt="Cette cellule ne peut prendre que du numérique," sqref="E8:F49" xr:uid="{1A5771E5-6033-4822-B183-CD82921D5D3D}"/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BDD3-251B-4386-9D0C-9BEC8447C000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5703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+'[21]Fiche de renseignement R1'!$V$10</f>
        <v>45657</v>
      </c>
      <c r="F3" s="73"/>
    </row>
    <row r="4" spans="1:6" s="1" customFormat="1" ht="15" customHeight="1">
      <c r="A4" s="73" t="s">
        <v>151</v>
      </c>
      <c r="B4" s="73"/>
      <c r="C4" s="73"/>
      <c r="D4" s="74" t="s">
        <v>2</v>
      </c>
      <c r="E4" s="75">
        <f>+'[21]Fiche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+'[21]Fiche de renseignement R1'!$J$10</f>
        <v>006873873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6" ht="18" customHeight="1">
      <c r="A11" s="16" t="s">
        <v>16</v>
      </c>
      <c r="B11" s="17" t="s">
        <v>17</v>
      </c>
      <c r="C11" s="16"/>
      <c r="D11" s="16"/>
      <c r="E11" s="221">
        <v>0</v>
      </c>
      <c r="F11" s="221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/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/>
      <c r="F14" s="13"/>
    </row>
    <row r="15" spans="1:6" ht="18" customHeight="1">
      <c r="A15" s="16" t="s">
        <v>24</v>
      </c>
      <c r="B15" s="17" t="s">
        <v>25</v>
      </c>
      <c r="C15" s="16"/>
      <c r="D15" s="16"/>
      <c r="E15" s="221">
        <v>0</v>
      </c>
      <c r="F15" s="221">
        <v>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0</v>
      </c>
      <c r="F19" s="13">
        <v>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3">
        <v>0</v>
      </c>
      <c r="F20" s="13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0</v>
      </c>
      <c r="F23" s="13">
        <v>0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/>
      <c r="F24" s="13"/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0</v>
      </c>
      <c r="F25" s="13">
        <v>0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0</v>
      </c>
      <c r="F26" s="13">
        <v>0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0</v>
      </c>
      <c r="F27" s="13">
        <v>0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0</v>
      </c>
      <c r="F28" s="13">
        <v>0</v>
      </c>
    </row>
    <row r="29" spans="1:6" ht="18" customHeight="1">
      <c r="A29" s="16" t="s">
        <v>52</v>
      </c>
      <c r="B29" s="17" t="s">
        <v>53</v>
      </c>
      <c r="C29" s="16"/>
      <c r="D29" s="16"/>
      <c r="E29" s="221">
        <v>0</v>
      </c>
      <c r="F29" s="221">
        <v>0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0</v>
      </c>
      <c r="F30" s="13">
        <v>0</v>
      </c>
    </row>
    <row r="31" spans="1:6" ht="18" customHeight="1">
      <c r="A31" s="16" t="s">
        <v>56</v>
      </c>
      <c r="B31" s="17" t="s">
        <v>57</v>
      </c>
      <c r="C31" s="16"/>
      <c r="D31" s="16"/>
      <c r="E31" s="221">
        <v>0</v>
      </c>
      <c r="F31" s="221">
        <v>0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0</v>
      </c>
      <c r="F32" s="13">
        <v>0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31">
        <v>0</v>
      </c>
      <c r="F33" s="31">
        <v>0</v>
      </c>
    </row>
    <row r="34" spans="1:6" ht="18" customHeight="1">
      <c r="A34" s="16" t="s">
        <v>63</v>
      </c>
      <c r="B34" s="17" t="s">
        <v>64</v>
      </c>
      <c r="C34" s="16"/>
      <c r="D34" s="16"/>
      <c r="E34" s="221">
        <v>0</v>
      </c>
      <c r="F34" s="221">
        <v>0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0</v>
      </c>
      <c r="F38" s="13">
        <v>0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221">
        <v>0</v>
      </c>
      <c r="F40" s="221">
        <v>0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0</v>
      </c>
      <c r="F41" s="24">
        <v>0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/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/>
      <c r="F46" s="24"/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0</v>
      </c>
      <c r="F48" s="13">
        <v>0</v>
      </c>
    </row>
    <row r="49" spans="1:6" ht="18" customHeight="1">
      <c r="A49" s="16" t="s">
        <v>94</v>
      </c>
      <c r="B49" s="17" t="s">
        <v>95</v>
      </c>
      <c r="C49" s="16"/>
      <c r="D49" s="16"/>
      <c r="E49" s="221">
        <v>0</v>
      </c>
      <c r="F49" s="221">
        <v>0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A8B6625-C5CF-4D9B-9714-6CF7E4F6361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0C217311-D3A9-4E3A-831A-351F92BB90EA}"/>
    <dataValidation allowBlank="1" showInputMessage="1" showErrorMessage="1" errorTitle="Erreur de saisie" error="La cellule ne peut prendre que du numérique." promptTitle="Information" prompt="Cette cellule ne peut prendre que du numérique," sqref="E8:F49" xr:uid="{2A25CACE-40B4-40C6-A6AA-A029BDD35803}"/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7702-4299-4166-9A96-7A5344C2AB8B}">
  <dimension ref="A1:F84"/>
  <sheetViews>
    <sheetView topLeftCell="B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+'[22]Fiche de renseignement R1'!$V$10</f>
        <v>45657</v>
      </c>
      <c r="F3" s="73"/>
    </row>
    <row r="4" spans="1:6" s="1" customFormat="1" ht="15" customHeight="1">
      <c r="A4" s="73" t="s">
        <v>152</v>
      </c>
      <c r="B4" s="73"/>
      <c r="C4" s="73"/>
      <c r="D4" s="74" t="s">
        <v>2</v>
      </c>
      <c r="E4" s="75">
        <f>+'[22]Fiche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+'[22]Fiche de renseignement R1'!$J$10</f>
        <v>007086665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6" ht="18" customHeight="1">
      <c r="A11" s="16" t="s">
        <v>16</v>
      </c>
      <c r="B11" s="17" t="s">
        <v>17</v>
      </c>
      <c r="C11" s="16"/>
      <c r="D11" s="16"/>
      <c r="E11" s="18"/>
      <c r="F11" s="18"/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340595160</v>
      </c>
      <c r="F12" s="13">
        <v>847818051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/>
      <c r="F13" s="13"/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/>
      <c r="F14" s="13"/>
    </row>
    <row r="15" spans="1:6" ht="18" customHeight="1">
      <c r="A15" s="16" t="s">
        <v>24</v>
      </c>
      <c r="B15" s="17" t="s">
        <v>25</v>
      </c>
      <c r="C15" s="16"/>
      <c r="D15" s="16"/>
      <c r="E15" s="18">
        <f>+E12</f>
        <v>340595160</v>
      </c>
      <c r="F15" s="18">
        <f>+F12</f>
        <v>847818051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/>
      <c r="F19" s="13"/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/>
      <c r="F21" s="13"/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/>
      <c r="F22" s="13"/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f>40913546+2000+772482+1201689+245119+96444220+21521630+4230835+16000+1000+24206064+21537364+608000</f>
        <v>211699949</v>
      </c>
      <c r="F23" s="13">
        <v>419837836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/>
      <c r="F24" s="13"/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f>431000+150000+1410500+48390+55584</f>
        <v>2095474</v>
      </c>
      <c r="F25" s="13">
        <v>15208253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f>16762200+950000+1923750+520850+45529+371694+8831000</f>
        <v>29405023</v>
      </c>
      <c r="F26" s="13">
        <v>179705740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f>2070000+1638303+10069410+350000+2960</f>
        <v>14130673</v>
      </c>
      <c r="F27" s="13">
        <v>69235931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/>
      <c r="F28" s="13"/>
    </row>
    <row r="29" spans="1:6" ht="18" customHeight="1">
      <c r="A29" s="16" t="s">
        <v>52</v>
      </c>
      <c r="B29" s="17" t="s">
        <v>53</v>
      </c>
      <c r="C29" s="16"/>
      <c r="D29" s="16"/>
      <c r="E29" s="18">
        <f>+E15-E23-E25-E26-E27</f>
        <v>83264041</v>
      </c>
      <c r="F29" s="18">
        <f>+F15-F23-F25-F26-F27</f>
        <v>163830291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f>102799644+11307492+5547593+16118868+1908000</f>
        <v>137681597</v>
      </c>
      <c r="F30" s="13">
        <v>121591737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f>+E29-E30</f>
        <v>-54417556</v>
      </c>
      <c r="F31" s="18">
        <f>+F29-F30</f>
        <v>42238554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/>
      <c r="F32" s="13"/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50036345</v>
      </c>
      <c r="F33" s="21">
        <v>69109665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f>+E31-E33</f>
        <v>-104453901</v>
      </c>
      <c r="F34" s="18">
        <f>+F31-F33</f>
        <v>-26871111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/>
      <c r="F35" s="13"/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/>
      <c r="F38" s="13"/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</row>
    <row r="40" spans="1:6" ht="18" customHeight="1">
      <c r="A40" s="16" t="s">
        <v>75</v>
      </c>
      <c r="B40" s="17" t="s">
        <v>76</v>
      </c>
      <c r="C40" s="16"/>
      <c r="D40" s="16"/>
      <c r="E40" s="18"/>
      <c r="F40" s="18"/>
    </row>
    <row r="41" spans="1:6" ht="18" customHeight="1">
      <c r="A41" s="22" t="s">
        <v>77</v>
      </c>
      <c r="B41" s="23" t="s">
        <v>78</v>
      </c>
      <c r="C41" s="22"/>
      <c r="D41" s="22"/>
      <c r="E41" s="24">
        <f>+E34</f>
        <v>-104453901</v>
      </c>
      <c r="F41" s="24">
        <f>+F34</f>
        <v>-26871111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/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</row>
    <row r="46" spans="1:6" ht="18" customHeight="1">
      <c r="A46" s="22" t="s">
        <v>88</v>
      </c>
      <c r="B46" s="23" t="s">
        <v>89</v>
      </c>
      <c r="C46" s="22"/>
      <c r="D46" s="22"/>
      <c r="E46" s="24"/>
      <c r="F46" s="24"/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/>
      <c r="F48" s="13">
        <v>4816559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f>+E41-E48</f>
        <v>-104453901</v>
      </c>
      <c r="F49" s="18">
        <f>+F41-F48</f>
        <v>-31687670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F097B247-18D3-447A-9715-BA37AE823F7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1C369A62-DB1D-4B6D-B1FE-ECF74D2A46BE}"/>
    <dataValidation allowBlank="1" showInputMessage="1" showErrorMessage="1" errorTitle="Erreur de saisie" error="La cellule ne peut prendre que du numérique." promptTitle="Information" prompt="Cette cellule ne peut prendre que du numérique," sqref="E8:F49" xr:uid="{A48C0298-8F8C-472E-A348-0EDD87360564}"/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900B-1716-46E2-83BD-571B1CE4592B}">
  <dimension ref="A1:F84"/>
  <sheetViews>
    <sheetView topLeftCell="C1" workbookViewId="0">
      <selection activeCell="E7" sqref="E7:F7"/>
    </sheetView>
  </sheetViews>
  <sheetFormatPr baseColWidth="10" defaultColWidth="11.42578125" defaultRowHeight="12.75"/>
  <cols>
    <col min="1" max="1" width="14.42578125" style="250" customWidth="1" collapsed="1"/>
    <col min="2" max="2" width="62.140625" style="235" bestFit="1" customWidth="1" collapsed="1"/>
    <col min="3" max="3" width="3.5703125" style="235" bestFit="1" customWidth="1" collapsed="1"/>
    <col min="4" max="4" width="14.140625" style="235" customWidth="1" collapsed="1"/>
    <col min="5" max="6" width="17.42578125" style="252" customWidth="1" collapsed="1"/>
    <col min="7" max="16384" width="11.42578125" style="235" collapsed="1"/>
  </cols>
  <sheetData>
    <row r="1" spans="1:6" s="223" customFormat="1" ht="24.6" customHeight="1">
      <c r="A1" s="222" t="s">
        <v>0</v>
      </c>
      <c r="B1" s="222"/>
      <c r="C1" s="222"/>
      <c r="D1" s="222"/>
      <c r="E1" s="222"/>
      <c r="F1" s="222"/>
    </row>
    <row r="2" spans="1:6" s="223" customFormat="1" ht="8.1" customHeight="1">
      <c r="C2" s="224"/>
    </row>
    <row r="3" spans="1:6" s="223" customFormat="1" ht="25.5" customHeight="1">
      <c r="A3" s="225" t="s">
        <v>96</v>
      </c>
      <c r="B3" s="225"/>
      <c r="C3" s="225"/>
      <c r="D3" s="223" t="s">
        <v>1</v>
      </c>
      <c r="E3" s="226">
        <f>+'[23]Fiche de renseignement R1'!$V$10</f>
        <v>45657</v>
      </c>
      <c r="F3" s="227"/>
    </row>
    <row r="4" spans="1:6" s="223" customFormat="1" ht="15" customHeight="1">
      <c r="A4" s="227" t="str">
        <f>'[23]Fiche de renseignement R1'!J4</f>
        <v>GOREE OFFSHORE ENGINEERING SENEGAL - SARL</v>
      </c>
      <c r="B4" s="227"/>
      <c r="C4" s="227"/>
      <c r="D4" s="228" t="s">
        <v>2</v>
      </c>
      <c r="E4" s="229">
        <f>+'[23]Fiche de renseignement R1'!$AH$10</f>
        <v>12</v>
      </c>
      <c r="F4" s="229"/>
    </row>
    <row r="5" spans="1:6" s="223" customFormat="1" ht="30.95" customHeight="1">
      <c r="A5" s="230" t="s">
        <v>3</v>
      </c>
      <c r="B5" s="231" t="str">
        <f>+'[23]Fiche de renseignement R1'!$J$10</f>
        <v>007626255</v>
      </c>
      <c r="C5" s="232"/>
      <c r="D5" s="228"/>
      <c r="E5" s="227"/>
      <c r="F5" s="227"/>
    </row>
    <row r="6" spans="1:6" s="223" customFormat="1" ht="8.1" customHeight="1">
      <c r="C6" s="224"/>
    </row>
    <row r="7" spans="1:6" ht="18" customHeight="1">
      <c r="A7" s="233" t="s">
        <v>4</v>
      </c>
      <c r="B7" s="234" t="s">
        <v>5</v>
      </c>
      <c r="C7" s="233"/>
      <c r="D7" s="233" t="s">
        <v>6</v>
      </c>
      <c r="E7" s="254">
        <v>2024</v>
      </c>
      <c r="F7" s="254">
        <v>2023</v>
      </c>
    </row>
    <row r="8" spans="1:6" ht="18" customHeight="1">
      <c r="A8" s="236" t="s">
        <v>7</v>
      </c>
      <c r="B8" s="237" t="s">
        <v>8</v>
      </c>
      <c r="C8" s="236" t="s">
        <v>9</v>
      </c>
      <c r="D8" s="236">
        <v>21</v>
      </c>
      <c r="E8" s="238">
        <v>122282761</v>
      </c>
      <c r="F8" s="238">
        <v>102906544</v>
      </c>
    </row>
    <row r="9" spans="1:6" ht="18" customHeight="1">
      <c r="A9" s="239" t="s">
        <v>10</v>
      </c>
      <c r="B9" s="240" t="s">
        <v>11</v>
      </c>
      <c r="C9" s="239" t="s">
        <v>12</v>
      </c>
      <c r="D9" s="239">
        <v>22</v>
      </c>
      <c r="E9" s="241">
        <v>0</v>
      </c>
      <c r="F9" s="241">
        <v>-5162700</v>
      </c>
    </row>
    <row r="10" spans="1:6" ht="18" customHeight="1">
      <c r="A10" s="239" t="s">
        <v>13</v>
      </c>
      <c r="B10" s="242" t="s">
        <v>98</v>
      </c>
      <c r="C10" s="243" t="s">
        <v>15</v>
      </c>
      <c r="D10" s="243">
        <v>6</v>
      </c>
      <c r="E10" s="241">
        <v>0</v>
      </c>
      <c r="F10" s="241">
        <v>0</v>
      </c>
    </row>
    <row r="11" spans="1:6" ht="18" customHeight="1">
      <c r="A11" s="244" t="s">
        <v>16</v>
      </c>
      <c r="B11" s="245" t="s">
        <v>17</v>
      </c>
      <c r="C11" s="244"/>
      <c r="D11" s="244"/>
      <c r="E11" s="246">
        <v>122282761</v>
      </c>
      <c r="F11" s="246">
        <v>97743844</v>
      </c>
    </row>
    <row r="12" spans="1:6" ht="18" customHeight="1">
      <c r="A12" s="239" t="s">
        <v>18</v>
      </c>
      <c r="B12" s="240" t="s">
        <v>19</v>
      </c>
      <c r="C12" s="239" t="s">
        <v>9</v>
      </c>
      <c r="D12" s="239">
        <v>21</v>
      </c>
      <c r="E12" s="241">
        <v>0</v>
      </c>
      <c r="F12" s="241">
        <v>0</v>
      </c>
    </row>
    <row r="13" spans="1:6" ht="18" customHeight="1">
      <c r="A13" s="239" t="s">
        <v>20</v>
      </c>
      <c r="B13" s="240" t="s">
        <v>21</v>
      </c>
      <c r="C13" s="239" t="s">
        <v>9</v>
      </c>
      <c r="D13" s="239">
        <v>21</v>
      </c>
      <c r="E13" s="241">
        <v>2649473131</v>
      </c>
      <c r="F13" s="241">
        <v>1216347228</v>
      </c>
    </row>
    <row r="14" spans="1:6" ht="18" customHeight="1">
      <c r="A14" s="239" t="s">
        <v>22</v>
      </c>
      <c r="B14" s="240" t="s">
        <v>23</v>
      </c>
      <c r="C14" s="239" t="s">
        <v>9</v>
      </c>
      <c r="D14" s="239">
        <v>21</v>
      </c>
      <c r="E14" s="241">
        <v>0</v>
      </c>
      <c r="F14" s="241">
        <v>0</v>
      </c>
    </row>
    <row r="15" spans="1:6" ht="18" customHeight="1">
      <c r="A15" s="244" t="s">
        <v>24</v>
      </c>
      <c r="B15" s="245" t="s">
        <v>25</v>
      </c>
      <c r="C15" s="244"/>
      <c r="D15" s="244"/>
      <c r="E15" s="246">
        <v>2771755892</v>
      </c>
      <c r="F15" s="246">
        <v>1319253772</v>
      </c>
    </row>
    <row r="16" spans="1:6" ht="18" customHeight="1">
      <c r="A16" s="239" t="s">
        <v>26</v>
      </c>
      <c r="B16" s="240" t="s">
        <v>27</v>
      </c>
      <c r="C16" s="243" t="s">
        <v>15</v>
      </c>
      <c r="D16" s="239">
        <v>6</v>
      </c>
      <c r="E16" s="241">
        <v>0</v>
      </c>
      <c r="F16" s="241">
        <v>0</v>
      </c>
    </row>
    <row r="17" spans="1:6" ht="18" customHeight="1">
      <c r="A17" s="239" t="s">
        <v>28</v>
      </c>
      <c r="B17" s="240" t="s">
        <v>29</v>
      </c>
      <c r="C17" s="239"/>
      <c r="D17" s="239">
        <v>21</v>
      </c>
      <c r="E17" s="241">
        <v>0</v>
      </c>
      <c r="F17" s="241">
        <v>0</v>
      </c>
    </row>
    <row r="18" spans="1:6" ht="18" customHeight="1">
      <c r="A18" s="239" t="s">
        <v>30</v>
      </c>
      <c r="B18" s="240" t="s">
        <v>31</v>
      </c>
      <c r="C18" s="239"/>
      <c r="D18" s="239">
        <v>21</v>
      </c>
      <c r="E18" s="241">
        <v>0</v>
      </c>
      <c r="F18" s="241">
        <v>0</v>
      </c>
    </row>
    <row r="19" spans="1:6" ht="18" customHeight="1">
      <c r="A19" s="239" t="s">
        <v>32</v>
      </c>
      <c r="B19" s="240" t="s">
        <v>33</v>
      </c>
      <c r="C19" s="239" t="s">
        <v>9</v>
      </c>
      <c r="D19" s="239">
        <v>21</v>
      </c>
      <c r="E19" s="241">
        <v>2371993</v>
      </c>
      <c r="F19" s="241">
        <v>0</v>
      </c>
    </row>
    <row r="20" spans="1:6" ht="18" customHeight="1">
      <c r="A20" s="239" t="s">
        <v>34</v>
      </c>
      <c r="B20" s="240" t="s">
        <v>99</v>
      </c>
      <c r="C20" s="239" t="s">
        <v>9</v>
      </c>
      <c r="D20" s="239">
        <v>12</v>
      </c>
      <c r="E20" s="241">
        <v>264702</v>
      </c>
      <c r="F20" s="241">
        <v>0</v>
      </c>
    </row>
    <row r="21" spans="1:6" ht="18" customHeight="1">
      <c r="A21" s="239" t="s">
        <v>36</v>
      </c>
      <c r="B21" s="240" t="s">
        <v>37</v>
      </c>
      <c r="C21" s="239" t="s">
        <v>12</v>
      </c>
      <c r="D21" s="239">
        <v>22</v>
      </c>
      <c r="E21" s="241">
        <v>0</v>
      </c>
      <c r="F21" s="241">
        <v>-90000</v>
      </c>
    </row>
    <row r="22" spans="1:6" ht="18" customHeight="1">
      <c r="A22" s="239" t="s">
        <v>38</v>
      </c>
      <c r="B22" s="242" t="s">
        <v>39</v>
      </c>
      <c r="C22" s="243" t="s">
        <v>15</v>
      </c>
      <c r="D22" s="239">
        <v>6</v>
      </c>
      <c r="E22" s="241">
        <v>0</v>
      </c>
      <c r="F22" s="241">
        <v>0</v>
      </c>
    </row>
    <row r="23" spans="1:6" ht="18" customHeight="1">
      <c r="A23" s="239" t="s">
        <v>40</v>
      </c>
      <c r="B23" s="240" t="s">
        <v>41</v>
      </c>
      <c r="C23" s="239" t="s">
        <v>12</v>
      </c>
      <c r="D23" s="239">
        <v>22</v>
      </c>
      <c r="E23" s="241">
        <v>-1496002456</v>
      </c>
      <c r="F23" s="241">
        <v>-856834876</v>
      </c>
    </row>
    <row r="24" spans="1:6" ht="18" customHeight="1">
      <c r="A24" s="239" t="s">
        <v>42</v>
      </c>
      <c r="B24" s="242" t="s">
        <v>43</v>
      </c>
      <c r="C24" s="243" t="s">
        <v>15</v>
      </c>
      <c r="D24" s="239">
        <v>6</v>
      </c>
      <c r="E24" s="241">
        <v>0</v>
      </c>
      <c r="F24" s="241">
        <v>0</v>
      </c>
    </row>
    <row r="25" spans="1:6" ht="18" customHeight="1">
      <c r="A25" s="239" t="s">
        <v>44</v>
      </c>
      <c r="B25" s="240" t="s">
        <v>45</v>
      </c>
      <c r="C25" s="239" t="s">
        <v>12</v>
      </c>
      <c r="D25" s="239">
        <v>23</v>
      </c>
      <c r="E25" s="241">
        <v>-209650333</v>
      </c>
      <c r="F25" s="241">
        <v>-74377538</v>
      </c>
    </row>
    <row r="26" spans="1:6" ht="18" customHeight="1">
      <c r="A26" s="239" t="s">
        <v>46</v>
      </c>
      <c r="B26" s="240" t="s">
        <v>47</v>
      </c>
      <c r="C26" s="239" t="s">
        <v>12</v>
      </c>
      <c r="D26" s="239">
        <v>24</v>
      </c>
      <c r="E26" s="241">
        <v>-248771271</v>
      </c>
      <c r="F26" s="241">
        <v>-134841230</v>
      </c>
    </row>
    <row r="27" spans="1:6" ht="18" customHeight="1">
      <c r="A27" s="239" t="s">
        <v>48</v>
      </c>
      <c r="B27" s="240" t="s">
        <v>49</v>
      </c>
      <c r="C27" s="239" t="s">
        <v>12</v>
      </c>
      <c r="D27" s="239">
        <v>25</v>
      </c>
      <c r="E27" s="241">
        <v>-122107914</v>
      </c>
      <c r="F27" s="241">
        <v>-39732721</v>
      </c>
    </row>
    <row r="28" spans="1:6" ht="18" customHeight="1">
      <c r="A28" s="239" t="s">
        <v>50</v>
      </c>
      <c r="B28" s="240" t="s">
        <v>51</v>
      </c>
      <c r="C28" s="239" t="s">
        <v>12</v>
      </c>
      <c r="D28" s="239">
        <v>26</v>
      </c>
      <c r="E28" s="241">
        <v>-18730412</v>
      </c>
      <c r="F28" s="241">
        <v>-8607889</v>
      </c>
    </row>
    <row r="29" spans="1:6" ht="18" customHeight="1">
      <c r="A29" s="244" t="s">
        <v>52</v>
      </c>
      <c r="B29" s="245" t="s">
        <v>53</v>
      </c>
      <c r="C29" s="244"/>
      <c r="D29" s="244"/>
      <c r="E29" s="246">
        <v>679130201</v>
      </c>
      <c r="F29" s="246">
        <v>199606818</v>
      </c>
    </row>
    <row r="30" spans="1:6" ht="18" customHeight="1">
      <c r="A30" s="239" t="s">
        <v>54</v>
      </c>
      <c r="B30" s="240" t="s">
        <v>55</v>
      </c>
      <c r="C30" s="239" t="s">
        <v>12</v>
      </c>
      <c r="D30" s="239">
        <v>27</v>
      </c>
      <c r="E30" s="241">
        <v>-179141804</v>
      </c>
      <c r="F30" s="241">
        <v>-103682009</v>
      </c>
    </row>
    <row r="31" spans="1:6" ht="18" customHeight="1">
      <c r="A31" s="244" t="s">
        <v>56</v>
      </c>
      <c r="B31" s="245" t="s">
        <v>57</v>
      </c>
      <c r="C31" s="244"/>
      <c r="D31" s="244"/>
      <c r="E31" s="246">
        <v>499988397</v>
      </c>
      <c r="F31" s="246">
        <v>95924809</v>
      </c>
    </row>
    <row r="32" spans="1:6" ht="18" customHeight="1">
      <c r="A32" s="239" t="s">
        <v>58</v>
      </c>
      <c r="B32" s="240" t="s">
        <v>100</v>
      </c>
      <c r="C32" s="239" t="s">
        <v>9</v>
      </c>
      <c r="D32" s="239">
        <v>28</v>
      </c>
      <c r="E32" s="241">
        <v>1782796</v>
      </c>
      <c r="F32" s="241">
        <v>810847</v>
      </c>
    </row>
    <row r="33" spans="1:6" ht="18" customHeight="1">
      <c r="A33" s="239" t="s">
        <v>60</v>
      </c>
      <c r="B33" s="240" t="s">
        <v>61</v>
      </c>
      <c r="C33" s="239" t="s">
        <v>12</v>
      </c>
      <c r="D33" s="239" t="s">
        <v>62</v>
      </c>
      <c r="E33" s="241">
        <v>-11840480</v>
      </c>
      <c r="F33" s="241">
        <v>-5866161</v>
      </c>
    </row>
    <row r="34" spans="1:6" ht="18" customHeight="1">
      <c r="A34" s="244" t="s">
        <v>63</v>
      </c>
      <c r="B34" s="245" t="s">
        <v>64</v>
      </c>
      <c r="C34" s="244"/>
      <c r="D34" s="244"/>
      <c r="E34" s="246">
        <v>489930713</v>
      </c>
      <c r="F34" s="246">
        <v>90869495</v>
      </c>
    </row>
    <row r="35" spans="1:6" ht="18" customHeight="1">
      <c r="A35" s="239" t="s">
        <v>65</v>
      </c>
      <c r="B35" s="240" t="s">
        <v>66</v>
      </c>
      <c r="C35" s="239" t="s">
        <v>9</v>
      </c>
      <c r="D35" s="239">
        <v>29</v>
      </c>
      <c r="E35" s="241">
        <v>0</v>
      </c>
      <c r="F35" s="241">
        <v>0</v>
      </c>
    </row>
    <row r="36" spans="1:6" ht="18" customHeight="1">
      <c r="A36" s="239" t="s">
        <v>67</v>
      </c>
      <c r="B36" s="240" t="s">
        <v>68</v>
      </c>
      <c r="C36" s="239" t="s">
        <v>9</v>
      </c>
      <c r="D36" s="239">
        <v>28</v>
      </c>
      <c r="E36" s="241">
        <v>0</v>
      </c>
      <c r="F36" s="241">
        <v>0</v>
      </c>
    </row>
    <row r="37" spans="1:6" ht="18" customHeight="1">
      <c r="A37" s="239" t="s">
        <v>69</v>
      </c>
      <c r="B37" s="240" t="s">
        <v>101</v>
      </c>
      <c r="C37" s="239" t="s">
        <v>9</v>
      </c>
      <c r="D37" s="239">
        <v>12</v>
      </c>
      <c r="E37" s="241">
        <v>0</v>
      </c>
      <c r="F37" s="241">
        <v>0</v>
      </c>
    </row>
    <row r="38" spans="1:6" ht="18" customHeight="1">
      <c r="A38" s="239" t="s">
        <v>71</v>
      </c>
      <c r="B38" s="240" t="s">
        <v>72</v>
      </c>
      <c r="C38" s="239" t="s">
        <v>12</v>
      </c>
      <c r="D38" s="239">
        <v>29</v>
      </c>
      <c r="E38" s="241">
        <v>0</v>
      </c>
      <c r="F38" s="241">
        <v>-55598</v>
      </c>
    </row>
    <row r="39" spans="1:6" ht="18" customHeight="1">
      <c r="A39" s="239" t="s">
        <v>73</v>
      </c>
      <c r="B39" s="240" t="s">
        <v>74</v>
      </c>
      <c r="C39" s="239" t="s">
        <v>12</v>
      </c>
      <c r="D39" s="239" t="s">
        <v>62</v>
      </c>
      <c r="E39" s="241">
        <v>0</v>
      </c>
      <c r="F39" s="241">
        <v>0</v>
      </c>
    </row>
    <row r="40" spans="1:6" ht="18" customHeight="1">
      <c r="A40" s="244" t="s">
        <v>75</v>
      </c>
      <c r="B40" s="245" t="s">
        <v>76</v>
      </c>
      <c r="C40" s="244"/>
      <c r="D40" s="244"/>
      <c r="E40" s="246">
        <v>0</v>
      </c>
      <c r="F40" s="246">
        <v>-55598</v>
      </c>
    </row>
    <row r="41" spans="1:6" ht="18" customHeight="1">
      <c r="A41" s="247" t="s">
        <v>77</v>
      </c>
      <c r="B41" s="248" t="s">
        <v>78</v>
      </c>
      <c r="C41" s="247"/>
      <c r="D41" s="247"/>
      <c r="E41" s="249">
        <v>489930713</v>
      </c>
      <c r="F41" s="249">
        <v>90813897</v>
      </c>
    </row>
    <row r="42" spans="1:6" ht="18" customHeight="1">
      <c r="A42" s="239" t="s">
        <v>79</v>
      </c>
      <c r="B42" s="240" t="s">
        <v>80</v>
      </c>
      <c r="C42" s="239" t="s">
        <v>9</v>
      </c>
      <c r="D42" s="239" t="s">
        <v>81</v>
      </c>
      <c r="E42" s="241">
        <v>0</v>
      </c>
      <c r="F42" s="241">
        <v>0</v>
      </c>
    </row>
    <row r="43" spans="1:6" ht="18" customHeight="1">
      <c r="A43" s="239" t="s">
        <v>82</v>
      </c>
      <c r="B43" s="240" t="s">
        <v>83</v>
      </c>
      <c r="C43" s="239" t="s">
        <v>9</v>
      </c>
      <c r="D43" s="239">
        <v>30</v>
      </c>
      <c r="E43" s="241">
        <v>0</v>
      </c>
      <c r="F43" s="241">
        <v>0</v>
      </c>
    </row>
    <row r="44" spans="1:6" ht="18" customHeight="1">
      <c r="A44" s="239" t="s">
        <v>84</v>
      </c>
      <c r="B44" s="240" t="s">
        <v>85</v>
      </c>
      <c r="C44" s="239" t="s">
        <v>12</v>
      </c>
      <c r="D44" s="239" t="s">
        <v>81</v>
      </c>
      <c r="E44" s="241">
        <v>0</v>
      </c>
      <c r="F44" s="241">
        <v>0</v>
      </c>
    </row>
    <row r="45" spans="1:6" ht="18" customHeight="1">
      <c r="A45" s="239" t="s">
        <v>86</v>
      </c>
      <c r="B45" s="240" t="s">
        <v>102</v>
      </c>
      <c r="C45" s="239" t="s">
        <v>12</v>
      </c>
      <c r="D45" s="239">
        <v>30</v>
      </c>
      <c r="E45" s="241">
        <v>0</v>
      </c>
      <c r="F45" s="241">
        <v>0</v>
      </c>
    </row>
    <row r="46" spans="1:6" ht="18" customHeight="1">
      <c r="A46" s="247" t="s">
        <v>88</v>
      </c>
      <c r="B46" s="248" t="s">
        <v>89</v>
      </c>
      <c r="C46" s="247"/>
      <c r="D46" s="247"/>
      <c r="E46" s="249">
        <v>0</v>
      </c>
      <c r="F46" s="249">
        <v>0</v>
      </c>
    </row>
    <row r="47" spans="1:6" ht="18" customHeight="1">
      <c r="A47" s="239" t="s">
        <v>90</v>
      </c>
      <c r="B47" s="240" t="s">
        <v>103</v>
      </c>
      <c r="C47" s="239" t="s">
        <v>12</v>
      </c>
      <c r="D47" s="239">
        <v>30</v>
      </c>
      <c r="E47" s="241">
        <v>0</v>
      </c>
      <c r="F47" s="241">
        <v>0</v>
      </c>
    </row>
    <row r="48" spans="1:6" ht="18" customHeight="1">
      <c r="A48" s="239" t="s">
        <v>92</v>
      </c>
      <c r="B48" s="240" t="s">
        <v>93</v>
      </c>
      <c r="C48" s="239" t="s">
        <v>12</v>
      </c>
      <c r="D48" s="239"/>
      <c r="E48" s="241">
        <v>-6386413</v>
      </c>
      <c r="F48" s="241">
        <v>-5000000</v>
      </c>
    </row>
    <row r="49" spans="1:6" ht="18" customHeight="1">
      <c r="A49" s="244" t="s">
        <v>94</v>
      </c>
      <c r="B49" s="245" t="s">
        <v>95</v>
      </c>
      <c r="C49" s="244"/>
      <c r="D49" s="244"/>
      <c r="E49" s="246">
        <v>483544300</v>
      </c>
      <c r="F49" s="246">
        <v>85813897</v>
      </c>
    </row>
    <row r="53" spans="1:6" ht="12.75" customHeight="1">
      <c r="B53" s="251"/>
      <c r="C53" s="251"/>
    </row>
    <row r="54" spans="1:6" ht="12.75" customHeight="1">
      <c r="B54" s="251"/>
      <c r="C54" s="251"/>
    </row>
    <row r="55" spans="1:6" ht="12.75" customHeight="1">
      <c r="B55" s="251"/>
      <c r="C55" s="251"/>
    </row>
    <row r="58" spans="1:6" ht="12.75" customHeight="1">
      <c r="B58" s="251"/>
      <c r="C58" s="251"/>
    </row>
    <row r="59" spans="1:6" ht="12.75" customHeight="1">
      <c r="B59" s="251"/>
      <c r="C59" s="251"/>
    </row>
    <row r="62" spans="1:6" ht="12.75" customHeight="1">
      <c r="E62" s="253"/>
      <c r="F62" s="253"/>
    </row>
    <row r="63" spans="1:6" ht="12.75" customHeight="1">
      <c r="E63" s="253"/>
      <c r="F63" s="253"/>
    </row>
    <row r="64" spans="1:6" ht="12.75" customHeight="1">
      <c r="E64" s="253"/>
      <c r="F64" s="253"/>
    </row>
    <row r="65" spans="5:6" ht="12.75" customHeight="1">
      <c r="E65" s="253"/>
      <c r="F65" s="253"/>
    </row>
    <row r="66" spans="5:6" ht="12.75" customHeight="1">
      <c r="E66" s="253"/>
      <c r="F66" s="253"/>
    </row>
    <row r="67" spans="5:6" ht="12.75" customHeight="1">
      <c r="E67" s="253"/>
      <c r="F67" s="253"/>
    </row>
    <row r="68" spans="5:6" ht="12.75" customHeight="1">
      <c r="E68" s="253"/>
      <c r="F68" s="253"/>
    </row>
    <row r="69" spans="5:6" ht="12.75" customHeight="1">
      <c r="E69" s="253"/>
      <c r="F69" s="253"/>
    </row>
    <row r="70" spans="5:6" ht="12.75" customHeight="1">
      <c r="E70" s="253"/>
      <c r="F70" s="253"/>
    </row>
    <row r="71" spans="5:6" ht="12.75" customHeight="1">
      <c r="E71" s="253"/>
      <c r="F71" s="253"/>
    </row>
    <row r="72" spans="5:6" ht="12.75" customHeight="1">
      <c r="E72" s="253"/>
      <c r="F72" s="253"/>
    </row>
    <row r="73" spans="5:6" ht="12.75" customHeight="1">
      <c r="E73" s="253"/>
      <c r="F73" s="253"/>
    </row>
    <row r="74" spans="5:6" ht="12.75" customHeight="1">
      <c r="E74" s="253"/>
      <c r="F74" s="253"/>
    </row>
    <row r="75" spans="5:6" ht="12.75" customHeight="1">
      <c r="E75" s="253"/>
      <c r="F75" s="253"/>
    </row>
    <row r="76" spans="5:6" ht="12.75" customHeight="1">
      <c r="E76" s="253"/>
      <c r="F76" s="253"/>
    </row>
    <row r="77" spans="5:6" ht="12.75" customHeight="1">
      <c r="E77" s="253"/>
      <c r="F77" s="253"/>
    </row>
    <row r="78" spans="5:6" ht="12.75" customHeight="1">
      <c r="E78" s="253"/>
      <c r="F78" s="253"/>
    </row>
    <row r="79" spans="5:6" ht="12.75" customHeight="1">
      <c r="E79" s="253"/>
      <c r="F79" s="253"/>
    </row>
    <row r="80" spans="5:6" ht="12.75" customHeight="1">
      <c r="E80" s="253"/>
      <c r="F80" s="253"/>
    </row>
    <row r="81" spans="5:6" ht="12.75" customHeight="1">
      <c r="E81" s="253"/>
      <c r="F81" s="253"/>
    </row>
    <row r="82" spans="5:6" ht="12.75" customHeight="1">
      <c r="E82" s="253"/>
      <c r="F82" s="253"/>
    </row>
    <row r="83" spans="5:6" ht="12.75" customHeight="1">
      <c r="E83" s="253"/>
      <c r="F83" s="253"/>
    </row>
    <row r="84" spans="5:6" ht="12.75" customHeight="1">
      <c r="E84" s="253"/>
      <c r="F84" s="253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48D10B5-B4AA-48BB-BF75-806052830D76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A6C1820-32A9-4711-8853-95E0A1BF5991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B8389753-5D3B-4C83-BDB4-C91050530181}"/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BA49-B2C7-4AEF-A1E5-304D323F242F}">
  <dimension ref="A1:F84"/>
  <sheetViews>
    <sheetView workbookViewId="0">
      <selection activeCell="B12" sqref="B12"/>
    </sheetView>
  </sheetViews>
  <sheetFormatPr baseColWidth="10" defaultColWidth="10.28515625" defaultRowHeight="12.75"/>
  <cols>
    <col min="1" max="1" width="14" style="26" customWidth="1" collapsed="1"/>
    <col min="2" max="2" width="56" style="27" bestFit="1" customWidth="1" collapsed="1"/>
    <col min="3" max="3" width="3.140625" style="27" bestFit="1" customWidth="1" collapsed="1"/>
    <col min="4" max="4" width="12.42578125" style="27" bestFit="1" customWidth="1" collapsed="1"/>
    <col min="5" max="5" width="17.28515625" style="28" bestFit="1" customWidth="1" collapsed="1"/>
    <col min="6" max="6" width="15.7109375" style="28" customWidth="1" collapsed="1"/>
    <col min="7" max="16384" width="10.28515625" style="27" collapsed="1"/>
  </cols>
  <sheetData>
    <row r="1" spans="1:6" ht="12.75" customHeight="1">
      <c r="A1" s="70" t="s">
        <v>0</v>
      </c>
      <c r="B1" s="70"/>
      <c r="C1" s="70"/>
      <c r="D1" s="70"/>
      <c r="E1" s="70"/>
      <c r="F1" s="70"/>
    </row>
    <row r="2" spans="1:6" ht="12.75" customHeight="1">
      <c r="A2" s="1"/>
      <c r="B2" s="1"/>
      <c r="C2" s="2"/>
      <c r="D2" s="1"/>
      <c r="E2" s="1"/>
      <c r="F2" s="1"/>
    </row>
    <row r="3" spans="1:6" ht="12.75" customHeight="1">
      <c r="A3" s="71" t="s">
        <v>96</v>
      </c>
      <c r="B3" s="71"/>
      <c r="C3" s="71"/>
      <c r="D3" s="1" t="s">
        <v>1</v>
      </c>
      <c r="E3" s="72">
        <v>45657</v>
      </c>
      <c r="F3" s="73"/>
    </row>
    <row r="4" spans="1:6" ht="12.75" customHeight="1">
      <c r="A4" s="73" t="s">
        <v>153</v>
      </c>
      <c r="B4" s="73"/>
      <c r="C4" s="73"/>
      <c r="D4" s="74" t="s">
        <v>2</v>
      </c>
      <c r="E4" s="75">
        <v>12</v>
      </c>
      <c r="F4" s="75"/>
    </row>
    <row r="5" spans="1:6" ht="23.45" customHeight="1">
      <c r="A5" s="4" t="s">
        <v>3</v>
      </c>
      <c r="B5" s="145" t="s">
        <v>154</v>
      </c>
      <c r="C5" s="76"/>
      <c r="D5" s="74"/>
      <c r="E5" s="73"/>
      <c r="F5" s="73"/>
    </row>
    <row r="6" spans="1:6" ht="12.75" customHeight="1">
      <c r="A6" s="1"/>
      <c r="B6" s="1"/>
      <c r="C6" s="2"/>
      <c r="D6" s="1"/>
      <c r="E6" s="1"/>
      <c r="F6" s="1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 t="s">
        <v>111</v>
      </c>
      <c r="F7" s="7" t="s">
        <v>112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255">
        <v>0</v>
      </c>
      <c r="F8" s="255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255">
        <v>0</v>
      </c>
      <c r="F9" s="255">
        <v>0</v>
      </c>
    </row>
    <row r="10" spans="1:6" ht="18" customHeight="1">
      <c r="A10" s="11" t="s">
        <v>13</v>
      </c>
      <c r="B10" s="14" t="s">
        <v>98</v>
      </c>
      <c r="C10" s="15" t="s">
        <v>15</v>
      </c>
      <c r="D10" s="15">
        <v>6</v>
      </c>
      <c r="E10" s="255">
        <v>0</v>
      </c>
      <c r="F10" s="255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255">
        <v>0</v>
      </c>
      <c r="F12" s="255">
        <v>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255">
        <v>1104514951</v>
      </c>
      <c r="F13" s="255">
        <v>708969422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255">
        <v>0</v>
      </c>
      <c r="F14" s="255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v>1104514951</v>
      </c>
      <c r="F15" s="18">
        <v>708969422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255">
        <v>0</v>
      </c>
      <c r="F16" s="255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255">
        <v>0</v>
      </c>
      <c r="F17" s="255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255">
        <v>0</v>
      </c>
      <c r="F18" s="255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255">
        <v>12113984</v>
      </c>
      <c r="F19" s="255">
        <v>0</v>
      </c>
    </row>
    <row r="20" spans="1:6" ht="18" customHeight="1">
      <c r="A20" s="56" t="s">
        <v>34</v>
      </c>
      <c r="B20" s="57" t="s">
        <v>99</v>
      </c>
      <c r="C20" s="56" t="s">
        <v>9</v>
      </c>
      <c r="D20" s="56">
        <v>12</v>
      </c>
      <c r="E20" s="255">
        <v>0</v>
      </c>
      <c r="F20" s="255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255">
        <v>0</v>
      </c>
      <c r="F21" s="255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255">
        <v>0</v>
      </c>
      <c r="F22" s="255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255">
        <v>-136213218</v>
      </c>
      <c r="F23" s="255">
        <v>-101853568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255">
        <v>286214433</v>
      </c>
      <c r="F24" s="255">
        <v>9156237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255">
        <v>-49116011</v>
      </c>
      <c r="F25" s="255">
        <v>-19484136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255">
        <v>-264350324</v>
      </c>
      <c r="F26" s="255">
        <v>-174569461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255">
        <v>-65156528</v>
      </c>
      <c r="F27" s="255">
        <v>1138747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255">
        <v>0</v>
      </c>
      <c r="F28" s="255">
        <v>0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888007287</v>
      </c>
      <c r="F29" s="18">
        <v>423357241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255">
        <v>-193533099</v>
      </c>
      <c r="F30" s="255">
        <v>-110932203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694474188</v>
      </c>
      <c r="F31" s="18">
        <v>312425038</v>
      </c>
    </row>
    <row r="32" spans="1:6" ht="18" customHeight="1">
      <c r="A32" s="11" t="s">
        <v>58</v>
      </c>
      <c r="B32" s="12" t="s">
        <v>100</v>
      </c>
      <c r="C32" s="11" t="s">
        <v>9</v>
      </c>
      <c r="D32" s="11">
        <v>28</v>
      </c>
      <c r="E32" s="255">
        <v>0</v>
      </c>
      <c r="F32" s="255">
        <v>0</v>
      </c>
    </row>
    <row r="33" spans="1:6" ht="18" customHeight="1">
      <c r="A33" s="56" t="s">
        <v>60</v>
      </c>
      <c r="B33" s="57" t="s">
        <v>61</v>
      </c>
      <c r="C33" s="56" t="s">
        <v>12</v>
      </c>
      <c r="D33" s="56" t="s">
        <v>62</v>
      </c>
      <c r="E33" s="255">
        <v>-29936605</v>
      </c>
      <c r="F33" s="255">
        <v>-64128397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v>664537583</v>
      </c>
      <c r="F34" s="18">
        <v>248296641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255">
        <v>927360</v>
      </c>
      <c r="F35" s="255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255">
        <v>0</v>
      </c>
      <c r="F36" s="255">
        <v>0</v>
      </c>
    </row>
    <row r="37" spans="1:6" ht="18" customHeight="1">
      <c r="A37" s="11" t="s">
        <v>69</v>
      </c>
      <c r="B37" s="12" t="s">
        <v>101</v>
      </c>
      <c r="C37" s="11" t="s">
        <v>9</v>
      </c>
      <c r="D37" s="11">
        <v>12</v>
      </c>
      <c r="E37" s="255">
        <v>0</v>
      </c>
      <c r="F37" s="255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255">
        <v>-1549381</v>
      </c>
      <c r="F38" s="255">
        <v>0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255">
        <v>0</v>
      </c>
      <c r="F39" s="255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18">
        <v>-622021</v>
      </c>
      <c r="F40" s="18">
        <v>0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663915562</v>
      </c>
      <c r="F41" s="24">
        <v>248296641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255">
        <v>0</v>
      </c>
      <c r="F42" s="255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255">
        <v>0</v>
      </c>
      <c r="F43" s="255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255">
        <v>0</v>
      </c>
      <c r="F44" s="255">
        <v>0</v>
      </c>
    </row>
    <row r="45" spans="1:6" ht="18" customHeight="1">
      <c r="A45" s="11" t="s">
        <v>86</v>
      </c>
      <c r="B45" s="12" t="s">
        <v>102</v>
      </c>
      <c r="C45" s="11" t="s">
        <v>12</v>
      </c>
      <c r="D45" s="11">
        <v>30</v>
      </c>
      <c r="E45" s="255">
        <v>0</v>
      </c>
      <c r="F45" s="255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</row>
    <row r="47" spans="1:6" ht="18" customHeight="1">
      <c r="A47" s="11" t="s">
        <v>90</v>
      </c>
      <c r="B47" s="12" t="s">
        <v>103</v>
      </c>
      <c r="C47" s="11" t="s">
        <v>12</v>
      </c>
      <c r="D47" s="11">
        <v>30</v>
      </c>
      <c r="E47" s="255">
        <v>0</v>
      </c>
      <c r="F47" s="255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255">
        <v>-200308110</v>
      </c>
      <c r="F48" s="255">
        <v>-38778510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463607452</v>
      </c>
      <c r="F49" s="18">
        <v>209518131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." sqref="D1:F6" xr:uid="{7461E86F-E657-466C-99EA-2C39420643BE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712FACBA-3D0F-4FD2-A32F-D89C041B69A9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E8:F49" xr:uid="{689A9F0F-875E-4AEA-9C84-FBD5A299F2D6}"/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844D-7DFC-423A-84F1-F0878AB3BDC2}">
  <dimension ref="A1:F84"/>
  <sheetViews>
    <sheetView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+'[24]Fiche de renseignement R1'!$V$10</f>
        <v>45657</v>
      </c>
      <c r="F3" s="73"/>
    </row>
    <row r="4" spans="1:6" s="1" customFormat="1" ht="15" customHeight="1">
      <c r="A4" s="73" t="str">
        <f>'[24]Fiche de renseignement R1'!$J$4</f>
        <v>CHEMTRA SARL</v>
      </c>
      <c r="B4" s="73"/>
      <c r="C4" s="73"/>
      <c r="D4" s="74" t="s">
        <v>2</v>
      </c>
      <c r="E4" s="75">
        <f>+'[24]Fiche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+'[24]Fiche de renseignement R1'!$J$10</f>
        <v>008114233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256">
        <v>2024</v>
      </c>
      <c r="F7" s="25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258">
        <v>186884984</v>
      </c>
      <c r="F8" s="259">
        <v>92039000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260">
        <v>-178965285</v>
      </c>
      <c r="F9" s="261">
        <v>-74006698</v>
      </c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260">
        <v>47871226</v>
      </c>
      <c r="F10" s="261">
        <v>1634351</v>
      </c>
    </row>
    <row r="11" spans="1:6" ht="18" customHeight="1">
      <c r="A11" s="16" t="s">
        <v>16</v>
      </c>
      <c r="B11" s="17" t="s">
        <v>17</v>
      </c>
      <c r="C11" s="16"/>
      <c r="D11" s="16"/>
      <c r="E11" s="262">
        <v>55790925</v>
      </c>
      <c r="F11" s="263">
        <v>19666653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260">
        <v>0</v>
      </c>
      <c r="F12" s="261">
        <v>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264">
        <v>0</v>
      </c>
      <c r="F13" s="265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264">
        <v>0</v>
      </c>
      <c r="F14" s="265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266">
        <v>186884984</v>
      </c>
      <c r="F15" s="267">
        <v>92039000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264">
        <v>0</v>
      </c>
      <c r="F16" s="265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264">
        <v>0</v>
      </c>
      <c r="F17" s="265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264">
        <v>0</v>
      </c>
      <c r="F18" s="265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264">
        <v>33401</v>
      </c>
      <c r="F19" s="265">
        <v>21182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64">
        <v>0</v>
      </c>
      <c r="F20" s="265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264">
        <v>0</v>
      </c>
      <c r="F21" s="265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264">
        <v>0</v>
      </c>
      <c r="F22" s="265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264">
        <v>-36180139</v>
      </c>
      <c r="F23" s="265">
        <v>-17501676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264">
        <v>0</v>
      </c>
      <c r="F24" s="265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264">
        <v>-4396702</v>
      </c>
      <c r="F25" s="265">
        <v>-2296235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264">
        <v>-43178329</v>
      </c>
      <c r="F26" s="265">
        <v>-20171084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264">
        <v>-4940764</v>
      </c>
      <c r="F27" s="265">
        <v>-2043894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264">
        <v>-958846</v>
      </c>
      <c r="F28" s="265">
        <v>-3633506</v>
      </c>
    </row>
    <row r="29" spans="1:6" ht="18" customHeight="1">
      <c r="A29" s="16" t="s">
        <v>52</v>
      </c>
      <c r="B29" s="17" t="s">
        <v>53</v>
      </c>
      <c r="C29" s="16"/>
      <c r="D29" s="16"/>
      <c r="E29" s="266">
        <v>-33830454</v>
      </c>
      <c r="F29" s="267">
        <v>-25958560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258">
        <v>-73463797</v>
      </c>
      <c r="F30" s="259">
        <v>-24681303</v>
      </c>
    </row>
    <row r="31" spans="1:6" ht="18" customHeight="1">
      <c r="A31" s="16" t="s">
        <v>56</v>
      </c>
      <c r="B31" s="17" t="s">
        <v>57</v>
      </c>
      <c r="C31" s="16"/>
      <c r="D31" s="16">
        <v>28</v>
      </c>
      <c r="E31" s="266">
        <v>-107294251</v>
      </c>
      <c r="F31" s="267">
        <v>-50639863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258">
        <v>0</v>
      </c>
      <c r="F32" s="259">
        <v>0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155</v>
      </c>
      <c r="E33" s="258">
        <v>-10820250</v>
      </c>
      <c r="F33" s="259">
        <v>-3254112</v>
      </c>
    </row>
    <row r="34" spans="1:6" ht="18" customHeight="1">
      <c r="A34" s="16" t="s">
        <v>63</v>
      </c>
      <c r="B34" s="17" t="s">
        <v>64</v>
      </c>
      <c r="C34" s="16"/>
      <c r="D34" s="16"/>
      <c r="E34" s="266">
        <v>-118114501</v>
      </c>
      <c r="F34" s="267">
        <v>-53893975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264">
        <v>0</v>
      </c>
      <c r="F35" s="265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264">
        <v>411109</v>
      </c>
      <c r="F36" s="265">
        <v>0</v>
      </c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264">
        <v>0</v>
      </c>
      <c r="F37" s="265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264">
        <v>0</v>
      </c>
      <c r="F38" s="265">
        <v>0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155</v>
      </c>
      <c r="E39" s="264">
        <v>-1468560</v>
      </c>
      <c r="F39" s="265">
        <v>-379033</v>
      </c>
    </row>
    <row r="40" spans="1:6" ht="18" customHeight="1">
      <c r="A40" s="16" t="s">
        <v>75</v>
      </c>
      <c r="B40" s="17" t="s">
        <v>76</v>
      </c>
      <c r="C40" s="16"/>
      <c r="D40" s="16"/>
      <c r="E40" s="266">
        <v>-1057451</v>
      </c>
      <c r="F40" s="267">
        <v>-379033</v>
      </c>
    </row>
    <row r="41" spans="1:6" ht="18" customHeight="1">
      <c r="A41" s="22" t="s">
        <v>77</v>
      </c>
      <c r="B41" s="23" t="s">
        <v>78</v>
      </c>
      <c r="C41" s="22"/>
      <c r="D41" s="22"/>
      <c r="E41" s="268">
        <v>-119171952</v>
      </c>
      <c r="F41" s="269">
        <v>-54273008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264">
        <v>0</v>
      </c>
      <c r="F42" s="265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264">
        <v>0</v>
      </c>
      <c r="F43" s="265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264">
        <v>0</v>
      </c>
      <c r="F44" s="265">
        <v>0</v>
      </c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264">
        <v>0</v>
      </c>
      <c r="F45" s="265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68">
        <v>0</v>
      </c>
      <c r="F46" s="269"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264">
        <v>0</v>
      </c>
      <c r="F47" s="265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264">
        <v>-934425</v>
      </c>
      <c r="F48" s="265">
        <v>0</v>
      </c>
    </row>
    <row r="49" spans="1:6" ht="18" customHeight="1">
      <c r="A49" s="16" t="s">
        <v>94</v>
      </c>
      <c r="B49" s="17" t="s">
        <v>95</v>
      </c>
      <c r="C49" s="16"/>
      <c r="D49" s="16"/>
      <c r="E49" s="266">
        <v>-120106377</v>
      </c>
      <c r="F49" s="267">
        <v>-54273008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F3ADB12B-4AD5-435C-B81D-B63453F48477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A49CFE0D-C9D0-4F54-9D21-BA8705FD9084}"/>
    <dataValidation allowBlank="1" showInputMessage="1" showErrorMessage="1" errorTitle="Erreur de saisie" error="La cellule ne peut prendre que du numérique." promptTitle="Information" prompt="Cette cellule ne peut prendre que du numérique," sqref="E8:F49" xr:uid="{1CE0110F-C190-4841-AAE0-F76CE0B63FCB}"/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BA84-77C6-4CBE-9146-75DAC55F731F}">
  <dimension ref="A1:F84"/>
  <sheetViews>
    <sheetView topLeftCell="B1" workbookViewId="0">
      <selection activeCell="G7" sqref="G7"/>
    </sheetView>
  </sheetViews>
  <sheetFormatPr baseColWidth="10" defaultColWidth="10.28515625" defaultRowHeight="12.75"/>
  <cols>
    <col min="1" max="1" width="4.140625" style="26" customWidth="1" collapsed="1"/>
    <col min="2" max="2" width="56" style="27" bestFit="1" customWidth="1" collapsed="1"/>
    <col min="3" max="3" width="3.140625" style="27" bestFit="1" customWidth="1" collapsed="1"/>
    <col min="4" max="4" width="8.28515625" style="27" bestFit="1" customWidth="1" collapsed="1"/>
    <col min="5" max="6" width="14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v>45657</v>
      </c>
      <c r="F3" s="73"/>
    </row>
    <row r="4" spans="1:6" s="1" customFormat="1" ht="15" customHeight="1">
      <c r="A4" s="73" t="s">
        <v>156</v>
      </c>
      <c r="B4" s="73"/>
      <c r="C4" s="73"/>
      <c r="D4" s="74" t="s">
        <v>2</v>
      </c>
      <c r="E4" s="270">
        <v>12</v>
      </c>
      <c r="F4" s="75"/>
    </row>
    <row r="5" spans="1:6" s="1" customFormat="1" ht="30.95" customHeight="1">
      <c r="A5" s="4" t="s">
        <v>3</v>
      </c>
      <c r="B5" s="76">
        <v>8553796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271">
        <v>0</v>
      </c>
      <c r="F8" s="271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271">
        <v>0</v>
      </c>
      <c r="F9" s="272">
        <v>-1233069</v>
      </c>
    </row>
    <row r="10" spans="1:6" ht="18" customHeight="1">
      <c r="A10" s="11" t="s">
        <v>13</v>
      </c>
      <c r="B10" s="14" t="s">
        <v>98</v>
      </c>
      <c r="C10" s="15" t="s">
        <v>15</v>
      </c>
      <c r="D10" s="15">
        <v>6</v>
      </c>
      <c r="E10" s="271">
        <v>0</v>
      </c>
      <c r="F10" s="271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273">
        <v>0</v>
      </c>
      <c r="F11" s="274">
        <v>-1233069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275">
        <v>1278114850</v>
      </c>
      <c r="F12" s="275">
        <v>951628380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275">
        <v>0</v>
      </c>
      <c r="F13" s="275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275">
        <v>0</v>
      </c>
      <c r="F14" s="275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274">
        <v>1278114850</v>
      </c>
      <c r="F15" s="274">
        <v>951628380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275">
        <v>0</v>
      </c>
      <c r="F16" s="275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275">
        <v>0</v>
      </c>
      <c r="F17" s="275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275">
        <v>0</v>
      </c>
      <c r="F18" s="275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275">
        <v>0</v>
      </c>
      <c r="F19" s="275">
        <v>0</v>
      </c>
    </row>
    <row r="20" spans="1:6" ht="18" customHeight="1">
      <c r="A20" s="56" t="s">
        <v>34</v>
      </c>
      <c r="B20" s="57" t="s">
        <v>99</v>
      </c>
      <c r="C20" s="56" t="s">
        <v>9</v>
      </c>
      <c r="D20" s="56">
        <v>12</v>
      </c>
      <c r="E20" s="276">
        <v>0</v>
      </c>
      <c r="F20" s="276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275">
        <v>0</v>
      </c>
      <c r="F21" s="275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275">
        <v>0</v>
      </c>
      <c r="F22" s="275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277">
        <v>-632882454</v>
      </c>
      <c r="F23" s="277">
        <v>-636626568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277">
        <v>0</v>
      </c>
      <c r="F24" s="277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277">
        <v>0</v>
      </c>
      <c r="F25" s="277">
        <v>-2220667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275">
        <v>-474224366</v>
      </c>
      <c r="F26" s="275">
        <v>-366217240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275">
        <v>-28783089</v>
      </c>
      <c r="F27" s="275">
        <v>-21338186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278">
        <v>-42143110</v>
      </c>
      <c r="F28" s="278">
        <v>-722000</v>
      </c>
    </row>
    <row r="29" spans="1:6" ht="18" customHeight="1">
      <c r="A29" s="16" t="s">
        <v>52</v>
      </c>
      <c r="B29" s="17" t="s">
        <v>53</v>
      </c>
      <c r="C29" s="16"/>
      <c r="D29" s="16"/>
      <c r="E29" s="279">
        <v>100081831</v>
      </c>
      <c r="F29" s="279">
        <v>-76729350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280">
        <v>-54643594</v>
      </c>
      <c r="F30" s="280">
        <v>-34589833</v>
      </c>
    </row>
    <row r="31" spans="1:6" ht="18" customHeight="1">
      <c r="A31" s="16" t="s">
        <v>56</v>
      </c>
      <c r="B31" s="17" t="s">
        <v>57</v>
      </c>
      <c r="C31" s="16"/>
      <c r="D31" s="16"/>
      <c r="E31" s="279">
        <v>45438237</v>
      </c>
      <c r="F31" s="279">
        <v>-111319183</v>
      </c>
    </row>
    <row r="32" spans="1:6" ht="18" customHeight="1">
      <c r="A32" s="11" t="s">
        <v>58</v>
      </c>
      <c r="B32" s="12" t="s">
        <v>100</v>
      </c>
      <c r="C32" s="11" t="s">
        <v>9</v>
      </c>
      <c r="D32" s="11">
        <v>28</v>
      </c>
      <c r="E32" s="271">
        <v>0</v>
      </c>
      <c r="F32" s="271">
        <v>0</v>
      </c>
    </row>
    <row r="33" spans="1:6" ht="18" customHeight="1">
      <c r="A33" s="56" t="s">
        <v>60</v>
      </c>
      <c r="B33" s="57" t="s">
        <v>61</v>
      </c>
      <c r="C33" s="56" t="s">
        <v>12</v>
      </c>
      <c r="D33" s="56" t="s">
        <v>62</v>
      </c>
      <c r="E33" s="281">
        <v>-36826279</v>
      </c>
      <c r="F33" s="281">
        <v>-24859988</v>
      </c>
    </row>
    <row r="34" spans="1:6" ht="18" customHeight="1">
      <c r="A34" s="16" t="s">
        <v>63</v>
      </c>
      <c r="B34" s="17" t="s">
        <v>64</v>
      </c>
      <c r="C34" s="16"/>
      <c r="D34" s="16"/>
      <c r="E34" s="279">
        <v>8611958</v>
      </c>
      <c r="F34" s="279">
        <v>-136179171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282">
        <v>0</v>
      </c>
      <c r="F35" s="282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282">
        <v>0</v>
      </c>
      <c r="F36" s="282">
        <v>0</v>
      </c>
    </row>
    <row r="37" spans="1:6" ht="18" customHeight="1">
      <c r="A37" s="11" t="s">
        <v>69</v>
      </c>
      <c r="B37" s="12" t="s">
        <v>157</v>
      </c>
      <c r="C37" s="11" t="s">
        <v>9</v>
      </c>
      <c r="D37" s="11">
        <v>12</v>
      </c>
      <c r="E37" s="282">
        <v>0</v>
      </c>
      <c r="F37" s="282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275">
        <v>-797931</v>
      </c>
      <c r="F38" s="283">
        <v>-195084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282">
        <v>0</v>
      </c>
      <c r="F39" s="282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279">
        <v>-797931</v>
      </c>
      <c r="F40" s="279">
        <v>-195084</v>
      </c>
    </row>
    <row r="41" spans="1:6" ht="18" customHeight="1">
      <c r="A41" s="22" t="s">
        <v>77</v>
      </c>
      <c r="B41" s="23" t="s">
        <v>78</v>
      </c>
      <c r="C41" s="22"/>
      <c r="D41" s="22"/>
      <c r="E41" s="284">
        <v>7814027</v>
      </c>
      <c r="F41" s="284">
        <v>-136374255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275">
        <v>0</v>
      </c>
      <c r="F42" s="275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275">
        <v>0</v>
      </c>
      <c r="F43" s="275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275">
        <v>0</v>
      </c>
      <c r="F44" s="275">
        <v>0</v>
      </c>
    </row>
    <row r="45" spans="1:6" ht="18" customHeight="1">
      <c r="A45" s="11" t="s">
        <v>86</v>
      </c>
      <c r="B45" s="12" t="s">
        <v>102</v>
      </c>
      <c r="C45" s="11" t="s">
        <v>12</v>
      </c>
      <c r="D45" s="11">
        <v>30</v>
      </c>
      <c r="E45" s="275">
        <v>0</v>
      </c>
      <c r="F45" s="275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85">
        <v>0</v>
      </c>
      <c r="F46" s="285">
        <v>0</v>
      </c>
    </row>
    <row r="47" spans="1:6" ht="18" customHeight="1">
      <c r="A47" s="11" t="s">
        <v>90</v>
      </c>
      <c r="B47" s="12" t="s">
        <v>103</v>
      </c>
      <c r="C47" s="11" t="s">
        <v>12</v>
      </c>
      <c r="D47" s="11">
        <v>30</v>
      </c>
      <c r="E47" s="275">
        <v>0</v>
      </c>
      <c r="F47" s="275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280">
        <v>-2344208</v>
      </c>
      <c r="F48" s="280">
        <v>-4758142</v>
      </c>
    </row>
    <row r="49" spans="1:6" ht="18" customHeight="1">
      <c r="A49" s="286" t="s">
        <v>94</v>
      </c>
      <c r="B49" s="17" t="s">
        <v>95</v>
      </c>
      <c r="C49" s="16"/>
      <c r="D49" s="16"/>
      <c r="E49" s="287">
        <v>5469819</v>
      </c>
      <c r="F49" s="287">
        <v>-141132397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conditionalFormatting sqref="F42">
    <cfRule type="expression" dxfId="26" priority="27">
      <formula>#REF!=1</formula>
    </cfRule>
  </conditionalFormatting>
  <conditionalFormatting sqref="F43">
    <cfRule type="expression" dxfId="25" priority="26">
      <formula>#REF!=1</formula>
    </cfRule>
  </conditionalFormatting>
  <conditionalFormatting sqref="F44">
    <cfRule type="expression" dxfId="24" priority="25">
      <formula>#REF!=1</formula>
    </cfRule>
  </conditionalFormatting>
  <conditionalFormatting sqref="F45">
    <cfRule type="expression" dxfId="23" priority="24">
      <formula>#REF!=1</formula>
    </cfRule>
  </conditionalFormatting>
  <conditionalFormatting sqref="F46">
    <cfRule type="expression" dxfId="22" priority="23">
      <formula>#REF!=1</formula>
    </cfRule>
  </conditionalFormatting>
  <conditionalFormatting sqref="F47">
    <cfRule type="expression" dxfId="21" priority="22">
      <formula>#REF!=1</formula>
    </cfRule>
  </conditionalFormatting>
  <conditionalFormatting sqref="F48">
    <cfRule type="expression" dxfId="20" priority="21">
      <formula>#REF!=1</formula>
    </cfRule>
  </conditionalFormatting>
  <conditionalFormatting sqref="F49">
    <cfRule type="expression" dxfId="19" priority="20">
      <formula>#REF!=1</formula>
    </cfRule>
  </conditionalFormatting>
  <conditionalFormatting sqref="F40">
    <cfRule type="expression" dxfId="18" priority="19">
      <formula>#REF!=1</formula>
    </cfRule>
  </conditionalFormatting>
  <conditionalFormatting sqref="F38">
    <cfRule type="expression" dxfId="17" priority="18">
      <formula>#REF!=1</formula>
    </cfRule>
  </conditionalFormatting>
  <conditionalFormatting sqref="F41">
    <cfRule type="expression" dxfId="16" priority="17">
      <formula>#REF!=1</formula>
    </cfRule>
  </conditionalFormatting>
  <conditionalFormatting sqref="F34">
    <cfRule type="expression" dxfId="15" priority="16">
      <formula>#REF!=1</formula>
    </cfRule>
  </conditionalFormatting>
  <conditionalFormatting sqref="F33">
    <cfRule type="expression" dxfId="14" priority="15">
      <formula>#REF!=1</formula>
    </cfRule>
  </conditionalFormatting>
  <conditionalFormatting sqref="F31">
    <cfRule type="expression" dxfId="13" priority="14">
      <formula>#REF!=1</formula>
    </cfRule>
  </conditionalFormatting>
  <conditionalFormatting sqref="F30">
    <cfRule type="expression" dxfId="12" priority="13">
      <formula>#REF!=1</formula>
    </cfRule>
  </conditionalFormatting>
  <conditionalFormatting sqref="F29">
    <cfRule type="expression" dxfId="11" priority="12">
      <formula>#REF!=1</formula>
    </cfRule>
  </conditionalFormatting>
  <conditionalFormatting sqref="F28">
    <cfRule type="expression" dxfId="10" priority="11">
      <formula>#REF!=1</formula>
    </cfRule>
  </conditionalFormatting>
  <conditionalFormatting sqref="F27">
    <cfRule type="expression" dxfId="9" priority="10">
      <formula>#REF!=1</formula>
    </cfRule>
  </conditionalFormatting>
  <conditionalFormatting sqref="F26">
    <cfRule type="expression" dxfId="8" priority="9">
      <formula>#REF!=1</formula>
    </cfRule>
  </conditionalFormatting>
  <conditionalFormatting sqref="F25">
    <cfRule type="expression" dxfId="7" priority="8">
      <formula>#REF!=1</formula>
    </cfRule>
  </conditionalFormatting>
  <conditionalFormatting sqref="F23">
    <cfRule type="expression" dxfId="6" priority="7">
      <formula>#REF!=1</formula>
    </cfRule>
  </conditionalFormatting>
  <conditionalFormatting sqref="F15">
    <cfRule type="expression" dxfId="5" priority="6">
      <formula>#REF!=1</formula>
    </cfRule>
  </conditionalFormatting>
  <conditionalFormatting sqref="F14">
    <cfRule type="expression" dxfId="4" priority="5">
      <formula>#REF!=1</formula>
    </cfRule>
  </conditionalFormatting>
  <conditionalFormatting sqref="F13">
    <cfRule type="expression" dxfId="3" priority="4">
      <formula>#REF!=1</formula>
    </cfRule>
  </conditionalFormatting>
  <conditionalFormatting sqref="F12">
    <cfRule type="expression" dxfId="2" priority="3">
      <formula>#REF!=1</formula>
    </cfRule>
  </conditionalFormatting>
  <conditionalFormatting sqref="F11">
    <cfRule type="expression" dxfId="1" priority="2">
      <formula>#REF!=1</formula>
    </cfRule>
  </conditionalFormatting>
  <conditionalFormatting sqref="F9">
    <cfRule type="expression" dxfId="0" priority="1">
      <formula>#REF!=1</formula>
    </cfRule>
  </conditionalFormatting>
  <dataValidations count="3">
    <dataValidation allowBlank="1" showInputMessage="1" showErrorMessage="1" errorTitle="Erreur de saisie" error="La cellule ne peut prendre que du numérique." promptTitle="Information" prompt="Cette cellule ne peut prendre que du numérique." sqref="D1:F6" xr:uid="{0F70BFB8-1B91-4938-99E9-C379D29A0331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1BF262E7-FED0-4ED3-BA3E-535E26226B1D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E8:F49" xr:uid="{B570D026-A81D-4A1B-814A-DA8622539C50}"/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7CD9-088A-4655-B0ED-C9AE0E6C6F2D}">
  <dimension ref="A1:F84"/>
  <sheetViews>
    <sheetView topLeftCell="C1" workbookViewId="0">
      <selection activeCell="F8" sqref="F8"/>
    </sheetView>
  </sheetViews>
  <sheetFormatPr baseColWidth="10" defaultColWidth="11.42578125" defaultRowHeight="12.75"/>
  <cols>
    <col min="1" max="1" width="14.42578125" style="250" customWidth="1" collapsed="1"/>
    <col min="2" max="2" width="62.140625" style="235" bestFit="1" customWidth="1" collapsed="1"/>
    <col min="3" max="3" width="3.5703125" style="235" bestFit="1" customWidth="1" collapsed="1"/>
    <col min="4" max="4" width="9.28515625" style="235" bestFit="1" customWidth="1" collapsed="1"/>
    <col min="5" max="6" width="17.42578125" style="252" customWidth="1" collapsed="1"/>
    <col min="7" max="16384" width="11.42578125" style="235" collapsed="1"/>
  </cols>
  <sheetData>
    <row r="1" spans="1:6" s="223" customFormat="1" ht="24.6" customHeight="1">
      <c r="A1" s="222" t="s">
        <v>0</v>
      </c>
      <c r="B1" s="222"/>
      <c r="C1" s="222"/>
      <c r="D1" s="222"/>
      <c r="E1" s="222"/>
      <c r="F1" s="222"/>
    </row>
    <row r="2" spans="1:6" s="223" customFormat="1" ht="8.1" customHeight="1">
      <c r="C2" s="224"/>
    </row>
    <row r="3" spans="1:6" s="223" customFormat="1" ht="25.5" customHeight="1">
      <c r="A3" s="225" t="s">
        <v>96</v>
      </c>
      <c r="B3" s="225"/>
      <c r="C3" s="225"/>
      <c r="D3" s="223" t="s">
        <v>1</v>
      </c>
      <c r="E3" s="226">
        <f>+'[25]Fiche de renseignement R1'!$V$10</f>
        <v>45657</v>
      </c>
      <c r="F3" s="227"/>
    </row>
    <row r="4" spans="1:6" s="223" customFormat="1" ht="15" customHeight="1">
      <c r="A4" s="227" t="str">
        <f>'[25]Fiche de renseignement R1'!J4</f>
        <v>ZENITH ENERGY SENEGAL SARL</v>
      </c>
      <c r="B4" s="227"/>
      <c r="C4" s="227"/>
      <c r="D4" s="228" t="s">
        <v>2</v>
      </c>
      <c r="E4" s="229">
        <f>+'[25]Fiche de renseignement R1'!$AH$10</f>
        <v>12</v>
      </c>
      <c r="F4" s="229"/>
    </row>
    <row r="5" spans="1:6" s="223" customFormat="1" ht="30.95" customHeight="1">
      <c r="A5" s="230" t="s">
        <v>3</v>
      </c>
      <c r="B5" s="231" t="str">
        <f>+'[25]Fiche de renseignement R1'!$J$10</f>
        <v>008567680</v>
      </c>
      <c r="C5" s="232"/>
      <c r="D5" s="228"/>
      <c r="E5" s="227"/>
      <c r="F5" s="227"/>
    </row>
    <row r="6" spans="1:6" s="223" customFormat="1" ht="8.1" customHeight="1">
      <c r="C6" s="224"/>
    </row>
    <row r="7" spans="1:6" ht="18" customHeight="1">
      <c r="A7" s="233" t="s">
        <v>4</v>
      </c>
      <c r="B7" s="234" t="s">
        <v>5</v>
      </c>
      <c r="C7" s="233"/>
      <c r="D7" s="233" t="s">
        <v>6</v>
      </c>
      <c r="E7" s="254">
        <v>2024</v>
      </c>
      <c r="F7" s="254">
        <v>2023</v>
      </c>
    </row>
    <row r="8" spans="1:6" ht="18" customHeight="1">
      <c r="A8" s="236" t="s">
        <v>7</v>
      </c>
      <c r="B8" s="237" t="s">
        <v>8</v>
      </c>
      <c r="C8" s="236" t="s">
        <v>9</v>
      </c>
      <c r="D8" s="236">
        <v>21</v>
      </c>
      <c r="E8" s="238">
        <v>0</v>
      </c>
      <c r="F8" s="238">
        <v>0</v>
      </c>
    </row>
    <row r="9" spans="1:6" ht="18" customHeight="1">
      <c r="A9" s="239" t="s">
        <v>10</v>
      </c>
      <c r="B9" s="240" t="s">
        <v>11</v>
      </c>
      <c r="C9" s="239" t="s">
        <v>12</v>
      </c>
      <c r="D9" s="239">
        <v>22</v>
      </c>
      <c r="E9" s="241">
        <v>0</v>
      </c>
      <c r="F9" s="241">
        <v>0</v>
      </c>
    </row>
    <row r="10" spans="1:6" ht="18" customHeight="1">
      <c r="A10" s="239" t="s">
        <v>13</v>
      </c>
      <c r="B10" s="242" t="s">
        <v>98</v>
      </c>
      <c r="C10" s="243" t="s">
        <v>15</v>
      </c>
      <c r="D10" s="243">
        <v>6</v>
      </c>
      <c r="E10" s="241">
        <v>0</v>
      </c>
      <c r="F10" s="241">
        <v>0</v>
      </c>
    </row>
    <row r="11" spans="1:6" ht="18" customHeight="1">
      <c r="A11" s="244" t="s">
        <v>16</v>
      </c>
      <c r="B11" s="245" t="s">
        <v>17</v>
      </c>
      <c r="C11" s="244"/>
      <c r="D11" s="244"/>
      <c r="E11" s="246">
        <v>0</v>
      </c>
      <c r="F11" s="246">
        <v>0</v>
      </c>
    </row>
    <row r="12" spans="1:6" ht="18" customHeight="1">
      <c r="A12" s="239" t="s">
        <v>18</v>
      </c>
      <c r="B12" s="240" t="s">
        <v>19</v>
      </c>
      <c r="C12" s="239" t="s">
        <v>9</v>
      </c>
      <c r="D12" s="239">
        <v>21</v>
      </c>
      <c r="E12" s="241">
        <v>0</v>
      </c>
      <c r="F12" s="241">
        <v>0</v>
      </c>
    </row>
    <row r="13" spans="1:6" ht="18" customHeight="1">
      <c r="A13" s="239" t="s">
        <v>20</v>
      </c>
      <c r="B13" s="240" t="s">
        <v>21</v>
      </c>
      <c r="C13" s="239" t="s">
        <v>9</v>
      </c>
      <c r="D13" s="239">
        <v>21</v>
      </c>
      <c r="E13" s="241">
        <v>5188357494</v>
      </c>
      <c r="F13" s="241">
        <v>7733511125</v>
      </c>
    </row>
    <row r="14" spans="1:6" ht="18" customHeight="1">
      <c r="A14" s="239" t="s">
        <v>22</v>
      </c>
      <c r="B14" s="240" t="s">
        <v>23</v>
      </c>
      <c r="C14" s="239" t="s">
        <v>9</v>
      </c>
      <c r="D14" s="239">
        <v>21</v>
      </c>
      <c r="E14" s="241">
        <v>0</v>
      </c>
      <c r="F14" s="241">
        <v>1000</v>
      </c>
    </row>
    <row r="15" spans="1:6" ht="18" customHeight="1">
      <c r="A15" s="244" t="s">
        <v>24</v>
      </c>
      <c r="B15" s="245" t="s">
        <v>25</v>
      </c>
      <c r="C15" s="244"/>
      <c r="D15" s="244"/>
      <c r="E15" s="246">
        <v>5188357494</v>
      </c>
      <c r="F15" s="246">
        <v>7733512125</v>
      </c>
    </row>
    <row r="16" spans="1:6" ht="18" customHeight="1">
      <c r="A16" s="239" t="s">
        <v>26</v>
      </c>
      <c r="B16" s="240" t="s">
        <v>27</v>
      </c>
      <c r="C16" s="243" t="s">
        <v>15</v>
      </c>
      <c r="D16" s="239">
        <v>6</v>
      </c>
      <c r="E16" s="241">
        <v>0</v>
      </c>
      <c r="F16" s="241">
        <v>0</v>
      </c>
    </row>
    <row r="17" spans="1:6" ht="18" customHeight="1">
      <c r="A17" s="239" t="s">
        <v>28</v>
      </c>
      <c r="B17" s="240" t="s">
        <v>29</v>
      </c>
      <c r="C17" s="239"/>
      <c r="D17" s="239">
        <v>21</v>
      </c>
      <c r="E17" s="241">
        <v>0</v>
      </c>
      <c r="F17" s="241">
        <v>0</v>
      </c>
    </row>
    <row r="18" spans="1:6" ht="18" customHeight="1">
      <c r="A18" s="239" t="s">
        <v>30</v>
      </c>
      <c r="B18" s="240" t="s">
        <v>31</v>
      </c>
      <c r="C18" s="239"/>
      <c r="D18" s="239">
        <v>21</v>
      </c>
      <c r="E18" s="241">
        <v>0</v>
      </c>
      <c r="F18" s="241">
        <v>0</v>
      </c>
    </row>
    <row r="19" spans="1:6" ht="18" customHeight="1">
      <c r="A19" s="239" t="s">
        <v>32</v>
      </c>
      <c r="B19" s="240" t="s">
        <v>33</v>
      </c>
      <c r="C19" s="239" t="s">
        <v>9</v>
      </c>
      <c r="D19" s="239">
        <v>21</v>
      </c>
      <c r="E19" s="241">
        <v>96712546</v>
      </c>
      <c r="F19" s="241">
        <v>8180</v>
      </c>
    </row>
    <row r="20" spans="1:6" ht="18" customHeight="1">
      <c r="A20" s="239" t="s">
        <v>34</v>
      </c>
      <c r="B20" s="240" t="s">
        <v>99</v>
      </c>
      <c r="C20" s="239" t="s">
        <v>9</v>
      </c>
      <c r="D20" s="239">
        <v>12</v>
      </c>
      <c r="E20" s="241">
        <v>0</v>
      </c>
      <c r="F20" s="241">
        <v>0</v>
      </c>
    </row>
    <row r="21" spans="1:6" ht="18" customHeight="1">
      <c r="A21" s="239" t="s">
        <v>36</v>
      </c>
      <c r="B21" s="240" t="s">
        <v>37</v>
      </c>
      <c r="C21" s="239" t="s">
        <v>12</v>
      </c>
      <c r="D21" s="239">
        <v>22</v>
      </c>
      <c r="E21" s="241">
        <v>0</v>
      </c>
      <c r="F21" s="241">
        <v>0</v>
      </c>
    </row>
    <row r="22" spans="1:6" ht="18" customHeight="1">
      <c r="A22" s="239" t="s">
        <v>38</v>
      </c>
      <c r="B22" s="242" t="s">
        <v>39</v>
      </c>
      <c r="C22" s="243" t="s">
        <v>15</v>
      </c>
      <c r="D22" s="239">
        <v>6</v>
      </c>
      <c r="E22" s="241">
        <v>0</v>
      </c>
      <c r="F22" s="241">
        <v>0</v>
      </c>
    </row>
    <row r="23" spans="1:6" ht="18" customHeight="1">
      <c r="A23" s="239" t="s">
        <v>40</v>
      </c>
      <c r="B23" s="240" t="s">
        <v>41</v>
      </c>
      <c r="C23" s="239" t="s">
        <v>12</v>
      </c>
      <c r="D23" s="239">
        <v>22</v>
      </c>
      <c r="E23" s="241">
        <v>-4961253827</v>
      </c>
      <c r="F23" s="241">
        <v>-4586278344</v>
      </c>
    </row>
    <row r="24" spans="1:6" ht="18" customHeight="1">
      <c r="A24" s="239" t="s">
        <v>42</v>
      </c>
      <c r="B24" s="242" t="s">
        <v>43</v>
      </c>
      <c r="C24" s="243" t="s">
        <v>15</v>
      </c>
      <c r="D24" s="239">
        <v>6</v>
      </c>
      <c r="E24" s="241">
        <v>0</v>
      </c>
      <c r="F24" s="241">
        <v>0</v>
      </c>
    </row>
    <row r="25" spans="1:6" ht="18" customHeight="1">
      <c r="A25" s="239" t="s">
        <v>44</v>
      </c>
      <c r="B25" s="240" t="s">
        <v>45</v>
      </c>
      <c r="C25" s="239" t="s">
        <v>12</v>
      </c>
      <c r="D25" s="239">
        <v>23</v>
      </c>
      <c r="E25" s="241">
        <v>0</v>
      </c>
      <c r="F25" s="241">
        <v>0</v>
      </c>
    </row>
    <row r="26" spans="1:6" ht="18" customHeight="1">
      <c r="A26" s="239" t="s">
        <v>46</v>
      </c>
      <c r="B26" s="240" t="s">
        <v>47</v>
      </c>
      <c r="C26" s="239" t="s">
        <v>12</v>
      </c>
      <c r="D26" s="239">
        <v>24</v>
      </c>
      <c r="E26" s="241">
        <v>-74390109</v>
      </c>
      <c r="F26" s="241">
        <v>-2959869381</v>
      </c>
    </row>
    <row r="27" spans="1:6" ht="18" customHeight="1">
      <c r="A27" s="239" t="s">
        <v>48</v>
      </c>
      <c r="B27" s="240" t="s">
        <v>49</v>
      </c>
      <c r="C27" s="239" t="s">
        <v>12</v>
      </c>
      <c r="D27" s="239">
        <v>25</v>
      </c>
      <c r="E27" s="241">
        <v>-15809900</v>
      </c>
      <c r="F27" s="241">
        <v>-15062108</v>
      </c>
    </row>
    <row r="28" spans="1:6" ht="18" customHeight="1">
      <c r="A28" s="239" t="s">
        <v>50</v>
      </c>
      <c r="B28" s="240" t="s">
        <v>51</v>
      </c>
      <c r="C28" s="239" t="s">
        <v>12</v>
      </c>
      <c r="D28" s="239">
        <v>26</v>
      </c>
      <c r="E28" s="241">
        <v>-29578597</v>
      </c>
      <c r="F28" s="241">
        <v>-96686999</v>
      </c>
    </row>
    <row r="29" spans="1:6" ht="18" customHeight="1">
      <c r="A29" s="244" t="s">
        <v>52</v>
      </c>
      <c r="B29" s="245" t="s">
        <v>53</v>
      </c>
      <c r="C29" s="244"/>
      <c r="D29" s="244"/>
      <c r="E29" s="246">
        <v>204037607</v>
      </c>
      <c r="F29" s="246">
        <v>75623473</v>
      </c>
    </row>
    <row r="30" spans="1:6" ht="18" customHeight="1">
      <c r="A30" s="239" t="s">
        <v>54</v>
      </c>
      <c r="B30" s="240" t="s">
        <v>55</v>
      </c>
      <c r="C30" s="239" t="s">
        <v>12</v>
      </c>
      <c r="D30" s="239">
        <v>27</v>
      </c>
      <c r="E30" s="241">
        <v>0</v>
      </c>
      <c r="F30" s="241">
        <v>0</v>
      </c>
    </row>
    <row r="31" spans="1:6" ht="18" customHeight="1">
      <c r="A31" s="244" t="s">
        <v>56</v>
      </c>
      <c r="B31" s="245" t="s">
        <v>57</v>
      </c>
      <c r="C31" s="244"/>
      <c r="D31" s="244"/>
      <c r="E31" s="246">
        <v>204037607</v>
      </c>
      <c r="F31" s="246">
        <v>75623473</v>
      </c>
    </row>
    <row r="32" spans="1:6" ht="18" customHeight="1">
      <c r="A32" s="239" t="s">
        <v>58</v>
      </c>
      <c r="B32" s="240" t="s">
        <v>100</v>
      </c>
      <c r="C32" s="239" t="s">
        <v>9</v>
      </c>
      <c r="D32" s="239">
        <v>28</v>
      </c>
      <c r="E32" s="241">
        <v>0</v>
      </c>
      <c r="F32" s="241">
        <v>0</v>
      </c>
    </row>
    <row r="33" spans="1:6" ht="18" customHeight="1">
      <c r="A33" s="239" t="s">
        <v>60</v>
      </c>
      <c r="B33" s="240" t="s">
        <v>61</v>
      </c>
      <c r="C33" s="239" t="s">
        <v>12</v>
      </c>
      <c r="D33" s="239" t="s">
        <v>62</v>
      </c>
      <c r="E33" s="241">
        <v>0</v>
      </c>
      <c r="F33" s="241">
        <v>0</v>
      </c>
    </row>
    <row r="34" spans="1:6" ht="18" customHeight="1">
      <c r="A34" s="244" t="s">
        <v>63</v>
      </c>
      <c r="B34" s="245" t="s">
        <v>64</v>
      </c>
      <c r="C34" s="244"/>
      <c r="D34" s="244"/>
      <c r="E34" s="246">
        <v>204037607</v>
      </c>
      <c r="F34" s="246">
        <v>75623473</v>
      </c>
    </row>
    <row r="35" spans="1:6" ht="18" customHeight="1">
      <c r="A35" s="239" t="s">
        <v>65</v>
      </c>
      <c r="B35" s="240" t="s">
        <v>66</v>
      </c>
      <c r="C35" s="239" t="s">
        <v>9</v>
      </c>
      <c r="D35" s="239">
        <v>29</v>
      </c>
      <c r="E35" s="241">
        <v>6851016</v>
      </c>
      <c r="F35" s="241">
        <v>9313190</v>
      </c>
    </row>
    <row r="36" spans="1:6" ht="18" customHeight="1">
      <c r="A36" s="239" t="s">
        <v>67</v>
      </c>
      <c r="B36" s="240" t="s">
        <v>68</v>
      </c>
      <c r="C36" s="239" t="s">
        <v>9</v>
      </c>
      <c r="D36" s="239">
        <v>28</v>
      </c>
      <c r="E36" s="241">
        <v>0</v>
      </c>
      <c r="F36" s="241">
        <v>0</v>
      </c>
    </row>
    <row r="37" spans="1:6" ht="18" customHeight="1">
      <c r="A37" s="239" t="s">
        <v>69</v>
      </c>
      <c r="B37" s="240" t="s">
        <v>101</v>
      </c>
      <c r="C37" s="239" t="s">
        <v>9</v>
      </c>
      <c r="D37" s="239">
        <v>12</v>
      </c>
      <c r="E37" s="241">
        <v>0</v>
      </c>
      <c r="F37" s="241">
        <v>0</v>
      </c>
    </row>
    <row r="38" spans="1:6" ht="18" customHeight="1">
      <c r="A38" s="239" t="s">
        <v>71</v>
      </c>
      <c r="B38" s="240" t="s">
        <v>72</v>
      </c>
      <c r="C38" s="239" t="s">
        <v>12</v>
      </c>
      <c r="D38" s="239">
        <v>29</v>
      </c>
      <c r="E38" s="241">
        <v>0</v>
      </c>
      <c r="F38" s="241">
        <v>-160988988</v>
      </c>
    </row>
    <row r="39" spans="1:6" ht="18" customHeight="1">
      <c r="A39" s="239" t="s">
        <v>73</v>
      </c>
      <c r="B39" s="240" t="s">
        <v>74</v>
      </c>
      <c r="C39" s="239" t="s">
        <v>12</v>
      </c>
      <c r="D39" s="239" t="s">
        <v>62</v>
      </c>
      <c r="E39" s="241">
        <v>0</v>
      </c>
      <c r="F39" s="241">
        <v>0</v>
      </c>
    </row>
    <row r="40" spans="1:6" ht="18" customHeight="1">
      <c r="A40" s="244" t="s">
        <v>75</v>
      </c>
      <c r="B40" s="245" t="s">
        <v>76</v>
      </c>
      <c r="C40" s="244"/>
      <c r="D40" s="244"/>
      <c r="E40" s="246">
        <v>6851016</v>
      </c>
      <c r="F40" s="246">
        <v>-151675798</v>
      </c>
    </row>
    <row r="41" spans="1:6" ht="18" customHeight="1">
      <c r="A41" s="247" t="s">
        <v>77</v>
      </c>
      <c r="B41" s="248" t="s">
        <v>78</v>
      </c>
      <c r="C41" s="247"/>
      <c r="D41" s="247"/>
      <c r="E41" s="249">
        <v>210888623</v>
      </c>
      <c r="F41" s="249">
        <v>-76052325</v>
      </c>
    </row>
    <row r="42" spans="1:6" ht="18" customHeight="1">
      <c r="A42" s="239" t="s">
        <v>79</v>
      </c>
      <c r="B42" s="240" t="s">
        <v>80</v>
      </c>
      <c r="C42" s="239" t="s">
        <v>9</v>
      </c>
      <c r="D42" s="239" t="s">
        <v>81</v>
      </c>
      <c r="E42" s="241">
        <v>0</v>
      </c>
      <c r="F42" s="241">
        <v>0</v>
      </c>
    </row>
    <row r="43" spans="1:6" ht="18" customHeight="1">
      <c r="A43" s="239" t="s">
        <v>82</v>
      </c>
      <c r="B43" s="240" t="s">
        <v>83</v>
      </c>
      <c r="C43" s="239" t="s">
        <v>9</v>
      </c>
      <c r="D43" s="239">
        <v>30</v>
      </c>
      <c r="E43" s="241">
        <v>0</v>
      </c>
      <c r="F43" s="241">
        <v>0</v>
      </c>
    </row>
    <row r="44" spans="1:6" ht="18" customHeight="1">
      <c r="A44" s="239" t="s">
        <v>84</v>
      </c>
      <c r="B44" s="240" t="s">
        <v>85</v>
      </c>
      <c r="C44" s="239" t="s">
        <v>12</v>
      </c>
      <c r="D44" s="239" t="s">
        <v>81</v>
      </c>
      <c r="E44" s="241">
        <v>0</v>
      </c>
      <c r="F44" s="241">
        <v>0</v>
      </c>
    </row>
    <row r="45" spans="1:6" ht="18" customHeight="1">
      <c r="A45" s="239" t="s">
        <v>86</v>
      </c>
      <c r="B45" s="240" t="s">
        <v>102</v>
      </c>
      <c r="C45" s="239" t="s">
        <v>12</v>
      </c>
      <c r="D45" s="239">
        <v>30</v>
      </c>
      <c r="E45" s="241">
        <v>0</v>
      </c>
      <c r="F45" s="241">
        <v>0</v>
      </c>
    </row>
    <row r="46" spans="1:6" ht="18" customHeight="1">
      <c r="A46" s="247" t="s">
        <v>88</v>
      </c>
      <c r="B46" s="248" t="s">
        <v>89</v>
      </c>
      <c r="C46" s="247"/>
      <c r="D46" s="247"/>
      <c r="E46" s="249">
        <v>0</v>
      </c>
      <c r="F46" s="249">
        <v>0</v>
      </c>
    </row>
    <row r="47" spans="1:6" ht="18" customHeight="1">
      <c r="A47" s="239" t="s">
        <v>90</v>
      </c>
      <c r="B47" s="240" t="s">
        <v>103</v>
      </c>
      <c r="C47" s="239" t="s">
        <v>12</v>
      </c>
      <c r="D47" s="239">
        <v>30</v>
      </c>
      <c r="E47" s="241">
        <v>0</v>
      </c>
      <c r="F47" s="241">
        <v>0</v>
      </c>
    </row>
    <row r="48" spans="1:6" ht="18" customHeight="1">
      <c r="A48" s="239" t="s">
        <v>92</v>
      </c>
      <c r="B48" s="240" t="s">
        <v>93</v>
      </c>
      <c r="C48" s="239" t="s">
        <v>12</v>
      </c>
      <c r="D48" s="239"/>
      <c r="E48" s="241">
        <v>-23346900</v>
      </c>
      <c r="F48" s="241">
        <v>-5000000</v>
      </c>
    </row>
    <row r="49" spans="1:6" ht="18" customHeight="1">
      <c r="A49" s="244" t="s">
        <v>94</v>
      </c>
      <c r="B49" s="245" t="s">
        <v>95</v>
      </c>
      <c r="C49" s="244"/>
      <c r="D49" s="244"/>
      <c r="E49" s="246">
        <v>187541723</v>
      </c>
      <c r="F49" s="246">
        <v>-81052325</v>
      </c>
    </row>
    <row r="53" spans="1:6" ht="12.75" customHeight="1">
      <c r="B53" s="251"/>
      <c r="C53" s="251"/>
    </row>
    <row r="54" spans="1:6" ht="12.75" customHeight="1">
      <c r="B54" s="251"/>
      <c r="C54" s="251"/>
    </row>
    <row r="55" spans="1:6" ht="12.75" customHeight="1">
      <c r="B55" s="251"/>
      <c r="C55" s="251"/>
    </row>
    <row r="58" spans="1:6" ht="12.75" customHeight="1">
      <c r="B58" s="251"/>
      <c r="C58" s="251"/>
    </row>
    <row r="59" spans="1:6" ht="12.75" customHeight="1">
      <c r="B59" s="251"/>
      <c r="C59" s="251"/>
    </row>
    <row r="62" spans="1:6" ht="12.75" customHeight="1">
      <c r="E62" s="253"/>
      <c r="F62" s="253"/>
    </row>
    <row r="63" spans="1:6" ht="12.75" customHeight="1">
      <c r="E63" s="253"/>
      <c r="F63" s="253"/>
    </row>
    <row r="64" spans="1:6" ht="12.75" customHeight="1">
      <c r="E64" s="253"/>
      <c r="F64" s="253"/>
    </row>
    <row r="65" spans="5:6" ht="12.75" customHeight="1">
      <c r="E65" s="253"/>
      <c r="F65" s="253"/>
    </row>
    <row r="66" spans="5:6" ht="12.75" customHeight="1">
      <c r="E66" s="253"/>
      <c r="F66" s="253"/>
    </row>
    <row r="67" spans="5:6" ht="12.75" customHeight="1">
      <c r="E67" s="253"/>
      <c r="F67" s="253"/>
    </row>
    <row r="68" spans="5:6" ht="12.75" customHeight="1">
      <c r="E68" s="253"/>
      <c r="F68" s="253"/>
    </row>
    <row r="69" spans="5:6" ht="12.75" customHeight="1">
      <c r="E69" s="253"/>
      <c r="F69" s="253"/>
    </row>
    <row r="70" spans="5:6" ht="12.75" customHeight="1">
      <c r="E70" s="253"/>
      <c r="F70" s="253"/>
    </row>
    <row r="71" spans="5:6" ht="12.75" customHeight="1">
      <c r="E71" s="253"/>
      <c r="F71" s="253"/>
    </row>
    <row r="72" spans="5:6" ht="12.75" customHeight="1">
      <c r="E72" s="253"/>
      <c r="F72" s="253"/>
    </row>
    <row r="73" spans="5:6" ht="12.75" customHeight="1">
      <c r="E73" s="253"/>
      <c r="F73" s="253"/>
    </row>
    <row r="74" spans="5:6" ht="12.75" customHeight="1">
      <c r="E74" s="253"/>
      <c r="F74" s="253"/>
    </row>
    <row r="75" spans="5:6" ht="12.75" customHeight="1">
      <c r="E75" s="253"/>
      <c r="F75" s="253"/>
    </row>
    <row r="76" spans="5:6" ht="12.75" customHeight="1">
      <c r="E76" s="253"/>
      <c r="F76" s="253"/>
    </row>
    <row r="77" spans="5:6" ht="12.75" customHeight="1">
      <c r="E77" s="253"/>
      <c r="F77" s="253"/>
    </row>
    <row r="78" spans="5:6" ht="12.75" customHeight="1">
      <c r="E78" s="253"/>
      <c r="F78" s="253"/>
    </row>
    <row r="79" spans="5:6" ht="12.75" customHeight="1">
      <c r="E79" s="253"/>
      <c r="F79" s="253"/>
    </row>
    <row r="80" spans="5:6" ht="12.75" customHeight="1">
      <c r="E80" s="253"/>
      <c r="F80" s="253"/>
    </row>
    <row r="81" spans="5:6" ht="12.75" customHeight="1">
      <c r="E81" s="253"/>
      <c r="F81" s="253"/>
    </row>
    <row r="82" spans="5:6" ht="12.75" customHeight="1">
      <c r="E82" s="253"/>
      <c r="F82" s="253"/>
    </row>
    <row r="83" spans="5:6" ht="12.75" customHeight="1">
      <c r="E83" s="253"/>
      <c r="F83" s="253"/>
    </row>
    <row r="84" spans="5:6" ht="12.75" customHeight="1">
      <c r="E84" s="253"/>
      <c r="F84" s="253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6FA9A6BF-8F46-4835-934B-10B70EB088B7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62B28EDB-C429-4A6B-B767-C92FEFB11B6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3261281B-449A-4EE0-A096-84F3F2721E65}"/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644F-0196-4803-B8C9-4B789649410F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+'[26]Fiche de renseignement R1'!$V$10</f>
        <v>45657</v>
      </c>
      <c r="F3" s="73"/>
    </row>
    <row r="4" spans="1:6" s="1" customFormat="1" ht="15" customHeight="1">
      <c r="A4" s="73"/>
      <c r="B4" s="73"/>
      <c r="C4" s="73"/>
      <c r="D4" s="74" t="s">
        <v>2</v>
      </c>
      <c r="E4" s="75">
        <f>+'[26]Fiche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+'[26]Fiche de renseignement R1'!$J$10</f>
        <v>008650196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288"/>
      <c r="F8" s="289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290"/>
      <c r="F9" s="291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290"/>
      <c r="F10" s="291"/>
    </row>
    <row r="11" spans="1:6" ht="18" customHeight="1">
      <c r="A11" s="16" t="s">
        <v>16</v>
      </c>
      <c r="B11" s="17" t="s">
        <v>17</v>
      </c>
      <c r="C11" s="16"/>
      <c r="D11" s="16"/>
      <c r="E11" s="292"/>
      <c r="F11" s="293"/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290"/>
      <c r="F12" s="291"/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290"/>
      <c r="F13" s="291"/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290"/>
      <c r="F14" s="291"/>
    </row>
    <row r="15" spans="1:6" ht="18" customHeight="1">
      <c r="A15" s="16" t="s">
        <v>24</v>
      </c>
      <c r="B15" s="17" t="s">
        <v>25</v>
      </c>
      <c r="C15" s="16"/>
      <c r="D15" s="16"/>
      <c r="E15" s="292">
        <v>0</v>
      </c>
      <c r="F15" s="293"/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290"/>
      <c r="F16" s="291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290"/>
      <c r="F17" s="291"/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290">
        <v>544699080</v>
      </c>
      <c r="F18" s="291">
        <v>692307400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290">
        <v>2391649</v>
      </c>
      <c r="F19" s="291">
        <v>570760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90"/>
      <c r="F20" s="291">
        <v>6000000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290"/>
      <c r="F21" s="291"/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290"/>
      <c r="F22" s="291"/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290">
        <v>-54599120</v>
      </c>
      <c r="F23" s="291">
        <v>-77322803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290">
        <v>4262257</v>
      </c>
      <c r="F24" s="291">
        <v>5429178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290">
        <v>-9384400</v>
      </c>
      <c r="F25" s="291">
        <v>-12695700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290">
        <v>-96543490</v>
      </c>
      <c r="F26" s="291">
        <v>-300326350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290">
        <v>-8978915</v>
      </c>
      <c r="F27" s="291">
        <v>-6671470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290">
        <v>-63953438</v>
      </c>
      <c r="F28" s="291">
        <v>-53644263</v>
      </c>
    </row>
    <row r="29" spans="1:6" ht="18" customHeight="1">
      <c r="A29" s="16" t="s">
        <v>52</v>
      </c>
      <c r="B29" s="17" t="s">
        <v>53</v>
      </c>
      <c r="C29" s="16"/>
      <c r="D29" s="16"/>
      <c r="E29" s="292">
        <f>SUM(E18:E28)</f>
        <v>317893623</v>
      </c>
      <c r="F29" s="293">
        <f>SUM(F18:F28)</f>
        <v>253646752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290">
        <v>-375419284</v>
      </c>
      <c r="F30" s="291">
        <v>-285007685</v>
      </c>
    </row>
    <row r="31" spans="1:6" ht="18" customHeight="1">
      <c r="A31" s="16" t="s">
        <v>56</v>
      </c>
      <c r="B31" s="17" t="s">
        <v>57</v>
      </c>
      <c r="C31" s="16"/>
      <c r="D31" s="16"/>
      <c r="E31" s="292">
        <f>+E29+E30</f>
        <v>-57525661</v>
      </c>
      <c r="F31" s="293">
        <f>+F29+F30</f>
        <v>-31360933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290"/>
      <c r="F32" s="291"/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90">
        <v>-55734734</v>
      </c>
      <c r="F33" s="291">
        <v>-50196130</v>
      </c>
    </row>
    <row r="34" spans="1:6" ht="18" customHeight="1">
      <c r="A34" s="16" t="s">
        <v>63</v>
      </c>
      <c r="B34" s="17" t="s">
        <v>64</v>
      </c>
      <c r="C34" s="16"/>
      <c r="D34" s="16"/>
      <c r="E34" s="292">
        <f>+E31+E33</f>
        <v>-113260395</v>
      </c>
      <c r="F34" s="293">
        <f>+F31+F33</f>
        <v>-81557063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290"/>
      <c r="F35" s="291"/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290"/>
      <c r="F36" s="291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290"/>
      <c r="F37" s="291"/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290">
        <v>-273123</v>
      </c>
      <c r="F38" s="291"/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290"/>
      <c r="F39" s="291"/>
    </row>
    <row r="40" spans="1:6" ht="18" customHeight="1">
      <c r="A40" s="16" t="s">
        <v>75</v>
      </c>
      <c r="B40" s="17" t="s">
        <v>76</v>
      </c>
      <c r="C40" s="16"/>
      <c r="D40" s="16"/>
      <c r="E40" s="292"/>
      <c r="F40" s="293"/>
    </row>
    <row r="41" spans="1:6" ht="18" customHeight="1">
      <c r="A41" s="22" t="s">
        <v>77</v>
      </c>
      <c r="B41" s="23" t="s">
        <v>78</v>
      </c>
      <c r="C41" s="22"/>
      <c r="D41" s="22"/>
      <c r="E41" s="294">
        <f>+E34+E38</f>
        <v>-113533518</v>
      </c>
      <c r="F41" s="295">
        <f>+F34+F38</f>
        <v>-81557063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290"/>
      <c r="F42" s="291"/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290">
        <v>71584461</v>
      </c>
      <c r="F43" s="291">
        <v>47227330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290">
        <v>-2180181</v>
      </c>
      <c r="F44" s="291">
        <v>-1616600</v>
      </c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290"/>
      <c r="F45" s="291"/>
    </row>
    <row r="46" spans="1:6" ht="18" customHeight="1">
      <c r="A46" s="22" t="s">
        <v>88</v>
      </c>
      <c r="B46" s="23" t="s">
        <v>89</v>
      </c>
      <c r="C46" s="22"/>
      <c r="D46" s="22"/>
      <c r="E46" s="294">
        <f>+E43+E44</f>
        <v>69404280</v>
      </c>
      <c r="F46" s="295">
        <f>+F43+F44</f>
        <v>45610730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290"/>
      <c r="F47" s="291"/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290"/>
      <c r="F48" s="291"/>
    </row>
    <row r="49" spans="1:6" ht="18" customHeight="1" thickBot="1">
      <c r="A49" s="16" t="s">
        <v>94</v>
      </c>
      <c r="B49" s="17" t="s">
        <v>95</v>
      </c>
      <c r="C49" s="16"/>
      <c r="D49" s="16"/>
      <c r="E49" s="296">
        <f>+E41+E46</f>
        <v>-44129238</v>
      </c>
      <c r="F49" s="297">
        <f>+F41+F46</f>
        <v>-35946333</v>
      </c>
    </row>
    <row r="53" spans="1:6" ht="12.95" customHeight="1">
      <c r="B53" s="29"/>
      <c r="C53" s="29"/>
    </row>
    <row r="54" spans="1:6" ht="12.95" customHeight="1">
      <c r="B54" s="29"/>
      <c r="C54" s="29"/>
    </row>
    <row r="55" spans="1:6" ht="12.95" customHeight="1">
      <c r="B55" s="29"/>
      <c r="C55" s="29"/>
    </row>
    <row r="58" spans="1:6" ht="12.95" customHeight="1">
      <c r="B58" s="29"/>
      <c r="C58" s="29"/>
    </row>
    <row r="59" spans="1:6" ht="12.95" customHeight="1">
      <c r="B59" s="29"/>
      <c r="C59" s="29"/>
    </row>
    <row r="62" spans="1:6" ht="12.95" customHeight="1">
      <c r="E62" s="30"/>
      <c r="F62" s="30"/>
    </row>
    <row r="63" spans="1:6" ht="12.95" customHeight="1">
      <c r="E63" s="30"/>
      <c r="F63" s="30"/>
    </row>
    <row r="64" spans="1:6" ht="12.95" customHeight="1">
      <c r="E64" s="30"/>
      <c r="F64" s="30"/>
    </row>
    <row r="65" spans="5:6" ht="12.95" customHeight="1">
      <c r="E65" s="30"/>
      <c r="F65" s="30"/>
    </row>
    <row r="66" spans="5:6" ht="12.95" customHeight="1">
      <c r="E66" s="30"/>
      <c r="F66" s="30"/>
    </row>
    <row r="67" spans="5:6" ht="12.95" customHeight="1">
      <c r="E67" s="30"/>
      <c r="F67" s="30"/>
    </row>
    <row r="68" spans="5:6" ht="12.95" customHeight="1">
      <c r="E68" s="30"/>
      <c r="F68" s="30"/>
    </row>
    <row r="69" spans="5:6" ht="12.95" customHeight="1">
      <c r="E69" s="30"/>
      <c r="F69" s="30"/>
    </row>
    <row r="70" spans="5:6" ht="12.95" customHeight="1">
      <c r="E70" s="30"/>
      <c r="F70" s="30"/>
    </row>
    <row r="71" spans="5:6" ht="12.95" customHeight="1">
      <c r="E71" s="30"/>
      <c r="F71" s="30"/>
    </row>
    <row r="72" spans="5:6" ht="12.95" customHeight="1">
      <c r="E72" s="30"/>
      <c r="F72" s="30"/>
    </row>
    <row r="73" spans="5:6" ht="12.95" customHeight="1">
      <c r="E73" s="30"/>
      <c r="F73" s="30"/>
    </row>
    <row r="74" spans="5:6" ht="12.95" customHeight="1">
      <c r="E74" s="30"/>
      <c r="F74" s="30"/>
    </row>
    <row r="75" spans="5:6" ht="12.95" customHeight="1">
      <c r="E75" s="30"/>
      <c r="F75" s="30"/>
    </row>
    <row r="76" spans="5:6" ht="12.95" customHeight="1">
      <c r="E76" s="30"/>
      <c r="F76" s="30"/>
    </row>
    <row r="77" spans="5:6" ht="12.95" customHeight="1">
      <c r="E77" s="30"/>
      <c r="F77" s="30"/>
    </row>
    <row r="78" spans="5:6" ht="12.95" customHeight="1">
      <c r="E78" s="30"/>
      <c r="F78" s="30"/>
    </row>
    <row r="79" spans="5:6" ht="12.95" customHeight="1">
      <c r="E79" s="30"/>
      <c r="F79" s="30"/>
    </row>
    <row r="80" spans="5:6" ht="12.95" customHeight="1">
      <c r="E80" s="30"/>
      <c r="F80" s="30"/>
    </row>
    <row r="81" spans="5:6" ht="12.95" customHeight="1">
      <c r="E81" s="30"/>
      <c r="F81" s="30"/>
    </row>
    <row r="82" spans="5:6" ht="12.95" customHeight="1">
      <c r="E82" s="30"/>
      <c r="F82" s="30"/>
    </row>
    <row r="83" spans="5:6" ht="12.95" customHeight="1">
      <c r="E83" s="30"/>
      <c r="F83" s="30"/>
    </row>
    <row r="84" spans="5:6" ht="12.9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B9ACDB5-6681-4DA4-8E19-7F3E3F5AAC3D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1A16CC5D-CC65-4A12-B63D-F3C00E7E4115}"/>
    <dataValidation allowBlank="1" showInputMessage="1" showErrorMessage="1" errorTitle="Erreur de saisie" error="La cellule ne peut prendre que du numérique." promptTitle="Information" prompt="Cette cellule ne peut prendre que du numérique," sqref="E8:F49" xr:uid="{9E145038-6021-43D5-B4A4-54AB30A671E7}"/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A39F-BB68-45BC-AED0-A9DBED74539A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5" width="22" style="28" customWidth="1" collapsed="1"/>
    <col min="6" max="6" width="20.2851562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tr">
        <f>'[27]BILAN PAYSAGE'!A3:C3</f>
        <v>Désignation entité :</v>
      </c>
      <c r="B3" s="71"/>
      <c r="C3" s="71"/>
      <c r="D3" s="1" t="s">
        <v>1</v>
      </c>
      <c r="E3" s="72">
        <f>+'[27]Fiche de renseignement R1'!$V$10</f>
        <v>45657</v>
      </c>
      <c r="F3" s="73"/>
    </row>
    <row r="4" spans="1:6" s="1" customFormat="1" ht="15" customHeight="1">
      <c r="A4" s="73" t="str">
        <f>+'[27]BILAN PAYSAGE'!A4:C4</f>
        <v>ASCO SENEGAL LLC</v>
      </c>
      <c r="B4" s="73"/>
      <c r="C4" s="73"/>
      <c r="D4" s="74" t="s">
        <v>2</v>
      </c>
      <c r="E4" s="75">
        <f>+'[27]Fiche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+'[27]Fiche de renseignement R1'!$J$10</f>
        <v>008804610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6" ht="18" customHeight="1">
      <c r="A11" s="16" t="s">
        <v>16</v>
      </c>
      <c r="B11" s="17" t="s">
        <v>17</v>
      </c>
      <c r="C11" s="16"/>
      <c r="D11" s="16"/>
      <c r="E11" s="18">
        <f>SUM(E8:E10)</f>
        <v>0</v>
      </c>
      <c r="F11" s="18">
        <f>SUM(F8:F10)</f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/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2750570858</v>
      </c>
      <c r="F13" s="13">
        <v>3554295639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/>
      <c r="F14" s="13"/>
    </row>
    <row r="15" spans="1:6" ht="18" customHeight="1">
      <c r="A15" s="16" t="s">
        <v>24</v>
      </c>
      <c r="B15" s="17" t="s">
        <v>25</v>
      </c>
      <c r="C15" s="16"/>
      <c r="D15" s="16"/>
      <c r="E15" s="18">
        <f>E8+E12+E13+E14</f>
        <v>2750570858</v>
      </c>
      <c r="F15" s="18">
        <f>F8+F12+F13+F14</f>
        <v>3554295639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/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/>
      <c r="F17" s="13"/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/>
      <c r="F18" s="13"/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/>
      <c r="F19" s="13"/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/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/>
      <c r="F21" s="13"/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/>
      <c r="F22" s="13"/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-36943228</v>
      </c>
      <c r="F23" s="13">
        <v>-58399635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0</v>
      </c>
      <c r="F24" s="13"/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-53743828</v>
      </c>
      <c r="F25" s="13">
        <v>-37442041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-371600135</v>
      </c>
      <c r="F26" s="13">
        <v>-563503976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-40081903</v>
      </c>
      <c r="F27" s="13">
        <v>-49263870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-159108417</v>
      </c>
      <c r="F28" s="13">
        <v>-128879892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f>SUM(E16:E28)+E11+E15</f>
        <v>2089093347</v>
      </c>
      <c r="F29" s="18">
        <f>SUM(F16:F28)+F11+F15</f>
        <v>2716806225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-1549361152</v>
      </c>
      <c r="F30" s="13">
        <v>-2048356361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f>SUM(E29:E30)</f>
        <v>539732195</v>
      </c>
      <c r="F31" s="18">
        <f>SUM(F29:F30)</f>
        <v>668449864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/>
      <c r="F32" s="13"/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-12625053</v>
      </c>
      <c r="F33" s="21">
        <v>-25205005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f>SUM(E31:E33)</f>
        <v>527107142</v>
      </c>
      <c r="F34" s="18">
        <f>SUM(F31:F33)</f>
        <v>643244859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/>
      <c r="F35" s="13">
        <v>6431865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-20419149</v>
      </c>
      <c r="F38" s="13">
        <v>-58401150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</row>
    <row r="40" spans="1:6" ht="18" customHeight="1">
      <c r="A40" s="16" t="s">
        <v>75</v>
      </c>
      <c r="B40" s="17" t="s">
        <v>76</v>
      </c>
      <c r="C40" s="16"/>
      <c r="D40" s="16"/>
      <c r="E40" s="18">
        <f>SUM(E35:E39)</f>
        <v>-20419149</v>
      </c>
      <c r="F40" s="18">
        <f>SUM(F35:F39)</f>
        <v>-51969285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f>+E34+E40</f>
        <v>506687993</v>
      </c>
      <c r="F41" s="24">
        <f>+F34+F40</f>
        <v>591275574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/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</row>
    <row r="46" spans="1:6" ht="18" customHeight="1">
      <c r="A46" s="22" t="s">
        <v>88</v>
      </c>
      <c r="B46" s="23" t="s">
        <v>89</v>
      </c>
      <c r="C46" s="22"/>
      <c r="D46" s="22"/>
      <c r="E46" s="24">
        <f>SUM(E42:E45)</f>
        <v>0</v>
      </c>
      <c r="F46" s="24">
        <f>SUM(F42:F45)</f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-212998648</v>
      </c>
      <c r="F48" s="13">
        <v>-289381149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f>+E48+E46+E41</f>
        <v>293689345</v>
      </c>
      <c r="F49" s="18">
        <f>+F48+F46+F41</f>
        <v>301894425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E3:F3"/>
    <mergeCell ref="D4:D5"/>
    <mergeCell ref="E4:F5"/>
    <mergeCell ref="A3:C3"/>
    <mergeCell ref="A4:C4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E5389468-CFAF-4914-B642-F93C910D90D9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DFEE40BC-3285-4690-95E8-3DB59AF982E4}"/>
    <dataValidation allowBlank="1" showInputMessage="1" showErrorMessage="1" errorTitle="Erreur de saisie" error="La cellule ne peut prendre que du numérique." promptTitle="Information" prompt="Cette cellule ne peut prendre que du numérique," sqref="E8:F49" xr:uid="{0A2698B3-8775-4F11-AEA1-E3E0CD94502E}"/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A49-EE5B-4BB1-A497-CD797DA02A8D}">
  <dimension ref="A1:H84"/>
  <sheetViews>
    <sheetView topLeftCell="C1" workbookViewId="0">
      <selection activeCell="E10" sqref="E10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</row>
    <row r="2" spans="1:8" s="1" customFormat="1" ht="8.1" customHeight="1">
      <c r="C2" s="2"/>
    </row>
    <row r="3" spans="1:8" s="1" customFormat="1" ht="25.5" customHeight="1">
      <c r="A3" s="298" t="s">
        <v>113</v>
      </c>
      <c r="B3" s="298"/>
      <c r="C3" s="298"/>
      <c r="D3" s="1" t="s">
        <v>1</v>
      </c>
      <c r="E3" s="72">
        <f>+'[28]Fiche de renseignement R1'!$V$10</f>
        <v>45657</v>
      </c>
      <c r="F3" s="73"/>
    </row>
    <row r="4" spans="1:8" s="1" customFormat="1" ht="15" customHeight="1">
      <c r="A4" s="73">
        <f>+'[28]BILAN PAYSAGE'!A4:C4</f>
        <v>0</v>
      </c>
      <c r="B4" s="73"/>
      <c r="C4" s="73"/>
      <c r="D4" s="74" t="s">
        <v>2</v>
      </c>
      <c r="E4" s="75">
        <f>+'[28]Fiche de renseignement R1'!$AH$10</f>
        <v>12</v>
      </c>
      <c r="F4" s="75"/>
    </row>
    <row r="5" spans="1:8" s="1" customFormat="1" ht="30.95" customHeight="1">
      <c r="A5" s="4" t="s">
        <v>3</v>
      </c>
      <c r="B5" s="76" t="str">
        <f>+'[28]Fiche de renseignement R1'!$J$10</f>
        <v xml:space="preserve">008814180 </v>
      </c>
      <c r="C5" s="76"/>
      <c r="D5" s="74"/>
      <c r="E5" s="73"/>
      <c r="F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0"/>
      <c r="F8" s="10"/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/>
      <c r="F9" s="13"/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/>
      <c r="F10" s="13"/>
    </row>
    <row r="11" spans="1:8" ht="18" customHeight="1">
      <c r="A11" s="16" t="s">
        <v>16</v>
      </c>
      <c r="B11" s="17" t="s">
        <v>17</v>
      </c>
      <c r="C11" s="16"/>
      <c r="D11" s="16"/>
      <c r="E11" s="18">
        <f>+E8+E9+E10</f>
        <v>0</v>
      </c>
      <c r="F11" s="18">
        <f>+F8+F9+F10</f>
        <v>0</v>
      </c>
      <c r="H11" s="30"/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/>
      <c r="F12" s="13">
        <v>0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81852000</v>
      </c>
      <c r="F13" s="13"/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/>
      <c r="F14" s="13">
        <v>0</v>
      </c>
    </row>
    <row r="15" spans="1:8" ht="18" customHeight="1">
      <c r="A15" s="16" t="s">
        <v>24</v>
      </c>
      <c r="B15" s="17" t="s">
        <v>25</v>
      </c>
      <c r="C15" s="16"/>
      <c r="D15" s="16"/>
      <c r="E15" s="18">
        <f>+E12+E13+E14+E8</f>
        <v>81852000</v>
      </c>
      <c r="F15" s="18">
        <f>+F12+F13+F14+F8</f>
        <v>0</v>
      </c>
      <c r="H15" s="30"/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/>
      <c r="F16" s="13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/>
      <c r="F17" s="13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/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/>
      <c r="F19" s="13">
        <v>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/>
      <c r="F20" s="21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/>
      <c r="F21" s="13"/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/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-65097375</v>
      </c>
      <c r="F23" s="13"/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/>
      <c r="F24" s="13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/>
      <c r="F25" s="13"/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-3500000</v>
      </c>
      <c r="F26" s="13">
        <v>-3500000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-144000</v>
      </c>
      <c r="F27" s="13"/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/>
      <c r="F28" s="13"/>
    </row>
    <row r="29" spans="1:6" ht="18" customHeight="1">
      <c r="A29" s="16" t="s">
        <v>52</v>
      </c>
      <c r="B29" s="17" t="s">
        <v>53</v>
      </c>
      <c r="C29" s="16"/>
      <c r="D29" s="16"/>
      <c r="E29" s="18">
        <f>+((E15+E9+E10)+(E16+E17+E18+E19+E20+E21+E22+E23+E24+E25+E26+E27+E28))</f>
        <v>13110625</v>
      </c>
      <c r="F29" s="18">
        <f>+((F15+F9+F10)+(F16+F17+F18+F19+F20+F21+F22+F23+F24+F25+F26+F27+F28))</f>
        <v>-3500000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/>
      <c r="F30" s="13"/>
    </row>
    <row r="31" spans="1:6" ht="18" customHeight="1">
      <c r="A31" s="16" t="s">
        <v>56</v>
      </c>
      <c r="B31" s="17" t="s">
        <v>57</v>
      </c>
      <c r="C31" s="16"/>
      <c r="D31" s="16"/>
      <c r="E31" s="18">
        <f>+E29+E30</f>
        <v>13110625</v>
      </c>
      <c r="F31" s="18">
        <f>+F29+F30</f>
        <v>-3500000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/>
      <c r="F32" s="13"/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f>-'[28]Note 3C'!C24</f>
        <v>-55283860.799999997</v>
      </c>
      <c r="F33" s="21">
        <v>-602869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f>+((E31+E32)+E33)</f>
        <v>-42173235.799999997</v>
      </c>
      <c r="F34" s="18">
        <f>+((F31+F32)+F33)</f>
        <v>-4102869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/>
      <c r="F35" s="13"/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/>
      <c r="F36" s="13"/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/>
      <c r="F37" s="13"/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/>
      <c r="F38" s="13"/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/>
      <c r="F39" s="13"/>
    </row>
    <row r="40" spans="1:6" ht="18" customHeight="1">
      <c r="A40" s="16" t="s">
        <v>75</v>
      </c>
      <c r="B40" s="17" t="s">
        <v>76</v>
      </c>
      <c r="C40" s="16"/>
      <c r="D40" s="16"/>
      <c r="E40" s="18">
        <f>+E35+E36+E37+E38+E39</f>
        <v>0</v>
      </c>
      <c r="F40" s="18">
        <f>+F35+F36+F37+F38+F39</f>
        <v>0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f>+E34+E40</f>
        <v>-42173235.799999997</v>
      </c>
      <c r="F41" s="24">
        <f>+F34+F40</f>
        <v>-4102869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/>
      <c r="F42" s="13"/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/>
      <c r="F43" s="13"/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/>
      <c r="F44" s="13"/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/>
      <c r="F45" s="13"/>
    </row>
    <row r="46" spans="1:6" ht="18" customHeight="1">
      <c r="A46" s="22" t="s">
        <v>88</v>
      </c>
      <c r="B46" s="23" t="s">
        <v>89</v>
      </c>
      <c r="C46" s="22"/>
      <c r="D46" s="22"/>
      <c r="E46" s="24">
        <f>+E42+E43+E44+E45</f>
        <v>0</v>
      </c>
      <c r="F46" s="24">
        <f>+F42+F43+F44+F45</f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/>
      <c r="F47" s="13"/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f>-409260-3018012</f>
        <v>-3427272</v>
      </c>
      <c r="F48" s="13"/>
    </row>
    <row r="49" spans="1:6" ht="18" customHeight="1">
      <c r="A49" s="16" t="s">
        <v>94</v>
      </c>
      <c r="B49" s="17" t="s">
        <v>95</v>
      </c>
      <c r="C49" s="16"/>
      <c r="D49" s="16"/>
      <c r="E49" s="18">
        <v>-45600508</v>
      </c>
      <c r="F49" s="18">
        <f>+F41+F46+F47+F48</f>
        <v>-4102869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45E0BDCE-C987-4D52-8168-052B6BA59B45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DAE6430F-7E44-4153-8D35-9A6489783B02}"/>
    <dataValidation allowBlank="1" showInputMessage="1" showErrorMessage="1" errorTitle="Erreur de saisie" error="La cellule ne peut prendre que du numérique." promptTitle="Information" prompt="Cette cellule ne peut prendre que du numérique," sqref="E8:F49" xr:uid="{CE9F0BA8-2697-47A4-8D3D-334BF23A58F9}"/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3944-912E-4BAB-8231-E172B7970B4C}">
  <dimension ref="A1:F84"/>
  <sheetViews>
    <sheetView topLeftCell="B1" workbookViewId="0">
      <selection activeCell="E8" sqref="E8"/>
    </sheetView>
  </sheetViews>
  <sheetFormatPr baseColWidth="10" defaultColWidth="10.28515625" defaultRowHeight="12.75"/>
  <cols>
    <col min="1" max="1" width="11.570312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4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299" t="s">
        <v>158</v>
      </c>
      <c r="B3" s="299"/>
      <c r="C3" s="299"/>
      <c r="D3" s="1" t="s">
        <v>1</v>
      </c>
      <c r="E3" s="72">
        <f>+'[29]Fiche de renseignement R1'!$V$10</f>
        <v>45657</v>
      </c>
      <c r="F3" s="73"/>
    </row>
    <row r="4" spans="1:6" s="1" customFormat="1" ht="15" customHeight="1">
      <c r="A4" s="73"/>
      <c r="B4" s="73"/>
      <c r="C4" s="73"/>
      <c r="D4" s="74" t="s">
        <v>2</v>
      </c>
      <c r="E4" s="75">
        <f>+'[29]Fiche de renseignement R1'!$AH$10</f>
        <v>12</v>
      </c>
      <c r="F4" s="75"/>
    </row>
    <row r="5" spans="1:6" s="1" customFormat="1" ht="31.15" customHeight="1">
      <c r="A5" s="4" t="s">
        <v>3</v>
      </c>
      <c r="B5" s="76" t="str">
        <f>+'[29]Fiche de renseignement R1'!$J$10</f>
        <v>009071151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0</v>
      </c>
      <c r="F12" s="13">
        <v>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11749730</v>
      </c>
      <c r="F13" s="13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v>11749730</v>
      </c>
      <c r="F15" s="18">
        <v>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0</v>
      </c>
      <c r="F16" s="13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250518230.97</v>
      </c>
      <c r="F19" s="13">
        <v>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>
        <v>0</v>
      </c>
      <c r="F20" s="21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7547646</v>
      </c>
      <c r="F23" s="13">
        <v>20919515.707499996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0</v>
      </c>
      <c r="F24" s="13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21878528.559999999</v>
      </c>
      <c r="F25" s="13">
        <v>30392641.016363338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96429580</v>
      </c>
      <c r="F26" s="13">
        <v>94168680.03719978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26259451</v>
      </c>
      <c r="F27" s="13">
        <v>4245562.5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18414836.490000002</v>
      </c>
      <c r="F28" s="13">
        <v>499425.35100000014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91737918.919999987</v>
      </c>
      <c r="F29" s="18">
        <v>-150225824.61206311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183796022</v>
      </c>
      <c r="F30" s="13">
        <v>190111102.32459992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-92058103.080000013</v>
      </c>
      <c r="F31" s="18">
        <v>-340336926.93666303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3410084</v>
      </c>
      <c r="F32" s="13">
        <v>0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12259499</v>
      </c>
      <c r="F33" s="21">
        <v>0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v>-100907518.08000001</v>
      </c>
      <c r="F34" s="18">
        <v>-340336926.93666303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3448544.5557000022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0</v>
      </c>
      <c r="F38" s="13">
        <v>10641887.969900006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3410084</v>
      </c>
    </row>
    <row r="40" spans="1:6" ht="18" customHeight="1">
      <c r="A40" s="16" t="s">
        <v>75</v>
      </c>
      <c r="B40" s="17" t="s">
        <v>76</v>
      </c>
      <c r="C40" s="16"/>
      <c r="D40" s="16"/>
      <c r="E40" s="18">
        <v>0</v>
      </c>
      <c r="F40" s="18">
        <v>-10603427.414200004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-100907518.08000001</v>
      </c>
      <c r="F41" s="24">
        <v>-350940354.35086304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54780761.329999998</v>
      </c>
      <c r="F48" s="13">
        <v>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-155688279</v>
      </c>
      <c r="F49" s="18">
        <v>-350940354.35086304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D4536AA0-84C9-4AD7-84AE-9BB7A9D9F18F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CDA3C066-109C-4A96-8511-1A93214B3478}"/>
    <dataValidation allowBlank="1" showInputMessage="1" showErrorMessage="1" errorTitle="Erreur de saisie" error="La cellule ne peut prendre que du numérique." promptTitle="Information" prompt="Cette cellule ne peut prendre que du numérique," sqref="E8:F49" xr:uid="{82DBC312-C326-4033-835C-DFDF0EBBAF8F}"/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B869-FDAB-4BA0-BFBE-1B77A1BBAF8B}">
  <dimension ref="A1:F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+'[14]Fiche de renseignement R1'!$V$10</f>
        <v>45657</v>
      </c>
      <c r="F3" s="73"/>
    </row>
    <row r="4" spans="1:6" s="1" customFormat="1" ht="15" customHeight="1">
      <c r="A4" s="73"/>
      <c r="B4" s="73"/>
      <c r="C4" s="73"/>
      <c r="D4" s="74" t="s">
        <v>2</v>
      </c>
      <c r="E4" s="75">
        <f>+'[14]Fiche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+'[14]Fiche de renseignement R1'!$J$10</f>
        <v>005758711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0</v>
      </c>
      <c r="F12" s="13">
        <v>0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v>0</v>
      </c>
      <c r="F15" s="18">
        <v>0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0</v>
      </c>
      <c r="F16" s="13">
        <v>0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>
        <v>183938745</v>
      </c>
      <c r="F17" s="13">
        <v>187321375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0</v>
      </c>
      <c r="F19" s="13">
        <v>0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21">
        <v>0</v>
      </c>
      <c r="F20" s="21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-34885837</v>
      </c>
      <c r="F23" s="13">
        <v>-62643539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0</v>
      </c>
      <c r="F24" s="13">
        <v>0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-1122000</v>
      </c>
      <c r="F25" s="13">
        <v>-406336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-4117661</v>
      </c>
      <c r="F26" s="13">
        <v>-2590066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-27630000</v>
      </c>
      <c r="F27" s="13">
        <v>-7123200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-200</v>
      </c>
      <c r="F28" s="13">
        <v>-97224996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116183047</v>
      </c>
      <c r="F29" s="18">
        <v>17333238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-118063272</v>
      </c>
      <c r="F30" s="13">
        <v>-20838276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-1880225</v>
      </c>
      <c r="F31" s="18">
        <v>-3505038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0</v>
      </c>
      <c r="F32" s="13">
        <v>0</v>
      </c>
    </row>
    <row r="33" spans="1:6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21">
        <v>0</v>
      </c>
      <c r="F33" s="21">
        <v>-629766</v>
      </c>
    </row>
    <row r="34" spans="1:6" ht="18" customHeight="1">
      <c r="A34" s="16" t="s">
        <v>63</v>
      </c>
      <c r="B34" s="17" t="s">
        <v>64</v>
      </c>
      <c r="C34" s="16"/>
      <c r="D34" s="16"/>
      <c r="E34" s="18">
        <v>-1880225</v>
      </c>
      <c r="F34" s="18">
        <v>-4134804</v>
      </c>
    </row>
    <row r="35" spans="1:6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0</v>
      </c>
    </row>
    <row r="36" spans="1:6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0</v>
      </c>
      <c r="F36" s="13">
        <v>0</v>
      </c>
    </row>
    <row r="37" spans="1:6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6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-350208</v>
      </c>
      <c r="F38" s="13">
        <v>-337865</v>
      </c>
    </row>
    <row r="39" spans="1:6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0</v>
      </c>
      <c r="F39" s="13">
        <v>0</v>
      </c>
    </row>
    <row r="40" spans="1:6" ht="18" customHeight="1">
      <c r="A40" s="16" t="s">
        <v>75</v>
      </c>
      <c r="B40" s="17" t="s">
        <v>76</v>
      </c>
      <c r="C40" s="16"/>
      <c r="D40" s="16"/>
      <c r="E40" s="18">
        <v>-350208</v>
      </c>
      <c r="F40" s="18">
        <v>-337865</v>
      </c>
    </row>
    <row r="41" spans="1:6" ht="18" customHeight="1">
      <c r="A41" s="22" t="s">
        <v>77</v>
      </c>
      <c r="B41" s="23" t="s">
        <v>78</v>
      </c>
      <c r="C41" s="22"/>
      <c r="D41" s="22"/>
      <c r="E41" s="24">
        <v>-2230433</v>
      </c>
      <c r="F41" s="24">
        <v>-4472669</v>
      </c>
    </row>
    <row r="42" spans="1:6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0</v>
      </c>
    </row>
    <row r="43" spans="1:6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</row>
    <row r="44" spans="1:6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</row>
    <row r="45" spans="1:6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</row>
    <row r="46" spans="1:6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0</v>
      </c>
    </row>
    <row r="47" spans="1:6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</row>
    <row r="48" spans="1:6" ht="18" customHeight="1">
      <c r="A48" s="11" t="s">
        <v>92</v>
      </c>
      <c r="B48" s="12" t="s">
        <v>93</v>
      </c>
      <c r="C48" s="11" t="s">
        <v>12</v>
      </c>
      <c r="D48" s="11"/>
      <c r="E48" s="13">
        <v>0</v>
      </c>
      <c r="F48" s="13">
        <v>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-2230433</v>
      </c>
      <c r="F49" s="18">
        <v>-4472669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354ED33B-AD67-4668-BDF1-B58E7AB81B3F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8219B751-70D5-4A7B-9F28-4E581C33EE67}"/>
    <dataValidation allowBlank="1" showInputMessage="1" showErrorMessage="1" errorTitle="Erreur de saisie" error="La cellule ne peut prendre que du numérique." promptTitle="Information" prompt="Cette cellule ne peut prendre que du numérique," sqref="E8:F49" xr:uid="{32201469-8E4D-4B59-AF62-B765C1C16F56}"/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5489-56FC-4C6E-BF11-F2BCDB962F13}">
  <dimension ref="A1:H84"/>
  <sheetViews>
    <sheetView topLeftCell="C1" workbookViewId="0">
      <selection activeCell="G7" sqref="G7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5703125" style="27" customWidth="1" collapsed="1"/>
    <col min="5" max="6" width="15.7109375" style="28" customWidth="1" collapsed="1"/>
    <col min="7" max="7" width="10.5703125" style="27" bestFit="1" customWidth="1" collapsed="1"/>
    <col min="8" max="16384" width="10.28515625" style="27" collapsed="1"/>
  </cols>
  <sheetData>
    <row r="1" spans="1:6" s="1" customFormat="1" ht="24.6" customHeight="1">
      <c r="A1" s="70" t="s">
        <v>0</v>
      </c>
      <c r="B1" s="70"/>
      <c r="C1" s="70"/>
      <c r="D1" s="70"/>
      <c r="E1" s="70"/>
      <c r="F1" s="70"/>
    </row>
    <row r="2" spans="1:6" s="1" customFormat="1" ht="8.1" customHeight="1">
      <c r="C2" s="2"/>
    </row>
    <row r="3" spans="1:6" s="1" customFormat="1" ht="25.5" customHeight="1">
      <c r="A3" s="71" t="s">
        <v>96</v>
      </c>
      <c r="B3" s="71"/>
      <c r="C3" s="71"/>
      <c r="D3" s="1" t="s">
        <v>1</v>
      </c>
      <c r="E3" s="72">
        <f>+'[15]Fiche de renseignement R1'!$V$10</f>
        <v>45657</v>
      </c>
      <c r="F3" s="73"/>
    </row>
    <row r="4" spans="1:6" s="1" customFormat="1" ht="15" customHeight="1">
      <c r="A4" s="136" t="str">
        <f>'[15]Fiche de renseignement R1'!$J$4</f>
        <v>BOSFOR SARL</v>
      </c>
      <c r="B4" s="136"/>
      <c r="C4" s="136"/>
      <c r="D4" s="74" t="s">
        <v>2</v>
      </c>
      <c r="E4" s="75">
        <f>+'[15]Fiche de renseignement R1'!$AH$10</f>
        <v>12</v>
      </c>
      <c r="F4" s="75"/>
    </row>
    <row r="5" spans="1:6" s="1" customFormat="1" ht="30.95" customHeight="1">
      <c r="A5" s="4" t="s">
        <v>3</v>
      </c>
      <c r="B5" s="76" t="str">
        <f>+'[15]Fiche de renseignement R1'!$J$10</f>
        <v>005790367</v>
      </c>
      <c r="C5" s="76"/>
      <c r="D5" s="74"/>
      <c r="E5" s="73"/>
      <c r="F5" s="73"/>
    </row>
    <row r="6" spans="1:6" s="1" customFormat="1" ht="8.1" customHeight="1">
      <c r="C6" s="2"/>
    </row>
    <row r="7" spans="1:6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</row>
    <row r="8" spans="1:6" ht="18" customHeight="1">
      <c r="A8" s="8" t="s">
        <v>7</v>
      </c>
      <c r="B8" s="9" t="s">
        <v>8</v>
      </c>
      <c r="C8" s="8" t="s">
        <v>9</v>
      </c>
      <c r="D8" s="8">
        <v>21</v>
      </c>
      <c r="E8" s="10">
        <v>0</v>
      </c>
      <c r="F8" s="10">
        <v>0</v>
      </c>
    </row>
    <row r="9" spans="1:6" ht="18" customHeight="1">
      <c r="A9" s="11" t="s">
        <v>10</v>
      </c>
      <c r="B9" s="12" t="s">
        <v>11</v>
      </c>
      <c r="C9" s="11" t="s">
        <v>12</v>
      </c>
      <c r="D9" s="11">
        <v>22</v>
      </c>
      <c r="E9" s="13">
        <v>0</v>
      </c>
      <c r="F9" s="13">
        <v>0</v>
      </c>
    </row>
    <row r="10" spans="1:6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3">
        <v>0</v>
      </c>
      <c r="F10" s="13">
        <v>0</v>
      </c>
    </row>
    <row r="11" spans="1:6" ht="18" customHeight="1">
      <c r="A11" s="16" t="s">
        <v>16</v>
      </c>
      <c r="B11" s="17" t="s">
        <v>17</v>
      </c>
      <c r="C11" s="16"/>
      <c r="D11" s="16"/>
      <c r="E11" s="18">
        <v>0</v>
      </c>
      <c r="F11" s="18">
        <v>0</v>
      </c>
    </row>
    <row r="12" spans="1:6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3">
        <v>1760988110</v>
      </c>
      <c r="F12" s="13">
        <v>1662291307</v>
      </c>
    </row>
    <row r="13" spans="1:6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3">
        <v>0</v>
      </c>
      <c r="F13" s="13">
        <v>0</v>
      </c>
    </row>
    <row r="14" spans="1:6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3">
        <v>0</v>
      </c>
      <c r="F14" s="13">
        <v>0</v>
      </c>
    </row>
    <row r="15" spans="1:6" ht="18" customHeight="1">
      <c r="A15" s="16" t="s">
        <v>24</v>
      </c>
      <c r="B15" s="17" t="s">
        <v>25</v>
      </c>
      <c r="C15" s="16"/>
      <c r="D15" s="16"/>
      <c r="E15" s="18">
        <v>1760988110</v>
      </c>
      <c r="F15" s="18">
        <v>1662291307</v>
      </c>
    </row>
    <row r="16" spans="1:6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3">
        <v>-98805380</v>
      </c>
      <c r="F16" s="13">
        <v>-6105924</v>
      </c>
    </row>
    <row r="17" spans="1:6" ht="18" customHeight="1">
      <c r="A17" s="11" t="s">
        <v>28</v>
      </c>
      <c r="B17" s="12" t="s">
        <v>29</v>
      </c>
      <c r="C17" s="11"/>
      <c r="D17" s="11">
        <v>21</v>
      </c>
      <c r="E17" s="13">
        <v>0</v>
      </c>
      <c r="F17" s="13">
        <v>0</v>
      </c>
    </row>
    <row r="18" spans="1:6" ht="18" customHeight="1">
      <c r="A18" s="11" t="s">
        <v>30</v>
      </c>
      <c r="B18" s="12" t="s">
        <v>31</v>
      </c>
      <c r="C18" s="11"/>
      <c r="D18" s="11">
        <v>21</v>
      </c>
      <c r="E18" s="13">
        <v>0</v>
      </c>
      <c r="F18" s="13">
        <v>0</v>
      </c>
    </row>
    <row r="19" spans="1:6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3">
        <v>33</v>
      </c>
      <c r="F19" s="13">
        <v>698291</v>
      </c>
    </row>
    <row r="20" spans="1:6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31">
        <v>0</v>
      </c>
      <c r="F20" s="31">
        <v>0</v>
      </c>
    </row>
    <row r="21" spans="1:6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3">
        <v>0</v>
      </c>
      <c r="F21" s="13">
        <v>0</v>
      </c>
    </row>
    <row r="22" spans="1:6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3">
        <v>0</v>
      </c>
      <c r="F22" s="13">
        <v>0</v>
      </c>
    </row>
    <row r="23" spans="1:6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3">
        <v>-1271801669</v>
      </c>
      <c r="F23" s="13">
        <v>-965024178</v>
      </c>
    </row>
    <row r="24" spans="1:6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3">
        <v>205542009</v>
      </c>
      <c r="F24" s="13">
        <v>-698237</v>
      </c>
    </row>
    <row r="25" spans="1:6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3">
        <v>0</v>
      </c>
      <c r="F25" s="13">
        <v>0</v>
      </c>
    </row>
    <row r="26" spans="1:6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3">
        <v>-232052791</v>
      </c>
      <c r="F26" s="13">
        <v>-180912671</v>
      </c>
    </row>
    <row r="27" spans="1:6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3">
        <v>-16161621</v>
      </c>
      <c r="F27" s="13">
        <v>-20891234</v>
      </c>
    </row>
    <row r="28" spans="1:6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3">
        <v>-39997</v>
      </c>
      <c r="F28" s="13">
        <v>-21</v>
      </c>
    </row>
    <row r="29" spans="1:6" ht="18" customHeight="1">
      <c r="A29" s="16" t="s">
        <v>52</v>
      </c>
      <c r="B29" s="17" t="s">
        <v>53</v>
      </c>
      <c r="C29" s="16"/>
      <c r="D29" s="16"/>
      <c r="E29" s="18">
        <v>347668694</v>
      </c>
      <c r="F29" s="18">
        <v>489357333</v>
      </c>
    </row>
    <row r="30" spans="1:6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3">
        <v>-326639770</v>
      </c>
      <c r="F30" s="13">
        <v>-276794088</v>
      </c>
    </row>
    <row r="31" spans="1:6" ht="18" customHeight="1">
      <c r="A31" s="16" t="s">
        <v>56</v>
      </c>
      <c r="B31" s="17" t="s">
        <v>57</v>
      </c>
      <c r="C31" s="16"/>
      <c r="D31" s="16"/>
      <c r="E31" s="18">
        <v>21028924</v>
      </c>
      <c r="F31" s="18">
        <v>212563245</v>
      </c>
    </row>
    <row r="32" spans="1:6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3">
        <v>0</v>
      </c>
      <c r="F32" s="13">
        <v>0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31">
        <v>-399698437</v>
      </c>
      <c r="F33" s="31">
        <v>-385170758</v>
      </c>
    </row>
    <row r="34" spans="1:8" ht="18" customHeight="1">
      <c r="A34" s="16" t="s">
        <v>63</v>
      </c>
      <c r="B34" s="17" t="s">
        <v>64</v>
      </c>
      <c r="C34" s="16"/>
      <c r="D34" s="16"/>
      <c r="E34" s="18">
        <f>+E33+E31</f>
        <v>-378669513</v>
      </c>
      <c r="F34" s="18">
        <v>-172607513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3">
        <v>0</v>
      </c>
      <c r="F35" s="13">
        <v>0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3">
        <v>5220058</v>
      </c>
      <c r="F36" s="13">
        <v>6296721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3">
        <v>0</v>
      </c>
      <c r="F37" s="13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3">
        <v>-6482171</v>
      </c>
      <c r="F38" s="13">
        <v>-15097381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3">
        <v>-14097013</v>
      </c>
      <c r="F39" s="13">
        <v>-5220058</v>
      </c>
    </row>
    <row r="40" spans="1:8" ht="18" customHeight="1">
      <c r="A40" s="16" t="s">
        <v>75</v>
      </c>
      <c r="B40" s="17" t="s">
        <v>76</v>
      </c>
      <c r="C40" s="16"/>
      <c r="D40" s="16"/>
      <c r="E40" s="18">
        <v>-15359126</v>
      </c>
      <c r="F40" s="18">
        <v>-14020718</v>
      </c>
    </row>
    <row r="41" spans="1:8" ht="18" customHeight="1">
      <c r="A41" s="22" t="s">
        <v>77</v>
      </c>
      <c r="B41" s="23" t="s">
        <v>78</v>
      </c>
      <c r="C41" s="22"/>
      <c r="D41" s="22"/>
      <c r="E41" s="24">
        <v>-394028639</v>
      </c>
      <c r="F41" s="24">
        <v>-186628231</v>
      </c>
      <c r="G41" s="30"/>
      <c r="H41" s="30"/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3">
        <v>0</v>
      </c>
      <c r="F42" s="13">
        <v>10000000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3">
        <v>0</v>
      </c>
      <c r="F43" s="13">
        <v>0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3">
        <v>0</v>
      </c>
      <c r="F44" s="13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3">
        <v>0</v>
      </c>
      <c r="F45" s="13">
        <v>0</v>
      </c>
    </row>
    <row r="46" spans="1:8" ht="18" customHeight="1">
      <c r="A46" s="22" t="s">
        <v>88</v>
      </c>
      <c r="B46" s="23" t="s">
        <v>89</v>
      </c>
      <c r="C46" s="22"/>
      <c r="D46" s="22"/>
      <c r="E46" s="24">
        <v>0</v>
      </c>
      <c r="F46" s="24">
        <v>10000000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3">
        <v>0</v>
      </c>
      <c r="F47" s="13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3">
        <v>-5000000</v>
      </c>
      <c r="F48" s="13">
        <v>-5000000</v>
      </c>
    </row>
    <row r="49" spans="1:6" ht="18" customHeight="1">
      <c r="A49" s="16" t="s">
        <v>94</v>
      </c>
      <c r="B49" s="17" t="s">
        <v>95</v>
      </c>
      <c r="C49" s="16"/>
      <c r="D49" s="16"/>
      <c r="E49" s="18">
        <v>-399028639</v>
      </c>
      <c r="F49" s="18">
        <v>-181628231</v>
      </c>
    </row>
    <row r="53" spans="1:6" ht="12.75" customHeight="1">
      <c r="B53" s="29"/>
      <c r="C53" s="29"/>
    </row>
    <row r="54" spans="1:6" ht="12.75" customHeight="1">
      <c r="B54" s="29"/>
      <c r="C54" s="29"/>
    </row>
    <row r="55" spans="1:6" ht="12.75" customHeight="1">
      <c r="B55" s="29"/>
      <c r="C55" s="29"/>
    </row>
    <row r="58" spans="1:6" ht="12.75" customHeight="1">
      <c r="B58" s="29"/>
      <c r="C58" s="29"/>
    </row>
    <row r="59" spans="1:6" ht="12.75" customHeight="1">
      <c r="B59" s="29"/>
      <c r="C59" s="29"/>
    </row>
    <row r="62" spans="1:6" ht="12.75" customHeight="1">
      <c r="E62" s="30"/>
      <c r="F62" s="30"/>
    </row>
    <row r="63" spans="1:6" ht="12.75" customHeight="1">
      <c r="E63" s="30"/>
      <c r="F63" s="30"/>
    </row>
    <row r="64" spans="1:6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FC3D290B-1280-4420-BE60-5D2C266D047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 xr:uid="{B82719D0-C1AE-4A7D-9BD9-06EE065F4C8F}"/>
    <dataValidation allowBlank="1" showInputMessage="1" showErrorMessage="1" errorTitle="Erreur de saisie" error="La cellule ne peut prendre que du numérique." promptTitle="Information" prompt="Cette cellule ne peut prendre que du numérique," sqref="E8:F49" xr:uid="{05921074-5AEA-4594-97A7-159A7B4D05A7}"/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CF81-AA3A-4F1B-8BE0-8E58698DA753}">
  <dimension ref="A1:F49"/>
  <sheetViews>
    <sheetView topLeftCell="B1" workbookViewId="0">
      <selection activeCell="G7" sqref="G7"/>
    </sheetView>
  </sheetViews>
  <sheetFormatPr baseColWidth="10" defaultRowHeight="1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28515625" style="108" customWidth="1" collapsed="1"/>
    <col min="5" max="6" width="13.85546875" style="108" customWidth="1" collapsed="1"/>
  </cols>
  <sheetData>
    <row r="1" spans="1:6" ht="18.75">
      <c r="A1" s="92" t="s">
        <v>0</v>
      </c>
      <c r="B1" s="92"/>
      <c r="C1" s="92"/>
      <c r="D1" s="92"/>
      <c r="E1" s="92"/>
      <c r="F1" s="92"/>
    </row>
    <row r="2" spans="1:6">
      <c r="A2" s="93"/>
      <c r="B2" s="93"/>
      <c r="C2" s="94"/>
      <c r="D2" s="93"/>
      <c r="E2" s="93"/>
      <c r="F2" s="93"/>
    </row>
    <row r="3" spans="1:6">
      <c r="A3" s="95" t="s">
        <v>134</v>
      </c>
      <c r="B3" s="95"/>
      <c r="C3" s="95"/>
      <c r="D3" s="93" t="s">
        <v>1</v>
      </c>
      <c r="E3" s="96">
        <f>+'[16]Fiche de renseignement R1'!$V$10</f>
        <v>45657</v>
      </c>
      <c r="F3" s="97"/>
    </row>
    <row r="4" spans="1:6">
      <c r="A4" s="98" t="str">
        <f>'[16]Fiche de renseignement R1'!$J$4</f>
        <v>BAMBADJI-SA</v>
      </c>
      <c r="B4" s="97"/>
      <c r="C4" s="97"/>
      <c r="D4" s="99" t="s">
        <v>2</v>
      </c>
      <c r="E4" s="100">
        <f>+'[16]Fiche de renseignement R1'!$AH$10</f>
        <v>12</v>
      </c>
      <c r="F4" s="101"/>
    </row>
    <row r="5" spans="1:6" ht="102">
      <c r="A5" s="102" t="s">
        <v>3</v>
      </c>
      <c r="B5" s="103" t="str">
        <f>+'[16]Fiche de renseignement R1'!$J$10</f>
        <v>006046173</v>
      </c>
      <c r="C5" s="104"/>
      <c r="D5" s="99"/>
      <c r="E5" s="97"/>
      <c r="F5" s="97"/>
    </row>
    <row r="7" spans="1:6">
      <c r="A7" s="105" t="s">
        <v>4</v>
      </c>
      <c r="B7" s="106" t="s">
        <v>5</v>
      </c>
      <c r="C7" s="106"/>
      <c r="D7" s="105" t="s">
        <v>6</v>
      </c>
      <c r="E7" s="107">
        <v>2024</v>
      </c>
      <c r="F7" s="107">
        <v>2023</v>
      </c>
    </row>
    <row r="8" spans="1:6">
      <c r="A8" s="109" t="s">
        <v>7</v>
      </c>
      <c r="B8" s="110" t="s">
        <v>117</v>
      </c>
      <c r="C8" s="109" t="s">
        <v>9</v>
      </c>
      <c r="D8" s="109">
        <v>21</v>
      </c>
      <c r="E8" s="111">
        <v>0</v>
      </c>
      <c r="F8" s="111">
        <v>0</v>
      </c>
    </row>
    <row r="9" spans="1:6">
      <c r="A9" s="109" t="s">
        <v>10</v>
      </c>
      <c r="B9" s="110" t="s">
        <v>11</v>
      </c>
      <c r="C9" s="109" t="s">
        <v>12</v>
      </c>
      <c r="D9" s="109">
        <v>22</v>
      </c>
      <c r="E9" s="111">
        <v>0</v>
      </c>
      <c r="F9" s="111">
        <v>0</v>
      </c>
    </row>
    <row r="10" spans="1:6">
      <c r="A10" s="109" t="s">
        <v>13</v>
      </c>
      <c r="B10" s="110" t="s">
        <v>14</v>
      </c>
      <c r="C10" s="109" t="s">
        <v>15</v>
      </c>
      <c r="D10" s="109">
        <v>6</v>
      </c>
      <c r="E10" s="111">
        <v>0</v>
      </c>
      <c r="F10" s="111">
        <v>0</v>
      </c>
    </row>
    <row r="11" spans="1:6">
      <c r="A11" s="105" t="s">
        <v>16</v>
      </c>
      <c r="B11" s="106" t="s">
        <v>17</v>
      </c>
      <c r="C11" s="105"/>
      <c r="D11" s="105"/>
      <c r="E11" s="112">
        <v>0</v>
      </c>
      <c r="F11" s="112">
        <v>0</v>
      </c>
    </row>
    <row r="12" spans="1:6">
      <c r="A12" s="109" t="s">
        <v>18</v>
      </c>
      <c r="B12" s="110" t="s">
        <v>118</v>
      </c>
      <c r="C12" s="109" t="s">
        <v>9</v>
      </c>
      <c r="D12" s="109">
        <v>21</v>
      </c>
      <c r="E12" s="111">
        <v>0</v>
      </c>
      <c r="F12" s="111">
        <v>0</v>
      </c>
    </row>
    <row r="13" spans="1:6">
      <c r="A13" s="109" t="s">
        <v>20</v>
      </c>
      <c r="B13" s="110" t="s">
        <v>119</v>
      </c>
      <c r="C13" s="109" t="s">
        <v>9</v>
      </c>
      <c r="D13" s="109">
        <v>21</v>
      </c>
      <c r="E13" s="111">
        <v>0</v>
      </c>
      <c r="F13" s="111">
        <v>0</v>
      </c>
    </row>
    <row r="14" spans="1:6">
      <c r="A14" s="109" t="s">
        <v>22</v>
      </c>
      <c r="B14" s="110" t="s">
        <v>120</v>
      </c>
      <c r="C14" s="109" t="s">
        <v>9</v>
      </c>
      <c r="D14" s="109">
        <v>21</v>
      </c>
      <c r="E14" s="111">
        <v>0</v>
      </c>
      <c r="F14" s="111">
        <v>0</v>
      </c>
    </row>
    <row r="15" spans="1:6">
      <c r="A15" s="105" t="s">
        <v>24</v>
      </c>
      <c r="B15" s="106" t="s">
        <v>25</v>
      </c>
      <c r="C15" s="105"/>
      <c r="D15" s="105"/>
      <c r="E15" s="112">
        <v>0</v>
      </c>
      <c r="F15" s="112">
        <v>0</v>
      </c>
    </row>
    <row r="16" spans="1:6">
      <c r="A16" s="109" t="s">
        <v>26</v>
      </c>
      <c r="B16" s="110" t="s">
        <v>27</v>
      </c>
      <c r="C16" s="109" t="s">
        <v>15</v>
      </c>
      <c r="D16" s="109">
        <v>6</v>
      </c>
      <c r="E16" s="111">
        <v>0</v>
      </c>
      <c r="F16" s="111">
        <v>0</v>
      </c>
    </row>
    <row r="17" spans="1:6">
      <c r="A17" s="109" t="s">
        <v>28</v>
      </c>
      <c r="B17" s="110" t="s">
        <v>29</v>
      </c>
      <c r="C17" s="109"/>
      <c r="D17" s="109">
        <v>21</v>
      </c>
      <c r="E17" s="111">
        <v>0</v>
      </c>
      <c r="F17" s="111">
        <v>0</v>
      </c>
    </row>
    <row r="18" spans="1:6">
      <c r="A18" s="109" t="s">
        <v>30</v>
      </c>
      <c r="B18" s="110" t="s">
        <v>31</v>
      </c>
      <c r="C18" s="109"/>
      <c r="D18" s="109">
        <v>21</v>
      </c>
      <c r="E18" s="111">
        <v>0</v>
      </c>
      <c r="F18" s="111">
        <v>0</v>
      </c>
    </row>
    <row r="19" spans="1:6">
      <c r="A19" s="109" t="s">
        <v>32</v>
      </c>
      <c r="B19" s="110" t="s">
        <v>33</v>
      </c>
      <c r="C19" s="109" t="s">
        <v>9</v>
      </c>
      <c r="D19" s="109">
        <v>21</v>
      </c>
      <c r="E19" s="111">
        <v>0</v>
      </c>
      <c r="F19" s="111">
        <v>0</v>
      </c>
    </row>
    <row r="20" spans="1:6">
      <c r="A20" s="109" t="s">
        <v>34</v>
      </c>
      <c r="B20" s="110" t="s">
        <v>35</v>
      </c>
      <c r="C20" s="109" t="s">
        <v>9</v>
      </c>
      <c r="D20" s="109">
        <v>12</v>
      </c>
      <c r="E20" s="111">
        <v>1661566924</v>
      </c>
      <c r="F20" s="111">
        <v>3179406706</v>
      </c>
    </row>
    <row r="21" spans="1:6">
      <c r="A21" s="109" t="s">
        <v>36</v>
      </c>
      <c r="B21" s="110" t="s">
        <v>37</v>
      </c>
      <c r="C21" s="109" t="s">
        <v>12</v>
      </c>
      <c r="D21" s="109">
        <v>22</v>
      </c>
      <c r="E21" s="111">
        <v>0</v>
      </c>
      <c r="F21" s="111">
        <v>0</v>
      </c>
    </row>
    <row r="22" spans="1:6">
      <c r="A22" s="109" t="s">
        <v>38</v>
      </c>
      <c r="B22" s="110" t="s">
        <v>39</v>
      </c>
      <c r="C22" s="109" t="s">
        <v>15</v>
      </c>
      <c r="D22" s="109">
        <v>6</v>
      </c>
      <c r="E22" s="111">
        <v>0</v>
      </c>
      <c r="F22" s="111">
        <v>0</v>
      </c>
    </row>
    <row r="23" spans="1:6">
      <c r="A23" s="109" t="s">
        <v>40</v>
      </c>
      <c r="B23" s="110" t="s">
        <v>41</v>
      </c>
      <c r="C23" s="109" t="s">
        <v>12</v>
      </c>
      <c r="D23" s="109">
        <v>22</v>
      </c>
      <c r="E23" s="111">
        <v>1004144972</v>
      </c>
      <c r="F23" s="111">
        <v>1792268993</v>
      </c>
    </row>
    <row r="24" spans="1:6">
      <c r="A24" s="109" t="s">
        <v>42</v>
      </c>
      <c r="B24" s="110" t="s">
        <v>43</v>
      </c>
      <c r="C24" s="109" t="s">
        <v>15</v>
      </c>
      <c r="D24" s="109">
        <v>6</v>
      </c>
      <c r="E24" s="111">
        <v>0</v>
      </c>
      <c r="F24" s="111">
        <v>0</v>
      </c>
    </row>
    <row r="25" spans="1:6">
      <c r="A25" s="109" t="s">
        <v>44</v>
      </c>
      <c r="B25" s="110" t="s">
        <v>45</v>
      </c>
      <c r="C25" s="109" t="s">
        <v>12</v>
      </c>
      <c r="D25" s="109">
        <v>23</v>
      </c>
      <c r="E25" s="111">
        <v>8746115</v>
      </c>
      <c r="F25" s="111">
        <v>27768963</v>
      </c>
    </row>
    <row r="26" spans="1:6">
      <c r="A26" s="109" t="s">
        <v>46</v>
      </c>
      <c r="B26" s="110" t="s">
        <v>47</v>
      </c>
      <c r="C26" s="109" t="s">
        <v>12</v>
      </c>
      <c r="D26" s="109">
        <v>24</v>
      </c>
      <c r="E26" s="111">
        <v>236681448</v>
      </c>
      <c r="F26" s="111">
        <v>641630421</v>
      </c>
    </row>
    <row r="27" spans="1:6">
      <c r="A27" s="109" t="s">
        <v>48</v>
      </c>
      <c r="B27" s="110" t="s">
        <v>49</v>
      </c>
      <c r="C27" s="109" t="s">
        <v>12</v>
      </c>
      <c r="D27" s="109">
        <v>25</v>
      </c>
      <c r="E27" s="111">
        <v>2605658</v>
      </c>
      <c r="F27" s="111">
        <v>2278873</v>
      </c>
    </row>
    <row r="28" spans="1:6">
      <c r="A28" s="109" t="s">
        <v>50</v>
      </c>
      <c r="B28" s="110" t="s">
        <v>51</v>
      </c>
      <c r="C28" s="109" t="s">
        <v>12</v>
      </c>
      <c r="D28" s="109">
        <v>26</v>
      </c>
      <c r="E28" s="111">
        <v>41667500</v>
      </c>
      <c r="F28" s="111">
        <v>102778950</v>
      </c>
    </row>
    <row r="29" spans="1:6">
      <c r="A29" s="105" t="s">
        <v>52</v>
      </c>
      <c r="B29" s="106" t="s">
        <v>53</v>
      </c>
      <c r="C29" s="105"/>
      <c r="D29" s="105"/>
      <c r="E29" s="112">
        <v>367721231</v>
      </c>
      <c r="F29" s="112">
        <v>612680506</v>
      </c>
    </row>
    <row r="30" spans="1:6">
      <c r="A30" s="109" t="s">
        <v>54</v>
      </c>
      <c r="B30" s="110" t="s">
        <v>55</v>
      </c>
      <c r="C30" s="109" t="s">
        <v>12</v>
      </c>
      <c r="D30" s="109">
        <v>27</v>
      </c>
      <c r="E30" s="111">
        <v>367721231</v>
      </c>
      <c r="F30" s="111">
        <v>612680506</v>
      </c>
    </row>
    <row r="31" spans="1:6">
      <c r="A31" s="105" t="s">
        <v>56</v>
      </c>
      <c r="B31" s="106" t="s">
        <v>57</v>
      </c>
      <c r="C31" s="105"/>
      <c r="D31" s="105"/>
      <c r="E31" s="112">
        <v>0</v>
      </c>
      <c r="F31" s="112">
        <v>0</v>
      </c>
    </row>
    <row r="32" spans="1:6">
      <c r="A32" s="113" t="s">
        <v>58</v>
      </c>
      <c r="B32" s="114" t="s">
        <v>100</v>
      </c>
      <c r="C32" s="113" t="s">
        <v>9</v>
      </c>
      <c r="D32" s="113">
        <v>28</v>
      </c>
      <c r="E32" s="111">
        <v>0</v>
      </c>
      <c r="F32" s="111">
        <v>0</v>
      </c>
    </row>
    <row r="33" spans="1:6">
      <c r="A33" s="109" t="s">
        <v>60</v>
      </c>
      <c r="B33" s="110" t="s">
        <v>61</v>
      </c>
      <c r="C33" s="109" t="s">
        <v>12</v>
      </c>
      <c r="D33" s="109" t="s">
        <v>62</v>
      </c>
      <c r="E33" s="111">
        <v>0</v>
      </c>
      <c r="F33" s="111">
        <v>0</v>
      </c>
    </row>
    <row r="34" spans="1:6">
      <c r="A34" s="105" t="s">
        <v>63</v>
      </c>
      <c r="B34" s="106" t="s">
        <v>64</v>
      </c>
      <c r="C34" s="105"/>
      <c r="D34" s="105"/>
      <c r="E34" s="112">
        <v>0</v>
      </c>
      <c r="F34" s="112">
        <v>0</v>
      </c>
    </row>
    <row r="35" spans="1:6">
      <c r="A35" s="109" t="s">
        <v>65</v>
      </c>
      <c r="B35" s="110" t="s">
        <v>66</v>
      </c>
      <c r="C35" s="109" t="s">
        <v>9</v>
      </c>
      <c r="D35" s="109">
        <v>29</v>
      </c>
      <c r="E35" s="111">
        <v>0</v>
      </c>
      <c r="F35" s="111">
        <v>0</v>
      </c>
    </row>
    <row r="36" spans="1:6">
      <c r="A36" s="109" t="s">
        <v>67</v>
      </c>
      <c r="B36" s="110" t="s">
        <v>68</v>
      </c>
      <c r="C36" s="109" t="s">
        <v>9</v>
      </c>
      <c r="D36" s="109">
        <v>28</v>
      </c>
      <c r="E36" s="111">
        <v>0</v>
      </c>
      <c r="F36" s="111">
        <v>0</v>
      </c>
    </row>
    <row r="37" spans="1:6">
      <c r="A37" s="109" t="s">
        <v>69</v>
      </c>
      <c r="B37" s="110" t="s">
        <v>101</v>
      </c>
      <c r="C37" s="109" t="s">
        <v>9</v>
      </c>
      <c r="D37" s="109">
        <v>12</v>
      </c>
      <c r="E37" s="111">
        <v>0</v>
      </c>
      <c r="F37" s="111">
        <v>0</v>
      </c>
    </row>
    <row r="38" spans="1:6">
      <c r="A38" s="109" t="s">
        <v>71</v>
      </c>
      <c r="B38" s="110" t="s">
        <v>72</v>
      </c>
      <c r="C38" s="109" t="s">
        <v>12</v>
      </c>
      <c r="D38" s="109">
        <v>29</v>
      </c>
      <c r="E38" s="111">
        <v>0</v>
      </c>
      <c r="F38" s="111">
        <v>0</v>
      </c>
    </row>
    <row r="39" spans="1:6">
      <c r="A39" s="109" t="s">
        <v>73</v>
      </c>
      <c r="B39" s="110" t="s">
        <v>74</v>
      </c>
      <c r="C39" s="109" t="s">
        <v>12</v>
      </c>
      <c r="D39" s="109" t="s">
        <v>62</v>
      </c>
      <c r="E39" s="111">
        <v>0</v>
      </c>
      <c r="F39" s="111">
        <v>0</v>
      </c>
    </row>
    <row r="40" spans="1:6">
      <c r="A40" s="105" t="s">
        <v>75</v>
      </c>
      <c r="B40" s="106" t="s">
        <v>76</v>
      </c>
      <c r="C40" s="105"/>
      <c r="D40" s="105"/>
      <c r="E40" s="112">
        <v>0</v>
      </c>
      <c r="F40" s="112">
        <v>0</v>
      </c>
    </row>
    <row r="41" spans="1:6">
      <c r="A41" s="115" t="s">
        <v>77</v>
      </c>
      <c r="B41" s="116" t="s">
        <v>78</v>
      </c>
      <c r="C41" s="115"/>
      <c r="D41" s="115"/>
      <c r="E41" s="117">
        <v>0</v>
      </c>
      <c r="F41" s="117">
        <v>0</v>
      </c>
    </row>
    <row r="42" spans="1:6">
      <c r="A42" s="109" t="s">
        <v>79</v>
      </c>
      <c r="B42" s="110" t="s">
        <v>80</v>
      </c>
      <c r="C42" s="109" t="s">
        <v>9</v>
      </c>
      <c r="D42" s="109" t="s">
        <v>81</v>
      </c>
      <c r="E42" s="111">
        <v>0</v>
      </c>
      <c r="F42" s="111">
        <v>0</v>
      </c>
    </row>
    <row r="43" spans="1:6">
      <c r="A43" s="109" t="s">
        <v>82</v>
      </c>
      <c r="B43" s="110" t="s">
        <v>83</v>
      </c>
      <c r="C43" s="109" t="s">
        <v>9</v>
      </c>
      <c r="D43" s="109">
        <v>30</v>
      </c>
      <c r="E43" s="111">
        <v>0</v>
      </c>
      <c r="F43" s="111">
        <v>0</v>
      </c>
    </row>
    <row r="44" spans="1:6">
      <c r="A44" s="109" t="s">
        <v>84</v>
      </c>
      <c r="B44" s="110" t="s">
        <v>85</v>
      </c>
      <c r="C44" s="109" t="s">
        <v>12</v>
      </c>
      <c r="D44" s="109" t="s">
        <v>81</v>
      </c>
      <c r="E44" s="111">
        <v>0</v>
      </c>
      <c r="F44" s="111">
        <v>0</v>
      </c>
    </row>
    <row r="45" spans="1:6">
      <c r="A45" s="109" t="s">
        <v>86</v>
      </c>
      <c r="B45" s="110" t="s">
        <v>102</v>
      </c>
      <c r="C45" s="109" t="s">
        <v>12</v>
      </c>
      <c r="D45" s="109">
        <v>30</v>
      </c>
      <c r="E45" s="111">
        <v>0</v>
      </c>
      <c r="F45" s="111">
        <v>0</v>
      </c>
    </row>
    <row r="46" spans="1:6">
      <c r="A46" s="115" t="s">
        <v>88</v>
      </c>
      <c r="B46" s="116" t="s">
        <v>89</v>
      </c>
      <c r="C46" s="115"/>
      <c r="D46" s="115"/>
      <c r="E46" s="117">
        <v>0</v>
      </c>
      <c r="F46" s="117">
        <v>0</v>
      </c>
    </row>
    <row r="47" spans="1:6">
      <c r="A47" s="109" t="s">
        <v>90</v>
      </c>
      <c r="B47" s="110" t="s">
        <v>103</v>
      </c>
      <c r="C47" s="109" t="s">
        <v>12</v>
      </c>
      <c r="D47" s="109">
        <v>30</v>
      </c>
      <c r="E47" s="111">
        <v>0</v>
      </c>
      <c r="F47" s="111">
        <v>0</v>
      </c>
    </row>
    <row r="48" spans="1:6">
      <c r="A48" s="109" t="s">
        <v>92</v>
      </c>
      <c r="B48" s="110" t="s">
        <v>93</v>
      </c>
      <c r="C48" s="109" t="s">
        <v>12</v>
      </c>
      <c r="D48" s="109">
        <v>37</v>
      </c>
      <c r="E48" s="111">
        <v>0</v>
      </c>
      <c r="F48" s="111">
        <v>0</v>
      </c>
    </row>
    <row r="49" spans="1:6">
      <c r="A49" s="105" t="s">
        <v>94</v>
      </c>
      <c r="B49" s="106" t="s">
        <v>95</v>
      </c>
      <c r="C49" s="105"/>
      <c r="D49" s="106"/>
      <c r="E49" s="112">
        <v>0</v>
      </c>
      <c r="F49" s="112">
        <v>0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5" xr:uid="{AEC1A884-60BC-496D-B6AE-50C3D2F02DC8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E84699F9-012D-4EAA-868A-B14A84E0F6EA}">
      <formula1>0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C361-EF2B-485B-B813-1AC9D5DFC058}">
  <dimension ref="A1:F49"/>
  <sheetViews>
    <sheetView topLeftCell="B1" workbookViewId="0">
      <selection activeCell="G7" sqref="G7"/>
    </sheetView>
  </sheetViews>
  <sheetFormatPr baseColWidth="10" defaultColWidth="11.42578125" defaultRowHeight="12.7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28515625" style="108" customWidth="1" collapsed="1"/>
    <col min="5" max="6" width="13.85546875" style="108" customWidth="1" collapsed="1"/>
    <col min="7" max="16384" width="11.42578125" style="108" collapsed="1"/>
  </cols>
  <sheetData>
    <row r="1" spans="1:6" s="93" customFormat="1" ht="24.6" customHeight="1">
      <c r="A1" s="165" t="s">
        <v>0</v>
      </c>
      <c r="B1" s="165"/>
      <c r="C1" s="165"/>
      <c r="D1" s="165"/>
      <c r="E1" s="165"/>
      <c r="F1" s="165"/>
    </row>
    <row r="2" spans="1:6" s="93" customFormat="1" ht="8.1" customHeight="1">
      <c r="A2" s="166"/>
      <c r="B2" s="166"/>
      <c r="C2" s="167"/>
      <c r="D2" s="166"/>
      <c r="E2" s="166"/>
      <c r="F2" s="166"/>
    </row>
    <row r="3" spans="1:6" s="93" customFormat="1" ht="25.5" customHeight="1">
      <c r="A3" s="168" t="s">
        <v>134</v>
      </c>
      <c r="B3" s="168"/>
      <c r="C3" s="168"/>
      <c r="D3" s="166" t="s">
        <v>1</v>
      </c>
      <c r="E3" s="169">
        <v>45657</v>
      </c>
      <c r="F3" s="170"/>
    </row>
    <row r="4" spans="1:6" s="93" customFormat="1" ht="15" customHeight="1">
      <c r="A4" s="171" t="s">
        <v>147</v>
      </c>
      <c r="B4" s="170"/>
      <c r="C4" s="170"/>
      <c r="D4" s="172" t="s">
        <v>2</v>
      </c>
      <c r="E4" s="173">
        <v>12</v>
      </c>
      <c r="F4" s="174"/>
    </row>
    <row r="5" spans="1:6" s="93" customFormat="1" ht="30.95" customHeight="1">
      <c r="A5" s="175" t="s">
        <v>3</v>
      </c>
      <c r="B5" s="176" t="s">
        <v>148</v>
      </c>
      <c r="C5" s="177"/>
      <c r="D5" s="172"/>
      <c r="E5" s="170"/>
      <c r="F5" s="170"/>
    </row>
    <row r="7" spans="1:6" ht="18" customHeight="1">
      <c r="A7" s="178" t="s">
        <v>4</v>
      </c>
      <c r="B7" s="179" t="s">
        <v>5</v>
      </c>
      <c r="C7" s="179"/>
      <c r="D7" s="178" t="s">
        <v>6</v>
      </c>
      <c r="E7" s="180">
        <v>2024</v>
      </c>
      <c r="F7" s="180">
        <v>2023</v>
      </c>
    </row>
    <row r="8" spans="1:6">
      <c r="A8" s="181" t="s">
        <v>7</v>
      </c>
      <c r="B8" s="182" t="s">
        <v>117</v>
      </c>
      <c r="C8" s="181" t="s">
        <v>9</v>
      </c>
      <c r="D8" s="181">
        <v>21</v>
      </c>
      <c r="E8" s="183">
        <v>1058354357</v>
      </c>
      <c r="F8" s="183">
        <v>1958462591</v>
      </c>
    </row>
    <row r="9" spans="1:6">
      <c r="A9" s="181" t="s">
        <v>10</v>
      </c>
      <c r="B9" s="182" t="s">
        <v>11</v>
      </c>
      <c r="C9" s="181" t="s">
        <v>12</v>
      </c>
      <c r="D9" s="181">
        <v>22</v>
      </c>
      <c r="E9" s="183">
        <v>334334672</v>
      </c>
      <c r="F9" s="183">
        <v>1024603203</v>
      </c>
    </row>
    <row r="10" spans="1:6">
      <c r="A10" s="181" t="s">
        <v>13</v>
      </c>
      <c r="B10" s="182" t="s">
        <v>14</v>
      </c>
      <c r="C10" s="181" t="s">
        <v>15</v>
      </c>
      <c r="D10" s="181">
        <v>6</v>
      </c>
      <c r="E10" s="183">
        <v>289251315</v>
      </c>
      <c r="F10" s="183">
        <v>73491068</v>
      </c>
    </row>
    <row r="11" spans="1:6">
      <c r="A11" s="178" t="s">
        <v>16</v>
      </c>
      <c r="B11" s="179" t="s">
        <v>17</v>
      </c>
      <c r="C11" s="178"/>
      <c r="D11" s="178"/>
      <c r="E11" s="184">
        <v>434768370</v>
      </c>
      <c r="F11" s="184">
        <v>1007350456</v>
      </c>
    </row>
    <row r="12" spans="1:6">
      <c r="A12" s="181" t="s">
        <v>18</v>
      </c>
      <c r="B12" s="182" t="s">
        <v>118</v>
      </c>
      <c r="C12" s="181" t="s">
        <v>9</v>
      </c>
      <c r="D12" s="181">
        <v>21</v>
      </c>
      <c r="E12" s="183">
        <v>2951203046</v>
      </c>
      <c r="F12" s="183">
        <v>7947960142</v>
      </c>
    </row>
    <row r="13" spans="1:6">
      <c r="A13" s="181" t="s">
        <v>20</v>
      </c>
      <c r="B13" s="182" t="s">
        <v>119</v>
      </c>
      <c r="C13" s="181" t="s">
        <v>9</v>
      </c>
      <c r="D13" s="181">
        <v>21</v>
      </c>
      <c r="E13" s="183">
        <v>420935079</v>
      </c>
      <c r="F13" s="183">
        <v>473878129</v>
      </c>
    </row>
    <row r="14" spans="1:6">
      <c r="A14" s="181" t="s">
        <v>22</v>
      </c>
      <c r="B14" s="182" t="s">
        <v>120</v>
      </c>
      <c r="C14" s="181" t="s">
        <v>9</v>
      </c>
      <c r="D14" s="181">
        <v>21</v>
      </c>
      <c r="E14" s="183">
        <v>153701400</v>
      </c>
      <c r="F14" s="183">
        <v>6005116</v>
      </c>
    </row>
    <row r="15" spans="1:6">
      <c r="A15" s="178" t="s">
        <v>24</v>
      </c>
      <c r="B15" s="179" t="s">
        <v>25</v>
      </c>
      <c r="C15" s="178"/>
      <c r="D15" s="178"/>
      <c r="E15" s="184">
        <v>4584193882</v>
      </c>
      <c r="F15" s="184">
        <v>10386305978</v>
      </c>
    </row>
    <row r="16" spans="1:6">
      <c r="A16" s="181" t="s">
        <v>26</v>
      </c>
      <c r="B16" s="182" t="s">
        <v>27</v>
      </c>
      <c r="C16" s="181" t="s">
        <v>15</v>
      </c>
      <c r="D16" s="181">
        <v>6</v>
      </c>
      <c r="E16" s="183">
        <v>17685221</v>
      </c>
      <c r="F16" s="183">
        <v>2134842</v>
      </c>
    </row>
    <row r="17" spans="1:6">
      <c r="A17" s="181" t="s">
        <v>28</v>
      </c>
      <c r="B17" s="182" t="s">
        <v>29</v>
      </c>
      <c r="C17" s="181"/>
      <c r="D17" s="181">
        <v>21</v>
      </c>
      <c r="E17" s="183">
        <v>0</v>
      </c>
      <c r="F17" s="183">
        <v>0</v>
      </c>
    </row>
    <row r="18" spans="1:6">
      <c r="A18" s="181" t="s">
        <v>30</v>
      </c>
      <c r="B18" s="182" t="s">
        <v>31</v>
      </c>
      <c r="C18" s="181"/>
      <c r="D18" s="181">
        <v>21</v>
      </c>
      <c r="E18" s="183">
        <v>0</v>
      </c>
      <c r="F18" s="183">
        <v>0</v>
      </c>
    </row>
    <row r="19" spans="1:6">
      <c r="A19" s="181" t="s">
        <v>32</v>
      </c>
      <c r="B19" s="182" t="s">
        <v>33</v>
      </c>
      <c r="C19" s="181" t="s">
        <v>9</v>
      </c>
      <c r="D19" s="181">
        <v>21</v>
      </c>
      <c r="E19" s="183">
        <v>72438631</v>
      </c>
      <c r="F19" s="183">
        <v>111213323</v>
      </c>
    </row>
    <row r="20" spans="1:6">
      <c r="A20" s="181" t="s">
        <v>34</v>
      </c>
      <c r="B20" s="182" t="s">
        <v>35</v>
      </c>
      <c r="C20" s="181" t="s">
        <v>9</v>
      </c>
      <c r="D20" s="181">
        <v>12</v>
      </c>
      <c r="E20" s="183">
        <v>0</v>
      </c>
      <c r="F20" s="183">
        <v>0</v>
      </c>
    </row>
    <row r="21" spans="1:6">
      <c r="A21" s="181" t="s">
        <v>36</v>
      </c>
      <c r="B21" s="182" t="s">
        <v>37</v>
      </c>
      <c r="C21" s="181" t="s">
        <v>12</v>
      </c>
      <c r="D21" s="181">
        <v>22</v>
      </c>
      <c r="E21" s="183">
        <v>1808887536</v>
      </c>
      <c r="F21" s="183">
        <v>4212788210</v>
      </c>
    </row>
    <row r="22" spans="1:6">
      <c r="A22" s="181" t="s">
        <v>38</v>
      </c>
      <c r="B22" s="182" t="s">
        <v>39</v>
      </c>
      <c r="C22" s="181" t="s">
        <v>15</v>
      </c>
      <c r="D22" s="181">
        <v>6</v>
      </c>
      <c r="E22" s="183">
        <v>116727871</v>
      </c>
      <c r="F22" s="183">
        <v>1129654225</v>
      </c>
    </row>
    <row r="23" spans="1:6">
      <c r="A23" s="181" t="s">
        <v>40</v>
      </c>
      <c r="B23" s="182" t="s">
        <v>41</v>
      </c>
      <c r="C23" s="181" t="s">
        <v>12</v>
      </c>
      <c r="D23" s="181">
        <v>22</v>
      </c>
      <c r="E23" s="183">
        <v>126420070</v>
      </c>
      <c r="F23" s="183">
        <v>163865839</v>
      </c>
    </row>
    <row r="24" spans="1:6">
      <c r="A24" s="181" t="s">
        <v>42</v>
      </c>
      <c r="B24" s="182" t="s">
        <v>43</v>
      </c>
      <c r="C24" s="181" t="s">
        <v>15</v>
      </c>
      <c r="D24" s="181">
        <v>6</v>
      </c>
      <c r="E24" s="183">
        <v>27463834</v>
      </c>
      <c r="F24" s="183">
        <v>37635156</v>
      </c>
    </row>
    <row r="25" spans="1:6">
      <c r="A25" s="181" t="s">
        <v>44</v>
      </c>
      <c r="B25" s="182" t="s">
        <v>45</v>
      </c>
      <c r="C25" s="181" t="s">
        <v>12</v>
      </c>
      <c r="D25" s="181">
        <v>23</v>
      </c>
      <c r="E25" s="183">
        <v>18103292</v>
      </c>
      <c r="F25" s="183">
        <v>11673672</v>
      </c>
    </row>
    <row r="26" spans="1:6">
      <c r="A26" s="181" t="s">
        <v>46</v>
      </c>
      <c r="B26" s="182" t="s">
        <v>47</v>
      </c>
      <c r="C26" s="181" t="s">
        <v>12</v>
      </c>
      <c r="D26" s="181">
        <v>24</v>
      </c>
      <c r="E26" s="183">
        <v>662125850</v>
      </c>
      <c r="F26" s="183">
        <v>541332906</v>
      </c>
    </row>
    <row r="27" spans="1:6">
      <c r="A27" s="181" t="s">
        <v>48</v>
      </c>
      <c r="B27" s="182" t="s">
        <v>49</v>
      </c>
      <c r="C27" s="181" t="s">
        <v>12</v>
      </c>
      <c r="D27" s="181">
        <v>25</v>
      </c>
      <c r="E27" s="183">
        <v>72607747</v>
      </c>
      <c r="F27" s="183">
        <v>299996672</v>
      </c>
    </row>
    <row r="28" spans="1:6">
      <c r="A28" s="181" t="s">
        <v>50</v>
      </c>
      <c r="B28" s="182" t="s">
        <v>51</v>
      </c>
      <c r="C28" s="181" t="s">
        <v>12</v>
      </c>
      <c r="D28" s="181">
        <v>26</v>
      </c>
      <c r="E28" s="183">
        <v>99160695</v>
      </c>
      <c r="F28" s="183">
        <v>32416811</v>
      </c>
    </row>
    <row r="29" spans="1:6">
      <c r="A29" s="178" t="s">
        <v>52</v>
      </c>
      <c r="B29" s="179" t="s">
        <v>53</v>
      </c>
      <c r="C29" s="178"/>
      <c r="D29" s="178"/>
      <c r="E29" s="184">
        <v>1372247820</v>
      </c>
      <c r="F29" s="184">
        <v>3194448829</v>
      </c>
    </row>
    <row r="30" spans="1:6">
      <c r="A30" s="181" t="s">
        <v>54</v>
      </c>
      <c r="B30" s="182" t="s">
        <v>55</v>
      </c>
      <c r="C30" s="181" t="s">
        <v>12</v>
      </c>
      <c r="D30" s="181">
        <v>27</v>
      </c>
      <c r="E30" s="183">
        <v>535015791</v>
      </c>
      <c r="F30" s="183">
        <v>571587243</v>
      </c>
    </row>
    <row r="31" spans="1:6">
      <c r="A31" s="178" t="s">
        <v>56</v>
      </c>
      <c r="B31" s="179" t="s">
        <v>57</v>
      </c>
      <c r="C31" s="178"/>
      <c r="D31" s="178"/>
      <c r="E31" s="184">
        <v>837232029</v>
      </c>
      <c r="F31" s="184">
        <v>2622861586</v>
      </c>
    </row>
    <row r="32" spans="1:6">
      <c r="A32" s="185" t="s">
        <v>58</v>
      </c>
      <c r="B32" s="186" t="s">
        <v>100</v>
      </c>
      <c r="C32" s="185" t="s">
        <v>9</v>
      </c>
      <c r="D32" s="185">
        <v>28</v>
      </c>
      <c r="E32" s="183">
        <v>0</v>
      </c>
      <c r="F32" s="183">
        <v>0</v>
      </c>
    </row>
    <row r="33" spans="1:6">
      <c r="A33" s="181" t="s">
        <v>60</v>
      </c>
      <c r="B33" s="182" t="s">
        <v>61</v>
      </c>
      <c r="C33" s="181" t="s">
        <v>12</v>
      </c>
      <c r="D33" s="181" t="s">
        <v>62</v>
      </c>
      <c r="E33" s="183">
        <v>133140342</v>
      </c>
      <c r="F33" s="183">
        <v>153395096</v>
      </c>
    </row>
    <row r="34" spans="1:6">
      <c r="A34" s="178" t="s">
        <v>63</v>
      </c>
      <c r="B34" s="179" t="s">
        <v>64</v>
      </c>
      <c r="C34" s="178"/>
      <c r="D34" s="178"/>
      <c r="E34" s="184">
        <v>704091687</v>
      </c>
      <c r="F34" s="184">
        <v>2469466490</v>
      </c>
    </row>
    <row r="35" spans="1:6">
      <c r="A35" s="181" t="s">
        <v>65</v>
      </c>
      <c r="B35" s="182" t="s">
        <v>66</v>
      </c>
      <c r="C35" s="181" t="s">
        <v>9</v>
      </c>
      <c r="D35" s="181">
        <v>29</v>
      </c>
      <c r="E35" s="183">
        <v>0</v>
      </c>
      <c r="F35" s="183">
        <v>0</v>
      </c>
    </row>
    <row r="36" spans="1:6">
      <c r="A36" s="181" t="s">
        <v>67</v>
      </c>
      <c r="B36" s="182" t="s">
        <v>68</v>
      </c>
      <c r="C36" s="181" t="s">
        <v>9</v>
      </c>
      <c r="D36" s="181">
        <v>28</v>
      </c>
      <c r="E36" s="183">
        <v>0</v>
      </c>
      <c r="F36" s="183">
        <v>0</v>
      </c>
    </row>
    <row r="37" spans="1:6">
      <c r="A37" s="181" t="s">
        <v>69</v>
      </c>
      <c r="B37" s="182" t="s">
        <v>101</v>
      </c>
      <c r="C37" s="181" t="s">
        <v>9</v>
      </c>
      <c r="D37" s="181">
        <v>12</v>
      </c>
      <c r="E37" s="183">
        <v>0</v>
      </c>
      <c r="F37" s="183">
        <v>0</v>
      </c>
    </row>
    <row r="38" spans="1:6">
      <c r="A38" s="181" t="s">
        <v>71</v>
      </c>
      <c r="B38" s="182" t="s">
        <v>72</v>
      </c>
      <c r="C38" s="181" t="s">
        <v>12</v>
      </c>
      <c r="D38" s="181">
        <v>29</v>
      </c>
      <c r="E38" s="183">
        <v>39564000</v>
      </c>
      <c r="F38" s="183">
        <v>0</v>
      </c>
    </row>
    <row r="39" spans="1:6">
      <c r="A39" s="181" t="s">
        <v>73</v>
      </c>
      <c r="B39" s="182" t="s">
        <v>74</v>
      </c>
      <c r="C39" s="181" t="s">
        <v>12</v>
      </c>
      <c r="D39" s="181" t="s">
        <v>62</v>
      </c>
      <c r="E39" s="183">
        <v>0</v>
      </c>
      <c r="F39" s="183">
        <v>0</v>
      </c>
    </row>
    <row r="40" spans="1:6">
      <c r="A40" s="178" t="s">
        <v>75</v>
      </c>
      <c r="B40" s="179" t="s">
        <v>76</v>
      </c>
      <c r="C40" s="178"/>
      <c r="D40" s="178"/>
      <c r="E40" s="184">
        <v>-39564000</v>
      </c>
      <c r="F40" s="184">
        <v>0</v>
      </c>
    </row>
    <row r="41" spans="1:6">
      <c r="A41" s="187" t="s">
        <v>77</v>
      </c>
      <c r="B41" s="188" t="s">
        <v>78</v>
      </c>
      <c r="C41" s="187"/>
      <c r="D41" s="187"/>
      <c r="E41" s="189">
        <v>664527687</v>
      </c>
      <c r="F41" s="189">
        <v>2469466490</v>
      </c>
    </row>
    <row r="42" spans="1:6">
      <c r="A42" s="181" t="s">
        <v>79</v>
      </c>
      <c r="B42" s="182" t="s">
        <v>80</v>
      </c>
      <c r="C42" s="181" t="s">
        <v>9</v>
      </c>
      <c r="D42" s="181" t="s">
        <v>81</v>
      </c>
      <c r="E42" s="183">
        <v>0</v>
      </c>
      <c r="F42" s="183">
        <v>0</v>
      </c>
    </row>
    <row r="43" spans="1:6">
      <c r="A43" s="181" t="s">
        <v>82</v>
      </c>
      <c r="B43" s="182" t="s">
        <v>83</v>
      </c>
      <c r="C43" s="181" t="s">
        <v>9</v>
      </c>
      <c r="D43" s="181">
        <v>30</v>
      </c>
      <c r="E43" s="183">
        <v>0</v>
      </c>
      <c r="F43" s="183">
        <v>0</v>
      </c>
    </row>
    <row r="44" spans="1:6">
      <c r="A44" s="181" t="s">
        <v>84</v>
      </c>
      <c r="B44" s="182" t="s">
        <v>85</v>
      </c>
      <c r="C44" s="181" t="s">
        <v>12</v>
      </c>
      <c r="D44" s="181" t="s">
        <v>81</v>
      </c>
      <c r="E44" s="183">
        <v>0</v>
      </c>
      <c r="F44" s="183">
        <v>0</v>
      </c>
    </row>
    <row r="45" spans="1:6">
      <c r="A45" s="181" t="s">
        <v>86</v>
      </c>
      <c r="B45" s="182" t="s">
        <v>102</v>
      </c>
      <c r="C45" s="181" t="s">
        <v>12</v>
      </c>
      <c r="D45" s="181">
        <v>30</v>
      </c>
      <c r="E45" s="183">
        <v>0</v>
      </c>
      <c r="F45" s="183">
        <v>0</v>
      </c>
    </row>
    <row r="46" spans="1:6">
      <c r="A46" s="187" t="s">
        <v>88</v>
      </c>
      <c r="B46" s="188" t="s">
        <v>89</v>
      </c>
      <c r="C46" s="187"/>
      <c r="D46" s="187"/>
      <c r="E46" s="189">
        <v>0</v>
      </c>
      <c r="F46" s="189">
        <v>0</v>
      </c>
    </row>
    <row r="47" spans="1:6">
      <c r="A47" s="181" t="s">
        <v>90</v>
      </c>
      <c r="B47" s="182" t="s">
        <v>103</v>
      </c>
      <c r="C47" s="181" t="s">
        <v>12</v>
      </c>
      <c r="D47" s="181">
        <v>30</v>
      </c>
      <c r="E47" s="183">
        <v>0</v>
      </c>
      <c r="F47" s="183">
        <v>0</v>
      </c>
    </row>
    <row r="48" spans="1:6">
      <c r="A48" s="181" t="s">
        <v>92</v>
      </c>
      <c r="B48" s="182" t="s">
        <v>93</v>
      </c>
      <c r="C48" s="181" t="s">
        <v>12</v>
      </c>
      <c r="D48" s="181">
        <v>37</v>
      </c>
      <c r="E48" s="183">
        <v>238850968</v>
      </c>
      <c r="F48" s="183">
        <v>841550036</v>
      </c>
    </row>
    <row r="49" spans="1:6">
      <c r="A49" s="178" t="s">
        <v>94</v>
      </c>
      <c r="B49" s="179" t="s">
        <v>95</v>
      </c>
      <c r="C49" s="178"/>
      <c r="D49" s="179"/>
      <c r="E49" s="184">
        <v>425676719</v>
      </c>
      <c r="F49" s="184">
        <v>1627916454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5" xr:uid="{0D6F92D1-186A-44C0-BE06-934AA4F703BE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8368B25B-A05B-43C0-8A0C-76FF3C04C872}">
      <formula1>0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944E-77F0-4E74-859F-2501B9E08DBA}">
  <sheetPr>
    <tabColor rgb="FF00B050"/>
  </sheetPr>
  <dimension ref="A1:H84"/>
  <sheetViews>
    <sheetView topLeftCell="F1" workbookViewId="0">
      <selection activeCell="G16" sqref="G16"/>
    </sheetView>
  </sheetViews>
  <sheetFormatPr baseColWidth="10" defaultColWidth="10.28515625" defaultRowHeight="12.75"/>
  <cols>
    <col min="1" max="1" width="19.28515625" style="26" customWidth="1" collapsed="1"/>
    <col min="2" max="2" width="56" style="27" bestFit="1" customWidth="1" collapsed="1"/>
    <col min="3" max="3" width="6" style="27" customWidth="1" collapsed="1"/>
    <col min="4" max="4" width="21" style="27" customWidth="1" collapsed="1"/>
    <col min="5" max="5" width="31.140625" style="28" customWidth="1" collapsed="1"/>
    <col min="6" max="6" width="29.42578125" style="28" customWidth="1" collapsed="1"/>
    <col min="7" max="7" width="12.7109375" style="27" bestFit="1" customWidth="1" collapsed="1"/>
    <col min="8" max="8" width="13.7109375" style="27" bestFit="1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</row>
    <row r="2" spans="1:8" s="1" customFormat="1" ht="8.1" customHeight="1">
      <c r="C2" s="2"/>
    </row>
    <row r="3" spans="1:8" s="1" customFormat="1" ht="25.5" customHeight="1">
      <c r="A3" s="71" t="s">
        <v>96</v>
      </c>
      <c r="B3" s="71"/>
      <c r="C3" s="71"/>
      <c r="D3" s="1" t="s">
        <v>1</v>
      </c>
      <c r="E3" s="72">
        <f>+'[17]Fiche de renseignement R1'!$V$10</f>
        <v>45657</v>
      </c>
      <c r="F3" s="73"/>
    </row>
    <row r="4" spans="1:8" s="1" customFormat="1" ht="15" customHeight="1">
      <c r="A4" s="73" t="str">
        <f>+'[17]BILAN PAYSAGE'!A4:C4</f>
        <v>SOCIETE DE CONCASSAGE ET DE BETON</v>
      </c>
      <c r="B4" s="73"/>
      <c r="C4" s="73"/>
      <c r="D4" s="74" t="s">
        <v>2</v>
      </c>
      <c r="E4" s="75">
        <f>+'[17]Fiche de renseignement R1'!$AH$10</f>
        <v>12</v>
      </c>
      <c r="F4" s="75"/>
    </row>
    <row r="5" spans="1:8" s="1" customFormat="1" ht="30.95" customHeight="1">
      <c r="A5" s="4" t="s">
        <v>3</v>
      </c>
      <c r="B5" s="76" t="str">
        <f>'[17]Page de garde'!N51</f>
        <v>006389507</v>
      </c>
      <c r="C5" s="76"/>
      <c r="D5" s="74"/>
      <c r="E5" s="73"/>
      <c r="F5" s="73"/>
    </row>
    <row r="6" spans="1:8" s="1" customFormat="1" ht="8.1" customHeight="1">
      <c r="C6" s="2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7">
        <v>2024</v>
      </c>
      <c r="F7" s="7">
        <v>2023</v>
      </c>
      <c r="G7" s="7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139">
        <v>0</v>
      </c>
      <c r="F8" s="139">
        <v>0</v>
      </c>
      <c r="G8" s="10">
        <v>0</v>
      </c>
      <c r="H8" s="10">
        <v>0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40">
        <v>0</v>
      </c>
      <c r="F9" s="140">
        <v>0</v>
      </c>
      <c r="G9" s="13">
        <v>0</v>
      </c>
      <c r="H9" s="13">
        <v>0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40">
        <v>0</v>
      </c>
      <c r="F10" s="140">
        <v>0</v>
      </c>
      <c r="G10" s="13">
        <v>0</v>
      </c>
      <c r="H10" s="13">
        <v>0</v>
      </c>
    </row>
    <row r="11" spans="1:8" ht="18" customHeight="1">
      <c r="A11" s="16" t="s">
        <v>16</v>
      </c>
      <c r="B11" s="17" t="s">
        <v>17</v>
      </c>
      <c r="C11" s="16"/>
      <c r="D11" s="16"/>
      <c r="E11" s="141">
        <v>0</v>
      </c>
      <c r="F11" s="141">
        <v>0</v>
      </c>
      <c r="G11" s="18">
        <v>0</v>
      </c>
      <c r="H11" s="18">
        <v>0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40">
        <v>382459488</v>
      </c>
      <c r="F12" s="140">
        <v>411877964</v>
      </c>
      <c r="G12" s="13">
        <v>941421361</v>
      </c>
      <c r="H12" s="13">
        <v>1296774732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40">
        <v>0</v>
      </c>
      <c r="F13" s="140">
        <v>0</v>
      </c>
      <c r="G13" s="13">
        <v>0</v>
      </c>
      <c r="H13" s="13">
        <v>0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40">
        <v>0</v>
      </c>
      <c r="F14" s="140">
        <v>0</v>
      </c>
      <c r="G14" s="13">
        <v>0</v>
      </c>
      <c r="H14" s="13">
        <v>0</v>
      </c>
    </row>
    <row r="15" spans="1:8" ht="18" customHeight="1">
      <c r="A15" s="16" t="s">
        <v>24</v>
      </c>
      <c r="B15" s="17" t="s">
        <v>25</v>
      </c>
      <c r="C15" s="16"/>
      <c r="D15" s="16"/>
      <c r="E15" s="141">
        <v>382459488</v>
      </c>
      <c r="F15" s="141">
        <v>411877964</v>
      </c>
      <c r="G15" s="18">
        <v>941421361</v>
      </c>
      <c r="H15" s="18">
        <v>1296774732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40">
        <v>369914000</v>
      </c>
      <c r="F16" s="140">
        <v>636997251</v>
      </c>
      <c r="G16" s="13">
        <v>298781728</v>
      </c>
      <c r="H16" s="13">
        <v>120537021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40">
        <v>0</v>
      </c>
      <c r="F17" s="140">
        <v>0</v>
      </c>
      <c r="G17" s="13">
        <v>0</v>
      </c>
      <c r="H17" s="13">
        <v>0</v>
      </c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40">
        <v>0</v>
      </c>
      <c r="F18" s="140">
        <v>0</v>
      </c>
      <c r="G18" s="13">
        <v>0</v>
      </c>
      <c r="H18" s="13">
        <v>0</v>
      </c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40">
        <v>0</v>
      </c>
      <c r="F19" s="140">
        <v>0</v>
      </c>
      <c r="G19" s="13">
        <v>0</v>
      </c>
      <c r="H19" s="13">
        <v>0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42">
        <v>0</v>
      </c>
      <c r="F20" s="142">
        <v>0</v>
      </c>
      <c r="G20" s="21">
        <v>0</v>
      </c>
      <c r="H20" s="21">
        <v>0</v>
      </c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40">
        <v>0</v>
      </c>
      <c r="F21" s="140">
        <v>0</v>
      </c>
      <c r="G21" s="13">
        <v>-313665000</v>
      </c>
      <c r="H21" s="13">
        <v>-220171081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40">
        <v>-13199600</v>
      </c>
      <c r="F22" s="140">
        <v>-73794000</v>
      </c>
      <c r="G22" s="13">
        <v>31889769</v>
      </c>
      <c r="H22" s="13">
        <v>-11510769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40">
        <v>-343331046</v>
      </c>
      <c r="F23" s="140">
        <v>-581049753</v>
      </c>
      <c r="G23" s="13">
        <v>-461767392</v>
      </c>
      <c r="H23" s="13">
        <v>-363782541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40">
        <v>0</v>
      </c>
      <c r="F24" s="140">
        <v>0</v>
      </c>
      <c r="G24" s="13">
        <v>0</v>
      </c>
      <c r="H24" s="13">
        <v>0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40">
        <v>-4450</v>
      </c>
      <c r="F25" s="140">
        <v>-8228680</v>
      </c>
      <c r="G25" s="13">
        <v>-5954497</v>
      </c>
      <c r="H25" s="13">
        <v>-4425500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40">
        <v>-25528552</v>
      </c>
      <c r="F26" s="140">
        <v>-101618166</v>
      </c>
      <c r="G26" s="13">
        <v>-75952079</v>
      </c>
      <c r="H26" s="13">
        <v>-97035005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40">
        <v>-49959222</v>
      </c>
      <c r="F27" s="140">
        <v>-8500373</v>
      </c>
      <c r="G27" s="13">
        <v>-22589466</v>
      </c>
      <c r="H27" s="13">
        <v>-31534446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40">
        <v>0</v>
      </c>
      <c r="F28" s="140">
        <v>0</v>
      </c>
      <c r="G28" s="13">
        <v>0</v>
      </c>
      <c r="H28" s="13">
        <v>0</v>
      </c>
    </row>
    <row r="29" spans="1:8" ht="18" customHeight="1">
      <c r="A29" s="16" t="s">
        <v>52</v>
      </c>
      <c r="B29" s="17" t="s">
        <v>53</v>
      </c>
      <c r="C29" s="16"/>
      <c r="D29" s="16"/>
      <c r="E29" s="141">
        <v>320350618</v>
      </c>
      <c r="F29" s="141">
        <v>275684243</v>
      </c>
      <c r="G29" s="18">
        <v>392164424</v>
      </c>
      <c r="H29" s="18">
        <v>688852411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40">
        <v>-111570538</v>
      </c>
      <c r="F30" s="140">
        <v>-206702172</v>
      </c>
      <c r="G30" s="13">
        <v>-200674719</v>
      </c>
      <c r="H30" s="13">
        <v>-130132124</v>
      </c>
    </row>
    <row r="31" spans="1:8" ht="18" customHeight="1">
      <c r="A31" s="16" t="s">
        <v>56</v>
      </c>
      <c r="B31" s="17" t="s">
        <v>57</v>
      </c>
      <c r="C31" s="16"/>
      <c r="D31" s="16"/>
      <c r="E31" s="141">
        <v>208780080</v>
      </c>
      <c r="F31" s="141">
        <v>68982071</v>
      </c>
      <c r="G31" s="18">
        <v>191489705</v>
      </c>
      <c r="H31" s="18">
        <v>558720287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40">
        <v>3495293</v>
      </c>
      <c r="F32" s="140">
        <v>5300000</v>
      </c>
      <c r="G32" s="13">
        <v>2090600</v>
      </c>
      <c r="H32" s="13">
        <v>1956340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42">
        <v>-196354730</v>
      </c>
      <c r="F33" s="142">
        <v>-190724991</v>
      </c>
      <c r="G33" s="21">
        <v>-168453999</v>
      </c>
      <c r="H33" s="21">
        <v>-151840848</v>
      </c>
    </row>
    <row r="34" spans="1:8" ht="18" customHeight="1">
      <c r="A34" s="16" t="s">
        <v>63</v>
      </c>
      <c r="B34" s="17" t="s">
        <v>64</v>
      </c>
      <c r="C34" s="16"/>
      <c r="D34" s="16"/>
      <c r="E34" s="141">
        <v>15920643</v>
      </c>
      <c r="F34" s="141">
        <v>-116442920</v>
      </c>
      <c r="G34" s="18">
        <v>25126306</v>
      </c>
      <c r="H34" s="18">
        <v>408835779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40">
        <v>0</v>
      </c>
      <c r="F35" s="140">
        <v>0</v>
      </c>
      <c r="G35" s="13">
        <v>0</v>
      </c>
      <c r="H35" s="13">
        <v>0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40">
        <v>0</v>
      </c>
      <c r="F36" s="140">
        <v>0</v>
      </c>
      <c r="G36" s="13">
        <v>0</v>
      </c>
      <c r="H36" s="13">
        <v>0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40">
        <v>0</v>
      </c>
      <c r="F37" s="140">
        <v>0</v>
      </c>
      <c r="G37" s="13">
        <v>0</v>
      </c>
      <c r="H37" s="13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40">
        <v>0</v>
      </c>
      <c r="F38" s="140">
        <v>0</v>
      </c>
      <c r="G38" s="13">
        <v>0</v>
      </c>
      <c r="H38" s="13">
        <v>0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40">
        <v>0</v>
      </c>
      <c r="F39" s="140">
        <v>0</v>
      </c>
      <c r="G39" s="13">
        <v>0</v>
      </c>
      <c r="H39" s="13">
        <v>0</v>
      </c>
    </row>
    <row r="40" spans="1:8" ht="18" customHeight="1">
      <c r="A40" s="16" t="s">
        <v>75</v>
      </c>
      <c r="B40" s="17" t="s">
        <v>76</v>
      </c>
      <c r="C40" s="16"/>
      <c r="D40" s="16"/>
      <c r="E40" s="141">
        <v>0</v>
      </c>
      <c r="F40" s="141">
        <v>0</v>
      </c>
      <c r="G40" s="18">
        <v>0</v>
      </c>
      <c r="H40" s="18">
        <v>0</v>
      </c>
    </row>
    <row r="41" spans="1:8" ht="18" customHeight="1">
      <c r="A41" s="22" t="s">
        <v>77</v>
      </c>
      <c r="B41" s="23" t="s">
        <v>78</v>
      </c>
      <c r="C41" s="22"/>
      <c r="D41" s="22"/>
      <c r="E41" s="143">
        <v>15920643</v>
      </c>
      <c r="F41" s="143">
        <v>-116442920</v>
      </c>
      <c r="G41" s="24">
        <v>25126306</v>
      </c>
      <c r="H41" s="24">
        <v>408835779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40">
        <v>0</v>
      </c>
      <c r="F42" s="140">
        <v>0</v>
      </c>
      <c r="G42" s="13">
        <v>0</v>
      </c>
      <c r="H42" s="13">
        <v>0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40">
        <v>0</v>
      </c>
      <c r="F43" s="140">
        <v>0</v>
      </c>
      <c r="G43" s="13">
        <v>0</v>
      </c>
      <c r="H43" s="13">
        <v>0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40">
        <v>0</v>
      </c>
      <c r="F44" s="140">
        <v>0</v>
      </c>
      <c r="G44" s="13">
        <v>0</v>
      </c>
      <c r="H44" s="13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40">
        <v>0</v>
      </c>
      <c r="F45" s="140">
        <v>0</v>
      </c>
      <c r="G45" s="13">
        <v>0</v>
      </c>
      <c r="H45" s="13">
        <v>0</v>
      </c>
    </row>
    <row r="46" spans="1:8" ht="18" customHeight="1">
      <c r="A46" s="22" t="s">
        <v>88</v>
      </c>
      <c r="B46" s="23" t="s">
        <v>89</v>
      </c>
      <c r="C46" s="22"/>
      <c r="D46" s="22"/>
      <c r="E46" s="143">
        <v>0</v>
      </c>
      <c r="F46" s="143">
        <v>0</v>
      </c>
      <c r="G46" s="24">
        <v>0</v>
      </c>
      <c r="H46" s="24">
        <v>0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40">
        <v>0</v>
      </c>
      <c r="F47" s="140">
        <v>0</v>
      </c>
      <c r="G47" s="13">
        <v>0</v>
      </c>
      <c r="H47" s="13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40">
        <v>-1912297</v>
      </c>
      <c r="F48" s="140">
        <v>-2059390</v>
      </c>
      <c r="G48" s="13">
        <v>-5526171</v>
      </c>
      <c r="H48" s="13">
        <v>-31672554</v>
      </c>
    </row>
    <row r="49" spans="1:8" ht="18" customHeight="1">
      <c r="A49" s="16" t="s">
        <v>94</v>
      </c>
      <c r="B49" s="17" t="s">
        <v>95</v>
      </c>
      <c r="C49" s="16"/>
      <c r="D49" s="16"/>
      <c r="E49" s="141">
        <v>14008346</v>
      </c>
      <c r="F49" s="141">
        <v>-118502310</v>
      </c>
      <c r="G49" s="18">
        <v>19600135</v>
      </c>
      <c r="H49" s="18">
        <v>377163225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E62" s="30"/>
      <c r="F62" s="30"/>
    </row>
    <row r="63" spans="1:8" ht="12.75" customHeight="1">
      <c r="E63" s="30"/>
      <c r="F63" s="30"/>
    </row>
    <row r="64" spans="1:8" ht="12.75" customHeight="1">
      <c r="E64" s="30"/>
      <c r="F64" s="30"/>
    </row>
    <row r="65" spans="5:6" ht="12.75" customHeight="1">
      <c r="E65" s="30"/>
      <c r="F65" s="30"/>
    </row>
    <row r="66" spans="5:6" ht="12.75" customHeight="1">
      <c r="E66" s="30"/>
      <c r="F66" s="30"/>
    </row>
    <row r="67" spans="5:6" ht="12.75" customHeight="1">
      <c r="E67" s="30"/>
      <c r="F67" s="30"/>
    </row>
    <row r="68" spans="5:6" ht="12.75" customHeight="1">
      <c r="E68" s="30"/>
      <c r="F68" s="30"/>
    </row>
    <row r="69" spans="5:6" ht="12.75" customHeight="1">
      <c r="E69" s="30"/>
      <c r="F69" s="30"/>
    </row>
    <row r="70" spans="5:6" ht="12.75" customHeight="1">
      <c r="E70" s="30"/>
      <c r="F70" s="30"/>
    </row>
    <row r="71" spans="5:6" ht="12.75" customHeight="1">
      <c r="E71" s="30"/>
      <c r="F71" s="30"/>
    </row>
    <row r="72" spans="5:6" ht="12.75" customHeight="1">
      <c r="E72" s="30"/>
      <c r="F72" s="30"/>
    </row>
    <row r="73" spans="5:6" ht="12.75" customHeight="1">
      <c r="E73" s="30"/>
      <c r="F73" s="30"/>
    </row>
    <row r="74" spans="5:6" ht="12.75" customHeight="1">
      <c r="E74" s="30"/>
      <c r="F74" s="30"/>
    </row>
    <row r="75" spans="5:6" ht="12.75" customHeight="1">
      <c r="E75" s="30"/>
      <c r="F75" s="30"/>
    </row>
    <row r="76" spans="5:6" ht="12.75" customHeight="1">
      <c r="E76" s="30"/>
      <c r="F76" s="30"/>
    </row>
    <row r="77" spans="5:6" ht="12.75" customHeight="1">
      <c r="E77" s="30"/>
      <c r="F77" s="30"/>
    </row>
    <row r="78" spans="5:6" ht="12.75" customHeight="1">
      <c r="E78" s="30"/>
      <c r="F78" s="30"/>
    </row>
    <row r="79" spans="5:6" ht="12.75" customHeight="1">
      <c r="E79" s="30"/>
      <c r="F79" s="30"/>
    </row>
    <row r="80" spans="5:6" ht="12.75" customHeight="1">
      <c r="E80" s="30"/>
      <c r="F80" s="30"/>
    </row>
    <row r="81" spans="5:6" ht="12.75" customHeight="1">
      <c r="E81" s="30"/>
      <c r="F81" s="30"/>
    </row>
    <row r="82" spans="5:6" ht="12.75" customHeight="1">
      <c r="E82" s="30"/>
      <c r="F82" s="30"/>
    </row>
    <row r="83" spans="5:6" ht="12.75" customHeight="1">
      <c r="E83" s="30"/>
      <c r="F83" s="30"/>
    </row>
    <row r="84" spans="5:6" ht="12.75" customHeight="1">
      <c r="E84" s="30"/>
      <c r="F84" s="30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H49" xr:uid="{3224E696-1FD9-4955-9C1C-9CF95BA88E53}"/>
    <dataValidation allowBlank="1" showInputMessage="1" showErrorMessage="1" errorTitle="Erreur de saisie" error="La cellule ne peut prendre que du numérique." promptTitle="Information" prompt="Cette cellule ne peut prendre que du numérique." sqref="D1:F6" xr:uid="{43A9F239-14CF-4CC5-BD31-AA7EE0C770CD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307544D6-F513-40A6-8BA4-66FA8D7EC57C}">
      <formula1>0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EF04-1040-4BD6-957B-7F70A27FB357}">
  <dimension ref="A1:F49"/>
  <sheetViews>
    <sheetView workbookViewId="0">
      <selection sqref="A1:XFD1048576"/>
    </sheetView>
  </sheetViews>
  <sheetFormatPr baseColWidth="10" defaultRowHeight="1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42578125" style="108" customWidth="1" collapsed="1"/>
    <col min="5" max="6" width="13.85546875" style="108" customWidth="1" collapsed="1"/>
  </cols>
  <sheetData>
    <row r="1" spans="1:6" ht="18.75">
      <c r="A1" s="92" t="s">
        <v>0</v>
      </c>
      <c r="B1" s="92"/>
      <c r="C1" s="92"/>
      <c r="D1" s="92"/>
      <c r="E1" s="92"/>
      <c r="F1" s="92"/>
    </row>
    <row r="2" spans="1:6">
      <c r="A2" s="93"/>
      <c r="B2" s="93"/>
      <c r="C2" s="94"/>
      <c r="D2" s="93"/>
      <c r="E2" s="93"/>
      <c r="F2" s="93"/>
    </row>
    <row r="3" spans="1:6">
      <c r="A3" s="95" t="s">
        <v>134</v>
      </c>
      <c r="B3" s="95"/>
      <c r="C3" s="95"/>
      <c r="D3" s="93" t="s">
        <v>1</v>
      </c>
      <c r="E3" s="96">
        <f>+'[18]Fiche de renseignement R1'!$V$10</f>
        <v>45657</v>
      </c>
      <c r="F3" s="97"/>
    </row>
    <row r="4" spans="1:6">
      <c r="A4" s="98" t="str">
        <f>'[18]Fiche de renseignement R1'!$J$4</f>
        <v>MANDINGA RESSOURCES SARL</v>
      </c>
      <c r="B4" s="97"/>
      <c r="C4" s="97"/>
      <c r="D4" s="99" t="s">
        <v>2</v>
      </c>
      <c r="E4" s="100">
        <f>+'[18]Fiche de renseignement R1'!$AH$10</f>
        <v>12</v>
      </c>
      <c r="F4" s="101"/>
    </row>
    <row r="5" spans="1:6" ht="102">
      <c r="A5" s="102" t="s">
        <v>3</v>
      </c>
      <c r="B5" s="103" t="str">
        <f>+'[18]Fiche de renseignement R1'!$J$10</f>
        <v>006495693</v>
      </c>
      <c r="C5" s="104"/>
      <c r="D5" s="99"/>
      <c r="E5" s="97"/>
      <c r="F5" s="97"/>
    </row>
    <row r="7" spans="1:6">
      <c r="A7" s="105" t="s">
        <v>4</v>
      </c>
      <c r="B7" s="106" t="s">
        <v>5</v>
      </c>
      <c r="C7" s="106"/>
      <c r="D7" s="105" t="s">
        <v>6</v>
      </c>
      <c r="E7" s="107">
        <v>2024</v>
      </c>
      <c r="F7" s="107">
        <v>2023</v>
      </c>
    </row>
    <row r="8" spans="1:6">
      <c r="A8" s="109" t="s">
        <v>7</v>
      </c>
      <c r="B8" s="110" t="s">
        <v>117</v>
      </c>
      <c r="C8" s="109" t="s">
        <v>9</v>
      </c>
      <c r="D8" s="109">
        <v>21</v>
      </c>
      <c r="E8" s="111">
        <v>0</v>
      </c>
      <c r="F8" s="111">
        <v>0</v>
      </c>
    </row>
    <row r="9" spans="1:6">
      <c r="A9" s="109" t="s">
        <v>10</v>
      </c>
      <c r="B9" s="110" t="s">
        <v>11</v>
      </c>
      <c r="C9" s="109" t="s">
        <v>12</v>
      </c>
      <c r="D9" s="109">
        <v>22</v>
      </c>
      <c r="E9" s="111">
        <v>4554724</v>
      </c>
      <c r="F9" s="111">
        <v>0</v>
      </c>
    </row>
    <row r="10" spans="1:6">
      <c r="A10" s="109" t="s">
        <v>13</v>
      </c>
      <c r="B10" s="110" t="s">
        <v>14</v>
      </c>
      <c r="C10" s="109" t="s">
        <v>15</v>
      </c>
      <c r="D10" s="109">
        <v>6</v>
      </c>
      <c r="E10" s="111">
        <v>0</v>
      </c>
      <c r="F10" s="111">
        <v>0</v>
      </c>
    </row>
    <row r="11" spans="1:6">
      <c r="A11" s="105" t="s">
        <v>16</v>
      </c>
      <c r="B11" s="106" t="s">
        <v>17</v>
      </c>
      <c r="C11" s="105"/>
      <c r="D11" s="105"/>
      <c r="E11" s="112">
        <v>-4554724</v>
      </c>
      <c r="F11" s="112">
        <v>0</v>
      </c>
    </row>
    <row r="12" spans="1:6">
      <c r="A12" s="109" t="s">
        <v>18</v>
      </c>
      <c r="B12" s="110" t="s">
        <v>118</v>
      </c>
      <c r="C12" s="109" t="s">
        <v>9</v>
      </c>
      <c r="D12" s="109">
        <v>21</v>
      </c>
      <c r="E12" s="111">
        <v>0</v>
      </c>
      <c r="F12" s="111">
        <v>0</v>
      </c>
    </row>
    <row r="13" spans="1:6">
      <c r="A13" s="109" t="s">
        <v>20</v>
      </c>
      <c r="B13" s="110" t="s">
        <v>119</v>
      </c>
      <c r="C13" s="109" t="s">
        <v>9</v>
      </c>
      <c r="D13" s="109">
        <v>21</v>
      </c>
      <c r="E13" s="111">
        <v>0</v>
      </c>
      <c r="F13" s="111">
        <v>0</v>
      </c>
    </row>
    <row r="14" spans="1:6">
      <c r="A14" s="109" t="s">
        <v>22</v>
      </c>
      <c r="B14" s="110" t="s">
        <v>120</v>
      </c>
      <c r="C14" s="109" t="s">
        <v>9</v>
      </c>
      <c r="D14" s="109">
        <v>21</v>
      </c>
      <c r="E14" s="111">
        <v>0</v>
      </c>
      <c r="F14" s="111">
        <v>0</v>
      </c>
    </row>
    <row r="15" spans="1:6">
      <c r="A15" s="105" t="s">
        <v>24</v>
      </c>
      <c r="B15" s="106" t="s">
        <v>25</v>
      </c>
      <c r="C15" s="105"/>
      <c r="D15" s="105"/>
      <c r="E15" s="112">
        <v>0</v>
      </c>
      <c r="F15" s="112">
        <v>0</v>
      </c>
    </row>
    <row r="16" spans="1:6">
      <c r="A16" s="109" t="s">
        <v>26</v>
      </c>
      <c r="B16" s="110" t="s">
        <v>27</v>
      </c>
      <c r="C16" s="109" t="s">
        <v>15</v>
      </c>
      <c r="D16" s="109">
        <v>6</v>
      </c>
      <c r="E16" s="111">
        <v>0</v>
      </c>
      <c r="F16" s="111">
        <v>0</v>
      </c>
    </row>
    <row r="17" spans="1:6">
      <c r="A17" s="109" t="s">
        <v>28</v>
      </c>
      <c r="B17" s="110" t="s">
        <v>29</v>
      </c>
      <c r="C17" s="109"/>
      <c r="D17" s="109">
        <v>21</v>
      </c>
      <c r="E17" s="111">
        <v>0</v>
      </c>
      <c r="F17" s="111">
        <v>0</v>
      </c>
    </row>
    <row r="18" spans="1:6">
      <c r="A18" s="109" t="s">
        <v>30</v>
      </c>
      <c r="B18" s="110" t="s">
        <v>31</v>
      </c>
      <c r="C18" s="109"/>
      <c r="D18" s="109">
        <v>21</v>
      </c>
      <c r="E18" s="111">
        <v>0</v>
      </c>
      <c r="F18" s="111">
        <v>0</v>
      </c>
    </row>
    <row r="19" spans="1:6">
      <c r="A19" s="109" t="s">
        <v>32</v>
      </c>
      <c r="B19" s="110" t="s">
        <v>33</v>
      </c>
      <c r="C19" s="109" t="s">
        <v>9</v>
      </c>
      <c r="D19" s="109">
        <v>21</v>
      </c>
      <c r="E19" s="111">
        <v>42900</v>
      </c>
      <c r="F19" s="111">
        <v>1923100</v>
      </c>
    </row>
    <row r="20" spans="1:6">
      <c r="A20" s="109" t="s">
        <v>34</v>
      </c>
      <c r="B20" s="110" t="s">
        <v>35</v>
      </c>
      <c r="C20" s="109" t="s">
        <v>9</v>
      </c>
      <c r="D20" s="109">
        <v>12</v>
      </c>
      <c r="E20" s="111">
        <v>0</v>
      </c>
      <c r="F20" s="111">
        <v>255488655</v>
      </c>
    </row>
    <row r="21" spans="1:6">
      <c r="A21" s="109" t="s">
        <v>36</v>
      </c>
      <c r="B21" s="110" t="s">
        <v>37</v>
      </c>
      <c r="C21" s="109" t="s">
        <v>12</v>
      </c>
      <c r="D21" s="109">
        <v>22</v>
      </c>
      <c r="E21" s="111">
        <v>0</v>
      </c>
      <c r="F21" s="111">
        <v>0</v>
      </c>
    </row>
    <row r="22" spans="1:6">
      <c r="A22" s="109" t="s">
        <v>38</v>
      </c>
      <c r="B22" s="110" t="s">
        <v>39</v>
      </c>
      <c r="C22" s="109" t="s">
        <v>15</v>
      </c>
      <c r="D22" s="109">
        <v>6</v>
      </c>
      <c r="E22" s="111">
        <v>0</v>
      </c>
      <c r="F22" s="111">
        <v>0</v>
      </c>
    </row>
    <row r="23" spans="1:6">
      <c r="A23" s="109" t="s">
        <v>40</v>
      </c>
      <c r="B23" s="110" t="s">
        <v>41</v>
      </c>
      <c r="C23" s="109" t="s">
        <v>12</v>
      </c>
      <c r="D23" s="109">
        <v>22</v>
      </c>
      <c r="E23" s="111">
        <v>280483792</v>
      </c>
      <c r="F23" s="111">
        <v>88747393</v>
      </c>
    </row>
    <row r="24" spans="1:6">
      <c r="A24" s="109" t="s">
        <v>42</v>
      </c>
      <c r="B24" s="110" t="s">
        <v>43</v>
      </c>
      <c r="C24" s="109" t="s">
        <v>15</v>
      </c>
      <c r="D24" s="109">
        <v>6</v>
      </c>
      <c r="E24" s="111">
        <v>0</v>
      </c>
      <c r="F24" s="111">
        <v>0</v>
      </c>
    </row>
    <row r="25" spans="1:6">
      <c r="A25" s="109" t="s">
        <v>44</v>
      </c>
      <c r="B25" s="110" t="s">
        <v>45</v>
      </c>
      <c r="C25" s="109" t="s">
        <v>12</v>
      </c>
      <c r="D25" s="109">
        <v>23</v>
      </c>
      <c r="E25" s="111">
        <v>9538476</v>
      </c>
      <c r="F25" s="111">
        <v>2554135</v>
      </c>
    </row>
    <row r="26" spans="1:6">
      <c r="A26" s="109" t="s">
        <v>46</v>
      </c>
      <c r="B26" s="110" t="s">
        <v>47</v>
      </c>
      <c r="C26" s="109" t="s">
        <v>12</v>
      </c>
      <c r="D26" s="109">
        <v>24</v>
      </c>
      <c r="E26" s="111">
        <v>54253447</v>
      </c>
      <c r="F26" s="111">
        <v>133182325</v>
      </c>
    </row>
    <row r="27" spans="1:6">
      <c r="A27" s="109" t="s">
        <v>48</v>
      </c>
      <c r="B27" s="110" t="s">
        <v>49</v>
      </c>
      <c r="C27" s="109" t="s">
        <v>12</v>
      </c>
      <c r="D27" s="109">
        <v>25</v>
      </c>
      <c r="E27" s="111">
        <v>5049333</v>
      </c>
      <c r="F27" s="111">
        <v>22770914</v>
      </c>
    </row>
    <row r="28" spans="1:6">
      <c r="A28" s="109" t="s">
        <v>50</v>
      </c>
      <c r="B28" s="110" t="s">
        <v>51</v>
      </c>
      <c r="C28" s="109" t="s">
        <v>12</v>
      </c>
      <c r="D28" s="109">
        <v>26</v>
      </c>
      <c r="E28" s="111">
        <v>9387457</v>
      </c>
      <c r="F28" s="111">
        <v>10156988</v>
      </c>
    </row>
    <row r="29" spans="1:6">
      <c r="A29" s="105" t="s">
        <v>52</v>
      </c>
      <c r="B29" s="106" t="s">
        <v>53</v>
      </c>
      <c r="C29" s="105"/>
      <c r="D29" s="105"/>
      <c r="E29" s="112">
        <v>-363224329</v>
      </c>
      <c r="F29" s="112">
        <v>0</v>
      </c>
    </row>
    <row r="30" spans="1:6">
      <c r="A30" s="109" t="s">
        <v>54</v>
      </c>
      <c r="B30" s="110" t="s">
        <v>55</v>
      </c>
      <c r="C30" s="109" t="s">
        <v>12</v>
      </c>
      <c r="D30" s="109">
        <v>27</v>
      </c>
      <c r="E30" s="111">
        <v>77442921</v>
      </c>
      <c r="F30" s="111">
        <v>0</v>
      </c>
    </row>
    <row r="31" spans="1:6">
      <c r="A31" s="105" t="s">
        <v>56</v>
      </c>
      <c r="B31" s="106" t="s">
        <v>57</v>
      </c>
      <c r="C31" s="105"/>
      <c r="D31" s="105"/>
      <c r="E31" s="112">
        <v>-440667250</v>
      </c>
      <c r="F31" s="112">
        <v>0</v>
      </c>
    </row>
    <row r="32" spans="1:6">
      <c r="A32" s="113" t="s">
        <v>58</v>
      </c>
      <c r="B32" s="114" t="s">
        <v>100</v>
      </c>
      <c r="C32" s="113" t="s">
        <v>9</v>
      </c>
      <c r="D32" s="113">
        <v>28</v>
      </c>
      <c r="E32" s="111">
        <v>440667250</v>
      </c>
      <c r="F32" s="111">
        <v>0</v>
      </c>
    </row>
    <row r="33" spans="1:6">
      <c r="A33" s="109" t="s">
        <v>60</v>
      </c>
      <c r="B33" s="110" t="s">
        <v>61</v>
      </c>
      <c r="C33" s="109" t="s">
        <v>12</v>
      </c>
      <c r="D33" s="109" t="s">
        <v>62</v>
      </c>
      <c r="E33" s="111">
        <v>29258243</v>
      </c>
      <c r="F33" s="111">
        <v>27657980</v>
      </c>
    </row>
    <row r="34" spans="1:6">
      <c r="A34" s="105" t="s">
        <v>63</v>
      </c>
      <c r="B34" s="106" t="s">
        <v>64</v>
      </c>
      <c r="C34" s="105"/>
      <c r="D34" s="105"/>
      <c r="E34" s="112">
        <v>-29258243</v>
      </c>
      <c r="F34" s="112">
        <v>-27657980</v>
      </c>
    </row>
    <row r="35" spans="1:6">
      <c r="A35" s="109" t="s">
        <v>65</v>
      </c>
      <c r="B35" s="110" t="s">
        <v>66</v>
      </c>
      <c r="C35" s="109" t="s">
        <v>9</v>
      </c>
      <c r="D35" s="109">
        <v>29</v>
      </c>
      <c r="E35" s="111">
        <v>0</v>
      </c>
      <c r="F35" s="111">
        <v>0</v>
      </c>
    </row>
    <row r="36" spans="1:6">
      <c r="A36" s="109" t="s">
        <v>67</v>
      </c>
      <c r="B36" s="110" t="s">
        <v>68</v>
      </c>
      <c r="C36" s="109" t="s">
        <v>9</v>
      </c>
      <c r="D36" s="109">
        <v>28</v>
      </c>
      <c r="E36" s="111">
        <v>0</v>
      </c>
      <c r="F36" s="111">
        <v>0</v>
      </c>
    </row>
    <row r="37" spans="1:6">
      <c r="A37" s="109" t="s">
        <v>69</v>
      </c>
      <c r="B37" s="110" t="s">
        <v>101</v>
      </c>
      <c r="C37" s="109" t="s">
        <v>9</v>
      </c>
      <c r="D37" s="109">
        <v>12</v>
      </c>
      <c r="E37" s="111">
        <v>0</v>
      </c>
      <c r="F37" s="111">
        <v>0</v>
      </c>
    </row>
    <row r="38" spans="1:6">
      <c r="A38" s="109" t="s">
        <v>71</v>
      </c>
      <c r="B38" s="110" t="s">
        <v>72</v>
      </c>
      <c r="C38" s="109" t="s">
        <v>12</v>
      </c>
      <c r="D38" s="109">
        <v>29</v>
      </c>
      <c r="E38" s="111">
        <v>0</v>
      </c>
      <c r="F38" s="111">
        <v>0</v>
      </c>
    </row>
    <row r="39" spans="1:6">
      <c r="A39" s="109" t="s">
        <v>73</v>
      </c>
      <c r="B39" s="110" t="s">
        <v>74</v>
      </c>
      <c r="C39" s="109" t="s">
        <v>12</v>
      </c>
      <c r="D39" s="109" t="s">
        <v>62</v>
      </c>
      <c r="E39" s="111">
        <v>0</v>
      </c>
      <c r="F39" s="111">
        <v>0</v>
      </c>
    </row>
    <row r="40" spans="1:6">
      <c r="A40" s="105" t="s">
        <v>75</v>
      </c>
      <c r="B40" s="106" t="s">
        <v>76</v>
      </c>
      <c r="C40" s="105"/>
      <c r="D40" s="105"/>
      <c r="E40" s="112">
        <v>0</v>
      </c>
      <c r="F40" s="112">
        <v>0</v>
      </c>
    </row>
    <row r="41" spans="1:6">
      <c r="A41" s="115" t="s">
        <v>77</v>
      </c>
      <c r="B41" s="116" t="s">
        <v>78</v>
      </c>
      <c r="C41" s="115"/>
      <c r="D41" s="115"/>
      <c r="E41" s="117">
        <v>-29258243</v>
      </c>
      <c r="F41" s="117">
        <v>-27657980</v>
      </c>
    </row>
    <row r="42" spans="1:6">
      <c r="A42" s="109" t="s">
        <v>79</v>
      </c>
      <c r="B42" s="110" t="s">
        <v>80</v>
      </c>
      <c r="C42" s="109" t="s">
        <v>9</v>
      </c>
      <c r="D42" s="109" t="s">
        <v>81</v>
      </c>
      <c r="E42" s="111">
        <v>0</v>
      </c>
      <c r="F42" s="111">
        <v>0</v>
      </c>
    </row>
    <row r="43" spans="1:6">
      <c r="A43" s="109" t="s">
        <v>82</v>
      </c>
      <c r="B43" s="110" t="s">
        <v>83</v>
      </c>
      <c r="C43" s="109" t="s">
        <v>9</v>
      </c>
      <c r="D43" s="109">
        <v>30</v>
      </c>
      <c r="E43" s="111">
        <v>0</v>
      </c>
      <c r="F43" s="111">
        <v>0</v>
      </c>
    </row>
    <row r="44" spans="1:6">
      <c r="A44" s="109" t="s">
        <v>84</v>
      </c>
      <c r="B44" s="110" t="s">
        <v>85</v>
      </c>
      <c r="C44" s="109" t="s">
        <v>12</v>
      </c>
      <c r="D44" s="109" t="s">
        <v>81</v>
      </c>
      <c r="E44" s="111">
        <v>0</v>
      </c>
      <c r="F44" s="111">
        <v>0</v>
      </c>
    </row>
    <row r="45" spans="1:6">
      <c r="A45" s="109" t="s">
        <v>86</v>
      </c>
      <c r="B45" s="110" t="s">
        <v>102</v>
      </c>
      <c r="C45" s="109" t="s">
        <v>12</v>
      </c>
      <c r="D45" s="109">
        <v>30</v>
      </c>
      <c r="E45" s="111">
        <v>0</v>
      </c>
      <c r="F45" s="111">
        <v>0</v>
      </c>
    </row>
    <row r="46" spans="1:6">
      <c r="A46" s="115" t="s">
        <v>88</v>
      </c>
      <c r="B46" s="116" t="s">
        <v>89</v>
      </c>
      <c r="C46" s="115"/>
      <c r="D46" s="115"/>
      <c r="E46" s="117">
        <v>0</v>
      </c>
      <c r="F46" s="117">
        <v>0</v>
      </c>
    </row>
    <row r="47" spans="1:6">
      <c r="A47" s="109" t="s">
        <v>90</v>
      </c>
      <c r="B47" s="110" t="s">
        <v>103</v>
      </c>
      <c r="C47" s="109" t="s">
        <v>12</v>
      </c>
      <c r="D47" s="109">
        <v>30</v>
      </c>
      <c r="E47" s="111">
        <v>0</v>
      </c>
      <c r="F47" s="111">
        <v>0</v>
      </c>
    </row>
    <row r="48" spans="1:6">
      <c r="A48" s="109" t="s">
        <v>92</v>
      </c>
      <c r="B48" s="110" t="s">
        <v>93</v>
      </c>
      <c r="C48" s="109" t="s">
        <v>12</v>
      </c>
      <c r="D48" s="109">
        <v>37</v>
      </c>
      <c r="E48" s="111">
        <v>0</v>
      </c>
      <c r="F48" s="111">
        <v>0</v>
      </c>
    </row>
    <row r="49" spans="1:6">
      <c r="A49" s="105" t="s">
        <v>94</v>
      </c>
      <c r="B49" s="106" t="s">
        <v>95</v>
      </c>
      <c r="C49" s="105"/>
      <c r="D49" s="106"/>
      <c r="E49" s="112">
        <v>-29258243</v>
      </c>
      <c r="F49" s="112">
        <v>-27657980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5" xr:uid="{4B2E323E-0B29-48A5-A519-4C215F265C9E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B2C1AB95-3CE9-43A1-B7F7-1994676A40DA}">
      <formula1>0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F18B-D736-4187-984D-38BE19D6DBDC}">
  <dimension ref="A1:H84"/>
  <sheetViews>
    <sheetView topLeftCell="C1" workbookViewId="0">
      <selection activeCell="D9" sqref="D9"/>
    </sheetView>
  </sheetViews>
  <sheetFormatPr baseColWidth="10" defaultColWidth="10.28515625" defaultRowHeight="12.75"/>
  <cols>
    <col min="1" max="1" width="11.7109375" style="26" customWidth="1" collapsed="1"/>
    <col min="2" max="2" width="56" style="27" bestFit="1" customWidth="1" collapsed="1"/>
    <col min="3" max="3" width="3.140625" style="27" bestFit="1" customWidth="1" collapsed="1"/>
    <col min="4" max="4" width="13.42578125" style="27" customWidth="1" collapsed="1"/>
    <col min="5" max="6" width="13.42578125" style="27" customWidth="1"/>
    <col min="7" max="7" width="15.7109375" style="302" customWidth="1" collapsed="1"/>
    <col min="8" max="8" width="15.7109375" style="28" customWidth="1" collapsed="1"/>
    <col min="9" max="16384" width="10.28515625" style="27" collapsed="1"/>
  </cols>
  <sheetData>
    <row r="1" spans="1:8" s="1" customFormat="1" ht="24.6" customHeight="1">
      <c r="A1" s="70" t="s">
        <v>0</v>
      </c>
      <c r="B1" s="70"/>
      <c r="C1" s="70"/>
      <c r="D1" s="70"/>
      <c r="E1" s="70"/>
      <c r="F1" s="70"/>
      <c r="G1" s="70"/>
      <c r="H1" s="70"/>
    </row>
    <row r="2" spans="1:8" s="1" customFormat="1" ht="8.1" customHeight="1">
      <c r="C2" s="2"/>
      <c r="G2" s="300"/>
    </row>
    <row r="3" spans="1:8" s="1" customFormat="1" ht="25.5" customHeight="1">
      <c r="A3" s="71" t="s">
        <v>96</v>
      </c>
      <c r="B3" s="71"/>
      <c r="C3" s="71"/>
      <c r="D3" s="1" t="s">
        <v>1</v>
      </c>
      <c r="G3" s="72" t="s">
        <v>104</v>
      </c>
      <c r="H3" s="73"/>
    </row>
    <row r="4" spans="1:8" s="1" customFormat="1" ht="15" customHeight="1">
      <c r="A4" s="77" t="s">
        <v>160</v>
      </c>
      <c r="B4" s="73"/>
      <c r="C4" s="73"/>
      <c r="D4" s="74" t="s">
        <v>2</v>
      </c>
      <c r="E4" s="25"/>
      <c r="F4" s="25"/>
      <c r="G4" s="75">
        <v>12</v>
      </c>
      <c r="H4" s="75"/>
    </row>
    <row r="5" spans="1:8" s="1" customFormat="1" ht="30.95" customHeight="1">
      <c r="A5" s="4" t="s">
        <v>3</v>
      </c>
      <c r="B5" s="76" t="s">
        <v>161</v>
      </c>
      <c r="C5" s="76"/>
      <c r="D5" s="74"/>
      <c r="E5" s="25"/>
      <c r="F5" s="25"/>
      <c r="G5" s="73"/>
      <c r="H5" s="73"/>
    </row>
    <row r="6" spans="1:8" s="1" customFormat="1" ht="8.1" customHeight="1">
      <c r="C6" s="2"/>
      <c r="G6" s="300"/>
    </row>
    <row r="7" spans="1:8" ht="18" customHeight="1">
      <c r="A7" s="5" t="s">
        <v>4</v>
      </c>
      <c r="B7" s="6" t="s">
        <v>5</v>
      </c>
      <c r="C7" s="5"/>
      <c r="D7" s="5" t="s">
        <v>6</v>
      </c>
      <c r="E7" s="301">
        <v>2024</v>
      </c>
      <c r="F7" s="7">
        <v>2023</v>
      </c>
      <c r="G7" s="301">
        <v>2022</v>
      </c>
      <c r="H7" s="7">
        <v>2021</v>
      </c>
    </row>
    <row r="8" spans="1:8" ht="18" customHeight="1">
      <c r="A8" s="8" t="s">
        <v>7</v>
      </c>
      <c r="B8" s="9" t="s">
        <v>8</v>
      </c>
      <c r="C8" s="8" t="s">
        <v>9</v>
      </c>
      <c r="D8" s="8">
        <v>21</v>
      </c>
      <c r="E8" s="8"/>
      <c r="F8" s="8"/>
      <c r="G8" s="139">
        <v>0</v>
      </c>
      <c r="H8" s="10">
        <v>0</v>
      </c>
    </row>
    <row r="9" spans="1:8" ht="18" customHeight="1">
      <c r="A9" s="11" t="s">
        <v>10</v>
      </c>
      <c r="B9" s="12" t="s">
        <v>11</v>
      </c>
      <c r="C9" s="11" t="s">
        <v>12</v>
      </c>
      <c r="D9" s="11">
        <v>22</v>
      </c>
      <c r="E9" s="11"/>
      <c r="F9" s="11"/>
      <c r="G9" s="140">
        <v>0</v>
      </c>
      <c r="H9" s="13">
        <v>0</v>
      </c>
    </row>
    <row r="10" spans="1:8" ht="18" customHeight="1">
      <c r="A10" s="11" t="s">
        <v>13</v>
      </c>
      <c r="B10" s="14" t="s">
        <v>14</v>
      </c>
      <c r="C10" s="15" t="s">
        <v>15</v>
      </c>
      <c r="D10" s="15">
        <v>6</v>
      </c>
      <c r="E10" s="15"/>
      <c r="F10" s="15"/>
      <c r="G10" s="140">
        <v>0</v>
      </c>
      <c r="H10" s="13">
        <v>0</v>
      </c>
    </row>
    <row r="11" spans="1:8" ht="18" customHeight="1">
      <c r="A11" s="16" t="s">
        <v>16</v>
      </c>
      <c r="B11" s="17" t="s">
        <v>17</v>
      </c>
      <c r="C11" s="16"/>
      <c r="D11" s="16"/>
      <c r="E11" s="16"/>
      <c r="F11" s="16"/>
      <c r="G11" s="141">
        <v>0</v>
      </c>
      <c r="H11" s="18">
        <v>0</v>
      </c>
    </row>
    <row r="12" spans="1:8" ht="18" customHeight="1">
      <c r="A12" s="11" t="s">
        <v>18</v>
      </c>
      <c r="B12" s="12" t="s">
        <v>19</v>
      </c>
      <c r="C12" s="11" t="s">
        <v>9</v>
      </c>
      <c r="D12" s="11">
        <v>21</v>
      </c>
      <c r="E12" s="11"/>
      <c r="F12" s="11"/>
      <c r="G12" s="140">
        <v>0</v>
      </c>
      <c r="H12" s="13">
        <v>0</v>
      </c>
    </row>
    <row r="13" spans="1:8" ht="18" customHeight="1">
      <c r="A13" s="11" t="s">
        <v>20</v>
      </c>
      <c r="B13" s="12" t="s">
        <v>21</v>
      </c>
      <c r="C13" s="11" t="s">
        <v>9</v>
      </c>
      <c r="D13" s="11">
        <v>21</v>
      </c>
      <c r="E13" s="11"/>
      <c r="F13" s="11"/>
      <c r="G13" s="140">
        <v>0</v>
      </c>
      <c r="H13" s="13">
        <v>0</v>
      </c>
    </row>
    <row r="14" spans="1:8" ht="18" customHeight="1">
      <c r="A14" s="11" t="s">
        <v>22</v>
      </c>
      <c r="B14" s="12" t="s">
        <v>23</v>
      </c>
      <c r="C14" s="11" t="s">
        <v>9</v>
      </c>
      <c r="D14" s="11">
        <v>21</v>
      </c>
      <c r="E14" s="11"/>
      <c r="F14" s="11"/>
      <c r="G14" s="140">
        <v>0</v>
      </c>
      <c r="H14" s="13">
        <v>0</v>
      </c>
    </row>
    <row r="15" spans="1:8" ht="18" customHeight="1">
      <c r="A15" s="16" t="s">
        <v>24</v>
      </c>
      <c r="B15" s="17" t="s">
        <v>25</v>
      </c>
      <c r="C15" s="16"/>
      <c r="D15" s="16"/>
      <c r="E15" s="16"/>
      <c r="F15" s="16"/>
      <c r="G15" s="141">
        <v>0</v>
      </c>
      <c r="H15" s="18">
        <v>0</v>
      </c>
    </row>
    <row r="16" spans="1:8" ht="18" customHeight="1">
      <c r="A16" s="11" t="s">
        <v>26</v>
      </c>
      <c r="B16" s="12" t="s">
        <v>27</v>
      </c>
      <c r="C16" s="15" t="s">
        <v>15</v>
      </c>
      <c r="D16" s="11">
        <v>6</v>
      </c>
      <c r="E16" s="11"/>
      <c r="F16" s="11"/>
      <c r="G16" s="140">
        <v>0</v>
      </c>
      <c r="H16" s="13">
        <v>0</v>
      </c>
    </row>
    <row r="17" spans="1:8" ht="18" customHeight="1">
      <c r="A17" s="11" t="s">
        <v>28</v>
      </c>
      <c r="B17" s="12" t="s">
        <v>29</v>
      </c>
      <c r="C17" s="11"/>
      <c r="D17" s="11">
        <v>21</v>
      </c>
      <c r="E17" s="11"/>
      <c r="F17" s="11"/>
      <c r="G17" s="140">
        <v>0</v>
      </c>
      <c r="H17" s="13">
        <v>0</v>
      </c>
    </row>
    <row r="18" spans="1:8" ht="18" customHeight="1">
      <c r="A18" s="11" t="s">
        <v>30</v>
      </c>
      <c r="B18" s="12" t="s">
        <v>31</v>
      </c>
      <c r="C18" s="11"/>
      <c r="D18" s="11">
        <v>21</v>
      </c>
      <c r="E18" s="11"/>
      <c r="F18" s="11"/>
      <c r="G18" s="140">
        <v>0</v>
      </c>
      <c r="H18" s="13">
        <v>0</v>
      </c>
    </row>
    <row r="19" spans="1:8" ht="18" customHeight="1">
      <c r="A19" s="11" t="s">
        <v>32</v>
      </c>
      <c r="B19" s="12" t="s">
        <v>33</v>
      </c>
      <c r="C19" s="11" t="s">
        <v>9</v>
      </c>
      <c r="D19" s="11">
        <v>21</v>
      </c>
      <c r="E19" s="11"/>
      <c r="F19" s="11"/>
      <c r="G19" s="140">
        <v>0</v>
      </c>
      <c r="H19" s="13">
        <v>0</v>
      </c>
    </row>
    <row r="20" spans="1:8" ht="18" customHeight="1">
      <c r="A20" s="19" t="s">
        <v>34</v>
      </c>
      <c r="B20" s="20" t="s">
        <v>35</v>
      </c>
      <c r="C20" s="19" t="s">
        <v>9</v>
      </c>
      <c r="D20" s="19">
        <v>12</v>
      </c>
      <c r="E20" s="19"/>
      <c r="F20" s="19"/>
      <c r="G20" s="142">
        <v>0</v>
      </c>
      <c r="H20" s="21">
        <v>0</v>
      </c>
    </row>
    <row r="21" spans="1:8" ht="18" customHeight="1">
      <c r="A21" s="11" t="s">
        <v>36</v>
      </c>
      <c r="B21" s="12" t="s">
        <v>37</v>
      </c>
      <c r="C21" s="11" t="s">
        <v>12</v>
      </c>
      <c r="D21" s="11">
        <v>22</v>
      </c>
      <c r="E21" s="11"/>
      <c r="F21" s="11"/>
      <c r="G21" s="140">
        <v>0</v>
      </c>
      <c r="H21" s="13">
        <v>0</v>
      </c>
    </row>
    <row r="22" spans="1:8" ht="18" customHeight="1">
      <c r="A22" s="11" t="s">
        <v>38</v>
      </c>
      <c r="B22" s="14" t="s">
        <v>39</v>
      </c>
      <c r="C22" s="15" t="s">
        <v>15</v>
      </c>
      <c r="D22" s="11">
        <v>6</v>
      </c>
      <c r="E22" s="11"/>
      <c r="F22" s="11"/>
      <c r="G22" s="140">
        <v>0</v>
      </c>
      <c r="H22" s="13">
        <v>0</v>
      </c>
    </row>
    <row r="23" spans="1:8" ht="18" customHeight="1">
      <c r="A23" s="11" t="s">
        <v>40</v>
      </c>
      <c r="B23" s="12" t="s">
        <v>41</v>
      </c>
      <c r="C23" s="11" t="s">
        <v>12</v>
      </c>
      <c r="D23" s="11">
        <v>22</v>
      </c>
      <c r="E23" s="11"/>
      <c r="F23" s="11"/>
      <c r="G23" s="140">
        <v>-1123286</v>
      </c>
      <c r="H23" s="13">
        <v>0</v>
      </c>
    </row>
    <row r="24" spans="1:8" ht="18" customHeight="1">
      <c r="A24" s="11" t="s">
        <v>42</v>
      </c>
      <c r="B24" s="14" t="s">
        <v>43</v>
      </c>
      <c r="C24" s="15" t="s">
        <v>15</v>
      </c>
      <c r="D24" s="11">
        <v>6</v>
      </c>
      <c r="E24" s="11"/>
      <c r="F24" s="11"/>
      <c r="G24" s="140">
        <v>0</v>
      </c>
      <c r="H24" s="13">
        <v>0</v>
      </c>
    </row>
    <row r="25" spans="1:8" ht="18" customHeight="1">
      <c r="A25" s="11" t="s">
        <v>44</v>
      </c>
      <c r="B25" s="12" t="s">
        <v>45</v>
      </c>
      <c r="C25" s="11" t="s">
        <v>12</v>
      </c>
      <c r="D25" s="11">
        <v>23</v>
      </c>
      <c r="E25" s="11"/>
      <c r="F25" s="11"/>
      <c r="G25" s="140">
        <v>0</v>
      </c>
      <c r="H25" s="13">
        <v>0</v>
      </c>
    </row>
    <row r="26" spans="1:8" ht="18" customHeight="1">
      <c r="A26" s="11" t="s">
        <v>46</v>
      </c>
      <c r="B26" s="12" t="s">
        <v>47</v>
      </c>
      <c r="C26" s="11" t="s">
        <v>12</v>
      </c>
      <c r="D26" s="11">
        <v>24</v>
      </c>
      <c r="E26" s="11"/>
      <c r="F26" s="11"/>
      <c r="G26" s="140">
        <v>-2220154</v>
      </c>
      <c r="H26" s="13">
        <v>0</v>
      </c>
    </row>
    <row r="27" spans="1:8" ht="18" customHeight="1">
      <c r="A27" s="11" t="s">
        <v>48</v>
      </c>
      <c r="B27" s="12" t="s">
        <v>49</v>
      </c>
      <c r="C27" s="11" t="s">
        <v>12</v>
      </c>
      <c r="D27" s="11">
        <v>25</v>
      </c>
      <c r="E27" s="11"/>
      <c r="F27" s="11"/>
      <c r="G27" s="140">
        <v>-8617960</v>
      </c>
      <c r="H27" s="13">
        <v>0</v>
      </c>
    </row>
    <row r="28" spans="1:8" ht="18" customHeight="1">
      <c r="A28" s="11" t="s">
        <v>50</v>
      </c>
      <c r="B28" s="12" t="s">
        <v>51</v>
      </c>
      <c r="C28" s="11" t="s">
        <v>12</v>
      </c>
      <c r="D28" s="11">
        <v>26</v>
      </c>
      <c r="E28" s="11"/>
      <c r="F28" s="11"/>
      <c r="G28" s="140">
        <v>0</v>
      </c>
      <c r="H28" s="13">
        <v>0</v>
      </c>
    </row>
    <row r="29" spans="1:8" ht="18" customHeight="1">
      <c r="A29" s="16" t="s">
        <v>52</v>
      </c>
      <c r="B29" s="17" t="s">
        <v>53</v>
      </c>
      <c r="C29" s="16"/>
      <c r="D29" s="16"/>
      <c r="E29" s="16"/>
      <c r="F29" s="16"/>
      <c r="G29" s="141">
        <v>-11961400</v>
      </c>
      <c r="H29" s="18">
        <v>0</v>
      </c>
    </row>
    <row r="30" spans="1:8" ht="18" customHeight="1">
      <c r="A30" s="11" t="s">
        <v>54</v>
      </c>
      <c r="B30" s="12" t="s">
        <v>55</v>
      </c>
      <c r="C30" s="11" t="s">
        <v>12</v>
      </c>
      <c r="D30" s="11">
        <v>27</v>
      </c>
      <c r="E30" s="11"/>
      <c r="F30" s="11"/>
      <c r="G30" s="140">
        <v>-1517576</v>
      </c>
      <c r="H30" s="13">
        <v>0</v>
      </c>
    </row>
    <row r="31" spans="1:8" ht="18" customHeight="1">
      <c r="A31" s="16" t="s">
        <v>56</v>
      </c>
      <c r="B31" s="17" t="s">
        <v>57</v>
      </c>
      <c r="C31" s="16"/>
      <c r="D31" s="16"/>
      <c r="E31" s="16"/>
      <c r="F31" s="16"/>
      <c r="G31" s="141">
        <v>-13478976</v>
      </c>
      <c r="H31" s="18">
        <v>0</v>
      </c>
    </row>
    <row r="32" spans="1:8" ht="18" customHeight="1">
      <c r="A32" s="11" t="s">
        <v>58</v>
      </c>
      <c r="B32" s="12" t="s">
        <v>59</v>
      </c>
      <c r="C32" s="11" t="s">
        <v>9</v>
      </c>
      <c r="D32" s="11">
        <v>28</v>
      </c>
      <c r="E32" s="11"/>
      <c r="F32" s="11"/>
      <c r="G32" s="140">
        <v>0</v>
      </c>
      <c r="H32" s="13">
        <v>0</v>
      </c>
    </row>
    <row r="33" spans="1:8" ht="18" customHeight="1">
      <c r="A33" s="19" t="s">
        <v>60</v>
      </c>
      <c r="B33" s="20" t="s">
        <v>61</v>
      </c>
      <c r="C33" s="19" t="s">
        <v>12</v>
      </c>
      <c r="D33" s="19" t="s">
        <v>62</v>
      </c>
      <c r="E33" s="19"/>
      <c r="F33" s="19"/>
      <c r="G33" s="142">
        <v>-19213261</v>
      </c>
      <c r="H33" s="21">
        <v>0</v>
      </c>
    </row>
    <row r="34" spans="1:8" ht="18" customHeight="1">
      <c r="A34" s="16" t="s">
        <v>63</v>
      </c>
      <c r="B34" s="17" t="s">
        <v>64</v>
      </c>
      <c r="C34" s="16"/>
      <c r="D34" s="16"/>
      <c r="E34" s="16"/>
      <c r="F34" s="16"/>
      <c r="G34" s="141">
        <v>-32692237</v>
      </c>
      <c r="H34" s="18">
        <v>0</v>
      </c>
    </row>
    <row r="35" spans="1:8" ht="18" customHeight="1">
      <c r="A35" s="11" t="s">
        <v>65</v>
      </c>
      <c r="B35" s="12" t="s">
        <v>66</v>
      </c>
      <c r="C35" s="11" t="s">
        <v>9</v>
      </c>
      <c r="D35" s="11">
        <v>29</v>
      </c>
      <c r="E35" s="11"/>
      <c r="F35" s="11"/>
      <c r="G35" s="140">
        <v>0</v>
      </c>
      <c r="H35" s="13">
        <v>0</v>
      </c>
    </row>
    <row r="36" spans="1:8" ht="18" customHeight="1">
      <c r="A36" s="11" t="s">
        <v>67</v>
      </c>
      <c r="B36" s="12" t="s">
        <v>68</v>
      </c>
      <c r="C36" s="11" t="s">
        <v>9</v>
      </c>
      <c r="D36" s="11">
        <v>28</v>
      </c>
      <c r="E36" s="11"/>
      <c r="F36" s="11"/>
      <c r="G36" s="140">
        <v>0</v>
      </c>
      <c r="H36" s="13">
        <v>0</v>
      </c>
    </row>
    <row r="37" spans="1:8" ht="18" customHeight="1">
      <c r="A37" s="11" t="s">
        <v>69</v>
      </c>
      <c r="B37" s="12" t="s">
        <v>70</v>
      </c>
      <c r="C37" s="11" t="s">
        <v>9</v>
      </c>
      <c r="D37" s="11">
        <v>12</v>
      </c>
      <c r="E37" s="11"/>
      <c r="F37" s="11"/>
      <c r="G37" s="140">
        <v>0</v>
      </c>
      <c r="H37" s="13">
        <v>0</v>
      </c>
    </row>
    <row r="38" spans="1:8" ht="18" customHeight="1">
      <c r="A38" s="11" t="s">
        <v>71</v>
      </c>
      <c r="B38" s="12" t="s">
        <v>72</v>
      </c>
      <c r="C38" s="11" t="s">
        <v>12</v>
      </c>
      <c r="D38" s="11">
        <v>29</v>
      </c>
      <c r="E38" s="11"/>
      <c r="F38" s="11"/>
      <c r="G38" s="140">
        <v>-310322</v>
      </c>
      <c r="H38" s="13">
        <v>0</v>
      </c>
    </row>
    <row r="39" spans="1:8" ht="18" customHeight="1">
      <c r="A39" s="11" t="s">
        <v>73</v>
      </c>
      <c r="B39" s="12" t="s">
        <v>74</v>
      </c>
      <c r="C39" s="11" t="s">
        <v>12</v>
      </c>
      <c r="D39" s="11" t="s">
        <v>62</v>
      </c>
      <c r="E39" s="11"/>
      <c r="F39" s="11"/>
      <c r="G39" s="140">
        <v>0</v>
      </c>
      <c r="H39" s="13">
        <v>0</v>
      </c>
    </row>
    <row r="40" spans="1:8" ht="18" customHeight="1">
      <c r="A40" s="16" t="s">
        <v>75</v>
      </c>
      <c r="B40" s="17" t="s">
        <v>76</v>
      </c>
      <c r="C40" s="16"/>
      <c r="D40" s="16"/>
      <c r="E40" s="16"/>
      <c r="F40" s="16"/>
      <c r="G40" s="141">
        <v>-310322</v>
      </c>
      <c r="H40" s="18">
        <v>0</v>
      </c>
    </row>
    <row r="41" spans="1:8" ht="18" customHeight="1">
      <c r="A41" s="22" t="s">
        <v>77</v>
      </c>
      <c r="B41" s="23" t="s">
        <v>78</v>
      </c>
      <c r="C41" s="22"/>
      <c r="D41" s="22"/>
      <c r="E41" s="22"/>
      <c r="F41" s="22"/>
      <c r="G41" s="143">
        <v>-33002559</v>
      </c>
      <c r="H41" s="24">
        <v>0</v>
      </c>
    </row>
    <row r="42" spans="1:8" ht="18" customHeight="1">
      <c r="A42" s="11" t="s">
        <v>79</v>
      </c>
      <c r="B42" s="12" t="s">
        <v>80</v>
      </c>
      <c r="C42" s="11" t="s">
        <v>9</v>
      </c>
      <c r="D42" s="11" t="s">
        <v>81</v>
      </c>
      <c r="E42" s="11"/>
      <c r="F42" s="11"/>
      <c r="G42" s="140">
        <v>0</v>
      </c>
      <c r="H42" s="13">
        <v>0</v>
      </c>
    </row>
    <row r="43" spans="1:8" ht="18" customHeight="1">
      <c r="A43" s="11" t="s">
        <v>82</v>
      </c>
      <c r="B43" s="12" t="s">
        <v>83</v>
      </c>
      <c r="C43" s="11" t="s">
        <v>9</v>
      </c>
      <c r="D43" s="11">
        <v>30</v>
      </c>
      <c r="E43" s="11"/>
      <c r="F43" s="11"/>
      <c r="G43" s="140">
        <v>0</v>
      </c>
      <c r="H43" s="13">
        <v>0</v>
      </c>
    </row>
    <row r="44" spans="1:8" ht="18" customHeight="1">
      <c r="A44" s="11" t="s">
        <v>84</v>
      </c>
      <c r="B44" s="12" t="s">
        <v>85</v>
      </c>
      <c r="C44" s="11" t="s">
        <v>12</v>
      </c>
      <c r="D44" s="11" t="s">
        <v>81</v>
      </c>
      <c r="E44" s="11"/>
      <c r="F44" s="11"/>
      <c r="G44" s="140">
        <v>0</v>
      </c>
      <c r="H44" s="13">
        <v>0</v>
      </c>
    </row>
    <row r="45" spans="1:8" ht="18" customHeight="1">
      <c r="A45" s="11" t="s">
        <v>86</v>
      </c>
      <c r="B45" s="12" t="s">
        <v>87</v>
      </c>
      <c r="C45" s="11" t="s">
        <v>12</v>
      </c>
      <c r="D45" s="11">
        <v>30</v>
      </c>
      <c r="E45" s="11"/>
      <c r="F45" s="11"/>
      <c r="G45" s="140">
        <v>0</v>
      </c>
      <c r="H45" s="13">
        <v>0</v>
      </c>
    </row>
    <row r="46" spans="1:8" ht="18" customHeight="1">
      <c r="A46" s="22" t="s">
        <v>88</v>
      </c>
      <c r="B46" s="23" t="s">
        <v>89</v>
      </c>
      <c r="C46" s="22"/>
      <c r="D46" s="22"/>
      <c r="E46" s="22"/>
      <c r="F46" s="22"/>
      <c r="G46" s="143">
        <v>0</v>
      </c>
      <c r="H46" s="24">
        <v>0</v>
      </c>
    </row>
    <row r="47" spans="1:8" ht="18" customHeight="1">
      <c r="A47" s="11" t="s">
        <v>90</v>
      </c>
      <c r="B47" s="12" t="s">
        <v>91</v>
      </c>
      <c r="C47" s="11" t="s">
        <v>12</v>
      </c>
      <c r="D47" s="11">
        <v>30</v>
      </c>
      <c r="E47" s="11"/>
      <c r="F47" s="11"/>
      <c r="G47" s="140">
        <v>0</v>
      </c>
      <c r="H47" s="13">
        <v>0</v>
      </c>
    </row>
    <row r="48" spans="1:8" ht="18" customHeight="1">
      <c r="A48" s="11" t="s">
        <v>92</v>
      </c>
      <c r="B48" s="12" t="s">
        <v>93</v>
      </c>
      <c r="C48" s="11" t="s">
        <v>12</v>
      </c>
      <c r="D48" s="11"/>
      <c r="E48" s="11"/>
      <c r="F48" s="11"/>
      <c r="G48" s="140">
        <v>0</v>
      </c>
      <c r="H48" s="13">
        <v>0</v>
      </c>
    </row>
    <row r="49" spans="1:8" ht="18" customHeight="1">
      <c r="A49" s="16" t="s">
        <v>94</v>
      </c>
      <c r="B49" s="17" t="s">
        <v>95</v>
      </c>
      <c r="C49" s="16"/>
      <c r="D49" s="16"/>
      <c r="E49" s="16"/>
      <c r="F49" s="16"/>
      <c r="G49" s="141">
        <v>-33002559</v>
      </c>
      <c r="H49" s="18">
        <v>0</v>
      </c>
    </row>
    <row r="53" spans="1:8" ht="12.75" customHeight="1">
      <c r="B53" s="29"/>
      <c r="C53" s="29"/>
    </row>
    <row r="54" spans="1:8" ht="12.75" customHeight="1">
      <c r="B54" s="29"/>
      <c r="C54" s="29"/>
    </row>
    <row r="55" spans="1:8" ht="12.75" customHeight="1">
      <c r="B55" s="29"/>
      <c r="C55" s="29"/>
    </row>
    <row r="58" spans="1:8" ht="12.75" customHeight="1">
      <c r="B58" s="29"/>
      <c r="C58" s="29"/>
    </row>
    <row r="59" spans="1:8" ht="12.75" customHeight="1">
      <c r="B59" s="29"/>
      <c r="C59" s="29"/>
    </row>
    <row r="62" spans="1:8" ht="12.75" customHeight="1">
      <c r="G62" s="303"/>
      <c r="H62" s="30"/>
    </row>
    <row r="63" spans="1:8" ht="12.75" customHeight="1">
      <c r="G63" s="303"/>
      <c r="H63" s="30"/>
    </row>
    <row r="64" spans="1:8" ht="12.75" customHeight="1">
      <c r="G64" s="303"/>
      <c r="H64" s="30"/>
    </row>
    <row r="65" spans="7:8" ht="12.75" customHeight="1">
      <c r="G65" s="303"/>
      <c r="H65" s="30"/>
    </row>
    <row r="66" spans="7:8" ht="12.75" customHeight="1">
      <c r="G66" s="303"/>
      <c r="H66" s="30"/>
    </row>
    <row r="67" spans="7:8" ht="12.75" customHeight="1">
      <c r="G67" s="303"/>
      <c r="H67" s="30"/>
    </row>
    <row r="68" spans="7:8" ht="12.75" customHeight="1">
      <c r="G68" s="303"/>
      <c r="H68" s="30"/>
    </row>
    <row r="69" spans="7:8" ht="12.75" customHeight="1">
      <c r="G69" s="303"/>
      <c r="H69" s="30"/>
    </row>
    <row r="70" spans="7:8" ht="12.75" customHeight="1">
      <c r="G70" s="303"/>
      <c r="H70" s="30"/>
    </row>
    <row r="71" spans="7:8" ht="12.75" customHeight="1">
      <c r="G71" s="303"/>
      <c r="H71" s="30"/>
    </row>
    <row r="72" spans="7:8" ht="12.75" customHeight="1">
      <c r="G72" s="303"/>
      <c r="H72" s="30"/>
    </row>
    <row r="73" spans="7:8" ht="12.75" customHeight="1">
      <c r="G73" s="303"/>
      <c r="H73" s="30"/>
    </row>
    <row r="74" spans="7:8" ht="12.75" customHeight="1">
      <c r="G74" s="303"/>
      <c r="H74" s="30"/>
    </row>
    <row r="75" spans="7:8" ht="12.75" customHeight="1">
      <c r="G75" s="303"/>
      <c r="H75" s="30"/>
    </row>
    <row r="76" spans="7:8" ht="12.75" customHeight="1">
      <c r="G76" s="303"/>
      <c r="H76" s="30"/>
    </row>
    <row r="77" spans="7:8" ht="12.75" customHeight="1">
      <c r="G77" s="303"/>
      <c r="H77" s="30"/>
    </row>
    <row r="78" spans="7:8" ht="12.75" customHeight="1">
      <c r="G78" s="303"/>
      <c r="H78" s="30"/>
    </row>
    <row r="79" spans="7:8" ht="12.75" customHeight="1">
      <c r="G79" s="303"/>
      <c r="H79" s="30"/>
    </row>
    <row r="80" spans="7:8" ht="12.75" customHeight="1">
      <c r="G80" s="303"/>
      <c r="H80" s="30"/>
    </row>
    <row r="81" spans="7:8" ht="12.75" customHeight="1">
      <c r="G81" s="303"/>
      <c r="H81" s="30"/>
    </row>
    <row r="82" spans="7:8" ht="12.75" customHeight="1">
      <c r="G82" s="303"/>
      <c r="H82" s="30"/>
    </row>
    <row r="83" spans="7:8" ht="12.75" customHeight="1">
      <c r="G83" s="303"/>
      <c r="H83" s="30"/>
    </row>
    <row r="84" spans="7:8" ht="12.75" customHeight="1">
      <c r="G84" s="303"/>
      <c r="H84" s="30"/>
    </row>
  </sheetData>
  <mergeCells count="7">
    <mergeCell ref="A1:H1"/>
    <mergeCell ref="A3:C3"/>
    <mergeCell ref="G3:H3"/>
    <mergeCell ref="A4:C4"/>
    <mergeCell ref="D4:D5"/>
    <mergeCell ref="G4:H5"/>
    <mergeCell ref="B5:C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CDE836FD-74BF-4FA7-B7ED-B121F1E815B3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H6" xr:uid="{E2379D2A-65AD-43CC-B2F1-8A392464E6F6}"/>
    <dataValidation allowBlank="1" showInputMessage="1" showErrorMessage="1" errorTitle="Erreur de saisie" error="La cellule ne peut prendre que du numérique." promptTitle="Information" prompt="Cette cellule ne peut prendre que du numérique," sqref="G8:H49" xr:uid="{D38E8868-8BAC-4564-A549-00FAD11A7AFE}"/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E161-9E9E-4EC6-B7AC-350EE36FEDBA}">
  <dimension ref="A1:H49"/>
  <sheetViews>
    <sheetView topLeftCell="C5" workbookViewId="0">
      <selection activeCell="H5" sqref="H5"/>
    </sheetView>
  </sheetViews>
  <sheetFormatPr baseColWidth="10" defaultRowHeight="15"/>
  <cols>
    <col min="1" max="1" width="4.140625" style="118" customWidth="1" collapsed="1"/>
    <col min="2" max="2" width="56" style="108" customWidth="1" collapsed="1"/>
    <col min="3" max="3" width="3.140625" style="108" customWidth="1" collapsed="1"/>
    <col min="4" max="4" width="8.42578125" style="108" customWidth="1" collapsed="1"/>
    <col min="5" max="6" width="13.85546875" style="108" customWidth="1" collapsed="1"/>
  </cols>
  <sheetData>
    <row r="1" spans="1:8" ht="18.75">
      <c r="A1" s="92" t="s">
        <v>0</v>
      </c>
      <c r="B1" s="92"/>
      <c r="C1" s="92"/>
      <c r="D1" s="92"/>
      <c r="E1" s="92"/>
      <c r="F1" s="92"/>
      <c r="H1" t="s">
        <v>164</v>
      </c>
    </row>
    <row r="2" spans="1:8">
      <c r="A2" s="93"/>
      <c r="B2" s="93"/>
      <c r="C2" s="94"/>
      <c r="D2" s="93"/>
      <c r="E2" s="93"/>
      <c r="F2" s="93"/>
      <c r="H2" t="s">
        <v>165</v>
      </c>
    </row>
    <row r="3" spans="1:8">
      <c r="A3" s="95" t="s">
        <v>134</v>
      </c>
      <c r="B3" s="95"/>
      <c r="C3" s="95"/>
      <c r="D3" s="93" t="s">
        <v>1</v>
      </c>
      <c r="E3" s="96">
        <f>+'[18]Fiche de renseignement R1'!$V$10</f>
        <v>45657</v>
      </c>
      <c r="F3" s="97"/>
      <c r="H3" t="s">
        <v>166</v>
      </c>
    </row>
    <row r="4" spans="1:8">
      <c r="A4" s="305" t="s">
        <v>163</v>
      </c>
      <c r="B4" s="305"/>
      <c r="C4" s="304"/>
      <c r="D4" s="99" t="s">
        <v>2</v>
      </c>
      <c r="E4" s="100">
        <f>+'[18]Fiche de renseignement R1'!$AH$10</f>
        <v>12</v>
      </c>
      <c r="F4" s="101"/>
      <c r="H4" t="s">
        <v>167</v>
      </c>
    </row>
    <row r="5" spans="1:8" ht="102">
      <c r="A5" s="102" t="s">
        <v>3</v>
      </c>
      <c r="B5" s="306" t="s">
        <v>162</v>
      </c>
      <c r="C5" s="306"/>
      <c r="D5" s="99"/>
      <c r="E5" s="97"/>
      <c r="F5" s="97"/>
      <c r="H5" t="s">
        <v>168</v>
      </c>
    </row>
    <row r="6" spans="1:8">
      <c r="H6" t="s">
        <v>169</v>
      </c>
    </row>
    <row r="7" spans="1:8">
      <c r="A7" s="105" t="s">
        <v>4</v>
      </c>
      <c r="B7" s="106" t="s">
        <v>5</v>
      </c>
      <c r="C7" s="106"/>
      <c r="D7" s="105" t="s">
        <v>6</v>
      </c>
      <c r="E7" s="107"/>
      <c r="F7" s="107"/>
      <c r="H7" t="s">
        <v>170</v>
      </c>
    </row>
    <row r="8" spans="1:8">
      <c r="A8" s="109" t="s">
        <v>7</v>
      </c>
      <c r="B8" s="110" t="s">
        <v>117</v>
      </c>
      <c r="C8" s="109" t="s">
        <v>9</v>
      </c>
      <c r="D8" s="109">
        <v>21</v>
      </c>
      <c r="E8" s="111"/>
      <c r="F8" s="111"/>
      <c r="H8" t="s">
        <v>171</v>
      </c>
    </row>
    <row r="9" spans="1:8">
      <c r="A9" s="109" t="s">
        <v>10</v>
      </c>
      <c r="B9" s="110" t="s">
        <v>11</v>
      </c>
      <c r="C9" s="109" t="s">
        <v>12</v>
      </c>
      <c r="D9" s="109">
        <v>22</v>
      </c>
      <c r="E9" s="111"/>
      <c r="F9" s="111"/>
      <c r="H9" t="s">
        <v>172</v>
      </c>
    </row>
    <row r="10" spans="1:8">
      <c r="A10" s="109" t="s">
        <v>13</v>
      </c>
      <c r="B10" s="110" t="s">
        <v>14</v>
      </c>
      <c r="C10" s="109" t="s">
        <v>15</v>
      </c>
      <c r="D10" s="109">
        <v>6</v>
      </c>
      <c r="E10" s="111"/>
      <c r="F10" s="111"/>
      <c r="H10" t="s">
        <v>173</v>
      </c>
    </row>
    <row r="11" spans="1:8">
      <c r="A11" s="105" t="s">
        <v>16</v>
      </c>
      <c r="B11" s="106" t="s">
        <v>17</v>
      </c>
      <c r="C11" s="105"/>
      <c r="D11" s="105"/>
      <c r="E11" s="112"/>
      <c r="F11" s="112"/>
      <c r="H11" t="s">
        <v>174</v>
      </c>
    </row>
    <row r="12" spans="1:8">
      <c r="A12" s="109" t="s">
        <v>18</v>
      </c>
      <c r="B12" s="110" t="s">
        <v>118</v>
      </c>
      <c r="C12" s="109" t="s">
        <v>9</v>
      </c>
      <c r="D12" s="109">
        <v>21</v>
      </c>
      <c r="E12" s="111"/>
      <c r="F12" s="111"/>
      <c r="H12" t="s">
        <v>175</v>
      </c>
    </row>
    <row r="13" spans="1:8">
      <c r="A13" s="109" t="s">
        <v>20</v>
      </c>
      <c r="B13" s="110" t="s">
        <v>119</v>
      </c>
      <c r="C13" s="109" t="s">
        <v>9</v>
      </c>
      <c r="D13" s="109">
        <v>21</v>
      </c>
      <c r="E13" s="111"/>
      <c r="F13" s="111"/>
      <c r="H13" t="s">
        <v>176</v>
      </c>
    </row>
    <row r="14" spans="1:8">
      <c r="A14" s="109" t="s">
        <v>22</v>
      </c>
      <c r="B14" s="110" t="s">
        <v>120</v>
      </c>
      <c r="C14" s="109" t="s">
        <v>9</v>
      </c>
      <c r="D14" s="109">
        <v>21</v>
      </c>
      <c r="E14" s="111"/>
      <c r="F14" s="111"/>
      <c r="H14" t="s">
        <v>177</v>
      </c>
    </row>
    <row r="15" spans="1:8">
      <c r="A15" s="105" t="s">
        <v>24</v>
      </c>
      <c r="B15" s="106" t="s">
        <v>25</v>
      </c>
      <c r="C15" s="105"/>
      <c r="D15" s="105"/>
      <c r="E15" s="112"/>
      <c r="F15" s="112"/>
      <c r="H15" t="s">
        <v>178</v>
      </c>
    </row>
    <row r="16" spans="1:8">
      <c r="A16" s="109" t="s">
        <v>26</v>
      </c>
      <c r="B16" s="110" t="s">
        <v>27</v>
      </c>
      <c r="C16" s="109" t="s">
        <v>15</v>
      </c>
      <c r="D16" s="109">
        <v>6</v>
      </c>
      <c r="E16" s="111"/>
      <c r="F16" s="111"/>
      <c r="H16" t="s">
        <v>179</v>
      </c>
    </row>
    <row r="17" spans="1:8">
      <c r="A17" s="109" t="s">
        <v>28</v>
      </c>
      <c r="B17" s="110" t="s">
        <v>29</v>
      </c>
      <c r="C17" s="109"/>
      <c r="D17" s="109">
        <v>21</v>
      </c>
      <c r="E17" s="111"/>
      <c r="F17" s="111"/>
      <c r="H17" t="s">
        <v>180</v>
      </c>
    </row>
    <row r="18" spans="1:8">
      <c r="A18" s="109" t="s">
        <v>30</v>
      </c>
      <c r="B18" s="110" t="s">
        <v>31</v>
      </c>
      <c r="C18" s="109"/>
      <c r="D18" s="109">
        <v>21</v>
      </c>
      <c r="E18" s="111"/>
      <c r="F18" s="111"/>
      <c r="H18" t="s">
        <v>181</v>
      </c>
    </row>
    <row r="19" spans="1:8">
      <c r="A19" s="109" t="s">
        <v>32</v>
      </c>
      <c r="B19" s="110" t="s">
        <v>33</v>
      </c>
      <c r="C19" s="109" t="s">
        <v>9</v>
      </c>
      <c r="D19" s="109">
        <v>21</v>
      </c>
      <c r="E19" s="111"/>
      <c r="F19" s="111"/>
      <c r="H19" t="s">
        <v>182</v>
      </c>
    </row>
    <row r="20" spans="1:8">
      <c r="A20" s="109" t="s">
        <v>34</v>
      </c>
      <c r="B20" s="110" t="s">
        <v>35</v>
      </c>
      <c r="C20" s="109" t="s">
        <v>9</v>
      </c>
      <c r="D20" s="109">
        <v>12</v>
      </c>
      <c r="E20" s="111"/>
      <c r="F20" s="111"/>
      <c r="H20" t="s">
        <v>183</v>
      </c>
    </row>
    <row r="21" spans="1:8">
      <c r="A21" s="109" t="s">
        <v>36</v>
      </c>
      <c r="B21" s="110" t="s">
        <v>37</v>
      </c>
      <c r="C21" s="109" t="s">
        <v>12</v>
      </c>
      <c r="D21" s="109">
        <v>22</v>
      </c>
      <c r="E21" s="111"/>
      <c r="F21" s="111"/>
      <c r="H21" t="s">
        <v>184</v>
      </c>
    </row>
    <row r="22" spans="1:8">
      <c r="A22" s="109" t="s">
        <v>38</v>
      </c>
      <c r="B22" s="110" t="s">
        <v>39</v>
      </c>
      <c r="C22" s="109" t="s">
        <v>15</v>
      </c>
      <c r="D22" s="109">
        <v>6</v>
      </c>
      <c r="E22" s="111"/>
      <c r="F22" s="111"/>
      <c r="H22" t="s">
        <v>185</v>
      </c>
    </row>
    <row r="23" spans="1:8">
      <c r="A23" s="109" t="s">
        <v>40</v>
      </c>
      <c r="B23" s="110" t="s">
        <v>41</v>
      </c>
      <c r="C23" s="109" t="s">
        <v>12</v>
      </c>
      <c r="D23" s="109">
        <v>22</v>
      </c>
      <c r="E23" s="111"/>
      <c r="F23" s="111"/>
      <c r="H23" t="s">
        <v>186</v>
      </c>
    </row>
    <row r="24" spans="1:8">
      <c r="A24" s="109" t="s">
        <v>42</v>
      </c>
      <c r="B24" s="110" t="s">
        <v>43</v>
      </c>
      <c r="C24" s="109" t="s">
        <v>15</v>
      </c>
      <c r="D24" s="109">
        <v>6</v>
      </c>
      <c r="E24" s="111"/>
      <c r="F24" s="111"/>
      <c r="H24" t="s">
        <v>187</v>
      </c>
    </row>
    <row r="25" spans="1:8">
      <c r="A25" s="109" t="s">
        <v>44</v>
      </c>
      <c r="B25" s="110" t="s">
        <v>45</v>
      </c>
      <c r="C25" s="109" t="s">
        <v>12</v>
      </c>
      <c r="D25" s="109">
        <v>23</v>
      </c>
      <c r="E25" s="111"/>
      <c r="F25" s="111"/>
      <c r="H25" t="s">
        <v>188</v>
      </c>
    </row>
    <row r="26" spans="1:8">
      <c r="A26" s="109" t="s">
        <v>46</v>
      </c>
      <c r="B26" s="110" t="s">
        <v>47</v>
      </c>
      <c r="C26" s="109" t="s">
        <v>12</v>
      </c>
      <c r="D26" s="109">
        <v>24</v>
      </c>
      <c r="E26" s="111"/>
      <c r="F26" s="111"/>
      <c r="H26" t="s">
        <v>189</v>
      </c>
    </row>
    <row r="27" spans="1:8">
      <c r="A27" s="109" t="s">
        <v>48</v>
      </c>
      <c r="B27" s="110" t="s">
        <v>49</v>
      </c>
      <c r="C27" s="109" t="s">
        <v>12</v>
      </c>
      <c r="D27" s="109">
        <v>25</v>
      </c>
      <c r="E27" s="111"/>
      <c r="F27" s="111"/>
      <c r="H27" t="s">
        <v>190</v>
      </c>
    </row>
    <row r="28" spans="1:8">
      <c r="A28" s="109" t="s">
        <v>50</v>
      </c>
      <c r="B28" s="110" t="s">
        <v>51</v>
      </c>
      <c r="C28" s="109" t="s">
        <v>12</v>
      </c>
      <c r="D28" s="109">
        <v>26</v>
      </c>
      <c r="E28" s="111"/>
      <c r="F28" s="111"/>
      <c r="H28" t="s">
        <v>191</v>
      </c>
    </row>
    <row r="29" spans="1:8">
      <c r="A29" s="105" t="s">
        <v>52</v>
      </c>
      <c r="B29" s="106" t="s">
        <v>53</v>
      </c>
      <c r="C29" s="105"/>
      <c r="D29" s="105"/>
      <c r="E29" s="112"/>
      <c r="F29" s="112"/>
      <c r="H29" t="s">
        <v>192</v>
      </c>
    </row>
    <row r="30" spans="1:8">
      <c r="A30" s="109" t="s">
        <v>54</v>
      </c>
      <c r="B30" s="110" t="s">
        <v>55</v>
      </c>
      <c r="C30" s="109" t="s">
        <v>12</v>
      </c>
      <c r="D30" s="109">
        <v>27</v>
      </c>
      <c r="E30" s="111"/>
      <c r="F30" s="111"/>
      <c r="H30" t="s">
        <v>193</v>
      </c>
    </row>
    <row r="31" spans="1:8">
      <c r="A31" s="105" t="s">
        <v>56</v>
      </c>
      <c r="B31" s="106" t="s">
        <v>57</v>
      </c>
      <c r="C31" s="105"/>
      <c r="D31" s="105"/>
      <c r="E31" s="112"/>
      <c r="F31" s="112"/>
      <c r="H31" t="s">
        <v>194</v>
      </c>
    </row>
    <row r="32" spans="1:8">
      <c r="A32" s="113" t="s">
        <v>58</v>
      </c>
      <c r="B32" s="114" t="s">
        <v>100</v>
      </c>
      <c r="C32" s="113" t="s">
        <v>9</v>
      </c>
      <c r="D32" s="113">
        <v>28</v>
      </c>
      <c r="E32" s="111"/>
      <c r="F32" s="111"/>
      <c r="H32" t="s">
        <v>195</v>
      </c>
    </row>
    <row r="33" spans="1:8">
      <c r="A33" s="109" t="s">
        <v>60</v>
      </c>
      <c r="B33" s="110" t="s">
        <v>61</v>
      </c>
      <c r="C33" s="109" t="s">
        <v>12</v>
      </c>
      <c r="D33" s="109" t="s">
        <v>62</v>
      </c>
      <c r="E33" s="111"/>
      <c r="F33" s="111"/>
      <c r="H33" t="s">
        <v>196</v>
      </c>
    </row>
    <row r="34" spans="1:8">
      <c r="A34" s="105" t="s">
        <v>63</v>
      </c>
      <c r="B34" s="106" t="s">
        <v>64</v>
      </c>
      <c r="C34" s="105"/>
      <c r="D34" s="105"/>
      <c r="E34" s="112"/>
      <c r="F34" s="112"/>
      <c r="H34" t="s">
        <v>197</v>
      </c>
    </row>
    <row r="35" spans="1:8">
      <c r="A35" s="109" t="s">
        <v>65</v>
      </c>
      <c r="B35" s="110" t="s">
        <v>66</v>
      </c>
      <c r="C35" s="109" t="s">
        <v>9</v>
      </c>
      <c r="D35" s="109">
        <v>29</v>
      </c>
      <c r="E35" s="111"/>
      <c r="F35" s="111"/>
      <c r="H35" t="s">
        <v>198</v>
      </c>
    </row>
    <row r="36" spans="1:8">
      <c r="A36" s="109" t="s">
        <v>67</v>
      </c>
      <c r="B36" s="110" t="s">
        <v>68</v>
      </c>
      <c r="C36" s="109" t="s">
        <v>9</v>
      </c>
      <c r="D36" s="109">
        <v>28</v>
      </c>
      <c r="E36" s="111"/>
      <c r="F36" s="111"/>
      <c r="H36" t="s">
        <v>199</v>
      </c>
    </row>
    <row r="37" spans="1:8">
      <c r="A37" s="109" t="s">
        <v>69</v>
      </c>
      <c r="B37" s="110" t="s">
        <v>101</v>
      </c>
      <c r="C37" s="109" t="s">
        <v>9</v>
      </c>
      <c r="D37" s="109">
        <v>12</v>
      </c>
      <c r="E37" s="111"/>
      <c r="F37" s="111"/>
      <c r="H37" t="s">
        <v>200</v>
      </c>
    </row>
    <row r="38" spans="1:8">
      <c r="A38" s="109" t="s">
        <v>71</v>
      </c>
      <c r="B38" s="110" t="s">
        <v>72</v>
      </c>
      <c r="C38" s="109" t="s">
        <v>12</v>
      </c>
      <c r="D38" s="109">
        <v>29</v>
      </c>
      <c r="E38" s="111"/>
      <c r="F38" s="111"/>
      <c r="H38" t="s">
        <v>201</v>
      </c>
    </row>
    <row r="39" spans="1:8">
      <c r="A39" s="109" t="s">
        <v>73</v>
      </c>
      <c r="B39" s="110" t="s">
        <v>74</v>
      </c>
      <c r="C39" s="109" t="s">
        <v>12</v>
      </c>
      <c r="D39" s="109" t="s">
        <v>62</v>
      </c>
      <c r="E39" s="111"/>
      <c r="F39" s="111"/>
      <c r="H39" t="s">
        <v>202</v>
      </c>
    </row>
    <row r="40" spans="1:8">
      <c r="A40" s="105" t="s">
        <v>75</v>
      </c>
      <c r="B40" s="106" t="s">
        <v>76</v>
      </c>
      <c r="C40" s="105"/>
      <c r="D40" s="105"/>
      <c r="E40" s="112"/>
      <c r="F40" s="112"/>
      <c r="H40" t="s">
        <v>203</v>
      </c>
    </row>
    <row r="41" spans="1:8">
      <c r="A41" s="115" t="s">
        <v>77</v>
      </c>
      <c r="B41" s="116" t="s">
        <v>78</v>
      </c>
      <c r="C41" s="115"/>
      <c r="D41" s="115"/>
      <c r="E41" s="117"/>
      <c r="F41" s="117"/>
      <c r="H41" t="s">
        <v>204</v>
      </c>
    </row>
    <row r="42" spans="1:8">
      <c r="A42" s="109" t="s">
        <v>79</v>
      </c>
      <c r="B42" s="110" t="s">
        <v>80</v>
      </c>
      <c r="C42" s="109" t="s">
        <v>9</v>
      </c>
      <c r="D42" s="109" t="s">
        <v>81</v>
      </c>
      <c r="E42" s="111"/>
      <c r="F42" s="111"/>
      <c r="H42" t="s">
        <v>205</v>
      </c>
    </row>
    <row r="43" spans="1:8">
      <c r="A43" s="109" t="s">
        <v>82</v>
      </c>
      <c r="B43" s="110" t="s">
        <v>83</v>
      </c>
      <c r="C43" s="109" t="s">
        <v>9</v>
      </c>
      <c r="D43" s="109">
        <v>30</v>
      </c>
      <c r="E43" s="111"/>
      <c r="F43" s="111"/>
      <c r="H43" t="s">
        <v>206</v>
      </c>
    </row>
    <row r="44" spans="1:8">
      <c r="A44" s="109" t="s">
        <v>84</v>
      </c>
      <c r="B44" s="110" t="s">
        <v>85</v>
      </c>
      <c r="C44" s="109" t="s">
        <v>12</v>
      </c>
      <c r="D44" s="109" t="s">
        <v>81</v>
      </c>
      <c r="E44" s="111"/>
      <c r="F44" s="111"/>
    </row>
    <row r="45" spans="1:8">
      <c r="A45" s="109" t="s">
        <v>86</v>
      </c>
      <c r="B45" s="110" t="s">
        <v>102</v>
      </c>
      <c r="C45" s="109" t="s">
        <v>12</v>
      </c>
      <c r="D45" s="109">
        <v>30</v>
      </c>
      <c r="E45" s="111"/>
      <c r="F45" s="111"/>
    </row>
    <row r="46" spans="1:8">
      <c r="A46" s="115" t="s">
        <v>88</v>
      </c>
      <c r="B46" s="116" t="s">
        <v>89</v>
      </c>
      <c r="C46" s="115"/>
      <c r="D46" s="115"/>
      <c r="E46" s="117"/>
      <c r="F46" s="117"/>
    </row>
    <row r="47" spans="1:8">
      <c r="A47" s="109" t="s">
        <v>90</v>
      </c>
      <c r="B47" s="110" t="s">
        <v>103</v>
      </c>
      <c r="C47" s="109" t="s">
        <v>12</v>
      </c>
      <c r="D47" s="109">
        <v>30</v>
      </c>
      <c r="E47" s="111"/>
      <c r="F47" s="111"/>
    </row>
    <row r="48" spans="1:8">
      <c r="A48" s="109" t="s">
        <v>92</v>
      </c>
      <c r="B48" s="110" t="s">
        <v>93</v>
      </c>
      <c r="C48" s="109" t="s">
        <v>12</v>
      </c>
      <c r="D48" s="109">
        <v>37</v>
      </c>
      <c r="E48" s="111"/>
      <c r="F48" s="111"/>
    </row>
    <row r="49" spans="1:6">
      <c r="A49" s="105" t="s">
        <v>94</v>
      </c>
      <c r="B49" s="106" t="s">
        <v>95</v>
      </c>
      <c r="C49" s="105"/>
      <c r="D49" s="106"/>
      <c r="E49" s="112"/>
      <c r="F49" s="112"/>
    </row>
  </sheetData>
  <mergeCells count="7">
    <mergeCell ref="A1:F1"/>
    <mergeCell ref="A3:C3"/>
    <mergeCell ref="E3:F3"/>
    <mergeCell ref="D4:D5"/>
    <mergeCell ref="E4:F5"/>
    <mergeCell ref="B5:C5"/>
    <mergeCell ref="A4:B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4" xr:uid="{1D4B48B4-232B-4DF6-9486-ED78A337291C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 xr:uid="{3EF32D24-4F03-4D59-A6E7-991BADB73292}"/>
  </dataValidation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A50F-C1DA-48FD-AB49-D0889E94FF62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64</vt:i4>
      </vt:variant>
    </vt:vector>
  </HeadingPairs>
  <TitlesOfParts>
    <vt:vector size="64" baseType="lpstr">
      <vt:lpstr>Feuil3</vt:lpstr>
      <vt:lpstr>WOODSIDE</vt:lpstr>
      <vt:lpstr>TOTAL E&amp;P</vt:lpstr>
      <vt:lpstr>KOSMOS</vt:lpstr>
      <vt:lpstr>SOMIVA</vt:lpstr>
      <vt:lpstr>BARRICK GOLD</vt:lpstr>
      <vt:lpstr>SMC</vt:lpstr>
      <vt:lpstr>AIG</vt:lpstr>
      <vt:lpstr>SORED</vt:lpstr>
      <vt:lpstr>CAPRICORN</vt:lpstr>
      <vt:lpstr>MIFERSO</vt:lpstr>
      <vt:lpstr>ORANTO</vt:lpstr>
      <vt:lpstr>SGO</vt:lpstr>
      <vt:lpstr>PMC</vt:lpstr>
      <vt:lpstr>GCO</vt:lpstr>
      <vt:lpstr>GPHOS</vt:lpstr>
      <vt:lpstr>CSE</vt:lpstr>
      <vt:lpstr>SOCOCIM</vt:lpstr>
      <vt:lpstr>BP SENEGAL</vt:lpstr>
      <vt:lpstr>ICS</vt:lpstr>
      <vt:lpstr>SAR</vt:lpstr>
      <vt:lpstr>IAMGOLD</vt:lpstr>
      <vt:lpstr>CSL</vt:lpstr>
      <vt:lpstr>BMCC</vt:lpstr>
      <vt:lpstr>DANGOTE</vt:lpstr>
      <vt:lpstr>CDS</vt:lpstr>
      <vt:lpstr>SEN_MINES</vt:lpstr>
      <vt:lpstr>SNSSS</vt:lpstr>
      <vt:lpstr>SSPT</vt:lpstr>
      <vt:lpstr>AGEM</vt:lpstr>
      <vt:lpstr>COGECA</vt:lpstr>
      <vt:lpstr>SEPHOS</vt:lpstr>
      <vt:lpstr>PETROSEN</vt:lpstr>
      <vt:lpstr>TALIX MINES</vt:lpstr>
      <vt:lpstr>GECAMINES</vt:lpstr>
      <vt:lpstr>GRAVITA</vt:lpstr>
      <vt:lpstr>FORTESA</vt:lpstr>
      <vt:lpstr>AOD</vt:lpstr>
      <vt:lpstr>FIS_SN</vt:lpstr>
      <vt:lpstr>IDC</vt:lpstr>
      <vt:lpstr>ASR</vt:lpstr>
      <vt:lpstr>GBO</vt:lpstr>
      <vt:lpstr>AFRIGOLD</vt:lpstr>
      <vt:lpstr>TANOR</vt:lpstr>
      <vt:lpstr>CHESSER</vt:lpstr>
      <vt:lpstr>KG HOLDING</vt:lpstr>
      <vt:lpstr>GOES</vt:lpstr>
      <vt:lpstr>FMS</vt:lpstr>
      <vt:lpstr>CHEMTRA</vt:lpstr>
      <vt:lpstr>LCP</vt:lpstr>
      <vt:lpstr>ZENITH</vt:lpstr>
      <vt:lpstr>SOMISEN</vt:lpstr>
      <vt:lpstr>ASCO</vt:lpstr>
      <vt:lpstr>SILEX</vt:lpstr>
      <vt:lpstr>CMS</vt:lpstr>
      <vt:lpstr>SOCABEG</vt:lpstr>
      <vt:lpstr>BOSFOR</vt:lpstr>
      <vt:lpstr>BAMBADJI</vt:lpstr>
      <vt:lpstr>AECI</vt:lpstr>
      <vt:lpstr>SOCOBE</vt:lpstr>
      <vt:lpstr>MANDINGA</vt:lpstr>
      <vt:lpstr>CPM</vt:lpstr>
      <vt:lpstr>PROCHIMAT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sie rachid traore</cp:lastModifiedBy>
  <dcterms:created xsi:type="dcterms:W3CDTF">2015-06-05T18:19:34Z</dcterms:created>
  <dcterms:modified xsi:type="dcterms:W3CDTF">2026-05-07T00:51:53Z</dcterms:modified>
</cp:coreProperties>
</file>