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hp\Documents\bibliothèque de travail\2 Elève ingénieur\ISE\Cours\ISE3\Stage ITIE\Liste entreprise brute\"/>
    </mc:Choice>
  </mc:AlternateContent>
  <xr:revisionPtr revIDLastSave="0" documentId="13_ncr:1_{F5AC8CE1-BE77-4390-A188-F2C4F231B824}" xr6:coauthVersionLast="47" xr6:coauthVersionMax="47" xr10:uidLastSave="{00000000-0000-0000-0000-000000000000}"/>
  <bookViews>
    <workbookView xWindow="-120" yWindow="-120" windowWidth="20730" windowHeight="11040" firstSheet="58" activeTab="63" xr2:uid="{00000000-000D-0000-FFFF-FFFF00000000}"/>
  </bookViews>
  <sheets>
    <sheet name="Feuil3" sheetId="34" r:id="rId1"/>
    <sheet name="WOODSIDE" sheetId="14" r:id="rId2"/>
    <sheet name="TOTAL E&amp;P" sheetId="12" r:id="rId3"/>
    <sheet name="KOSMOS" sheetId="11" r:id="rId4"/>
    <sheet name="SOMIVA" sheetId="10" r:id="rId5"/>
    <sheet name="BARRICK GOLD" sheetId="15" r:id="rId6"/>
    <sheet name="SMC" sheetId="21" r:id="rId7"/>
    <sheet name="AIG" sheetId="27" r:id="rId8"/>
    <sheet name="SORED" sheetId="28" r:id="rId9"/>
    <sheet name="CAPRICORN" sheetId="29" r:id="rId10"/>
    <sheet name="MIFERSO" sheetId="30" r:id="rId11"/>
    <sheet name="ORANTO" sheetId="31" r:id="rId12"/>
    <sheet name="SGO" sheetId="3" r:id="rId13"/>
    <sheet name="PMC" sheetId="2" r:id="rId14"/>
    <sheet name="GCO" sheetId="4" r:id="rId15"/>
    <sheet name="GPHOS" sheetId="6" r:id="rId16"/>
    <sheet name="CSE" sheetId="22" r:id="rId17"/>
    <sheet name="SOCOCIM" sheetId="19" r:id="rId18"/>
    <sheet name="CDS" sheetId="36" r:id="rId19"/>
    <sheet name="SSPT" sheetId="16" r:id="rId20"/>
    <sheet name="SOCOBE" sheetId="62" r:id="rId21"/>
    <sheet name="BP SENEGAL" sheetId="1" r:id="rId22"/>
    <sheet name="SAR" sheetId="32" r:id="rId23"/>
    <sheet name="ICS" sheetId="7" r:id="rId24"/>
    <sheet name="IAMGOLD" sheetId="5" r:id="rId25"/>
    <sheet name="CSL" sheetId="8" r:id="rId26"/>
    <sheet name="BMCC" sheetId="13" r:id="rId27"/>
    <sheet name="DANGOTE" sheetId="9" r:id="rId28"/>
    <sheet name="SEN_MINES" sheetId="35" r:id="rId29"/>
    <sheet name="SNSSS" sheetId="33" r:id="rId30"/>
    <sheet name="AGEM" sheetId="17" r:id="rId31"/>
    <sheet name="COGECA" sheetId="18" r:id="rId32"/>
    <sheet name="SEPHOS" sheetId="20" r:id="rId33"/>
    <sheet name="PETROSEN" sheetId="23" r:id="rId34"/>
    <sheet name="TALIX MINES" sheetId="24" r:id="rId35"/>
    <sheet name="GECAMINES" sheetId="25" r:id="rId36"/>
    <sheet name="GRAVITA" sheetId="38" r:id="rId37"/>
    <sheet name="FORTESA" sheetId="26" r:id="rId38"/>
    <sheet name="AOD" sheetId="39" r:id="rId39"/>
    <sheet name="FIS_SN" sheetId="40" r:id="rId40"/>
    <sheet name="IDC" sheetId="41" r:id="rId41"/>
    <sheet name="ASR" sheetId="42" r:id="rId42"/>
    <sheet name="GBO" sheetId="45" r:id="rId43"/>
    <sheet name="AFRIGOLD" sheetId="43" r:id="rId44"/>
    <sheet name="TANOR" sheetId="44" r:id="rId45"/>
    <sheet name="CHESSER" sheetId="46" r:id="rId46"/>
    <sheet name="KG HOLDING" sheetId="47" r:id="rId47"/>
    <sheet name="GOES" sheetId="48" r:id="rId48"/>
    <sheet name="FMS" sheetId="49" r:id="rId49"/>
    <sheet name="CHEMTRA" sheetId="50" r:id="rId50"/>
    <sheet name="LCP" sheetId="51" r:id="rId51"/>
    <sheet name="ZENITH" sheetId="52" r:id="rId52"/>
    <sheet name="SOMISEN" sheetId="53" r:id="rId53"/>
    <sheet name="ASCO" sheetId="54" r:id="rId54"/>
    <sheet name="SILEX" sheetId="55" r:id="rId55"/>
    <sheet name="CMS" sheetId="56" r:id="rId56"/>
    <sheet name="SOCABEG" sheetId="58" r:id="rId57"/>
    <sheet name="BOSFOR" sheetId="59" r:id="rId58"/>
    <sheet name="BAMBADJI" sheetId="60" r:id="rId59"/>
    <sheet name="AECI" sheetId="61" r:id="rId60"/>
    <sheet name="MANDINGA" sheetId="63" r:id="rId61"/>
    <sheet name="CPM" sheetId="68" r:id="rId62"/>
    <sheet name="PROCHIMAT" sheetId="69" r:id="rId63"/>
    <sheet name="RAPPORT_01" sheetId="57" r:id="rId64"/>
    <sheet name="RAPPORT" sheetId="70" r:id="rId65"/>
  </sheets>
  <externalReferences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xlnm._FilterDatabase" localSheetId="62" hidden="1">PROCHIMAT!#REF!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69" l="1"/>
  <c r="E3" i="69"/>
  <c r="B5" i="17" l="1"/>
  <c r="G4" i="17"/>
  <c r="G3" i="17"/>
  <c r="B5" i="56" l="1"/>
  <c r="E4" i="56"/>
  <c r="E3" i="56"/>
  <c r="E48" i="55" l="1"/>
  <c r="F46" i="55"/>
  <c r="E46" i="55"/>
  <c r="F40" i="55"/>
  <c r="E40" i="55"/>
  <c r="E33" i="55"/>
  <c r="E29" i="55"/>
  <c r="E31" i="55" s="1"/>
  <c r="E34" i="55" s="1"/>
  <c r="E41" i="55" s="1"/>
  <c r="F15" i="55"/>
  <c r="F29" i="55" s="1"/>
  <c r="F31" i="55" s="1"/>
  <c r="F34" i="55" s="1"/>
  <c r="F41" i="55" s="1"/>
  <c r="F49" i="55" s="1"/>
  <c r="E15" i="55"/>
  <c r="F11" i="55"/>
  <c r="E11" i="55"/>
  <c r="B5" i="55"/>
  <c r="E4" i="55"/>
  <c r="A4" i="55"/>
  <c r="E3" i="55"/>
  <c r="F46" i="54" l="1"/>
  <c r="E46" i="54"/>
  <c r="F40" i="54"/>
  <c r="E40" i="54"/>
  <c r="F15" i="54"/>
  <c r="E15" i="54"/>
  <c r="F11" i="54"/>
  <c r="F29" i="54" s="1"/>
  <c r="F31" i="54" s="1"/>
  <c r="F34" i="54" s="1"/>
  <c r="F41" i="54" s="1"/>
  <c r="E11" i="54"/>
  <c r="E29" i="54" s="1"/>
  <c r="E31" i="54" s="1"/>
  <c r="E34" i="54" s="1"/>
  <c r="E41" i="54" s="1"/>
  <c r="B5" i="54"/>
  <c r="E4" i="54"/>
  <c r="A4" i="54"/>
  <c r="E3" i="54"/>
  <c r="A3" i="54"/>
  <c r="E49" i="54" l="1"/>
  <c r="F49" i="54"/>
  <c r="F46" i="53" l="1"/>
  <c r="E46" i="53"/>
  <c r="F29" i="53"/>
  <c r="F31" i="53" s="1"/>
  <c r="F34" i="53" s="1"/>
  <c r="F41" i="53" s="1"/>
  <c r="F49" i="53" s="1"/>
  <c r="E29" i="53"/>
  <c r="E31" i="53" s="1"/>
  <c r="E34" i="53" s="1"/>
  <c r="E41" i="53" s="1"/>
  <c r="E49" i="53" s="1"/>
  <c r="B5" i="53"/>
  <c r="E4" i="53"/>
  <c r="E3" i="53"/>
  <c r="B5" i="52" l="1"/>
  <c r="E4" i="52"/>
  <c r="A4" i="52"/>
  <c r="E3" i="52"/>
  <c r="B5" i="50" l="1"/>
  <c r="E4" i="50"/>
  <c r="A4" i="50"/>
  <c r="E3" i="50"/>
  <c r="B5" i="48" l="1"/>
  <c r="E4" i="48"/>
  <c r="A4" i="48"/>
  <c r="E3" i="48"/>
  <c r="E30" i="47" l="1"/>
  <c r="E27" i="47"/>
  <c r="E26" i="47"/>
  <c r="E25" i="47"/>
  <c r="E23" i="47"/>
  <c r="F15" i="47"/>
  <c r="F29" i="47" s="1"/>
  <c r="F31" i="47" s="1"/>
  <c r="F34" i="47" s="1"/>
  <c r="F41" i="47" s="1"/>
  <c r="F49" i="47" s="1"/>
  <c r="E15" i="47"/>
  <c r="E29" i="47" s="1"/>
  <c r="E31" i="47" s="1"/>
  <c r="E34" i="47" s="1"/>
  <c r="E41" i="47" s="1"/>
  <c r="E49" i="47" s="1"/>
  <c r="B5" i="47"/>
  <c r="E4" i="47"/>
  <c r="E3" i="47"/>
  <c r="B5" i="46" l="1"/>
  <c r="E4" i="46"/>
  <c r="E3" i="46"/>
  <c r="B5" i="22" l="1"/>
  <c r="E4" i="22"/>
  <c r="E3" i="22"/>
  <c r="B5" i="44" l="1"/>
  <c r="E4" i="44"/>
  <c r="A4" i="44"/>
  <c r="E3" i="44"/>
  <c r="B5" i="63" l="1"/>
  <c r="E4" i="63"/>
  <c r="A4" i="63"/>
  <c r="E3" i="63"/>
  <c r="B5" i="62" l="1"/>
  <c r="E4" i="62"/>
  <c r="A4" i="62"/>
  <c r="E3" i="62"/>
  <c r="B5" i="60" l="1"/>
  <c r="E4" i="60"/>
  <c r="A4" i="60"/>
  <c r="E3" i="60"/>
  <c r="E34" i="59" l="1"/>
  <c r="B5" i="59"/>
  <c r="E4" i="59"/>
  <c r="A4" i="59"/>
  <c r="E3" i="59"/>
  <c r="B5" i="58" l="1"/>
  <c r="E4" i="58"/>
  <c r="E3" i="58"/>
  <c r="B5" i="43" l="1"/>
  <c r="E4" i="43"/>
  <c r="E3" i="43"/>
  <c r="B5" i="42" l="1"/>
  <c r="E4" i="42"/>
  <c r="E3" i="42"/>
  <c r="F46" i="41" l="1"/>
  <c r="F49" i="41" s="1"/>
  <c r="E46" i="41"/>
  <c r="E40" i="41"/>
  <c r="F29" i="41"/>
  <c r="F31" i="41" s="1"/>
  <c r="F34" i="41" s="1"/>
  <c r="E29" i="41"/>
  <c r="E31" i="41" s="1"/>
  <c r="E34" i="41" s="1"/>
  <c r="E41" i="41" s="1"/>
  <c r="E49" i="41" s="1"/>
  <c r="E15" i="41"/>
  <c r="B5" i="41"/>
  <c r="E4" i="41"/>
  <c r="E3" i="41"/>
  <c r="B5" i="38" l="1"/>
  <c r="G4" i="38"/>
  <c r="A4" i="38"/>
  <c r="G3" i="38"/>
  <c r="B5" i="25" l="1"/>
  <c r="G4" i="25"/>
  <c r="G3" i="25"/>
  <c r="B5" i="36" l="1"/>
  <c r="G4" i="36"/>
  <c r="G3" i="36"/>
  <c r="B5" i="35" l="1"/>
  <c r="G4" i="35"/>
  <c r="G3" i="35"/>
  <c r="B5" i="16" l="1"/>
  <c r="E4" i="16"/>
  <c r="E3" i="16"/>
  <c r="B5" i="7" l="1"/>
  <c r="G4" i="7"/>
  <c r="G3" i="7"/>
  <c r="E31" i="23" l="1"/>
  <c r="E34" i="23" s="1"/>
  <c r="E41" i="23" s="1"/>
  <c r="E49" i="23" s="1"/>
  <c r="B5" i="33" l="1"/>
  <c r="G4" i="33"/>
  <c r="A4" i="33"/>
  <c r="G3" i="33"/>
  <c r="B5" i="24" l="1"/>
  <c r="G4" i="24"/>
  <c r="G3" i="24"/>
  <c r="H46" i="19" l="1"/>
  <c r="G46" i="19"/>
  <c r="H40" i="19"/>
  <c r="G40" i="19"/>
  <c r="H15" i="19"/>
  <c r="H29" i="19" s="1"/>
  <c r="H31" i="19" s="1"/>
  <c r="H34" i="19" s="1"/>
  <c r="G15" i="19"/>
  <c r="G29" i="19" s="1"/>
  <c r="G31" i="19" s="1"/>
  <c r="G34" i="19" s="1"/>
  <c r="G41" i="19" s="1"/>
  <c r="G49" i="19" s="1"/>
  <c r="H41" i="19" l="1"/>
  <c r="H49" i="19" s="1"/>
  <c r="G28" i="4"/>
  <c r="G29" i="4" s="1"/>
  <c r="G31" i="4" s="1"/>
  <c r="G34" i="4" s="1"/>
  <c r="G35" i="4"/>
  <c r="G40" i="4" s="1"/>
  <c r="B5" i="3" l="1"/>
  <c r="G4" i="3"/>
  <c r="G3" i="3"/>
  <c r="B5" i="2" l="1"/>
  <c r="G4" i="2"/>
  <c r="G3" i="2"/>
  <c r="G46" i="1" l="1"/>
  <c r="F46" i="1"/>
  <c r="G40" i="1"/>
  <c r="F40" i="1"/>
  <c r="G29" i="1"/>
  <c r="G31" i="1" s="1"/>
  <c r="G34" i="1" s="1"/>
  <c r="F29" i="1"/>
  <c r="F31" i="1" s="1"/>
  <c r="F34" i="1" s="1"/>
  <c r="G41" i="1" l="1"/>
  <c r="G49" i="1" s="1"/>
  <c r="F41" i="1"/>
  <c r="F49" i="1" s="1"/>
</calcChain>
</file>

<file path=xl/sharedStrings.xml><?xml version="1.0" encoding="utf-8"?>
<sst xmlns="http://schemas.openxmlformats.org/spreadsheetml/2006/main" count="6665" uniqueCount="285">
  <si>
    <t>COMPTE DE RESULTAT</t>
  </si>
  <si>
    <t>Excercice clos le :</t>
  </si>
  <si>
    <t>Durée en mois :</t>
  </si>
  <si>
    <t>Numéro d'identification :</t>
  </si>
  <si>
    <t>REF</t>
  </si>
  <si>
    <t>LIBELLES</t>
  </si>
  <si>
    <t>NOTE</t>
  </si>
  <si>
    <t>TA</t>
  </si>
  <si>
    <t>Ventes de marchandises                                                                                       A</t>
  </si>
  <si>
    <t>+</t>
  </si>
  <si>
    <t>RA</t>
  </si>
  <si>
    <t>Achats de marchandises</t>
  </si>
  <si>
    <t>-</t>
  </si>
  <si>
    <t>RB</t>
  </si>
  <si>
    <t>Variation de stocks de marchandises</t>
  </si>
  <si>
    <t>-/+</t>
  </si>
  <si>
    <t>XA</t>
  </si>
  <si>
    <t>MARGE BRUTE SUR MARCHANDISES (somme TA à RB)</t>
  </si>
  <si>
    <t>TB</t>
  </si>
  <si>
    <t>Ventes de produits fabriqués                                                                                B</t>
  </si>
  <si>
    <t>TC</t>
  </si>
  <si>
    <t>Travaux, services vendus                                                                                      C</t>
  </si>
  <si>
    <t>TD</t>
  </si>
  <si>
    <t>Produits accessoires                                                                                              D</t>
  </si>
  <si>
    <t>XB</t>
  </si>
  <si>
    <t>CHIFFRE D'AFFAIRES (A + B + C + D)</t>
  </si>
  <si>
    <t>TE</t>
  </si>
  <si>
    <t>Production stockée (ou destockage)</t>
  </si>
  <si>
    <t>TF</t>
  </si>
  <si>
    <t>Production immobilisée</t>
  </si>
  <si>
    <t>TG</t>
  </si>
  <si>
    <t>Subventions d'exploitation</t>
  </si>
  <si>
    <t>TH</t>
  </si>
  <si>
    <t>Autres produits</t>
  </si>
  <si>
    <t>TI</t>
  </si>
  <si>
    <t>Transferts de charges d'exploitation</t>
  </si>
  <si>
    <t>RC</t>
  </si>
  <si>
    <t>Achats de matières premières et fournitures liées</t>
  </si>
  <si>
    <t>RD</t>
  </si>
  <si>
    <t>Variation de stocks de stocks de matières premières et fournitures liées</t>
  </si>
  <si>
    <t>RE</t>
  </si>
  <si>
    <t>Autres achats</t>
  </si>
  <si>
    <t>RF</t>
  </si>
  <si>
    <t>Variation de stocks d'autres approvisionnements</t>
  </si>
  <si>
    <t>RG</t>
  </si>
  <si>
    <t>Transports</t>
  </si>
  <si>
    <t>RH</t>
  </si>
  <si>
    <t>Services extérieurs</t>
  </si>
  <si>
    <t>RI</t>
  </si>
  <si>
    <t>Impôts et taxes</t>
  </si>
  <si>
    <t>RJ</t>
  </si>
  <si>
    <t>Autres charges</t>
  </si>
  <si>
    <t>XC</t>
  </si>
  <si>
    <t>VALEUR AJOUTEE (XB + RA + RB) + (somme TE à RJ)</t>
  </si>
  <si>
    <t>RK</t>
  </si>
  <si>
    <t>Charges de personnel</t>
  </si>
  <si>
    <t>XD</t>
  </si>
  <si>
    <t>EXCEDENT BRUT D'EXPLOITATION (XC + RK)</t>
  </si>
  <si>
    <t>TJ</t>
  </si>
  <si>
    <t>Reprises d'amortissements, provisions et dépréciations</t>
  </si>
  <si>
    <t>RL</t>
  </si>
  <si>
    <t>Dotations aux amortissements, aux provisions et dépréciations</t>
  </si>
  <si>
    <t>3C &amp; 28</t>
  </si>
  <si>
    <t>XE</t>
  </si>
  <si>
    <t>RESULTAT D'EXPLOITATION (XD + TJ + RL)</t>
  </si>
  <si>
    <t>TK</t>
  </si>
  <si>
    <t>Revenus financiers et assimilés</t>
  </si>
  <si>
    <t>TL</t>
  </si>
  <si>
    <t>Reprises de provisions et dépréciations financières</t>
  </si>
  <si>
    <t>TM</t>
  </si>
  <si>
    <t>Tranferts de charges financières</t>
  </si>
  <si>
    <t>RM</t>
  </si>
  <si>
    <t>Frais financiers et charges assimilées</t>
  </si>
  <si>
    <t>RN</t>
  </si>
  <si>
    <t>Dotations aux provisions et aux dépréciations financières</t>
  </si>
  <si>
    <t>XF</t>
  </si>
  <si>
    <t>RESULTAT FINANCIER (somme TK à RN)</t>
  </si>
  <si>
    <t>XG</t>
  </si>
  <si>
    <t>RESULTAT DES ACTIVITES ORDINAIRES (XE + XF)</t>
  </si>
  <si>
    <t>TN</t>
  </si>
  <si>
    <t>Produits des cessions d'immobilisations</t>
  </si>
  <si>
    <t>3D</t>
  </si>
  <si>
    <t>TO</t>
  </si>
  <si>
    <t>Autres produits H.A.O.</t>
  </si>
  <si>
    <t>RO</t>
  </si>
  <si>
    <t>Valeurs comptables des cessions d'immobilisations</t>
  </si>
  <si>
    <t>RP</t>
  </si>
  <si>
    <t>Autres charges H.A.O.</t>
  </si>
  <si>
    <t>XH</t>
  </si>
  <si>
    <t>RESULTAT HORS ACTIVITES ORDINAIRES (somme TN à RP)</t>
  </si>
  <si>
    <t>RQ</t>
  </si>
  <si>
    <t>Participation des travailleurs</t>
  </si>
  <si>
    <t>RS</t>
  </si>
  <si>
    <t>Impôts sur le résultat</t>
  </si>
  <si>
    <t>XI</t>
  </si>
  <si>
    <t>RESULTAT NET (XG + XH + RQ + RS)</t>
  </si>
  <si>
    <t>Désignation entité :</t>
  </si>
  <si>
    <t>Désignation entité :Sabodala Gold Operations S.A</t>
  </si>
  <si>
    <t>Variation de stocks</t>
  </si>
  <si>
    <t>Transferts de charges</t>
  </si>
  <si>
    <t>Reprises d'amortissements</t>
  </si>
  <si>
    <t>Tranfert de charges financières</t>
  </si>
  <si>
    <t>Charges H.A.O.</t>
  </si>
  <si>
    <t>Participations des travailleurs</t>
  </si>
  <si>
    <t>31/12/2022</t>
  </si>
  <si>
    <t>G-PHOS</t>
  </si>
  <si>
    <t>004716033 2V3</t>
  </si>
  <si>
    <t>2024</t>
  </si>
  <si>
    <t>2023</t>
  </si>
  <si>
    <t>2022</t>
  </si>
  <si>
    <t>2021</t>
  </si>
  <si>
    <t>31/12/N</t>
  </si>
  <si>
    <t>31/12/N-1</t>
  </si>
  <si>
    <t xml:space="preserve">Désignation entité : </t>
  </si>
  <si>
    <t>31/12/2024</t>
  </si>
  <si>
    <t>SOCIETE AFRICAINE DE RAFFINAGE</t>
  </si>
  <si>
    <t>00125762G3</t>
  </si>
  <si>
    <t xml:space="preserve">Ventes de marchandises               </t>
  </si>
  <si>
    <t xml:space="preserve">Ventes de produits fabriqués       </t>
  </si>
  <si>
    <t xml:space="preserve">Travaux, services vendus                           </t>
  </si>
  <si>
    <t xml:space="preserve">Produits accessoires     </t>
  </si>
  <si>
    <t>SEPHOS SENEGAL SA</t>
  </si>
  <si>
    <t>004013041</t>
  </si>
  <si>
    <t>SOCIETES DES PETROLES DU SENEGAL D'EXPLORATION ET DE PRODUCTION - SA</t>
  </si>
  <si>
    <t>007644736</t>
  </si>
  <si>
    <t>manque 2020</t>
  </si>
  <si>
    <t>manque 2022 2021 2020</t>
  </si>
  <si>
    <t>INDUSTRIES CHIMIQUES DU SENEGAL</t>
  </si>
  <si>
    <t>manque 2024 2023 2020</t>
  </si>
  <si>
    <t>SOCIETE SENEGALAISE DES PHOSPHATES DE THIES</t>
  </si>
  <si>
    <t>COMPAGNIE SENEGALAISE DES LUBRIFIANTS</t>
  </si>
  <si>
    <t>000033457</t>
  </si>
  <si>
    <t>SENEGAL MINES</t>
  </si>
  <si>
    <t>LES CIMENTS DU SAHEL SA</t>
  </si>
  <si>
    <t>Désignation de l'entreprise :</t>
  </si>
  <si>
    <t>AFRIQUE DE L'OUEST DRILLING SOFITER</t>
  </si>
  <si>
    <t>002828129</t>
  </si>
  <si>
    <t>FORTESA INTERNATIONAL SENEGAL SN</t>
  </si>
  <si>
    <t>004113081</t>
  </si>
  <si>
    <t>INTERNATIONAL DRILLING COMPANY SENEGAL SASU</t>
  </si>
  <si>
    <t>BAOBAB MINING AND CHEMICALS CORPORATION SA</t>
  </si>
  <si>
    <t>004408622 2C2</t>
  </si>
  <si>
    <t>Désignation entité : AFRICAN STAR RESSOURCES SARL</t>
  </si>
  <si>
    <t xml:space="preserve">Désignation entité : AFRIGOLD </t>
  </si>
  <si>
    <t xml:space="preserve"> </t>
  </si>
  <si>
    <t>GADD BISSIK PHOSPHATES OPERATIONS</t>
  </si>
  <si>
    <t>005478020</t>
  </si>
  <si>
    <t xml:space="preserve">AECI SENEGAL SUARL </t>
  </si>
  <si>
    <t>006186862 2A2</t>
  </si>
  <si>
    <t>Dénomination sociale de l’entreprise</t>
  </si>
  <si>
    <t>Numéro d'identification fiscale:</t>
  </si>
  <si>
    <t>CHESSER - SAU</t>
  </si>
  <si>
    <t>KUTLU GABANE HOLDING SA</t>
  </si>
  <si>
    <t>FALCON MINING SENEGAL</t>
  </si>
  <si>
    <t>007766663</t>
  </si>
  <si>
    <t>3C&amp;28</t>
  </si>
  <si>
    <t>LES CARRIERES DE POUT SARL</t>
  </si>
  <si>
    <t>Transfert de charges financières</t>
  </si>
  <si>
    <t>Désignation entité : CAPITAL DRILLING MINING SERVICES SENEGAL SAU</t>
  </si>
  <si>
    <t>Désignation entité : AGEM SENEGAL EXPLORATION</t>
  </si>
  <si>
    <t>CAYOR PHOSPHATE MINING SA</t>
  </si>
  <si>
    <t>008519160 2G3</t>
  </si>
  <si>
    <t>000018459</t>
  </si>
  <si>
    <t>COMPAGNIE DES PRODUITS CHIMIQUES &amp; MATERIAUX</t>
  </si>
  <si>
    <t>2 632 606 203</t>
  </si>
  <si>
    <t>4 210 516 843</t>
  </si>
  <si>
    <t>528 007 820</t>
  </si>
  <si>
    <t>-2 027 516 927</t>
  </si>
  <si>
    <t>-1 578 483 958</t>
  </si>
  <si>
    <t>-1 109 412 557</t>
  </si>
  <si>
    <t>-4 603 901 932</t>
  </si>
  <si>
    <t>-255 012 459</t>
  </si>
  <si>
    <t>-190 774 588</t>
  </si>
  <si>
    <t>-2 394 225 092</t>
  </si>
  <si>
    <t>-190 367 729</t>
  </si>
  <si>
    <t>-2 584 592 821</t>
  </si>
  <si>
    <t>-1 691 689 997</t>
  </si>
  <si>
    <t>-4 276 282 818</t>
  </si>
  <si>
    <t>520 895 424</t>
  </si>
  <si>
    <t>-468 544 971</t>
  </si>
  <si>
    <t>52 350 453</t>
  </si>
  <si>
    <t>-4 223 932 365</t>
  </si>
  <si>
    <t>4 220 658 894</t>
  </si>
  <si>
    <t>-4 138 938 844</t>
  </si>
  <si>
    <t>81 720 050</t>
  </si>
  <si>
    <t>-4 142 212 315</t>
  </si>
  <si>
    <t>-253 738</t>
  </si>
  <si>
    <t>81 622 116 701</t>
  </si>
  <si>
    <t>1 309 928 679</t>
  </si>
  <si>
    <t>48 410 439</t>
  </si>
  <si>
    <t>82 980 455 719</t>
  </si>
  <si>
    <t>-3 622 251 761</t>
  </si>
  <si>
    <t>63 169 683</t>
  </si>
  <si>
    <t>-23 522 521 477</t>
  </si>
  <si>
    <t>-753 888 790</t>
  </si>
  <si>
    <t>-17 850 546 356</t>
  </si>
  <si>
    <t>2 688 836 106</t>
  </si>
  <si>
    <t>-124 853 371</t>
  </si>
  <si>
    <t>-4 147 008 531</t>
  </si>
  <si>
    <t>-203 418 554</t>
  </si>
  <si>
    <t>-253 581 515</t>
  </si>
  <si>
    <t>35 254 390 163</t>
  </si>
  <si>
    <t>-8 242 359 010</t>
  </si>
  <si>
    <t>27 012 031 243</t>
  </si>
  <si>
    <t>104 152 219</t>
  </si>
  <si>
    <t>5 455 153 284</t>
  </si>
  <si>
    <t>-9 886 568 856</t>
  </si>
  <si>
    <t>-8 099 280</t>
  </si>
  <si>
    <t>4 895 547 928</t>
  </si>
  <si>
    <t>14 713 048 916</t>
  </si>
  <si>
    <t>19 048 895 549</t>
  </si>
  <si>
    <t>NA</t>
  </si>
  <si>
    <t>Feuil3</t>
  </si>
  <si>
    <t>WOODSIDE</t>
  </si>
  <si>
    <t>TOTAL E&amp;P</t>
  </si>
  <si>
    <t>KOSMOS</t>
  </si>
  <si>
    <t>SOMIVA</t>
  </si>
  <si>
    <t>BARRICK GOLD</t>
  </si>
  <si>
    <t>SMC</t>
  </si>
  <si>
    <t>AIG</t>
  </si>
  <si>
    <t>SORED</t>
  </si>
  <si>
    <t>CAPRICORN</t>
  </si>
  <si>
    <t>MIFERSO</t>
  </si>
  <si>
    <t>ORANTO</t>
  </si>
  <si>
    <t>SGO</t>
  </si>
  <si>
    <t>PMC</t>
  </si>
  <si>
    <t>GCO</t>
  </si>
  <si>
    <t>GPHOS</t>
  </si>
  <si>
    <t>CSE</t>
  </si>
  <si>
    <t>SOCOCIM</t>
  </si>
  <si>
    <t>BP SENEGAL</t>
  </si>
  <si>
    <t>ICS</t>
  </si>
  <si>
    <t>SAR</t>
  </si>
  <si>
    <t>IAMGOLD</t>
  </si>
  <si>
    <t>CSL</t>
  </si>
  <si>
    <t>BMCC</t>
  </si>
  <si>
    <t>DANGOTE</t>
  </si>
  <si>
    <t>CDS</t>
  </si>
  <si>
    <t>SEN_MINES</t>
  </si>
  <si>
    <t>SNSSS</t>
  </si>
  <si>
    <t>SSPT</t>
  </si>
  <si>
    <t>AGEM</t>
  </si>
  <si>
    <t>COGECA</t>
  </si>
  <si>
    <t>SEPHOS</t>
  </si>
  <si>
    <t>PETROSEN</t>
  </si>
  <si>
    <t>TALIX MINES</t>
  </si>
  <si>
    <t>GECAMINES</t>
  </si>
  <si>
    <t>GRAVITA</t>
  </si>
  <si>
    <t>FORTESA</t>
  </si>
  <si>
    <t>AOD</t>
  </si>
  <si>
    <t>FIS_SN</t>
  </si>
  <si>
    <t>IDC</t>
  </si>
  <si>
    <t>ASR</t>
  </si>
  <si>
    <t>GBO</t>
  </si>
  <si>
    <t>AFRIGOLD</t>
  </si>
  <si>
    <t>TANOR</t>
  </si>
  <si>
    <t>CHESSER</t>
  </si>
  <si>
    <t>KG HOLDING</t>
  </si>
  <si>
    <t>GOES</t>
  </si>
  <si>
    <t>FMS</t>
  </si>
  <si>
    <t>CHEMTRA</t>
  </si>
  <si>
    <t>LCP</t>
  </si>
  <si>
    <t>ZENITH</t>
  </si>
  <si>
    <t>SOMISEN</t>
  </si>
  <si>
    <t>ASCO</t>
  </si>
  <si>
    <t>SILEX</t>
  </si>
  <si>
    <t>CMS</t>
  </si>
  <si>
    <t>SOCABEG</t>
  </si>
  <si>
    <t>BOSFOR</t>
  </si>
  <si>
    <t>BAMBADJI</t>
  </si>
  <si>
    <t>AECI</t>
  </si>
  <si>
    <t>SOCOBE</t>
  </si>
  <si>
    <t>MANDINGA</t>
  </si>
  <si>
    <t>CPM</t>
  </si>
  <si>
    <t>PROCHIMAT</t>
  </si>
  <si>
    <t>Entreprise</t>
  </si>
  <si>
    <t>CA</t>
  </si>
  <si>
    <t>TABLEAU</t>
  </si>
  <si>
    <t>ok</t>
  </si>
  <si>
    <t>IAM GOLD BOTO</t>
  </si>
  <si>
    <t>Talix Mines</t>
  </si>
  <si>
    <t>Fortesa International Senegal</t>
  </si>
  <si>
    <t>SORED MINES</t>
  </si>
  <si>
    <t xml:space="preserve">Capricorn Senegal Limited </t>
  </si>
  <si>
    <t xml:space="preserve">Oranto Petroleum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</si>
</sst>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\ _F"/>
    <numFmt numFmtId="165" formatCode="_ * #,##0_)\ _$_ ;_ * \(#,##0\)\ _$_ ;_ * &quot;-&quot;??_)\ _$_ ;_ @_ "/>
    <numFmt numFmtId="166" formatCode="_-* #,##0\ _€_-;\-* #,##0\ _€_-;_-* &quot;-&quot;??\ _€_-;_-@_-"/>
    <numFmt numFmtId="167" formatCode="_(* #,##0_);_(* \(#,##0\);_(* &quot;-&quot;_);_(@_)"/>
    <numFmt numFmtId="168" formatCode="_-* #,##0_-;\-* #,##0_-;_-* &quot;-&quot;??_-;_-@_-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mbria"/>
      <family val="1"/>
    </font>
    <font>
      <sz val="10"/>
      <name val="Cambria"/>
      <family val="1"/>
    </font>
    <font>
      <b/>
      <sz val="10"/>
      <color theme="0"/>
      <name val="Cambria"/>
      <family val="1"/>
    </font>
    <font>
      <sz val="10"/>
      <color theme="1"/>
      <name val="Cambria"/>
      <family val="1"/>
    </font>
    <font>
      <b/>
      <sz val="10"/>
      <color rgb="FFFF0000"/>
      <name val="Cambria"/>
      <family val="1"/>
    </font>
    <font>
      <sz val="10"/>
      <color indexed="0"/>
      <name val="Cambria"/>
      <family val="1"/>
    </font>
    <font>
      <b/>
      <sz val="10"/>
      <color indexed="1"/>
      <name val="Cambria"/>
      <family val="1"/>
    </font>
    <font>
      <b/>
      <sz val="10"/>
      <color indexed="0"/>
      <name val="Cambria"/>
      <family val="1"/>
    </font>
    <font>
      <sz val="11"/>
      <color theme="1"/>
      <name val="Calibri"/>
      <family val="2"/>
    </font>
    <font>
      <b/>
      <sz val="10"/>
      <color indexed="2"/>
      <name val="Cambria"/>
      <family val="1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</font>
    <font>
      <sz val="10"/>
      <color theme="1"/>
      <name val="Calibri"/>
      <family val="2"/>
    </font>
    <font>
      <b/>
      <sz val="10"/>
      <color indexed="0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sz val="10"/>
      <color indexed="0"/>
      <name val="Calibri"/>
      <family val="2"/>
    </font>
    <font>
      <b/>
      <sz val="10"/>
      <color indexed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theme="1"/>
      <name val="Cambria"/>
      <family val="1"/>
    </font>
    <font>
      <sz val="10"/>
      <name val="CG Times"/>
    </font>
    <font>
      <b/>
      <sz val="14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Cambria"/>
      <family val="1"/>
    </font>
    <font>
      <sz val="10"/>
      <color rgb="FF000000"/>
      <name val="Cambria"/>
      <family val="1"/>
    </font>
    <font>
      <b/>
      <sz val="10"/>
      <color rgb="FFFFFFFF"/>
      <name val="Cambria"/>
      <family val="1"/>
    </font>
    <font>
      <b/>
      <sz val="10"/>
      <color theme="0"/>
      <name val="Calibri"/>
      <family val="2"/>
      <scheme val="minor"/>
    </font>
    <font>
      <sz val="10"/>
      <color theme="1" tint="0.14999847407452621"/>
      <name val="Cambria"/>
      <family val="1"/>
    </font>
    <font>
      <b/>
      <sz val="10"/>
      <color theme="1" tint="0.14999847407452621"/>
      <name val="Cambria"/>
      <family val="1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2"/>
      </patternFill>
    </fill>
    <fill>
      <patternFill patternType="solid">
        <fgColor theme="9" tint="0.59996337778862885"/>
        <bgColor indexed="64"/>
      </patternFill>
    </fill>
    <fill>
      <patternFill patternType="solid">
        <fgColor indexed="11"/>
      </patternFill>
    </fill>
    <fill>
      <patternFill patternType="solid">
        <fgColor indexed="13"/>
      </patternFill>
    </fill>
    <fill>
      <patternFill patternType="solid">
        <fgColor rgb="FF548235"/>
        <bgColor indexed="64"/>
      </patternFill>
    </fill>
    <fill>
      <patternFill patternType="solid">
        <fgColor rgb="FF548235"/>
      </patternFill>
    </fill>
    <fill>
      <patternFill patternType="solid">
        <fgColor rgb="FFA9D08E"/>
        <bgColor indexed="64"/>
      </patternFill>
    </fill>
    <fill>
      <patternFill patternType="solid">
        <fgColor rgb="FFA9D08E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548135"/>
        <bgColor rgb="FFFFFFFF"/>
      </patternFill>
    </fill>
    <fill>
      <patternFill patternType="solid">
        <fgColor rgb="FFC5DEB5"/>
        <bgColor rgb="FFFFFFFF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13" fillId="0" borderId="0" applyAlignment="0" applyProtection="0"/>
    <xf numFmtId="0" fontId="13" fillId="0" borderId="0" applyAlignment="0" applyProtection="0"/>
    <xf numFmtId="0" fontId="13" fillId="0" borderId="0" applyAlignment="0" applyProtection="0"/>
    <xf numFmtId="0" fontId="13" fillId="0" borderId="0" applyAlignment="0" applyProtection="0"/>
    <xf numFmtId="0" fontId="1" fillId="0" borderId="0"/>
    <xf numFmtId="0" fontId="26" fillId="0" borderId="0"/>
  </cellStyleXfs>
  <cellXfs count="318">
    <xf numFmtId="0" fontId="0" fillId="0" borderId="0" xfId="0"/>
    <xf numFmtId="0" fontId="3" fillId="0" borderId="0" xfId="1" applyFont="1" applyProtection="1">
      <protection locked="0" hidden="1"/>
    </xf>
    <xf numFmtId="164" fontId="3" fillId="0" borderId="0" xfId="1" applyNumberFormat="1" applyFont="1" applyProtection="1">
      <protection locked="0" hidden="1"/>
    </xf>
    <xf numFmtId="0" fontId="3" fillId="0" borderId="0" xfId="1" applyFont="1" applyAlignment="1" applyProtection="1">
      <alignment horizontal="center" vertical="center"/>
      <protection locked="0" hidden="1"/>
    </xf>
    <xf numFmtId="0" fontId="3" fillId="0" borderId="0" xfId="1" applyFont="1" applyAlignment="1" applyProtection="1">
      <alignment vertical="center" wrapText="1"/>
      <protection locked="0" hidden="1"/>
    </xf>
    <xf numFmtId="0" fontId="5" fillId="2" borderId="4" xfId="0" applyFont="1" applyFill="1" applyBorder="1" applyAlignment="1" applyProtection="1">
      <alignment horizontal="center" vertical="center" wrapText="1"/>
      <protection hidden="1"/>
    </xf>
    <xf numFmtId="0" fontId="5" fillId="2" borderId="4" xfId="0" applyFont="1" applyFill="1" applyBorder="1" applyAlignment="1" applyProtection="1">
      <alignment vertical="center" wrapText="1"/>
      <protection hidden="1"/>
    </xf>
    <xf numFmtId="3" fontId="5" fillId="2" borderId="4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0" borderId="5" xfId="0" applyFont="1" applyBorder="1" applyAlignment="1" applyProtection="1">
      <alignment vertical="center"/>
      <protection hidden="1"/>
    </xf>
    <xf numFmtId="3" fontId="6" fillId="0" borderId="5" xfId="0" applyNumberFormat="1" applyFont="1" applyBorder="1" applyAlignment="1" applyProtection="1">
      <alignment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vertical="center"/>
      <protection hidden="1"/>
    </xf>
    <xf numFmtId="3" fontId="6" fillId="0" borderId="6" xfId="0" applyNumberFormat="1" applyFont="1" applyBorder="1" applyAlignment="1" applyProtection="1">
      <alignment vertical="center"/>
      <protection hidden="1"/>
    </xf>
    <xf numFmtId="0" fontId="6" fillId="0" borderId="6" xfId="0" quotePrefix="1" applyFont="1" applyBorder="1" applyAlignment="1" applyProtection="1">
      <alignment vertical="center"/>
      <protection hidden="1"/>
    </xf>
    <xf numFmtId="0" fontId="6" fillId="0" borderId="6" xfId="0" quotePrefix="1" applyFont="1" applyBorder="1" applyAlignment="1" applyProtection="1">
      <alignment horizontal="center" vertical="center"/>
      <protection hidden="1"/>
    </xf>
    <xf numFmtId="0" fontId="7" fillId="2" borderId="6" xfId="0" applyFont="1" applyFill="1" applyBorder="1" applyAlignment="1" applyProtection="1">
      <alignment horizontal="center" vertical="center"/>
      <protection hidden="1"/>
    </xf>
    <xf numFmtId="0" fontId="7" fillId="2" borderId="6" xfId="0" applyFont="1" applyFill="1" applyBorder="1" applyAlignment="1" applyProtection="1">
      <alignment vertical="center"/>
      <protection hidden="1"/>
    </xf>
    <xf numFmtId="3" fontId="7" fillId="2" borderId="6" xfId="0" applyNumberFormat="1" applyFont="1" applyFill="1" applyBorder="1" applyAlignment="1" applyProtection="1">
      <alignment vertical="center"/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vertical="center"/>
      <protection hidden="1"/>
    </xf>
    <xf numFmtId="3" fontId="9" fillId="0" borderId="6" xfId="0" applyNumberFormat="1" applyFont="1" applyBorder="1" applyAlignment="1" applyProtection="1">
      <alignment vertical="center"/>
      <protection hidden="1"/>
    </xf>
    <xf numFmtId="0" fontId="5" fillId="3" borderId="6" xfId="0" applyFont="1" applyFill="1" applyBorder="1" applyAlignment="1" applyProtection="1">
      <alignment horizontal="center" vertical="center"/>
      <protection hidden="1"/>
    </xf>
    <xf numFmtId="0" fontId="5" fillId="3" borderId="6" xfId="0" applyFont="1" applyFill="1" applyBorder="1" applyAlignment="1" applyProtection="1">
      <alignment vertical="center"/>
      <protection hidden="1"/>
    </xf>
    <xf numFmtId="3" fontId="5" fillId="3" borderId="6" xfId="0" applyNumberFormat="1" applyFont="1" applyFill="1" applyBorder="1" applyAlignment="1" applyProtection="1">
      <alignment vertical="center"/>
      <protection hidden="1"/>
    </xf>
    <xf numFmtId="0" fontId="3" fillId="0" borderId="0" xfId="1" applyFont="1" applyAlignment="1" applyProtection="1">
      <alignment horizontal="center" vertical="center"/>
      <protection locked="0"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3" fontId="6" fillId="0" borderId="0" xfId="0" applyNumberFormat="1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vertical="center"/>
      <protection hidden="1"/>
    </xf>
    <xf numFmtId="3" fontId="6" fillId="0" borderId="0" xfId="0" applyNumberFormat="1" applyFont="1" applyAlignment="1" applyProtection="1">
      <alignment vertical="center"/>
      <protection hidden="1"/>
    </xf>
    <xf numFmtId="3" fontId="5" fillId="0" borderId="6" xfId="0" applyNumberFormat="1" applyFont="1" applyBorder="1" applyAlignment="1" applyProtection="1">
      <alignment vertical="center"/>
      <protection hidden="1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3" fontId="5" fillId="2" borderId="4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3" fontId="10" fillId="0" borderId="6" xfId="0" applyNumberFormat="1" applyFont="1" applyBorder="1" applyAlignment="1">
      <alignment horizontal="right" vertical="center"/>
    </xf>
    <xf numFmtId="0" fontId="6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6" xfId="0" quotePrefix="1" applyFont="1" applyBorder="1" applyAlignment="1">
      <alignment vertical="center"/>
    </xf>
    <xf numFmtId="0" fontId="6" fillId="0" borderId="6" xfId="0" quotePrefix="1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vertical="center"/>
    </xf>
    <xf numFmtId="3" fontId="11" fillId="4" borderId="6" xfId="0" applyNumberFormat="1" applyFont="1" applyFill="1" applyBorder="1" applyAlignment="1">
      <alignment horizontal="right" vertical="center"/>
    </xf>
    <xf numFmtId="3" fontId="6" fillId="0" borderId="6" xfId="0" applyNumberFormat="1" applyFont="1" applyBorder="1" applyAlignment="1">
      <alignment horizontal="right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vertical="center"/>
    </xf>
    <xf numFmtId="3" fontId="12" fillId="6" borderId="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3" fontId="6" fillId="0" borderId="0" xfId="0" applyNumberFormat="1" applyFont="1" applyAlignment="1">
      <alignment vertical="center" wrapText="1"/>
    </xf>
    <xf numFmtId="0" fontId="5" fillId="0" borderId="0" xfId="0" applyFont="1" applyAlignment="1">
      <alignment vertical="center"/>
    </xf>
    <xf numFmtId="3" fontId="6" fillId="0" borderId="0" xfId="0" applyNumberFormat="1" applyFont="1" applyAlignment="1">
      <alignment vertical="center"/>
    </xf>
    <xf numFmtId="3" fontId="11" fillId="7" borderId="6" xfId="0" applyNumberFormat="1" applyFont="1" applyFill="1" applyBorder="1" applyAlignment="1">
      <alignment horizontal="right" vertical="center"/>
    </xf>
    <xf numFmtId="3" fontId="12" fillId="4" borderId="6" xfId="0" applyNumberFormat="1" applyFont="1" applyFill="1" applyBorder="1" applyAlignment="1">
      <alignment horizontal="right" vertical="center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6" xfId="0" applyFont="1" applyBorder="1" applyAlignment="1" applyProtection="1">
      <alignment vertical="center"/>
      <protection hidden="1"/>
    </xf>
    <xf numFmtId="3" fontId="6" fillId="0" borderId="6" xfId="0" applyNumberFormat="1" applyFont="1" applyBorder="1" applyAlignment="1" applyProtection="1">
      <alignment horizontal="center" vertical="center"/>
      <protection hidden="1"/>
    </xf>
    <xf numFmtId="3" fontId="7" fillId="2" borderId="6" xfId="0" applyNumberFormat="1" applyFont="1" applyFill="1" applyBorder="1" applyAlignment="1" applyProtection="1">
      <alignment horizontal="center" vertical="center"/>
      <protection hidden="1"/>
    </xf>
    <xf numFmtId="3" fontId="8" fillId="0" borderId="6" xfId="0" applyNumberFormat="1" applyFont="1" applyBorder="1" applyAlignment="1" applyProtection="1">
      <alignment horizontal="center" vertical="center"/>
      <protection hidden="1"/>
    </xf>
    <xf numFmtId="3" fontId="5" fillId="3" borderId="6" xfId="0" applyNumberFormat="1" applyFont="1" applyFill="1" applyBorder="1" applyAlignment="1" applyProtection="1">
      <alignment horizontal="center" vertical="center"/>
      <protection hidden="1"/>
    </xf>
    <xf numFmtId="0" fontId="5" fillId="2" borderId="4" xfId="0" applyNumberFormat="1" applyFont="1" applyFill="1" applyBorder="1" applyAlignment="1" applyProtection="1">
      <alignment horizontal="center" vertical="center" wrapText="1"/>
      <protection hidden="1"/>
    </xf>
    <xf numFmtId="165" fontId="10" fillId="0" borderId="6" xfId="2" applyNumberFormat="1" applyFont="1" applyBorder="1" applyAlignment="1" applyProtection="1">
      <alignment horizontal="right" vertical="center"/>
    </xf>
    <xf numFmtId="165" fontId="11" fillId="7" borderId="6" xfId="2" applyNumberFormat="1" applyFont="1" applyFill="1" applyBorder="1" applyAlignment="1" applyProtection="1">
      <alignment horizontal="right" vertical="center"/>
    </xf>
    <xf numFmtId="0" fontId="8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165" fontId="14" fillId="0" borderId="6" xfId="2" applyNumberFormat="1" applyFont="1" applyBorder="1" applyAlignment="1" applyProtection="1">
      <alignment horizontal="right" vertical="center"/>
    </xf>
    <xf numFmtId="165" fontId="12" fillId="4" borderId="6" xfId="2" applyNumberFormat="1" applyFont="1" applyFill="1" applyBorder="1" applyAlignment="1" applyProtection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49" fontId="5" fillId="2" borderId="4" xfId="0" applyNumberFormat="1" applyFont="1" applyFill="1" applyBorder="1" applyAlignment="1" applyProtection="1">
      <alignment horizontal="center" vertical="center" wrapText="1"/>
      <protection hidden="1"/>
    </xf>
    <xf numFmtId="49" fontId="5" fillId="2" borderId="4" xfId="0" applyNumberFormat="1" applyFont="1" applyFill="1" applyBorder="1" applyAlignment="1" applyProtection="1">
      <alignment vertical="center" wrapText="1"/>
      <protection hidden="1"/>
    </xf>
    <xf numFmtId="49" fontId="6" fillId="0" borderId="5" xfId="0" applyNumberFormat="1" applyFont="1" applyBorder="1" applyAlignment="1" applyProtection="1">
      <alignment horizontal="center" vertical="center"/>
      <protection hidden="1"/>
    </xf>
    <xf numFmtId="49" fontId="6" fillId="0" borderId="5" xfId="0" applyNumberFormat="1" applyFont="1" applyBorder="1" applyAlignment="1" applyProtection="1">
      <alignment vertical="center"/>
      <protection hidden="1"/>
    </xf>
    <xf numFmtId="49" fontId="6" fillId="0" borderId="6" xfId="0" applyNumberFormat="1" applyFont="1" applyBorder="1" applyAlignment="1" applyProtection="1">
      <alignment horizontal="center" vertical="center"/>
      <protection hidden="1"/>
    </xf>
    <xf numFmtId="49" fontId="6" fillId="0" borderId="6" xfId="0" applyNumberFormat="1" applyFont="1" applyBorder="1" applyAlignment="1" applyProtection="1">
      <alignment vertical="center"/>
      <protection hidden="1"/>
    </xf>
    <xf numFmtId="49" fontId="6" fillId="0" borderId="6" xfId="0" quotePrefix="1" applyNumberFormat="1" applyFont="1" applyBorder="1" applyAlignment="1" applyProtection="1">
      <alignment vertical="center"/>
      <protection hidden="1"/>
    </xf>
    <xf numFmtId="49" fontId="6" fillId="0" borderId="6" xfId="0" quotePrefix="1" applyNumberFormat="1" applyFont="1" applyBorder="1" applyAlignment="1" applyProtection="1">
      <alignment horizontal="center" vertical="center"/>
      <protection hidden="1"/>
    </xf>
    <xf numFmtId="49" fontId="7" fillId="2" borderId="6" xfId="0" applyNumberFormat="1" applyFont="1" applyFill="1" applyBorder="1" applyAlignment="1" applyProtection="1">
      <alignment horizontal="center" vertical="center"/>
      <protection hidden="1"/>
    </xf>
    <xf numFmtId="49" fontId="7" fillId="2" borderId="6" xfId="0" applyNumberFormat="1" applyFont="1" applyFill="1" applyBorder="1" applyAlignment="1" applyProtection="1">
      <alignment vertical="center"/>
      <protection hidden="1"/>
    </xf>
    <xf numFmtId="49" fontId="9" fillId="0" borderId="6" xfId="0" applyNumberFormat="1" applyFont="1" applyBorder="1" applyAlignment="1" applyProtection="1">
      <alignment horizontal="center" vertical="center"/>
      <protection hidden="1"/>
    </xf>
    <xf numFmtId="49" fontId="9" fillId="0" borderId="6" xfId="0" applyNumberFormat="1" applyFont="1" applyBorder="1" applyAlignment="1" applyProtection="1">
      <alignment vertical="center"/>
      <protection hidden="1"/>
    </xf>
    <xf numFmtId="49" fontId="5" fillId="3" borderId="6" xfId="0" applyNumberFormat="1" applyFont="1" applyFill="1" applyBorder="1" applyAlignment="1" applyProtection="1">
      <alignment horizontal="center" vertical="center"/>
      <protection hidden="1"/>
    </xf>
    <xf numFmtId="49" fontId="5" fillId="3" borderId="6" xfId="0" applyNumberFormat="1" applyFont="1" applyFill="1" applyBorder="1" applyAlignment="1" applyProtection="1">
      <alignment vertical="center"/>
      <protection hidden="1"/>
    </xf>
    <xf numFmtId="0" fontId="17" fillId="0" borderId="0" xfId="4" applyFont="1" applyProtection="1">
      <protection locked="0"/>
    </xf>
    <xf numFmtId="164" fontId="17" fillId="0" borderId="0" xfId="4" applyNumberFormat="1" applyFont="1" applyProtection="1">
      <protection locked="0"/>
    </xf>
    <xf numFmtId="0" fontId="17" fillId="0" borderId="0" xfId="4" applyFont="1" applyAlignment="1" applyProtection="1">
      <alignment vertical="center" wrapText="1"/>
      <protection locked="0"/>
    </xf>
    <xf numFmtId="0" fontId="20" fillId="8" borderId="10" xfId="0" applyFont="1" applyFill="1" applyBorder="1" applyAlignment="1">
      <alignment horizontal="center" vertical="center"/>
    </xf>
    <xf numFmtId="0" fontId="20" fillId="8" borderId="10" xfId="0" applyFont="1" applyFill="1" applyBorder="1" applyAlignment="1">
      <alignment vertical="center"/>
    </xf>
    <xf numFmtId="3" fontId="20" fillId="8" borderId="10" xfId="0" applyNumberFormat="1" applyFont="1" applyFill="1" applyBorder="1" applyAlignment="1">
      <alignment vertical="center"/>
    </xf>
    <xf numFmtId="0" fontId="17" fillId="0" borderId="0" xfId="0" applyFon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vertical="center"/>
    </xf>
    <xf numFmtId="3" fontId="21" fillId="0" borderId="11" xfId="0" applyNumberFormat="1" applyFont="1" applyBorder="1" applyAlignment="1">
      <alignment horizontal="right" vertical="center"/>
    </xf>
    <xf numFmtId="3" fontId="22" fillId="9" borderId="11" xfId="0" applyNumberFormat="1" applyFont="1" applyFill="1" applyBorder="1" applyAlignment="1">
      <alignment horizontal="right" vertical="center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vertical="center"/>
    </xf>
    <xf numFmtId="3" fontId="18" fillId="11" borderId="11" xfId="0" applyNumberFormat="1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4" applyFont="1" applyAlignment="1" applyProtection="1">
      <alignment horizontal="center" vertical="center"/>
      <protection locked="0"/>
    </xf>
    <xf numFmtId="0" fontId="17" fillId="0" borderId="0" xfId="3" applyFont="1" applyProtection="1"/>
    <xf numFmtId="164" fontId="17" fillId="0" borderId="0" xfId="3" applyNumberFormat="1" applyFont="1" applyProtection="1"/>
    <xf numFmtId="0" fontId="17" fillId="0" borderId="0" xfId="3" applyFont="1" applyAlignment="1" applyProtection="1">
      <alignment vertical="center" wrapText="1"/>
    </xf>
    <xf numFmtId="0" fontId="17" fillId="0" borderId="0" xfId="3" applyFont="1" applyAlignment="1" applyProtection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3" fontId="25" fillId="0" borderId="6" xfId="0" applyNumberFormat="1" applyFont="1" applyBorder="1" applyAlignment="1" applyProtection="1">
      <alignment vertical="center"/>
      <protection hidden="1"/>
    </xf>
    <xf numFmtId="165" fontId="6" fillId="0" borderId="5" xfId="2" applyNumberFormat="1" applyFont="1" applyBorder="1" applyAlignment="1" applyProtection="1">
      <alignment vertical="center"/>
      <protection hidden="1"/>
    </xf>
    <xf numFmtId="165" fontId="6" fillId="0" borderId="6" xfId="2" applyNumberFormat="1" applyFont="1" applyBorder="1" applyAlignment="1" applyProtection="1">
      <alignment vertical="center"/>
      <protection hidden="1"/>
    </xf>
    <xf numFmtId="165" fontId="7" fillId="2" borderId="6" xfId="2" applyNumberFormat="1" applyFont="1" applyFill="1" applyBorder="1" applyAlignment="1" applyProtection="1">
      <alignment vertical="center"/>
      <protection hidden="1"/>
    </xf>
    <xf numFmtId="165" fontId="9" fillId="0" borderId="6" xfId="2" applyNumberFormat="1" applyFont="1" applyBorder="1" applyAlignment="1" applyProtection="1">
      <alignment vertical="center"/>
      <protection hidden="1"/>
    </xf>
    <xf numFmtId="165" fontId="5" fillId="3" borderId="6" xfId="2" applyNumberFormat="1" applyFont="1" applyFill="1" applyBorder="1" applyAlignment="1" applyProtection="1">
      <alignment vertical="center"/>
      <protection hidden="1"/>
    </xf>
    <xf numFmtId="3" fontId="17" fillId="0" borderId="0" xfId="0" applyNumberFormat="1" applyFont="1"/>
    <xf numFmtId="0" fontId="5" fillId="2" borderId="15" xfId="0" applyFont="1" applyFill="1" applyBorder="1" applyAlignment="1" applyProtection="1">
      <alignment horizontal="center" vertical="center" wrapText="1"/>
      <protection hidden="1"/>
    </xf>
    <xf numFmtId="0" fontId="5" fillId="2" borderId="15" xfId="0" applyFont="1" applyFill="1" applyBorder="1" applyAlignment="1" applyProtection="1">
      <alignment vertical="center" wrapText="1"/>
      <protection hidden="1"/>
    </xf>
    <xf numFmtId="0" fontId="6" fillId="0" borderId="16" xfId="0" applyFont="1" applyBorder="1" applyAlignment="1" applyProtection="1">
      <alignment horizontal="center" vertical="center"/>
      <protection hidden="1"/>
    </xf>
    <xf numFmtId="0" fontId="6" fillId="0" borderId="16" xfId="0" applyFont="1" applyBorder="1" applyAlignment="1" applyProtection="1">
      <alignment vertical="center"/>
      <protection hidden="1"/>
    </xf>
    <xf numFmtId="3" fontId="6" fillId="0" borderId="16" xfId="0" applyNumberFormat="1" applyFont="1" applyBorder="1" applyAlignment="1" applyProtection="1">
      <alignment vertical="center"/>
      <protection hidden="1"/>
    </xf>
    <xf numFmtId="0" fontId="5" fillId="2" borderId="15" xfId="0" applyNumberFormat="1" applyFont="1" applyFill="1" applyBorder="1" applyAlignment="1" applyProtection="1">
      <alignment horizontal="center" vertical="center" wrapText="1"/>
      <protection hidden="1"/>
    </xf>
    <xf numFmtId="3" fontId="6" fillId="0" borderId="17" xfId="0" applyNumberFormat="1" applyFont="1" applyBorder="1" applyAlignment="1" applyProtection="1">
      <alignment vertical="center"/>
      <protection hidden="1"/>
    </xf>
    <xf numFmtId="0" fontId="6" fillId="0" borderId="18" xfId="0" applyFont="1" applyBorder="1" applyAlignment="1" applyProtection="1">
      <alignment horizontal="center" vertical="center"/>
      <protection hidden="1"/>
    </xf>
    <xf numFmtId="3" fontId="6" fillId="0" borderId="10" xfId="0" applyNumberFormat="1" applyFont="1" applyBorder="1" applyAlignment="1" applyProtection="1">
      <alignment vertical="center" wrapText="1"/>
      <protection hidden="1"/>
    </xf>
    <xf numFmtId="3" fontId="6" fillId="0" borderId="10" xfId="0" applyNumberFormat="1" applyFont="1" applyBorder="1" applyAlignment="1" applyProtection="1">
      <alignment vertical="center"/>
      <protection hidden="1"/>
    </xf>
    <xf numFmtId="0" fontId="8" fillId="0" borderId="18" xfId="0" applyFont="1" applyBorder="1" applyAlignment="1" applyProtection="1">
      <alignment horizontal="center" vertical="center"/>
      <protection hidden="1"/>
    </xf>
    <xf numFmtId="3" fontId="6" fillId="0" borderId="10" xfId="0" applyNumberFormat="1" applyFont="1" applyBorder="1" applyAlignment="1" applyProtection="1">
      <alignment horizontal="right" vertical="center"/>
      <protection hidden="1"/>
    </xf>
    <xf numFmtId="3" fontId="9" fillId="0" borderId="10" xfId="0" applyNumberFormat="1" applyFont="1" applyBorder="1" applyAlignment="1" applyProtection="1">
      <alignment horizontal="right" vertical="center"/>
      <protection hidden="1"/>
    </xf>
    <xf numFmtId="3" fontId="6" fillId="0" borderId="10" xfId="0" applyNumberFormat="1" applyFont="1" applyBorder="1" applyAlignment="1" applyProtection="1">
      <alignment horizontal="right" vertical="center" wrapText="1"/>
      <protection hidden="1"/>
    </xf>
    <xf numFmtId="3" fontId="6" fillId="0" borderId="14" xfId="0" applyNumberFormat="1" applyFont="1" applyBorder="1" applyAlignment="1" applyProtection="1">
      <alignment horizontal="right" vertical="center"/>
      <protection hidden="1"/>
    </xf>
    <xf numFmtId="3" fontId="6" fillId="0" borderId="6" xfId="0" applyNumberFormat="1" applyFont="1" applyBorder="1" applyAlignment="1" applyProtection="1">
      <alignment horizontal="right" vertical="center"/>
      <protection hidden="1"/>
    </xf>
    <xf numFmtId="3" fontId="7" fillId="2" borderId="6" xfId="0" applyNumberFormat="1" applyFont="1" applyFill="1" applyBorder="1" applyAlignment="1" applyProtection="1">
      <alignment horizontal="right" vertical="center"/>
      <protection hidden="1"/>
    </xf>
    <xf numFmtId="3" fontId="9" fillId="0" borderId="6" xfId="0" applyNumberFormat="1" applyFont="1" applyBorder="1" applyAlignment="1" applyProtection="1">
      <alignment horizontal="right" vertical="center"/>
      <protection hidden="1"/>
    </xf>
    <xf numFmtId="3" fontId="6" fillId="2" borderId="6" xfId="0" applyNumberFormat="1" applyFont="1" applyFill="1" applyBorder="1" applyAlignment="1" applyProtection="1">
      <alignment vertical="center"/>
      <protection hidden="1"/>
    </xf>
    <xf numFmtId="0" fontId="17" fillId="0" borderId="0" xfId="5" applyFont="1" applyProtection="1">
      <protection locked="0"/>
    </xf>
    <xf numFmtId="164" fontId="17" fillId="0" borderId="0" xfId="5" applyNumberFormat="1" applyFont="1" applyProtection="1">
      <protection locked="0"/>
    </xf>
    <xf numFmtId="0" fontId="17" fillId="0" borderId="0" xfId="5" applyFont="1" applyAlignment="1" applyProtection="1">
      <alignment vertical="center" wrapText="1"/>
      <protection locked="0"/>
    </xf>
    <xf numFmtId="0" fontId="20" fillId="8" borderId="10" xfId="6" applyFont="1" applyFill="1" applyBorder="1" applyAlignment="1">
      <alignment horizontal="center" vertical="center"/>
    </xf>
    <xf numFmtId="0" fontId="20" fillId="8" borderId="10" xfId="6" applyFont="1" applyFill="1" applyBorder="1" applyAlignment="1">
      <alignment vertical="center"/>
    </xf>
    <xf numFmtId="3" fontId="20" fillId="8" borderId="10" xfId="6" applyNumberFormat="1" applyFont="1" applyFill="1" applyBorder="1" applyAlignment="1">
      <alignment vertical="center"/>
    </xf>
    <xf numFmtId="0" fontId="17" fillId="0" borderId="10" xfId="6" applyFont="1" applyBorder="1" applyAlignment="1">
      <alignment horizontal="center" vertical="center"/>
    </xf>
    <xf numFmtId="0" fontId="17" fillId="0" borderId="10" xfId="6" applyFont="1" applyBorder="1" applyAlignment="1">
      <alignment vertical="center"/>
    </xf>
    <xf numFmtId="3" fontId="21" fillId="0" borderId="11" xfId="6" applyNumberFormat="1" applyFont="1" applyBorder="1" applyAlignment="1" applyProtection="1">
      <alignment horizontal="right" vertical="center"/>
    </xf>
    <xf numFmtId="3" fontId="22" fillId="9" borderId="11" xfId="6" applyNumberFormat="1" applyFont="1" applyFill="1" applyBorder="1" applyAlignment="1" applyProtection="1">
      <alignment horizontal="right" vertical="center"/>
    </xf>
    <xf numFmtId="0" fontId="23" fillId="0" borderId="10" xfId="6" applyFont="1" applyBorder="1" applyAlignment="1">
      <alignment horizontal="center" vertical="center"/>
    </xf>
    <xf numFmtId="0" fontId="23" fillId="0" borderId="10" xfId="6" applyFont="1" applyBorder="1" applyAlignment="1">
      <alignment vertical="center"/>
    </xf>
    <xf numFmtId="0" fontId="19" fillId="10" borderId="10" xfId="6" applyFont="1" applyFill="1" applyBorder="1" applyAlignment="1">
      <alignment horizontal="center" vertical="center"/>
    </xf>
    <xf numFmtId="0" fontId="19" fillId="10" borderId="10" xfId="6" applyFont="1" applyFill="1" applyBorder="1" applyAlignment="1">
      <alignment vertical="center"/>
    </xf>
    <xf numFmtId="3" fontId="18" fillId="11" borderId="11" xfId="6" applyNumberFormat="1" applyFont="1" applyFill="1" applyBorder="1" applyAlignment="1" applyProtection="1">
      <alignment horizontal="right" vertical="center"/>
    </xf>
    <xf numFmtId="0" fontId="28" fillId="0" borderId="0" xfId="0" applyFont="1" applyProtection="1">
      <protection locked="0" hidden="1"/>
    </xf>
    <xf numFmtId="164" fontId="28" fillId="0" borderId="0" xfId="0" applyNumberFormat="1" applyFont="1" applyProtection="1">
      <protection locked="0" hidden="1"/>
    </xf>
    <xf numFmtId="0" fontId="28" fillId="0" borderId="0" xfId="0" applyFont="1" applyAlignment="1" applyProtection="1">
      <alignment vertical="center" wrapText="1"/>
      <protection locked="0" hidden="1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15" borderId="11" xfId="0" applyFont="1" applyFill="1" applyBorder="1" applyAlignment="1" applyProtection="1">
      <alignment vertical="center" wrapText="1"/>
      <protection hidden="1"/>
    </xf>
    <xf numFmtId="3" fontId="30" fillId="15" borderId="11" xfId="0" applyNumberFormat="1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11" xfId="0" applyFont="1" applyBorder="1" applyAlignment="1" applyProtection="1">
      <alignment horizontal="center" vertical="center"/>
      <protection hidden="1"/>
    </xf>
    <xf numFmtId="0" fontId="31" fillId="0" borderId="11" xfId="0" applyFont="1" applyBorder="1" applyAlignment="1" applyProtection="1">
      <alignment vertical="center"/>
      <protection hidden="1"/>
    </xf>
    <xf numFmtId="3" fontId="31" fillId="0" borderId="11" xfId="0" applyNumberFormat="1" applyFont="1" applyBorder="1" applyAlignment="1" applyProtection="1">
      <alignment vertical="center"/>
      <protection hidden="1"/>
    </xf>
    <xf numFmtId="0" fontId="31" fillId="0" borderId="11" xfId="0" quotePrefix="1" applyFont="1" applyBorder="1" applyAlignment="1" applyProtection="1">
      <alignment vertical="center"/>
      <protection hidden="1"/>
    </xf>
    <xf numFmtId="0" fontId="31" fillId="0" borderId="11" xfId="0" quotePrefix="1" applyFont="1" applyBorder="1" applyAlignment="1" applyProtection="1">
      <alignment horizontal="center" vertical="center"/>
      <protection hidden="1"/>
    </xf>
    <xf numFmtId="0" fontId="32" fillId="15" borderId="11" xfId="0" applyFont="1" applyFill="1" applyBorder="1" applyAlignment="1" applyProtection="1">
      <alignment horizontal="center" vertical="center"/>
      <protection hidden="1"/>
    </xf>
    <xf numFmtId="0" fontId="32" fillId="15" borderId="11" xfId="0" applyFont="1" applyFill="1" applyBorder="1" applyAlignment="1" applyProtection="1">
      <alignment vertical="center"/>
      <protection hidden="1"/>
    </xf>
    <xf numFmtId="3" fontId="32" fillId="15" borderId="11" xfId="0" applyNumberFormat="1" applyFont="1" applyFill="1" applyBorder="1" applyAlignment="1" applyProtection="1">
      <alignment vertical="center"/>
      <protection hidden="1"/>
    </xf>
    <xf numFmtId="3" fontId="9" fillId="0" borderId="11" xfId="0" applyNumberFormat="1" applyFont="1" applyBorder="1" applyAlignment="1" applyProtection="1">
      <alignment vertical="center"/>
      <protection hidden="1"/>
    </xf>
    <xf numFmtId="3" fontId="31" fillId="0" borderId="0" xfId="0" applyNumberFormat="1" applyFont="1" applyAlignment="1" applyProtection="1">
      <alignment vertical="center"/>
      <protection hidden="1"/>
    </xf>
    <xf numFmtId="3" fontId="0" fillId="0" borderId="0" xfId="0" applyNumberFormat="1"/>
    <xf numFmtId="0" fontId="30" fillId="16" borderId="11" xfId="0" applyFont="1" applyFill="1" applyBorder="1" applyAlignment="1" applyProtection="1">
      <alignment horizontal="center" vertical="center"/>
      <protection hidden="1"/>
    </xf>
    <xf numFmtId="0" fontId="30" fillId="16" borderId="11" xfId="0" applyFont="1" applyFill="1" applyBorder="1" applyAlignment="1" applyProtection="1">
      <alignment vertical="center"/>
      <protection hidden="1"/>
    </xf>
    <xf numFmtId="3" fontId="30" fillId="16" borderId="11" xfId="0" applyNumberFormat="1" applyFont="1" applyFill="1" applyBorder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vertical="center"/>
      <protection hidden="1"/>
    </xf>
    <xf numFmtId="3" fontId="31" fillId="0" borderId="0" xfId="0" applyNumberFormat="1" applyFont="1" applyAlignment="1" applyProtection="1">
      <alignment vertical="center" wrapText="1"/>
      <protection hidden="1"/>
    </xf>
    <xf numFmtId="3" fontId="5" fillId="2" borderId="6" xfId="0" applyNumberFormat="1" applyFont="1" applyFill="1" applyBorder="1" applyAlignment="1" applyProtection="1">
      <alignment vertical="center"/>
      <protection hidden="1"/>
    </xf>
    <xf numFmtId="0" fontId="3" fillId="0" borderId="0" xfId="7" applyFont="1" applyProtection="1">
      <protection locked="0" hidden="1"/>
    </xf>
    <xf numFmtId="164" fontId="3" fillId="0" borderId="0" xfId="7" applyNumberFormat="1" applyFont="1" applyProtection="1">
      <protection locked="0" hidden="1"/>
    </xf>
    <xf numFmtId="0" fontId="3" fillId="0" borderId="0" xfId="7" applyFont="1" applyAlignment="1" applyProtection="1">
      <alignment vertical="center" wrapText="1"/>
      <protection locked="0" hidden="1"/>
    </xf>
    <xf numFmtId="0" fontId="5" fillId="2" borderId="4" xfId="8" applyFont="1" applyFill="1" applyBorder="1" applyAlignment="1" applyProtection="1">
      <alignment horizontal="center" vertical="center" wrapText="1"/>
      <protection hidden="1"/>
    </xf>
    <xf numFmtId="0" fontId="5" fillId="2" borderId="4" xfId="8" applyFont="1" applyFill="1" applyBorder="1" applyAlignment="1" applyProtection="1">
      <alignment vertical="center" wrapText="1"/>
      <protection hidden="1"/>
    </xf>
    <xf numFmtId="0" fontId="6" fillId="0" borderId="0" xfId="8" applyFont="1" applyAlignment="1" applyProtection="1">
      <alignment vertical="center"/>
      <protection hidden="1"/>
    </xf>
    <xf numFmtId="0" fontId="6" fillId="0" borderId="5" xfId="8" applyFont="1" applyBorder="1" applyAlignment="1" applyProtection="1">
      <alignment horizontal="center" vertical="center"/>
      <protection hidden="1"/>
    </xf>
    <xf numFmtId="0" fontId="6" fillId="0" borderId="5" xfId="8" applyFont="1" applyBorder="1" applyAlignment="1" applyProtection="1">
      <alignment vertical="center"/>
      <protection hidden="1"/>
    </xf>
    <xf numFmtId="3" fontId="6" fillId="0" borderId="5" xfId="8" applyNumberFormat="1" applyFont="1" applyBorder="1" applyAlignment="1" applyProtection="1">
      <alignment vertical="center"/>
      <protection hidden="1"/>
    </xf>
    <xf numFmtId="0" fontId="6" fillId="0" borderId="6" xfId="8" applyFont="1" applyBorder="1" applyAlignment="1" applyProtection="1">
      <alignment horizontal="center" vertical="center"/>
      <protection hidden="1"/>
    </xf>
    <xf numFmtId="0" fontId="6" fillId="0" borderId="6" xfId="8" applyFont="1" applyBorder="1" applyAlignment="1" applyProtection="1">
      <alignment vertical="center"/>
      <protection hidden="1"/>
    </xf>
    <xf numFmtId="3" fontId="6" fillId="0" borderId="6" xfId="8" applyNumberFormat="1" applyFont="1" applyBorder="1" applyAlignment="1" applyProtection="1">
      <alignment vertical="center"/>
      <protection hidden="1"/>
    </xf>
    <xf numFmtId="0" fontId="6" fillId="0" borderId="6" xfId="8" quotePrefix="1" applyFont="1" applyBorder="1" applyAlignment="1" applyProtection="1">
      <alignment vertical="center"/>
      <protection hidden="1"/>
    </xf>
    <xf numFmtId="0" fontId="6" fillId="0" borderId="6" xfId="8" quotePrefix="1" applyFont="1" applyBorder="1" applyAlignment="1" applyProtection="1">
      <alignment horizontal="center" vertical="center"/>
      <protection hidden="1"/>
    </xf>
    <xf numFmtId="0" fontId="7" fillId="2" borderId="6" xfId="8" applyFont="1" applyFill="1" applyBorder="1" applyAlignment="1" applyProtection="1">
      <alignment horizontal="center" vertical="center"/>
      <protection hidden="1"/>
    </xf>
    <xf numFmtId="0" fontId="7" fillId="2" borderId="6" xfId="8" applyFont="1" applyFill="1" applyBorder="1" applyAlignment="1" applyProtection="1">
      <alignment vertical="center"/>
      <protection hidden="1"/>
    </xf>
    <xf numFmtId="3" fontId="7" fillId="2" borderId="6" xfId="8" applyNumberFormat="1" applyFont="1" applyFill="1" applyBorder="1" applyAlignment="1" applyProtection="1">
      <alignment vertical="center"/>
      <protection hidden="1"/>
    </xf>
    <xf numFmtId="0" fontId="5" fillId="3" borderId="6" xfId="8" applyFont="1" applyFill="1" applyBorder="1" applyAlignment="1" applyProtection="1">
      <alignment horizontal="center" vertical="center"/>
      <protection hidden="1"/>
    </xf>
    <xf numFmtId="0" fontId="5" fillId="3" borderId="6" xfId="8" applyFont="1" applyFill="1" applyBorder="1" applyAlignment="1" applyProtection="1">
      <alignment vertical="center"/>
      <protection hidden="1"/>
    </xf>
    <xf numFmtId="3" fontId="5" fillId="3" borderId="6" xfId="8" applyNumberFormat="1" applyFont="1" applyFill="1" applyBorder="1" applyAlignment="1" applyProtection="1">
      <alignment vertical="center"/>
      <protection hidden="1"/>
    </xf>
    <xf numFmtId="0" fontId="6" fillId="0" borderId="0" xfId="8" applyFont="1" applyAlignment="1" applyProtection="1">
      <alignment horizontal="center" vertical="center"/>
      <protection hidden="1"/>
    </xf>
    <xf numFmtId="0" fontId="5" fillId="0" borderId="0" xfId="8" applyFont="1" applyAlignment="1" applyProtection="1">
      <alignment vertical="center"/>
      <protection hidden="1"/>
    </xf>
    <xf numFmtId="3" fontId="6" fillId="0" borderId="0" xfId="8" applyNumberFormat="1" applyFont="1" applyAlignment="1" applyProtection="1">
      <alignment vertical="center" wrapText="1"/>
      <protection hidden="1"/>
    </xf>
    <xf numFmtId="3" fontId="6" fillId="0" borderId="0" xfId="8" applyNumberFormat="1" applyFont="1" applyAlignment="1" applyProtection="1">
      <alignment vertical="center"/>
      <protection hidden="1"/>
    </xf>
    <xf numFmtId="0" fontId="5" fillId="2" borderId="4" xfId="8" applyNumberFormat="1" applyFont="1" applyFill="1" applyBorder="1" applyAlignment="1" applyProtection="1">
      <alignment horizontal="center" vertical="center" wrapText="1"/>
      <protection hidden="1"/>
    </xf>
    <xf numFmtId="166" fontId="3" fillId="0" borderId="19" xfId="2" applyNumberFormat="1" applyFont="1" applyBorder="1" applyAlignment="1" applyProtection="1">
      <alignment vertical="center"/>
      <protection locked="0" hidden="1"/>
    </xf>
    <xf numFmtId="3" fontId="5" fillId="2" borderId="20" xfId="0" applyNumberFormat="1" applyFont="1" applyFill="1" applyBorder="1" applyAlignment="1" applyProtection="1">
      <alignment horizontal="center" vertical="center" wrapText="1"/>
      <protection hidden="1"/>
    </xf>
    <xf numFmtId="3" fontId="5" fillId="2" borderId="10" xfId="0" applyNumberFormat="1" applyFont="1" applyFill="1" applyBorder="1" applyAlignment="1" applyProtection="1">
      <alignment horizontal="center" vertical="center" wrapText="1"/>
      <protection hidden="1"/>
    </xf>
    <xf numFmtId="3" fontId="6" fillId="0" borderId="21" xfId="0" applyNumberFormat="1" applyFont="1" applyBorder="1" applyAlignment="1" applyProtection="1">
      <alignment vertical="center"/>
      <protection hidden="1"/>
    </xf>
    <xf numFmtId="3" fontId="6" fillId="0" borderId="22" xfId="0" applyNumberFormat="1" applyFont="1" applyBorder="1" applyAlignment="1" applyProtection="1">
      <alignment vertical="center"/>
      <protection hidden="1"/>
    </xf>
    <xf numFmtId="3" fontId="6" fillId="0" borderId="18" xfId="0" applyNumberFormat="1" applyFont="1" applyBorder="1" applyAlignment="1" applyProtection="1">
      <alignment vertical="center"/>
      <protection hidden="1"/>
    </xf>
    <xf numFmtId="3" fontId="6" fillId="0" borderId="23" xfId="0" applyNumberFormat="1" applyFont="1" applyBorder="1" applyAlignment="1" applyProtection="1">
      <alignment vertical="center"/>
      <protection hidden="1"/>
    </xf>
    <xf numFmtId="3" fontId="7" fillId="2" borderId="18" xfId="0" applyNumberFormat="1" applyFont="1" applyFill="1" applyBorder="1" applyAlignment="1" applyProtection="1">
      <alignment vertical="center"/>
      <protection hidden="1"/>
    </xf>
    <xf numFmtId="3" fontId="7" fillId="2" borderId="23" xfId="0" applyNumberFormat="1" applyFont="1" applyFill="1" applyBorder="1" applyAlignment="1" applyProtection="1">
      <alignment vertical="center"/>
      <protection hidden="1"/>
    </xf>
    <xf numFmtId="165" fontId="3" fillId="0" borderId="19" xfId="2" applyNumberFormat="1" applyFont="1" applyBorder="1" applyAlignment="1" applyProtection="1">
      <alignment vertical="center"/>
      <protection locked="0" hidden="1"/>
    </xf>
    <xf numFmtId="165" fontId="3" fillId="0" borderId="24" xfId="2" applyNumberFormat="1" applyFont="1" applyBorder="1" applyAlignment="1" applyProtection="1">
      <alignment vertical="center"/>
      <protection locked="0" hidden="1"/>
    </xf>
    <xf numFmtId="165" fontId="33" fillId="2" borderId="19" xfId="2" applyNumberFormat="1" applyFont="1" applyFill="1" applyBorder="1" applyAlignment="1" applyProtection="1">
      <alignment vertical="center"/>
      <protection locked="0" hidden="1"/>
    </xf>
    <xf numFmtId="165" fontId="33" fillId="2" borderId="24" xfId="2" applyNumberFormat="1" applyFont="1" applyFill="1" applyBorder="1" applyAlignment="1" applyProtection="1">
      <alignment vertical="center"/>
      <protection locked="0" hidden="1"/>
    </xf>
    <xf numFmtId="165" fontId="4" fillId="3" borderId="19" xfId="2" applyNumberFormat="1" applyFont="1" applyFill="1" applyBorder="1" applyAlignment="1" applyProtection="1">
      <alignment vertical="center"/>
      <protection locked="0" hidden="1"/>
    </xf>
    <xf numFmtId="165" fontId="4" fillId="3" borderId="24" xfId="2" applyNumberFormat="1" applyFont="1" applyFill="1" applyBorder="1" applyAlignment="1" applyProtection="1">
      <alignment vertical="center"/>
      <protection locked="0" hidden="1"/>
    </xf>
    <xf numFmtId="167" fontId="6" fillId="17" borderId="25" xfId="0" applyNumberFormat="1" applyFont="1" applyFill="1" applyBorder="1" applyProtection="1">
      <protection locked="0" hidden="1"/>
    </xf>
    <xf numFmtId="167" fontId="6" fillId="18" borderId="26" xfId="0" applyNumberFormat="1" applyFont="1" applyFill="1" applyBorder="1" applyProtection="1">
      <protection locked="0" hidden="1"/>
    </xf>
    <xf numFmtId="167" fontId="6" fillId="2" borderId="25" xfId="0" applyNumberFormat="1" applyFont="1" applyFill="1" applyBorder="1" applyProtection="1">
      <protection locked="0" hidden="1"/>
    </xf>
    <xf numFmtId="167" fontId="6" fillId="2" borderId="26" xfId="0" applyNumberFormat="1" applyFont="1" applyFill="1" applyBorder="1" applyProtection="1">
      <protection locked="0" hidden="1"/>
    </xf>
    <xf numFmtId="167" fontId="6" fillId="17" borderId="27" xfId="0" applyNumberFormat="1" applyFont="1" applyFill="1" applyBorder="1" applyProtection="1">
      <protection locked="0" hidden="1"/>
    </xf>
    <xf numFmtId="167" fontId="9" fillId="17" borderId="27" xfId="0" applyNumberFormat="1" applyFont="1" applyFill="1" applyBorder="1" applyProtection="1">
      <protection locked="0" hidden="1"/>
    </xf>
    <xf numFmtId="167" fontId="6" fillId="17" borderId="28" xfId="0" applyNumberFormat="1" applyFont="1" applyFill="1" applyBorder="1" applyProtection="1">
      <protection locked="0" hidden="1"/>
    </xf>
    <xf numFmtId="167" fontId="6" fillId="17" borderId="29" xfId="0" applyNumberFormat="1" applyFont="1" applyFill="1" applyBorder="1" applyProtection="1">
      <protection locked="0" hidden="1"/>
    </xf>
    <xf numFmtId="167" fontId="6" fillId="2" borderId="10" xfId="0" applyNumberFormat="1" applyFont="1" applyFill="1" applyBorder="1" applyProtection="1">
      <protection locked="0" hidden="1"/>
    </xf>
    <xf numFmtId="167" fontId="6" fillId="17" borderId="30" xfId="0" applyNumberFormat="1" applyFont="1" applyFill="1" applyBorder="1" applyProtection="1">
      <protection locked="0" hidden="1"/>
    </xf>
    <xf numFmtId="167" fontId="9" fillId="17" borderId="30" xfId="0" applyNumberFormat="1" applyFont="1" applyFill="1" applyBorder="1" applyProtection="1">
      <protection locked="0" hidden="1"/>
    </xf>
    <xf numFmtId="167" fontId="6" fillId="17" borderId="31" xfId="0" applyNumberFormat="1" applyFont="1" applyFill="1" applyBorder="1" applyProtection="1">
      <protection locked="0" hidden="1"/>
    </xf>
    <xf numFmtId="167" fontId="6" fillId="18" borderId="10" xfId="0" applyNumberFormat="1" applyFont="1" applyFill="1" applyBorder="1" applyProtection="1">
      <protection locked="0" hidden="1"/>
    </xf>
    <xf numFmtId="167" fontId="6" fillId="3" borderId="10" xfId="0" applyNumberFormat="1" applyFont="1" applyFill="1" applyBorder="1" applyProtection="1">
      <protection locked="0" hidden="1"/>
    </xf>
    <xf numFmtId="167" fontId="6" fillId="3" borderId="27" xfId="0" applyNumberFormat="1" applyFont="1" applyFill="1" applyBorder="1" applyProtection="1">
      <protection locked="0" hidden="1"/>
    </xf>
    <xf numFmtId="0" fontId="7" fillId="2" borderId="6" xfId="0" applyFont="1" applyFill="1" applyBorder="1" applyAlignment="1" applyProtection="1">
      <alignment horizontal="center" vertical="center"/>
      <protection locked="0"/>
    </xf>
    <xf numFmtId="167" fontId="6" fillId="2" borderId="31" xfId="0" applyNumberFormat="1" applyFont="1" applyFill="1" applyBorder="1" applyProtection="1">
      <protection locked="0" hidden="1"/>
    </xf>
    <xf numFmtId="3" fontId="34" fillId="0" borderId="5" xfId="0" applyNumberFormat="1" applyFont="1" applyBorder="1" applyAlignment="1" applyProtection="1">
      <alignment vertical="center"/>
      <protection hidden="1"/>
    </xf>
    <xf numFmtId="3" fontId="34" fillId="0" borderId="32" xfId="0" applyNumberFormat="1" applyFont="1" applyBorder="1" applyAlignment="1" applyProtection="1">
      <alignment vertical="center"/>
      <protection hidden="1"/>
    </xf>
    <xf numFmtId="3" fontId="34" fillId="0" borderId="6" xfId="0" applyNumberFormat="1" applyFont="1" applyBorder="1" applyAlignment="1" applyProtection="1">
      <alignment vertical="center"/>
      <protection hidden="1"/>
    </xf>
    <xf numFmtId="3" fontId="34" fillId="0" borderId="33" xfId="0" applyNumberFormat="1" applyFont="1" applyBorder="1" applyAlignment="1" applyProtection="1">
      <alignment vertical="center"/>
      <protection hidden="1"/>
    </xf>
    <xf numFmtId="3" fontId="35" fillId="2" borderId="6" xfId="0" applyNumberFormat="1" applyFont="1" applyFill="1" applyBorder="1" applyAlignment="1" applyProtection="1">
      <alignment vertical="center"/>
      <protection hidden="1"/>
    </xf>
    <xf numFmtId="3" fontId="35" fillId="2" borderId="33" xfId="0" applyNumberFormat="1" applyFont="1" applyFill="1" applyBorder="1" applyAlignment="1" applyProtection="1">
      <alignment vertical="center"/>
      <protection hidden="1"/>
    </xf>
    <xf numFmtId="3" fontId="35" fillId="3" borderId="6" xfId="0" applyNumberFormat="1" applyFont="1" applyFill="1" applyBorder="1" applyAlignment="1" applyProtection="1">
      <alignment vertical="center"/>
      <protection hidden="1"/>
    </xf>
    <xf numFmtId="3" fontId="35" fillId="3" borderId="33" xfId="0" applyNumberFormat="1" applyFont="1" applyFill="1" applyBorder="1" applyAlignment="1" applyProtection="1">
      <alignment vertical="center"/>
      <protection hidden="1"/>
    </xf>
    <xf numFmtId="3" fontId="35" fillId="2" borderId="34" xfId="0" applyNumberFormat="1" applyFont="1" applyFill="1" applyBorder="1" applyAlignment="1" applyProtection="1">
      <alignment vertical="center"/>
      <protection hidden="1"/>
    </xf>
    <xf numFmtId="3" fontId="35" fillId="2" borderId="35" xfId="0" applyNumberFormat="1" applyFont="1" applyFill="1" applyBorder="1" applyAlignment="1" applyProtection="1">
      <alignment vertical="center"/>
      <protection hidden="1"/>
    </xf>
    <xf numFmtId="165" fontId="3" fillId="0" borderId="0" xfId="2" applyNumberFormat="1" applyFont="1" applyProtection="1">
      <protection locked="0" hidden="1"/>
    </xf>
    <xf numFmtId="165" fontId="5" fillId="2" borderId="4" xfId="2" applyNumberFormat="1" applyFont="1" applyFill="1" applyBorder="1" applyAlignment="1" applyProtection="1">
      <alignment horizontal="center" vertical="center" wrapText="1"/>
      <protection hidden="1"/>
    </xf>
    <xf numFmtId="165" fontId="6" fillId="0" borderId="0" xfId="2" applyNumberFormat="1" applyFont="1" applyAlignment="1" applyProtection="1">
      <alignment vertical="center" wrapText="1"/>
      <protection hidden="1"/>
    </xf>
    <xf numFmtId="165" fontId="6" fillId="0" borderId="0" xfId="2" applyNumberFormat="1" applyFont="1" applyAlignment="1" applyProtection="1">
      <alignment vertical="center"/>
      <protection hidden="1"/>
    </xf>
    <xf numFmtId="0" fontId="19" fillId="0" borderId="1" xfId="4" applyFont="1" applyBorder="1" applyAlignment="1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168" fontId="8" fillId="0" borderId="6" xfId="2" applyNumberFormat="1" applyFont="1" applyBorder="1" applyAlignment="1" applyProtection="1">
      <alignment horizontal="center" vertical="center"/>
      <protection hidden="1"/>
    </xf>
    <xf numFmtId="0" fontId="15" fillId="19" borderId="0" xfId="0" applyFont="1" applyFill="1"/>
    <xf numFmtId="168" fontId="0" fillId="0" borderId="0" xfId="2" applyNumberFormat="1" applyFont="1"/>
    <xf numFmtId="0" fontId="0" fillId="0" borderId="0" xfId="2" applyNumberFormat="1" applyFont="1" applyAlignment="1">
      <alignment horizontal="center"/>
    </xf>
    <xf numFmtId="0" fontId="2" fillId="2" borderId="0" xfId="1" applyFont="1" applyFill="1" applyAlignment="1" applyProtection="1">
      <alignment horizontal="center" vertical="center"/>
      <protection locked="0" hidden="1"/>
    </xf>
    <xf numFmtId="0" fontId="3" fillId="0" borderId="0" xfId="1" applyFont="1" applyAlignment="1" applyProtection="1">
      <alignment horizontal="left"/>
      <protection locked="0" hidden="1"/>
    </xf>
    <xf numFmtId="14" fontId="4" fillId="0" borderId="1" xfId="1" applyNumberFormat="1" applyFont="1" applyBorder="1" applyAlignment="1" applyProtection="1">
      <alignment horizontal="center" vertical="center"/>
      <protection hidden="1"/>
    </xf>
    <xf numFmtId="0" fontId="4" fillId="0" borderId="1" xfId="1" applyFont="1" applyBorder="1" applyAlignment="1" applyProtection="1">
      <alignment horizontal="center" vertical="center"/>
      <protection hidden="1"/>
    </xf>
    <xf numFmtId="0" fontId="3" fillId="0" borderId="0" xfId="1" applyFont="1" applyAlignment="1" applyProtection="1">
      <alignment horizontal="center" vertical="center"/>
      <protection locked="0" hidden="1"/>
    </xf>
    <xf numFmtId="0" fontId="4" fillId="0" borderId="2" xfId="1" applyFont="1" applyBorder="1" applyAlignment="1" applyProtection="1">
      <alignment horizontal="center" vertical="center"/>
      <protection hidden="1"/>
    </xf>
    <xf numFmtId="0" fontId="4" fillId="0" borderId="3" xfId="1" applyFont="1" applyBorder="1" applyAlignment="1" applyProtection="1">
      <alignment horizontal="center" vertical="center"/>
      <protection hidden="1"/>
    </xf>
    <xf numFmtId="1" fontId="4" fillId="0" borderId="1" xfId="1" applyNumberFormat="1" applyFont="1" applyBorder="1" applyAlignment="1" applyProtection="1">
      <alignment horizontal="center" vertical="center"/>
      <protection hidden="1"/>
    </xf>
    <xf numFmtId="0" fontId="4" fillId="0" borderId="1" xfId="1" applyFont="1" applyBorder="1" applyAlignment="1" applyProtection="1">
      <alignment horizontal="left" vertical="center"/>
      <protection hidden="1"/>
    </xf>
    <xf numFmtId="0" fontId="4" fillId="0" borderId="3" xfId="1" quotePrefix="1" applyFont="1" applyBorder="1" applyAlignment="1" applyProtection="1">
      <alignment horizontal="center" vertical="center"/>
      <protection hidden="1"/>
    </xf>
    <xf numFmtId="0" fontId="16" fillId="2" borderId="0" xfId="4" applyFont="1" applyFill="1" applyAlignment="1" applyProtection="1">
      <alignment horizontal="center" vertical="center"/>
      <protection locked="0"/>
    </xf>
    <xf numFmtId="0" fontId="17" fillId="0" borderId="0" xfId="4" applyFont="1" applyAlignment="1" applyProtection="1">
      <alignment horizontal="left"/>
      <protection locked="0"/>
    </xf>
    <xf numFmtId="14" fontId="18" fillId="0" borderId="7" xfId="0" applyNumberFormat="1" applyFont="1" applyBorder="1" applyAlignment="1">
      <alignment horizontal="center" vertical="center"/>
    </xf>
    <xf numFmtId="0" fontId="19" fillId="0" borderId="1" xfId="4" applyFont="1" applyBorder="1" applyAlignment="1" applyProtection="1">
      <alignment horizontal="center" vertical="center"/>
      <protection locked="0"/>
    </xf>
    <xf numFmtId="0" fontId="18" fillId="0" borderId="7" xfId="0" applyFont="1" applyBorder="1" applyAlignment="1">
      <alignment horizontal="center" vertical="center"/>
    </xf>
    <xf numFmtId="0" fontId="17" fillId="0" borderId="0" xfId="4" applyFont="1" applyAlignment="1" applyProtection="1">
      <alignment horizontal="center" vertical="center"/>
      <protection locked="0"/>
    </xf>
    <xf numFmtId="0" fontId="18" fillId="0" borderId="8" xfId="0" applyFont="1" applyBorder="1" applyAlignment="1">
      <alignment horizontal="center" vertical="center"/>
    </xf>
    <xf numFmtId="0" fontId="19" fillId="0" borderId="2" xfId="4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>
      <alignment horizontal="center" vertical="center"/>
    </xf>
    <xf numFmtId="0" fontId="19" fillId="0" borderId="3" xfId="4" applyFont="1" applyBorder="1" applyAlignment="1" applyProtection="1">
      <alignment horizontal="center" vertical="center"/>
      <protection locked="0"/>
    </xf>
    <xf numFmtId="0" fontId="16" fillId="2" borderId="0" xfId="3" applyFont="1" applyFill="1" applyAlignment="1" applyProtection="1">
      <alignment horizontal="center" vertical="center"/>
    </xf>
    <xf numFmtId="0" fontId="17" fillId="0" borderId="0" xfId="3" applyFont="1" applyAlignment="1" applyProtection="1">
      <alignment horizontal="left"/>
    </xf>
    <xf numFmtId="14" fontId="24" fillId="0" borderId="12" xfId="0" applyNumberFormat="1" applyFont="1" applyBorder="1" applyAlignment="1">
      <alignment horizontal="center" vertical="center"/>
    </xf>
    <xf numFmtId="0" fontId="19" fillId="0" borderId="1" xfId="3" applyFont="1" applyBorder="1" applyAlignment="1" applyProtection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17" fillId="0" borderId="0" xfId="3" applyFont="1" applyAlignment="1" applyProtection="1">
      <alignment horizontal="center" vertical="center"/>
    </xf>
    <xf numFmtId="0" fontId="19" fillId="0" borderId="2" xfId="3" applyFont="1" applyBorder="1" applyAlignment="1" applyProtection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9" fillId="0" borderId="3" xfId="3" applyFont="1" applyBorder="1" applyAlignment="1" applyProtection="1">
      <alignment horizontal="center" vertical="center"/>
    </xf>
    <xf numFmtId="49" fontId="4" fillId="0" borderId="3" xfId="1" applyNumberFormat="1" applyFont="1" applyBorder="1" applyAlignment="1" applyProtection="1">
      <alignment horizontal="center" vertical="center"/>
      <protection hidden="1"/>
    </xf>
    <xf numFmtId="0" fontId="27" fillId="15" borderId="0" xfId="0" applyFont="1" applyFill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left"/>
      <protection locked="0" hidden="1"/>
    </xf>
    <xf numFmtId="14" fontId="29" fillId="0" borderId="7" xfId="0" applyNumberFormat="1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locked="0" hidden="1"/>
    </xf>
    <xf numFmtId="0" fontId="29" fillId="0" borderId="8" xfId="0" applyFont="1" applyBorder="1" applyAlignment="1" applyProtection="1">
      <alignment horizontal="center" vertical="center"/>
      <protection hidden="1"/>
    </xf>
    <xf numFmtId="0" fontId="29" fillId="0" borderId="9" xfId="0" applyFont="1" applyBorder="1" applyAlignment="1" applyProtection="1">
      <alignment horizontal="center" vertical="center"/>
      <protection hidden="1"/>
    </xf>
    <xf numFmtId="0" fontId="2" fillId="2" borderId="0" xfId="7" applyFont="1" applyFill="1" applyAlignment="1" applyProtection="1">
      <alignment horizontal="center" vertical="center"/>
      <protection locked="0" hidden="1"/>
    </xf>
    <xf numFmtId="0" fontId="3" fillId="0" borderId="0" xfId="7" applyFont="1" applyAlignment="1" applyProtection="1">
      <alignment horizontal="left"/>
      <protection locked="0" hidden="1"/>
    </xf>
    <xf numFmtId="14" fontId="4" fillId="0" borderId="1" xfId="7" applyNumberFormat="1" applyFont="1" applyBorder="1" applyAlignment="1" applyProtection="1">
      <alignment horizontal="center" vertical="center"/>
      <protection hidden="1"/>
    </xf>
    <xf numFmtId="0" fontId="4" fillId="0" borderId="1" xfId="7" applyFont="1" applyBorder="1" applyAlignment="1" applyProtection="1">
      <alignment horizontal="center" vertical="center"/>
      <protection hidden="1"/>
    </xf>
    <xf numFmtId="0" fontId="3" fillId="0" borderId="0" xfId="7" applyFont="1" applyAlignment="1" applyProtection="1">
      <alignment horizontal="center" vertical="center"/>
      <protection locked="0" hidden="1"/>
    </xf>
    <xf numFmtId="0" fontId="4" fillId="0" borderId="2" xfId="7" applyFont="1" applyBorder="1" applyAlignment="1" applyProtection="1">
      <alignment horizontal="center" vertical="center"/>
      <protection hidden="1"/>
    </xf>
    <xf numFmtId="49" fontId="4" fillId="0" borderId="3" xfId="7" applyNumberFormat="1" applyFont="1" applyBorder="1" applyAlignment="1" applyProtection="1">
      <alignment horizontal="center" vertical="center"/>
      <protection hidden="1"/>
    </xf>
    <xf numFmtId="0" fontId="4" fillId="0" borderId="3" xfId="7" applyFont="1" applyBorder="1" applyAlignment="1" applyProtection="1">
      <alignment horizontal="center" vertical="center"/>
      <protection hidden="1"/>
    </xf>
    <xf numFmtId="1" fontId="4" fillId="0" borderId="2" xfId="1" applyNumberFormat="1" applyFont="1" applyBorder="1" applyAlignment="1" applyProtection="1">
      <alignment horizontal="center" vertical="center"/>
      <protection hidden="1"/>
    </xf>
    <xf numFmtId="0" fontId="3" fillId="0" borderId="0" xfId="1" applyFont="1" applyAlignment="1" applyProtection="1">
      <alignment horizontal="left" vertical="center"/>
      <protection locked="0" hidden="1"/>
    </xf>
    <xf numFmtId="0" fontId="4" fillId="0" borderId="0" xfId="1" applyFont="1" applyAlignment="1" applyProtection="1">
      <alignment horizontal="left"/>
      <protection locked="0" hidden="1"/>
    </xf>
    <xf numFmtId="0" fontId="16" fillId="2" borderId="0" xfId="5" applyFont="1" applyFill="1" applyAlignment="1" applyProtection="1">
      <alignment horizontal="center" vertical="center"/>
      <protection locked="0"/>
    </xf>
    <xf numFmtId="0" fontId="17" fillId="0" borderId="0" xfId="5" applyFont="1" applyAlignment="1" applyProtection="1">
      <alignment horizontal="left"/>
      <protection locked="0"/>
    </xf>
    <xf numFmtId="14" fontId="18" fillId="0" borderId="7" xfId="6" applyNumberFormat="1" applyFont="1" applyBorder="1" applyAlignment="1" applyProtection="1">
      <alignment horizontal="center" vertical="center"/>
    </xf>
    <xf numFmtId="0" fontId="19" fillId="0" borderId="1" xfId="5" applyFont="1" applyBorder="1" applyAlignment="1" applyProtection="1">
      <alignment horizontal="center" vertical="center"/>
      <protection locked="0"/>
    </xf>
    <xf numFmtId="0" fontId="18" fillId="0" borderId="7" xfId="6" applyFont="1" applyBorder="1" applyAlignment="1" applyProtection="1">
      <alignment horizontal="center" vertical="center"/>
    </xf>
    <xf numFmtId="0" fontId="17" fillId="0" borderId="0" xfId="5" applyFont="1" applyAlignment="1" applyProtection="1">
      <alignment horizontal="center" vertical="center"/>
      <protection locked="0"/>
    </xf>
    <xf numFmtId="0" fontId="18" fillId="0" borderId="8" xfId="6" applyFont="1" applyBorder="1" applyAlignment="1" applyProtection="1">
      <alignment horizontal="center" vertical="center"/>
    </xf>
    <xf numFmtId="0" fontId="19" fillId="0" borderId="2" xfId="5" applyFont="1" applyBorder="1" applyAlignment="1" applyProtection="1">
      <alignment horizontal="center" vertical="center"/>
      <protection locked="0"/>
    </xf>
    <xf numFmtId="0" fontId="18" fillId="0" borderId="9" xfId="6" applyFont="1" applyBorder="1" applyAlignment="1" applyProtection="1">
      <alignment horizontal="center" vertical="center"/>
    </xf>
    <xf numFmtId="0" fontId="19" fillId="0" borderId="3" xfId="5" applyFont="1" applyBorder="1" applyAlignment="1" applyProtection="1">
      <alignment horizontal="center" vertical="center"/>
      <protection locked="0"/>
    </xf>
    <xf numFmtId="49" fontId="18" fillId="0" borderId="0" xfId="0" applyNumberFormat="1" applyFont="1" applyBorder="1" applyAlignment="1">
      <alignment horizontal="center" vertical="center"/>
    </xf>
    <xf numFmtId="0" fontId="19" fillId="0" borderId="7" xfId="4" applyFont="1" applyBorder="1" applyAlignment="1" applyProtection="1">
      <alignment horizontal="center" vertical="center"/>
      <protection locked="0"/>
    </xf>
    <xf numFmtId="0" fontId="0" fillId="0" borderId="0" xfId="2" applyNumberFormat="1" applyFont="1" applyAlignment="1">
      <alignment horizontal="center"/>
    </xf>
    <xf numFmtId="168" fontId="0" fillId="20" borderId="0" xfId="2" applyNumberFormat="1" applyFont="1" applyFill="1"/>
    <xf numFmtId="0" fontId="0" fillId="0" borderId="0" xfId="0" applyAlignment="1">
      <alignment horizontal="left"/>
    </xf>
  </cellXfs>
  <cellStyles count="9">
    <cellStyle name="Milliers" xfId="2" builtinId="3"/>
    <cellStyle name="Normal" xfId="0" builtinId="0"/>
    <cellStyle name="Normal 2" xfId="6" xr:uid="{66772B21-B3CC-4281-8AFB-4522ED5D941B}"/>
    <cellStyle name="Normal 4" xfId="1" xr:uid="{41E99E2F-42EA-4245-BA6D-859136476CF0}"/>
    <cellStyle name="Normal 4 2" xfId="7" xr:uid="{5818D1AB-6277-4A9A-86D4-7CEB29B85B18}"/>
    <cellStyle name="Normal 8 2" xfId="8" xr:uid="{F66382E6-689D-43E4-AFDE-A9E6CE0075AC}"/>
    <cellStyle name="Style 12" xfId="3" xr:uid="{824E394C-0FCF-42CE-97A5-D8CDDCBAEE43}"/>
    <cellStyle name="Style 5" xfId="4" xr:uid="{01B63BE4-DC35-49E3-B2AF-D4055AA772DD}"/>
    <cellStyle name="Style 5 2" xfId="5" xr:uid="{7F037881-6398-4D55-AD58-924606369AAC}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3.xml"/><Relationship Id="rId84" Type="http://schemas.openxmlformats.org/officeDocument/2006/relationships/externalLink" Target="externalLinks/externalLink19.xml"/><Relationship Id="rId89" Type="http://schemas.openxmlformats.org/officeDocument/2006/relationships/externalLink" Target="externalLinks/externalLink2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9.xml"/><Relationship Id="rId79" Type="http://schemas.openxmlformats.org/officeDocument/2006/relationships/externalLink" Target="externalLinks/externalLink14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25.xml"/><Relationship Id="rId95" Type="http://schemas.openxmlformats.org/officeDocument/2006/relationships/externalLink" Target="externalLinks/externalLink3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4.xml"/><Relationship Id="rId80" Type="http://schemas.openxmlformats.org/officeDocument/2006/relationships/externalLink" Target="externalLinks/externalLink15.xml"/><Relationship Id="rId85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5.xml"/><Relationship Id="rId75" Type="http://schemas.openxmlformats.org/officeDocument/2006/relationships/externalLink" Target="externalLinks/externalLink10.xml"/><Relationship Id="rId83" Type="http://schemas.openxmlformats.org/officeDocument/2006/relationships/externalLink" Target="externalLinks/externalLink18.xml"/><Relationship Id="rId88" Type="http://schemas.openxmlformats.org/officeDocument/2006/relationships/externalLink" Target="externalLinks/externalLink23.xml"/><Relationship Id="rId91" Type="http://schemas.openxmlformats.org/officeDocument/2006/relationships/externalLink" Target="externalLinks/externalLink2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8.xml"/><Relationship Id="rId78" Type="http://schemas.openxmlformats.org/officeDocument/2006/relationships/externalLink" Target="externalLinks/externalLink13.xml"/><Relationship Id="rId81" Type="http://schemas.openxmlformats.org/officeDocument/2006/relationships/externalLink" Target="externalLinks/externalLink16.xml"/><Relationship Id="rId86" Type="http://schemas.openxmlformats.org/officeDocument/2006/relationships/externalLink" Target="externalLinks/externalLink21.xml"/><Relationship Id="rId94" Type="http://schemas.openxmlformats.org/officeDocument/2006/relationships/externalLink" Target="externalLinks/externalLink2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1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.xml"/><Relationship Id="rId92" Type="http://schemas.openxmlformats.org/officeDocument/2006/relationships/externalLink" Target="externalLinks/externalLink2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.xml"/><Relationship Id="rId87" Type="http://schemas.openxmlformats.org/officeDocument/2006/relationships/externalLink" Target="externalLinks/externalLink22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externalLink" Target="externalLinks/externalLink12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7.xml"/><Relationship Id="rId93" Type="http://schemas.openxmlformats.org/officeDocument/2006/relationships/externalLink" Target="externalLinks/externalLink28.xml"/><Relationship Id="rId98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2850023_2G3_EtafiEnExcel_2022_SG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Documents/biblioth&#232;que%20de%20travail/2%20El&#232;ve%20ing&#233;nieur/ISE/Cours/ISE3/Stage%20ITIE/Analyse%20ETAT/Liste%20entreprise/Etat%20Financier%20Entreprise%20E00/005844700_2G3_EtafiEnExcel_2022_PMC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dione\Desktop\MAJ%202025\MDIONE%202025\modele_etats_financiers_DGID%20(Nouveau)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0325995_2G3_EtafiEnExcel_2024_CD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0028797_2G3_EtafiEnExcel_2024_SSPT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6389507_2A2_EtafiEnExcel_2024_SOCOB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0022955_2G3_EtafiEnExcel_2022_IC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0113457_2G3_EtafiEnExcel_2024_SEN_MINE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0018699_2G3_EtafiEnExcel_202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4151750_22_EtafiEnExcel_2022_AGE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Etat%20Financier%20Entreprise%20E00/002236190_2G2_EtafiEnExcel_2022_Talix%20mines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2292168_2G3_EtafiEnExcel_2024_GECAMINE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2697938_2G3_EtafiEnExcel_2024_GRAVITA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4331188_2B2_EtafiEnExcel_2024_IDC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4410601_2Y2_EtafiEnExcel_2024_ASR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4736198_2G3_EtafiEnExcel_2024_AFRIGOLD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6634027_2Z2_EtafiEnExcel_2024_TANOR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6873873_2V3_EtafiEnExcel_2024_CHESSER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7086665_2C3_EtafiEnExcel_2024_KG_HOLDING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7626255_2Y2_EtafiEnExcel_2024_GOE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8114233_2Y2_EtafiEnExcel_2024_CHEMTR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8567680_2G2_EtafiEnExcel_2024_ZENITH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8650196_2V3_EtafiEnExcel_2024_SOMISEN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8804610_2A2_EtafiEnExcel_2024_ASCO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8814180_2E3_EtafiEnExcel_2024_SILEX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9071151_2G3_EtafiEnExcel_2024_CM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5758711_2G3_EtafiEnExcel_2024_SOCABEG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5790367_2G2_EtafiEnExcel_2024_BOSFOR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6046173_2G3_EtafiEnExcel_2024_BAMBADJI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Entreprise%20E&amp;G/006495693_1V2_EtafiEnExcel_2024_MANDING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002850023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/>
      <sheetData sheetId="1">
        <row r="10">
          <cell r="J10" t="str">
            <v>005844700</v>
          </cell>
          <cell r="V10">
            <v>44926</v>
          </cell>
          <cell r="AH10">
            <v>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 refreshError="1">
        <row r="10">
          <cell r="J10">
            <v>0</v>
          </cell>
          <cell r="V10">
            <v>0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000325995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 xml:space="preserve">000028797 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>
        <row r="51">
          <cell r="N51" t="str">
            <v>006389507</v>
          </cell>
        </row>
      </sheetData>
      <sheetData sheetId="1">
        <row r="10"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>
        <row r="4">
          <cell r="A4" t="str">
            <v>SOCIETE DE CONCASSAGE ET DE BETON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 xml:space="preserve">000022955  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000113457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SOCIETE NOUVELLE DES SALINS DU SINE SALOUM</v>
          </cell>
        </row>
        <row r="10">
          <cell r="J10" t="str">
            <v>000018699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004151750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002236190</v>
          </cell>
          <cell r="V10">
            <v>44926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002292168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GRAVITA SENEGAL SAU</v>
          </cell>
        </row>
        <row r="10">
          <cell r="J10" t="str">
            <v>002697938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004331188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004410601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004736198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TANOR SAS</v>
          </cell>
        </row>
        <row r="10">
          <cell r="J10" t="str">
            <v xml:space="preserve">006634027 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006873873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007086665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GOREE OFFSHORE ENGINEERING SENEGAL - SARL</v>
          </cell>
        </row>
        <row r="10">
          <cell r="J10" t="str">
            <v>007626255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CHEMTRA SARL</v>
          </cell>
        </row>
        <row r="10">
          <cell r="J10" t="str">
            <v>008114233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ZENITH ENERGY SENEGAL SARL</v>
          </cell>
        </row>
        <row r="10">
          <cell r="J10" t="str">
            <v>008567680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008650196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008804610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>
        <row r="3">
          <cell r="A3" t="str">
            <v>Désignation entité :</v>
          </cell>
        </row>
        <row r="4">
          <cell r="A4" t="str">
            <v>ASCO SENEGAL LLC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 xml:space="preserve">008814180 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4">
          <cell r="C24">
            <v>55283860.799999997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009071151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10">
          <cell r="J10" t="str">
            <v>005758711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BOSFOR SARL</v>
          </cell>
        </row>
        <row r="10">
          <cell r="J10" t="str">
            <v>005790367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>
        <row r="4">
          <cell r="J4" t="str">
            <v>BAMBADJI-SA</v>
          </cell>
        </row>
        <row r="10">
          <cell r="J10" t="str">
            <v>006046173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de garde"/>
      <sheetName val="Fiche de renseignement R1"/>
      <sheetName val="Activités de l'entreprise R2"/>
      <sheetName val="Dirigeants R3"/>
      <sheetName val="Tableau des Notes R4"/>
      <sheetName val="BILAN PAYSAGE"/>
      <sheetName val="COMPTE DE RESULTAT"/>
      <sheetName val="FLUX DE TRESORERIE"/>
      <sheetName val="Note 1"/>
      <sheetName val="Note 2"/>
      <sheetName val="Note 3A"/>
      <sheetName val="Note 3B"/>
      <sheetName val="Note 3C"/>
      <sheetName val="Note 3D"/>
      <sheetName val="Note 3E"/>
      <sheetName val="Note 4"/>
      <sheetName val="Note 5"/>
      <sheetName val="Note 6"/>
      <sheetName val="Note 7"/>
      <sheetName val="Note 8"/>
      <sheetName val="Note 8A"/>
      <sheetName val="Note 9"/>
      <sheetName val="Note 10"/>
      <sheetName val="Note 11"/>
      <sheetName val="Note 12"/>
      <sheetName val="Note 13"/>
      <sheetName val="Note 14"/>
      <sheetName val="Note 15A"/>
      <sheetName val="Note 15B"/>
      <sheetName val="Note 16A"/>
      <sheetName val="Note 16B"/>
      <sheetName val="Note 16B bis"/>
      <sheetName val="Note 16C"/>
      <sheetName val="Note 17"/>
      <sheetName val="Note 18"/>
      <sheetName val="Note 19"/>
      <sheetName val="Note 20"/>
      <sheetName val="Note 21"/>
      <sheetName val="Note 22"/>
      <sheetName val="Note 23"/>
      <sheetName val="Note 24"/>
      <sheetName val="Note 25"/>
      <sheetName val="Note 26"/>
      <sheetName val="Note 27A"/>
      <sheetName val="Note 27B"/>
      <sheetName val="Note 28"/>
      <sheetName val="Note 29"/>
      <sheetName val="Note 30"/>
      <sheetName val="Note 31"/>
      <sheetName val="Note 32"/>
      <sheetName val="Note 33"/>
      <sheetName val="Note 34"/>
      <sheetName val="Note 35"/>
      <sheetName val="Note 36"/>
      <sheetName val="Codes activités"/>
    </sheetNames>
    <sheetDataSet>
      <sheetData sheetId="0" refreshError="1"/>
      <sheetData sheetId="1" refreshError="1">
        <row r="4">
          <cell r="J4" t="str">
            <v>MANDINGA RESSOURCES SARL</v>
          </cell>
        </row>
        <row r="10">
          <cell r="J10" t="str">
            <v>006495693</v>
          </cell>
          <cell r="V10">
            <v>45657</v>
          </cell>
          <cell r="AH10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F98F-8901-4A64-BB17-7FFAD47B699B}">
  <sheetPr codeName="Feuil1"/>
  <dimension ref="A1:B4"/>
  <sheetViews>
    <sheetView workbookViewId="0">
      <selection activeCell="H16" sqref="H16"/>
    </sheetView>
  </sheetViews>
  <sheetFormatPr baseColWidth="10" defaultRowHeight="15"/>
  <sheetData>
    <row r="1" spans="1:2">
      <c r="A1" s="106"/>
      <c r="B1" t="s">
        <v>125</v>
      </c>
    </row>
    <row r="2" spans="1:2">
      <c r="A2" s="107"/>
      <c r="B2" t="s">
        <v>126</v>
      </c>
    </row>
    <row r="3" spans="1:2">
      <c r="A3" s="108"/>
      <c r="B3" t="s">
        <v>128</v>
      </c>
    </row>
    <row r="4" spans="1:2">
      <c r="A4" s="252"/>
      <c r="B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6C15-D521-4DCD-AE6F-28A675B9CC48}">
  <sheetPr codeName="Feuil2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CAAAA-1999-435E-85FE-5BF8F5BE38EB}">
  <sheetPr codeName="Feuil3">
    <tabColor rgb="FFFF0000"/>
  </sheetPr>
  <dimension ref="A1"/>
  <sheetViews>
    <sheetView topLeftCell="AB1"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7F2E-3716-4249-8A6B-164E6C9BC78E}">
  <sheetPr codeName="Feuil4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C3DE9-1121-4DB6-818D-D64A8E1B7A9E}">
  <sheetPr codeName="Feuil5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60142-3073-4BAA-8AB5-149100A69A6F}">
  <sheetPr codeName="Feuil6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18D6-3CB7-46C1-9D70-6281889A6B48}">
  <sheetPr codeName="Feuil7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B04F-4396-4D40-9E37-BD46B2726EDF}">
  <sheetPr codeName="Feuil8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28B3-36D7-4AD8-943F-05D1D3AF71EF}">
  <sheetPr codeName="Feuil9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149C-F908-4221-9AD0-13A43720841E}">
  <sheetPr codeName="Feuil10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92089-1C89-4CF0-AAD6-316AC58FF06A}">
  <sheetPr codeName="Feuil11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F250-DD54-4D77-BD84-B6ED2727717C}">
  <sheetPr codeName="Feuil12">
    <tabColor rgb="FFFF0000"/>
  </sheetPr>
  <dimension ref="A1"/>
  <sheetViews>
    <sheetView workbookViewId="0">
      <selection activeCell="H16" sqref="H16"/>
    </sheetView>
  </sheetViews>
  <sheetFormatPr baseColWidth="10"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DAE6C-4794-43B5-A4F4-03E883158D6D}">
  <sheetPr codeName="Feuil13">
    <tabColor rgb="FF00B050"/>
  </sheetPr>
  <dimension ref="A1:H49"/>
  <sheetViews>
    <sheetView topLeftCell="A32" workbookViewId="0">
      <selection activeCell="K38" sqref="K38"/>
    </sheetView>
  </sheetViews>
  <sheetFormatPr baseColWidth="10" defaultRowHeight="15"/>
  <sheetData>
    <row r="1" spans="1:8" ht="18.75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>
      <c r="A2" s="1"/>
      <c r="B2" s="1"/>
      <c r="C2" s="2"/>
      <c r="D2" s="1"/>
      <c r="E2" s="1"/>
      <c r="F2" s="1"/>
      <c r="G2" s="1"/>
      <c r="H2" s="1"/>
    </row>
    <row r="3" spans="1:8">
      <c r="A3" s="256" t="s">
        <v>97</v>
      </c>
      <c r="B3" s="256"/>
      <c r="C3" s="256"/>
      <c r="D3" s="1" t="s">
        <v>1</v>
      </c>
      <c r="E3" s="1"/>
      <c r="F3" s="1"/>
      <c r="G3" s="257">
        <f>+'[1]Fiche de renseignement R1'!$V$10</f>
        <v>44926</v>
      </c>
      <c r="H3" s="258"/>
    </row>
    <row r="4" spans="1:8">
      <c r="A4" s="258"/>
      <c r="B4" s="258"/>
      <c r="C4" s="258"/>
      <c r="D4" s="259" t="s">
        <v>2</v>
      </c>
      <c r="E4" s="3"/>
      <c r="F4" s="3"/>
      <c r="G4" s="260">
        <f>+'[1]Fiche de renseignement R1'!$AH$10</f>
        <v>12</v>
      </c>
      <c r="H4" s="260"/>
    </row>
    <row r="5" spans="1:8" ht="38.25">
      <c r="A5" s="4" t="s">
        <v>3</v>
      </c>
      <c r="B5" s="261" t="str">
        <f>+'[1]Fiche de renseignement R1'!$J$10</f>
        <v>002850023</v>
      </c>
      <c r="C5" s="261"/>
      <c r="D5" s="259"/>
      <c r="E5" s="3"/>
      <c r="F5" s="3"/>
      <c r="G5" s="258"/>
      <c r="H5" s="258"/>
    </row>
    <row r="6" spans="1:8">
      <c r="A6" s="1"/>
      <c r="B6" s="1"/>
      <c r="C6" s="2"/>
      <c r="D6" s="1"/>
      <c r="E6" s="1"/>
      <c r="F6" s="1"/>
      <c r="G6" s="1"/>
      <c r="H6" s="1"/>
    </row>
    <row r="7" spans="1:8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/>
      <c r="H8" s="10"/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/>
      <c r="H9" s="13"/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/>
      <c r="H10" s="13"/>
    </row>
    <row r="11" spans="1:8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>
        <v>0</v>
      </c>
      <c r="H11" s="18"/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3">
        <v>337162693234.63837</v>
      </c>
      <c r="F12" s="13">
        <v>354075329142.07953</v>
      </c>
      <c r="G12" s="13">
        <v>392961612956.48334</v>
      </c>
      <c r="H12" s="13">
        <v>391192164800.62994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13">
        <v>0</v>
      </c>
      <c r="H13" s="13">
        <v>68783085945.218781</v>
      </c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  <c r="G14" s="13">
        <v>0</v>
      </c>
      <c r="H14" s="13"/>
    </row>
    <row r="15" spans="1:8">
      <c r="A15" s="16" t="s">
        <v>24</v>
      </c>
      <c r="B15" s="17" t="s">
        <v>25</v>
      </c>
      <c r="C15" s="16"/>
      <c r="D15" s="16"/>
      <c r="E15" s="18">
        <v>337162693235</v>
      </c>
      <c r="F15" s="18">
        <v>354075329142.07953</v>
      </c>
      <c r="G15" s="18">
        <v>392961612956</v>
      </c>
      <c r="H15" s="18">
        <v>459975250746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3">
        <v>17407545199.252274</v>
      </c>
      <c r="F16" s="13">
        <v>26055475998.868736</v>
      </c>
      <c r="G16" s="13">
        <v>16333582805.434906</v>
      </c>
      <c r="H16" s="13">
        <v>8561237397.0399923</v>
      </c>
    </row>
    <row r="17" spans="1:8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/>
      <c r="H17" s="13"/>
    </row>
    <row r="18" spans="1:8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/>
      <c r="H18" s="13"/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3">
        <v>9736214814.5540714</v>
      </c>
      <c r="F19" s="13">
        <v>24449239619.555</v>
      </c>
      <c r="G19" s="13">
        <v>14622542270.0951</v>
      </c>
      <c r="H19" s="13">
        <v>8824234732.5661869</v>
      </c>
    </row>
    <row r="20" spans="1:8">
      <c r="A20" s="19" t="s">
        <v>34</v>
      </c>
      <c r="B20" s="20" t="s">
        <v>35</v>
      </c>
      <c r="C20" s="19" t="s">
        <v>9</v>
      </c>
      <c r="D20" s="11">
        <v>12</v>
      </c>
      <c r="E20" s="13">
        <v>20101757331.471352</v>
      </c>
      <c r="F20" s="13">
        <v>20280952637.922081</v>
      </c>
      <c r="G20" s="13">
        <v>17370833685.193001</v>
      </c>
      <c r="H20" s="13">
        <v>2810848823.4814801</v>
      </c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>
        <v>0</v>
      </c>
      <c r="H21" s="13">
        <v>-280168679901.79797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>
        <v>0</v>
      </c>
      <c r="H22" s="13"/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3">
        <v>-98270284408.303177</v>
      </c>
      <c r="F23" s="13">
        <v>-71364240026.8172</v>
      </c>
      <c r="G23" s="13">
        <v>-69844371738.874649</v>
      </c>
      <c r="H23" s="13">
        <v>-48156827997.388702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3">
        <v>10999104078.230015</v>
      </c>
      <c r="F24" s="13">
        <v>1217480937.2537956</v>
      </c>
      <c r="G24" s="13">
        <v>1274802287.7420399</v>
      </c>
      <c r="H24" s="13">
        <v>-9555475721.6329403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3">
        <v>-2524666838.8093276</v>
      </c>
      <c r="F25" s="13">
        <v>-1888887771.2032862</v>
      </c>
      <c r="G25" s="13">
        <v>-1733591383.3186381</v>
      </c>
      <c r="H25" s="13">
        <v>-1707254274.9518299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3">
        <v>-28766950918.801579</v>
      </c>
      <c r="F26" s="13">
        <v>-25755497732.153709</v>
      </c>
      <c r="G26" s="13">
        <v>-25377742331.998451</v>
      </c>
      <c r="H26" s="13">
        <v>-21248072410.1507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3">
        <v>-23151839938.203617</v>
      </c>
      <c r="F27" s="13">
        <v>-44009458558</v>
      </c>
      <c r="G27" s="13">
        <v>-23867095913.477333</v>
      </c>
      <c r="H27" s="13">
        <v>-20712511746.68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3">
        <v>-11879174886.712189</v>
      </c>
      <c r="F28" s="13">
        <v>-11186585424.820631</v>
      </c>
      <c r="G28" s="13">
        <v>-34621787046.826965</v>
      </c>
      <c r="H28" s="13">
        <v>-12980338565.5203</v>
      </c>
    </row>
    <row r="29" spans="1:8">
      <c r="A29" s="16" t="s">
        <v>52</v>
      </c>
      <c r="B29" s="17" t="s">
        <v>53</v>
      </c>
      <c r="C29" s="16"/>
      <c r="D29" s="16"/>
      <c r="E29" s="18">
        <v>230814397667.31619</v>
      </c>
      <c r="F29" s="18">
        <v>271873808822.68433</v>
      </c>
      <c r="G29" s="18">
        <v>287118785590.45227</v>
      </c>
      <c r="H29" s="18">
        <v>85642411080.813965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3">
        <v>-51202886506.72966</v>
      </c>
      <c r="F30" s="13">
        <v>-36700822915.79689</v>
      </c>
      <c r="G30" s="13">
        <v>-34616432415.330826</v>
      </c>
      <c r="H30" s="13">
        <v>-27400314069.004601</v>
      </c>
    </row>
    <row r="31" spans="1:8">
      <c r="A31" s="16" t="s">
        <v>56</v>
      </c>
      <c r="B31" s="17" t="s">
        <v>57</v>
      </c>
      <c r="C31" s="16"/>
      <c r="D31" s="16"/>
      <c r="E31" s="18">
        <v>179611511160.58655</v>
      </c>
      <c r="F31" s="18">
        <v>235172985906.88745</v>
      </c>
      <c r="G31" s="18">
        <v>252502353175.12146</v>
      </c>
      <c r="H31" s="18">
        <v>58242097011.809364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3">
        <v>1720764917.8115482</v>
      </c>
      <c r="F32" s="13">
        <v>1023260732.9364569</v>
      </c>
      <c r="G32" s="13">
        <v>0</v>
      </c>
      <c r="H32" s="13"/>
    </row>
    <row r="33" spans="1:8">
      <c r="A33" s="19" t="s">
        <v>60</v>
      </c>
      <c r="B33" s="20" t="s">
        <v>61</v>
      </c>
      <c r="C33" s="19" t="s">
        <v>12</v>
      </c>
      <c r="D33" s="11" t="s">
        <v>62</v>
      </c>
      <c r="E33" s="13">
        <v>-97413142778.429901</v>
      </c>
      <c r="F33" s="13">
        <v>-61139750871.928558</v>
      </c>
      <c r="G33" s="13">
        <v>-50065009031.914398</v>
      </c>
      <c r="H33" s="13">
        <v>-19075692070.951698</v>
      </c>
    </row>
    <row r="34" spans="1:8">
      <c r="A34" s="16" t="s">
        <v>63</v>
      </c>
      <c r="B34" s="17" t="s">
        <v>64</v>
      </c>
      <c r="C34" s="16"/>
      <c r="D34" s="16"/>
      <c r="E34" s="18">
        <v>83919133299.968201</v>
      </c>
      <c r="F34" s="18">
        <v>175056495767.89536</v>
      </c>
      <c r="G34" s="18">
        <v>202437344143.20706</v>
      </c>
      <c r="H34" s="18">
        <v>39166404940.857666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0</v>
      </c>
      <c r="G35" s="13">
        <v>310410959</v>
      </c>
      <c r="H35" s="13">
        <v>333170988.5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3">
        <v>3540652435.9254732</v>
      </c>
      <c r="F36" s="13">
        <v>13394152562.410324</v>
      </c>
      <c r="G36" s="13">
        <v>2444705401.2514601</v>
      </c>
      <c r="H36" s="13">
        <v>1516223299.7940741</v>
      </c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>
        <v>0</v>
      </c>
      <c r="H37" s="13"/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3">
        <v>-3426536431.6299996</v>
      </c>
      <c r="F38" s="13">
        <v>-1556205052.1200001</v>
      </c>
      <c r="G38" s="13">
        <v>-5464055.7100000009</v>
      </c>
      <c r="H38" s="13">
        <v>-1170972338.55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3">
        <v>-4501650925.8673048</v>
      </c>
      <c r="F39" s="13">
        <v>-1622367658.7951572</v>
      </c>
      <c r="G39" s="13">
        <v>-5032374533.929143</v>
      </c>
      <c r="H39" s="13">
        <v>-2704951097.0700002</v>
      </c>
    </row>
    <row r="40" spans="1:8">
      <c r="A40" s="16" t="s">
        <v>75</v>
      </c>
      <c r="B40" s="17" t="s">
        <v>76</v>
      </c>
      <c r="C40" s="16"/>
      <c r="D40" s="16"/>
      <c r="E40" s="18">
        <v>-4387534921.5718307</v>
      </c>
      <c r="F40" s="18">
        <v>10215579851.495167</v>
      </c>
      <c r="G40" s="18">
        <v>-2282722229.3876829</v>
      </c>
      <c r="H40" s="18">
        <v>-2026529147.3259261</v>
      </c>
    </row>
    <row r="41" spans="1:8">
      <c r="A41" s="22" t="s">
        <v>77</v>
      </c>
      <c r="B41" s="23" t="s">
        <v>78</v>
      </c>
      <c r="C41" s="22"/>
      <c r="D41" s="22"/>
      <c r="E41" s="24">
        <v>79531598378.396362</v>
      </c>
      <c r="F41" s="24">
        <v>185272075619.39053</v>
      </c>
      <c r="G41" s="24">
        <v>200154621913.81937</v>
      </c>
      <c r="H41" s="24">
        <v>37139875793.531738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13">
        <v>0</v>
      </c>
      <c r="H42" s="13">
        <v>2950200</v>
      </c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>
        <v>0</v>
      </c>
      <c r="H43" s="13"/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-881014155.78388751</v>
      </c>
      <c r="F44" s="13">
        <v>-398789944.49456298</v>
      </c>
      <c r="G44" s="13">
        <v>-566644423.68875074</v>
      </c>
      <c r="H44" s="13">
        <v>-215044350.93000001</v>
      </c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/>
      <c r="G45" s="13">
        <v>0</v>
      </c>
      <c r="H45" s="13"/>
    </row>
    <row r="46" spans="1:8">
      <c r="A46" s="22" t="s">
        <v>88</v>
      </c>
      <c r="B46" s="23" t="s">
        <v>89</v>
      </c>
      <c r="C46" s="22"/>
      <c r="D46" s="22"/>
      <c r="E46" s="24">
        <v>-881014155.78388751</v>
      </c>
      <c r="F46" s="24">
        <v>-398789944.49456298</v>
      </c>
      <c r="G46" s="24">
        <v>-566644423.68875074</v>
      </c>
      <c r="H46" s="24">
        <v>-212094150.93000001</v>
      </c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/>
      <c r="H47" s="13"/>
    </row>
    <row r="48" spans="1:8">
      <c r="A48" s="11" t="s">
        <v>92</v>
      </c>
      <c r="B48" s="12" t="s">
        <v>93</v>
      </c>
      <c r="C48" s="11" t="s">
        <v>12</v>
      </c>
      <c r="D48" s="11"/>
      <c r="E48" s="13">
        <v>-20798921681.376602</v>
      </c>
      <c r="F48" s="13">
        <v>-47776945172</v>
      </c>
      <c r="G48" s="13">
        <v>-56031664384.824814</v>
      </c>
      <c r="H48" s="13">
        <v>-10209148562</v>
      </c>
    </row>
    <row r="49" spans="1:8">
      <c r="A49" s="16" t="s">
        <v>94</v>
      </c>
      <c r="B49" s="17" t="s">
        <v>95</v>
      </c>
      <c r="C49" s="16"/>
      <c r="D49" s="16"/>
      <c r="E49" s="18">
        <v>57851662541</v>
      </c>
      <c r="F49" s="18">
        <v>137096340502.89597</v>
      </c>
      <c r="G49" s="18">
        <v>143556313105</v>
      </c>
      <c r="H49" s="18">
        <v>26718633081</v>
      </c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5BA454B-8A0C-4DD5-AE6D-06BA3EAA4F8B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C67472F5-83D9-4359-B357-A57CDF0ADCB1}"/>
    <dataValidation allowBlank="1" showInputMessage="1" showErrorMessage="1" errorTitle="Erreur de saisie" error="La cellule ne peut prendre que du numérique." promptTitle="Information" prompt="Cette cellule ne peut prendre que du numérique," sqref="E8:H49" xr:uid="{DE5CEA7F-3827-4493-BA9B-60D888DC1AEA}"/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150D-F581-44DB-AE01-5809A4169E54}">
  <sheetPr codeName="Feuil14">
    <tabColor rgb="FF00B050"/>
  </sheetPr>
  <dimension ref="A1:H84"/>
  <sheetViews>
    <sheetView topLeftCell="A3" workbookViewId="0">
      <selection activeCell="D12" sqref="D12"/>
    </sheetView>
  </sheetViews>
  <sheetFormatPr baseColWidth="10" defaultRowHeight="1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6.140625" style="27" bestFit="1" customWidth="1"/>
    <col min="7" max="7" width="18.7109375" style="28" bestFit="1" customWidth="1" collapsed="1"/>
    <col min="8" max="8" width="18.7109375" style="28" customWidth="1" collapsed="1"/>
  </cols>
  <sheetData>
    <row r="1" spans="1:8" ht="18.75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>
      <c r="A2" s="1"/>
      <c r="B2" s="1"/>
      <c r="C2" s="2"/>
      <c r="D2" s="1"/>
      <c r="E2" s="1"/>
      <c r="F2" s="1"/>
      <c r="G2" s="1"/>
      <c r="H2" s="1"/>
    </row>
    <row r="3" spans="1:8">
      <c r="A3" s="256" t="s">
        <v>96</v>
      </c>
      <c r="B3" s="256"/>
      <c r="C3" s="256"/>
      <c r="D3" s="1" t="s">
        <v>1</v>
      </c>
      <c r="E3" s="1"/>
      <c r="F3" s="1"/>
      <c r="G3" s="257">
        <f>+'[2]Fiche de renseignement R1'!$V$10</f>
        <v>44926</v>
      </c>
      <c r="H3" s="258"/>
    </row>
    <row r="4" spans="1:8">
      <c r="A4" s="258"/>
      <c r="B4" s="258"/>
      <c r="C4" s="258"/>
      <c r="D4" s="259" t="s">
        <v>2</v>
      </c>
      <c r="E4" s="3"/>
      <c r="F4" s="3"/>
      <c r="G4" s="260">
        <f>+'[2]Fiche de renseignement R1'!$AH$10</f>
        <v>12</v>
      </c>
      <c r="H4" s="260"/>
    </row>
    <row r="5" spans="1:8" ht="38.25">
      <c r="A5" s="4" t="s">
        <v>3</v>
      </c>
      <c r="B5" s="261" t="str">
        <f>+'[2]Fiche de renseignement R1'!$J$10</f>
        <v>005844700</v>
      </c>
      <c r="C5" s="261"/>
      <c r="D5" s="259"/>
      <c r="E5" s="3"/>
      <c r="F5" s="3"/>
      <c r="G5" s="258"/>
      <c r="H5" s="258"/>
    </row>
    <row r="6" spans="1:8">
      <c r="A6" s="1"/>
      <c r="B6" s="1"/>
      <c r="C6" s="2"/>
      <c r="D6" s="1"/>
      <c r="E6" s="1"/>
      <c r="F6" s="1"/>
      <c r="G6" s="1"/>
      <c r="H6" s="1"/>
    </row>
    <row r="7" spans="1:8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>
        <v>0</v>
      </c>
      <c r="H8" s="10">
        <v>0</v>
      </c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>
        <v>0</v>
      </c>
      <c r="H9" s="13">
        <v>0</v>
      </c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>
        <v>0</v>
      </c>
      <c r="H10" s="13">
        <v>0</v>
      </c>
    </row>
    <row r="11" spans="1:8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>
        <v>0</v>
      </c>
      <c r="H11" s="18">
        <v>0</v>
      </c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3">
        <v>174953117808</v>
      </c>
      <c r="F12" s="13">
        <v>138230031551</v>
      </c>
      <c r="G12" s="13">
        <v>147862815768</v>
      </c>
      <c r="H12" s="13">
        <v>123502918007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13">
        <v>0</v>
      </c>
      <c r="H13" s="13">
        <v>0</v>
      </c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3">
        <v>180740767</v>
      </c>
      <c r="F14" s="13">
        <v>1</v>
      </c>
      <c r="G14" s="13">
        <v>0</v>
      </c>
      <c r="H14" s="13">
        <v>0</v>
      </c>
    </row>
    <row r="15" spans="1:8">
      <c r="A15" s="16" t="s">
        <v>24</v>
      </c>
      <c r="B15" s="17" t="s">
        <v>25</v>
      </c>
      <c r="C15" s="16"/>
      <c r="D15" s="16"/>
      <c r="E15" s="18">
        <v>175133858574</v>
      </c>
      <c r="F15" s="18">
        <v>138230031552</v>
      </c>
      <c r="G15" s="18">
        <v>147862815768</v>
      </c>
      <c r="H15" s="18">
        <v>123502918007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3">
        <v>36720394087</v>
      </c>
      <c r="F16" s="13">
        <v>4966368064</v>
      </c>
      <c r="G16" s="13">
        <v>-4807792050</v>
      </c>
      <c r="H16" s="13">
        <v>-6704188980</v>
      </c>
    </row>
    <row r="17" spans="1:8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>
        <v>0</v>
      </c>
      <c r="H17" s="13">
        <v>0</v>
      </c>
    </row>
    <row r="18" spans="1:8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>
        <v>0</v>
      </c>
      <c r="H18" s="13">
        <v>0</v>
      </c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3">
        <v>2362240488</v>
      </c>
      <c r="F19" s="13">
        <v>837311222</v>
      </c>
      <c r="G19" s="13"/>
      <c r="H19" s="13"/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21">
        <v>7604357440</v>
      </c>
      <c r="F20" s="21">
        <v>27251039666</v>
      </c>
      <c r="G20" s="21">
        <v>9110991892</v>
      </c>
      <c r="H20" s="21">
        <v>7719075633</v>
      </c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>
        <v>0</v>
      </c>
      <c r="H21" s="13">
        <v>0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>
        <v>0</v>
      </c>
      <c r="H22" s="13">
        <v>0</v>
      </c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3">
        <v>-35265934979</v>
      </c>
      <c r="F23" s="13">
        <v>-38869287620</v>
      </c>
      <c r="G23" s="13">
        <v>-28972484795</v>
      </c>
      <c r="H23" s="13">
        <v>-25627698216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>
        <v>0</v>
      </c>
      <c r="G24" s="13">
        <v>0</v>
      </c>
      <c r="H24" s="13">
        <v>0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3">
        <v>-1236735313</v>
      </c>
      <c r="F25" s="13">
        <v>-987987721</v>
      </c>
      <c r="G25" s="13">
        <v>-1938920751</v>
      </c>
      <c r="H25" s="13">
        <v>-2143364262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3">
        <v>-41330084012</v>
      </c>
      <c r="F26" s="13">
        <v>-58087789082</v>
      </c>
      <c r="G26" s="13">
        <v>-60332576785</v>
      </c>
      <c r="H26" s="13">
        <v>-41919108874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3">
        <v>-18702270857</v>
      </c>
      <c r="F27" s="13">
        <v>-12045231792</v>
      </c>
      <c r="G27" s="13">
        <v>-8102403993</v>
      </c>
      <c r="H27" s="13">
        <v>-12190593348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3">
        <v>-3859773656</v>
      </c>
      <c r="F28" s="13">
        <v>-3212140466</v>
      </c>
      <c r="G28" s="13">
        <v>-2393184997</v>
      </c>
      <c r="H28" s="13">
        <v>-1174926095</v>
      </c>
    </row>
    <row r="29" spans="1:8">
      <c r="A29" s="16" t="s">
        <v>52</v>
      </c>
      <c r="B29" s="17" t="s">
        <v>53</v>
      </c>
      <c r="C29" s="16"/>
      <c r="D29" s="16"/>
      <c r="E29" s="18">
        <v>121426051773</v>
      </c>
      <c r="F29" s="18">
        <v>58082313823</v>
      </c>
      <c r="G29" s="18">
        <v>50426444289</v>
      </c>
      <c r="H29" s="18">
        <v>41462113865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3">
        <v>-7486859343</v>
      </c>
      <c r="F30" s="13">
        <v>-8770657004</v>
      </c>
      <c r="G30" s="13">
        <v>-9407376883</v>
      </c>
      <c r="H30" s="13">
        <v>-8825653749</v>
      </c>
    </row>
    <row r="31" spans="1:8">
      <c r="A31" s="16" t="s">
        <v>56</v>
      </c>
      <c r="B31" s="17" t="s">
        <v>57</v>
      </c>
      <c r="C31" s="16"/>
      <c r="D31" s="16"/>
      <c r="E31" s="18">
        <v>113939192429</v>
      </c>
      <c r="F31" s="18">
        <v>49311656819</v>
      </c>
      <c r="G31" s="18">
        <v>41019067406</v>
      </c>
      <c r="H31" s="18">
        <v>32636460116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3">
        <v>14287127</v>
      </c>
      <c r="F32" s="13">
        <v>356721423</v>
      </c>
      <c r="G32" s="13">
        <v>1024614886</v>
      </c>
      <c r="H32" s="13">
        <v>10883406160</v>
      </c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-48480016032</v>
      </c>
      <c r="F33" s="21">
        <v>-21695361635</v>
      </c>
      <c r="G33" s="21">
        <v>-19706100090</v>
      </c>
      <c r="H33" s="21">
        <v>-15987695123</v>
      </c>
    </row>
    <row r="34" spans="1:8">
      <c r="A34" s="16" t="s">
        <v>63</v>
      </c>
      <c r="B34" s="17" t="s">
        <v>64</v>
      </c>
      <c r="C34" s="16"/>
      <c r="D34" s="16"/>
      <c r="E34" s="18">
        <v>65473463524.400024</v>
      </c>
      <c r="F34" s="18">
        <v>27973016607</v>
      </c>
      <c r="G34" s="18">
        <v>22337582202</v>
      </c>
      <c r="H34" s="18">
        <v>27532171153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3">
        <v>1941073514</v>
      </c>
      <c r="F35" s="13">
        <v>377125502</v>
      </c>
      <c r="G35" s="13">
        <v>6086860</v>
      </c>
      <c r="H35" s="13">
        <v>55751090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>
        <v>760520603</v>
      </c>
      <c r="H36" s="13">
        <v>4017146942</v>
      </c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>
        <v>0</v>
      </c>
      <c r="H37" s="13">
        <v>0</v>
      </c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3">
        <v>-2437620279</v>
      </c>
      <c r="F38" s="13">
        <v>-8615660779</v>
      </c>
      <c r="G38" s="13">
        <v>-248279570</v>
      </c>
      <c r="H38" s="13">
        <v>-267345321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13">
        <v>0</v>
      </c>
      <c r="H39" s="13">
        <v>0</v>
      </c>
    </row>
    <row r="40" spans="1:8">
      <c r="A40" s="16" t="s">
        <v>75</v>
      </c>
      <c r="B40" s="17" t="s">
        <v>76</v>
      </c>
      <c r="C40" s="16"/>
      <c r="D40" s="16"/>
      <c r="E40" s="18">
        <v>-496546765</v>
      </c>
      <c r="F40" s="18">
        <v>-8238535277</v>
      </c>
      <c r="G40" s="18">
        <v>518327893</v>
      </c>
      <c r="H40" s="18">
        <v>3805552711</v>
      </c>
    </row>
    <row r="41" spans="1:8">
      <c r="A41" s="22" t="s">
        <v>77</v>
      </c>
      <c r="B41" s="23" t="s">
        <v>78</v>
      </c>
      <c r="C41" s="22"/>
      <c r="D41" s="22"/>
      <c r="E41" s="24">
        <v>64976916759.610023</v>
      </c>
      <c r="F41" s="24">
        <v>19734481330</v>
      </c>
      <c r="G41" s="24">
        <v>22855910095</v>
      </c>
      <c r="H41" s="24">
        <v>31337723864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13">
        <v>0</v>
      </c>
      <c r="H42" s="13">
        <v>0</v>
      </c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6220973118</v>
      </c>
      <c r="G43" s="13">
        <v>0</v>
      </c>
      <c r="H43" s="13">
        <v>0</v>
      </c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  <c r="G44" s="13">
        <v>0</v>
      </c>
      <c r="H44" s="13">
        <v>0</v>
      </c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>
        <v>0</v>
      </c>
      <c r="H45" s="13">
        <v>0</v>
      </c>
    </row>
    <row r="46" spans="1:8">
      <c r="A46" s="22" t="s">
        <v>88</v>
      </c>
      <c r="B46" s="23" t="s">
        <v>89</v>
      </c>
      <c r="C46" s="22"/>
      <c r="D46" s="22"/>
      <c r="E46" s="24">
        <v>0</v>
      </c>
      <c r="F46" s="24">
        <v>6220973118</v>
      </c>
      <c r="G46" s="24">
        <v>0</v>
      </c>
      <c r="H46" s="24">
        <v>0</v>
      </c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>
        <v>0</v>
      </c>
      <c r="H47" s="13">
        <v>0</v>
      </c>
    </row>
    <row r="48" spans="1:8">
      <c r="A48" s="11" t="s">
        <v>92</v>
      </c>
      <c r="B48" s="12" t="s">
        <v>93</v>
      </c>
      <c r="C48" s="11" t="s">
        <v>12</v>
      </c>
      <c r="D48" s="11"/>
      <c r="E48" s="31">
        <v>-28580759584</v>
      </c>
      <c r="F48" s="13">
        <v>-3261215482</v>
      </c>
      <c r="G48" s="13">
        <v>0</v>
      </c>
      <c r="H48" s="13">
        <v>0</v>
      </c>
    </row>
    <row r="49" spans="1:8">
      <c r="A49" s="16" t="s">
        <v>94</v>
      </c>
      <c r="B49" s="17" t="s">
        <v>95</v>
      </c>
      <c r="C49" s="16"/>
      <c r="D49" s="16"/>
      <c r="E49" s="18">
        <v>36396157176</v>
      </c>
      <c r="F49" s="18">
        <v>22694238966</v>
      </c>
      <c r="G49" s="18">
        <v>22855910095</v>
      </c>
      <c r="H49" s="18">
        <v>31337723864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2228B268-92B0-49A5-B00A-B00E8201D44B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," sqref="E8:H49" xr:uid="{6BECF56A-4E34-460D-ACCE-723311687DAB}"/>
    <dataValidation allowBlank="1" showInputMessage="1" showErrorMessage="1" errorTitle="Erreur de saisie" error="La cellule ne peut prendre que du numérique." promptTitle="Information" prompt="Cette cellule ne peut prendre que du numérique." sqref="D1:H6" xr:uid="{BFF7403D-0CDE-42F4-B9D6-13C47159D317}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C30F3-59C6-46DD-A7AE-D0AB4FAF48D2}">
  <sheetPr codeName="Feuil15">
    <tabColor rgb="FF00B050"/>
  </sheetPr>
  <dimension ref="A7:H84"/>
  <sheetViews>
    <sheetView workbookViewId="0">
      <selection sqref="A1:XFD1"/>
    </sheetView>
  </sheetViews>
  <sheetFormatPr baseColWidth="10" defaultRowHeight="15"/>
  <cols>
    <col min="1" max="1" width="4.140625" style="49" customWidth="1" collapsed="1"/>
    <col min="2" max="2" width="56" style="50" bestFit="1" customWidth="1" collapsed="1"/>
    <col min="3" max="3" width="3.140625" style="50" bestFit="1" customWidth="1" collapsed="1"/>
    <col min="4" max="4" width="7.140625" style="50" bestFit="1" customWidth="1" collapsed="1"/>
    <col min="5" max="6" width="16.140625" style="50" bestFit="1" customWidth="1"/>
    <col min="7" max="7" width="20" style="51" customWidth="1" collapsed="1"/>
    <col min="8" max="8" width="16.42578125" style="51" bestFit="1" customWidth="1" collapsed="1"/>
  </cols>
  <sheetData>
    <row r="7" spans="1:8" ht="25.5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  <c r="G7" s="34">
        <v>2022</v>
      </c>
      <c r="H7" s="34">
        <v>2021</v>
      </c>
    </row>
    <row r="8" spans="1:8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  <c r="G8" s="37">
        <v>0</v>
      </c>
      <c r="H8" s="37">
        <v>0</v>
      </c>
    </row>
    <row r="9" spans="1:8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  <c r="G9" s="37">
        <v>0</v>
      </c>
      <c r="H9" s="37">
        <v>0</v>
      </c>
    </row>
    <row r="10" spans="1:8">
      <c r="A10" s="38" t="s">
        <v>13</v>
      </c>
      <c r="B10" s="40" t="s">
        <v>98</v>
      </c>
      <c r="C10" s="41" t="s">
        <v>15</v>
      </c>
      <c r="D10" s="41">
        <v>6</v>
      </c>
      <c r="E10" s="37">
        <v>0</v>
      </c>
      <c r="F10" s="37">
        <v>0</v>
      </c>
      <c r="G10" s="37">
        <v>0</v>
      </c>
      <c r="H10" s="37">
        <v>0</v>
      </c>
    </row>
    <row r="11" spans="1:8">
      <c r="A11" s="42" t="s">
        <v>16</v>
      </c>
      <c r="B11" s="43" t="s">
        <v>17</v>
      </c>
      <c r="C11" s="42"/>
      <c r="D11" s="42"/>
      <c r="E11" s="54">
        <v>0</v>
      </c>
      <c r="F11" s="54">
        <v>0</v>
      </c>
      <c r="G11" s="44">
        <v>0</v>
      </c>
      <c r="H11" s="44">
        <v>0</v>
      </c>
    </row>
    <row r="12" spans="1:8">
      <c r="A12" s="38" t="s">
        <v>18</v>
      </c>
      <c r="B12" s="39" t="s">
        <v>19</v>
      </c>
      <c r="C12" s="38" t="s">
        <v>9</v>
      </c>
      <c r="D12" s="38">
        <v>21</v>
      </c>
      <c r="E12" s="37">
        <v>170524042823.89999</v>
      </c>
      <c r="F12" s="37">
        <v>140526187361.70001</v>
      </c>
      <c r="G12" s="37">
        <v>208511840359.79999</v>
      </c>
      <c r="H12" s="37">
        <v>147604340692.20001</v>
      </c>
    </row>
    <row r="13" spans="1:8">
      <c r="A13" s="38" t="s">
        <v>20</v>
      </c>
      <c r="B13" s="39" t="s">
        <v>21</v>
      </c>
      <c r="C13" s="38" t="s">
        <v>9</v>
      </c>
      <c r="D13" s="38">
        <v>21</v>
      </c>
      <c r="E13" s="37">
        <v>0</v>
      </c>
      <c r="F13" s="37">
        <v>0</v>
      </c>
      <c r="G13" s="37">
        <v>0</v>
      </c>
      <c r="H13" s="37">
        <v>0</v>
      </c>
    </row>
    <row r="14" spans="1:8">
      <c r="A14" s="38" t="s">
        <v>22</v>
      </c>
      <c r="B14" s="39" t="s">
        <v>23</v>
      </c>
      <c r="C14" s="38" t="s">
        <v>9</v>
      </c>
      <c r="D14" s="38">
        <v>21</v>
      </c>
      <c r="E14" s="37">
        <v>557255376</v>
      </c>
      <c r="F14" s="37">
        <v>538368343.22000003</v>
      </c>
      <c r="G14" s="37">
        <v>55340464</v>
      </c>
      <c r="H14" s="37">
        <v>653233219.10000002</v>
      </c>
    </row>
    <row r="15" spans="1:8">
      <c r="A15" s="42" t="s">
        <v>24</v>
      </c>
      <c r="B15" s="43" t="s">
        <v>25</v>
      </c>
      <c r="C15" s="42"/>
      <c r="D15" s="42"/>
      <c r="E15" s="54">
        <v>171081298200</v>
      </c>
      <c r="F15" s="54">
        <v>141064555704</v>
      </c>
      <c r="G15" s="44">
        <v>208567180824</v>
      </c>
      <c r="H15" s="44">
        <v>148257573911.29999</v>
      </c>
    </row>
    <row r="16" spans="1:8">
      <c r="A16" s="38" t="s">
        <v>26</v>
      </c>
      <c r="B16" s="39" t="s">
        <v>27</v>
      </c>
      <c r="C16" s="41" t="s">
        <v>15</v>
      </c>
      <c r="D16" s="38">
        <v>6</v>
      </c>
      <c r="E16" s="37">
        <v>1586204642.3199999</v>
      </c>
      <c r="F16" s="37">
        <v>565247534</v>
      </c>
      <c r="G16" s="37">
        <v>-3215216799</v>
      </c>
      <c r="H16" s="37">
        <v>-1162794026.0899999</v>
      </c>
    </row>
    <row r="17" spans="1:8">
      <c r="A17" s="38" t="s">
        <v>28</v>
      </c>
      <c r="B17" s="39" t="s">
        <v>29</v>
      </c>
      <c r="C17" s="38"/>
      <c r="D17" s="38">
        <v>21</v>
      </c>
      <c r="E17" s="37">
        <v>0</v>
      </c>
      <c r="F17" s="37">
        <v>0</v>
      </c>
      <c r="G17" s="37">
        <v>0</v>
      </c>
      <c r="H17" s="37">
        <v>0</v>
      </c>
    </row>
    <row r="18" spans="1:8">
      <c r="A18" s="38" t="s">
        <v>30</v>
      </c>
      <c r="B18" s="39" t="s">
        <v>31</v>
      </c>
      <c r="C18" s="38"/>
      <c r="D18" s="38">
        <v>21</v>
      </c>
      <c r="E18" s="45">
        <v>0</v>
      </c>
      <c r="F18" s="45">
        <v>0</v>
      </c>
      <c r="G18" s="37">
        <v>0</v>
      </c>
      <c r="H18" s="37">
        <v>0</v>
      </c>
    </row>
    <row r="19" spans="1:8">
      <c r="A19" s="38" t="s">
        <v>32</v>
      </c>
      <c r="B19" s="39" t="s">
        <v>33</v>
      </c>
      <c r="C19" s="38" t="s">
        <v>9</v>
      </c>
      <c r="D19" s="38">
        <v>21</v>
      </c>
      <c r="E19" s="45">
        <v>1248700913.76</v>
      </c>
      <c r="F19" s="45">
        <v>3441286082.3299999</v>
      </c>
      <c r="G19" s="45">
        <v>2914174580.5100002</v>
      </c>
      <c r="H19" s="45">
        <v>1019684573.64</v>
      </c>
    </row>
    <row r="20" spans="1:8">
      <c r="A20" s="38" t="s">
        <v>34</v>
      </c>
      <c r="B20" s="39" t="s">
        <v>99</v>
      </c>
      <c r="C20" s="38" t="s">
        <v>9</v>
      </c>
      <c r="D20" s="38">
        <v>12</v>
      </c>
      <c r="E20" s="45">
        <v>1351866612.2</v>
      </c>
      <c r="F20" s="45">
        <v>651350722.82000005</v>
      </c>
      <c r="G20" s="45">
        <v>813248624.64999998</v>
      </c>
      <c r="H20" s="45">
        <v>34316439</v>
      </c>
    </row>
    <row r="21" spans="1:8">
      <c r="A21" s="38" t="s">
        <v>36</v>
      </c>
      <c r="B21" s="39" t="s">
        <v>37</v>
      </c>
      <c r="C21" s="38" t="s">
        <v>12</v>
      </c>
      <c r="D21" s="38">
        <v>22</v>
      </c>
      <c r="E21" s="45">
        <v>0</v>
      </c>
      <c r="F21" s="45">
        <v>0</v>
      </c>
      <c r="G21" s="45">
        <v>0</v>
      </c>
      <c r="H21" s="45">
        <v>0</v>
      </c>
    </row>
    <row r="22" spans="1:8">
      <c r="A22" s="38" t="s">
        <v>38</v>
      </c>
      <c r="B22" s="40" t="s">
        <v>39</v>
      </c>
      <c r="C22" s="41" t="s">
        <v>15</v>
      </c>
      <c r="D22" s="38">
        <v>6</v>
      </c>
      <c r="E22" s="45">
        <v>0</v>
      </c>
      <c r="F22" s="45">
        <v>0</v>
      </c>
      <c r="G22" s="37">
        <v>0</v>
      </c>
      <c r="H22" s="37">
        <v>0</v>
      </c>
    </row>
    <row r="23" spans="1:8">
      <c r="A23" s="38" t="s">
        <v>40</v>
      </c>
      <c r="B23" s="39" t="s">
        <v>41</v>
      </c>
      <c r="C23" s="38" t="s">
        <v>12</v>
      </c>
      <c r="D23" s="38">
        <v>22</v>
      </c>
      <c r="E23" s="45">
        <v>-30422148300.290001</v>
      </c>
      <c r="F23" s="45">
        <v>-32898635870.009998</v>
      </c>
      <c r="G23" s="37">
        <v>-24061007402.75</v>
      </c>
      <c r="H23" s="37">
        <v>-19999945921.82</v>
      </c>
    </row>
    <row r="24" spans="1:8">
      <c r="A24" s="38" t="s">
        <v>42</v>
      </c>
      <c r="B24" s="40" t="s">
        <v>43</v>
      </c>
      <c r="C24" s="41" t="s">
        <v>15</v>
      </c>
      <c r="D24" s="38">
        <v>6</v>
      </c>
      <c r="E24" s="45">
        <v>-3134080851.9200001</v>
      </c>
      <c r="F24" s="45">
        <v>-190041208.66999999</v>
      </c>
      <c r="G24" s="37">
        <v>-1513008720</v>
      </c>
      <c r="H24" s="37">
        <v>-846250447.63999999</v>
      </c>
    </row>
    <row r="25" spans="1:8">
      <c r="A25" s="38" t="s">
        <v>44</v>
      </c>
      <c r="B25" s="39" t="s">
        <v>45</v>
      </c>
      <c r="C25" s="38" t="s">
        <v>12</v>
      </c>
      <c r="D25" s="38">
        <v>23</v>
      </c>
      <c r="E25" s="45">
        <v>-4001718568.5300002</v>
      </c>
      <c r="F25" s="45">
        <v>-2304099993.5999999</v>
      </c>
      <c r="G25" s="37">
        <v>-4071698522.1900001</v>
      </c>
      <c r="H25" s="37">
        <v>-8338773177.4399996</v>
      </c>
    </row>
    <row r="26" spans="1:8">
      <c r="A26" s="38" t="s">
        <v>46</v>
      </c>
      <c r="B26" s="39" t="s">
        <v>47</v>
      </c>
      <c r="C26" s="38" t="s">
        <v>12</v>
      </c>
      <c r="D26" s="38">
        <v>24</v>
      </c>
      <c r="E26" s="45">
        <v>-36977305895.900002</v>
      </c>
      <c r="F26" s="45">
        <v>-28073807787.759998</v>
      </c>
      <c r="G26" s="37">
        <v>-36167605623.769997</v>
      </c>
      <c r="H26" s="37">
        <v>-25352162056.75</v>
      </c>
    </row>
    <row r="27" spans="1:8">
      <c r="A27" s="38" t="s">
        <v>48</v>
      </c>
      <c r="B27" s="39" t="s">
        <v>49</v>
      </c>
      <c r="C27" s="38" t="s">
        <v>12</v>
      </c>
      <c r="D27" s="38">
        <v>25</v>
      </c>
      <c r="E27" s="37">
        <v>-128429650</v>
      </c>
      <c r="F27" s="37">
        <v>-1411219658</v>
      </c>
      <c r="G27" s="37">
        <v>-256590518</v>
      </c>
      <c r="H27" s="37">
        <v>-2597254221</v>
      </c>
    </row>
    <row r="28" spans="1:8">
      <c r="A28" s="38" t="s">
        <v>50</v>
      </c>
      <c r="B28" s="39" t="s">
        <v>51</v>
      </c>
      <c r="C28" s="38" t="s">
        <v>12</v>
      </c>
      <c r="D28" s="38">
        <v>26</v>
      </c>
      <c r="E28" s="37">
        <v>-3994781488.77</v>
      </c>
      <c r="F28" s="37">
        <v>-8242637270</v>
      </c>
      <c r="G28" s="37">
        <f>-12597863518.24+317428853</f>
        <v>-12280434665.24</v>
      </c>
      <c r="H28" s="37">
        <v>-3849899375.6799998</v>
      </c>
    </row>
    <row r="29" spans="1:8">
      <c r="A29" s="42" t="s">
        <v>52</v>
      </c>
      <c r="B29" s="43" t="s">
        <v>53</v>
      </c>
      <c r="C29" s="42"/>
      <c r="D29" s="42"/>
      <c r="E29" s="54">
        <v>96609605612.770004</v>
      </c>
      <c r="F29" s="54">
        <v>72601998256</v>
      </c>
      <c r="G29" s="44">
        <f>SUM(G15:G28)</f>
        <v>130729041778.21001</v>
      </c>
      <c r="H29" s="44">
        <v>87164495697.470001</v>
      </c>
    </row>
    <row r="30" spans="1:8">
      <c r="A30" s="38" t="s">
        <v>54</v>
      </c>
      <c r="B30" s="39" t="s">
        <v>55</v>
      </c>
      <c r="C30" s="38" t="s">
        <v>12</v>
      </c>
      <c r="D30" s="38">
        <v>27</v>
      </c>
      <c r="E30" s="37">
        <v>-27975212944.049999</v>
      </c>
      <c r="F30" s="37">
        <v>-25303473731</v>
      </c>
      <c r="G30" s="37">
        <v>-23686592667.619999</v>
      </c>
      <c r="H30" s="37">
        <v>-20604689454.490002</v>
      </c>
    </row>
    <row r="31" spans="1:8">
      <c r="A31" s="42" t="s">
        <v>56</v>
      </c>
      <c r="B31" s="43" t="s">
        <v>57</v>
      </c>
      <c r="C31" s="42"/>
      <c r="D31" s="42"/>
      <c r="E31" s="54">
        <v>68634392668.720001</v>
      </c>
      <c r="F31" s="54">
        <v>47298524524.339996</v>
      </c>
      <c r="G31" s="44">
        <f>SUM(G29:G30)</f>
        <v>107042449110.59001</v>
      </c>
      <c r="H31" s="44">
        <v>66559806242.980003</v>
      </c>
    </row>
    <row r="32" spans="1:8">
      <c r="A32" s="38" t="s">
        <v>58</v>
      </c>
      <c r="B32" s="39" t="s">
        <v>100</v>
      </c>
      <c r="C32" s="38" t="s">
        <v>9</v>
      </c>
      <c r="D32" s="38">
        <v>28</v>
      </c>
      <c r="E32" s="45">
        <v>2147340756</v>
      </c>
      <c r="F32" s="45">
        <v>399017709</v>
      </c>
      <c r="G32" s="37">
        <v>302600107</v>
      </c>
      <c r="H32" s="37">
        <v>220052906</v>
      </c>
    </row>
    <row r="33" spans="1:8">
      <c r="A33" s="38" t="s">
        <v>60</v>
      </c>
      <c r="B33" s="39" t="s">
        <v>61</v>
      </c>
      <c r="C33" s="38" t="s">
        <v>12</v>
      </c>
      <c r="D33" s="38" t="s">
        <v>62</v>
      </c>
      <c r="E33" s="45">
        <v>-23126876299.759998</v>
      </c>
      <c r="F33" s="45">
        <v>-25725328624.380001</v>
      </c>
      <c r="G33" s="45">
        <v>-21751797892.110001</v>
      </c>
      <c r="H33" s="45">
        <v>-21440178060.610001</v>
      </c>
    </row>
    <row r="34" spans="1:8">
      <c r="A34" s="42" t="s">
        <v>63</v>
      </c>
      <c r="B34" s="43" t="s">
        <v>64</v>
      </c>
      <c r="C34" s="42"/>
      <c r="D34" s="42"/>
      <c r="E34" s="54">
        <v>47654857124.959999</v>
      </c>
      <c r="F34" s="54">
        <v>21972213608.959999</v>
      </c>
      <c r="G34" s="44">
        <f>SUM(G31:G33)</f>
        <v>85593251325.480011</v>
      </c>
      <c r="H34" s="44">
        <v>45339681088.370003</v>
      </c>
    </row>
    <row r="35" spans="1:8">
      <c r="A35" s="38" t="s">
        <v>65</v>
      </c>
      <c r="B35" s="39" t="s">
        <v>66</v>
      </c>
      <c r="C35" s="38" t="s">
        <v>9</v>
      </c>
      <c r="D35" s="38">
        <v>29</v>
      </c>
      <c r="E35" s="37">
        <v>871039395.39999998</v>
      </c>
      <c r="F35" s="37">
        <v>1340473884.8800001</v>
      </c>
      <c r="G35" s="37">
        <f>742709602.3+28349028</f>
        <v>771058630.29999995</v>
      </c>
      <c r="H35" s="37">
        <v>61812228.200000003</v>
      </c>
    </row>
    <row r="36" spans="1:8">
      <c r="A36" s="38" t="s">
        <v>67</v>
      </c>
      <c r="B36" s="39" t="s">
        <v>68</v>
      </c>
      <c r="C36" s="38" t="s">
        <v>9</v>
      </c>
      <c r="D36" s="38">
        <v>28</v>
      </c>
      <c r="E36" s="37">
        <v>36034843362</v>
      </c>
      <c r="F36" s="37">
        <v>51617906763</v>
      </c>
      <c r="G36" s="37">
        <v>45237079498</v>
      </c>
      <c r="H36" s="37">
        <v>20677465859</v>
      </c>
    </row>
    <row r="37" spans="1:8">
      <c r="A37" s="38" t="s">
        <v>69</v>
      </c>
      <c r="B37" s="39" t="s">
        <v>101</v>
      </c>
      <c r="C37" s="38" t="s">
        <v>9</v>
      </c>
      <c r="D37" s="38">
        <v>12</v>
      </c>
      <c r="E37" s="37">
        <v>0</v>
      </c>
      <c r="F37" s="37">
        <v>0</v>
      </c>
      <c r="G37" s="37">
        <v>0</v>
      </c>
      <c r="H37" s="37">
        <v>0</v>
      </c>
    </row>
    <row r="38" spans="1:8">
      <c r="A38" s="38" t="s">
        <v>71</v>
      </c>
      <c r="B38" s="39" t="s">
        <v>72</v>
      </c>
      <c r="C38" s="38" t="s">
        <v>12</v>
      </c>
      <c r="D38" s="38">
        <v>29</v>
      </c>
      <c r="E38" s="37">
        <v>-11968609048.91</v>
      </c>
      <c r="F38" s="37">
        <v>-10063450621.379999</v>
      </c>
      <c r="G38" s="37">
        <v>-22105386640.310001</v>
      </c>
      <c r="H38" s="37">
        <v>-7432865108.3599997</v>
      </c>
    </row>
    <row r="39" spans="1:8">
      <c r="A39" s="38" t="s">
        <v>73</v>
      </c>
      <c r="B39" s="39" t="s">
        <v>74</v>
      </c>
      <c r="C39" s="38" t="s">
        <v>12</v>
      </c>
      <c r="D39" s="38" t="s">
        <v>62</v>
      </c>
      <c r="E39" s="37">
        <v>-47342532027.75</v>
      </c>
      <c r="F39" s="37">
        <v>-36034843111.730003</v>
      </c>
      <c r="G39" s="37">
        <v>-51797156691</v>
      </c>
      <c r="H39" s="37">
        <v>-45391756625.190002</v>
      </c>
    </row>
    <row r="40" spans="1:8">
      <c r="A40" s="42" t="s">
        <v>75</v>
      </c>
      <c r="B40" s="43" t="s">
        <v>76</v>
      </c>
      <c r="C40" s="42"/>
      <c r="D40" s="42"/>
      <c r="E40" s="54">
        <v>-22405258319.259998</v>
      </c>
      <c r="F40" s="54">
        <v>6860086914.7700005</v>
      </c>
      <c r="G40" s="44">
        <f>SUM(G35:G39)</f>
        <v>-27894405203.009998</v>
      </c>
      <c r="H40" s="44">
        <v>-32085343646.349998</v>
      </c>
    </row>
    <row r="41" spans="1:8">
      <c r="A41" s="46" t="s">
        <v>77</v>
      </c>
      <c r="B41" s="47" t="s">
        <v>78</v>
      </c>
      <c r="C41" s="46"/>
      <c r="D41" s="46"/>
      <c r="E41" s="55">
        <v>25249598805.700001</v>
      </c>
      <c r="F41" s="55">
        <v>28832300523.73</v>
      </c>
      <c r="G41" s="48">
        <v>57698846122.18</v>
      </c>
      <c r="H41" s="48">
        <v>13254337442.02</v>
      </c>
    </row>
    <row r="42" spans="1:8">
      <c r="A42" s="38" t="s">
        <v>79</v>
      </c>
      <c r="B42" s="39" t="s">
        <v>80</v>
      </c>
      <c r="C42" s="38" t="s">
        <v>9</v>
      </c>
      <c r="D42" s="38" t="s">
        <v>81</v>
      </c>
      <c r="E42" s="37">
        <v>623359580.04999995</v>
      </c>
      <c r="F42" s="37">
        <v>0</v>
      </c>
      <c r="G42" s="37">
        <v>0</v>
      </c>
      <c r="H42" s="37">
        <v>0</v>
      </c>
    </row>
    <row r="43" spans="1:8">
      <c r="A43" s="38" t="s">
        <v>82</v>
      </c>
      <c r="B43" s="39" t="s">
        <v>83</v>
      </c>
      <c r="C43" s="38" t="s">
        <v>9</v>
      </c>
      <c r="D43" s="38">
        <v>30</v>
      </c>
      <c r="E43" s="37">
        <v>0</v>
      </c>
      <c r="F43" s="37">
        <v>0</v>
      </c>
      <c r="G43" s="37">
        <v>0</v>
      </c>
      <c r="H43" s="37">
        <v>0</v>
      </c>
    </row>
    <row r="44" spans="1:8">
      <c r="A44" s="38" t="s">
        <v>84</v>
      </c>
      <c r="B44" s="39" t="s">
        <v>85</v>
      </c>
      <c r="C44" s="38" t="s">
        <v>12</v>
      </c>
      <c r="D44" s="38" t="s">
        <v>81</v>
      </c>
      <c r="E44" s="37">
        <v>-839897922</v>
      </c>
      <c r="F44" s="37">
        <v>0</v>
      </c>
      <c r="G44" s="37">
        <v>0</v>
      </c>
      <c r="H44" s="37">
        <v>0</v>
      </c>
    </row>
    <row r="45" spans="1:8">
      <c r="A45" s="38" t="s">
        <v>86</v>
      </c>
      <c r="B45" s="39" t="s">
        <v>102</v>
      </c>
      <c r="C45" s="38" t="s">
        <v>12</v>
      </c>
      <c r="D45" s="38">
        <v>30</v>
      </c>
      <c r="E45" s="37">
        <v>0</v>
      </c>
      <c r="F45" s="37">
        <v>0</v>
      </c>
      <c r="G45" s="37">
        <v>0</v>
      </c>
      <c r="H45" s="37">
        <v>0</v>
      </c>
    </row>
    <row r="46" spans="1:8">
      <c r="A46" s="46" t="s">
        <v>88</v>
      </c>
      <c r="B46" s="47" t="s">
        <v>89</v>
      </c>
      <c r="C46" s="46"/>
      <c r="D46" s="46"/>
      <c r="E46" s="55">
        <v>-216538341.94999999</v>
      </c>
      <c r="F46" s="55">
        <v>0</v>
      </c>
      <c r="G46" s="48">
        <v>0</v>
      </c>
      <c r="H46" s="48">
        <v>0</v>
      </c>
    </row>
    <row r="47" spans="1:8">
      <c r="A47" s="38" t="s">
        <v>90</v>
      </c>
      <c r="B47" s="39" t="s">
        <v>103</v>
      </c>
      <c r="C47" s="38" t="s">
        <v>12</v>
      </c>
      <c r="D47" s="38">
        <v>30</v>
      </c>
      <c r="E47" s="37">
        <v>0</v>
      </c>
      <c r="F47" s="37">
        <v>0</v>
      </c>
      <c r="G47" s="37">
        <v>0</v>
      </c>
      <c r="H47" s="37">
        <v>0</v>
      </c>
    </row>
    <row r="48" spans="1:8">
      <c r="A48" s="38" t="s">
        <v>92</v>
      </c>
      <c r="B48" s="39" t="s">
        <v>93</v>
      </c>
      <c r="C48" s="38" t="s">
        <v>12</v>
      </c>
      <c r="D48" s="38"/>
      <c r="E48" s="37">
        <v>-10609795322.23</v>
      </c>
      <c r="F48" s="37">
        <v>-7123250300</v>
      </c>
      <c r="G48" s="37">
        <v>0</v>
      </c>
      <c r="H48" s="37">
        <v>0</v>
      </c>
    </row>
    <row r="49" spans="1:8">
      <c r="A49" s="42" t="s">
        <v>94</v>
      </c>
      <c r="B49" s="43" t="s">
        <v>95</v>
      </c>
      <c r="C49" s="42"/>
      <c r="D49" s="42"/>
      <c r="E49" s="54">
        <v>14423265142</v>
      </c>
      <c r="F49" s="54">
        <v>21709050224</v>
      </c>
      <c r="G49" s="44">
        <v>57698846122</v>
      </c>
      <c r="H49" s="44">
        <v>13254337442.02</v>
      </c>
    </row>
    <row r="53" spans="1:8">
      <c r="B53" s="52"/>
      <c r="C53" s="52"/>
    </row>
    <row r="54" spans="1:8">
      <c r="B54" s="52"/>
      <c r="C54" s="52"/>
    </row>
    <row r="55" spans="1:8">
      <c r="B55" s="52"/>
      <c r="C55" s="52"/>
    </row>
    <row r="58" spans="1:8">
      <c r="B58" s="52"/>
      <c r="C58" s="52"/>
    </row>
    <row r="59" spans="1:8">
      <c r="B59" s="52"/>
      <c r="C59" s="52"/>
    </row>
    <row r="62" spans="1:8">
      <c r="G62" s="53"/>
      <c r="H62" s="53"/>
    </row>
    <row r="63" spans="1:8">
      <c r="G63" s="53"/>
      <c r="H63" s="53"/>
    </row>
    <row r="64" spans="1:8">
      <c r="G64" s="53"/>
      <c r="H64" s="53"/>
    </row>
    <row r="65" spans="7:8">
      <c r="G65" s="53"/>
      <c r="H65" s="53"/>
    </row>
    <row r="66" spans="7:8">
      <c r="G66" s="53"/>
      <c r="H66" s="53"/>
    </row>
    <row r="67" spans="7:8">
      <c r="G67" s="53"/>
      <c r="H67" s="53"/>
    </row>
    <row r="68" spans="7:8">
      <c r="G68" s="53"/>
      <c r="H68" s="53"/>
    </row>
    <row r="69" spans="7:8">
      <c r="G69" s="53"/>
      <c r="H69" s="53"/>
    </row>
    <row r="70" spans="7:8">
      <c r="G70" s="53"/>
      <c r="H70" s="53"/>
    </row>
    <row r="71" spans="7:8">
      <c r="G71" s="53"/>
      <c r="H71" s="53"/>
    </row>
    <row r="72" spans="7:8">
      <c r="G72" s="53"/>
      <c r="H72" s="53"/>
    </row>
    <row r="73" spans="7:8">
      <c r="G73" s="53"/>
      <c r="H73" s="53"/>
    </row>
    <row r="74" spans="7:8">
      <c r="G74" s="53"/>
      <c r="H74" s="53"/>
    </row>
    <row r="75" spans="7:8">
      <c r="G75" s="53"/>
      <c r="H75" s="53"/>
    </row>
    <row r="76" spans="7:8">
      <c r="G76" s="53"/>
      <c r="H76" s="53"/>
    </row>
    <row r="77" spans="7:8">
      <c r="G77" s="53"/>
      <c r="H77" s="53"/>
    </row>
    <row r="78" spans="7:8">
      <c r="G78" s="53"/>
      <c r="H78" s="53"/>
    </row>
    <row r="79" spans="7:8">
      <c r="G79" s="53"/>
      <c r="H79" s="53"/>
    </row>
    <row r="80" spans="7:8">
      <c r="G80" s="53"/>
      <c r="H80" s="53"/>
    </row>
    <row r="81" spans="7:8">
      <c r="G81" s="53"/>
      <c r="H81" s="53"/>
    </row>
    <row r="82" spans="7:8">
      <c r="G82" s="53"/>
      <c r="H82" s="53"/>
    </row>
    <row r="83" spans="7:8">
      <c r="G83" s="53"/>
      <c r="H83" s="53"/>
    </row>
    <row r="84" spans="7:8">
      <c r="G84" s="53"/>
      <c r="H84" s="53"/>
    </row>
  </sheetData>
  <dataValidations count="2">
    <dataValidation allowBlank="1" showInputMessage="1" showErrorMessage="1" errorTitle="Erreur de saisie" error="La cellule ne peut prendre que du numérique." promptTitle="Information" prompt="Cette cellule ne peut prendre que du numérique," sqref="F8:H49 E8:E48" xr:uid="{16423D9B-D88F-4F55-B0C6-CA86B97B04B8}"/>
    <dataValidation allowBlank="1" showInputMessage="1" showErrorMessage="1" errorTitle="Erreur de saisie" error="La cellule ne peut prendre que du numérique." promptTitle="Information" prompt="Cette cellule ne peut prendre que du numérique." sqref="E49" xr:uid="{DD01E8FA-3852-4B66-B99E-B238054F7AB6}"/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67C57-F039-4F26-82E9-762FBA8E53FD}">
  <sheetPr codeName="Feuil16">
    <tabColor rgb="FF00B050"/>
  </sheetPr>
  <dimension ref="A1:H84"/>
  <sheetViews>
    <sheetView topLeftCell="A5" workbookViewId="0">
      <selection activeCell="H16" sqref="H16"/>
    </sheetView>
  </sheetViews>
  <sheetFormatPr baseColWidth="10" defaultRowHeight="1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5.7109375" style="28" customWidth="1" collapsed="1"/>
  </cols>
  <sheetData>
    <row r="1" spans="1:8" ht="18.75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>
      <c r="A2" s="1"/>
      <c r="B2" s="1"/>
      <c r="C2" s="2"/>
      <c r="D2" s="1"/>
      <c r="E2" s="1"/>
      <c r="F2" s="1"/>
      <c r="G2" s="1"/>
      <c r="H2" s="1"/>
    </row>
    <row r="3" spans="1:8">
      <c r="A3" s="256" t="s">
        <v>96</v>
      </c>
      <c r="B3" s="256"/>
      <c r="C3" s="256"/>
      <c r="D3" s="1" t="s">
        <v>1</v>
      </c>
      <c r="E3" s="1"/>
      <c r="F3" s="1"/>
      <c r="G3" s="257" t="s">
        <v>104</v>
      </c>
      <c r="H3" s="258"/>
    </row>
    <row r="4" spans="1:8">
      <c r="A4" s="262" t="s">
        <v>105</v>
      </c>
      <c r="B4" s="258"/>
      <c r="C4" s="258"/>
      <c r="D4" s="259" t="s">
        <v>2</v>
      </c>
      <c r="E4" s="3"/>
      <c r="F4" s="3"/>
      <c r="G4" s="260">
        <v>12</v>
      </c>
      <c r="H4" s="260"/>
    </row>
    <row r="5" spans="1:8" ht="38.25">
      <c r="A5" s="4" t="s">
        <v>3</v>
      </c>
      <c r="B5" s="261" t="s">
        <v>106</v>
      </c>
      <c r="C5" s="261"/>
      <c r="D5" s="259"/>
      <c r="E5" s="3"/>
      <c r="F5" s="3"/>
      <c r="G5" s="258"/>
      <c r="H5" s="258"/>
    </row>
    <row r="6" spans="1:8">
      <c r="A6" s="1"/>
      <c r="B6" s="1"/>
      <c r="C6" s="2"/>
      <c r="D6" s="1"/>
      <c r="E6" s="1"/>
      <c r="F6" s="1"/>
      <c r="G6" s="1"/>
      <c r="H6" s="1"/>
    </row>
    <row r="7" spans="1:8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8">
        <v>0</v>
      </c>
      <c r="F8" s="8">
        <v>0</v>
      </c>
      <c r="G8" s="10">
        <v>0</v>
      </c>
      <c r="H8" s="10">
        <v>0</v>
      </c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1">
        <v>0</v>
      </c>
      <c r="F9" s="11">
        <v>0</v>
      </c>
      <c r="G9" s="13">
        <v>0</v>
      </c>
      <c r="H9" s="13">
        <v>0</v>
      </c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5">
        <v>0</v>
      </c>
      <c r="F10" s="15">
        <v>0</v>
      </c>
      <c r="G10" s="13">
        <v>0</v>
      </c>
      <c r="H10" s="13">
        <v>0</v>
      </c>
    </row>
    <row r="11" spans="1:8">
      <c r="A11" s="16" t="s">
        <v>16</v>
      </c>
      <c r="B11" s="17" t="s">
        <v>17</v>
      </c>
      <c r="C11" s="16"/>
      <c r="D11" s="16"/>
      <c r="E11" s="16">
        <v>0</v>
      </c>
      <c r="F11" s="16">
        <v>0</v>
      </c>
      <c r="G11" s="18">
        <v>0</v>
      </c>
      <c r="H11" s="18">
        <v>0</v>
      </c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1">
        <v>0</v>
      </c>
      <c r="F12" s="11">
        <v>0</v>
      </c>
      <c r="G12" s="13">
        <v>0</v>
      </c>
      <c r="H12" s="13">
        <v>0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1">
        <v>0</v>
      </c>
      <c r="F13" s="11">
        <v>0</v>
      </c>
      <c r="G13" s="13">
        <v>0</v>
      </c>
      <c r="H13" s="13">
        <v>0</v>
      </c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58">
        <v>339990650</v>
      </c>
      <c r="F14" s="58">
        <v>590714400</v>
      </c>
      <c r="G14" s="13">
        <v>357766575</v>
      </c>
      <c r="H14" s="13">
        <v>0</v>
      </c>
    </row>
    <row r="15" spans="1:8">
      <c r="A15" s="16" t="s">
        <v>24</v>
      </c>
      <c r="B15" s="17" t="s">
        <v>25</v>
      </c>
      <c r="C15" s="16"/>
      <c r="D15" s="16"/>
      <c r="E15" s="59">
        <v>339990650</v>
      </c>
      <c r="F15" s="59">
        <v>590714400</v>
      </c>
      <c r="G15" s="18">
        <v>357766575</v>
      </c>
      <c r="H15" s="18">
        <v>0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1">
        <v>0</v>
      </c>
      <c r="F16" s="11">
        <v>0</v>
      </c>
      <c r="G16" s="13">
        <v>0</v>
      </c>
      <c r="H16" s="13">
        <v>0</v>
      </c>
    </row>
    <row r="17" spans="1:8">
      <c r="A17" s="11" t="s">
        <v>28</v>
      </c>
      <c r="B17" s="12" t="s">
        <v>29</v>
      </c>
      <c r="C17" s="11"/>
      <c r="D17" s="11">
        <v>21</v>
      </c>
      <c r="E17" s="58">
        <v>771589458</v>
      </c>
      <c r="F17" s="58">
        <v>376372262</v>
      </c>
      <c r="G17" s="13">
        <v>821886243</v>
      </c>
      <c r="H17" s="13">
        <v>139134976</v>
      </c>
    </row>
    <row r="18" spans="1:8">
      <c r="A18" s="11" t="s">
        <v>30</v>
      </c>
      <c r="B18" s="12" t="s">
        <v>31</v>
      </c>
      <c r="C18" s="11"/>
      <c r="D18" s="11">
        <v>21</v>
      </c>
      <c r="E18" s="11">
        <v>0</v>
      </c>
      <c r="F18" s="11">
        <v>0</v>
      </c>
      <c r="G18" s="13">
        <v>0</v>
      </c>
      <c r="H18" s="13">
        <v>0</v>
      </c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1">
        <v>1</v>
      </c>
      <c r="F19" s="11">
        <v>60</v>
      </c>
      <c r="G19" s="13">
        <v>10000</v>
      </c>
      <c r="H19" s="13">
        <v>888</v>
      </c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19">
        <v>0</v>
      </c>
      <c r="F20" s="19">
        <v>0</v>
      </c>
      <c r="G20" s="13">
        <v>0</v>
      </c>
      <c r="H20" s="13">
        <v>0</v>
      </c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1">
        <v>0</v>
      </c>
      <c r="F21" s="11">
        <v>0</v>
      </c>
      <c r="G21" s="13">
        <v>0</v>
      </c>
      <c r="H21" s="13">
        <v>0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1">
        <v>0</v>
      </c>
      <c r="F22" s="11">
        <v>0</v>
      </c>
      <c r="G22" s="13">
        <v>0</v>
      </c>
      <c r="H22" s="13">
        <v>0</v>
      </c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58">
        <v>13009581</v>
      </c>
      <c r="F23" s="58">
        <v>12206331</v>
      </c>
      <c r="G23" s="13">
        <v>-207385675</v>
      </c>
      <c r="H23" s="13">
        <v>-536142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58">
        <v>16904983</v>
      </c>
      <c r="F24" s="58">
        <v>28269575</v>
      </c>
      <c r="G24" s="13">
        <v>61659958</v>
      </c>
      <c r="H24" s="13">
        <v>0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58">
        <v>3792461</v>
      </c>
      <c r="F25" s="58">
        <v>10425478</v>
      </c>
      <c r="G25" s="13">
        <v>-5140777</v>
      </c>
      <c r="H25" s="13">
        <v>-1634996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58">
        <v>80614460</v>
      </c>
      <c r="F26" s="58">
        <v>58272261</v>
      </c>
      <c r="G26" s="13">
        <v>-248477419</v>
      </c>
      <c r="H26" s="13">
        <v>-176082257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58">
        <v>13642063</v>
      </c>
      <c r="F27" s="58">
        <v>9279806</v>
      </c>
      <c r="G27" s="13">
        <v>-33000</v>
      </c>
      <c r="H27" s="13">
        <v>-182925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58">
        <v>10784029</v>
      </c>
      <c r="F28" s="58">
        <v>24437321</v>
      </c>
      <c r="G28" s="13">
        <v>-48340889</v>
      </c>
      <c r="H28" s="13">
        <v>-588750</v>
      </c>
    </row>
    <row r="29" spans="1:8">
      <c r="A29" s="16" t="s">
        <v>52</v>
      </c>
      <c r="B29" s="17" t="s">
        <v>53</v>
      </c>
      <c r="C29" s="16"/>
      <c r="D29" s="16"/>
      <c r="E29" s="59">
        <v>972832532</v>
      </c>
      <c r="F29" s="59">
        <v>824195950</v>
      </c>
      <c r="G29" s="18">
        <v>731945016</v>
      </c>
      <c r="H29" s="18">
        <v>-39889206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58">
        <v>66951657</v>
      </c>
      <c r="F30" s="11">
        <v>0</v>
      </c>
      <c r="G30" s="13">
        <v>0</v>
      </c>
      <c r="H30" s="13">
        <v>0</v>
      </c>
    </row>
    <row r="31" spans="1:8">
      <c r="A31" s="16" t="s">
        <v>56</v>
      </c>
      <c r="B31" s="17" t="s">
        <v>57</v>
      </c>
      <c r="C31" s="16"/>
      <c r="D31" s="16"/>
      <c r="E31" s="59">
        <v>905880875</v>
      </c>
      <c r="F31" s="59">
        <v>824195950</v>
      </c>
      <c r="G31" s="18">
        <v>731945016</v>
      </c>
      <c r="H31" s="18">
        <v>-39889206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1">
        <v>0</v>
      </c>
      <c r="F32" s="11">
        <v>0</v>
      </c>
      <c r="G32" s="13">
        <v>0</v>
      </c>
      <c r="H32" s="13">
        <v>0</v>
      </c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60">
        <v>826269207</v>
      </c>
      <c r="F33" s="60">
        <v>705091062</v>
      </c>
      <c r="G33" s="13">
        <v>-649674783</v>
      </c>
      <c r="H33" s="13">
        <v>-7205572</v>
      </c>
    </row>
    <row r="34" spans="1:8">
      <c r="A34" s="16" t="s">
        <v>63</v>
      </c>
      <c r="B34" s="17" t="s">
        <v>64</v>
      </c>
      <c r="C34" s="16"/>
      <c r="D34" s="16"/>
      <c r="E34" s="59">
        <v>79611668</v>
      </c>
      <c r="F34" s="59">
        <v>119104888</v>
      </c>
      <c r="G34" s="18">
        <v>82270233</v>
      </c>
      <c r="H34" s="18">
        <v>-47094778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1">
        <v>0</v>
      </c>
      <c r="F35" s="11">
        <v>0</v>
      </c>
      <c r="G35" s="13">
        <v>0</v>
      </c>
      <c r="H35" s="13">
        <v>0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1">
        <v>0</v>
      </c>
      <c r="F36" s="11">
        <v>0</v>
      </c>
      <c r="G36" s="13">
        <v>0</v>
      </c>
      <c r="H36" s="13">
        <v>0</v>
      </c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1">
        <v>0</v>
      </c>
      <c r="F37" s="11">
        <v>0</v>
      </c>
      <c r="G37" s="13">
        <v>0</v>
      </c>
      <c r="H37" s="13">
        <v>0</v>
      </c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58">
        <v>403960612</v>
      </c>
      <c r="F38" s="58">
        <v>246924819</v>
      </c>
      <c r="G38" s="13">
        <v>-106222581</v>
      </c>
      <c r="H38" s="13">
        <v>-5341375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1">
        <v>0</v>
      </c>
      <c r="F39" s="11">
        <v>0</v>
      </c>
      <c r="G39" s="13">
        <v>0</v>
      </c>
      <c r="H39" s="13">
        <v>0</v>
      </c>
    </row>
    <row r="40" spans="1:8">
      <c r="A40" s="16" t="s">
        <v>75</v>
      </c>
      <c r="B40" s="17" t="s">
        <v>76</v>
      </c>
      <c r="C40" s="16"/>
      <c r="D40" s="16"/>
      <c r="E40" s="59">
        <v>-403960612</v>
      </c>
      <c r="F40" s="59">
        <v>-246924819</v>
      </c>
      <c r="G40" s="18">
        <v>-106222581</v>
      </c>
      <c r="H40" s="18">
        <v>-5341375</v>
      </c>
    </row>
    <row r="41" spans="1:8">
      <c r="A41" s="22" t="s">
        <v>77</v>
      </c>
      <c r="B41" s="23" t="s">
        <v>78</v>
      </c>
      <c r="C41" s="22"/>
      <c r="D41" s="22"/>
      <c r="E41" s="61">
        <v>-324348944</v>
      </c>
      <c r="F41" s="61">
        <v>-127819931</v>
      </c>
      <c r="G41" s="24">
        <v>-23952348</v>
      </c>
      <c r="H41" s="24">
        <v>-52436153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1">
        <v>0</v>
      </c>
      <c r="F42" s="11">
        <v>0</v>
      </c>
      <c r="G42" s="13">
        <v>0</v>
      </c>
      <c r="H42" s="13">
        <v>0</v>
      </c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1">
        <v>0</v>
      </c>
      <c r="F43" s="11">
        <v>0</v>
      </c>
      <c r="G43" s="13">
        <v>0</v>
      </c>
      <c r="H43" s="13">
        <v>0</v>
      </c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1">
        <v>0</v>
      </c>
      <c r="F44" s="11">
        <v>0</v>
      </c>
      <c r="G44" s="13">
        <v>0</v>
      </c>
      <c r="H44" s="13">
        <v>0</v>
      </c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1">
        <v>0</v>
      </c>
      <c r="F45" s="11">
        <v>0</v>
      </c>
      <c r="G45" s="13">
        <v>0</v>
      </c>
      <c r="H45" s="13">
        <v>0</v>
      </c>
    </row>
    <row r="46" spans="1:8">
      <c r="A46" s="22" t="s">
        <v>88</v>
      </c>
      <c r="B46" s="23" t="s">
        <v>89</v>
      </c>
      <c r="C46" s="22"/>
      <c r="D46" s="22"/>
      <c r="E46" s="22">
        <v>0</v>
      </c>
      <c r="F46" s="22">
        <v>0</v>
      </c>
      <c r="G46" s="24">
        <v>0</v>
      </c>
      <c r="H46" s="24">
        <v>0</v>
      </c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1">
        <v>0</v>
      </c>
      <c r="F47" s="11">
        <v>0</v>
      </c>
      <c r="G47" s="13">
        <v>0</v>
      </c>
      <c r="H47" s="13">
        <v>0</v>
      </c>
    </row>
    <row r="48" spans="1:8">
      <c r="A48" s="11" t="s">
        <v>92</v>
      </c>
      <c r="B48" s="12" t="s">
        <v>93</v>
      </c>
      <c r="C48" s="11" t="s">
        <v>12</v>
      </c>
      <c r="D48" s="11"/>
      <c r="E48" s="58">
        <v>1699953</v>
      </c>
      <c r="F48" s="58">
        <v>2953572</v>
      </c>
      <c r="G48" s="13">
        <v>-1788833</v>
      </c>
      <c r="H48" s="13">
        <v>0</v>
      </c>
    </row>
    <row r="49" spans="1:8">
      <c r="A49" s="16" t="s">
        <v>94</v>
      </c>
      <c r="B49" s="17" t="s">
        <v>95</v>
      </c>
      <c r="C49" s="16"/>
      <c r="D49" s="16"/>
      <c r="E49" s="59">
        <v>-326048897</v>
      </c>
      <c r="F49" s="59">
        <v>-130773503</v>
      </c>
      <c r="G49" s="18">
        <v>-25741181</v>
      </c>
      <c r="H49" s="18">
        <v>-52436153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8302B17F-5425-416D-8B74-666283F2AC12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C9970F67-287C-4058-9730-8220A9DAD124}"/>
    <dataValidation allowBlank="1" showInputMessage="1" showErrorMessage="1" errorTitle="Erreur de saisie" error="La cellule ne peut prendre que du numérique." promptTitle="Information" prompt="Cette cellule ne peut prendre que du numérique," sqref="G8:H49" xr:uid="{F01CAB8C-D4DC-49AE-B664-3D3F9CF5C042}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98D06-3F10-4EFB-897F-A55460E63F1C}">
  <sheetPr codeName="Feuil17">
    <tabColor rgb="FF00B050"/>
  </sheetPr>
  <dimension ref="A1:H84"/>
  <sheetViews>
    <sheetView topLeftCell="A5" zoomScale="83"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7.7109375" style="28" bestFit="1" customWidth="1" collapsed="1"/>
    <col min="6" max="6" width="16.85546875" style="28" bestFit="1" customWidth="1" collapsed="1"/>
    <col min="7" max="8" width="14.85546875" style="27" bestFit="1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</row>
    <row r="2" spans="1:8" s="1" customFormat="1" ht="8.1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E3" s="257">
        <f>+'[3]Fiche de renseignement R1'!$V$10</f>
        <v>0</v>
      </c>
      <c r="F3" s="258"/>
    </row>
    <row r="4" spans="1:8" s="1" customFormat="1" ht="15" customHeight="1">
      <c r="A4" s="258"/>
      <c r="B4" s="258"/>
      <c r="C4" s="258"/>
      <c r="D4" s="259" t="s">
        <v>2</v>
      </c>
      <c r="E4" s="260">
        <f>+'[3]Fiche de renseignement R1'!$AH$10</f>
        <v>12</v>
      </c>
      <c r="F4" s="260"/>
    </row>
    <row r="5" spans="1:8" s="1" customFormat="1" ht="30.95" customHeight="1">
      <c r="A5" s="4" t="s">
        <v>3</v>
      </c>
      <c r="B5" s="261">
        <f>+'[3]Fiche de renseignement R1'!$J$10</f>
        <v>0</v>
      </c>
      <c r="C5" s="261"/>
      <c r="D5" s="259"/>
      <c r="E5" s="258"/>
      <c r="F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11770696251</v>
      </c>
      <c r="F8" s="10">
        <v>12724385125</v>
      </c>
      <c r="G8" s="120">
        <v>9623643793</v>
      </c>
      <c r="H8" s="120">
        <v>8282301497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530365104</v>
      </c>
      <c r="F9" s="13">
        <v>618927141</v>
      </c>
      <c r="G9" s="13">
        <v>690098032</v>
      </c>
      <c r="H9" s="13">
        <v>230114319</v>
      </c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4933977</v>
      </c>
      <c r="F10" s="13">
        <v>-7645854</v>
      </c>
      <c r="G10" s="13">
        <v>304822514</v>
      </c>
      <c r="H10" s="13">
        <v>17510838</v>
      </c>
    </row>
    <row r="11" spans="1:8" ht="18" customHeight="1">
      <c r="A11" s="16" t="s">
        <v>16</v>
      </c>
      <c r="B11" s="17" t="s">
        <v>17</v>
      </c>
      <c r="C11" s="16"/>
      <c r="D11" s="16"/>
      <c r="E11" s="18">
        <v>11235397170</v>
      </c>
      <c r="F11" s="18">
        <v>12113103838</v>
      </c>
      <c r="G11" s="18">
        <v>8628723247</v>
      </c>
      <c r="H11" s="18">
        <v>8034676340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  <c r="G12" s="13"/>
      <c r="H12" s="13"/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/>
      <c r="F13" s="13"/>
      <c r="G13" s="13"/>
      <c r="H13" s="13"/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6120286556</v>
      </c>
      <c r="F14" s="13">
        <v>7124315876</v>
      </c>
      <c r="G14" s="13">
        <v>6136256408</v>
      </c>
      <c r="H14" s="13">
        <v>3962006370</v>
      </c>
    </row>
    <row r="15" spans="1:8" ht="18" customHeight="1">
      <c r="A15" s="16" t="s">
        <v>24</v>
      </c>
      <c r="B15" s="17" t="s">
        <v>25</v>
      </c>
      <c r="C15" s="16"/>
      <c r="D15" s="16"/>
      <c r="E15" s="18">
        <v>17890982807</v>
      </c>
      <c r="F15" s="18">
        <v>19848701001</v>
      </c>
      <c r="G15" s="18">
        <v>15759900201</v>
      </c>
      <c r="H15" s="18">
        <v>12244307867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-74772584</v>
      </c>
      <c r="F16" s="13">
        <v>-56285126</v>
      </c>
      <c r="G16" s="13">
        <v>-151990024</v>
      </c>
      <c r="H16" s="13">
        <v>431006630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  <c r="G17" s="13"/>
      <c r="H17" s="13"/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14897020</v>
      </c>
      <c r="F19" s="13">
        <v>6591540</v>
      </c>
      <c r="G19" s="13">
        <v>50538728</v>
      </c>
      <c r="H19" s="13">
        <v>1324068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  <c r="G20" s="21"/>
      <c r="H20" s="21"/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265768024</v>
      </c>
      <c r="F21" s="13">
        <v>68913058</v>
      </c>
      <c r="G21" s="13">
        <v>113859017</v>
      </c>
      <c r="H21" s="13">
        <v>1324068</v>
      </c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/>
      <c r="F22" s="13"/>
      <c r="G22" s="13"/>
      <c r="H22" s="13"/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8831791420</v>
      </c>
      <c r="F23" s="13">
        <v>11095634096</v>
      </c>
      <c r="G23" s="13">
        <v>6133228522</v>
      </c>
      <c r="H23" s="13">
        <v>5161733757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/>
      <c r="F24" s="13"/>
      <c r="G24" s="13"/>
      <c r="H24" s="13"/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219451804</v>
      </c>
      <c r="F25" s="13">
        <v>182824519</v>
      </c>
      <c r="G25" s="13">
        <v>135750737</v>
      </c>
      <c r="H25" s="13">
        <v>126465752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1971774216</v>
      </c>
      <c r="F26" s="13">
        <v>2315706629</v>
      </c>
      <c r="G26" s="13">
        <v>3560407150</v>
      </c>
      <c r="H26" s="13">
        <v>2577503620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754930448</v>
      </c>
      <c r="F27" s="13">
        <v>733753917</v>
      </c>
      <c r="G27" s="13">
        <v>588135441</v>
      </c>
      <c r="H27" s="13">
        <v>666543573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151021377</v>
      </c>
      <c r="F28" s="13">
        <v>107618379</v>
      </c>
      <c r="G28" s="13">
        <v>69508985</v>
      </c>
      <c r="H28" s="13">
        <v>153495775</v>
      </c>
    </row>
    <row r="29" spans="1:8" ht="18" customHeight="1">
      <c r="A29" s="16" t="s">
        <v>52</v>
      </c>
      <c r="B29" s="17" t="s">
        <v>53</v>
      </c>
      <c r="C29" s="16"/>
      <c r="D29" s="16"/>
      <c r="E29" s="18">
        <v>5101070873</v>
      </c>
      <c r="F29" s="18">
        <v>4683275530</v>
      </c>
      <c r="G29" s="18">
        <v>4062638507</v>
      </c>
      <c r="H29" s="18">
        <v>3677997201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2316964185</v>
      </c>
      <c r="F30" s="13">
        <v>1858093499</v>
      </c>
      <c r="G30" s="13">
        <v>1476419756</v>
      </c>
      <c r="H30" s="13">
        <v>1148922993</v>
      </c>
    </row>
    <row r="31" spans="1:8" ht="18" customHeight="1">
      <c r="A31" s="16" t="s">
        <v>56</v>
      </c>
      <c r="B31" s="17" t="s">
        <v>57</v>
      </c>
      <c r="C31" s="16"/>
      <c r="D31" s="16"/>
      <c r="E31" s="18">
        <v>2784106688</v>
      </c>
      <c r="F31" s="18">
        <v>2825182031</v>
      </c>
      <c r="G31" s="18">
        <v>2586218751</v>
      </c>
      <c r="H31" s="18">
        <v>2529074208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78559787</v>
      </c>
      <c r="F32" s="13">
        <v>142523302</v>
      </c>
      <c r="G32" s="13">
        <v>47055372</v>
      </c>
      <c r="H32" s="13">
        <v>40126788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1689132123</v>
      </c>
      <c r="F33" s="21">
        <v>1451998825</v>
      </c>
      <c r="G33" s="21">
        <v>1653247858</v>
      </c>
      <c r="H33" s="21">
        <v>1667109158</v>
      </c>
    </row>
    <row r="34" spans="1:8" ht="18" customHeight="1">
      <c r="A34" s="16" t="s">
        <v>63</v>
      </c>
      <c r="B34" s="17" t="s">
        <v>64</v>
      </c>
      <c r="C34" s="16"/>
      <c r="D34" s="16"/>
      <c r="E34" s="18">
        <v>1173534352</v>
      </c>
      <c r="F34" s="18">
        <v>1515706508</v>
      </c>
      <c r="G34" s="18">
        <v>980026265</v>
      </c>
      <c r="H34" s="18">
        <v>902091838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76586</v>
      </c>
      <c r="F35" s="13"/>
      <c r="G35" s="13">
        <v>768002</v>
      </c>
      <c r="H35" s="13">
        <v>5217228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G36" s="13"/>
      <c r="H36" s="13"/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G37" s="13"/>
      <c r="H37" s="13"/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87243747</v>
      </c>
      <c r="F38" s="13">
        <v>41477800</v>
      </c>
      <c r="G38" s="13">
        <v>23156781</v>
      </c>
      <c r="H38" s="13">
        <v>46155726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207663614</v>
      </c>
      <c r="F39" s="13">
        <v>78559787</v>
      </c>
      <c r="G39" s="13">
        <v>53628356</v>
      </c>
      <c r="H39" s="13">
        <v>47055372</v>
      </c>
    </row>
    <row r="40" spans="1:8" ht="18" customHeight="1">
      <c r="A40" s="16" t="s">
        <v>75</v>
      </c>
      <c r="B40" s="17" t="s">
        <v>76</v>
      </c>
      <c r="C40" s="16"/>
      <c r="D40" s="16"/>
      <c r="E40" s="18">
        <v>-294830775</v>
      </c>
      <c r="F40" s="18">
        <v>-120037587</v>
      </c>
      <c r="G40" s="18">
        <v>-76017135</v>
      </c>
      <c r="H40" s="18">
        <v>-87993870</v>
      </c>
    </row>
    <row r="41" spans="1:8" ht="18" customHeight="1">
      <c r="A41" s="22" t="s">
        <v>77</v>
      </c>
      <c r="B41" s="23" t="s">
        <v>78</v>
      </c>
      <c r="C41" s="22"/>
      <c r="D41" s="22"/>
      <c r="E41" s="24">
        <v>878703577</v>
      </c>
      <c r="F41" s="24">
        <v>1395668921</v>
      </c>
      <c r="G41" s="24">
        <v>904009130</v>
      </c>
      <c r="H41" s="24">
        <v>814097968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24850616</v>
      </c>
      <c r="F42" s="13"/>
      <c r="G42" s="13"/>
      <c r="H42" s="13"/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  <c r="G43" s="13"/>
      <c r="H43" s="13"/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17714512</v>
      </c>
      <c r="F44" s="13"/>
      <c r="G44" s="13"/>
      <c r="H44" s="13"/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  <c r="G45" s="13"/>
      <c r="H45" s="13"/>
    </row>
    <row r="46" spans="1:8" ht="18" customHeight="1">
      <c r="A46" s="22" t="s">
        <v>88</v>
      </c>
      <c r="B46" s="23" t="s">
        <v>89</v>
      </c>
      <c r="C46" s="22"/>
      <c r="D46" s="22"/>
      <c r="E46" s="24">
        <v>7136104</v>
      </c>
      <c r="F46" s="24"/>
      <c r="G46" s="24"/>
      <c r="H46" s="24"/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3">
        <v>347501166</v>
      </c>
      <c r="F48" s="13">
        <v>460038612</v>
      </c>
      <c r="G48" s="13">
        <v>294707605</v>
      </c>
      <c r="H48" s="13">
        <v>298522859</v>
      </c>
    </row>
    <row r="49" spans="1:8" ht="18" customHeight="1">
      <c r="A49" s="16" t="s">
        <v>94</v>
      </c>
      <c r="B49" s="17" t="s">
        <v>95</v>
      </c>
      <c r="C49" s="16"/>
      <c r="D49" s="16"/>
      <c r="E49" s="18">
        <v>538338515</v>
      </c>
      <c r="F49" s="18">
        <v>935630309</v>
      </c>
      <c r="G49" s="18">
        <v>609301525</v>
      </c>
      <c r="H49" s="18">
        <v>515575109</v>
      </c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E62" s="30"/>
      <c r="F62" s="30"/>
    </row>
    <row r="63" spans="1:8" ht="12.75" customHeight="1">
      <c r="E63" s="30"/>
      <c r="F63" s="30"/>
    </row>
    <row r="64" spans="1:8" ht="12.75" customHeight="1">
      <c r="E64" s="30"/>
      <c r="F64" s="30"/>
    </row>
    <row r="65" spans="5:6" s="27" customFormat="1" ht="12.75" customHeight="1">
      <c r="E65" s="30"/>
      <c r="F65" s="30"/>
    </row>
    <row r="66" spans="5:6" s="27" customFormat="1" ht="12.75" customHeight="1">
      <c r="E66" s="30"/>
      <c r="F66" s="30"/>
    </row>
    <row r="67" spans="5:6" s="27" customFormat="1" ht="12.75" customHeight="1">
      <c r="E67" s="30"/>
      <c r="F67" s="30"/>
    </row>
    <row r="68" spans="5:6" s="27" customFormat="1" ht="12.75" customHeight="1">
      <c r="E68" s="30"/>
      <c r="F68" s="30"/>
    </row>
    <row r="69" spans="5:6" s="27" customFormat="1" ht="12.75" customHeight="1">
      <c r="E69" s="30"/>
      <c r="F69" s="30"/>
    </row>
    <row r="70" spans="5:6" s="27" customFormat="1" ht="12.75" customHeight="1">
      <c r="E70" s="30"/>
      <c r="F70" s="30"/>
    </row>
    <row r="71" spans="5:6" s="27" customFormat="1" ht="12.75" customHeight="1">
      <c r="E71" s="30"/>
      <c r="F71" s="30"/>
    </row>
    <row r="72" spans="5:6" s="27" customFormat="1" ht="12.75" customHeight="1">
      <c r="E72" s="30"/>
      <c r="F72" s="30"/>
    </row>
    <row r="73" spans="5:6" s="27" customFormat="1" ht="12.75" customHeight="1">
      <c r="E73" s="30"/>
      <c r="F73" s="30"/>
    </row>
    <row r="74" spans="5:6" s="27" customFormat="1" ht="12.75" customHeight="1">
      <c r="E74" s="30"/>
      <c r="F74" s="30"/>
    </row>
    <row r="75" spans="5:6" s="27" customFormat="1" ht="12.75" customHeight="1">
      <c r="E75" s="30"/>
      <c r="F75" s="30"/>
    </row>
    <row r="76" spans="5:6" s="27" customFormat="1" ht="12.75" customHeight="1">
      <c r="E76" s="30"/>
      <c r="F76" s="30"/>
    </row>
    <row r="77" spans="5:6" s="27" customFormat="1" ht="12.75" customHeight="1">
      <c r="E77" s="30"/>
      <c r="F77" s="30"/>
    </row>
    <row r="78" spans="5:6" s="27" customFormat="1" ht="12.75" customHeight="1">
      <c r="E78" s="30"/>
      <c r="F78" s="30"/>
    </row>
    <row r="79" spans="5:6" s="27" customFormat="1" ht="12.75" customHeight="1">
      <c r="E79" s="30"/>
      <c r="F79" s="30"/>
    </row>
    <row r="80" spans="5:6" s="27" customFormat="1" ht="12.75" customHeight="1">
      <c r="E80" s="30"/>
      <c r="F80" s="30"/>
    </row>
    <row r="81" spans="5:6" s="27" customFormat="1" ht="12.75" customHeight="1">
      <c r="E81" s="30"/>
      <c r="F81" s="30"/>
    </row>
    <row r="82" spans="5:6" s="27" customFormat="1" ht="12.75" customHeight="1">
      <c r="E82" s="30"/>
      <c r="F82" s="30"/>
    </row>
    <row r="83" spans="5:6" s="27" customFormat="1" ht="12.75" customHeight="1">
      <c r="E83" s="30"/>
      <c r="F83" s="30"/>
    </row>
    <row r="84" spans="5:6" s="27" customFormat="1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1B3FE9A-858F-481B-8A3B-169B39049E5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B4BE111A-8356-4C0B-9606-ACF697169E0D}"/>
    <dataValidation allowBlank="1" showInputMessage="1" showErrorMessage="1" errorTitle="Erreur de saisie" error="La cellule ne peut prendre que du numérique." promptTitle="Information" prompt="Cette cellule ne peut prendre que du numérique," sqref="E8:H49" xr:uid="{8867F3B5-C899-4C06-9922-24AF4D62B811}"/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CF4A6-F5DC-4A2F-B34B-A0284003F158}">
  <sheetPr codeName="Feuil18">
    <tabColor rgb="FF00B050"/>
  </sheetPr>
  <dimension ref="A7:H84"/>
  <sheetViews>
    <sheetView zoomScale="85" zoomScaleNormal="85" workbookViewId="0">
      <selection sqref="A1:XFD1"/>
    </sheetView>
  </sheetViews>
  <sheetFormatPr baseColWidth="10" defaultRowHeight="1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6.42578125" style="27" bestFit="1" customWidth="1"/>
    <col min="7" max="7" width="18.7109375" style="28" customWidth="1" collapsed="1"/>
    <col min="8" max="8" width="19.140625" style="28" bestFit="1" customWidth="1" collapsed="1"/>
  </cols>
  <sheetData>
    <row r="7" spans="1:8">
      <c r="A7" s="5" t="s">
        <v>4</v>
      </c>
      <c r="B7" s="6" t="s">
        <v>5</v>
      </c>
      <c r="C7" s="5"/>
      <c r="D7" s="5" t="s">
        <v>6</v>
      </c>
      <c r="E7" s="62">
        <v>2024</v>
      </c>
      <c r="F7" s="62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  <c r="G8" s="10"/>
      <c r="H8" s="10"/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  <c r="G9" s="13"/>
      <c r="H9" s="13"/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  <c r="G10" s="13"/>
      <c r="H10" s="13"/>
    </row>
    <row r="11" spans="1:8">
      <c r="A11" s="16" t="s">
        <v>16</v>
      </c>
      <c r="B11" s="17" t="s">
        <v>17</v>
      </c>
      <c r="C11" s="16"/>
      <c r="D11" s="16"/>
      <c r="E11" s="18"/>
      <c r="F11" s="18"/>
      <c r="G11" s="18"/>
      <c r="H11" s="18"/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3">
        <v>161370972033</v>
      </c>
      <c r="F12" s="13">
        <v>165733808700</v>
      </c>
      <c r="G12" s="13">
        <v>160002338803</v>
      </c>
      <c r="H12" s="13">
        <v>156468214865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3">
        <v>6518179</v>
      </c>
      <c r="F13" s="13">
        <v>3293816</v>
      </c>
      <c r="G13" s="13">
        <v>10064732</v>
      </c>
      <c r="H13" s="13">
        <v>49644732</v>
      </c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3">
        <v>1133279113</v>
      </c>
      <c r="F14" s="13">
        <v>1267823384</v>
      </c>
      <c r="G14" s="13">
        <v>1007745291</v>
      </c>
      <c r="H14" s="13">
        <v>1255878165</v>
      </c>
    </row>
    <row r="15" spans="1:8">
      <c r="A15" s="16" t="s">
        <v>24</v>
      </c>
      <c r="B15" s="17" t="s">
        <v>25</v>
      </c>
      <c r="C15" s="16"/>
      <c r="D15" s="16"/>
      <c r="E15" s="18">
        <v>162510769325</v>
      </c>
      <c r="F15" s="18">
        <v>167004925900</v>
      </c>
      <c r="G15" s="18">
        <f>SUM(G12:G14,G8)</f>
        <v>161020148826</v>
      </c>
      <c r="H15" s="18">
        <f>SUM(H12:H14,H8)</f>
        <v>157773737762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3">
        <v>-1272650903</v>
      </c>
      <c r="F16" s="13">
        <v>2713804461</v>
      </c>
      <c r="G16" s="13">
        <v>722619185.99999988</v>
      </c>
      <c r="H16" s="13">
        <v>-1034238394</v>
      </c>
    </row>
    <row r="17" spans="1:8">
      <c r="A17" s="11" t="s">
        <v>28</v>
      </c>
      <c r="B17" s="12" t="s">
        <v>29</v>
      </c>
      <c r="C17" s="11"/>
      <c r="D17" s="11">
        <v>21</v>
      </c>
      <c r="E17" s="13">
        <v>729661311</v>
      </c>
      <c r="F17" s="13">
        <v>483397733</v>
      </c>
      <c r="G17" s="13">
        <v>322000000</v>
      </c>
      <c r="H17" s="13">
        <v>208691666</v>
      </c>
    </row>
    <row r="18" spans="1:8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3">
        <v>43253832</v>
      </c>
      <c r="F19" s="13">
        <v>89475499</v>
      </c>
      <c r="G19" s="13">
        <v>353918311</v>
      </c>
      <c r="H19" s="13">
        <v>2732162493</v>
      </c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21">
        <v>383089242</v>
      </c>
      <c r="F20" s="21">
        <v>111348400</v>
      </c>
      <c r="G20" s="21">
        <v>111524000</v>
      </c>
      <c r="H20" s="21">
        <v>105983800</v>
      </c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3">
        <v>79734363076</v>
      </c>
      <c r="F21" s="13">
        <v>91134454136</v>
      </c>
      <c r="G21" s="13">
        <v>109444026555</v>
      </c>
      <c r="H21" s="13">
        <v>87538880005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3">
        <v>-3050936152</v>
      </c>
      <c r="F22" s="13">
        <v>463785755</v>
      </c>
      <c r="G22" s="13">
        <v>1253198334</v>
      </c>
      <c r="H22" s="13">
        <v>-2211979423</v>
      </c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3">
        <v>11841781868</v>
      </c>
      <c r="F23" s="13">
        <v>14297713214</v>
      </c>
      <c r="G23" s="13">
        <v>14091960238</v>
      </c>
      <c r="H23" s="13">
        <v>12488793768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3">
        <v>2678503643</v>
      </c>
      <c r="F24" s="13">
        <v>992792373</v>
      </c>
      <c r="G24" s="13">
        <v>-10751229476</v>
      </c>
      <c r="H24" s="13">
        <v>-6970218084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3">
        <v>1404483457</v>
      </c>
      <c r="F25" s="13">
        <v>1564034120</v>
      </c>
      <c r="G25" s="13">
        <v>1340085198</v>
      </c>
      <c r="H25" s="13">
        <v>1352587655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3">
        <v>26911028662</v>
      </c>
      <c r="F26" s="13">
        <v>27390599667</v>
      </c>
      <c r="G26" s="13">
        <v>21686722506</v>
      </c>
      <c r="H26" s="13">
        <v>24763649838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3">
        <v>1758497239</v>
      </c>
      <c r="F27" s="13">
        <v>1804804364</v>
      </c>
      <c r="G27" s="13">
        <v>2877975328</v>
      </c>
      <c r="H27" s="13">
        <v>1780936913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3">
        <v>942316177</v>
      </c>
      <c r="F28" s="13">
        <v>4823411279</v>
      </c>
      <c r="G28" s="13">
        <v>393294216</v>
      </c>
      <c r="H28" s="13">
        <v>1179697978</v>
      </c>
    </row>
    <row r="29" spans="1:8">
      <c r="A29" s="16" t="s">
        <v>52</v>
      </c>
      <c r="B29" s="17" t="s">
        <v>53</v>
      </c>
      <c r="C29" s="16"/>
      <c r="D29" s="16"/>
      <c r="E29" s="18">
        <v>40174084837</v>
      </c>
      <c r="F29" s="18">
        <v>27931357085</v>
      </c>
      <c r="G29" s="18">
        <f>G15+G16+G17+G18+G19+G20-G21-G22-G23-G24-G25-G26-G27-G28</f>
        <v>22194177424</v>
      </c>
      <c r="H29" s="18">
        <f>H15+H16+H17+H18+H19+H20-H21-H22-H23-H24-H25-H26-H27-H28</f>
        <v>39863988677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3">
        <v>14235167535</v>
      </c>
      <c r="F30" s="13">
        <v>13233827940</v>
      </c>
      <c r="G30" s="13">
        <v>12140811347</v>
      </c>
      <c r="H30" s="13">
        <v>11083922253</v>
      </c>
    </row>
    <row r="31" spans="1:8">
      <c r="A31" s="16" t="s">
        <v>56</v>
      </c>
      <c r="B31" s="17" t="s">
        <v>57</v>
      </c>
      <c r="C31" s="16"/>
      <c r="D31" s="16"/>
      <c r="E31" s="18">
        <v>25938917302</v>
      </c>
      <c r="F31" s="18">
        <v>14697529145</v>
      </c>
      <c r="G31" s="18">
        <f>G29-G30</f>
        <v>10053366077</v>
      </c>
      <c r="H31" s="18">
        <f>H29-H30</f>
        <v>28780066424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3">
        <v>946311609</v>
      </c>
      <c r="F32" s="13">
        <v>730996422</v>
      </c>
      <c r="G32" s="13">
        <v>314812926</v>
      </c>
      <c r="H32" s="13">
        <v>72368279</v>
      </c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21">
        <v>17173414283</v>
      </c>
      <c r="F33" s="21">
        <v>14478657436</v>
      </c>
      <c r="G33" s="21">
        <v>12170310936</v>
      </c>
      <c r="H33" s="21">
        <v>10708013209</v>
      </c>
    </row>
    <row r="34" spans="1:8">
      <c r="A34" s="16" t="s">
        <v>63</v>
      </c>
      <c r="B34" s="17" t="s">
        <v>64</v>
      </c>
      <c r="C34" s="16"/>
      <c r="D34" s="16"/>
      <c r="E34" s="18">
        <v>9711814628</v>
      </c>
      <c r="F34" s="18">
        <v>949868131</v>
      </c>
      <c r="G34" s="18">
        <f>G31+G32-G33</f>
        <v>-1802131933</v>
      </c>
      <c r="H34" s="18">
        <f>H31+H32-H33</f>
        <v>18144421494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3">
        <v>1711973396</v>
      </c>
      <c r="F35" s="13">
        <v>1220856</v>
      </c>
      <c r="G35" s="13">
        <v>111713634</v>
      </c>
      <c r="H35" s="13">
        <v>107334723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G36" s="13"/>
      <c r="H36" s="13">
        <v>45000000</v>
      </c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G37" s="13"/>
      <c r="H37" s="13"/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3">
        <v>2651284570</v>
      </c>
      <c r="F38" s="13">
        <v>2071381762</v>
      </c>
      <c r="G38" s="13">
        <v>3016282289</v>
      </c>
      <c r="H38" s="13">
        <v>2250160921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3">
        <v>202824610</v>
      </c>
      <c r="F39" s="13">
        <v>198870629</v>
      </c>
      <c r="G39" s="13">
        <v>174970510</v>
      </c>
      <c r="H39" s="13">
        <v>208506055</v>
      </c>
    </row>
    <row r="40" spans="1:8">
      <c r="A40" s="16" t="s">
        <v>75</v>
      </c>
      <c r="B40" s="17" t="s">
        <v>76</v>
      </c>
      <c r="C40" s="16"/>
      <c r="D40" s="16"/>
      <c r="E40" s="18">
        <v>-1142135784</v>
      </c>
      <c r="F40" s="18">
        <v>-2269031535</v>
      </c>
      <c r="G40" s="18">
        <f>G35+G36+G37-G38-G39</f>
        <v>-3079539165</v>
      </c>
      <c r="H40" s="18">
        <f>H35+H36+H37-H38-H39</f>
        <v>-2306332253</v>
      </c>
    </row>
    <row r="41" spans="1:8">
      <c r="A41" s="22" t="s">
        <v>77</v>
      </c>
      <c r="B41" s="23" t="s">
        <v>78</v>
      </c>
      <c r="C41" s="22"/>
      <c r="D41" s="22"/>
      <c r="E41" s="24">
        <v>8569678844</v>
      </c>
      <c r="F41" s="24">
        <v>-1319163404</v>
      </c>
      <c r="G41" s="24">
        <f>G34+G40</f>
        <v>-4881671098</v>
      </c>
      <c r="H41" s="24">
        <f>H34+H40</f>
        <v>15838089241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3">
        <v>25535496000</v>
      </c>
      <c r="F42" s="13"/>
      <c r="G42" s="13"/>
      <c r="H42" s="13">
        <v>60000</v>
      </c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  <c r="G43" s="13"/>
      <c r="H43" s="13"/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3">
        <v>3758447033</v>
      </c>
      <c r="F44" s="13"/>
      <c r="G44" s="13"/>
      <c r="H44" s="13">
        <v>4720068</v>
      </c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3">
        <v>12823647730</v>
      </c>
      <c r="F45" s="13">
        <v>779697573</v>
      </c>
      <c r="G45" s="13">
        <v>1212888860</v>
      </c>
      <c r="H45" s="13">
        <v>978741990</v>
      </c>
    </row>
    <row r="46" spans="1:8">
      <c r="A46" s="22" t="s">
        <v>88</v>
      </c>
      <c r="B46" s="23" t="s">
        <v>89</v>
      </c>
      <c r="C46" s="22"/>
      <c r="D46" s="22"/>
      <c r="E46" s="24">
        <v>8953401237</v>
      </c>
      <c r="F46" s="24">
        <v>-779697573</v>
      </c>
      <c r="G46" s="24">
        <f>G42+G43-G44-G45</f>
        <v>-1212888860</v>
      </c>
      <c r="H46" s="24">
        <f>H42+H43-H44-H45</f>
        <v>-983402058</v>
      </c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>
      <c r="A48" s="11" t="s">
        <v>92</v>
      </c>
      <c r="B48" s="12" t="s">
        <v>93</v>
      </c>
      <c r="C48" s="11" t="s">
        <v>12</v>
      </c>
      <c r="D48" s="11"/>
      <c r="E48" s="13"/>
      <c r="F48" s="13"/>
      <c r="G48" s="13">
        <v>-2497318846</v>
      </c>
      <c r="H48" s="13">
        <v>2497318846</v>
      </c>
    </row>
    <row r="49" spans="1:8">
      <c r="A49" s="16" t="s">
        <v>94</v>
      </c>
      <c r="B49" s="17" t="s">
        <v>95</v>
      </c>
      <c r="C49" s="16"/>
      <c r="D49" s="16"/>
      <c r="E49" s="18">
        <v>17523080081</v>
      </c>
      <c r="F49" s="18">
        <v>-2098860977</v>
      </c>
      <c r="G49" s="18">
        <f>G41+G46+G47-G48</f>
        <v>-3597241112</v>
      </c>
      <c r="H49" s="18">
        <f>H41+H46+H47-H48</f>
        <v>12357368337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E8:H49" xr:uid="{13F6993E-99F3-4E06-9FF6-716974F2D9BF}"/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D1A8-A5A5-41D8-A53B-C14ACFCD1793}">
  <sheetPr codeName="Feuil26">
    <tabColor rgb="FF00B050"/>
  </sheetPr>
  <dimension ref="A1:H84"/>
  <sheetViews>
    <sheetView topLeftCell="A28"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23.7109375" style="28" bestFit="1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1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G3" s="257">
        <f>+'[4]Fiche de renseignement R1'!$V$10</f>
        <v>45657</v>
      </c>
      <c r="H3" s="258"/>
    </row>
    <row r="4" spans="1:8" s="1" customFormat="1" ht="15" customHeight="1">
      <c r="A4" s="258" t="s">
        <v>133</v>
      </c>
      <c r="B4" s="258"/>
      <c r="C4" s="258"/>
      <c r="D4" s="259" t="s">
        <v>2</v>
      </c>
      <c r="E4" s="25"/>
      <c r="F4" s="25"/>
      <c r="G4" s="260">
        <f>+'[4]Fiche de renseignement R1'!$AH$10</f>
        <v>12</v>
      </c>
      <c r="H4" s="260"/>
    </row>
    <row r="5" spans="1:8" s="1" customFormat="1" ht="30.95" customHeight="1">
      <c r="A5" s="4" t="s">
        <v>3</v>
      </c>
      <c r="B5" s="261" t="str">
        <f>+'[4]Fiche de renseignement R1'!$J$10</f>
        <v>000325995</v>
      </c>
      <c r="C5" s="261"/>
      <c r="D5" s="259"/>
      <c r="E5" s="25"/>
      <c r="F5" s="25"/>
      <c r="G5" s="258"/>
      <c r="H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10">
        <v>0</v>
      </c>
      <c r="F8" s="110">
        <v>0</v>
      </c>
      <c r="G8" s="110">
        <v>0</v>
      </c>
      <c r="H8" s="110">
        <v>0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11">
        <v>0</v>
      </c>
      <c r="F9" s="111">
        <v>0</v>
      </c>
      <c r="G9" s="111">
        <v>0</v>
      </c>
      <c r="H9" s="111">
        <v>0</v>
      </c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11">
        <v>0</v>
      </c>
      <c r="F10" s="111">
        <v>0</v>
      </c>
      <c r="G10" s="111">
        <v>0</v>
      </c>
      <c r="H10" s="111">
        <v>0</v>
      </c>
    </row>
    <row r="11" spans="1:8" ht="18" customHeight="1">
      <c r="A11" s="16" t="s">
        <v>16</v>
      </c>
      <c r="B11" s="17" t="s">
        <v>17</v>
      </c>
      <c r="C11" s="16"/>
      <c r="D11" s="16"/>
      <c r="E11" s="112">
        <v>0</v>
      </c>
      <c r="F11" s="112">
        <v>0</v>
      </c>
      <c r="G11" s="112">
        <v>0</v>
      </c>
      <c r="H11" s="112">
        <v>0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11">
        <v>207547001732</v>
      </c>
      <c r="F12" s="111">
        <v>207243747372</v>
      </c>
      <c r="G12" s="111">
        <v>163509154430</v>
      </c>
      <c r="H12" s="111">
        <v>125183908080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11">
        <v>592000000</v>
      </c>
      <c r="F13" s="111">
        <v>686050000</v>
      </c>
      <c r="G13" s="111">
        <v>253425000</v>
      </c>
      <c r="H13" s="111">
        <v>654050000</v>
      </c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11">
        <v>136365083</v>
      </c>
      <c r="F14" s="111">
        <v>109600847</v>
      </c>
      <c r="G14" s="111">
        <v>101913137</v>
      </c>
      <c r="H14" s="111">
        <v>100743814</v>
      </c>
    </row>
    <row r="15" spans="1:8" ht="18" customHeight="1">
      <c r="A15" s="16" t="s">
        <v>24</v>
      </c>
      <c r="B15" s="17" t="s">
        <v>25</v>
      </c>
      <c r="C15" s="16"/>
      <c r="D15" s="16"/>
      <c r="E15" s="112">
        <v>208275366815</v>
      </c>
      <c r="F15" s="112">
        <v>208039398219</v>
      </c>
      <c r="G15" s="112">
        <v>163864492567</v>
      </c>
      <c r="H15" s="112">
        <v>125938701894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11">
        <v>3545112826</v>
      </c>
      <c r="F16" s="111">
        <v>11812400926</v>
      </c>
      <c r="G16" s="111">
        <v>2297580460</v>
      </c>
      <c r="H16" s="111">
        <v>-498542192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11">
        <v>177305220</v>
      </c>
      <c r="F17" s="111">
        <v>11961348468</v>
      </c>
      <c r="G17" s="111">
        <v>11005564502</v>
      </c>
      <c r="H17" s="111">
        <v>1918417390</v>
      </c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11">
        <v>0</v>
      </c>
      <c r="F18" s="111">
        <v>0</v>
      </c>
      <c r="G18" s="111">
        <v>0</v>
      </c>
      <c r="H18" s="111">
        <v>0</v>
      </c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11">
        <v>688692277</v>
      </c>
      <c r="F19" s="111">
        <v>2804887253</v>
      </c>
      <c r="G19" s="111">
        <v>13649782188</v>
      </c>
      <c r="H19" s="111">
        <v>9263913896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13">
        <v>33542700</v>
      </c>
      <c r="F20" s="113">
        <v>37623600</v>
      </c>
      <c r="G20" s="113">
        <v>39915400</v>
      </c>
      <c r="H20" s="113">
        <v>39767700</v>
      </c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11">
        <v>-19844851391</v>
      </c>
      <c r="F21" s="111">
        <v>-67048251533</v>
      </c>
      <c r="G21" s="111">
        <v>-111080892177</v>
      </c>
      <c r="H21" s="111">
        <v>-80415871801</v>
      </c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11">
        <v>-32957639797</v>
      </c>
      <c r="F22" s="111">
        <v>-9599169737</v>
      </c>
      <c r="G22" s="111">
        <v>18260947670</v>
      </c>
      <c r="H22" s="111">
        <v>27716583325</v>
      </c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11">
        <v>-64806794459</v>
      </c>
      <c r="F23" s="111">
        <v>-67638918522</v>
      </c>
      <c r="G23" s="111">
        <v>-47553956537</v>
      </c>
      <c r="H23" s="111">
        <v>-33354097300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11">
        <v>973832774</v>
      </c>
      <c r="F24" s="111">
        <v>764816058</v>
      </c>
      <c r="G24" s="111">
        <v>4516615023</v>
      </c>
      <c r="H24" s="111">
        <v>4579046188</v>
      </c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11">
        <v>-168885017</v>
      </c>
      <c r="F25" s="111">
        <v>-174097196</v>
      </c>
      <c r="G25" s="111">
        <v>-482701476</v>
      </c>
      <c r="H25" s="111">
        <v>-811559750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11">
        <v>-11992899283</v>
      </c>
      <c r="F26" s="111">
        <v>-10332744644</v>
      </c>
      <c r="G26" s="111">
        <v>-9003917867</v>
      </c>
      <c r="H26" s="111">
        <v>-8533631969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11">
        <v>-556452057</v>
      </c>
      <c r="F27" s="111">
        <v>-1353529227</v>
      </c>
      <c r="G27" s="111">
        <v>-2767921517</v>
      </c>
      <c r="H27" s="111">
        <v>-2719205249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11">
        <v>-814318090</v>
      </c>
      <c r="F28" s="111">
        <v>-1833563157</v>
      </c>
      <c r="G28" s="111">
        <v>-1835858175</v>
      </c>
      <c r="H28" s="111">
        <v>-969486697</v>
      </c>
    </row>
    <row r="29" spans="1:8" ht="18" customHeight="1">
      <c r="A29" s="16" t="s">
        <v>52</v>
      </c>
      <c r="B29" s="17" t="s">
        <v>53</v>
      </c>
      <c r="C29" s="16"/>
      <c r="D29" s="16"/>
      <c r="E29" s="112">
        <v>82552012518</v>
      </c>
      <c r="F29" s="112">
        <v>77440200508</v>
      </c>
      <c r="G29" s="112">
        <v>40909650061</v>
      </c>
      <c r="H29" s="112">
        <v>42154035435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11">
        <v>-11881745987</v>
      </c>
      <c r="F30" s="111">
        <v>-10286901744</v>
      </c>
      <c r="G30" s="111">
        <v>-8721539807</v>
      </c>
      <c r="H30" s="111">
        <v>-7860542932</v>
      </c>
    </row>
    <row r="31" spans="1:8" ht="18" customHeight="1">
      <c r="A31" s="16" t="s">
        <v>56</v>
      </c>
      <c r="B31" s="17" t="s">
        <v>57</v>
      </c>
      <c r="C31" s="16"/>
      <c r="D31" s="16"/>
      <c r="E31" s="112">
        <v>70670266531</v>
      </c>
      <c r="F31" s="112">
        <v>67153298764</v>
      </c>
      <c r="G31" s="112">
        <v>32188110254</v>
      </c>
      <c r="H31" s="112">
        <v>34293492503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11">
        <v>3283345022</v>
      </c>
      <c r="F32" s="111">
        <v>2789636865</v>
      </c>
      <c r="G32" s="111">
        <v>2370818729</v>
      </c>
      <c r="H32" s="111">
        <v>2088198775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13">
        <v>-24382888917</v>
      </c>
      <c r="F33" s="113">
        <v>-12739344773</v>
      </c>
      <c r="G33" s="113">
        <v>-12995071965</v>
      </c>
      <c r="H33" s="113">
        <v>-13073885128</v>
      </c>
    </row>
    <row r="34" spans="1:8" ht="18" customHeight="1">
      <c r="A34" s="16" t="s">
        <v>63</v>
      </c>
      <c r="B34" s="17" t="s">
        <v>64</v>
      </c>
      <c r="C34" s="16"/>
      <c r="D34" s="16"/>
      <c r="E34" s="112">
        <v>49570722636</v>
      </c>
      <c r="F34" s="112">
        <v>57203590856</v>
      </c>
      <c r="G34" s="112">
        <v>21563857018</v>
      </c>
      <c r="H34" s="112">
        <v>23307806150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11">
        <v>10326419277</v>
      </c>
      <c r="F35" s="111">
        <v>7604382953</v>
      </c>
      <c r="G35" s="111">
        <v>5465327978</v>
      </c>
      <c r="H35" s="111">
        <v>6328503690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11">
        <v>0</v>
      </c>
      <c r="F36" s="111">
        <v>0</v>
      </c>
      <c r="G36" s="111">
        <v>0</v>
      </c>
      <c r="H36" s="111">
        <v>0</v>
      </c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11">
        <v>0</v>
      </c>
      <c r="F37" s="111">
        <v>0</v>
      </c>
      <c r="G37" s="111">
        <v>0</v>
      </c>
      <c r="H37" s="111">
        <v>0</v>
      </c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11">
        <v>-19791441524</v>
      </c>
      <c r="F38" s="111">
        <v>-19437299011</v>
      </c>
      <c r="G38" s="111">
        <v>-17552912915</v>
      </c>
      <c r="H38" s="111">
        <v>-2639573602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11">
        <v>0</v>
      </c>
      <c r="F39" s="111">
        <v>0</v>
      </c>
      <c r="G39" s="111">
        <v>0</v>
      </c>
      <c r="H39" s="111">
        <v>0</v>
      </c>
    </row>
    <row r="40" spans="1:8" ht="18" customHeight="1">
      <c r="A40" s="16" t="s">
        <v>75</v>
      </c>
      <c r="B40" s="17" t="s">
        <v>76</v>
      </c>
      <c r="C40" s="16"/>
      <c r="D40" s="16"/>
      <c r="E40" s="112">
        <v>-9465022247</v>
      </c>
      <c r="F40" s="112">
        <v>-11832916058</v>
      </c>
      <c r="G40" s="112">
        <v>-12087584937</v>
      </c>
      <c r="H40" s="112">
        <v>3688930088</v>
      </c>
    </row>
    <row r="41" spans="1:8" ht="18" customHeight="1">
      <c r="A41" s="22" t="s">
        <v>77</v>
      </c>
      <c r="B41" s="23" t="s">
        <v>78</v>
      </c>
      <c r="C41" s="22"/>
      <c r="D41" s="22"/>
      <c r="E41" s="114">
        <v>40105700389</v>
      </c>
      <c r="F41" s="114">
        <v>45370674798</v>
      </c>
      <c r="G41" s="114">
        <v>9476272081</v>
      </c>
      <c r="H41" s="114">
        <v>26996736238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11">
        <v>45423730</v>
      </c>
      <c r="F42" s="111">
        <v>9322035</v>
      </c>
      <c r="G42" s="111">
        <v>18347458</v>
      </c>
      <c r="H42" s="111">
        <v>13711866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11">
        <v>0</v>
      </c>
      <c r="F43" s="111">
        <v>0</v>
      </c>
      <c r="G43" s="111">
        <v>0</v>
      </c>
      <c r="H43" s="111">
        <v>0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11">
        <v>0</v>
      </c>
      <c r="F44" s="111">
        <v>0</v>
      </c>
      <c r="G44" s="111">
        <v>0</v>
      </c>
      <c r="H44" s="111">
        <v>0</v>
      </c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11">
        <v>0</v>
      </c>
      <c r="F45" s="111">
        <v>0</v>
      </c>
      <c r="G45" s="111">
        <v>-20852792</v>
      </c>
      <c r="H45" s="111">
        <v>-12216971</v>
      </c>
    </row>
    <row r="46" spans="1:8" ht="18" customHeight="1">
      <c r="A46" s="22" t="s">
        <v>88</v>
      </c>
      <c r="B46" s="23" t="s">
        <v>89</v>
      </c>
      <c r="C46" s="22"/>
      <c r="D46" s="22"/>
      <c r="E46" s="114">
        <v>45423730</v>
      </c>
      <c r="F46" s="114">
        <v>9322035</v>
      </c>
      <c r="G46" s="114">
        <v>-2505334</v>
      </c>
      <c r="H46" s="114">
        <v>1494895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11">
        <v>0</v>
      </c>
      <c r="F47" s="111">
        <v>0</v>
      </c>
      <c r="G47" s="111">
        <v>0</v>
      </c>
      <c r="H47" s="111">
        <v>0</v>
      </c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11">
        <v>0</v>
      </c>
      <c r="F48" s="111">
        <v>0</v>
      </c>
      <c r="G48" s="111">
        <v>0</v>
      </c>
      <c r="H48" s="111">
        <v>0</v>
      </c>
    </row>
    <row r="49" spans="1:8" ht="18" customHeight="1">
      <c r="A49" s="16" t="s">
        <v>94</v>
      </c>
      <c r="B49" s="17" t="s">
        <v>95</v>
      </c>
      <c r="C49" s="16"/>
      <c r="D49" s="16"/>
      <c r="E49" s="112">
        <v>40151124119</v>
      </c>
      <c r="F49" s="112">
        <v>45379996833</v>
      </c>
      <c r="G49" s="112">
        <v>9473766747</v>
      </c>
      <c r="H49" s="112">
        <v>26998231133</v>
      </c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30"/>
      <c r="H62" s="30"/>
    </row>
    <row r="63" spans="1:8" ht="12.75" customHeight="1">
      <c r="G63" s="30"/>
      <c r="H63" s="30"/>
    </row>
    <row r="64" spans="1:8" ht="12.75" customHeight="1">
      <c r="G64" s="30"/>
      <c r="H64" s="30"/>
    </row>
    <row r="65" spans="7:8" ht="12.75" customHeight="1">
      <c r="G65" s="30"/>
      <c r="H65" s="30"/>
    </row>
    <row r="66" spans="7:8" ht="12.75" customHeight="1">
      <c r="G66" s="30"/>
      <c r="H66" s="30"/>
    </row>
    <row r="67" spans="7:8" ht="12.75" customHeight="1">
      <c r="G67" s="30"/>
      <c r="H67" s="30"/>
    </row>
    <row r="68" spans="7:8" ht="12.75" customHeight="1">
      <c r="G68" s="30"/>
      <c r="H68" s="30"/>
    </row>
    <row r="69" spans="7:8" ht="12.75" customHeight="1">
      <c r="G69" s="30"/>
      <c r="H69" s="30"/>
    </row>
    <row r="70" spans="7:8" ht="12.75" customHeight="1">
      <c r="G70" s="30"/>
      <c r="H70" s="30"/>
    </row>
    <row r="71" spans="7:8" ht="12.75" customHeight="1">
      <c r="G71" s="30"/>
      <c r="H71" s="30"/>
    </row>
    <row r="72" spans="7:8" ht="12.75" customHeight="1">
      <c r="G72" s="30"/>
      <c r="H72" s="30"/>
    </row>
    <row r="73" spans="7:8" ht="12.75" customHeight="1">
      <c r="G73" s="30"/>
      <c r="H73" s="30"/>
    </row>
    <row r="74" spans="7:8" ht="12.75" customHeight="1">
      <c r="G74" s="30"/>
      <c r="H74" s="30"/>
    </row>
    <row r="75" spans="7:8" ht="12.75" customHeight="1">
      <c r="G75" s="30"/>
      <c r="H75" s="30"/>
    </row>
    <row r="76" spans="7:8" ht="12.75" customHeight="1">
      <c r="G76" s="30"/>
      <c r="H76" s="30"/>
    </row>
    <row r="77" spans="7:8" ht="12.75" customHeight="1">
      <c r="G77" s="30"/>
      <c r="H77" s="30"/>
    </row>
    <row r="78" spans="7:8" ht="12.75" customHeight="1">
      <c r="G78" s="30"/>
      <c r="H78" s="30"/>
    </row>
    <row r="79" spans="7:8" ht="12.75" customHeight="1">
      <c r="G79" s="30"/>
      <c r="H79" s="30"/>
    </row>
    <row r="80" spans="7:8" ht="12.75" customHeight="1">
      <c r="G80" s="30"/>
      <c r="H80" s="30"/>
    </row>
    <row r="81" spans="7:8" ht="12.75" customHeight="1">
      <c r="G81" s="30"/>
      <c r="H81" s="30"/>
    </row>
    <row r="82" spans="7:8" ht="12.75" customHeight="1">
      <c r="G82" s="30"/>
      <c r="H82" s="30"/>
    </row>
    <row r="83" spans="7:8" ht="12.75" customHeight="1">
      <c r="G83" s="30"/>
      <c r="H83" s="30"/>
    </row>
    <row r="84" spans="7:8" ht="12.75" customHeight="1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71634869-2C04-4691-9FD8-7B49A3C3EBAA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DA584E3E-86C6-4806-8F9D-EC5695ADFA60}"/>
    <dataValidation allowBlank="1" showInputMessage="1" showErrorMessage="1" errorTitle="Erreur de saisie" error="La cellule ne peut prendre que du numérique." promptTitle="Information" prompt="Cette cellule ne peut prendre que du numérique," sqref="E8:H49" xr:uid="{131ABD15-A68D-48EA-9AA0-DDBB76A25EBA}"/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A3B51-D314-4C1B-8F66-F85DEC73C3B1}">
  <sheetPr codeName="Feuil29">
    <tabColor rgb="FF00B050"/>
  </sheetPr>
  <dimension ref="A1:H84"/>
  <sheetViews>
    <sheetView topLeftCell="A38" workbookViewId="0">
      <selection activeCell="H16" sqref="H16"/>
    </sheetView>
  </sheetViews>
  <sheetFormatPr baseColWidth="10" defaultColWidth="10.28515625" defaultRowHeight="12.7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5.7109375" style="28" customWidth="1" collapsed="1"/>
    <col min="6" max="7" width="15.7109375" style="28" customWidth="1"/>
    <col min="8" max="8" width="15.7109375" style="28" customWidth="1" collapsed="1"/>
    <col min="9" max="16384" width="10.28515625" style="27" collapsed="1"/>
  </cols>
  <sheetData>
    <row r="1" spans="1:8" s="1" customFormat="1" ht="24.4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1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E3" s="257">
        <f>+'[5]Fiche de renseignement R1'!$V$10</f>
        <v>45657</v>
      </c>
      <c r="F3" s="257"/>
      <c r="G3" s="257"/>
      <c r="H3" s="258"/>
    </row>
    <row r="4" spans="1:8" s="1" customFormat="1" ht="15" customHeight="1">
      <c r="A4" s="258" t="s">
        <v>129</v>
      </c>
      <c r="B4" s="258"/>
      <c r="C4" s="258"/>
      <c r="D4" s="259" t="s">
        <v>2</v>
      </c>
      <c r="E4" s="260">
        <f>+'[5]Fiche de renseignement R1'!$AH$10</f>
        <v>12</v>
      </c>
      <c r="F4" s="260"/>
      <c r="G4" s="260"/>
      <c r="H4" s="260"/>
    </row>
    <row r="5" spans="1:8" s="1" customFormat="1" ht="31.15" customHeight="1">
      <c r="A5" s="4" t="s">
        <v>3</v>
      </c>
      <c r="B5" s="261" t="str">
        <f>+'[5]Fiche de renseignement R1'!$J$10</f>
        <v xml:space="preserve">000028797 </v>
      </c>
      <c r="C5" s="261"/>
      <c r="D5" s="259"/>
      <c r="E5" s="258"/>
      <c r="F5" s="258"/>
      <c r="G5" s="258"/>
      <c r="H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4872000</v>
      </c>
      <c r="F8" s="10">
        <v>55042000</v>
      </c>
      <c r="G8" s="10">
        <v>9591209</v>
      </c>
      <c r="H8" s="10">
        <v>32567814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-9782220</v>
      </c>
      <c r="F9" s="13">
        <v>-26550000</v>
      </c>
      <c r="G9" s="13">
        <v>-14060620</v>
      </c>
      <c r="H9" s="13"/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9126340</v>
      </c>
      <c r="F10" s="13">
        <v>0</v>
      </c>
      <c r="G10" s="13">
        <v>0</v>
      </c>
      <c r="H10" s="13">
        <v>-18948000</v>
      </c>
    </row>
    <row r="11" spans="1:8" ht="18" customHeight="1">
      <c r="A11" s="16" t="s">
        <v>16</v>
      </c>
      <c r="B11" s="17" t="s">
        <v>17</v>
      </c>
      <c r="C11" s="16"/>
      <c r="D11" s="16"/>
      <c r="E11" s="18">
        <v>4216120</v>
      </c>
      <c r="F11" s="18">
        <v>28492000</v>
      </c>
      <c r="G11" s="18">
        <v>-4469411</v>
      </c>
      <c r="H11" s="18">
        <v>13619814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4369859187</v>
      </c>
      <c r="F12" s="13">
        <v>4677813303</v>
      </c>
      <c r="G12" s="13">
        <v>3562453679</v>
      </c>
      <c r="H12" s="13">
        <v>7547834379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510698706</v>
      </c>
      <c r="F13" s="13">
        <v>561153717</v>
      </c>
      <c r="G13" s="13">
        <v>402106207</v>
      </c>
      <c r="H13" s="13">
        <v>529360936</v>
      </c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27593244</v>
      </c>
      <c r="F14" s="13">
        <v>27593244</v>
      </c>
      <c r="G14" s="13">
        <v>28135344</v>
      </c>
      <c r="H14" s="13">
        <v>30324205</v>
      </c>
    </row>
    <row r="15" spans="1:8" ht="18" customHeight="1">
      <c r="A15" s="16" t="s">
        <v>24</v>
      </c>
      <c r="B15" s="17" t="s">
        <v>25</v>
      </c>
      <c r="C15" s="16"/>
      <c r="D15" s="16"/>
      <c r="E15" s="18">
        <v>4913023137</v>
      </c>
      <c r="F15" s="18">
        <v>5321602264</v>
      </c>
      <c r="G15" s="18">
        <v>4002286439</v>
      </c>
      <c r="H15" s="18">
        <v>8140087334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-49063489</v>
      </c>
      <c r="F16" s="13">
        <v>330326749</v>
      </c>
      <c r="G16" s="13">
        <v>123654048</v>
      </c>
      <c r="H16" s="13">
        <v>76516869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  <c r="G17" s="13"/>
      <c r="H17" s="13"/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3"/>
      <c r="F18" s="13"/>
      <c r="G18" s="13"/>
      <c r="H18" s="13"/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15959905</v>
      </c>
      <c r="F19" s="13">
        <v>9948633</v>
      </c>
      <c r="G19" s="13">
        <v>7540599</v>
      </c>
      <c r="H19" s="13">
        <v>10691787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  <c r="G20" s="21"/>
      <c r="H20" s="21"/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/>
      <c r="F21" s="13"/>
      <c r="G21" s="13"/>
      <c r="H21" s="13"/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79176380</v>
      </c>
      <c r="F22" s="13">
        <v>18904523</v>
      </c>
      <c r="G22" s="13">
        <v>-266861481</v>
      </c>
      <c r="H22" s="13">
        <v>-158293378</v>
      </c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-803996681</v>
      </c>
      <c r="F23" s="13">
        <v>-663898559</v>
      </c>
      <c r="G23" s="13">
        <v>-602490841</v>
      </c>
      <c r="H23" s="13">
        <v>-605407530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25813098</v>
      </c>
      <c r="F24" s="13">
        <v>-47184027</v>
      </c>
      <c r="G24" s="13">
        <v>-8249672</v>
      </c>
      <c r="H24" s="13">
        <v>-612780865</v>
      </c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-406810833</v>
      </c>
      <c r="F25" s="13">
        <v>-654738151</v>
      </c>
      <c r="G25" s="13">
        <v>-669264084</v>
      </c>
      <c r="H25" s="13">
        <v>-4785670942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-2525092868</v>
      </c>
      <c r="F26" s="13">
        <v>-2813981324</v>
      </c>
      <c r="G26" s="13">
        <v>-1872046375</v>
      </c>
      <c r="H26" s="13">
        <v>-1815474056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-158771053</v>
      </c>
      <c r="F27" s="13">
        <v>-356592941</v>
      </c>
      <c r="G27" s="13">
        <v>-96948384</v>
      </c>
      <c r="H27" s="13">
        <v>-75322543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-31353273</v>
      </c>
      <c r="F28" s="13">
        <v>-21273378</v>
      </c>
      <c r="G28" s="13">
        <v>-23453336</v>
      </c>
      <c r="H28" s="13">
        <v>-164083387</v>
      </c>
    </row>
    <row r="29" spans="1:8" ht="18" customHeight="1">
      <c r="A29" s="16" t="s">
        <v>52</v>
      </c>
      <c r="B29" s="17" t="s">
        <v>53</v>
      </c>
      <c r="C29" s="16"/>
      <c r="D29" s="16"/>
      <c r="E29" s="18">
        <v>1058228443</v>
      </c>
      <c r="F29" s="18">
        <v>1096563789</v>
      </c>
      <c r="G29" s="18">
        <v>580106293</v>
      </c>
      <c r="H29" s="18">
        <v>-8684711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-1041608527</v>
      </c>
      <c r="F30" s="13">
        <v>-1016390100</v>
      </c>
      <c r="G30" s="13">
        <v>-771443937</v>
      </c>
      <c r="H30" s="13">
        <v>-819664250</v>
      </c>
    </row>
    <row r="31" spans="1:8" ht="18" customHeight="1">
      <c r="A31" s="16" t="s">
        <v>56</v>
      </c>
      <c r="B31" s="17" t="s">
        <v>57</v>
      </c>
      <c r="C31" s="16"/>
      <c r="D31" s="16"/>
      <c r="E31" s="18">
        <v>16619916</v>
      </c>
      <c r="F31" s="18">
        <v>80173689</v>
      </c>
      <c r="G31" s="18">
        <v>-191337644</v>
      </c>
      <c r="H31" s="18">
        <v>-828348961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27893265</v>
      </c>
      <c r="F32" s="13">
        <v>31340056</v>
      </c>
      <c r="G32" s="13">
        <v>28437869</v>
      </c>
      <c r="H32" s="13">
        <v>651046672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-257573898</v>
      </c>
      <c r="F33" s="21">
        <v>-245699707</v>
      </c>
      <c r="G33" s="21">
        <v>-234417091</v>
      </c>
      <c r="H33" s="21">
        <v>-250327809</v>
      </c>
    </row>
    <row r="34" spans="1:8" ht="18" customHeight="1">
      <c r="A34" s="16" t="s">
        <v>63</v>
      </c>
      <c r="B34" s="17" t="s">
        <v>64</v>
      </c>
      <c r="C34" s="16"/>
      <c r="D34" s="16"/>
      <c r="E34" s="18">
        <v>-213060717</v>
      </c>
      <c r="F34" s="18">
        <v>-134185962</v>
      </c>
      <c r="G34" s="18">
        <v>-397316866</v>
      </c>
      <c r="H34" s="18">
        <v>-427630098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1017644</v>
      </c>
      <c r="F35" s="13">
        <v>10545146</v>
      </c>
      <c r="G35" s="13">
        <v>29816161</v>
      </c>
      <c r="H35" s="13">
        <v>31169444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G36" s="13"/>
      <c r="H36" s="13"/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G37" s="13"/>
      <c r="H37" s="13"/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-41799017</v>
      </c>
      <c r="F38" s="13">
        <v>-39624830</v>
      </c>
      <c r="G38" s="13">
        <v>-36639607</v>
      </c>
      <c r="H38" s="13">
        <v>-24340182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>
        <v>0</v>
      </c>
      <c r="G39" s="13">
        <v>0</v>
      </c>
      <c r="H39" s="13">
        <v>0</v>
      </c>
    </row>
    <row r="40" spans="1:8" ht="18" customHeight="1">
      <c r="A40" s="16" t="s">
        <v>75</v>
      </c>
      <c r="B40" s="17" t="s">
        <v>76</v>
      </c>
      <c r="C40" s="16"/>
      <c r="D40" s="16"/>
      <c r="E40" s="18">
        <v>-40781373</v>
      </c>
      <c r="F40" s="18">
        <v>-29079684</v>
      </c>
      <c r="G40" s="18">
        <v>-6823446</v>
      </c>
      <c r="H40" s="18">
        <v>6829262</v>
      </c>
    </row>
    <row r="41" spans="1:8" ht="18" customHeight="1">
      <c r="A41" s="22" t="s">
        <v>77</v>
      </c>
      <c r="B41" s="23" t="s">
        <v>78</v>
      </c>
      <c r="C41" s="22"/>
      <c r="D41" s="22"/>
      <c r="E41" s="24">
        <v>-253842090</v>
      </c>
      <c r="F41" s="24">
        <v>-163265646</v>
      </c>
      <c r="G41" s="24">
        <v>-404140312</v>
      </c>
      <c r="H41" s="24">
        <v>-420800836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>
        <v>4000000</v>
      </c>
      <c r="G42" s="13">
        <v>1092741400</v>
      </c>
      <c r="H42" s="13">
        <v>142810271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1590930</v>
      </c>
      <c r="F43" s="13">
        <v>16662088</v>
      </c>
      <c r="G43" s="13">
        <v>1000000</v>
      </c>
      <c r="H43" s="13">
        <v>12715983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-3729900</v>
      </c>
      <c r="F44" s="13">
        <v>-2000000</v>
      </c>
      <c r="G44" s="13">
        <v>-14706952</v>
      </c>
      <c r="H44" s="13"/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-22259400</v>
      </c>
      <c r="F45" s="13">
        <v>-1344999</v>
      </c>
      <c r="G45" s="13">
        <v>0</v>
      </c>
      <c r="H45" s="13">
        <v>-4309849</v>
      </c>
    </row>
    <row r="46" spans="1:8" ht="18" customHeight="1">
      <c r="A46" s="22" t="s">
        <v>88</v>
      </c>
      <c r="B46" s="23" t="s">
        <v>89</v>
      </c>
      <c r="C46" s="22"/>
      <c r="D46" s="22"/>
      <c r="E46" s="24">
        <v>-24398370</v>
      </c>
      <c r="F46" s="24">
        <v>17317089</v>
      </c>
      <c r="G46" s="24">
        <v>1079034448</v>
      </c>
      <c r="H46" s="24">
        <v>151216405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G47" s="13"/>
      <c r="H47" s="13"/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3">
        <v>-5000000</v>
      </c>
      <c r="F48" s="13">
        <v>-5000000</v>
      </c>
      <c r="G48" s="13">
        <v>-319089854</v>
      </c>
      <c r="H48" s="13">
        <v>-5000000</v>
      </c>
    </row>
    <row r="49" spans="1:8" ht="18" customHeight="1">
      <c r="A49" s="16" t="s">
        <v>94</v>
      </c>
      <c r="B49" s="17" t="s">
        <v>95</v>
      </c>
      <c r="C49" s="16"/>
      <c r="D49" s="16"/>
      <c r="E49" s="18">
        <v>-283240460</v>
      </c>
      <c r="F49" s="18">
        <v>-150948557</v>
      </c>
      <c r="G49" s="18">
        <v>355804282</v>
      </c>
      <c r="H49" s="18">
        <v>-274584431</v>
      </c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E62" s="30"/>
      <c r="F62" s="30"/>
      <c r="G62" s="30"/>
      <c r="H62" s="30"/>
    </row>
    <row r="63" spans="1:8" ht="12.75" customHeight="1">
      <c r="E63" s="30"/>
      <c r="F63" s="30"/>
      <c r="G63" s="30"/>
      <c r="H63" s="30"/>
    </row>
    <row r="64" spans="1:8" ht="12.75" customHeight="1">
      <c r="E64" s="30"/>
      <c r="F64" s="30"/>
      <c r="G64" s="30"/>
      <c r="H64" s="30"/>
    </row>
    <row r="65" spans="5:8" ht="12.75" customHeight="1">
      <c r="E65" s="30"/>
      <c r="F65" s="30"/>
      <c r="G65" s="30"/>
      <c r="H65" s="30"/>
    </row>
    <row r="66" spans="5:8" ht="12.75" customHeight="1">
      <c r="E66" s="30"/>
      <c r="F66" s="30"/>
      <c r="G66" s="30"/>
      <c r="H66" s="30"/>
    </row>
    <row r="67" spans="5:8" ht="12.75" customHeight="1">
      <c r="E67" s="30"/>
      <c r="F67" s="30"/>
      <c r="G67" s="30"/>
      <c r="H67" s="30"/>
    </row>
    <row r="68" spans="5:8" ht="12.75" customHeight="1">
      <c r="E68" s="30"/>
      <c r="F68" s="30"/>
      <c r="G68" s="30"/>
      <c r="H68" s="30"/>
    </row>
    <row r="69" spans="5:8" ht="12.75" customHeight="1">
      <c r="E69" s="30"/>
      <c r="F69" s="30"/>
      <c r="G69" s="30"/>
      <c r="H69" s="30"/>
    </row>
    <row r="70" spans="5:8" ht="12.75" customHeight="1">
      <c r="E70" s="30"/>
      <c r="F70" s="30"/>
      <c r="G70" s="30"/>
      <c r="H70" s="30"/>
    </row>
    <row r="71" spans="5:8" ht="12.75" customHeight="1">
      <c r="E71" s="30"/>
      <c r="F71" s="30"/>
      <c r="G71" s="30"/>
      <c r="H71" s="30"/>
    </row>
    <row r="72" spans="5:8" ht="12.75" customHeight="1">
      <c r="E72" s="30"/>
      <c r="F72" s="30"/>
      <c r="G72" s="30"/>
      <c r="H72" s="30"/>
    </row>
    <row r="73" spans="5:8" ht="12.75" customHeight="1">
      <c r="E73" s="30"/>
      <c r="F73" s="30"/>
      <c r="G73" s="30"/>
      <c r="H73" s="30"/>
    </row>
    <row r="74" spans="5:8" ht="12.75" customHeight="1">
      <c r="E74" s="30"/>
      <c r="F74" s="30"/>
      <c r="G74" s="30"/>
      <c r="H74" s="30"/>
    </row>
    <row r="75" spans="5:8" ht="12.75" customHeight="1">
      <c r="E75" s="30"/>
      <c r="F75" s="30"/>
      <c r="G75" s="30"/>
      <c r="H75" s="30"/>
    </row>
    <row r="76" spans="5:8" ht="12.75" customHeight="1">
      <c r="E76" s="30"/>
      <c r="F76" s="30"/>
      <c r="G76" s="30"/>
      <c r="H76" s="30"/>
    </row>
    <row r="77" spans="5:8" ht="12.75" customHeight="1">
      <c r="E77" s="30"/>
      <c r="F77" s="30"/>
      <c r="G77" s="30"/>
      <c r="H77" s="30"/>
    </row>
    <row r="78" spans="5:8" ht="12.75" customHeight="1">
      <c r="E78" s="30"/>
      <c r="F78" s="30"/>
      <c r="G78" s="30"/>
      <c r="H78" s="30"/>
    </row>
    <row r="79" spans="5:8" ht="12.75" customHeight="1">
      <c r="E79" s="30"/>
      <c r="F79" s="30"/>
      <c r="G79" s="30"/>
      <c r="H79" s="30"/>
    </row>
    <row r="80" spans="5:8" ht="12.75" customHeight="1">
      <c r="E80" s="30"/>
      <c r="F80" s="30"/>
      <c r="G80" s="30"/>
      <c r="H80" s="30"/>
    </row>
    <row r="81" spans="5:8" ht="12.75" customHeight="1">
      <c r="E81" s="30"/>
      <c r="F81" s="30"/>
      <c r="G81" s="30"/>
      <c r="H81" s="30"/>
    </row>
    <row r="82" spans="5:8" ht="12.75" customHeight="1">
      <c r="E82" s="30"/>
      <c r="F82" s="30"/>
      <c r="G82" s="30"/>
      <c r="H82" s="30"/>
    </row>
    <row r="83" spans="5:8" ht="12.75" customHeight="1">
      <c r="E83" s="30"/>
      <c r="F83" s="30"/>
      <c r="G83" s="30"/>
      <c r="H83" s="30"/>
    </row>
    <row r="84" spans="5:8" ht="12.75" customHeight="1">
      <c r="E84" s="30"/>
      <c r="F84" s="30"/>
      <c r="G84" s="30"/>
      <c r="H84" s="30"/>
    </row>
  </sheetData>
  <mergeCells count="7">
    <mergeCell ref="A1:H1"/>
    <mergeCell ref="A3:C3"/>
    <mergeCell ref="E3:H3"/>
    <mergeCell ref="A4:C4"/>
    <mergeCell ref="D4:D5"/>
    <mergeCell ref="E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45227D69-27BF-4214-9DDA-3A0D47EFA2DA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4675D168-4D25-45EF-A777-D8EC4A1F4D59}"/>
    <dataValidation allowBlank="1" showInputMessage="1" showErrorMessage="1" errorTitle="Erreur de saisie" error="La cellule ne peut prendre que du numérique." promptTitle="Information" prompt="Cette cellule ne peut prendre que du numérique," sqref="E8:H49" xr:uid="{D9F1FC45-CE9F-4307-B3C2-0054FD8D830E}"/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6944E-77F0-4E74-859F-2501B9E08DBA}">
  <sheetPr codeName="Feuil60">
    <tabColor rgb="FF00B050"/>
  </sheetPr>
  <dimension ref="A1:H84"/>
  <sheetViews>
    <sheetView workbookViewId="0">
      <selection activeCell="H16" sqref="H16"/>
    </sheetView>
  </sheetViews>
  <sheetFormatPr baseColWidth="10" defaultColWidth="10.28515625" defaultRowHeight="12.75"/>
  <cols>
    <col min="1" max="1" width="19.28515625" style="26" customWidth="1" collapsed="1"/>
    <col min="2" max="2" width="56" style="27" bestFit="1" customWidth="1" collapsed="1"/>
    <col min="3" max="3" width="6" style="27" customWidth="1" collapsed="1"/>
    <col min="4" max="4" width="21" style="27" customWidth="1" collapsed="1"/>
    <col min="5" max="5" width="31.140625" style="28" customWidth="1" collapsed="1"/>
    <col min="6" max="6" width="29.42578125" style="28" customWidth="1" collapsed="1"/>
    <col min="7" max="7" width="12.7109375" style="27" bestFit="1" customWidth="1" collapsed="1"/>
    <col min="8" max="8" width="13.7109375" style="27" bestFit="1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</row>
    <row r="2" spans="1:8" s="1" customFormat="1" ht="8.1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E3" s="257">
        <f>+'[6]Fiche de renseignement R1'!$V$10</f>
        <v>45657</v>
      </c>
      <c r="F3" s="258"/>
    </row>
    <row r="4" spans="1:8" s="1" customFormat="1" ht="15" customHeight="1">
      <c r="A4" s="258" t="str">
        <f>+'[6]BILAN PAYSAGE'!A4:C4</f>
        <v>SOCIETE DE CONCASSAGE ET DE BETON</v>
      </c>
      <c r="B4" s="258"/>
      <c r="C4" s="258"/>
      <c r="D4" s="259" t="s">
        <v>2</v>
      </c>
      <c r="E4" s="260">
        <f>+'[6]Fiche de renseignement R1'!$AH$10</f>
        <v>12</v>
      </c>
      <c r="F4" s="260"/>
    </row>
    <row r="5" spans="1:8" s="1" customFormat="1" ht="30.95" customHeight="1">
      <c r="A5" s="4" t="s">
        <v>3</v>
      </c>
      <c r="B5" s="261" t="str">
        <f>'[6]Page de garde'!N51</f>
        <v>006389507</v>
      </c>
      <c r="C5" s="261"/>
      <c r="D5" s="259"/>
      <c r="E5" s="258"/>
      <c r="F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10">
        <v>0</v>
      </c>
      <c r="F8" s="110">
        <v>0</v>
      </c>
      <c r="G8" s="10">
        <v>0</v>
      </c>
      <c r="H8" s="10">
        <v>0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11">
        <v>0</v>
      </c>
      <c r="F9" s="111">
        <v>0</v>
      </c>
      <c r="G9" s="13">
        <v>0</v>
      </c>
      <c r="H9" s="13">
        <v>0</v>
      </c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11">
        <v>0</v>
      </c>
      <c r="F10" s="111">
        <v>0</v>
      </c>
      <c r="G10" s="13">
        <v>0</v>
      </c>
      <c r="H10" s="13">
        <v>0</v>
      </c>
    </row>
    <row r="11" spans="1:8" ht="18" customHeight="1">
      <c r="A11" s="16" t="s">
        <v>16</v>
      </c>
      <c r="B11" s="17" t="s">
        <v>17</v>
      </c>
      <c r="C11" s="16"/>
      <c r="D11" s="16"/>
      <c r="E11" s="112">
        <v>0</v>
      </c>
      <c r="F11" s="112">
        <v>0</v>
      </c>
      <c r="G11" s="18">
        <v>0</v>
      </c>
      <c r="H11" s="18">
        <v>0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11">
        <v>382459488</v>
      </c>
      <c r="F12" s="111">
        <v>411877964</v>
      </c>
      <c r="G12" s="13">
        <v>941421361</v>
      </c>
      <c r="H12" s="13">
        <v>1296774732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11">
        <v>0</v>
      </c>
      <c r="F13" s="111">
        <v>0</v>
      </c>
      <c r="G13" s="13">
        <v>0</v>
      </c>
      <c r="H13" s="13">
        <v>0</v>
      </c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11">
        <v>0</v>
      </c>
      <c r="F14" s="111">
        <v>0</v>
      </c>
      <c r="G14" s="13">
        <v>0</v>
      </c>
      <c r="H14" s="13">
        <v>0</v>
      </c>
    </row>
    <row r="15" spans="1:8" ht="18" customHeight="1">
      <c r="A15" s="16" t="s">
        <v>24</v>
      </c>
      <c r="B15" s="17" t="s">
        <v>25</v>
      </c>
      <c r="C15" s="16"/>
      <c r="D15" s="16"/>
      <c r="E15" s="112">
        <v>382459488</v>
      </c>
      <c r="F15" s="112">
        <v>411877964</v>
      </c>
      <c r="G15" s="18">
        <v>941421361</v>
      </c>
      <c r="H15" s="18">
        <v>1296774732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11">
        <v>369914000</v>
      </c>
      <c r="F16" s="111">
        <v>636997251</v>
      </c>
      <c r="G16" s="13">
        <v>298781728</v>
      </c>
      <c r="H16" s="13">
        <v>120537021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11">
        <v>0</v>
      </c>
      <c r="F17" s="111">
        <v>0</v>
      </c>
      <c r="G17" s="13">
        <v>0</v>
      </c>
      <c r="H17" s="13">
        <v>0</v>
      </c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11">
        <v>0</v>
      </c>
      <c r="F18" s="111">
        <v>0</v>
      </c>
      <c r="G18" s="13">
        <v>0</v>
      </c>
      <c r="H18" s="13">
        <v>0</v>
      </c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11">
        <v>0</v>
      </c>
      <c r="F19" s="111">
        <v>0</v>
      </c>
      <c r="G19" s="13">
        <v>0</v>
      </c>
      <c r="H19" s="13">
        <v>0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13">
        <v>0</v>
      </c>
      <c r="F20" s="113">
        <v>0</v>
      </c>
      <c r="G20" s="21">
        <v>0</v>
      </c>
      <c r="H20" s="21">
        <v>0</v>
      </c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11">
        <v>0</v>
      </c>
      <c r="F21" s="111">
        <v>0</v>
      </c>
      <c r="G21" s="13">
        <v>-313665000</v>
      </c>
      <c r="H21" s="13">
        <v>-220171081</v>
      </c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11">
        <v>-13199600</v>
      </c>
      <c r="F22" s="111">
        <v>-73794000</v>
      </c>
      <c r="G22" s="13">
        <v>31889769</v>
      </c>
      <c r="H22" s="13">
        <v>-11510769</v>
      </c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11">
        <v>-343331046</v>
      </c>
      <c r="F23" s="111">
        <v>-581049753</v>
      </c>
      <c r="G23" s="13">
        <v>-461767392</v>
      </c>
      <c r="H23" s="13">
        <v>-363782541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11">
        <v>0</v>
      </c>
      <c r="F24" s="111">
        <v>0</v>
      </c>
      <c r="G24" s="13">
        <v>0</v>
      </c>
      <c r="H24" s="13">
        <v>0</v>
      </c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11">
        <v>-4450</v>
      </c>
      <c r="F25" s="111">
        <v>-8228680</v>
      </c>
      <c r="G25" s="13">
        <v>-5954497</v>
      </c>
      <c r="H25" s="13">
        <v>-4425500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11">
        <v>-25528552</v>
      </c>
      <c r="F26" s="111">
        <v>-101618166</v>
      </c>
      <c r="G26" s="13">
        <v>-75952079</v>
      </c>
      <c r="H26" s="13">
        <v>-97035005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11">
        <v>-49959222</v>
      </c>
      <c r="F27" s="111">
        <v>-8500373</v>
      </c>
      <c r="G27" s="13">
        <v>-22589466</v>
      </c>
      <c r="H27" s="13">
        <v>-31534446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11">
        <v>0</v>
      </c>
      <c r="F28" s="111">
        <v>0</v>
      </c>
      <c r="G28" s="13">
        <v>0</v>
      </c>
      <c r="H28" s="13">
        <v>0</v>
      </c>
    </row>
    <row r="29" spans="1:8" ht="18" customHeight="1">
      <c r="A29" s="16" t="s">
        <v>52</v>
      </c>
      <c r="B29" s="17" t="s">
        <v>53</v>
      </c>
      <c r="C29" s="16"/>
      <c r="D29" s="16"/>
      <c r="E29" s="112">
        <v>320350618</v>
      </c>
      <c r="F29" s="112">
        <v>275684243</v>
      </c>
      <c r="G29" s="18">
        <v>392164424</v>
      </c>
      <c r="H29" s="18">
        <v>688852411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11">
        <v>-111570538</v>
      </c>
      <c r="F30" s="111">
        <v>-206702172</v>
      </c>
      <c r="G30" s="13">
        <v>-200674719</v>
      </c>
      <c r="H30" s="13">
        <v>-130132124</v>
      </c>
    </row>
    <row r="31" spans="1:8" ht="18" customHeight="1">
      <c r="A31" s="16" t="s">
        <v>56</v>
      </c>
      <c r="B31" s="17" t="s">
        <v>57</v>
      </c>
      <c r="C31" s="16"/>
      <c r="D31" s="16"/>
      <c r="E31" s="112">
        <v>208780080</v>
      </c>
      <c r="F31" s="112">
        <v>68982071</v>
      </c>
      <c r="G31" s="18">
        <v>191489705</v>
      </c>
      <c r="H31" s="18">
        <v>558720287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11">
        <v>3495293</v>
      </c>
      <c r="F32" s="111">
        <v>5300000</v>
      </c>
      <c r="G32" s="13">
        <v>2090600</v>
      </c>
      <c r="H32" s="13">
        <v>1956340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13">
        <v>-196354730</v>
      </c>
      <c r="F33" s="113">
        <v>-190724991</v>
      </c>
      <c r="G33" s="21">
        <v>-168453999</v>
      </c>
      <c r="H33" s="21">
        <v>-151840848</v>
      </c>
    </row>
    <row r="34" spans="1:8" ht="18" customHeight="1">
      <c r="A34" s="16" t="s">
        <v>63</v>
      </c>
      <c r="B34" s="17" t="s">
        <v>64</v>
      </c>
      <c r="C34" s="16"/>
      <c r="D34" s="16"/>
      <c r="E34" s="112">
        <v>15920643</v>
      </c>
      <c r="F34" s="112">
        <v>-116442920</v>
      </c>
      <c r="G34" s="18">
        <v>25126306</v>
      </c>
      <c r="H34" s="18">
        <v>408835779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11">
        <v>0</v>
      </c>
      <c r="F35" s="111">
        <v>0</v>
      </c>
      <c r="G35" s="13">
        <v>0</v>
      </c>
      <c r="H35" s="13">
        <v>0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11">
        <v>0</v>
      </c>
      <c r="F36" s="111">
        <v>0</v>
      </c>
      <c r="G36" s="13">
        <v>0</v>
      </c>
      <c r="H36" s="13">
        <v>0</v>
      </c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11">
        <v>0</v>
      </c>
      <c r="F37" s="111">
        <v>0</v>
      </c>
      <c r="G37" s="13">
        <v>0</v>
      </c>
      <c r="H37" s="13">
        <v>0</v>
      </c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11">
        <v>0</v>
      </c>
      <c r="F38" s="111">
        <v>0</v>
      </c>
      <c r="G38" s="13">
        <v>0</v>
      </c>
      <c r="H38" s="13">
        <v>0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11">
        <v>0</v>
      </c>
      <c r="F39" s="111">
        <v>0</v>
      </c>
      <c r="G39" s="13">
        <v>0</v>
      </c>
      <c r="H39" s="13">
        <v>0</v>
      </c>
    </row>
    <row r="40" spans="1:8" ht="18" customHeight="1">
      <c r="A40" s="16" t="s">
        <v>75</v>
      </c>
      <c r="B40" s="17" t="s">
        <v>76</v>
      </c>
      <c r="C40" s="16"/>
      <c r="D40" s="16"/>
      <c r="E40" s="112">
        <v>0</v>
      </c>
      <c r="F40" s="112">
        <v>0</v>
      </c>
      <c r="G40" s="18">
        <v>0</v>
      </c>
      <c r="H40" s="18">
        <v>0</v>
      </c>
    </row>
    <row r="41" spans="1:8" ht="18" customHeight="1">
      <c r="A41" s="22" t="s">
        <v>77</v>
      </c>
      <c r="B41" s="23" t="s">
        <v>78</v>
      </c>
      <c r="C41" s="22"/>
      <c r="D41" s="22"/>
      <c r="E41" s="114">
        <v>15920643</v>
      </c>
      <c r="F41" s="114">
        <v>-116442920</v>
      </c>
      <c r="G41" s="24">
        <v>25126306</v>
      </c>
      <c r="H41" s="24">
        <v>408835779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11">
        <v>0</v>
      </c>
      <c r="F42" s="111">
        <v>0</v>
      </c>
      <c r="G42" s="13">
        <v>0</v>
      </c>
      <c r="H42" s="13">
        <v>0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11">
        <v>0</v>
      </c>
      <c r="F43" s="111">
        <v>0</v>
      </c>
      <c r="G43" s="13">
        <v>0</v>
      </c>
      <c r="H43" s="13">
        <v>0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11">
        <v>0</v>
      </c>
      <c r="F44" s="111">
        <v>0</v>
      </c>
      <c r="G44" s="13">
        <v>0</v>
      </c>
      <c r="H44" s="13">
        <v>0</v>
      </c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11">
        <v>0</v>
      </c>
      <c r="F45" s="111">
        <v>0</v>
      </c>
      <c r="G45" s="13">
        <v>0</v>
      </c>
      <c r="H45" s="13">
        <v>0</v>
      </c>
    </row>
    <row r="46" spans="1:8" ht="18" customHeight="1">
      <c r="A46" s="22" t="s">
        <v>88</v>
      </c>
      <c r="B46" s="23" t="s">
        <v>89</v>
      </c>
      <c r="C46" s="22"/>
      <c r="D46" s="22"/>
      <c r="E46" s="114">
        <v>0</v>
      </c>
      <c r="F46" s="114">
        <v>0</v>
      </c>
      <c r="G46" s="24">
        <v>0</v>
      </c>
      <c r="H46" s="24">
        <v>0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11">
        <v>0</v>
      </c>
      <c r="F47" s="111">
        <v>0</v>
      </c>
      <c r="G47" s="13">
        <v>0</v>
      </c>
      <c r="H47" s="13">
        <v>0</v>
      </c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11">
        <v>-1912297</v>
      </c>
      <c r="F48" s="111">
        <v>-2059390</v>
      </c>
      <c r="G48" s="13">
        <v>-5526171</v>
      </c>
      <c r="H48" s="13">
        <v>-31672554</v>
      </c>
    </row>
    <row r="49" spans="1:8" ht="18" customHeight="1">
      <c r="A49" s="16" t="s">
        <v>94</v>
      </c>
      <c r="B49" s="17" t="s">
        <v>95</v>
      </c>
      <c r="C49" s="16"/>
      <c r="D49" s="16"/>
      <c r="E49" s="112">
        <v>14008346</v>
      </c>
      <c r="F49" s="112">
        <v>-118502310</v>
      </c>
      <c r="G49" s="18">
        <v>19600135</v>
      </c>
      <c r="H49" s="18">
        <v>377163225</v>
      </c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E62" s="30"/>
      <c r="F62" s="30"/>
    </row>
    <row r="63" spans="1:8" ht="12.75" customHeight="1">
      <c r="E63" s="30"/>
      <c r="F63" s="30"/>
    </row>
    <row r="64" spans="1:8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H49" xr:uid="{3224E696-1FD9-4955-9C1C-9CF95BA88E53}"/>
    <dataValidation allowBlank="1" showInputMessage="1" showErrorMessage="1" errorTitle="Erreur de saisie" error="La cellule ne peut prendre que du numérique." promptTitle="Information" prompt="Cette cellule ne peut prendre que du numérique." sqref="D1:F6" xr:uid="{43A9F239-14CF-4CC5-BD31-AA7EE0C770CD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07544D6-F513-40A6-8BA4-66FA8D7EC57C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9">
    <tabColor theme="8"/>
  </sheetPr>
  <dimension ref="A7:I49"/>
  <sheetViews>
    <sheetView topLeftCell="A14" workbookViewId="0">
      <selection activeCell="F49" sqref="F49"/>
    </sheetView>
  </sheetViews>
  <sheetFormatPr baseColWidth="10" defaultColWidth="9.140625" defaultRowHeight="15"/>
  <cols>
    <col min="1" max="1" width="9" bestFit="1" customWidth="1"/>
    <col min="2" max="2" width="24" customWidth="1"/>
    <col min="6" max="7" width="16.7109375" bestFit="1" customWidth="1"/>
    <col min="8" max="9" width="16.7109375" customWidth="1"/>
  </cols>
  <sheetData>
    <row r="7" spans="1:9">
      <c r="A7" s="5" t="s">
        <v>4</v>
      </c>
      <c r="B7" s="6" t="s">
        <v>5</v>
      </c>
      <c r="C7" s="5"/>
      <c r="D7" s="5" t="s">
        <v>6</v>
      </c>
      <c r="E7" s="5"/>
      <c r="F7" s="7">
        <v>2024</v>
      </c>
      <c r="G7" s="7">
        <v>2023</v>
      </c>
      <c r="H7" s="7">
        <v>2022</v>
      </c>
      <c r="I7" s="7">
        <v>2021</v>
      </c>
    </row>
    <row r="8" spans="1:9">
      <c r="A8" s="8" t="s">
        <v>7</v>
      </c>
      <c r="B8" s="9" t="s">
        <v>8</v>
      </c>
      <c r="C8" s="8" t="s">
        <v>9</v>
      </c>
      <c r="D8" s="8">
        <v>21</v>
      </c>
      <c r="E8" s="8"/>
      <c r="F8" s="10"/>
      <c r="G8" s="10"/>
      <c r="H8" s="10"/>
      <c r="I8" s="10"/>
    </row>
    <row r="9" spans="1:9">
      <c r="A9" s="11" t="s">
        <v>10</v>
      </c>
      <c r="B9" s="12" t="s">
        <v>11</v>
      </c>
      <c r="C9" s="11" t="s">
        <v>12</v>
      </c>
      <c r="D9" s="11">
        <v>22</v>
      </c>
      <c r="E9" s="11"/>
      <c r="F9" s="13"/>
      <c r="G9" s="13"/>
      <c r="H9" s="13"/>
      <c r="I9" s="13"/>
    </row>
    <row r="10" spans="1:9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3"/>
      <c r="G10" s="13"/>
      <c r="H10" s="13"/>
      <c r="I10" s="13"/>
    </row>
    <row r="11" spans="1:9">
      <c r="A11" s="16" t="s">
        <v>16</v>
      </c>
      <c r="B11" s="17" t="s">
        <v>17</v>
      </c>
      <c r="C11" s="16"/>
      <c r="D11" s="16"/>
      <c r="E11" s="16"/>
      <c r="F11" s="18"/>
      <c r="G11" s="18"/>
      <c r="H11" s="18"/>
      <c r="I11" s="18"/>
    </row>
    <row r="12" spans="1:9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3"/>
      <c r="G12" s="13"/>
      <c r="H12" s="13"/>
      <c r="I12" s="13"/>
    </row>
    <row r="13" spans="1:9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3"/>
      <c r="G13" s="13"/>
      <c r="H13" s="13"/>
      <c r="I13" s="13"/>
    </row>
    <row r="14" spans="1:9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3"/>
      <c r="G14" s="13"/>
      <c r="H14" s="13"/>
      <c r="I14" s="13"/>
    </row>
    <row r="15" spans="1:9">
      <c r="A15" s="16" t="s">
        <v>24</v>
      </c>
      <c r="B15" s="17" t="s">
        <v>25</v>
      </c>
      <c r="C15" s="16"/>
      <c r="D15" s="16"/>
      <c r="E15" s="16"/>
      <c r="F15" s="18"/>
      <c r="G15" s="18"/>
      <c r="H15" s="18"/>
      <c r="I15" s="18"/>
    </row>
    <row r="16" spans="1:9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3"/>
      <c r="G16" s="13"/>
      <c r="H16" s="13"/>
      <c r="I16" s="13"/>
    </row>
    <row r="17" spans="1:9">
      <c r="A17" s="11" t="s">
        <v>28</v>
      </c>
      <c r="B17" s="12" t="s">
        <v>29</v>
      </c>
      <c r="C17" s="11"/>
      <c r="D17" s="11">
        <v>21</v>
      </c>
      <c r="E17" s="11"/>
      <c r="F17" s="13"/>
      <c r="G17" s="13"/>
      <c r="H17" s="13"/>
      <c r="I17" s="13"/>
    </row>
    <row r="18" spans="1:9">
      <c r="A18" s="11" t="s">
        <v>30</v>
      </c>
      <c r="B18" s="12" t="s">
        <v>31</v>
      </c>
      <c r="C18" s="11"/>
      <c r="D18" s="11">
        <v>21</v>
      </c>
      <c r="E18" s="11"/>
      <c r="F18" s="13"/>
      <c r="G18" s="13"/>
      <c r="H18" s="13"/>
      <c r="I18" s="13"/>
    </row>
    <row r="19" spans="1:9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3">
        <v>65622333340</v>
      </c>
      <c r="G19" s="13">
        <v>29451422956</v>
      </c>
      <c r="H19" s="13"/>
      <c r="I19" s="13"/>
    </row>
    <row r="20" spans="1:9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21">
        <v>330683633109</v>
      </c>
      <c r="G20" s="21">
        <v>227337887846</v>
      </c>
      <c r="H20" s="21"/>
      <c r="I20" s="21"/>
    </row>
    <row r="21" spans="1:9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3">
        <v>0</v>
      </c>
      <c r="G21" s="13"/>
      <c r="H21" s="13"/>
      <c r="I21" s="13"/>
    </row>
    <row r="22" spans="1:9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3">
        <v>0</v>
      </c>
      <c r="G22" s="13"/>
      <c r="H22" s="13"/>
      <c r="I22" s="13"/>
    </row>
    <row r="23" spans="1:9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3">
        <v>-87568982052</v>
      </c>
      <c r="G23" s="13">
        <v>-3526394713</v>
      </c>
      <c r="H23" s="13"/>
      <c r="I23" s="13"/>
    </row>
    <row r="24" spans="1:9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3">
        <v>0</v>
      </c>
      <c r="G24" s="13"/>
      <c r="H24" s="13"/>
      <c r="I24" s="13"/>
    </row>
    <row r="25" spans="1:9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3">
        <v>-2165578529</v>
      </c>
      <c r="G25" s="13">
        <v>-1230374694</v>
      </c>
      <c r="H25" s="13"/>
      <c r="I25" s="13"/>
    </row>
    <row r="26" spans="1:9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3">
        <v>-297596047735</v>
      </c>
      <c r="G26" s="13">
        <v>-243636854441</v>
      </c>
      <c r="H26" s="13"/>
      <c r="I26" s="13"/>
    </row>
    <row r="27" spans="1:9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3">
        <v>-2917019660</v>
      </c>
      <c r="G27" s="13">
        <v>-997401988</v>
      </c>
      <c r="H27" s="13"/>
      <c r="I27" s="13"/>
    </row>
    <row r="28" spans="1:9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3">
        <v>-2938842171</v>
      </c>
      <c r="G28" s="13">
        <v>-1464607258</v>
      </c>
      <c r="H28" s="13"/>
      <c r="I28" s="13"/>
    </row>
    <row r="29" spans="1:9">
      <c r="A29" s="16" t="s">
        <v>52</v>
      </c>
      <c r="B29" s="17" t="s">
        <v>53</v>
      </c>
      <c r="C29" s="16"/>
      <c r="D29" s="16"/>
      <c r="E29" s="16"/>
      <c r="F29" s="18">
        <f>SUM(F16:F28)</f>
        <v>3119496302</v>
      </c>
      <c r="G29" s="18">
        <f>SUM(G16:G28)</f>
        <v>5933677708</v>
      </c>
      <c r="H29" s="18"/>
      <c r="I29" s="18"/>
    </row>
    <row r="30" spans="1:9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3">
        <v>-36970372772</v>
      </c>
      <c r="G30" s="13">
        <v>-20776813944</v>
      </c>
      <c r="H30" s="13"/>
      <c r="I30" s="13"/>
    </row>
    <row r="31" spans="1:9">
      <c r="A31" s="16" t="s">
        <v>56</v>
      </c>
      <c r="B31" s="17" t="s">
        <v>57</v>
      </c>
      <c r="C31" s="16"/>
      <c r="D31" s="16"/>
      <c r="E31" s="16"/>
      <c r="F31" s="18">
        <f>+F29+F30</f>
        <v>-33850876470</v>
      </c>
      <c r="G31" s="18">
        <f>+G29+G30</f>
        <v>-14843136236</v>
      </c>
      <c r="H31" s="18"/>
      <c r="I31" s="18"/>
    </row>
    <row r="32" spans="1:9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3"/>
      <c r="G32" s="13"/>
      <c r="H32" s="13"/>
      <c r="I32" s="13"/>
    </row>
    <row r="33" spans="1:9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21">
        <v>-406497759063</v>
      </c>
      <c r="G33" s="21">
        <v>-329782576463</v>
      </c>
      <c r="H33" s="21"/>
      <c r="I33" s="21"/>
    </row>
    <row r="34" spans="1:9">
      <c r="A34" s="16" t="s">
        <v>63</v>
      </c>
      <c r="B34" s="17" t="s">
        <v>64</v>
      </c>
      <c r="C34" s="16"/>
      <c r="D34" s="16"/>
      <c r="E34" s="16"/>
      <c r="F34" s="18">
        <f>+F31+F32+F33</f>
        <v>-440348635533</v>
      </c>
      <c r="G34" s="18">
        <f>+G31+G32+G33</f>
        <v>-344625712699</v>
      </c>
      <c r="H34" s="18"/>
      <c r="I34" s="18"/>
    </row>
    <row r="35" spans="1:9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3">
        <v>1369726877</v>
      </c>
      <c r="G35" s="13">
        <v>1304961305</v>
      </c>
      <c r="H35" s="13"/>
      <c r="I35" s="13"/>
    </row>
    <row r="36" spans="1:9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3">
        <v>0</v>
      </c>
      <c r="G36" s="13"/>
      <c r="H36" s="13"/>
      <c r="I36" s="13"/>
    </row>
    <row r="37" spans="1:9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3">
        <v>0</v>
      </c>
      <c r="G37" s="13"/>
      <c r="H37" s="13"/>
      <c r="I37" s="13"/>
    </row>
    <row r="38" spans="1:9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3">
        <v>-87159583259</v>
      </c>
      <c r="G38" s="13">
        <v>-53027838152</v>
      </c>
      <c r="H38" s="13"/>
      <c r="I38" s="13"/>
    </row>
    <row r="39" spans="1:9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3">
        <v>0</v>
      </c>
      <c r="G39" s="13"/>
      <c r="H39" s="13"/>
      <c r="I39" s="13"/>
    </row>
    <row r="40" spans="1:9">
      <c r="A40" s="16" t="s">
        <v>75</v>
      </c>
      <c r="B40" s="17" t="s">
        <v>76</v>
      </c>
      <c r="C40" s="16"/>
      <c r="D40" s="16"/>
      <c r="E40" s="16"/>
      <c r="F40" s="18">
        <f>SUM(F35:F39)</f>
        <v>-85789856382</v>
      </c>
      <c r="G40" s="18">
        <f>SUM(G35:G39)</f>
        <v>-51722876847</v>
      </c>
      <c r="H40" s="18"/>
      <c r="I40" s="18"/>
    </row>
    <row r="41" spans="1:9">
      <c r="A41" s="22" t="s">
        <v>77</v>
      </c>
      <c r="B41" s="23" t="s">
        <v>78</v>
      </c>
      <c r="C41" s="22"/>
      <c r="D41" s="22"/>
      <c r="E41" s="22"/>
      <c r="F41" s="24">
        <f>+F34+F40</f>
        <v>-526138491915</v>
      </c>
      <c r="G41" s="24">
        <f>+G34+G40</f>
        <v>-396348589546</v>
      </c>
      <c r="H41" s="24"/>
      <c r="I41" s="24"/>
    </row>
    <row r="42" spans="1:9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3"/>
      <c r="G42" s="13"/>
      <c r="H42" s="13"/>
      <c r="I42" s="13"/>
    </row>
    <row r="43" spans="1:9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3">
        <v>453476563</v>
      </c>
      <c r="G43" s="13">
        <v>16394527194</v>
      </c>
      <c r="H43" s="13"/>
      <c r="I43" s="13"/>
    </row>
    <row r="44" spans="1:9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3">
        <v>42850163</v>
      </c>
      <c r="G44" s="13">
        <v>-203497705675</v>
      </c>
      <c r="H44" s="13"/>
      <c r="I44" s="13"/>
    </row>
    <row r="45" spans="1:9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3"/>
      <c r="G45" s="13"/>
      <c r="H45" s="13"/>
      <c r="I45" s="13"/>
    </row>
    <row r="46" spans="1:9">
      <c r="A46" s="22" t="s">
        <v>88</v>
      </c>
      <c r="B46" s="23" t="s">
        <v>89</v>
      </c>
      <c r="C46" s="22"/>
      <c r="D46" s="22"/>
      <c r="E46" s="22"/>
      <c r="F46" s="24">
        <f>SUM(F42:F45)</f>
        <v>496326726</v>
      </c>
      <c r="G46" s="24">
        <f>SUM(G42:G45)</f>
        <v>-187103178481</v>
      </c>
      <c r="H46" s="24"/>
      <c r="I46" s="24"/>
    </row>
    <row r="47" spans="1:9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3"/>
      <c r="G47" s="13"/>
      <c r="H47" s="13"/>
      <c r="I47" s="13"/>
    </row>
    <row r="48" spans="1:9">
      <c r="A48" s="11" t="s">
        <v>92</v>
      </c>
      <c r="B48" s="12" t="s">
        <v>93</v>
      </c>
      <c r="C48" s="11" t="s">
        <v>12</v>
      </c>
      <c r="D48" s="11"/>
      <c r="E48" s="11"/>
      <c r="F48" s="13"/>
      <c r="G48" s="13"/>
      <c r="H48" s="13"/>
      <c r="I48" s="13"/>
    </row>
    <row r="49" spans="1:9">
      <c r="A49" s="16" t="s">
        <v>94</v>
      </c>
      <c r="B49" s="17" t="s">
        <v>95</v>
      </c>
      <c r="C49" s="16"/>
      <c r="D49" s="16"/>
      <c r="E49" s="16"/>
      <c r="F49" s="18">
        <f>+F41+F46</f>
        <v>-525642165189</v>
      </c>
      <c r="G49" s="18">
        <f>+G41+G46</f>
        <v>-583451768027</v>
      </c>
      <c r="H49" s="18"/>
      <c r="I49" s="18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F8:I49" xr:uid="{DFD4204E-9473-4E4F-97DA-8A39FA7843FA}"/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F47-1BCC-4610-9971-86FC20D866B7}">
  <sheetPr codeName="Feuil21">
    <tabColor theme="8"/>
  </sheetPr>
  <dimension ref="A1:H84"/>
  <sheetViews>
    <sheetView zoomScale="93" workbookViewId="0">
      <selection activeCell="H16" sqref="H16"/>
    </sheetView>
  </sheetViews>
  <sheetFormatPr baseColWidth="10" defaultRowHeight="1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42578125" style="27" customWidth="1" collapsed="1"/>
    <col min="5" max="6" width="16.140625" style="27" bestFit="1" customWidth="1"/>
    <col min="7" max="8" width="17.28515625" style="28" bestFit="1" customWidth="1" collapsed="1"/>
  </cols>
  <sheetData>
    <row r="1" spans="1:8" ht="18.75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>
      <c r="A2" s="1"/>
      <c r="B2" s="1"/>
      <c r="C2" s="2"/>
      <c r="D2" s="1"/>
      <c r="E2" s="1"/>
      <c r="F2" s="1"/>
      <c r="G2" s="1"/>
      <c r="H2" s="1"/>
    </row>
    <row r="3" spans="1:8">
      <c r="A3" s="256" t="s">
        <v>96</v>
      </c>
      <c r="B3" s="256"/>
      <c r="C3" s="256"/>
      <c r="D3" s="1" t="s">
        <v>1</v>
      </c>
      <c r="E3" s="1"/>
      <c r="F3" s="1"/>
      <c r="G3" s="257" t="s">
        <v>114</v>
      </c>
      <c r="H3" s="258"/>
    </row>
    <row r="4" spans="1:8">
      <c r="A4" s="262" t="s">
        <v>115</v>
      </c>
      <c r="B4" s="258"/>
      <c r="C4" s="258"/>
      <c r="D4" s="259" t="s">
        <v>2</v>
      </c>
      <c r="E4" s="25"/>
      <c r="F4" s="25"/>
      <c r="G4" s="260">
        <v>12</v>
      </c>
      <c r="H4" s="260"/>
    </row>
    <row r="5" spans="1:8" ht="38.25">
      <c r="A5" s="4" t="s">
        <v>3</v>
      </c>
      <c r="B5" s="261" t="s">
        <v>116</v>
      </c>
      <c r="C5" s="261"/>
      <c r="D5" s="259"/>
      <c r="E5" s="25"/>
      <c r="F5" s="25"/>
      <c r="G5" s="258"/>
      <c r="H5" s="258"/>
    </row>
    <row r="6" spans="1:8">
      <c r="A6" s="1"/>
      <c r="B6" s="1"/>
      <c r="C6" s="2"/>
      <c r="D6" s="1"/>
      <c r="E6" s="1"/>
      <c r="F6" s="1"/>
      <c r="G6" s="1"/>
      <c r="H6" s="1"/>
    </row>
    <row r="7" spans="1:8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10">
        <v>292733792353</v>
      </c>
      <c r="F8" s="10">
        <v>292079202273</v>
      </c>
      <c r="G8" s="10"/>
      <c r="H8" s="10"/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3">
        <v>-284606689387</v>
      </c>
      <c r="F9" s="13">
        <v>-276018837641</v>
      </c>
      <c r="G9" s="13"/>
      <c r="H9" s="13"/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-6051834653</v>
      </c>
      <c r="G10" s="13"/>
      <c r="H10" s="13"/>
    </row>
    <row r="11" spans="1:8">
      <c r="A11" s="16" t="s">
        <v>16</v>
      </c>
      <c r="B11" s="17" t="s">
        <v>17</v>
      </c>
      <c r="C11" s="16"/>
      <c r="D11" s="16"/>
      <c r="E11" s="18">
        <v>8127102966</v>
      </c>
      <c r="F11" s="18">
        <v>10008529979</v>
      </c>
      <c r="G11" s="18"/>
      <c r="H11" s="18"/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3">
        <v>623377561399</v>
      </c>
      <c r="F12" s="13">
        <v>616981194645</v>
      </c>
      <c r="G12" s="13"/>
      <c r="H12" s="13"/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13"/>
      <c r="H13" s="13"/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3">
        <v>6833798383</v>
      </c>
      <c r="F14" s="13">
        <v>4218403360</v>
      </c>
      <c r="G14" s="13"/>
      <c r="H14" s="13"/>
    </row>
    <row r="15" spans="1:8">
      <c r="A15" s="16" t="s">
        <v>24</v>
      </c>
      <c r="B15" s="17" t="s">
        <v>25</v>
      </c>
      <c r="C15" s="16"/>
      <c r="D15" s="16"/>
      <c r="E15" s="18">
        <v>922945152135</v>
      </c>
      <c r="F15" s="18">
        <v>913278800278</v>
      </c>
      <c r="G15" s="18"/>
      <c r="H15" s="18"/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3">
        <v>-1185684887</v>
      </c>
      <c r="F16" s="13">
        <v>3717146964</v>
      </c>
      <c r="G16" s="13"/>
      <c r="H16" s="13"/>
    </row>
    <row r="17" spans="1:8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/>
      <c r="H17" s="13"/>
    </row>
    <row r="18" spans="1:8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/>
      <c r="H18" s="13"/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3">
        <v>9000647763</v>
      </c>
      <c r="F19" s="13">
        <v>9030284291</v>
      </c>
      <c r="G19" s="13"/>
      <c r="H19" s="13"/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  <c r="G20" s="13"/>
      <c r="H20" s="13"/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3">
        <v>-552713596707</v>
      </c>
      <c r="F21" s="13">
        <v>-567731437248</v>
      </c>
      <c r="G21" s="13"/>
      <c r="H21" s="13"/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3">
        <v>-1419132879</v>
      </c>
      <c r="F22" s="13">
        <v>26227480661</v>
      </c>
      <c r="G22" s="13"/>
      <c r="H22" s="13"/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3">
        <v>-3014047329</v>
      </c>
      <c r="F23" s="13">
        <v>-2804392792</v>
      </c>
      <c r="G23" s="13"/>
      <c r="H23" s="13"/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3">
        <v>642934736</v>
      </c>
      <c r="F24" s="13">
        <v>-411325538</v>
      </c>
      <c r="G24" s="13"/>
      <c r="H24" s="13"/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3">
        <v>-495369447</v>
      </c>
      <c r="F25" s="13">
        <v>-495872493</v>
      </c>
      <c r="G25" s="13"/>
      <c r="H25" s="13"/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3">
        <v>-19587537196</v>
      </c>
      <c r="F26" s="13">
        <v>-18940656719</v>
      </c>
      <c r="G26" s="13"/>
      <c r="H26" s="13"/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3">
        <v>-4788692867</v>
      </c>
      <c r="F27" s="13">
        <v>-6876856152</v>
      </c>
      <c r="G27" s="13"/>
      <c r="H27" s="13"/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3">
        <v>-6871784282</v>
      </c>
      <c r="F28" s="13">
        <v>-13040768504</v>
      </c>
      <c r="G28" s="13"/>
      <c r="H28" s="13"/>
    </row>
    <row r="29" spans="1:8">
      <c r="A29" s="16" t="s">
        <v>52</v>
      </c>
      <c r="B29" s="17" t="s">
        <v>53</v>
      </c>
      <c r="C29" s="16"/>
      <c r="D29" s="16"/>
      <c r="E29" s="18">
        <v>57906199653</v>
      </c>
      <c r="F29" s="18">
        <v>59881730454</v>
      </c>
      <c r="G29" s="18"/>
      <c r="H29" s="18"/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3">
        <v>-13351156868</v>
      </c>
      <c r="F30" s="13">
        <v>-13576525634</v>
      </c>
      <c r="G30" s="13"/>
      <c r="H30" s="13"/>
    </row>
    <row r="31" spans="1:8">
      <c r="A31" s="16" t="s">
        <v>56</v>
      </c>
      <c r="B31" s="17" t="s">
        <v>57</v>
      </c>
      <c r="C31" s="16"/>
      <c r="D31" s="16"/>
      <c r="E31" s="18">
        <v>44555042785</v>
      </c>
      <c r="F31" s="18">
        <v>46305204820</v>
      </c>
      <c r="G31" s="18"/>
      <c r="H31" s="18"/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3">
        <v>0</v>
      </c>
      <c r="F32" s="13">
        <v>0</v>
      </c>
      <c r="G32" s="13"/>
      <c r="H32" s="13"/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-7859916141</v>
      </c>
      <c r="F33" s="13">
        <v>-7279352927</v>
      </c>
      <c r="G33" s="13"/>
      <c r="H33" s="13"/>
    </row>
    <row r="34" spans="1:8">
      <c r="A34" s="16" t="s">
        <v>63</v>
      </c>
      <c r="B34" s="17" t="s">
        <v>64</v>
      </c>
      <c r="C34" s="16"/>
      <c r="D34" s="16"/>
      <c r="E34" s="18">
        <v>36695126644</v>
      </c>
      <c r="F34" s="18">
        <v>39025851893</v>
      </c>
      <c r="G34" s="18"/>
      <c r="H34" s="18"/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3">
        <v>872428136</v>
      </c>
      <c r="F35" s="13">
        <v>713554342</v>
      </c>
      <c r="G35" s="13"/>
      <c r="H35" s="13"/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/>
      <c r="H36" s="13"/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/>
      <c r="H37" s="13"/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3">
        <v>-5610571572</v>
      </c>
      <c r="F38" s="13">
        <v>-7209005144</v>
      </c>
      <c r="G38" s="13"/>
      <c r="H38" s="13"/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13"/>
      <c r="H39" s="13"/>
    </row>
    <row r="40" spans="1:8">
      <c r="A40" s="16" t="s">
        <v>75</v>
      </c>
      <c r="B40" s="17" t="s">
        <v>76</v>
      </c>
      <c r="C40" s="16"/>
      <c r="D40" s="16"/>
      <c r="E40" s="18">
        <v>-4738143436</v>
      </c>
      <c r="F40" s="18">
        <v>-6495450802</v>
      </c>
      <c r="G40" s="18"/>
      <c r="H40" s="18"/>
    </row>
    <row r="41" spans="1:8">
      <c r="A41" s="22" t="s">
        <v>77</v>
      </c>
      <c r="B41" s="23" t="s">
        <v>78</v>
      </c>
      <c r="C41" s="22"/>
      <c r="D41" s="22"/>
      <c r="E41" s="24">
        <v>31956983208</v>
      </c>
      <c r="F41" s="24">
        <v>32530401091</v>
      </c>
      <c r="G41" s="24"/>
      <c r="H41" s="24"/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13"/>
      <c r="H42" s="13"/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/>
      <c r="H43" s="13"/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-24612200</v>
      </c>
      <c r="F44" s="13">
        <v>-26675978</v>
      </c>
      <c r="G44" s="13"/>
      <c r="H44" s="13"/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/>
      <c r="H45" s="13"/>
    </row>
    <row r="46" spans="1:8">
      <c r="A46" s="22" t="s">
        <v>88</v>
      </c>
      <c r="B46" s="23" t="s">
        <v>89</v>
      </c>
      <c r="C46" s="22"/>
      <c r="D46" s="22"/>
      <c r="E46" s="24">
        <v>-24612200</v>
      </c>
      <c r="F46" s="24">
        <v>-26675978</v>
      </c>
      <c r="G46" s="24"/>
      <c r="H46" s="24"/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/>
      <c r="H47" s="13"/>
    </row>
    <row r="48" spans="1:8">
      <c r="A48" s="11" t="s">
        <v>92</v>
      </c>
      <c r="B48" s="12" t="s">
        <v>93</v>
      </c>
      <c r="C48" s="11" t="s">
        <v>12</v>
      </c>
      <c r="D48" s="11"/>
      <c r="E48" s="13">
        <v>-9615461534</v>
      </c>
      <c r="F48" s="13">
        <v>-11363380166</v>
      </c>
      <c r="G48" s="13"/>
      <c r="H48" s="13"/>
    </row>
    <row r="49" spans="1:8">
      <c r="A49" s="16" t="s">
        <v>94</v>
      </c>
      <c r="B49" s="17" t="s">
        <v>95</v>
      </c>
      <c r="C49" s="16"/>
      <c r="D49" s="16"/>
      <c r="E49" s="18">
        <v>22316909474</v>
      </c>
      <c r="F49" s="18">
        <v>21140344947</v>
      </c>
      <c r="G49" s="18"/>
      <c r="H49" s="18"/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0B622AE9-8AD1-4CA4-A12F-2615B95A765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," sqref="G8:H49 E8:F49" xr:uid="{52A895F8-69A3-4B74-B7B8-BE5DDED62F40}"/>
    <dataValidation allowBlank="1" showInputMessage="1" showErrorMessage="1" errorTitle="Erreur de saisie" error="La cellule ne peut prendre que du numérique." promptTitle="Information" prompt="Cette cellule ne peut prendre que du numérique." sqref="D1:H6" xr:uid="{A0E21BE3-C400-4519-AA83-997FAA3702DA}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D9-3C6C-4946-8A53-9A7AC5718306}">
  <sheetPr codeName="Feuil20">
    <tabColor theme="7"/>
  </sheetPr>
  <dimension ref="A1:H84"/>
  <sheetViews>
    <sheetView topLeftCell="A11" workbookViewId="0">
      <selection activeCell="A7" sqref="A7:XFD7"/>
    </sheetView>
  </sheetViews>
  <sheetFormatPr baseColWidth="10" defaultRowHeight="1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9.140625" style="28" customWidth="1" collapsed="1"/>
  </cols>
  <sheetData>
    <row r="1" spans="1:8" ht="18.75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>
      <c r="A2" s="1"/>
      <c r="B2" s="1"/>
      <c r="C2" s="2"/>
      <c r="D2" s="1"/>
      <c r="E2" s="1"/>
      <c r="F2" s="1"/>
      <c r="G2" s="1"/>
      <c r="H2" s="1"/>
    </row>
    <row r="3" spans="1:8">
      <c r="A3" s="256" t="s">
        <v>96</v>
      </c>
      <c r="B3" s="256"/>
      <c r="C3" s="256"/>
      <c r="D3" s="1" t="s">
        <v>1</v>
      </c>
      <c r="E3" s="1"/>
      <c r="F3" s="1"/>
      <c r="G3" s="257">
        <f>+'[7]Fiche de renseignement R1'!$V$10</f>
        <v>44926</v>
      </c>
      <c r="H3" s="258"/>
    </row>
    <row r="4" spans="1:8">
      <c r="A4" s="258" t="s">
        <v>127</v>
      </c>
      <c r="B4" s="258"/>
      <c r="C4" s="258"/>
      <c r="D4" s="259" t="s">
        <v>2</v>
      </c>
      <c r="E4" s="25"/>
      <c r="F4" s="25"/>
      <c r="G4" s="260">
        <f>+'[7]Fiche de renseignement R1'!$AH$10</f>
        <v>12</v>
      </c>
      <c r="H4" s="260"/>
    </row>
    <row r="5" spans="1:8" ht="38.25">
      <c r="A5" s="4" t="s">
        <v>3</v>
      </c>
      <c r="B5" s="261" t="str">
        <f>+'[7]Fiche de renseignement R1'!$J$10</f>
        <v xml:space="preserve">000022955  </v>
      </c>
      <c r="C5" s="261"/>
      <c r="D5" s="259"/>
      <c r="E5" s="25"/>
      <c r="F5" s="25"/>
      <c r="G5" s="258"/>
      <c r="H5" s="258"/>
    </row>
    <row r="6" spans="1:8">
      <c r="A6" s="1"/>
      <c r="B6" s="1"/>
      <c r="C6" s="2"/>
      <c r="D6" s="1"/>
      <c r="E6" s="1"/>
      <c r="F6" s="1"/>
      <c r="G6" s="1"/>
      <c r="H6" s="1"/>
    </row>
    <row r="7" spans="1:8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>
        <v>0</v>
      </c>
      <c r="H8" s="10">
        <v>0</v>
      </c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>
        <v>0</v>
      </c>
      <c r="H9" s="13">
        <v>0</v>
      </c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3">
        <v>0</v>
      </c>
      <c r="H10" s="13">
        <v>0</v>
      </c>
    </row>
    <row r="11" spans="1:8">
      <c r="A11" s="16" t="s">
        <v>16</v>
      </c>
      <c r="B11" s="17" t="s">
        <v>17</v>
      </c>
      <c r="C11" s="16"/>
      <c r="D11" s="16"/>
      <c r="E11" s="16"/>
      <c r="F11" s="16"/>
      <c r="G11" s="18">
        <v>0</v>
      </c>
      <c r="H11" s="18">
        <v>0</v>
      </c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>
        <v>565991767063</v>
      </c>
      <c r="H12" s="13">
        <v>344468573096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>
        <v>0</v>
      </c>
      <c r="H13" s="13">
        <v>0</v>
      </c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>
        <v>432086528</v>
      </c>
      <c r="H14" s="13">
        <v>74540525</v>
      </c>
    </row>
    <row r="15" spans="1:8">
      <c r="A15" s="16" t="s">
        <v>24</v>
      </c>
      <c r="B15" s="17" t="s">
        <v>25</v>
      </c>
      <c r="C15" s="16"/>
      <c r="D15" s="16"/>
      <c r="E15" s="16"/>
      <c r="F15" s="16"/>
      <c r="G15" s="18">
        <v>566423853591</v>
      </c>
      <c r="H15" s="18">
        <v>344543113621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>
        <v>-295903902</v>
      </c>
      <c r="H16" s="13">
        <v>-336865235</v>
      </c>
    </row>
    <row r="17" spans="1:8">
      <c r="A17" s="11" t="s">
        <v>28</v>
      </c>
      <c r="B17" s="12" t="s">
        <v>29</v>
      </c>
      <c r="C17" s="11"/>
      <c r="D17" s="11">
        <v>21</v>
      </c>
      <c r="E17" s="11"/>
      <c r="F17" s="11"/>
      <c r="G17" s="13">
        <v>1393112827</v>
      </c>
      <c r="H17" s="13">
        <v>0</v>
      </c>
    </row>
    <row r="18" spans="1:8">
      <c r="A18" s="11" t="s">
        <v>30</v>
      </c>
      <c r="B18" s="12" t="s">
        <v>31</v>
      </c>
      <c r="C18" s="11"/>
      <c r="D18" s="11">
        <v>21</v>
      </c>
      <c r="E18" s="11"/>
      <c r="F18" s="11"/>
      <c r="G18" s="13">
        <v>0</v>
      </c>
      <c r="H18" s="13">
        <v>0</v>
      </c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>
        <v>12331907205</v>
      </c>
      <c r="H19" s="13">
        <v>7117754297</v>
      </c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21">
        <v>0</v>
      </c>
      <c r="H20" s="21">
        <v>0</v>
      </c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-183666041764</v>
      </c>
      <c r="H21" s="13">
        <v>-88126293352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>
        <v>17997737628</v>
      </c>
      <c r="H22" s="13">
        <v>13528958997</v>
      </c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-36386157972</v>
      </c>
      <c r="H23" s="13">
        <v>-47686624680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-10350489934</v>
      </c>
      <c r="H24" s="13">
        <v>2065610698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-44154305841</v>
      </c>
      <c r="H25" s="13">
        <v>-26221136206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-37398422238</v>
      </c>
      <c r="H26" s="13">
        <v>-33209329411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-10000000</v>
      </c>
      <c r="H27" s="13">
        <v>-2000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-14765231537</v>
      </c>
      <c r="H28" s="13">
        <v>-9123819784</v>
      </c>
    </row>
    <row r="29" spans="1:8">
      <c r="A29" s="16" t="s">
        <v>52</v>
      </c>
      <c r="B29" s="17" t="s">
        <v>53</v>
      </c>
      <c r="C29" s="16"/>
      <c r="D29" s="16"/>
      <c r="E29" s="16"/>
      <c r="F29" s="16"/>
      <c r="G29" s="18">
        <v>271120058063</v>
      </c>
      <c r="H29" s="18">
        <v>162551366945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-23662306388</v>
      </c>
      <c r="H30" s="13">
        <v>-22579538003</v>
      </c>
    </row>
    <row r="31" spans="1:8">
      <c r="A31" s="16" t="s">
        <v>56</v>
      </c>
      <c r="B31" s="17" t="s">
        <v>57</v>
      </c>
      <c r="C31" s="16"/>
      <c r="D31" s="16"/>
      <c r="E31" s="16"/>
      <c r="F31" s="16"/>
      <c r="G31" s="18">
        <v>247457751675</v>
      </c>
      <c r="H31" s="18">
        <v>139971828942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3">
        <v>12664863</v>
      </c>
      <c r="H32" s="13">
        <v>448119705</v>
      </c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21">
        <v>-16651221407</v>
      </c>
      <c r="H33" s="21">
        <v>-14385896175</v>
      </c>
    </row>
    <row r="34" spans="1:8">
      <c r="A34" s="16" t="s">
        <v>63</v>
      </c>
      <c r="B34" s="17" t="s">
        <v>64</v>
      </c>
      <c r="C34" s="16"/>
      <c r="D34" s="16"/>
      <c r="E34" s="16"/>
      <c r="F34" s="16"/>
      <c r="G34" s="18">
        <v>230819195131</v>
      </c>
      <c r="H34" s="18">
        <v>126034052472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2966186103</v>
      </c>
      <c r="H35" s="13">
        <v>1330500750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>
        <v>0</v>
      </c>
      <c r="H36" s="13">
        <v>0</v>
      </c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3">
        <v>0</v>
      </c>
      <c r="H37" s="13">
        <v>0</v>
      </c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-5106640154</v>
      </c>
      <c r="H38" s="13">
        <v>-5139291894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>
        <v>0</v>
      </c>
      <c r="H39" s="13">
        <v>0</v>
      </c>
    </row>
    <row r="40" spans="1:8">
      <c r="A40" s="16" t="s">
        <v>75</v>
      </c>
      <c r="B40" s="17" t="s">
        <v>76</v>
      </c>
      <c r="C40" s="16"/>
      <c r="D40" s="16"/>
      <c r="E40" s="16"/>
      <c r="F40" s="16"/>
      <c r="G40" s="18">
        <v>-2140454051</v>
      </c>
      <c r="H40" s="18">
        <v>-3808791144</v>
      </c>
    </row>
    <row r="41" spans="1:8">
      <c r="A41" s="22" t="s">
        <v>77</v>
      </c>
      <c r="B41" s="23" t="s">
        <v>78</v>
      </c>
      <c r="C41" s="22"/>
      <c r="D41" s="22"/>
      <c r="E41" s="22"/>
      <c r="F41" s="22"/>
      <c r="G41" s="24">
        <v>228678741080</v>
      </c>
      <c r="H41" s="24">
        <v>122225261328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>
        <v>0</v>
      </c>
      <c r="H42" s="13">
        <v>0</v>
      </c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>
        <v>1574661046</v>
      </c>
      <c r="H43" s="13">
        <v>255088018</v>
      </c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>
        <v>-88081849</v>
      </c>
      <c r="H44" s="13">
        <v>0</v>
      </c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>
        <v>0</v>
      </c>
      <c r="H45" s="13">
        <v>-5002699789</v>
      </c>
    </row>
    <row r="46" spans="1:8">
      <c r="A46" s="22" t="s">
        <v>88</v>
      </c>
      <c r="B46" s="23" t="s">
        <v>89</v>
      </c>
      <c r="C46" s="22"/>
      <c r="D46" s="22"/>
      <c r="E46" s="22"/>
      <c r="F46" s="22"/>
      <c r="G46" s="24">
        <v>1486579197</v>
      </c>
      <c r="H46" s="24">
        <v>-4747611771</v>
      </c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>
        <v>0</v>
      </c>
      <c r="H47" s="13">
        <v>0</v>
      </c>
    </row>
    <row r="48" spans="1:8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>
        <v>0</v>
      </c>
      <c r="H48" s="13">
        <v>0</v>
      </c>
    </row>
    <row r="49" spans="1:8">
      <c r="A49" s="16" t="s">
        <v>94</v>
      </c>
      <c r="B49" s="17" t="s">
        <v>95</v>
      </c>
      <c r="C49" s="16"/>
      <c r="D49" s="16"/>
      <c r="E49" s="16"/>
      <c r="F49" s="16"/>
      <c r="G49" s="18">
        <v>230165320277</v>
      </c>
      <c r="H49" s="18">
        <v>117477649557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CE6B9A60-7611-4FB5-AB81-47AC6BC2EE89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A368E756-07F3-41AB-900D-EF9B239102A4}"/>
    <dataValidation allowBlank="1" showInputMessage="1" showErrorMessage="1" errorTitle="Erreur de saisie" error="La cellule ne peut prendre que du numérique." promptTitle="Information" prompt="Cette cellule ne peut prendre que du numérique," sqref="G8:H49" xr:uid="{9F4B32F8-929E-4FA9-B0C5-3212B138F21D}"/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231BC-83BE-4A02-9B53-A48883D7CAEA}">
  <sheetPr codeName="Feuil22">
    <tabColor rgb="FFFFC000"/>
  </sheetPr>
  <dimension ref="A7:H84"/>
  <sheetViews>
    <sheetView topLeftCell="Y1" workbookViewId="0">
      <selection sqref="A1:XFD1"/>
    </sheetView>
  </sheetViews>
  <sheetFormatPr baseColWidth="10" defaultRowHeight="15"/>
  <cols>
    <col min="1" max="1" width="4.140625" style="26" customWidth="1" collapsed="1"/>
    <col min="2" max="2" width="56" style="27" bestFit="1" customWidth="1" collapsed="1"/>
    <col min="3" max="3" width="3.140625" style="27" bestFit="1" customWidth="1" collapsed="1"/>
    <col min="4" max="4" width="8.28515625" style="27" bestFit="1" customWidth="1" collapsed="1"/>
    <col min="5" max="6" width="8.28515625" style="27" customWidth="1"/>
    <col min="7" max="8" width="15.7109375" style="28" customWidth="1" collapsed="1"/>
  </cols>
  <sheetData>
    <row r="7" spans="1:8" ht="25.5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/>
      <c r="H8" s="10"/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/>
      <c r="H9" s="13"/>
    </row>
    <row r="10" spans="1:8">
      <c r="A10" s="11" t="s">
        <v>13</v>
      </c>
      <c r="B10" s="14" t="s">
        <v>98</v>
      </c>
      <c r="C10" s="15" t="s">
        <v>15</v>
      </c>
      <c r="D10" s="15">
        <v>6</v>
      </c>
      <c r="E10" s="15"/>
      <c r="F10" s="15"/>
      <c r="G10" s="13"/>
      <c r="H10" s="13"/>
    </row>
    <row r="11" spans="1:8">
      <c r="A11" s="16" t="s">
        <v>16</v>
      </c>
      <c r="B11" s="17" t="s">
        <v>17</v>
      </c>
      <c r="C11" s="16"/>
      <c r="D11" s="16"/>
      <c r="E11" s="16"/>
      <c r="F11" s="16"/>
      <c r="G11" s="18"/>
      <c r="H11" s="18"/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/>
      <c r="H12" s="13"/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/>
      <c r="H13" s="13"/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/>
      <c r="H14" s="13"/>
    </row>
    <row r="15" spans="1:8">
      <c r="A15" s="16" t="s">
        <v>24</v>
      </c>
      <c r="B15" s="17" t="s">
        <v>25</v>
      </c>
      <c r="C15" s="16"/>
      <c r="D15" s="16"/>
      <c r="E15" s="16"/>
      <c r="F15" s="16"/>
      <c r="G15" s="18">
        <v>0</v>
      </c>
      <c r="H15" s="18"/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/>
      <c r="H16" s="13"/>
    </row>
    <row r="17" spans="1:8">
      <c r="A17" s="11" t="s">
        <v>28</v>
      </c>
      <c r="B17" s="12" t="s">
        <v>29</v>
      </c>
      <c r="C17" s="11"/>
      <c r="D17" s="11">
        <v>21</v>
      </c>
      <c r="E17" s="11"/>
      <c r="F17" s="11"/>
      <c r="G17" s="13">
        <v>9236283675</v>
      </c>
      <c r="H17" s="13">
        <v>9652980330</v>
      </c>
    </row>
    <row r="18" spans="1:8">
      <c r="A18" s="11" t="s">
        <v>30</v>
      </c>
      <c r="B18" s="12" t="s">
        <v>31</v>
      </c>
      <c r="C18" s="11"/>
      <c r="D18" s="11">
        <v>21</v>
      </c>
      <c r="E18" s="11"/>
      <c r="F18" s="11"/>
      <c r="G18" s="13">
        <v>0</v>
      </c>
      <c r="H18" s="13">
        <v>0</v>
      </c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>
        <v>2861563</v>
      </c>
      <c r="H19" s="13">
        <v>4846702</v>
      </c>
    </row>
    <row r="20" spans="1:8">
      <c r="A20" s="56" t="s">
        <v>34</v>
      </c>
      <c r="B20" s="57" t="s">
        <v>99</v>
      </c>
      <c r="C20" s="56" t="s">
        <v>9</v>
      </c>
      <c r="D20" s="56">
        <v>12</v>
      </c>
      <c r="E20" s="56"/>
      <c r="F20" s="56"/>
      <c r="G20" s="21">
        <v>46112334</v>
      </c>
      <c r="H20" s="21">
        <v>137671940</v>
      </c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0</v>
      </c>
      <c r="H21" s="13">
        <v>0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>
        <v>0</v>
      </c>
      <c r="H22" s="13">
        <v>0</v>
      </c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349152470</v>
      </c>
      <c r="H23" s="13">
        <v>713609614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-20674821</v>
      </c>
      <c r="H24" s="13">
        <v>-14631508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146271853</v>
      </c>
      <c r="H25" s="13">
        <v>185281834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3536776621</v>
      </c>
      <c r="H26" s="13">
        <v>6829030561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13207676</v>
      </c>
      <c r="H27" s="13">
        <v>9661831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786944946</v>
      </c>
      <c r="H28" s="13">
        <v>518558600</v>
      </c>
    </row>
    <row r="29" spans="1:8">
      <c r="A29" s="16" t="s">
        <v>52</v>
      </c>
      <c r="B29" s="17" t="s">
        <v>53</v>
      </c>
      <c r="C29" s="16"/>
      <c r="D29" s="16"/>
      <c r="E29" s="16"/>
      <c r="F29" s="16"/>
      <c r="G29" s="18">
        <v>4473578827</v>
      </c>
      <c r="H29" s="18">
        <v>1553988040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1138660841</v>
      </c>
      <c r="H30" s="13">
        <v>1434746792</v>
      </c>
    </row>
    <row r="31" spans="1:8">
      <c r="A31" s="16" t="s">
        <v>56</v>
      </c>
      <c r="B31" s="17" t="s">
        <v>57</v>
      </c>
      <c r="C31" s="16"/>
      <c r="D31" s="16"/>
      <c r="E31" s="16"/>
      <c r="F31" s="16"/>
      <c r="G31" s="18">
        <v>3334917986</v>
      </c>
      <c r="H31" s="18">
        <v>119241248</v>
      </c>
    </row>
    <row r="32" spans="1:8">
      <c r="A32" s="11" t="s">
        <v>58</v>
      </c>
      <c r="B32" s="12" t="s">
        <v>100</v>
      </c>
      <c r="C32" s="11" t="s">
        <v>9</v>
      </c>
      <c r="D32" s="11">
        <v>28</v>
      </c>
      <c r="E32" s="11"/>
      <c r="F32" s="11"/>
      <c r="G32" s="13">
        <v>0</v>
      </c>
      <c r="H32" s="13">
        <v>0</v>
      </c>
    </row>
    <row r="33" spans="1:8">
      <c r="A33" s="56" t="s">
        <v>60</v>
      </c>
      <c r="B33" s="57" t="s">
        <v>61</v>
      </c>
      <c r="C33" s="56" t="s">
        <v>12</v>
      </c>
      <c r="D33" s="56" t="s">
        <v>62</v>
      </c>
      <c r="E33" s="56"/>
      <c r="F33" s="56"/>
      <c r="G33" s="21">
        <v>174654368</v>
      </c>
      <c r="H33" s="21">
        <v>142175480</v>
      </c>
    </row>
    <row r="34" spans="1:8">
      <c r="A34" s="16" t="s">
        <v>63</v>
      </c>
      <c r="B34" s="17" t="s">
        <v>64</v>
      </c>
      <c r="C34" s="16"/>
      <c r="D34" s="16"/>
      <c r="E34" s="16"/>
      <c r="F34" s="16"/>
      <c r="G34" s="18">
        <v>3160263618</v>
      </c>
      <c r="H34" s="18">
        <v>-22934232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9643057</v>
      </c>
      <c r="H35" s="13">
        <v>30480926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>
        <v>0</v>
      </c>
      <c r="H36" s="13">
        <v>0</v>
      </c>
    </row>
    <row r="37" spans="1:8">
      <c r="A37" s="11" t="s">
        <v>69</v>
      </c>
      <c r="B37" s="12" t="s">
        <v>101</v>
      </c>
      <c r="C37" s="11" t="s">
        <v>9</v>
      </c>
      <c r="D37" s="11">
        <v>12</v>
      </c>
      <c r="E37" s="11"/>
      <c r="F37" s="11"/>
      <c r="G37" s="13">
        <v>0</v>
      </c>
      <c r="H37" s="13">
        <v>0</v>
      </c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300108253</v>
      </c>
      <c r="H38" s="13">
        <v>7546694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>
        <v>2869798422</v>
      </c>
      <c r="H39" s="13">
        <v>0</v>
      </c>
    </row>
    <row r="40" spans="1:8">
      <c r="A40" s="16" t="s">
        <v>75</v>
      </c>
      <c r="B40" s="17" t="s">
        <v>76</v>
      </c>
      <c r="C40" s="16"/>
      <c r="D40" s="16"/>
      <c r="E40" s="16"/>
      <c r="F40" s="16"/>
      <c r="G40" s="18">
        <v>-3160263618</v>
      </c>
      <c r="H40" s="18">
        <v>22934232</v>
      </c>
    </row>
    <row r="41" spans="1:8">
      <c r="A41" s="22" t="s">
        <v>77</v>
      </c>
      <c r="B41" s="23" t="s">
        <v>78</v>
      </c>
      <c r="C41" s="22"/>
      <c r="D41" s="22"/>
      <c r="E41" s="22"/>
      <c r="F41" s="22"/>
      <c r="G41" s="24"/>
      <c r="H41" s="24"/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/>
      <c r="H42" s="13"/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/>
      <c r="H43" s="13"/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/>
      <c r="H44" s="13"/>
    </row>
    <row r="45" spans="1:8">
      <c r="A45" s="11" t="s">
        <v>86</v>
      </c>
      <c r="B45" s="12" t="s">
        <v>102</v>
      </c>
      <c r="C45" s="11" t="s">
        <v>12</v>
      </c>
      <c r="D45" s="11">
        <v>30</v>
      </c>
      <c r="E45" s="11"/>
      <c r="F45" s="11"/>
      <c r="G45" s="13"/>
      <c r="H45" s="13"/>
    </row>
    <row r="46" spans="1:8">
      <c r="A46" s="22" t="s">
        <v>88</v>
      </c>
      <c r="B46" s="23" t="s">
        <v>89</v>
      </c>
      <c r="C46" s="22"/>
      <c r="D46" s="22"/>
      <c r="E46" s="22"/>
      <c r="F46" s="22"/>
      <c r="G46" s="24"/>
      <c r="H46" s="24"/>
    </row>
    <row r="47" spans="1:8">
      <c r="A47" s="11" t="s">
        <v>90</v>
      </c>
      <c r="B47" s="12" t="s">
        <v>103</v>
      </c>
      <c r="C47" s="11" t="s">
        <v>12</v>
      </c>
      <c r="D47" s="11">
        <v>30</v>
      </c>
      <c r="E47" s="11"/>
      <c r="F47" s="11"/>
      <c r="G47" s="13"/>
      <c r="H47" s="13"/>
    </row>
    <row r="48" spans="1:8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/>
      <c r="H48" s="13"/>
    </row>
    <row r="49" spans="1:8">
      <c r="A49" s="16" t="s">
        <v>94</v>
      </c>
      <c r="B49" s="17" t="s">
        <v>95</v>
      </c>
      <c r="C49" s="16"/>
      <c r="D49" s="16"/>
      <c r="E49" s="16"/>
      <c r="F49" s="16"/>
      <c r="G49" s="18">
        <v>0</v>
      </c>
      <c r="H49" s="18">
        <v>0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G8:H49" xr:uid="{FE39B66A-07F5-4CCD-9122-23E0D80F4946}"/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A9350-E57B-4E4F-BE90-8C591A201A1B}">
  <sheetPr codeName="Feuil23"/>
  <dimension ref="A1:H84"/>
  <sheetViews>
    <sheetView workbookViewId="0">
      <selection activeCell="H16" sqref="H16"/>
    </sheetView>
  </sheetViews>
  <sheetFormatPr baseColWidth="10" defaultColWidth="10.28515625" defaultRowHeight="12.75"/>
  <cols>
    <col min="1" max="1" width="11.42578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5.7109375" style="28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25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G3" s="257">
        <v>45657</v>
      </c>
      <c r="H3" s="258"/>
    </row>
    <row r="4" spans="1:8" s="1" customFormat="1" ht="15" customHeight="1">
      <c r="A4" s="263" t="s">
        <v>130</v>
      </c>
      <c r="B4" s="263"/>
      <c r="C4" s="263"/>
      <c r="D4" s="259" t="s">
        <v>2</v>
      </c>
      <c r="E4" s="25"/>
      <c r="F4" s="25"/>
      <c r="G4" s="260">
        <v>12</v>
      </c>
      <c r="H4" s="260"/>
    </row>
    <row r="5" spans="1:8" s="1" customFormat="1" ht="31.35" customHeight="1">
      <c r="A5" s="4" t="s">
        <v>3</v>
      </c>
      <c r="B5" s="264" t="s">
        <v>131</v>
      </c>
      <c r="C5" s="261"/>
      <c r="D5" s="259"/>
      <c r="E5" s="25"/>
      <c r="F5" s="25"/>
      <c r="G5" s="258"/>
      <c r="H5" s="258"/>
    </row>
    <row r="6" spans="1:8" s="1" customFormat="1" ht="8.25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/>
      <c r="H8" s="10"/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0">
        <v>1451658842</v>
      </c>
      <c r="F9" s="10">
        <v>1042198734</v>
      </c>
      <c r="G9" s="10"/>
      <c r="H9" s="10"/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0">
        <v>0</v>
      </c>
      <c r="F10" s="10">
        <v>0</v>
      </c>
      <c r="G10" s="10"/>
      <c r="H10" s="10"/>
    </row>
    <row r="11" spans="1:8" ht="18" customHeight="1">
      <c r="A11" s="16" t="s">
        <v>16</v>
      </c>
      <c r="B11" s="17" t="s">
        <v>17</v>
      </c>
      <c r="C11" s="16"/>
      <c r="D11" s="16"/>
      <c r="E11" s="18">
        <v>-1451658842</v>
      </c>
      <c r="F11" s="18">
        <v>-1042198734</v>
      </c>
      <c r="G11" s="18"/>
      <c r="H11" s="18"/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0">
        <v>54363903293</v>
      </c>
      <c r="F12" s="10">
        <v>49467658370</v>
      </c>
      <c r="G12" s="10"/>
      <c r="H12" s="10"/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0">
        <v>0</v>
      </c>
      <c r="F13" s="10">
        <v>0</v>
      </c>
      <c r="G13" s="10"/>
      <c r="H13" s="10"/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0">
        <v>0</v>
      </c>
      <c r="F14" s="10">
        <v>0</v>
      </c>
      <c r="G14" s="10"/>
      <c r="H14" s="10"/>
    </row>
    <row r="15" spans="1:8" ht="18" customHeight="1">
      <c r="A15" s="16" t="s">
        <v>24</v>
      </c>
      <c r="B15" s="17" t="s">
        <v>25</v>
      </c>
      <c r="C15" s="16"/>
      <c r="D15" s="16"/>
      <c r="E15" s="18">
        <v>54363903293</v>
      </c>
      <c r="F15" s="18">
        <v>49467658370</v>
      </c>
      <c r="G15" s="18"/>
      <c r="H15" s="18"/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0">
        <v>903108869</v>
      </c>
      <c r="F16" s="10">
        <v>-971562411</v>
      </c>
      <c r="G16" s="10"/>
      <c r="H16" s="10"/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0">
        <v>0</v>
      </c>
      <c r="F17" s="10">
        <v>0</v>
      </c>
      <c r="G17" s="10"/>
      <c r="H17" s="10"/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0">
        <v>0</v>
      </c>
      <c r="F18" s="10">
        <v>0</v>
      </c>
      <c r="G18" s="10"/>
      <c r="H18" s="10"/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0">
        <v>482445412</v>
      </c>
      <c r="F19" s="10">
        <v>224144344</v>
      </c>
      <c r="G19" s="10"/>
      <c r="H19" s="10"/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0">
        <v>0</v>
      </c>
      <c r="F20" s="10">
        <v>0</v>
      </c>
      <c r="G20" s="10"/>
      <c r="H20" s="10"/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0">
        <v>39668557928</v>
      </c>
      <c r="F21" s="10">
        <v>34478244794</v>
      </c>
      <c r="G21" s="10"/>
      <c r="H21" s="10"/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0">
        <v>555605110</v>
      </c>
      <c r="F22" s="10">
        <v>2996459982</v>
      </c>
      <c r="G22" s="10"/>
      <c r="H22" s="10"/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0">
        <v>5708112946</v>
      </c>
      <c r="F23" s="10">
        <v>5368477171</v>
      </c>
      <c r="G23" s="10"/>
      <c r="H23" s="10"/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0">
        <v>0</v>
      </c>
      <c r="F24" s="10">
        <v>0</v>
      </c>
      <c r="G24" s="10"/>
      <c r="H24" s="10"/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0">
        <v>166037184</v>
      </c>
      <c r="F25" s="10">
        <v>155465166</v>
      </c>
      <c r="G25" s="10"/>
      <c r="H25" s="10"/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0">
        <v>1995192475</v>
      </c>
      <c r="F26" s="10">
        <v>1861454824</v>
      </c>
      <c r="G26" s="10"/>
      <c r="H26" s="10"/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0">
        <v>900038182</v>
      </c>
      <c r="F27" s="10">
        <v>377882572</v>
      </c>
      <c r="G27" s="10"/>
      <c r="H27" s="10"/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0">
        <v>674930617</v>
      </c>
      <c r="F28" s="10">
        <v>674930618</v>
      </c>
      <c r="G28" s="10"/>
      <c r="H28" s="10"/>
    </row>
    <row r="29" spans="1:8" ht="18" customHeight="1">
      <c r="A29" s="16" t="s">
        <v>52</v>
      </c>
      <c r="B29" s="17" t="s">
        <v>53</v>
      </c>
      <c r="C29" s="16"/>
      <c r="D29" s="16"/>
      <c r="E29" s="18">
        <v>4629324290</v>
      </c>
      <c r="F29" s="18">
        <v>1765126442</v>
      </c>
      <c r="G29" s="18"/>
      <c r="H29" s="18"/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0">
        <v>1784502304</v>
      </c>
      <c r="F30" s="10">
        <v>1709856433</v>
      </c>
      <c r="G30" s="10"/>
      <c r="H30" s="10"/>
    </row>
    <row r="31" spans="1:8" ht="18" customHeight="1">
      <c r="A31" s="16" t="s">
        <v>56</v>
      </c>
      <c r="B31" s="17" t="s">
        <v>57</v>
      </c>
      <c r="C31" s="16"/>
      <c r="D31" s="16"/>
      <c r="E31" s="18">
        <v>2844821986</v>
      </c>
      <c r="F31" s="18">
        <v>55270009</v>
      </c>
      <c r="G31" s="18"/>
      <c r="H31" s="18"/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0">
        <v>0</v>
      </c>
      <c r="F32" s="10">
        <v>0</v>
      </c>
      <c r="G32" s="10"/>
      <c r="H32" s="10"/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0">
        <v>486580469</v>
      </c>
      <c r="F33" s="10">
        <v>434751829</v>
      </c>
      <c r="G33" s="10"/>
      <c r="H33" s="10"/>
    </row>
    <row r="34" spans="1:8" ht="18" customHeight="1">
      <c r="A34" s="16" t="s">
        <v>63</v>
      </c>
      <c r="B34" s="17" t="s">
        <v>64</v>
      </c>
      <c r="C34" s="16"/>
      <c r="D34" s="16"/>
      <c r="E34" s="18">
        <v>2358241517</v>
      </c>
      <c r="F34" s="18">
        <v>-379481820</v>
      </c>
      <c r="G34" s="18"/>
      <c r="H34" s="18"/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0">
        <v>0</v>
      </c>
      <c r="F35" s="10">
        <v>0</v>
      </c>
      <c r="G35" s="10"/>
      <c r="H35" s="10"/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0">
        <v>0</v>
      </c>
      <c r="F36" s="10">
        <v>0</v>
      </c>
      <c r="G36" s="10"/>
      <c r="H36" s="10"/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0">
        <v>0</v>
      </c>
      <c r="F37" s="10">
        <v>0</v>
      </c>
      <c r="G37" s="10"/>
      <c r="H37" s="10"/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0">
        <v>843748631</v>
      </c>
      <c r="F38" s="10">
        <v>587297534</v>
      </c>
      <c r="G38" s="10"/>
      <c r="H38" s="10"/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0">
        <v>0</v>
      </c>
      <c r="F39" s="10">
        <v>0</v>
      </c>
      <c r="G39" s="10"/>
      <c r="H39" s="10"/>
    </row>
    <row r="40" spans="1:8" ht="18" customHeight="1">
      <c r="A40" s="16" t="s">
        <v>75</v>
      </c>
      <c r="B40" s="17" t="s">
        <v>76</v>
      </c>
      <c r="C40" s="16"/>
      <c r="D40" s="16"/>
      <c r="E40" s="18">
        <v>-843748631</v>
      </c>
      <c r="F40" s="18">
        <v>-587297534</v>
      </c>
      <c r="G40" s="18"/>
      <c r="H40" s="18"/>
    </row>
    <row r="41" spans="1:8" ht="18" customHeight="1">
      <c r="A41" s="22" t="s">
        <v>77</v>
      </c>
      <c r="B41" s="23" t="s">
        <v>78</v>
      </c>
      <c r="C41" s="22"/>
      <c r="D41" s="22"/>
      <c r="E41" s="24">
        <v>1514492886</v>
      </c>
      <c r="F41" s="24">
        <v>-966779354</v>
      </c>
      <c r="G41" s="24"/>
      <c r="H41" s="24"/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0">
        <v>0</v>
      </c>
      <c r="F42" s="10">
        <v>0</v>
      </c>
      <c r="G42" s="10"/>
      <c r="H42" s="10"/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0">
        <v>0</v>
      </c>
      <c r="F43" s="10">
        <v>0</v>
      </c>
      <c r="G43" s="10"/>
      <c r="H43" s="10"/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0">
        <v>0</v>
      </c>
      <c r="F44" s="10">
        <v>0</v>
      </c>
      <c r="G44" s="10"/>
      <c r="H44" s="10"/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0">
        <v>0</v>
      </c>
      <c r="F45" s="10">
        <v>0</v>
      </c>
      <c r="G45" s="10"/>
      <c r="H45" s="10"/>
    </row>
    <row r="46" spans="1:8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  <c r="G46" s="24"/>
      <c r="H46" s="24"/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0">
        <v>0</v>
      </c>
      <c r="F47" s="10">
        <v>0</v>
      </c>
      <c r="G47" s="10"/>
      <c r="H47" s="10"/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0">
        <v>838818531</v>
      </c>
      <c r="F48" s="10">
        <v>5000000</v>
      </c>
      <c r="G48" s="10"/>
      <c r="H48" s="10"/>
    </row>
    <row r="49" spans="1:8" ht="18" customHeight="1">
      <c r="A49" s="16" t="s">
        <v>94</v>
      </c>
      <c r="B49" s="17" t="s">
        <v>95</v>
      </c>
      <c r="C49" s="16"/>
      <c r="D49" s="16"/>
      <c r="E49" s="18">
        <v>675674355</v>
      </c>
      <c r="F49" s="18">
        <v>-971779354</v>
      </c>
      <c r="G49" s="18"/>
      <c r="H49" s="18"/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30"/>
      <c r="H62" s="30"/>
    </row>
    <row r="63" spans="1:8" ht="12.75" customHeight="1">
      <c r="G63" s="30"/>
      <c r="H63" s="30"/>
    </row>
    <row r="64" spans="1:8" ht="12.75" customHeight="1">
      <c r="G64" s="30"/>
      <c r="H64" s="30"/>
    </row>
    <row r="65" spans="7:8" ht="12.75" customHeight="1">
      <c r="G65" s="30"/>
      <c r="H65" s="30"/>
    </row>
    <row r="66" spans="7:8" ht="12.75" customHeight="1">
      <c r="G66" s="30"/>
      <c r="H66" s="30"/>
    </row>
    <row r="67" spans="7:8" ht="12.75" customHeight="1">
      <c r="G67" s="30"/>
      <c r="H67" s="30"/>
    </row>
    <row r="68" spans="7:8" ht="12.75" customHeight="1">
      <c r="G68" s="30"/>
      <c r="H68" s="30"/>
    </row>
    <row r="69" spans="7:8" ht="12.75" customHeight="1">
      <c r="G69" s="30"/>
      <c r="H69" s="30"/>
    </row>
    <row r="70" spans="7:8" ht="12.75" customHeight="1">
      <c r="G70" s="30"/>
      <c r="H70" s="30"/>
    </row>
    <row r="71" spans="7:8" ht="12.75" customHeight="1">
      <c r="G71" s="30"/>
      <c r="H71" s="30"/>
    </row>
    <row r="72" spans="7:8" ht="12.75" customHeight="1">
      <c r="G72" s="30"/>
      <c r="H72" s="30"/>
    </row>
    <row r="73" spans="7:8" ht="12.75" customHeight="1">
      <c r="G73" s="30"/>
      <c r="H73" s="30"/>
    </row>
    <row r="74" spans="7:8" ht="12.75" customHeight="1">
      <c r="G74" s="30"/>
      <c r="H74" s="30"/>
    </row>
    <row r="75" spans="7:8" ht="12.75" customHeight="1">
      <c r="G75" s="30"/>
      <c r="H75" s="30"/>
    </row>
    <row r="76" spans="7:8" ht="12.75" customHeight="1">
      <c r="G76" s="30"/>
      <c r="H76" s="30"/>
    </row>
    <row r="77" spans="7:8" ht="12.75" customHeight="1">
      <c r="G77" s="30"/>
      <c r="H77" s="30"/>
    </row>
    <row r="78" spans="7:8" ht="12.75" customHeight="1">
      <c r="G78" s="30"/>
      <c r="H78" s="30"/>
    </row>
    <row r="79" spans="7:8" ht="12.75" customHeight="1">
      <c r="G79" s="30"/>
      <c r="H79" s="30"/>
    </row>
    <row r="80" spans="7:8" ht="12.75" customHeight="1">
      <c r="G80" s="30"/>
      <c r="H80" s="30"/>
    </row>
    <row r="81" spans="7:8" ht="12.75" customHeight="1">
      <c r="G81" s="30"/>
      <c r="H81" s="30"/>
    </row>
    <row r="82" spans="7:8" ht="12.75" customHeight="1">
      <c r="G82" s="30"/>
      <c r="H82" s="30"/>
    </row>
    <row r="83" spans="7:8" ht="12.75" customHeight="1">
      <c r="G83" s="30"/>
      <c r="H83" s="30"/>
    </row>
    <row r="84" spans="7:8" ht="12.75" customHeight="1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4A7E19D8-A6D0-47CF-ACCB-3B4E30A30D7D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A0E07C9B-F8B8-466A-AEF6-344C7740C851}"/>
    <dataValidation allowBlank="1" showInputMessage="1" showErrorMessage="1" errorTitle="Erreur de saisie" error="La cellule ne peut prendre que du numérique." promptTitle="Information" prompt="Cette cellule ne peut prendre que du numérique," sqref="E8:H49" xr:uid="{E2DBCA06-675A-43AF-B339-FB90413C2610}"/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FE66-1B3C-4C0D-B2A9-DCFC23F83C8D}">
  <sheetPr codeName="Feuil24"/>
  <dimension ref="A1:H84"/>
  <sheetViews>
    <sheetView topLeftCell="A3"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42578125" style="27" customWidth="1" collapsed="1"/>
    <col min="5" max="5" width="19.140625" style="28" customWidth="1" collapsed="1"/>
    <col min="6" max="6" width="15.7109375" style="28" customWidth="1" collapsed="1"/>
    <col min="7" max="7" width="13" style="27" bestFit="1" customWidth="1" collapsed="1"/>
    <col min="8" max="8" width="10.28515625" style="27"/>
    <col min="9" max="16384" width="10.28515625" style="27" collapsed="1"/>
  </cols>
  <sheetData>
    <row r="1" spans="1:7" s="1" customFormat="1" ht="24.6" customHeight="1">
      <c r="A1" s="255" t="s">
        <v>0</v>
      </c>
      <c r="B1" s="255"/>
      <c r="C1" s="255"/>
      <c r="D1" s="255"/>
      <c r="E1" s="255"/>
      <c r="F1" s="255"/>
    </row>
    <row r="2" spans="1:7" s="1" customFormat="1" ht="8.1" customHeight="1">
      <c r="C2" s="2"/>
    </row>
    <row r="3" spans="1:7" s="1" customFormat="1" ht="25.5" customHeight="1">
      <c r="A3" s="256" t="s">
        <v>96</v>
      </c>
      <c r="B3" s="256"/>
      <c r="C3" s="256"/>
      <c r="D3" s="1" t="s">
        <v>1</v>
      </c>
      <c r="E3" s="257" t="s">
        <v>114</v>
      </c>
      <c r="F3" s="258"/>
    </row>
    <row r="4" spans="1:7" s="1" customFormat="1" ht="15" customHeight="1">
      <c r="A4" s="262" t="s">
        <v>140</v>
      </c>
      <c r="B4" s="258"/>
      <c r="C4" s="258"/>
      <c r="D4" s="259" t="s">
        <v>2</v>
      </c>
      <c r="E4" s="260">
        <v>12</v>
      </c>
      <c r="F4" s="260"/>
    </row>
    <row r="5" spans="1:7" s="1" customFormat="1" ht="31.15" customHeight="1">
      <c r="A5" s="4" t="s">
        <v>3</v>
      </c>
      <c r="B5" s="261" t="s">
        <v>141</v>
      </c>
      <c r="C5" s="261"/>
      <c r="D5" s="259"/>
      <c r="E5" s="258"/>
      <c r="F5" s="258"/>
    </row>
    <row r="6" spans="1:7" s="1" customFormat="1" ht="8.1" customHeight="1">
      <c r="C6" s="2"/>
    </row>
    <row r="7" spans="1:7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</row>
    <row r="8" spans="1:7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27">
        <v>0</v>
      </c>
    </row>
    <row r="9" spans="1:7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247" t="s">
        <v>186</v>
      </c>
    </row>
    <row r="10" spans="1:7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247">
        <v>0</v>
      </c>
    </row>
    <row r="11" spans="1:7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248">
        <v>-253738</v>
      </c>
    </row>
    <row r="12" spans="1:7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10396105687</v>
      </c>
      <c r="F12" s="13">
        <v>7699622013</v>
      </c>
      <c r="G12" s="247" t="s">
        <v>164</v>
      </c>
    </row>
    <row r="13" spans="1:7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247">
        <v>0</v>
      </c>
    </row>
    <row r="14" spans="1:7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5348061</v>
      </c>
      <c r="F14" s="13">
        <v>0</v>
      </c>
      <c r="G14" s="27">
        <v>0</v>
      </c>
    </row>
    <row r="15" spans="1:7" ht="18" customHeight="1">
      <c r="A15" s="16" t="s">
        <v>24</v>
      </c>
      <c r="B15" s="17" t="s">
        <v>25</v>
      </c>
      <c r="C15" s="16"/>
      <c r="D15" s="16"/>
      <c r="E15" s="18">
        <v>10401453748</v>
      </c>
      <c r="F15" s="18">
        <v>7699622013</v>
      </c>
      <c r="G15" s="249" t="s">
        <v>164</v>
      </c>
    </row>
    <row r="16" spans="1:7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1426802404</v>
      </c>
      <c r="F16" s="13">
        <v>287662967</v>
      </c>
      <c r="G16" s="247" t="s">
        <v>165</v>
      </c>
    </row>
    <row r="17" spans="1:7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247">
        <v>0</v>
      </c>
    </row>
    <row r="18" spans="1:7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247">
        <v>0</v>
      </c>
    </row>
    <row r="19" spans="1:7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248591373</v>
      </c>
      <c r="F19" s="13">
        <v>0</v>
      </c>
      <c r="G19" s="27">
        <v>0</v>
      </c>
    </row>
    <row r="20" spans="1:7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3">
        <v>6752645930</v>
      </c>
      <c r="F20" s="13">
        <v>4394455177</v>
      </c>
      <c r="G20" s="247" t="s">
        <v>166</v>
      </c>
    </row>
    <row r="21" spans="1:7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-17251821</v>
      </c>
      <c r="F21" s="13">
        <v>-19141426</v>
      </c>
      <c r="G21" s="27">
        <v>0</v>
      </c>
    </row>
    <row r="22" spans="1:7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27">
        <v>0</v>
      </c>
    </row>
    <row r="23" spans="1:7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-4102711643</v>
      </c>
      <c r="F23" s="13">
        <v>-4664850884</v>
      </c>
      <c r="G23" s="247" t="s">
        <v>167</v>
      </c>
    </row>
    <row r="24" spans="1:7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2550841612</v>
      </c>
      <c r="F24" s="13">
        <v>2599029108</v>
      </c>
      <c r="G24" s="247" t="s">
        <v>168</v>
      </c>
    </row>
    <row r="25" spans="1:7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-1413808349</v>
      </c>
      <c r="F25" s="13">
        <v>-1038771829</v>
      </c>
      <c r="G25" s="247" t="s">
        <v>169</v>
      </c>
    </row>
    <row r="26" spans="1:7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-10736266641</v>
      </c>
      <c r="F26" s="13">
        <v>-7458908641</v>
      </c>
      <c r="G26" s="247" t="s">
        <v>170</v>
      </c>
    </row>
    <row r="27" spans="1:7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-1856255814</v>
      </c>
      <c r="F27" s="13">
        <v>-35593220</v>
      </c>
      <c r="G27" s="247" t="s">
        <v>171</v>
      </c>
    </row>
    <row r="28" spans="1:7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-1596419589</v>
      </c>
      <c r="F28" s="13">
        <v>-637586536</v>
      </c>
      <c r="G28" s="247" t="s">
        <v>172</v>
      </c>
    </row>
    <row r="29" spans="1:7" ht="18" customHeight="1">
      <c r="A29" s="16" t="s">
        <v>52</v>
      </c>
      <c r="B29" s="17" t="s">
        <v>53</v>
      </c>
      <c r="C29" s="16"/>
      <c r="D29" s="16"/>
      <c r="E29" s="18">
        <v>1657621210</v>
      </c>
      <c r="F29" s="18">
        <v>1125916729</v>
      </c>
      <c r="G29" s="249" t="s">
        <v>173</v>
      </c>
    </row>
    <row r="30" spans="1:7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-1879445709</v>
      </c>
      <c r="F30" s="13">
        <v>-1568478109</v>
      </c>
      <c r="G30" s="247" t="s">
        <v>174</v>
      </c>
    </row>
    <row r="31" spans="1:7" ht="18" customHeight="1">
      <c r="A31" s="16" t="s">
        <v>56</v>
      </c>
      <c r="B31" s="17" t="s">
        <v>57</v>
      </c>
      <c r="C31" s="16"/>
      <c r="D31" s="16"/>
      <c r="E31" s="18">
        <v>-221824499</v>
      </c>
      <c r="F31" s="18">
        <v>-442561380</v>
      </c>
      <c r="G31" s="249" t="s">
        <v>175</v>
      </c>
    </row>
    <row r="32" spans="1:7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349</v>
      </c>
      <c r="F32" s="13">
        <v>2077</v>
      </c>
      <c r="G32" s="247">
        <v>0</v>
      </c>
    </row>
    <row r="33" spans="1:7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-7048054854</v>
      </c>
      <c r="F33" s="13">
        <v>-3071403855</v>
      </c>
      <c r="G33" s="247" t="s">
        <v>176</v>
      </c>
    </row>
    <row r="34" spans="1:7" ht="18" customHeight="1">
      <c r="A34" s="16" t="s">
        <v>63</v>
      </c>
      <c r="B34" s="17" t="s">
        <v>64</v>
      </c>
      <c r="C34" s="16"/>
      <c r="D34" s="16"/>
      <c r="E34" s="18">
        <v>-7269879004</v>
      </c>
      <c r="F34" s="18">
        <v>-3513963158</v>
      </c>
      <c r="G34" s="249" t="s">
        <v>177</v>
      </c>
    </row>
    <row r="35" spans="1:7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367617159</v>
      </c>
      <c r="F35" s="13">
        <v>325409696</v>
      </c>
      <c r="G35" s="247" t="s">
        <v>178</v>
      </c>
    </row>
    <row r="36" spans="1:7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190981253</v>
      </c>
      <c r="F36" s="13">
        <v>0</v>
      </c>
      <c r="G36" s="247">
        <v>0</v>
      </c>
    </row>
    <row r="37" spans="1:7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27">
        <v>0</v>
      </c>
    </row>
    <row r="38" spans="1:7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-1014809544</v>
      </c>
      <c r="F38" s="13">
        <v>-786583030</v>
      </c>
      <c r="G38" s="247" t="s">
        <v>179</v>
      </c>
    </row>
    <row r="39" spans="1:7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247">
        <v>0</v>
      </c>
    </row>
    <row r="40" spans="1:7" ht="18" customHeight="1">
      <c r="A40" s="16" t="s">
        <v>75</v>
      </c>
      <c r="B40" s="17" t="s">
        <v>76</v>
      </c>
      <c r="C40" s="16"/>
      <c r="D40" s="16"/>
      <c r="E40" s="18">
        <v>-456211132</v>
      </c>
      <c r="F40" s="18">
        <v>-461173334</v>
      </c>
      <c r="G40" s="249" t="s">
        <v>180</v>
      </c>
    </row>
    <row r="41" spans="1:7" ht="18" customHeight="1">
      <c r="A41" s="22" t="s">
        <v>77</v>
      </c>
      <c r="B41" s="23" t="s">
        <v>78</v>
      </c>
      <c r="C41" s="22"/>
      <c r="D41" s="22"/>
      <c r="E41" s="24">
        <v>-7726090136</v>
      </c>
      <c r="F41" s="24">
        <v>-3975136492</v>
      </c>
      <c r="G41" s="250" t="s">
        <v>181</v>
      </c>
    </row>
    <row r="42" spans="1:7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247">
        <v>0</v>
      </c>
    </row>
    <row r="43" spans="1:7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247" t="s">
        <v>182</v>
      </c>
    </row>
    <row r="44" spans="1:7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  <c r="G44" s="247">
        <v>0</v>
      </c>
    </row>
    <row r="45" spans="1:7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247" t="s">
        <v>183</v>
      </c>
    </row>
    <row r="46" spans="1:7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  <c r="G46" s="250" t="s">
        <v>184</v>
      </c>
    </row>
    <row r="47" spans="1:7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27">
        <v>0</v>
      </c>
    </row>
    <row r="48" spans="1:7" ht="18" customHeight="1">
      <c r="A48" s="11" t="s">
        <v>92</v>
      </c>
      <c r="B48" s="12" t="s">
        <v>93</v>
      </c>
      <c r="C48" s="11" t="s">
        <v>12</v>
      </c>
      <c r="D48" s="11"/>
      <c r="E48" s="13">
        <v>0</v>
      </c>
      <c r="F48" s="13">
        <v>0</v>
      </c>
      <c r="G48" s="27">
        <v>0</v>
      </c>
    </row>
    <row r="49" spans="1:7" ht="18" customHeight="1">
      <c r="A49" s="16" t="s">
        <v>94</v>
      </c>
      <c r="B49" s="17" t="s">
        <v>95</v>
      </c>
      <c r="C49" s="16"/>
      <c r="D49" s="16"/>
      <c r="E49" s="18">
        <v>-7726090136</v>
      </c>
      <c r="F49" s="18">
        <v>-3975136492</v>
      </c>
      <c r="G49" s="249" t="s">
        <v>185</v>
      </c>
    </row>
    <row r="53" spans="1:7" ht="12.75" customHeight="1">
      <c r="B53" s="29"/>
      <c r="C53" s="29"/>
    </row>
    <row r="54" spans="1:7" ht="12.75" customHeight="1">
      <c r="B54" s="29"/>
      <c r="C54" s="29"/>
    </row>
    <row r="55" spans="1:7" ht="12.75" customHeight="1">
      <c r="B55" s="29"/>
      <c r="C55" s="29"/>
    </row>
    <row r="58" spans="1:7" ht="12.75" customHeight="1">
      <c r="B58" s="29"/>
      <c r="C58" s="29"/>
    </row>
    <row r="59" spans="1:7" ht="12.75" customHeight="1">
      <c r="B59" s="29"/>
      <c r="C59" s="29"/>
    </row>
    <row r="62" spans="1:7" ht="12.75" customHeight="1">
      <c r="E62" s="30"/>
      <c r="F62" s="30"/>
    </row>
    <row r="63" spans="1:7" ht="12.75" customHeight="1">
      <c r="E63" s="30"/>
      <c r="F63" s="30"/>
    </row>
    <row r="64" spans="1:7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phoneticPr fontId="36" type="noConversion"/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BA6B9B98-0DC4-4865-8F76-67D5E7229F30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0A473BE3-7AA4-423E-81F9-30333957449E}"/>
    <dataValidation allowBlank="1" showInputMessage="1" showErrorMessage="1" errorTitle="Erreur de saisie" error="La cellule ne peut prendre que du numérique." promptTitle="Information" prompt="Cette cellule ne peut prendre que du numérique," sqref="E8:F49" xr:uid="{B044111B-6B5B-4F0D-899F-3A3AF1DFB2C6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93F5A-1941-43AF-AE70-486E320468EE}">
  <sheetPr codeName="Feuil25"/>
  <dimension ref="A7:H84"/>
  <sheetViews>
    <sheetView zoomScale="65" workbookViewId="0">
      <selection activeCell="G20" sqref="G20"/>
    </sheetView>
  </sheetViews>
  <sheetFormatPr baseColWidth="10" defaultRowHeight="1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3.5703125" style="27" customWidth="1"/>
    <col min="6" max="6" width="19.5703125" style="27" bestFit="1" customWidth="1"/>
    <col min="7" max="7" width="17" style="28" customWidth="1" collapsed="1"/>
    <col min="8" max="8" width="17.85546875" style="28" bestFit="1" customWidth="1" collapsed="1"/>
  </cols>
  <sheetData>
    <row r="7" spans="1:8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8"/>
      <c r="F8" s="8">
        <v>0</v>
      </c>
      <c r="G8" s="10"/>
      <c r="H8" s="10"/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>
        <v>0</v>
      </c>
      <c r="G9" s="13"/>
      <c r="H9" s="13"/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>
        <v>0</v>
      </c>
      <c r="G10" s="13"/>
      <c r="H10" s="13"/>
    </row>
    <row r="11" spans="1:8">
      <c r="A11" s="16" t="s">
        <v>16</v>
      </c>
      <c r="B11" s="17" t="s">
        <v>17</v>
      </c>
      <c r="C11" s="16"/>
      <c r="D11" s="16"/>
      <c r="E11" s="16"/>
      <c r="F11" s="16"/>
      <c r="G11" s="18"/>
      <c r="H11" s="18"/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 t="s">
        <v>187</v>
      </c>
      <c r="G12" s="13">
        <v>48587145691</v>
      </c>
      <c r="H12" s="13">
        <v>68181456700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 t="s">
        <v>188</v>
      </c>
      <c r="G13" s="13">
        <v>983167064</v>
      </c>
      <c r="H13" s="13">
        <v>1369606092</v>
      </c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 t="s">
        <v>189</v>
      </c>
      <c r="G14" s="13">
        <v>10967626</v>
      </c>
      <c r="H14" s="13">
        <v>22428118</v>
      </c>
    </row>
    <row r="15" spans="1:8">
      <c r="A15" s="16" t="s">
        <v>24</v>
      </c>
      <c r="B15" s="17" t="s">
        <v>25</v>
      </c>
      <c r="C15" s="16"/>
      <c r="D15" s="16"/>
      <c r="E15" s="16"/>
      <c r="F15" s="16" t="s">
        <v>190</v>
      </c>
      <c r="G15" s="18">
        <v>49581280381</v>
      </c>
      <c r="H15" s="18">
        <v>69573490910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 t="s">
        <v>191</v>
      </c>
      <c r="G16" s="13">
        <v>4340729600</v>
      </c>
      <c r="H16" s="13">
        <v>-46890788</v>
      </c>
    </row>
    <row r="17" spans="1:8">
      <c r="A17" s="11" t="s">
        <v>28</v>
      </c>
      <c r="B17" s="12" t="s">
        <v>29</v>
      </c>
      <c r="C17" s="11"/>
      <c r="D17" s="11">
        <v>21</v>
      </c>
      <c r="E17" s="11"/>
      <c r="F17" s="11">
        <v>0</v>
      </c>
      <c r="G17" s="13"/>
      <c r="H17" s="13"/>
    </row>
    <row r="18" spans="1:8">
      <c r="A18" s="11" t="s">
        <v>30</v>
      </c>
      <c r="B18" s="12" t="s">
        <v>31</v>
      </c>
      <c r="C18" s="11"/>
      <c r="D18" s="11">
        <v>21</v>
      </c>
      <c r="E18" s="11"/>
      <c r="F18" s="11">
        <v>0</v>
      </c>
      <c r="G18" s="13"/>
      <c r="H18" s="13"/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247" t="s">
        <v>192</v>
      </c>
      <c r="G19" s="13">
        <v>35782237</v>
      </c>
      <c r="H19" s="13">
        <v>59900721</v>
      </c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>
        <v>0</v>
      </c>
      <c r="G20" s="21"/>
      <c r="H20" s="21"/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 t="s">
        <v>193</v>
      </c>
      <c r="G21" s="13">
        <v>-21683166404</v>
      </c>
      <c r="H21" s="13">
        <v>-18764821809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 t="s">
        <v>194</v>
      </c>
      <c r="G22" s="13">
        <v>-2733636833</v>
      </c>
      <c r="H22" s="13">
        <v>1480632591</v>
      </c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 t="s">
        <v>195</v>
      </c>
      <c r="G23" s="13">
        <v>-17803787497</v>
      </c>
      <c r="H23" s="13">
        <v>-14964846928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 t="s">
        <v>196</v>
      </c>
      <c r="G24" s="13">
        <v>6690760593</v>
      </c>
      <c r="H24" s="13">
        <v>3019572696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 t="s">
        <v>197</v>
      </c>
      <c r="G25" s="13">
        <v>-240428829</v>
      </c>
      <c r="H25" s="13">
        <v>-173097122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 t="s">
        <v>198</v>
      </c>
      <c r="G26" s="13">
        <v>-3801006633</v>
      </c>
      <c r="H26" s="13">
        <v>-3490699178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 t="s">
        <v>199</v>
      </c>
      <c r="G27" s="13">
        <v>-135265500</v>
      </c>
      <c r="H27" s="13">
        <v>-211881042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 t="s">
        <v>200</v>
      </c>
      <c r="G28" s="13">
        <v>-144717646</v>
      </c>
      <c r="H28" s="13">
        <v>-231705416</v>
      </c>
    </row>
    <row r="29" spans="1:8">
      <c r="A29" s="16" t="s">
        <v>52</v>
      </c>
      <c r="B29" s="17" t="s">
        <v>53</v>
      </c>
      <c r="C29" s="16"/>
      <c r="D29" s="16"/>
      <c r="E29" s="16"/>
      <c r="F29" s="16" t="s">
        <v>201</v>
      </c>
      <c r="G29" s="18">
        <v>14106543469</v>
      </c>
      <c r="H29" s="18">
        <v>36249654635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 t="s">
        <v>202</v>
      </c>
      <c r="G30" s="13">
        <v>-7202239681</v>
      </c>
      <c r="H30" s="13">
        <v>-7262670027</v>
      </c>
    </row>
    <row r="31" spans="1:8">
      <c r="A31" s="16" t="s">
        <v>56</v>
      </c>
      <c r="B31" s="17" t="s">
        <v>57</v>
      </c>
      <c r="C31" s="16"/>
      <c r="D31" s="16"/>
      <c r="E31" s="16"/>
      <c r="F31" s="16" t="s">
        <v>203</v>
      </c>
      <c r="G31" s="18">
        <v>6904303788</v>
      </c>
      <c r="H31" s="18">
        <v>28986984608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>
        <v>0</v>
      </c>
      <c r="G32" s="13"/>
      <c r="H32" s="13">
        <v>205735863</v>
      </c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251">
        <v>-7963649694</v>
      </c>
      <c r="G33" s="21">
        <v>-7518012048</v>
      </c>
      <c r="H33" s="21">
        <v>-7526360310</v>
      </c>
    </row>
    <row r="34" spans="1:8">
      <c r="A34" s="16" t="s">
        <v>63</v>
      </c>
      <c r="B34" s="17" t="s">
        <v>64</v>
      </c>
      <c r="C34" s="16"/>
      <c r="D34" s="16"/>
      <c r="E34" s="16"/>
      <c r="F34" s="16" t="s">
        <v>210</v>
      </c>
      <c r="G34" s="18">
        <v>-613708260</v>
      </c>
      <c r="H34" s="18">
        <v>21666360161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 t="s">
        <v>204</v>
      </c>
      <c r="G35" s="13">
        <v>506680688</v>
      </c>
      <c r="H35" s="13">
        <v>157539010</v>
      </c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 t="s">
        <v>205</v>
      </c>
      <c r="G36" s="13">
        <v>8120422322</v>
      </c>
      <c r="H36" s="13">
        <v>5403061010</v>
      </c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>
        <v>0</v>
      </c>
      <c r="G37" s="13"/>
      <c r="H37" s="13"/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 t="s">
        <v>206</v>
      </c>
      <c r="G38" s="13">
        <v>-9196818729</v>
      </c>
      <c r="H38" s="13">
        <v>-2424173740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 t="s">
        <v>207</v>
      </c>
      <c r="G39" s="13">
        <v>-5455153284</v>
      </c>
      <c r="H39" s="13">
        <v>-8132838440</v>
      </c>
    </row>
    <row r="40" spans="1:8">
      <c r="A40" s="16" t="s">
        <v>75</v>
      </c>
      <c r="B40" s="17" t="s">
        <v>76</v>
      </c>
      <c r="C40" s="16"/>
      <c r="D40" s="16"/>
      <c r="E40" s="16"/>
      <c r="F40" s="16" t="s">
        <v>208</v>
      </c>
      <c r="G40" s="18">
        <v>-6024869003</v>
      </c>
      <c r="H40" s="18">
        <v>-4996412160</v>
      </c>
    </row>
    <row r="41" spans="1:8">
      <c r="A41" s="22" t="s">
        <v>77</v>
      </c>
      <c r="B41" s="23" t="s">
        <v>78</v>
      </c>
      <c r="C41" s="22"/>
      <c r="D41" s="22"/>
      <c r="E41" s="22"/>
      <c r="F41" s="22" t="s">
        <v>209</v>
      </c>
      <c r="G41" s="24">
        <v>-6638577263</v>
      </c>
      <c r="H41" s="24">
        <v>16669948001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>
        <v>29928392</v>
      </c>
      <c r="H42" s="13">
        <v>26360999</v>
      </c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/>
      <c r="H43" s="13"/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/>
      <c r="H44" s="13">
        <v>-1521365</v>
      </c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/>
      <c r="H45" s="13"/>
    </row>
    <row r="46" spans="1:8">
      <c r="A46" s="22" t="s">
        <v>88</v>
      </c>
      <c r="B46" s="23" t="s">
        <v>89</v>
      </c>
      <c r="C46" s="22"/>
      <c r="D46" s="22"/>
      <c r="E46" s="22"/>
      <c r="F46" s="22"/>
      <c r="G46" s="24">
        <v>29928392</v>
      </c>
      <c r="H46" s="24">
        <v>24839634</v>
      </c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/>
      <c r="H47" s="13"/>
    </row>
    <row r="48" spans="1:8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/>
      <c r="H48" s="13"/>
    </row>
    <row r="49" spans="1:8">
      <c r="A49" s="16" t="s">
        <v>94</v>
      </c>
      <c r="B49" s="17" t="s">
        <v>95</v>
      </c>
      <c r="C49" s="16"/>
      <c r="D49" s="16"/>
      <c r="E49" s="16"/>
      <c r="F49" s="16" t="s">
        <v>209</v>
      </c>
      <c r="G49" s="18">
        <v>-6608648871</v>
      </c>
      <c r="H49" s="18">
        <v>16694787635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G8:H49" xr:uid="{EF54C8B3-542B-46FB-A656-7DB2E1BECB17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1E740-6DE3-4525-B39F-FE3787A0FE9C}">
  <sheetPr codeName="Feuil27"/>
  <dimension ref="A1:K84"/>
  <sheetViews>
    <sheetView topLeftCell="A2" workbookViewId="0">
      <selection sqref="A1:XFD1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5.7109375" style="28" customWidth="1" collapsed="1"/>
    <col min="9" max="9" width="10.28515625" style="27" collapsed="1"/>
    <col min="10" max="10" width="11.28515625" style="27" bestFit="1" customWidth="1" collapsed="1"/>
    <col min="11" max="11" width="17.140625" style="27" customWidth="1" collapsed="1"/>
    <col min="12" max="16384" width="10.28515625" style="27" collapsed="1"/>
  </cols>
  <sheetData>
    <row r="1" spans="1:11" s="1" customFormat="1" ht="24.6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11" s="1" customFormat="1" ht="8.1" customHeight="1">
      <c r="C2" s="2"/>
    </row>
    <row r="3" spans="1:11" s="1" customFormat="1" ht="25.5" customHeight="1">
      <c r="A3" s="256" t="s">
        <v>113</v>
      </c>
      <c r="B3" s="256"/>
      <c r="C3" s="256"/>
      <c r="D3" s="1" t="s">
        <v>1</v>
      </c>
      <c r="G3" s="257">
        <f>+'[8]Fiche de renseignement R1'!$V$10</f>
        <v>45657</v>
      </c>
      <c r="H3" s="258"/>
    </row>
    <row r="4" spans="1:11" s="1" customFormat="1" ht="15" customHeight="1">
      <c r="A4" s="258" t="s">
        <v>132</v>
      </c>
      <c r="B4" s="258"/>
      <c r="C4" s="258"/>
      <c r="D4" s="259" t="s">
        <v>2</v>
      </c>
      <c r="E4" s="25"/>
      <c r="F4" s="25"/>
      <c r="G4" s="260">
        <f>+'[8]Fiche de renseignement R1'!$AH$10</f>
        <v>12</v>
      </c>
      <c r="H4" s="260"/>
    </row>
    <row r="5" spans="1:11" s="1" customFormat="1" ht="30.95" customHeight="1">
      <c r="A5" s="4" t="s">
        <v>3</v>
      </c>
      <c r="B5" s="261" t="str">
        <f>+'[8]Fiche de renseignement R1'!$J$10</f>
        <v>000113457</v>
      </c>
      <c r="C5" s="261"/>
      <c r="D5" s="259"/>
      <c r="E5" s="25"/>
      <c r="F5" s="25"/>
      <c r="G5" s="258"/>
      <c r="H5" s="258"/>
    </row>
    <row r="6" spans="1:11" s="1" customFormat="1" ht="8.1" customHeight="1">
      <c r="C6" s="2"/>
    </row>
    <row r="7" spans="1:11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11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/>
      <c r="H8" s="10"/>
    </row>
    <row r="9" spans="1:11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/>
      <c r="H9" s="13"/>
    </row>
    <row r="10" spans="1:11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/>
      <c r="H10" s="13"/>
    </row>
    <row r="11" spans="1:11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/>
      <c r="H11" s="18"/>
    </row>
    <row r="12" spans="1:11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2845183426</v>
      </c>
      <c r="F12" s="13">
        <v>2198339105</v>
      </c>
      <c r="G12" s="13"/>
      <c r="H12" s="13"/>
    </row>
    <row r="13" spans="1:11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  <c r="G13" s="13"/>
      <c r="H13" s="13"/>
    </row>
    <row r="14" spans="1:11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  <c r="G14" s="13"/>
      <c r="H14" s="13"/>
    </row>
    <row r="15" spans="1:11" ht="18" customHeight="1">
      <c r="A15" s="16" t="s">
        <v>24</v>
      </c>
      <c r="B15" s="17" t="s">
        <v>25</v>
      </c>
      <c r="C15" s="16"/>
      <c r="D15" s="16"/>
      <c r="E15" s="18">
        <v>2845183426</v>
      </c>
      <c r="F15" s="18">
        <v>2198339105</v>
      </c>
      <c r="G15" s="18"/>
      <c r="H15" s="18"/>
      <c r="J15" s="30"/>
      <c r="K15" s="30"/>
    </row>
    <row r="16" spans="1:11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-108472521</v>
      </c>
      <c r="F16" s="13">
        <v>77424629</v>
      </c>
      <c r="G16" s="13"/>
      <c r="H16" s="13"/>
      <c r="J16" s="30"/>
      <c r="K16" s="30"/>
    </row>
    <row r="17" spans="1:11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/>
      <c r="H17" s="13"/>
    </row>
    <row r="18" spans="1:11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/>
      <c r="H18" s="13"/>
    </row>
    <row r="19" spans="1:11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4338286</v>
      </c>
      <c r="F19" s="13">
        <v>2770418</v>
      </c>
      <c r="G19" s="13"/>
      <c r="H19" s="13"/>
      <c r="J19" s="30"/>
      <c r="K19" s="30"/>
    </row>
    <row r="20" spans="1:11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3">
        <v>50037</v>
      </c>
      <c r="F20" s="13">
        <v>29571</v>
      </c>
      <c r="G20" s="13"/>
      <c r="H20" s="13"/>
    </row>
    <row r="21" spans="1:11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/>
      <c r="H21" s="13"/>
    </row>
    <row r="22" spans="1:11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-877420</v>
      </c>
      <c r="G22" s="13"/>
      <c r="H22" s="13"/>
    </row>
    <row r="23" spans="1:11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-622108972</v>
      </c>
      <c r="F23" s="13">
        <v>-596212144</v>
      </c>
      <c r="G23" s="13"/>
      <c r="H23" s="13"/>
    </row>
    <row r="24" spans="1:11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73940608</v>
      </c>
      <c r="F24" s="13">
        <v>1558563</v>
      </c>
      <c r="G24" s="13"/>
      <c r="H24" s="13"/>
    </row>
    <row r="25" spans="1:11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-534031911</v>
      </c>
      <c r="F25" s="13">
        <v>-172503377</v>
      </c>
      <c r="G25" s="13"/>
      <c r="H25" s="13"/>
    </row>
    <row r="26" spans="1:11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-641441363</v>
      </c>
      <c r="F26" s="13">
        <v>-794765129</v>
      </c>
      <c r="G26" s="13"/>
      <c r="H26" s="13"/>
    </row>
    <row r="27" spans="1:11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-105721513</v>
      </c>
      <c r="F27" s="13">
        <v>-50334578</v>
      </c>
      <c r="G27" s="13"/>
      <c r="H27" s="13"/>
    </row>
    <row r="28" spans="1:11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-49068628</v>
      </c>
      <c r="F28" s="13">
        <v>-61683688</v>
      </c>
      <c r="G28" s="13"/>
      <c r="H28" s="13"/>
    </row>
    <row r="29" spans="1:11" ht="18" customHeight="1">
      <c r="A29" s="16" t="s">
        <v>52</v>
      </c>
      <c r="B29" s="17" t="s">
        <v>53</v>
      </c>
      <c r="C29" s="16"/>
      <c r="D29" s="16"/>
      <c r="E29" s="18">
        <v>862667449</v>
      </c>
      <c r="F29" s="18">
        <v>603745950</v>
      </c>
      <c r="G29" s="18"/>
      <c r="H29" s="18"/>
    </row>
    <row r="30" spans="1:11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-627846178</v>
      </c>
      <c r="F30" s="13">
        <v>-610066406</v>
      </c>
      <c r="G30" s="13"/>
      <c r="H30" s="13"/>
    </row>
    <row r="31" spans="1:11" ht="18" customHeight="1">
      <c r="A31" s="16" t="s">
        <v>56</v>
      </c>
      <c r="B31" s="17" t="s">
        <v>57</v>
      </c>
      <c r="C31" s="16"/>
      <c r="D31" s="16"/>
      <c r="E31" s="18">
        <v>234821271</v>
      </c>
      <c r="F31" s="18">
        <v>-6320456</v>
      </c>
      <c r="G31" s="18"/>
      <c r="H31" s="18"/>
    </row>
    <row r="32" spans="1:11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240845728</v>
      </c>
      <c r="F32" s="13">
        <v>142331132</v>
      </c>
      <c r="G32" s="13"/>
      <c r="H32" s="13"/>
      <c r="J32" s="30"/>
      <c r="K32" s="30"/>
    </row>
    <row r="33" spans="1:11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09">
        <v>-565354486</v>
      </c>
      <c r="F33" s="109">
        <v>-470601981</v>
      </c>
      <c r="G33" s="109"/>
      <c r="H33" s="109"/>
      <c r="J33" s="30"/>
    </row>
    <row r="34" spans="1:11" ht="18" customHeight="1">
      <c r="A34" s="16" t="s">
        <v>63</v>
      </c>
      <c r="B34" s="17" t="s">
        <v>64</v>
      </c>
      <c r="C34" s="16"/>
      <c r="D34" s="16"/>
      <c r="E34" s="18">
        <v>-89687487</v>
      </c>
      <c r="F34" s="18">
        <v>-334591305</v>
      </c>
      <c r="G34" s="18"/>
      <c r="H34" s="18"/>
    </row>
    <row r="35" spans="1:11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572550</v>
      </c>
      <c r="G35" s="13"/>
      <c r="H35" s="13"/>
      <c r="K35" s="30"/>
    </row>
    <row r="36" spans="1:11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/>
      <c r="H36" s="13"/>
    </row>
    <row r="37" spans="1:11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/>
      <c r="H37" s="13"/>
    </row>
    <row r="38" spans="1:11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-351528472</v>
      </c>
      <c r="F38" s="13">
        <v>-381714707</v>
      </c>
      <c r="G38" s="13"/>
      <c r="H38" s="13"/>
    </row>
    <row r="39" spans="1:11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13"/>
      <c r="H39" s="13"/>
    </row>
    <row r="40" spans="1:11" ht="18" customHeight="1">
      <c r="A40" s="16" t="s">
        <v>75</v>
      </c>
      <c r="B40" s="17" t="s">
        <v>76</v>
      </c>
      <c r="C40" s="16"/>
      <c r="D40" s="16"/>
      <c r="E40" s="18">
        <v>-351528472</v>
      </c>
      <c r="F40" s="18">
        <v>-381142157</v>
      </c>
      <c r="G40" s="18"/>
      <c r="H40" s="18"/>
    </row>
    <row r="41" spans="1:11" ht="18" customHeight="1">
      <c r="A41" s="22" t="s">
        <v>77</v>
      </c>
      <c r="B41" s="23" t="s">
        <v>78</v>
      </c>
      <c r="C41" s="22"/>
      <c r="D41" s="22"/>
      <c r="E41" s="22">
        <v>-441215959</v>
      </c>
      <c r="F41" s="22">
        <v>-715733462</v>
      </c>
      <c r="G41" s="22"/>
      <c r="H41" s="22"/>
    </row>
    <row r="42" spans="1:11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  <c r="G42" s="13"/>
      <c r="H42" s="13"/>
    </row>
    <row r="43" spans="1:11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2500000</v>
      </c>
      <c r="G43" s="13"/>
      <c r="H43" s="13"/>
    </row>
    <row r="44" spans="1:11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  <c r="G44" s="13"/>
      <c r="H44" s="13"/>
    </row>
    <row r="45" spans="1:11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/>
      <c r="H45" s="13"/>
    </row>
    <row r="46" spans="1:11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2500000</v>
      </c>
      <c r="G46" s="24"/>
      <c r="H46" s="24"/>
    </row>
    <row r="47" spans="1:11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/>
      <c r="H47" s="13"/>
    </row>
    <row r="48" spans="1:11" ht="18" customHeight="1">
      <c r="A48" s="11" t="s">
        <v>92</v>
      </c>
      <c r="B48" s="12" t="s">
        <v>93</v>
      </c>
      <c r="C48" s="11" t="s">
        <v>12</v>
      </c>
      <c r="D48" s="11"/>
      <c r="E48" s="13">
        <v>-5000000</v>
      </c>
      <c r="F48" s="13">
        <v>-5000000</v>
      </c>
      <c r="G48" s="13"/>
      <c r="H48" s="13"/>
    </row>
    <row r="49" spans="1:8" ht="18" customHeight="1">
      <c r="A49" s="16" t="s">
        <v>94</v>
      </c>
      <c r="B49" s="17" t="s">
        <v>95</v>
      </c>
      <c r="C49" s="16"/>
      <c r="D49" s="16"/>
      <c r="E49" s="18">
        <v>-446215959</v>
      </c>
      <c r="F49" s="18">
        <v>-718233462</v>
      </c>
      <c r="G49" s="18"/>
      <c r="H49" s="18"/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30"/>
      <c r="H62" s="30"/>
    </row>
    <row r="63" spans="1:8" ht="12.75" customHeight="1">
      <c r="G63" s="30"/>
      <c r="H63" s="30"/>
    </row>
    <row r="64" spans="1:8" ht="12.75" customHeight="1">
      <c r="G64" s="30"/>
      <c r="H64" s="30"/>
    </row>
    <row r="65" spans="7:8" ht="12.75" customHeight="1">
      <c r="G65" s="30"/>
      <c r="H65" s="30"/>
    </row>
    <row r="66" spans="7:8" ht="12.75" customHeight="1">
      <c r="G66" s="30"/>
      <c r="H66" s="30"/>
    </row>
    <row r="67" spans="7:8" ht="12.75" customHeight="1">
      <c r="G67" s="30"/>
      <c r="H67" s="30"/>
    </row>
    <row r="68" spans="7:8" ht="12.75" customHeight="1">
      <c r="G68" s="30"/>
      <c r="H68" s="30"/>
    </row>
    <row r="69" spans="7:8" ht="12.75" customHeight="1">
      <c r="G69" s="30"/>
      <c r="H69" s="30"/>
    </row>
    <row r="70" spans="7:8" ht="12.75" customHeight="1">
      <c r="G70" s="30"/>
      <c r="H70" s="30"/>
    </row>
    <row r="71" spans="7:8" ht="12.75" customHeight="1">
      <c r="G71" s="30"/>
      <c r="H71" s="30"/>
    </row>
    <row r="72" spans="7:8" ht="12.75" customHeight="1">
      <c r="G72" s="30"/>
      <c r="H72" s="30"/>
    </row>
    <row r="73" spans="7:8" ht="12.75" customHeight="1">
      <c r="G73" s="30"/>
      <c r="H73" s="30"/>
    </row>
    <row r="74" spans="7:8" ht="12.75" customHeight="1">
      <c r="G74" s="30"/>
      <c r="H74" s="30"/>
    </row>
    <row r="75" spans="7:8" ht="12.75" customHeight="1">
      <c r="G75" s="30"/>
      <c r="H75" s="30"/>
    </row>
    <row r="76" spans="7:8" ht="12.75" customHeight="1">
      <c r="G76" s="30"/>
      <c r="H76" s="30"/>
    </row>
    <row r="77" spans="7:8" ht="12.75" customHeight="1">
      <c r="G77" s="30"/>
      <c r="H77" s="30"/>
    </row>
    <row r="78" spans="7:8" ht="12.75" customHeight="1">
      <c r="G78" s="30"/>
      <c r="H78" s="30"/>
    </row>
    <row r="79" spans="7:8" ht="12.75" customHeight="1">
      <c r="G79" s="30"/>
      <c r="H79" s="30"/>
    </row>
    <row r="80" spans="7:8" ht="12.75" customHeight="1">
      <c r="G80" s="30"/>
      <c r="H80" s="30"/>
    </row>
    <row r="81" spans="7:8" ht="12.75" customHeight="1">
      <c r="G81" s="30"/>
      <c r="H81" s="30"/>
    </row>
    <row r="82" spans="7:8" ht="12.75" customHeight="1">
      <c r="G82" s="30"/>
      <c r="H82" s="30"/>
    </row>
    <row r="83" spans="7:8" ht="12.75" customHeight="1">
      <c r="G83" s="30"/>
      <c r="H83" s="30"/>
    </row>
    <row r="84" spans="7:8" ht="12.75" customHeight="1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44897F51-7E3C-4515-AE97-4CE47698DF83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35A4AA14-2CC9-40CC-A7C2-4DD4CFF3086C}"/>
    <dataValidation allowBlank="1" showInputMessage="1" showErrorMessage="1" errorTitle="Erreur de saisie" error="La cellule ne peut prendre que du numérique." promptTitle="Information" prompt="Cette cellule ne peut prendre que du numérique," sqref="E8:H49" xr:uid="{7512F206-3427-4D3C-8376-8A468F185E63}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4FF8-2590-49B7-BD24-EE6209615F3C}">
  <sheetPr codeName="Feuil28">
    <tabColor theme="8"/>
  </sheetPr>
  <dimension ref="A1:H49"/>
  <sheetViews>
    <sheetView topLeftCell="A33" workbookViewId="0">
      <selection activeCell="H16" sqref="H16"/>
    </sheetView>
  </sheetViews>
  <sheetFormatPr baseColWidth="10" defaultColWidth="11.42578125" defaultRowHeight="12.75"/>
  <cols>
    <col min="1" max="1" width="4.140625" style="100" customWidth="1" collapsed="1"/>
    <col min="2" max="2" width="56" style="90" customWidth="1" collapsed="1"/>
    <col min="3" max="3" width="3.140625" style="90" customWidth="1" collapsed="1"/>
    <col min="4" max="4" width="8.28515625" style="90" customWidth="1" collapsed="1"/>
    <col min="5" max="6" width="13.28515625" style="90" bestFit="1" customWidth="1"/>
    <col min="7" max="8" width="13.85546875" style="90" customWidth="1" collapsed="1"/>
    <col min="9" max="16384" width="11.42578125" style="90" collapsed="1"/>
  </cols>
  <sheetData>
    <row r="1" spans="1:8" s="84" customFormat="1" ht="24.6" customHeight="1">
      <c r="A1" s="265" t="s">
        <v>0</v>
      </c>
      <c r="B1" s="265"/>
      <c r="C1" s="265"/>
      <c r="D1" s="265"/>
      <c r="E1" s="265"/>
      <c r="F1" s="265"/>
      <c r="G1" s="265"/>
      <c r="H1" s="265"/>
    </row>
    <row r="2" spans="1:8" s="84" customFormat="1" ht="8.1" customHeight="1">
      <c r="C2" s="85"/>
    </row>
    <row r="3" spans="1:8" s="84" customFormat="1" ht="25.5" customHeight="1">
      <c r="A3" s="266" t="s">
        <v>96</v>
      </c>
      <c r="B3" s="266"/>
      <c r="C3" s="266"/>
      <c r="D3" s="84" t="s">
        <v>1</v>
      </c>
      <c r="G3" s="267">
        <f>+'[9]Fiche de renseignement R1'!$V$10</f>
        <v>45657</v>
      </c>
      <c r="H3" s="268"/>
    </row>
    <row r="4" spans="1:8" s="84" customFormat="1" ht="15" customHeight="1">
      <c r="A4" s="269" t="str">
        <f>'[9]Fiche de renseignement R1'!$J$4</f>
        <v>SOCIETE NOUVELLE DES SALINS DU SINE SALOUM</v>
      </c>
      <c r="B4" s="268"/>
      <c r="C4" s="268"/>
      <c r="D4" s="270" t="s">
        <v>2</v>
      </c>
      <c r="E4" s="101"/>
      <c r="F4" s="101"/>
      <c r="G4" s="271">
        <f>+'[9]Fiche de renseignement R1'!$AH$10</f>
        <v>12</v>
      </c>
      <c r="H4" s="272"/>
    </row>
    <row r="5" spans="1:8" s="84" customFormat="1" ht="30.95" customHeight="1">
      <c r="A5" s="86" t="s">
        <v>3</v>
      </c>
      <c r="B5" s="273" t="str">
        <f>+'[9]Fiche de renseignement R1'!$J$10</f>
        <v>000018699</v>
      </c>
      <c r="C5" s="274"/>
      <c r="D5" s="270"/>
      <c r="E5" s="101"/>
      <c r="F5" s="101"/>
      <c r="G5" s="268"/>
      <c r="H5" s="268"/>
    </row>
    <row r="7" spans="1:8" ht="18" customHeight="1">
      <c r="A7" s="87" t="s">
        <v>4</v>
      </c>
      <c r="B7" s="88" t="s">
        <v>5</v>
      </c>
      <c r="C7" s="88"/>
      <c r="D7" s="87" t="s">
        <v>6</v>
      </c>
      <c r="E7" s="89">
        <v>2024</v>
      </c>
      <c r="F7" s="89">
        <v>2023</v>
      </c>
      <c r="G7" s="89">
        <v>2022</v>
      </c>
      <c r="H7" s="89">
        <v>2021</v>
      </c>
    </row>
    <row r="8" spans="1:8">
      <c r="A8" s="91" t="s">
        <v>7</v>
      </c>
      <c r="B8" s="92" t="s">
        <v>117</v>
      </c>
      <c r="C8" s="91" t="s">
        <v>9</v>
      </c>
      <c r="D8" s="91">
        <v>21</v>
      </c>
      <c r="E8" s="93">
        <v>0</v>
      </c>
      <c r="F8" s="93">
        <v>0</v>
      </c>
      <c r="G8" s="93"/>
      <c r="H8" s="93"/>
    </row>
    <row r="9" spans="1:8">
      <c r="A9" s="91" t="s">
        <v>10</v>
      </c>
      <c r="B9" s="92" t="s">
        <v>11</v>
      </c>
      <c r="C9" s="91" t="s">
        <v>12</v>
      </c>
      <c r="D9" s="91">
        <v>22</v>
      </c>
      <c r="E9" s="93">
        <v>0</v>
      </c>
      <c r="F9" s="93">
        <v>0</v>
      </c>
      <c r="G9" s="93"/>
      <c r="H9" s="93"/>
    </row>
    <row r="10" spans="1:8">
      <c r="A10" s="91" t="s">
        <v>13</v>
      </c>
      <c r="B10" s="92" t="s">
        <v>98</v>
      </c>
      <c r="C10" s="91" t="s">
        <v>15</v>
      </c>
      <c r="D10" s="91">
        <v>6</v>
      </c>
      <c r="E10" s="93">
        <v>0</v>
      </c>
      <c r="F10" s="93">
        <v>0</v>
      </c>
      <c r="G10" s="93"/>
      <c r="H10" s="93"/>
    </row>
    <row r="11" spans="1:8">
      <c r="A11" s="87" t="s">
        <v>16</v>
      </c>
      <c r="B11" s="88" t="s">
        <v>17</v>
      </c>
      <c r="C11" s="87"/>
      <c r="D11" s="87"/>
      <c r="E11" s="94">
        <v>0</v>
      </c>
      <c r="F11" s="94">
        <v>0</v>
      </c>
      <c r="G11" s="94"/>
      <c r="H11" s="94"/>
    </row>
    <row r="12" spans="1:8">
      <c r="A12" s="91" t="s">
        <v>18</v>
      </c>
      <c r="B12" s="92" t="s">
        <v>118</v>
      </c>
      <c r="C12" s="91" t="s">
        <v>9</v>
      </c>
      <c r="D12" s="91">
        <v>21</v>
      </c>
      <c r="E12" s="93">
        <v>15098202108</v>
      </c>
      <c r="F12" s="93">
        <v>17748425468</v>
      </c>
      <c r="G12" s="93"/>
      <c r="H12" s="93"/>
    </row>
    <row r="13" spans="1:8">
      <c r="A13" s="91" t="s">
        <v>20</v>
      </c>
      <c r="B13" s="92" t="s">
        <v>119</v>
      </c>
      <c r="C13" s="91" t="s">
        <v>9</v>
      </c>
      <c r="D13" s="91">
        <v>21</v>
      </c>
      <c r="E13" s="93">
        <v>0</v>
      </c>
      <c r="F13" s="93">
        <v>0</v>
      </c>
      <c r="G13" s="93"/>
      <c r="H13" s="93"/>
    </row>
    <row r="14" spans="1:8">
      <c r="A14" s="91" t="s">
        <v>22</v>
      </c>
      <c r="B14" s="92" t="s">
        <v>120</v>
      </c>
      <c r="C14" s="91" t="s">
        <v>9</v>
      </c>
      <c r="D14" s="91">
        <v>21</v>
      </c>
      <c r="E14" s="93">
        <v>20686680</v>
      </c>
      <c r="F14" s="93">
        <v>12712</v>
      </c>
      <c r="G14" s="93"/>
      <c r="H14" s="93"/>
    </row>
    <row r="15" spans="1:8">
      <c r="A15" s="87" t="s">
        <v>24</v>
      </c>
      <c r="B15" s="88" t="s">
        <v>25</v>
      </c>
      <c r="C15" s="87"/>
      <c r="D15" s="87"/>
      <c r="E15" s="94">
        <v>15118888788</v>
      </c>
      <c r="F15" s="94">
        <v>17748438180</v>
      </c>
      <c r="G15" s="94"/>
      <c r="H15" s="94"/>
    </row>
    <row r="16" spans="1:8">
      <c r="A16" s="91" t="s">
        <v>26</v>
      </c>
      <c r="B16" s="92" t="s">
        <v>27</v>
      </c>
      <c r="C16" s="91" t="s">
        <v>15</v>
      </c>
      <c r="D16" s="91">
        <v>6</v>
      </c>
      <c r="E16" s="93">
        <v>237085553</v>
      </c>
      <c r="F16" s="93">
        <v>100359957</v>
      </c>
      <c r="G16" s="93"/>
      <c r="H16" s="93"/>
    </row>
    <row r="17" spans="1:8">
      <c r="A17" s="91" t="s">
        <v>28</v>
      </c>
      <c r="B17" s="92" t="s">
        <v>29</v>
      </c>
      <c r="C17" s="91"/>
      <c r="D17" s="91">
        <v>21</v>
      </c>
      <c r="E17" s="93">
        <v>63508535</v>
      </c>
      <c r="F17" s="93">
        <v>31315159</v>
      </c>
      <c r="G17" s="93"/>
      <c r="H17" s="93"/>
    </row>
    <row r="18" spans="1:8">
      <c r="A18" s="91" t="s">
        <v>30</v>
      </c>
      <c r="B18" s="92" t="s">
        <v>31</v>
      </c>
      <c r="C18" s="91"/>
      <c r="D18" s="91">
        <v>21</v>
      </c>
      <c r="E18" s="93">
        <v>0</v>
      </c>
      <c r="F18" s="93">
        <v>0</v>
      </c>
      <c r="G18" s="93"/>
      <c r="H18" s="93"/>
    </row>
    <row r="19" spans="1:8">
      <c r="A19" s="91" t="s">
        <v>32</v>
      </c>
      <c r="B19" s="92" t="s">
        <v>33</v>
      </c>
      <c r="C19" s="91" t="s">
        <v>9</v>
      </c>
      <c r="D19" s="91">
        <v>21</v>
      </c>
      <c r="E19" s="93">
        <v>1000949</v>
      </c>
      <c r="F19" s="93">
        <v>531038</v>
      </c>
      <c r="G19" s="93"/>
      <c r="H19" s="93"/>
    </row>
    <row r="20" spans="1:8">
      <c r="A20" s="91" t="s">
        <v>34</v>
      </c>
      <c r="B20" s="92" t="s">
        <v>99</v>
      </c>
      <c r="C20" s="91" t="s">
        <v>9</v>
      </c>
      <c r="D20" s="91">
        <v>12</v>
      </c>
      <c r="E20" s="93">
        <v>0</v>
      </c>
      <c r="F20" s="93">
        <v>53520000</v>
      </c>
      <c r="G20" s="93"/>
      <c r="H20" s="93"/>
    </row>
    <row r="21" spans="1:8">
      <c r="A21" s="91" t="s">
        <v>36</v>
      </c>
      <c r="B21" s="92" t="s">
        <v>37</v>
      </c>
      <c r="C21" s="91" t="s">
        <v>12</v>
      </c>
      <c r="D21" s="91">
        <v>22</v>
      </c>
      <c r="E21" s="93">
        <v>0</v>
      </c>
      <c r="F21" s="93">
        <v>0</v>
      </c>
      <c r="G21" s="93"/>
      <c r="H21" s="93"/>
    </row>
    <row r="22" spans="1:8">
      <c r="A22" s="91" t="s">
        <v>38</v>
      </c>
      <c r="B22" s="92" t="s">
        <v>39</v>
      </c>
      <c r="C22" s="91" t="s">
        <v>15</v>
      </c>
      <c r="D22" s="91">
        <v>6</v>
      </c>
      <c r="E22" s="93">
        <v>0</v>
      </c>
      <c r="F22" s="93">
        <v>0</v>
      </c>
      <c r="G22" s="93"/>
      <c r="H22" s="93"/>
    </row>
    <row r="23" spans="1:8">
      <c r="A23" s="91" t="s">
        <v>40</v>
      </c>
      <c r="B23" s="92" t="s">
        <v>41</v>
      </c>
      <c r="C23" s="91" t="s">
        <v>12</v>
      </c>
      <c r="D23" s="91">
        <v>22</v>
      </c>
      <c r="E23" s="93">
        <v>-3585894455</v>
      </c>
      <c r="F23" s="93">
        <v>-4237015280</v>
      </c>
      <c r="G23" s="93"/>
      <c r="H23" s="93"/>
    </row>
    <row r="24" spans="1:8">
      <c r="A24" s="91" t="s">
        <v>42</v>
      </c>
      <c r="B24" s="92" t="s">
        <v>43</v>
      </c>
      <c r="C24" s="91" t="s">
        <v>15</v>
      </c>
      <c r="D24" s="91">
        <v>6</v>
      </c>
      <c r="E24" s="93">
        <v>119698651</v>
      </c>
      <c r="F24" s="93">
        <v>330742202</v>
      </c>
      <c r="G24" s="93"/>
      <c r="H24" s="93"/>
    </row>
    <row r="25" spans="1:8">
      <c r="A25" s="91" t="s">
        <v>44</v>
      </c>
      <c r="B25" s="92" t="s">
        <v>45</v>
      </c>
      <c r="C25" s="91" t="s">
        <v>12</v>
      </c>
      <c r="D25" s="91">
        <v>23</v>
      </c>
      <c r="E25" s="93">
        <v>-3453328573</v>
      </c>
      <c r="F25" s="93">
        <v>-4753977481</v>
      </c>
      <c r="G25" s="93"/>
      <c r="H25" s="93"/>
    </row>
    <row r="26" spans="1:8">
      <c r="A26" s="91" t="s">
        <v>46</v>
      </c>
      <c r="B26" s="92" t="s">
        <v>47</v>
      </c>
      <c r="C26" s="91" t="s">
        <v>12</v>
      </c>
      <c r="D26" s="91">
        <v>24</v>
      </c>
      <c r="E26" s="93">
        <v>-831356141</v>
      </c>
      <c r="F26" s="93">
        <v>-818209910</v>
      </c>
      <c r="G26" s="93"/>
      <c r="H26" s="93"/>
    </row>
    <row r="27" spans="1:8">
      <c r="A27" s="91" t="s">
        <v>48</v>
      </c>
      <c r="B27" s="92" t="s">
        <v>49</v>
      </c>
      <c r="C27" s="91" t="s">
        <v>12</v>
      </c>
      <c r="D27" s="91">
        <v>25</v>
      </c>
      <c r="E27" s="93">
        <v>-12622427</v>
      </c>
      <c r="F27" s="93">
        <v>-126423698</v>
      </c>
      <c r="G27" s="93"/>
      <c r="H27" s="93"/>
    </row>
    <row r="28" spans="1:8">
      <c r="A28" s="91" t="s">
        <v>50</v>
      </c>
      <c r="B28" s="92" t="s">
        <v>51</v>
      </c>
      <c r="C28" s="91" t="s">
        <v>12</v>
      </c>
      <c r="D28" s="91">
        <v>26</v>
      </c>
      <c r="E28" s="93">
        <v>-206216425</v>
      </c>
      <c r="F28" s="93">
        <v>-107531581</v>
      </c>
      <c r="G28" s="93"/>
      <c r="H28" s="93"/>
    </row>
    <row r="29" spans="1:8">
      <c r="A29" s="87" t="s">
        <v>52</v>
      </c>
      <c r="B29" s="88" t="s">
        <v>53</v>
      </c>
      <c r="C29" s="87"/>
      <c r="D29" s="87"/>
      <c r="E29" s="94">
        <v>7450764455</v>
      </c>
      <c r="F29" s="94">
        <v>8221748586</v>
      </c>
      <c r="G29" s="94"/>
      <c r="H29" s="94"/>
    </row>
    <row r="30" spans="1:8">
      <c r="A30" s="91" t="s">
        <v>54</v>
      </c>
      <c r="B30" s="92" t="s">
        <v>55</v>
      </c>
      <c r="C30" s="91" t="s">
        <v>12</v>
      </c>
      <c r="D30" s="91">
        <v>27</v>
      </c>
      <c r="E30" s="93">
        <v>-2313753672</v>
      </c>
      <c r="F30" s="93">
        <v>-2215358068</v>
      </c>
      <c r="G30" s="93"/>
      <c r="H30" s="93"/>
    </row>
    <row r="31" spans="1:8">
      <c r="A31" s="87" t="s">
        <v>56</v>
      </c>
      <c r="B31" s="88" t="s">
        <v>57</v>
      </c>
      <c r="C31" s="87"/>
      <c r="D31" s="87"/>
      <c r="E31" s="94">
        <v>5137010783</v>
      </c>
      <c r="F31" s="94">
        <v>6006390518</v>
      </c>
      <c r="G31" s="94"/>
      <c r="H31" s="94"/>
    </row>
    <row r="32" spans="1:8">
      <c r="A32" s="95" t="s">
        <v>58</v>
      </c>
      <c r="B32" s="96" t="s">
        <v>100</v>
      </c>
      <c r="C32" s="95" t="s">
        <v>9</v>
      </c>
      <c r="D32" s="95">
        <v>28</v>
      </c>
      <c r="E32" s="93">
        <v>82283490</v>
      </c>
      <c r="F32" s="93">
        <v>582203207</v>
      </c>
      <c r="G32" s="93"/>
      <c r="H32" s="93"/>
    </row>
    <row r="33" spans="1:8">
      <c r="A33" s="91" t="s">
        <v>60</v>
      </c>
      <c r="B33" s="92" t="s">
        <v>61</v>
      </c>
      <c r="C33" s="91" t="s">
        <v>12</v>
      </c>
      <c r="D33" s="91" t="s">
        <v>62</v>
      </c>
      <c r="E33" s="93">
        <v>-861586282</v>
      </c>
      <c r="F33" s="93">
        <v>-874274421</v>
      </c>
      <c r="G33" s="93"/>
      <c r="H33" s="93"/>
    </row>
    <row r="34" spans="1:8">
      <c r="A34" s="87" t="s">
        <v>63</v>
      </c>
      <c r="B34" s="88" t="s">
        <v>64</v>
      </c>
      <c r="C34" s="87"/>
      <c r="D34" s="87"/>
      <c r="E34" s="94">
        <v>4357707991</v>
      </c>
      <c r="F34" s="94">
        <v>5714319304</v>
      </c>
      <c r="G34" s="94"/>
      <c r="H34" s="94"/>
    </row>
    <row r="35" spans="1:8">
      <c r="A35" s="91" t="s">
        <v>65</v>
      </c>
      <c r="B35" s="92" t="s">
        <v>66</v>
      </c>
      <c r="C35" s="91" t="s">
        <v>9</v>
      </c>
      <c r="D35" s="91">
        <v>29</v>
      </c>
      <c r="E35" s="93">
        <v>23880790</v>
      </c>
      <c r="F35" s="93">
        <v>12452925</v>
      </c>
      <c r="G35" s="93"/>
      <c r="H35" s="93"/>
    </row>
    <row r="36" spans="1:8">
      <c r="A36" s="91" t="s">
        <v>67</v>
      </c>
      <c r="B36" s="92" t="s">
        <v>68</v>
      </c>
      <c r="C36" s="91" t="s">
        <v>9</v>
      </c>
      <c r="D36" s="91">
        <v>28</v>
      </c>
      <c r="E36" s="93">
        <v>0</v>
      </c>
      <c r="F36" s="93">
        <v>0</v>
      </c>
      <c r="G36" s="93"/>
      <c r="H36" s="93"/>
    </row>
    <row r="37" spans="1:8">
      <c r="A37" s="91" t="s">
        <v>69</v>
      </c>
      <c r="B37" s="92" t="s">
        <v>101</v>
      </c>
      <c r="C37" s="91" t="s">
        <v>9</v>
      </c>
      <c r="D37" s="91">
        <v>12</v>
      </c>
      <c r="E37" s="93">
        <v>0</v>
      </c>
      <c r="F37" s="93">
        <v>0</v>
      </c>
      <c r="G37" s="93"/>
      <c r="H37" s="93"/>
    </row>
    <row r="38" spans="1:8">
      <c r="A38" s="91" t="s">
        <v>71</v>
      </c>
      <c r="B38" s="92" t="s">
        <v>72</v>
      </c>
      <c r="C38" s="91" t="s">
        <v>12</v>
      </c>
      <c r="D38" s="91">
        <v>29</v>
      </c>
      <c r="E38" s="93">
        <v>0</v>
      </c>
      <c r="F38" s="93">
        <v>-8096</v>
      </c>
      <c r="G38" s="93"/>
      <c r="H38" s="93"/>
    </row>
    <row r="39" spans="1:8">
      <c r="A39" s="91" t="s">
        <v>73</v>
      </c>
      <c r="B39" s="92" t="s">
        <v>74</v>
      </c>
      <c r="C39" s="91" t="s">
        <v>12</v>
      </c>
      <c r="D39" s="91" t="s">
        <v>62</v>
      </c>
      <c r="E39" s="93">
        <v>0</v>
      </c>
      <c r="F39" s="93">
        <v>0</v>
      </c>
      <c r="G39" s="93"/>
      <c r="H39" s="93"/>
    </row>
    <row r="40" spans="1:8">
      <c r="A40" s="87" t="s">
        <v>75</v>
      </c>
      <c r="B40" s="88" t="s">
        <v>76</v>
      </c>
      <c r="C40" s="87"/>
      <c r="D40" s="87"/>
      <c r="E40" s="94">
        <v>23880790</v>
      </c>
      <c r="F40" s="94">
        <v>12444829</v>
      </c>
      <c r="G40" s="94"/>
      <c r="H40" s="94"/>
    </row>
    <row r="41" spans="1:8">
      <c r="A41" s="97" t="s">
        <v>77</v>
      </c>
      <c r="B41" s="98" t="s">
        <v>78</v>
      </c>
      <c r="C41" s="97"/>
      <c r="D41" s="97"/>
      <c r="E41" s="99">
        <v>4381588781</v>
      </c>
      <c r="F41" s="99">
        <v>5726764133</v>
      </c>
      <c r="G41" s="99"/>
      <c r="H41" s="99"/>
    </row>
    <row r="42" spans="1:8">
      <c r="A42" s="91" t="s">
        <v>79</v>
      </c>
      <c r="B42" s="92" t="s">
        <v>80</v>
      </c>
      <c r="C42" s="91" t="s">
        <v>9</v>
      </c>
      <c r="D42" s="91" t="s">
        <v>81</v>
      </c>
      <c r="E42" s="93">
        <v>2118644</v>
      </c>
      <c r="F42" s="93">
        <v>0</v>
      </c>
      <c r="G42" s="93"/>
      <c r="H42" s="93"/>
    </row>
    <row r="43" spans="1:8">
      <c r="A43" s="91" t="s">
        <v>82</v>
      </c>
      <c r="B43" s="92" t="s">
        <v>83</v>
      </c>
      <c r="C43" s="91" t="s">
        <v>9</v>
      </c>
      <c r="D43" s="91">
        <v>30</v>
      </c>
      <c r="E43" s="93">
        <v>0</v>
      </c>
      <c r="F43" s="93">
        <v>0</v>
      </c>
      <c r="G43" s="93"/>
      <c r="H43" s="93"/>
    </row>
    <row r="44" spans="1:8">
      <c r="A44" s="91" t="s">
        <v>84</v>
      </c>
      <c r="B44" s="92" t="s">
        <v>85</v>
      </c>
      <c r="C44" s="91" t="s">
        <v>12</v>
      </c>
      <c r="D44" s="91" t="s">
        <v>81</v>
      </c>
      <c r="E44" s="93">
        <v>-604299</v>
      </c>
      <c r="F44" s="93">
        <v>-4614421</v>
      </c>
      <c r="G44" s="93"/>
      <c r="H44" s="93"/>
    </row>
    <row r="45" spans="1:8">
      <c r="A45" s="91" t="s">
        <v>86</v>
      </c>
      <c r="B45" s="92" t="s">
        <v>102</v>
      </c>
      <c r="C45" s="91" t="s">
        <v>12</v>
      </c>
      <c r="D45" s="91">
        <v>30</v>
      </c>
      <c r="E45" s="93">
        <v>0</v>
      </c>
      <c r="F45" s="93">
        <v>-530648278</v>
      </c>
      <c r="G45" s="93"/>
      <c r="H45" s="93"/>
    </row>
    <row r="46" spans="1:8">
      <c r="A46" s="97" t="s">
        <v>88</v>
      </c>
      <c r="B46" s="98" t="s">
        <v>89</v>
      </c>
      <c r="C46" s="97"/>
      <c r="D46" s="97"/>
      <c r="E46" s="99">
        <v>1514345</v>
      </c>
      <c r="F46" s="99">
        <v>-535262699</v>
      </c>
      <c r="G46" s="99"/>
      <c r="H46" s="99"/>
    </row>
    <row r="47" spans="1:8">
      <c r="A47" s="91" t="s">
        <v>90</v>
      </c>
      <c r="B47" s="92" t="s">
        <v>103</v>
      </c>
      <c r="C47" s="91" t="s">
        <v>12</v>
      </c>
      <c r="D47" s="91">
        <v>30</v>
      </c>
      <c r="E47" s="93">
        <v>0</v>
      </c>
      <c r="F47" s="93">
        <v>0</v>
      </c>
      <c r="G47" s="93"/>
      <c r="H47" s="93"/>
    </row>
    <row r="48" spans="1:8">
      <c r="A48" s="91" t="s">
        <v>92</v>
      </c>
      <c r="B48" s="92" t="s">
        <v>93</v>
      </c>
      <c r="C48" s="91" t="s">
        <v>12</v>
      </c>
      <c r="D48" s="91">
        <v>37</v>
      </c>
      <c r="E48" s="93">
        <v>-689324700</v>
      </c>
      <c r="F48" s="93">
        <v>-822376950</v>
      </c>
      <c r="G48" s="93"/>
      <c r="H48" s="93"/>
    </row>
    <row r="49" spans="1:8">
      <c r="A49" s="87" t="s">
        <v>94</v>
      </c>
      <c r="B49" s="88" t="s">
        <v>95</v>
      </c>
      <c r="C49" s="87"/>
      <c r="D49" s="88"/>
      <c r="E49" s="94">
        <v>3693778426</v>
      </c>
      <c r="F49" s="94">
        <v>4369124484</v>
      </c>
      <c r="G49" s="94"/>
      <c r="H49" s="94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2">
    <dataValidation allowBlank="1" showInputMessage="1" showErrorMessage="1" errorTitle="Erreur de saisie" error="La cellule ne peut prendre que du numérique." promptTitle="Information" prompt="Cette cellule ne peut prendre que du numérique." sqref="D1:H5" xr:uid="{0FD59901-E571-4CB3-86EA-9789E68F39FD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5" xr:uid="{60BDA3F7-E2C1-4D09-A61F-04E31DF29916}">
      <formula1>0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68454-4F49-441B-AE95-E4FDEE442E64}">
  <sheetPr codeName="Feuil30"/>
  <dimension ref="A1:H84"/>
  <sheetViews>
    <sheetView workbookViewId="0">
      <selection activeCell="H16" sqref="H16"/>
    </sheetView>
  </sheetViews>
  <sheetFormatPr baseColWidth="10" defaultColWidth="10.28515625" defaultRowHeight="12.7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5.7109375" style="28" customWidth="1" collapsed="1"/>
    <col min="9" max="16384" width="10.28515625" style="27" collapsed="1"/>
  </cols>
  <sheetData>
    <row r="1" spans="1:8" s="1" customFormat="1" ht="24.4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1" customHeight="1">
      <c r="C2" s="2"/>
    </row>
    <row r="3" spans="1:8" s="1" customFormat="1" ht="25.5" customHeight="1">
      <c r="A3" s="256" t="s">
        <v>159</v>
      </c>
      <c r="B3" s="256"/>
      <c r="C3" s="256"/>
      <c r="D3" s="1" t="s">
        <v>1</v>
      </c>
      <c r="G3" s="257">
        <f>+'[10]Fiche de renseignement R1'!$V$10</f>
        <v>44926</v>
      </c>
      <c r="H3" s="258"/>
    </row>
    <row r="4" spans="1:8" s="1" customFormat="1" ht="15" customHeight="1">
      <c r="A4" s="258"/>
      <c r="B4" s="258"/>
      <c r="C4" s="258"/>
      <c r="D4" s="259" t="s">
        <v>2</v>
      </c>
      <c r="E4" s="25"/>
      <c r="F4" s="25"/>
      <c r="G4" s="260">
        <f>+'[10]Fiche de renseignement R1'!$AH$10</f>
        <v>12</v>
      </c>
      <c r="H4" s="260"/>
    </row>
    <row r="5" spans="1:8" s="1" customFormat="1" ht="31.15" customHeight="1">
      <c r="A5" s="4" t="s">
        <v>3</v>
      </c>
      <c r="B5" s="261" t="str">
        <f>+'[10]Fiche de renseignement R1'!$J$10</f>
        <v>004151750</v>
      </c>
      <c r="C5" s="261"/>
      <c r="D5" s="259"/>
      <c r="E5" s="25"/>
      <c r="F5" s="25"/>
      <c r="G5" s="258"/>
      <c r="H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>
        <v>0</v>
      </c>
      <c r="H8" s="10">
        <v>0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>
        <v>0</v>
      </c>
      <c r="H9" s="13">
        <v>0</v>
      </c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3">
        <v>0</v>
      </c>
      <c r="H10" s="13">
        <v>0</v>
      </c>
    </row>
    <row r="11" spans="1:8" ht="18" customHeight="1">
      <c r="A11" s="16" t="s">
        <v>16</v>
      </c>
      <c r="B11" s="17" t="s">
        <v>17</v>
      </c>
      <c r="C11" s="16"/>
      <c r="D11" s="16"/>
      <c r="E11" s="16"/>
      <c r="F11" s="16"/>
      <c r="G11" s="18">
        <v>0</v>
      </c>
      <c r="H11" s="18">
        <v>0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>
        <v>0</v>
      </c>
      <c r="H12" s="13">
        <v>0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>
        <v>0</v>
      </c>
      <c r="H13" s="13">
        <v>0</v>
      </c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>
        <v>0</v>
      </c>
      <c r="H14" s="13">
        <v>0</v>
      </c>
    </row>
    <row r="15" spans="1:8" ht="18" customHeight="1">
      <c r="A15" s="16" t="s">
        <v>24</v>
      </c>
      <c r="B15" s="17" t="s">
        <v>25</v>
      </c>
      <c r="C15" s="16"/>
      <c r="D15" s="16"/>
      <c r="E15" s="16"/>
      <c r="F15" s="16"/>
      <c r="G15" s="18">
        <v>0</v>
      </c>
      <c r="H15" s="18">
        <v>0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>
        <v>0</v>
      </c>
      <c r="H16" s="13">
        <v>0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1"/>
      <c r="F17" s="11"/>
      <c r="G17" s="13">
        <v>0</v>
      </c>
      <c r="H17" s="13">
        <v>0</v>
      </c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1"/>
      <c r="F18" s="11"/>
      <c r="G18" s="13">
        <v>0</v>
      </c>
      <c r="H18" s="13">
        <v>0</v>
      </c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>
        <v>44028458545</v>
      </c>
      <c r="H19" s="13">
        <v>1481140435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21">
        <v>2061426599</v>
      </c>
      <c r="H20" s="21">
        <v>1817403075</v>
      </c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0</v>
      </c>
      <c r="H21" s="13">
        <v>0</v>
      </c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>
        <v>0</v>
      </c>
      <c r="H22" s="13">
        <v>0</v>
      </c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165566822</v>
      </c>
      <c r="H23" s="13">
        <v>238822752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0</v>
      </c>
      <c r="H24" s="13">
        <v>0</v>
      </c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61471674</v>
      </c>
      <c r="H25" s="13">
        <v>50566947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400445924</v>
      </c>
      <c r="H26" s="13">
        <v>321697063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3419691</v>
      </c>
      <c r="H27" s="13">
        <v>4322386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44103492263</v>
      </c>
      <c r="H28" s="13">
        <v>1204382196</v>
      </c>
    </row>
    <row r="29" spans="1:8" ht="18" customHeight="1">
      <c r="A29" s="16" t="s">
        <v>52</v>
      </c>
      <c r="B29" s="17" t="s">
        <v>53</v>
      </c>
      <c r="C29" s="16"/>
      <c r="D29" s="16"/>
      <c r="E29" s="16"/>
      <c r="F29" s="16"/>
      <c r="G29" s="18">
        <v>1355488770</v>
      </c>
      <c r="H29" s="18">
        <v>1478752166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1343359100</v>
      </c>
      <c r="H30" s="13">
        <v>1244035072</v>
      </c>
    </row>
    <row r="31" spans="1:8" ht="18" customHeight="1">
      <c r="A31" s="16" t="s">
        <v>56</v>
      </c>
      <c r="B31" s="17" t="s">
        <v>57</v>
      </c>
      <c r="C31" s="16"/>
      <c r="D31" s="16"/>
      <c r="E31" s="16"/>
      <c r="F31" s="16"/>
      <c r="G31" s="18">
        <v>12129670</v>
      </c>
      <c r="H31" s="18">
        <v>234717094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3">
        <v>60033092</v>
      </c>
      <c r="H32" s="13">
        <v>0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21">
        <v>73502626</v>
      </c>
      <c r="H33" s="21">
        <v>234980579</v>
      </c>
    </row>
    <row r="34" spans="1:8" ht="18" customHeight="1">
      <c r="A34" s="16" t="s">
        <v>63</v>
      </c>
      <c r="B34" s="17" t="s">
        <v>64</v>
      </c>
      <c r="C34" s="16"/>
      <c r="D34" s="16"/>
      <c r="E34" s="16"/>
      <c r="F34" s="16"/>
      <c r="G34" s="18">
        <v>-1339864</v>
      </c>
      <c r="H34" s="18">
        <v>-263485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1607257</v>
      </c>
      <c r="H35" s="13">
        <v>522169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>
        <v>0</v>
      </c>
      <c r="H36" s="13">
        <v>0</v>
      </c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3">
        <v>0</v>
      </c>
      <c r="H37" s="13">
        <v>0</v>
      </c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267393</v>
      </c>
      <c r="H38" s="13">
        <v>258684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>
        <v>0</v>
      </c>
      <c r="H39" s="13">
        <v>0</v>
      </c>
    </row>
    <row r="40" spans="1:8" ht="18" customHeight="1">
      <c r="A40" s="16" t="s">
        <v>75</v>
      </c>
      <c r="B40" s="17" t="s">
        <v>76</v>
      </c>
      <c r="C40" s="16"/>
      <c r="D40" s="16"/>
      <c r="E40" s="16"/>
      <c r="F40" s="16"/>
      <c r="G40" s="18">
        <v>1339864</v>
      </c>
      <c r="H40" s="18">
        <v>263485</v>
      </c>
    </row>
    <row r="41" spans="1:8" ht="18" customHeight="1">
      <c r="A41" s="22" t="s">
        <v>77</v>
      </c>
      <c r="B41" s="23" t="s">
        <v>78</v>
      </c>
      <c r="C41" s="22"/>
      <c r="D41" s="22"/>
      <c r="E41" s="22"/>
      <c r="F41" s="22"/>
      <c r="G41" s="24">
        <v>0</v>
      </c>
      <c r="H41" s="24">
        <v>0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>
        <v>0</v>
      </c>
      <c r="H42" s="13">
        <v>0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>
        <v>0</v>
      </c>
      <c r="H43" s="13">
        <v>0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>
        <v>0</v>
      </c>
      <c r="H44" s="13">
        <v>0</v>
      </c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>
        <v>0</v>
      </c>
      <c r="H45" s="13">
        <v>0</v>
      </c>
    </row>
    <row r="46" spans="1:8" ht="18" customHeight="1">
      <c r="A46" s="22" t="s">
        <v>88</v>
      </c>
      <c r="B46" s="23" t="s">
        <v>89</v>
      </c>
      <c r="C46" s="22"/>
      <c r="D46" s="22"/>
      <c r="E46" s="22"/>
      <c r="F46" s="22"/>
      <c r="G46" s="24">
        <v>0</v>
      </c>
      <c r="H46" s="24">
        <v>0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>
        <v>0</v>
      </c>
      <c r="H47" s="13">
        <v>0</v>
      </c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>
        <v>0</v>
      </c>
      <c r="H48" s="13">
        <v>0</v>
      </c>
    </row>
    <row r="49" spans="1:8" ht="18" customHeight="1">
      <c r="A49" s="16" t="s">
        <v>94</v>
      </c>
      <c r="B49" s="17" t="s">
        <v>95</v>
      </c>
      <c r="C49" s="16"/>
      <c r="D49" s="16"/>
      <c r="E49" s="16"/>
      <c r="F49" s="16"/>
      <c r="G49" s="18">
        <v>0</v>
      </c>
      <c r="H49" s="18">
        <v>0</v>
      </c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30"/>
      <c r="H62" s="30"/>
    </row>
    <row r="63" spans="1:8" ht="12.75" customHeight="1">
      <c r="G63" s="30"/>
      <c r="H63" s="30"/>
    </row>
    <row r="64" spans="1:8" ht="12.75" customHeight="1">
      <c r="G64" s="30"/>
      <c r="H64" s="30"/>
    </row>
    <row r="65" spans="7:8" ht="12.75" customHeight="1">
      <c r="G65" s="30"/>
      <c r="H65" s="30"/>
    </row>
    <row r="66" spans="7:8" ht="12.75" customHeight="1">
      <c r="G66" s="30"/>
      <c r="H66" s="30"/>
    </row>
    <row r="67" spans="7:8" ht="12.75" customHeight="1">
      <c r="G67" s="30"/>
      <c r="H67" s="30"/>
    </row>
    <row r="68" spans="7:8" ht="12.75" customHeight="1">
      <c r="G68" s="30"/>
      <c r="H68" s="30"/>
    </row>
    <row r="69" spans="7:8" ht="12.75" customHeight="1">
      <c r="G69" s="30"/>
      <c r="H69" s="30"/>
    </row>
    <row r="70" spans="7:8" ht="12.75" customHeight="1">
      <c r="G70" s="30"/>
      <c r="H70" s="30"/>
    </row>
    <row r="71" spans="7:8" ht="12.75" customHeight="1">
      <c r="G71" s="30"/>
      <c r="H71" s="30"/>
    </row>
    <row r="72" spans="7:8" ht="12.75" customHeight="1">
      <c r="G72" s="30"/>
      <c r="H72" s="30"/>
    </row>
    <row r="73" spans="7:8" ht="12.75" customHeight="1">
      <c r="G73" s="30"/>
      <c r="H73" s="30"/>
    </row>
    <row r="74" spans="7:8" ht="12.75" customHeight="1">
      <c r="G74" s="30"/>
      <c r="H74" s="30"/>
    </row>
    <row r="75" spans="7:8" ht="12.75" customHeight="1">
      <c r="G75" s="30"/>
      <c r="H75" s="30"/>
    </row>
    <row r="76" spans="7:8" ht="12.75" customHeight="1">
      <c r="G76" s="30"/>
      <c r="H76" s="30"/>
    </row>
    <row r="77" spans="7:8" ht="12.75" customHeight="1">
      <c r="G77" s="30"/>
      <c r="H77" s="30"/>
    </row>
    <row r="78" spans="7:8" ht="12.75" customHeight="1">
      <c r="G78" s="30"/>
      <c r="H78" s="30"/>
    </row>
    <row r="79" spans="7:8" ht="12.75" customHeight="1">
      <c r="G79" s="30"/>
      <c r="H79" s="30"/>
    </row>
    <row r="80" spans="7:8" ht="12.75" customHeight="1">
      <c r="G80" s="30"/>
      <c r="H80" s="30"/>
    </row>
    <row r="81" spans="7:8" ht="12.75" customHeight="1">
      <c r="G81" s="30"/>
      <c r="H81" s="30"/>
    </row>
    <row r="82" spans="7:8" ht="12.75" customHeight="1">
      <c r="G82" s="30"/>
      <c r="H82" s="30"/>
    </row>
    <row r="83" spans="7:8" ht="12.75" customHeight="1">
      <c r="G83" s="30"/>
      <c r="H83" s="30"/>
    </row>
    <row r="84" spans="7:8" ht="12.75" customHeight="1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1F7AAD4-0750-4D15-9D2F-7C4854B235F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84C3F4E6-A354-4EA2-9063-5DFA01A3CED7}"/>
    <dataValidation allowBlank="1" showInputMessage="1" showErrorMessage="1" errorTitle="Erreur de saisie" error="La cellule ne peut prendre que du numérique." promptTitle="Information" prompt="Cette cellule ne peut prendre que du numérique," sqref="G8:H49" xr:uid="{1ECE9232-6A78-4B2E-8E4A-A9CF0F7F3310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D9EB-F64C-46AB-A6E2-1073F0DFE314}">
  <sheetPr codeName="Feuil31"/>
  <dimension ref="A7:H49"/>
  <sheetViews>
    <sheetView workbookViewId="0">
      <selection sqref="A1:XFD1"/>
    </sheetView>
  </sheetViews>
  <sheetFormatPr baseColWidth="10" defaultRowHeight="15"/>
  <sheetData>
    <row r="7" spans="1:8">
      <c r="A7" s="70" t="s">
        <v>4</v>
      </c>
      <c r="B7" s="71" t="s">
        <v>5</v>
      </c>
      <c r="C7" s="70"/>
      <c r="D7" s="70" t="s">
        <v>6</v>
      </c>
      <c r="E7" s="70" t="s">
        <v>107</v>
      </c>
      <c r="F7" s="70" t="s">
        <v>108</v>
      </c>
      <c r="G7" s="70" t="s">
        <v>109</v>
      </c>
      <c r="H7" s="70" t="s">
        <v>110</v>
      </c>
    </row>
    <row r="8" spans="1:8">
      <c r="A8" s="72" t="s">
        <v>7</v>
      </c>
      <c r="B8" s="73" t="s">
        <v>8</v>
      </c>
      <c r="C8" s="72" t="s">
        <v>9</v>
      </c>
      <c r="D8" s="72">
        <v>21</v>
      </c>
      <c r="E8" s="72"/>
      <c r="F8" s="72"/>
      <c r="G8" s="10">
        <v>0</v>
      </c>
      <c r="H8" s="10">
        <v>0</v>
      </c>
    </row>
    <row r="9" spans="1:8">
      <c r="A9" s="74" t="s">
        <v>10</v>
      </c>
      <c r="B9" s="75" t="s">
        <v>11</v>
      </c>
      <c r="C9" s="74" t="s">
        <v>12</v>
      </c>
      <c r="D9" s="74">
        <v>22</v>
      </c>
      <c r="E9" s="74"/>
      <c r="F9" s="74"/>
      <c r="G9" s="13">
        <v>0</v>
      </c>
      <c r="H9" s="13">
        <v>0</v>
      </c>
    </row>
    <row r="10" spans="1:8">
      <c r="A10" s="74" t="s">
        <v>13</v>
      </c>
      <c r="B10" s="76" t="s">
        <v>98</v>
      </c>
      <c r="C10" s="77" t="s">
        <v>15</v>
      </c>
      <c r="D10" s="77">
        <v>6</v>
      </c>
      <c r="E10" s="77"/>
      <c r="F10" s="77"/>
      <c r="G10" s="13">
        <v>0</v>
      </c>
      <c r="H10" s="13">
        <v>0</v>
      </c>
    </row>
    <row r="11" spans="1:8">
      <c r="A11" s="78" t="s">
        <v>16</v>
      </c>
      <c r="B11" s="79" t="s">
        <v>17</v>
      </c>
      <c r="C11" s="78"/>
      <c r="D11" s="78"/>
      <c r="E11" s="78"/>
      <c r="F11" s="78"/>
      <c r="G11" s="18">
        <v>0</v>
      </c>
      <c r="H11" s="18">
        <v>0</v>
      </c>
    </row>
    <row r="12" spans="1:8">
      <c r="A12" s="74" t="s">
        <v>18</v>
      </c>
      <c r="B12" s="75" t="s">
        <v>19</v>
      </c>
      <c r="C12" s="74" t="s">
        <v>9</v>
      </c>
      <c r="D12" s="74">
        <v>21</v>
      </c>
      <c r="E12" s="74"/>
      <c r="F12" s="74"/>
      <c r="G12" s="13">
        <v>16418122419</v>
      </c>
      <c r="H12" s="13">
        <v>13438954975</v>
      </c>
    </row>
    <row r="13" spans="1:8">
      <c r="A13" s="74" t="s">
        <v>20</v>
      </c>
      <c r="B13" s="75" t="s">
        <v>21</v>
      </c>
      <c r="C13" s="74" t="s">
        <v>9</v>
      </c>
      <c r="D13" s="74">
        <v>21</v>
      </c>
      <c r="E13" s="74"/>
      <c r="F13" s="74"/>
      <c r="G13" s="13">
        <v>8550951451</v>
      </c>
      <c r="H13" s="13">
        <v>9627770206</v>
      </c>
    </row>
    <row r="14" spans="1:8">
      <c r="A14" s="74" t="s">
        <v>22</v>
      </c>
      <c r="B14" s="75" t="s">
        <v>23</v>
      </c>
      <c r="C14" s="74" t="s">
        <v>9</v>
      </c>
      <c r="D14" s="74">
        <v>21</v>
      </c>
      <c r="E14" s="74"/>
      <c r="F14" s="74"/>
      <c r="G14" s="13">
        <v>0</v>
      </c>
      <c r="H14" s="13">
        <v>0</v>
      </c>
    </row>
    <row r="15" spans="1:8">
      <c r="A15" s="78" t="s">
        <v>24</v>
      </c>
      <c r="B15" s="79" t="s">
        <v>25</v>
      </c>
      <c r="C15" s="78"/>
      <c r="D15" s="78"/>
      <c r="E15" s="78"/>
      <c r="F15" s="78"/>
      <c r="G15" s="18">
        <v>24969073870</v>
      </c>
      <c r="H15" s="18">
        <v>23066725181</v>
      </c>
    </row>
    <row r="16" spans="1:8">
      <c r="A16" s="74" t="s">
        <v>26</v>
      </c>
      <c r="B16" s="75" t="s">
        <v>27</v>
      </c>
      <c r="C16" s="77" t="s">
        <v>15</v>
      </c>
      <c r="D16" s="74">
        <v>6</v>
      </c>
      <c r="E16" s="74"/>
      <c r="F16" s="74"/>
      <c r="G16" s="13">
        <v>27460400</v>
      </c>
      <c r="H16" s="13">
        <v>1228892600</v>
      </c>
    </row>
    <row r="17" spans="1:8">
      <c r="A17" s="74" t="s">
        <v>28</v>
      </c>
      <c r="B17" s="75" t="s">
        <v>29</v>
      </c>
      <c r="C17" s="74"/>
      <c r="D17" s="74">
        <v>21</v>
      </c>
      <c r="E17" s="74"/>
      <c r="F17" s="74"/>
      <c r="G17" s="13">
        <v>11961797</v>
      </c>
      <c r="H17" s="13">
        <v>6296167</v>
      </c>
    </row>
    <row r="18" spans="1:8">
      <c r="A18" s="74" t="s">
        <v>30</v>
      </c>
      <c r="B18" s="75" t="s">
        <v>31</v>
      </c>
      <c r="C18" s="74"/>
      <c r="D18" s="74">
        <v>21</v>
      </c>
      <c r="E18" s="74"/>
      <c r="F18" s="74"/>
      <c r="G18" s="13">
        <v>0</v>
      </c>
      <c r="H18" s="13">
        <v>0</v>
      </c>
    </row>
    <row r="19" spans="1:8">
      <c r="A19" s="74" t="s">
        <v>32</v>
      </c>
      <c r="B19" s="75" t="s">
        <v>33</v>
      </c>
      <c r="C19" s="74" t="s">
        <v>9</v>
      </c>
      <c r="D19" s="74">
        <v>21</v>
      </c>
      <c r="E19" s="74"/>
      <c r="F19" s="74"/>
      <c r="G19" s="13">
        <v>70996151</v>
      </c>
      <c r="H19" s="13">
        <v>192236063</v>
      </c>
    </row>
    <row r="20" spans="1:8">
      <c r="A20" s="80" t="s">
        <v>34</v>
      </c>
      <c r="B20" s="81" t="s">
        <v>99</v>
      </c>
      <c r="C20" s="80" t="s">
        <v>9</v>
      </c>
      <c r="D20" s="80">
        <v>12</v>
      </c>
      <c r="E20" s="80"/>
      <c r="F20" s="80"/>
      <c r="G20" s="21">
        <v>15319330</v>
      </c>
      <c r="H20" s="21">
        <v>1806860</v>
      </c>
    </row>
    <row r="21" spans="1:8">
      <c r="A21" s="74" t="s">
        <v>36</v>
      </c>
      <c r="B21" s="75" t="s">
        <v>37</v>
      </c>
      <c r="C21" s="74" t="s">
        <v>12</v>
      </c>
      <c r="D21" s="74">
        <v>22</v>
      </c>
      <c r="E21" s="74"/>
      <c r="F21" s="74"/>
      <c r="G21" s="13">
        <v>-5097151430</v>
      </c>
      <c r="H21" s="13">
        <v>-4450139106</v>
      </c>
    </row>
    <row r="22" spans="1:8">
      <c r="A22" s="74" t="s">
        <v>38</v>
      </c>
      <c r="B22" s="76" t="s">
        <v>39</v>
      </c>
      <c r="C22" s="77" t="s">
        <v>15</v>
      </c>
      <c r="D22" s="74">
        <v>6</v>
      </c>
      <c r="E22" s="74"/>
      <c r="F22" s="74"/>
      <c r="G22" s="13">
        <v>0</v>
      </c>
      <c r="H22" s="13">
        <v>-8610000</v>
      </c>
    </row>
    <row r="23" spans="1:8">
      <c r="A23" s="74" t="s">
        <v>40</v>
      </c>
      <c r="B23" s="75" t="s">
        <v>41</v>
      </c>
      <c r="C23" s="74" t="s">
        <v>12</v>
      </c>
      <c r="D23" s="74">
        <v>22</v>
      </c>
      <c r="E23" s="74"/>
      <c r="F23" s="74"/>
      <c r="G23" s="13">
        <v>-7232398426</v>
      </c>
      <c r="H23" s="13">
        <v>-6315420633</v>
      </c>
    </row>
    <row r="24" spans="1:8">
      <c r="A24" s="74" t="s">
        <v>42</v>
      </c>
      <c r="B24" s="76" t="s">
        <v>43</v>
      </c>
      <c r="C24" s="77" t="s">
        <v>15</v>
      </c>
      <c r="D24" s="74">
        <v>6</v>
      </c>
      <c r="E24" s="74"/>
      <c r="F24" s="74"/>
      <c r="G24" s="13">
        <v>-8229126</v>
      </c>
      <c r="H24" s="13">
        <v>102181528</v>
      </c>
    </row>
    <row r="25" spans="1:8">
      <c r="A25" s="74" t="s">
        <v>44</v>
      </c>
      <c r="B25" s="75" t="s">
        <v>45</v>
      </c>
      <c r="C25" s="74" t="s">
        <v>12</v>
      </c>
      <c r="D25" s="74">
        <v>23</v>
      </c>
      <c r="E25" s="74"/>
      <c r="F25" s="74"/>
      <c r="G25" s="13">
        <v>-3121374560</v>
      </c>
      <c r="H25" s="13">
        <v>-2632450877</v>
      </c>
    </row>
    <row r="26" spans="1:8">
      <c r="A26" s="74" t="s">
        <v>46</v>
      </c>
      <c r="B26" s="75" t="s">
        <v>47</v>
      </c>
      <c r="C26" s="74" t="s">
        <v>12</v>
      </c>
      <c r="D26" s="74">
        <v>24</v>
      </c>
      <c r="E26" s="74"/>
      <c r="F26" s="74"/>
      <c r="G26" s="13">
        <v>-1562924499</v>
      </c>
      <c r="H26" s="13">
        <v>-1348306300</v>
      </c>
    </row>
    <row r="27" spans="1:8">
      <c r="A27" s="74" t="s">
        <v>48</v>
      </c>
      <c r="B27" s="75" t="s">
        <v>49</v>
      </c>
      <c r="C27" s="74" t="s">
        <v>12</v>
      </c>
      <c r="D27" s="74">
        <v>25</v>
      </c>
      <c r="E27" s="74"/>
      <c r="F27" s="74"/>
      <c r="G27" s="13">
        <v>-895577720</v>
      </c>
      <c r="H27" s="13">
        <v>-830763590</v>
      </c>
    </row>
    <row r="28" spans="1:8">
      <c r="A28" s="74" t="s">
        <v>50</v>
      </c>
      <c r="B28" s="75" t="s">
        <v>51</v>
      </c>
      <c r="C28" s="74" t="s">
        <v>12</v>
      </c>
      <c r="D28" s="74">
        <v>26</v>
      </c>
      <c r="E28" s="74"/>
      <c r="F28" s="74"/>
      <c r="G28" s="13">
        <v>-19074494</v>
      </c>
      <c r="H28" s="13">
        <v>-91026851</v>
      </c>
    </row>
    <row r="29" spans="1:8">
      <c r="A29" s="78" t="s">
        <v>52</v>
      </c>
      <c r="B29" s="79" t="s">
        <v>53</v>
      </c>
      <c r="C29" s="78"/>
      <c r="D29" s="78"/>
      <c r="E29" s="78"/>
      <c r="F29" s="78"/>
      <c r="G29" s="18">
        <v>7158081293</v>
      </c>
      <c r="H29" s="18">
        <v>8921421042</v>
      </c>
    </row>
    <row r="30" spans="1:8">
      <c r="A30" s="74" t="s">
        <v>54</v>
      </c>
      <c r="B30" s="75" t="s">
        <v>55</v>
      </c>
      <c r="C30" s="74" t="s">
        <v>12</v>
      </c>
      <c r="D30" s="74">
        <v>27</v>
      </c>
      <c r="E30" s="74"/>
      <c r="F30" s="74"/>
      <c r="G30" s="13">
        <v>-2297980457</v>
      </c>
      <c r="H30" s="13">
        <v>-2177889334</v>
      </c>
    </row>
    <row r="31" spans="1:8">
      <c r="A31" s="78" t="s">
        <v>56</v>
      </c>
      <c r="B31" s="79" t="s">
        <v>57</v>
      </c>
      <c r="C31" s="78"/>
      <c r="D31" s="78"/>
      <c r="E31" s="78"/>
      <c r="F31" s="78"/>
      <c r="G31" s="18">
        <v>4860100836</v>
      </c>
      <c r="H31" s="18">
        <v>6743531708</v>
      </c>
    </row>
    <row r="32" spans="1:8">
      <c r="A32" s="74" t="s">
        <v>58</v>
      </c>
      <c r="B32" s="75" t="s">
        <v>100</v>
      </c>
      <c r="C32" s="74" t="s">
        <v>9</v>
      </c>
      <c r="D32" s="74">
        <v>28</v>
      </c>
      <c r="E32" s="74"/>
      <c r="F32" s="74"/>
      <c r="G32" s="13">
        <v>289859990</v>
      </c>
      <c r="H32" s="13">
        <v>274469796</v>
      </c>
    </row>
    <row r="33" spans="1:8">
      <c r="A33" s="80" t="s">
        <v>60</v>
      </c>
      <c r="B33" s="81" t="s">
        <v>61</v>
      </c>
      <c r="C33" s="80" t="s">
        <v>12</v>
      </c>
      <c r="D33" s="80" t="s">
        <v>62</v>
      </c>
      <c r="E33" s="80"/>
      <c r="F33" s="80"/>
      <c r="G33" s="21">
        <v>-3555464692</v>
      </c>
      <c r="H33" s="21">
        <v>-2750711428</v>
      </c>
    </row>
    <row r="34" spans="1:8">
      <c r="A34" s="78" t="s">
        <v>63</v>
      </c>
      <c r="B34" s="79" t="s">
        <v>64</v>
      </c>
      <c r="C34" s="78"/>
      <c r="D34" s="78"/>
      <c r="E34" s="78"/>
      <c r="F34" s="78"/>
      <c r="G34" s="18">
        <v>1594496134</v>
      </c>
      <c r="H34" s="18">
        <v>4267290076</v>
      </c>
    </row>
    <row r="35" spans="1:8">
      <c r="A35" s="74" t="s">
        <v>65</v>
      </c>
      <c r="B35" s="75" t="s">
        <v>66</v>
      </c>
      <c r="C35" s="74" t="s">
        <v>9</v>
      </c>
      <c r="D35" s="74">
        <v>29</v>
      </c>
      <c r="E35" s="74"/>
      <c r="F35" s="74"/>
      <c r="G35" s="13">
        <v>585332749</v>
      </c>
      <c r="H35" s="13">
        <v>539393218</v>
      </c>
    </row>
    <row r="36" spans="1:8">
      <c r="A36" s="74" t="s">
        <v>67</v>
      </c>
      <c r="B36" s="75" t="s">
        <v>68</v>
      </c>
      <c r="C36" s="74" t="s">
        <v>9</v>
      </c>
      <c r="D36" s="74">
        <v>28</v>
      </c>
      <c r="E36" s="74"/>
      <c r="F36" s="74"/>
      <c r="G36" s="13">
        <v>0</v>
      </c>
      <c r="H36" s="13">
        <v>0</v>
      </c>
    </row>
    <row r="37" spans="1:8">
      <c r="A37" s="74" t="s">
        <v>69</v>
      </c>
      <c r="B37" s="75" t="s">
        <v>101</v>
      </c>
      <c r="C37" s="74" t="s">
        <v>9</v>
      </c>
      <c r="D37" s="74">
        <v>12</v>
      </c>
      <c r="E37" s="74"/>
      <c r="F37" s="74"/>
      <c r="G37" s="13">
        <v>0</v>
      </c>
      <c r="H37" s="13">
        <v>0</v>
      </c>
    </row>
    <row r="38" spans="1:8">
      <c r="A38" s="74" t="s">
        <v>71</v>
      </c>
      <c r="B38" s="75" t="s">
        <v>72</v>
      </c>
      <c r="C38" s="74" t="s">
        <v>12</v>
      </c>
      <c r="D38" s="74">
        <v>29</v>
      </c>
      <c r="E38" s="74"/>
      <c r="F38" s="74"/>
      <c r="G38" s="13">
        <v>-202321906</v>
      </c>
      <c r="H38" s="13">
        <v>-23696980</v>
      </c>
    </row>
    <row r="39" spans="1:8">
      <c r="A39" s="74" t="s">
        <v>73</v>
      </c>
      <c r="B39" s="75" t="s">
        <v>74</v>
      </c>
      <c r="C39" s="74" t="s">
        <v>12</v>
      </c>
      <c r="D39" s="74" t="s">
        <v>62</v>
      </c>
      <c r="E39" s="74"/>
      <c r="F39" s="74"/>
      <c r="G39" s="13">
        <v>0</v>
      </c>
      <c r="H39" s="13">
        <v>0</v>
      </c>
    </row>
    <row r="40" spans="1:8">
      <c r="A40" s="78" t="s">
        <v>75</v>
      </c>
      <c r="B40" s="79" t="s">
        <v>76</v>
      </c>
      <c r="C40" s="78"/>
      <c r="D40" s="78"/>
      <c r="E40" s="78"/>
      <c r="F40" s="78"/>
      <c r="G40" s="18">
        <v>383010843</v>
      </c>
      <c r="H40" s="18">
        <v>515696238</v>
      </c>
    </row>
    <row r="41" spans="1:8">
      <c r="A41" s="82" t="s">
        <v>77</v>
      </c>
      <c r="B41" s="83" t="s">
        <v>78</v>
      </c>
      <c r="C41" s="82"/>
      <c r="D41" s="82"/>
      <c r="E41" s="82"/>
      <c r="F41" s="82"/>
      <c r="G41" s="24">
        <v>1977506977</v>
      </c>
      <c r="H41" s="24">
        <v>4782986314</v>
      </c>
    </row>
    <row r="42" spans="1:8">
      <c r="A42" s="74" t="s">
        <v>79</v>
      </c>
      <c r="B42" s="75" t="s">
        <v>80</v>
      </c>
      <c r="C42" s="74" t="s">
        <v>9</v>
      </c>
      <c r="D42" s="74" t="s">
        <v>81</v>
      </c>
      <c r="E42" s="74"/>
      <c r="F42" s="74"/>
      <c r="G42" s="13">
        <v>6500000</v>
      </c>
      <c r="H42" s="13">
        <v>500000</v>
      </c>
    </row>
    <row r="43" spans="1:8">
      <c r="A43" s="74" t="s">
        <v>82</v>
      </c>
      <c r="B43" s="75" t="s">
        <v>83</v>
      </c>
      <c r="C43" s="74" t="s">
        <v>9</v>
      </c>
      <c r="D43" s="74">
        <v>30</v>
      </c>
      <c r="E43" s="74"/>
      <c r="F43" s="74"/>
      <c r="G43" s="13">
        <v>0</v>
      </c>
      <c r="H43" s="13">
        <v>0</v>
      </c>
    </row>
    <row r="44" spans="1:8">
      <c r="A44" s="74" t="s">
        <v>84</v>
      </c>
      <c r="B44" s="75" t="s">
        <v>85</v>
      </c>
      <c r="C44" s="74" t="s">
        <v>12</v>
      </c>
      <c r="D44" s="74" t="s">
        <v>81</v>
      </c>
      <c r="E44" s="74"/>
      <c r="F44" s="74"/>
      <c r="G44" s="13">
        <v>0</v>
      </c>
      <c r="H44" s="13">
        <v>0</v>
      </c>
    </row>
    <row r="45" spans="1:8">
      <c r="A45" s="74" t="s">
        <v>86</v>
      </c>
      <c r="B45" s="75" t="s">
        <v>102</v>
      </c>
      <c r="C45" s="74" t="s">
        <v>12</v>
      </c>
      <c r="D45" s="74">
        <v>30</v>
      </c>
      <c r="E45" s="74"/>
      <c r="F45" s="74"/>
      <c r="G45" s="13">
        <v>0</v>
      </c>
      <c r="H45" s="13">
        <v>0</v>
      </c>
    </row>
    <row r="46" spans="1:8">
      <c r="A46" s="82" t="s">
        <v>88</v>
      </c>
      <c r="B46" s="83" t="s">
        <v>89</v>
      </c>
      <c r="C46" s="82"/>
      <c r="D46" s="82"/>
      <c r="E46" s="82"/>
      <c r="F46" s="82"/>
      <c r="G46" s="24">
        <v>6500000</v>
      </c>
      <c r="H46" s="24">
        <v>500000</v>
      </c>
    </row>
    <row r="47" spans="1:8">
      <c r="A47" s="74" t="s">
        <v>90</v>
      </c>
      <c r="B47" s="75" t="s">
        <v>103</v>
      </c>
      <c r="C47" s="74" t="s">
        <v>12</v>
      </c>
      <c r="D47" s="74">
        <v>30</v>
      </c>
      <c r="E47" s="74"/>
      <c r="F47" s="74"/>
      <c r="G47" s="13">
        <v>0</v>
      </c>
      <c r="H47" s="13">
        <v>0</v>
      </c>
    </row>
    <row r="48" spans="1:8">
      <c r="A48" s="74" t="s">
        <v>92</v>
      </c>
      <c r="B48" s="75" t="s">
        <v>93</v>
      </c>
      <c r="C48" s="74" t="s">
        <v>12</v>
      </c>
      <c r="D48" s="74"/>
      <c r="E48" s="74"/>
      <c r="F48" s="74"/>
      <c r="G48" s="13">
        <v>-623022900</v>
      </c>
      <c r="H48" s="13">
        <v>-1474105800</v>
      </c>
    </row>
    <row r="49" spans="1:8">
      <c r="A49" s="78" t="s">
        <v>94</v>
      </c>
      <c r="B49" s="79" t="s">
        <v>95</v>
      </c>
      <c r="C49" s="78"/>
      <c r="D49" s="78"/>
      <c r="E49" s="78"/>
      <c r="F49" s="78"/>
      <c r="G49" s="18">
        <v>1360984077</v>
      </c>
      <c r="H49" s="18">
        <v>3309380514</v>
      </c>
    </row>
  </sheetData>
  <dataValidations count="1">
    <dataValidation allowBlank="1" showInputMessage="1" showErrorMessage="1" errorTitle="Erreur de saisie" error="La cellule ne peut prendre que du numérique." promptTitle="Information" prompt="Cette cellule ne peut prendre que du numérique," sqref="G8:H49" xr:uid="{4F4C483D-E863-4655-80E3-834DAB4AE76B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FFFF7-39E6-4F3D-8C42-4815C25FF430}">
  <sheetPr codeName="Feuil32"/>
  <dimension ref="A1:H84"/>
  <sheetViews>
    <sheetView topLeftCell="A5"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14.85546875" style="27" bestFit="1" customWidth="1"/>
    <col min="6" max="6" width="13.5703125" style="27" customWidth="1"/>
    <col min="7" max="8" width="15.7109375" style="28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1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G3" s="257" t="s">
        <v>114</v>
      </c>
      <c r="H3" s="258"/>
    </row>
    <row r="4" spans="1:8" s="1" customFormat="1" ht="15" customHeight="1">
      <c r="A4" s="262" t="s">
        <v>121</v>
      </c>
      <c r="B4" s="258"/>
      <c r="C4" s="258"/>
      <c r="D4" s="259" t="s">
        <v>2</v>
      </c>
      <c r="E4" s="25"/>
      <c r="F4" s="25"/>
      <c r="G4" s="260">
        <v>12</v>
      </c>
      <c r="H4" s="260"/>
    </row>
    <row r="5" spans="1:8" s="1" customFormat="1" ht="30.95" customHeight="1">
      <c r="A5" s="4" t="s">
        <v>3</v>
      </c>
      <c r="B5" s="261" t="s">
        <v>122</v>
      </c>
      <c r="C5" s="261"/>
      <c r="D5" s="259"/>
      <c r="E5" s="25"/>
      <c r="F5" s="25"/>
      <c r="G5" s="258"/>
      <c r="H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  <c r="G8" s="10"/>
      <c r="H8" s="10"/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  <c r="G9" s="13"/>
      <c r="H9" s="13"/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  <c r="G10" s="13"/>
      <c r="H10" s="13"/>
    </row>
    <row r="11" spans="1:8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  <c r="G11" s="18"/>
      <c r="H11" s="18"/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13061875796</v>
      </c>
      <c r="F12" s="13">
        <v>9549548473</v>
      </c>
      <c r="G12" s="13"/>
      <c r="H12" s="13"/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16517800</v>
      </c>
      <c r="F13" s="13">
        <v>8284586</v>
      </c>
      <c r="G13" s="13"/>
      <c r="H13" s="13"/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10919677</v>
      </c>
      <c r="F14" s="13">
        <v>401700</v>
      </c>
      <c r="G14" s="13"/>
      <c r="H14" s="13"/>
    </row>
    <row r="15" spans="1:8" ht="18" customHeight="1">
      <c r="A15" s="16" t="s">
        <v>24</v>
      </c>
      <c r="B15" s="17" t="s">
        <v>25</v>
      </c>
      <c r="C15" s="16"/>
      <c r="D15" s="16"/>
      <c r="E15" s="18">
        <v>13089313273</v>
      </c>
      <c r="F15" s="18">
        <v>9558234759</v>
      </c>
      <c r="G15" s="18"/>
      <c r="H15" s="18"/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-1509456595</v>
      </c>
      <c r="F16" s="13">
        <v>444198418</v>
      </c>
      <c r="G16" s="13"/>
      <c r="H16" s="13"/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/>
      <c r="H17" s="13"/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/>
      <c r="H18" s="13"/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155734639</v>
      </c>
      <c r="F19" s="13">
        <v>384450</v>
      </c>
      <c r="G19" s="13"/>
      <c r="H19" s="13"/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  <c r="G20" s="13"/>
      <c r="H20" s="13"/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/>
      <c r="H21" s="13"/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/>
      <c r="H22" s="13"/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-1894411194</v>
      </c>
      <c r="F23" s="13">
        <v>-2125748108</v>
      </c>
      <c r="G23" s="13"/>
      <c r="H23" s="13"/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10951538</v>
      </c>
      <c r="F24" s="13">
        <v>-49744773</v>
      </c>
      <c r="G24" s="13"/>
      <c r="H24" s="13"/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-3558226855</v>
      </c>
      <c r="F25" s="13">
        <v>-3222130130</v>
      </c>
      <c r="G25" s="13"/>
      <c r="H25" s="13"/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-2420263113</v>
      </c>
      <c r="F26" s="13">
        <v>-1832925195</v>
      </c>
      <c r="G26" s="13"/>
      <c r="H26" s="13"/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-391328986</v>
      </c>
      <c r="F27" s="13">
        <v>-226883226</v>
      </c>
      <c r="G27" s="13"/>
      <c r="H27" s="13"/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-50033133</v>
      </c>
      <c r="F28" s="13">
        <v>-139082886</v>
      </c>
      <c r="G28" s="13"/>
      <c r="H28" s="13"/>
    </row>
    <row r="29" spans="1:8" ht="18" customHeight="1">
      <c r="A29" s="16" t="s">
        <v>52</v>
      </c>
      <c r="B29" s="17" t="s">
        <v>53</v>
      </c>
      <c r="C29" s="16"/>
      <c r="D29" s="16"/>
      <c r="E29" s="18">
        <v>3432279574</v>
      </c>
      <c r="F29" s="18">
        <v>2406303309</v>
      </c>
      <c r="G29" s="18"/>
      <c r="H29" s="18"/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-1461378819</v>
      </c>
      <c r="F30" s="13">
        <v>-1184605387</v>
      </c>
      <c r="G30" s="13"/>
      <c r="H30" s="13"/>
    </row>
    <row r="31" spans="1:8" ht="18" customHeight="1">
      <c r="A31" s="16" t="s">
        <v>56</v>
      </c>
      <c r="B31" s="17" t="s">
        <v>57</v>
      </c>
      <c r="C31" s="16"/>
      <c r="D31" s="16"/>
      <c r="E31" s="18">
        <v>1970900755</v>
      </c>
      <c r="F31" s="18">
        <v>1221697922</v>
      </c>
      <c r="G31" s="18"/>
      <c r="H31" s="18"/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110591477</v>
      </c>
      <c r="F32" s="13">
        <v>69191800</v>
      </c>
      <c r="G32" s="13"/>
      <c r="H32" s="13"/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-238726000</v>
      </c>
      <c r="F33" s="13">
        <v>-181103543</v>
      </c>
      <c r="G33" s="13"/>
      <c r="H33" s="13"/>
    </row>
    <row r="34" spans="1:8" ht="18" customHeight="1">
      <c r="A34" s="16" t="s">
        <v>63</v>
      </c>
      <c r="B34" s="17" t="s">
        <v>64</v>
      </c>
      <c r="C34" s="16"/>
      <c r="D34" s="16"/>
      <c r="E34" s="18">
        <v>1842766232</v>
      </c>
      <c r="F34" s="18">
        <v>1109786179</v>
      </c>
      <c r="G34" s="18"/>
      <c r="H34" s="18"/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266059061</v>
      </c>
      <c r="F35" s="13">
        <v>215705618</v>
      </c>
      <c r="G35" s="13"/>
      <c r="H35" s="13"/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/>
      <c r="H36" s="13"/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/>
      <c r="H37" s="13"/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-115436232</v>
      </c>
      <c r="F38" s="13">
        <v>-92694642</v>
      </c>
      <c r="G38" s="13"/>
      <c r="H38" s="13"/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  <c r="G39" s="13"/>
      <c r="H39" s="13"/>
    </row>
    <row r="40" spans="1:8" ht="18" customHeight="1">
      <c r="A40" s="16" t="s">
        <v>75</v>
      </c>
      <c r="B40" s="17" t="s">
        <v>76</v>
      </c>
      <c r="C40" s="16"/>
      <c r="D40" s="16"/>
      <c r="E40" s="18">
        <v>150622829</v>
      </c>
      <c r="F40" s="18">
        <v>123010976</v>
      </c>
      <c r="G40" s="18"/>
      <c r="H40" s="18"/>
    </row>
    <row r="41" spans="1:8" ht="18" customHeight="1">
      <c r="A41" s="22" t="s">
        <v>77</v>
      </c>
      <c r="B41" s="23" t="s">
        <v>78</v>
      </c>
      <c r="C41" s="22"/>
      <c r="D41" s="22"/>
      <c r="E41" s="24">
        <v>1993389061</v>
      </c>
      <c r="F41" s="24">
        <v>1232797155</v>
      </c>
      <c r="G41" s="24"/>
      <c r="H41" s="24"/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48000000</v>
      </c>
      <c r="F42" s="13">
        <v>0</v>
      </c>
      <c r="G42" s="13"/>
      <c r="H42" s="13"/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/>
      <c r="H43" s="13"/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-41656500</v>
      </c>
      <c r="F44" s="13">
        <v>0</v>
      </c>
      <c r="G44" s="13"/>
      <c r="H44" s="13"/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/>
      <c r="H45" s="13"/>
    </row>
    <row r="46" spans="1:8" ht="18" customHeight="1">
      <c r="A46" s="22" t="s">
        <v>88</v>
      </c>
      <c r="B46" s="23" t="s">
        <v>89</v>
      </c>
      <c r="C46" s="22"/>
      <c r="D46" s="22"/>
      <c r="E46" s="24">
        <v>6343500</v>
      </c>
      <c r="F46" s="24">
        <v>0</v>
      </c>
      <c r="G46" s="24"/>
      <c r="H46" s="24"/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/>
      <c r="H47" s="13"/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3">
        <v>-335876791</v>
      </c>
      <c r="F48" s="13">
        <v>-199311661</v>
      </c>
      <c r="G48" s="13"/>
      <c r="H48" s="13"/>
    </row>
    <row r="49" spans="1:8" ht="18" customHeight="1">
      <c r="A49" s="16" t="s">
        <v>94</v>
      </c>
      <c r="B49" s="17" t="s">
        <v>95</v>
      </c>
      <c r="C49" s="16"/>
      <c r="D49" s="16"/>
      <c r="E49" s="18">
        <v>1663855770</v>
      </c>
      <c r="F49" s="18">
        <v>1033485494</v>
      </c>
      <c r="G49" s="18"/>
      <c r="H49" s="18"/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30"/>
      <c r="H62" s="30"/>
    </row>
    <row r="63" spans="1:8" ht="12.75" customHeight="1">
      <c r="G63" s="30"/>
      <c r="H63" s="30"/>
    </row>
    <row r="64" spans="1:8" ht="12.75" customHeight="1">
      <c r="G64" s="30"/>
      <c r="H64" s="30"/>
    </row>
    <row r="65" spans="7:8" ht="12.75" customHeight="1">
      <c r="G65" s="30"/>
      <c r="H65" s="30"/>
    </row>
    <row r="66" spans="7:8" ht="12.75" customHeight="1">
      <c r="G66" s="30"/>
      <c r="H66" s="30"/>
    </row>
    <row r="67" spans="7:8" ht="12.75" customHeight="1">
      <c r="G67" s="30"/>
      <c r="H67" s="30"/>
    </row>
    <row r="68" spans="7:8" ht="12.75" customHeight="1">
      <c r="G68" s="30"/>
      <c r="H68" s="30"/>
    </row>
    <row r="69" spans="7:8" ht="12.75" customHeight="1">
      <c r="G69" s="30"/>
      <c r="H69" s="30"/>
    </row>
    <row r="70" spans="7:8" ht="12.75" customHeight="1">
      <c r="G70" s="30"/>
      <c r="H70" s="30"/>
    </row>
    <row r="71" spans="7:8" ht="12.75" customHeight="1">
      <c r="G71" s="30"/>
      <c r="H71" s="30"/>
    </row>
    <row r="72" spans="7:8" ht="12.75" customHeight="1">
      <c r="G72" s="30"/>
      <c r="H72" s="30"/>
    </row>
    <row r="73" spans="7:8" ht="12.75" customHeight="1">
      <c r="G73" s="30"/>
      <c r="H73" s="30"/>
    </row>
    <row r="74" spans="7:8" ht="12.75" customHeight="1">
      <c r="G74" s="30"/>
      <c r="H74" s="30"/>
    </row>
    <row r="75" spans="7:8" ht="12.75" customHeight="1">
      <c r="G75" s="30"/>
      <c r="H75" s="30"/>
    </row>
    <row r="76" spans="7:8" ht="12.75" customHeight="1">
      <c r="G76" s="30"/>
      <c r="H76" s="30"/>
    </row>
    <row r="77" spans="7:8" ht="12.75" customHeight="1">
      <c r="G77" s="30"/>
      <c r="H77" s="30"/>
    </row>
    <row r="78" spans="7:8" ht="12.75" customHeight="1">
      <c r="G78" s="30"/>
      <c r="H78" s="30"/>
    </row>
    <row r="79" spans="7:8" ht="12.75" customHeight="1">
      <c r="G79" s="30"/>
      <c r="H79" s="30"/>
    </row>
    <row r="80" spans="7:8" ht="12.75" customHeight="1">
      <c r="G80" s="30"/>
      <c r="H80" s="30"/>
    </row>
    <row r="81" spans="7:8" ht="12.75" customHeight="1">
      <c r="G81" s="30"/>
      <c r="H81" s="30"/>
    </row>
    <row r="82" spans="7:8" ht="12.75" customHeight="1">
      <c r="G82" s="30"/>
      <c r="H82" s="30"/>
    </row>
    <row r="83" spans="7:8" ht="12.75" customHeight="1">
      <c r="G83" s="30"/>
      <c r="H83" s="30"/>
    </row>
    <row r="84" spans="7:8" ht="12.75" customHeight="1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H49" xr:uid="{7B893A61-C6B1-485F-A00D-93DF328A67BB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B38073E9-D51A-4776-8008-A7819010EDB1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DE6115C7-1EA7-45A3-AAED-57694928C514}"/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1C22-E69D-4223-B1AC-B077BD7BDCCB}">
  <sheetPr codeName="Feuil33"/>
  <dimension ref="A1:L84"/>
  <sheetViews>
    <sheetView topLeftCell="B7" workbookViewId="0">
      <selection activeCell="H16" sqref="H16"/>
    </sheetView>
  </sheetViews>
  <sheetFormatPr baseColWidth="10" defaultColWidth="10.28515625" defaultRowHeight="12.75"/>
  <cols>
    <col min="1" max="1" width="11.7109375" style="49" customWidth="1" collapsed="1"/>
    <col min="2" max="2" width="56" style="50" bestFit="1" customWidth="1" collapsed="1"/>
    <col min="3" max="3" width="3.140625" style="50" bestFit="1" customWidth="1" collapsed="1"/>
    <col min="4" max="4" width="13.5703125" style="50" customWidth="1" collapsed="1"/>
    <col min="5" max="8" width="13.5703125" style="50" customWidth="1"/>
    <col min="9" max="10" width="10.28515625" style="50" collapsed="1"/>
    <col min="11" max="12" width="10.28515625" style="50"/>
    <col min="13" max="16384" width="10.28515625" style="50" collapsed="1"/>
  </cols>
  <sheetData>
    <row r="1" spans="1:8" s="102" customFormat="1" ht="24.6" customHeight="1">
      <c r="A1" s="275" t="s">
        <v>0</v>
      </c>
      <c r="B1" s="275"/>
      <c r="C1" s="275"/>
      <c r="D1" s="275"/>
      <c r="E1" s="275"/>
      <c r="F1" s="275"/>
      <c r="G1" s="275"/>
      <c r="H1" s="275"/>
    </row>
    <row r="2" spans="1:8" s="102" customFormat="1" ht="8.1" customHeight="1">
      <c r="C2" s="103"/>
    </row>
    <row r="3" spans="1:8" s="102" customFormat="1" ht="25.5" customHeight="1">
      <c r="A3" s="276" t="s">
        <v>96</v>
      </c>
      <c r="B3" s="276"/>
      <c r="C3" s="276"/>
      <c r="D3" s="102" t="s">
        <v>1</v>
      </c>
      <c r="G3" s="277">
        <v>45657</v>
      </c>
      <c r="H3" s="278"/>
    </row>
    <row r="4" spans="1:8" s="102" customFormat="1" ht="15" customHeight="1">
      <c r="A4" s="279" t="s">
        <v>123</v>
      </c>
      <c r="B4" s="278"/>
      <c r="C4" s="278"/>
      <c r="D4" s="280" t="s">
        <v>2</v>
      </c>
      <c r="E4" s="105"/>
      <c r="F4" s="105"/>
      <c r="G4" s="281"/>
      <c r="H4" s="281"/>
    </row>
    <row r="5" spans="1:8" s="102" customFormat="1" ht="30.95" customHeight="1">
      <c r="A5" s="104" t="s">
        <v>3</v>
      </c>
      <c r="B5" s="282" t="s">
        <v>124</v>
      </c>
      <c r="C5" s="283"/>
      <c r="D5" s="280"/>
      <c r="E5" s="105"/>
      <c r="F5" s="105"/>
      <c r="G5" s="279">
        <v>12</v>
      </c>
      <c r="H5" s="278"/>
    </row>
    <row r="6" spans="1:8" s="102" customFormat="1" ht="8.1" customHeight="1">
      <c r="C6" s="103"/>
    </row>
    <row r="7" spans="1:8" ht="18" customHeight="1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  <c r="G7" s="34">
        <v>2022</v>
      </c>
      <c r="H7" s="34">
        <v>2021</v>
      </c>
    </row>
    <row r="8" spans="1:8" ht="18" customHeight="1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  <c r="G8" s="37"/>
      <c r="H8" s="37"/>
    </row>
    <row r="9" spans="1:8" ht="18" customHeight="1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  <c r="G9" s="37"/>
      <c r="H9" s="37"/>
    </row>
    <row r="10" spans="1:8" ht="18" customHeight="1">
      <c r="A10" s="38" t="s">
        <v>13</v>
      </c>
      <c r="B10" s="40" t="s">
        <v>14</v>
      </c>
      <c r="C10" s="41" t="s">
        <v>15</v>
      </c>
      <c r="D10" s="41">
        <v>6</v>
      </c>
      <c r="E10" s="63">
        <v>0</v>
      </c>
      <c r="F10" s="63">
        <v>0</v>
      </c>
      <c r="G10" s="63"/>
      <c r="H10" s="63"/>
    </row>
    <row r="11" spans="1:8" ht="18" customHeight="1">
      <c r="A11" s="42" t="s">
        <v>16</v>
      </c>
      <c r="B11" s="43" t="s">
        <v>17</v>
      </c>
      <c r="C11" s="42"/>
      <c r="D11" s="42"/>
      <c r="E11" s="64">
        <v>0</v>
      </c>
      <c r="F11" s="64">
        <v>0</v>
      </c>
      <c r="G11" s="64"/>
      <c r="H11" s="64"/>
    </row>
    <row r="12" spans="1:8" ht="18" customHeight="1">
      <c r="A12" s="38" t="s">
        <v>18</v>
      </c>
      <c r="B12" s="39" t="s">
        <v>19</v>
      </c>
      <c r="C12" s="38" t="s">
        <v>9</v>
      </c>
      <c r="D12" s="38">
        <v>21</v>
      </c>
      <c r="E12" s="63">
        <v>0</v>
      </c>
      <c r="F12" s="63">
        <v>0</v>
      </c>
      <c r="G12" s="63"/>
      <c r="H12" s="63"/>
    </row>
    <row r="13" spans="1:8" ht="18" customHeight="1">
      <c r="A13" s="38" t="s">
        <v>20</v>
      </c>
      <c r="B13" s="39" t="s">
        <v>21</v>
      </c>
      <c r="C13" s="38" t="s">
        <v>9</v>
      </c>
      <c r="D13" s="38">
        <v>21</v>
      </c>
      <c r="E13" s="63">
        <v>2756043638</v>
      </c>
      <c r="F13" s="63">
        <v>903294089</v>
      </c>
      <c r="G13" s="63"/>
      <c r="H13" s="63"/>
    </row>
    <row r="14" spans="1:8" ht="18" customHeight="1">
      <c r="A14" s="38" t="s">
        <v>22</v>
      </c>
      <c r="B14" s="39" t="s">
        <v>23</v>
      </c>
      <c r="C14" s="38" t="s">
        <v>9</v>
      </c>
      <c r="D14" s="38">
        <v>21</v>
      </c>
      <c r="E14" s="63">
        <v>0</v>
      </c>
      <c r="F14" s="63">
        <v>0</v>
      </c>
      <c r="G14" s="63"/>
      <c r="H14" s="63"/>
    </row>
    <row r="15" spans="1:8" ht="18" customHeight="1">
      <c r="A15" s="42" t="s">
        <v>24</v>
      </c>
      <c r="B15" s="43" t="s">
        <v>25</v>
      </c>
      <c r="C15" s="42"/>
      <c r="D15" s="42"/>
      <c r="E15" s="64">
        <v>2756043638</v>
      </c>
      <c r="F15" s="64">
        <v>903294089</v>
      </c>
      <c r="G15" s="64"/>
      <c r="H15" s="64"/>
    </row>
    <row r="16" spans="1:8" ht="18" customHeight="1">
      <c r="A16" s="38" t="s">
        <v>26</v>
      </c>
      <c r="B16" s="39" t="s">
        <v>27</v>
      </c>
      <c r="C16" s="41" t="s">
        <v>15</v>
      </c>
      <c r="D16" s="38">
        <v>6</v>
      </c>
      <c r="E16" s="63">
        <v>0</v>
      </c>
      <c r="F16" s="63">
        <v>0</v>
      </c>
      <c r="G16" s="63"/>
      <c r="H16" s="63"/>
    </row>
    <row r="17" spans="1:8" ht="18" customHeight="1">
      <c r="A17" s="38" t="s">
        <v>28</v>
      </c>
      <c r="B17" s="39" t="s">
        <v>29</v>
      </c>
      <c r="C17" s="38"/>
      <c r="D17" s="38">
        <v>21</v>
      </c>
      <c r="E17" s="63">
        <v>0</v>
      </c>
      <c r="F17" s="63">
        <v>0</v>
      </c>
      <c r="G17" s="63"/>
      <c r="H17" s="63"/>
    </row>
    <row r="18" spans="1:8" ht="18" customHeight="1">
      <c r="A18" s="38" t="s">
        <v>30</v>
      </c>
      <c r="B18" s="39" t="s">
        <v>31</v>
      </c>
      <c r="C18" s="38"/>
      <c r="D18" s="38">
        <v>21</v>
      </c>
      <c r="E18" s="63">
        <v>0</v>
      </c>
      <c r="F18" s="63">
        <v>1400000</v>
      </c>
      <c r="G18" s="63"/>
      <c r="H18" s="63"/>
    </row>
    <row r="19" spans="1:8" ht="18" customHeight="1">
      <c r="A19" s="38" t="s">
        <v>32</v>
      </c>
      <c r="B19" s="39" t="s">
        <v>33</v>
      </c>
      <c r="C19" s="38" t="s">
        <v>9</v>
      </c>
      <c r="D19" s="38">
        <v>21</v>
      </c>
      <c r="E19" s="63">
        <v>936876563</v>
      </c>
      <c r="F19" s="63">
        <v>760451571</v>
      </c>
      <c r="G19" s="63"/>
      <c r="H19" s="63"/>
    </row>
    <row r="20" spans="1:8" ht="18" customHeight="1">
      <c r="A20" s="65" t="s">
        <v>34</v>
      </c>
      <c r="B20" s="66" t="s">
        <v>35</v>
      </c>
      <c r="C20" s="65" t="s">
        <v>9</v>
      </c>
      <c r="D20" s="65">
        <v>12</v>
      </c>
      <c r="E20" s="67">
        <v>0</v>
      </c>
      <c r="F20" s="67">
        <v>0</v>
      </c>
      <c r="G20" s="67"/>
      <c r="H20" s="67"/>
    </row>
    <row r="21" spans="1:8" ht="18" customHeight="1">
      <c r="A21" s="38" t="s">
        <v>36</v>
      </c>
      <c r="B21" s="39" t="s">
        <v>37</v>
      </c>
      <c r="C21" s="38" t="s">
        <v>12</v>
      </c>
      <c r="D21" s="38">
        <v>22</v>
      </c>
      <c r="E21" s="63">
        <v>0</v>
      </c>
      <c r="F21" s="63">
        <v>0</v>
      </c>
      <c r="G21" s="63"/>
      <c r="H21" s="63"/>
    </row>
    <row r="22" spans="1:8" ht="18" customHeight="1">
      <c r="A22" s="38" t="s">
        <v>38</v>
      </c>
      <c r="B22" s="40" t="s">
        <v>39</v>
      </c>
      <c r="C22" s="41" t="s">
        <v>15</v>
      </c>
      <c r="D22" s="38">
        <v>6</v>
      </c>
      <c r="E22" s="63">
        <v>-879810</v>
      </c>
      <c r="F22" s="63">
        <v>0</v>
      </c>
      <c r="G22" s="63"/>
      <c r="H22" s="63"/>
    </row>
    <row r="23" spans="1:8" ht="18" customHeight="1">
      <c r="A23" s="38" t="s">
        <v>40</v>
      </c>
      <c r="B23" s="39" t="s">
        <v>41</v>
      </c>
      <c r="C23" s="38" t="s">
        <v>12</v>
      </c>
      <c r="D23" s="38">
        <v>22</v>
      </c>
      <c r="E23" s="63">
        <v>86080379</v>
      </c>
      <c r="F23" s="63">
        <v>41780502</v>
      </c>
      <c r="G23" s="63"/>
      <c r="H23" s="63"/>
    </row>
    <row r="24" spans="1:8" ht="18" customHeight="1">
      <c r="A24" s="38" t="s">
        <v>42</v>
      </c>
      <c r="B24" s="40" t="s">
        <v>43</v>
      </c>
      <c r="C24" s="41" t="s">
        <v>15</v>
      </c>
      <c r="D24" s="38">
        <v>6</v>
      </c>
      <c r="E24" s="63">
        <v>-18016072</v>
      </c>
      <c r="F24" s="63">
        <v>1525672</v>
      </c>
      <c r="G24" s="63"/>
      <c r="H24" s="63"/>
    </row>
    <row r="25" spans="1:8" ht="18" customHeight="1">
      <c r="A25" s="38" t="s">
        <v>44</v>
      </c>
      <c r="B25" s="39" t="s">
        <v>45</v>
      </c>
      <c r="C25" s="38" t="s">
        <v>12</v>
      </c>
      <c r="D25" s="38">
        <v>23</v>
      </c>
      <c r="E25" s="63">
        <v>55203526</v>
      </c>
      <c r="F25" s="63">
        <v>17700455</v>
      </c>
      <c r="G25" s="63"/>
      <c r="H25" s="63"/>
    </row>
    <row r="26" spans="1:8" ht="18" customHeight="1">
      <c r="A26" s="38" t="s">
        <v>46</v>
      </c>
      <c r="B26" s="39" t="s">
        <v>47</v>
      </c>
      <c r="C26" s="38" t="s">
        <v>12</v>
      </c>
      <c r="D26" s="38">
        <v>24</v>
      </c>
      <c r="E26" s="63">
        <v>406951844</v>
      </c>
      <c r="F26" s="63">
        <v>507125523</v>
      </c>
      <c r="G26" s="63"/>
      <c r="H26" s="63"/>
    </row>
    <row r="27" spans="1:8" ht="18" customHeight="1">
      <c r="A27" s="38" t="s">
        <v>48</v>
      </c>
      <c r="B27" s="39" t="s">
        <v>49</v>
      </c>
      <c r="C27" s="38" t="s">
        <v>12</v>
      </c>
      <c r="D27" s="38">
        <v>25</v>
      </c>
      <c r="E27" s="63">
        <v>77330476</v>
      </c>
      <c r="F27" s="63">
        <v>99088185</v>
      </c>
      <c r="G27" s="63"/>
      <c r="H27" s="63"/>
    </row>
    <row r="28" spans="1:8" ht="18" customHeight="1">
      <c r="A28" s="38" t="s">
        <v>50</v>
      </c>
      <c r="B28" s="39" t="s">
        <v>51</v>
      </c>
      <c r="C28" s="38" t="s">
        <v>12</v>
      </c>
      <c r="D28" s="38">
        <v>26</v>
      </c>
      <c r="E28" s="63">
        <v>44571436</v>
      </c>
      <c r="F28" s="63">
        <v>37759937</v>
      </c>
      <c r="G28" s="63"/>
      <c r="H28" s="63"/>
    </row>
    <row r="29" spans="1:8" ht="18" customHeight="1">
      <c r="A29" s="42" t="s">
        <v>52</v>
      </c>
      <c r="B29" s="43" t="s">
        <v>53</v>
      </c>
      <c r="C29" s="42"/>
      <c r="D29" s="42"/>
      <c r="E29" s="64">
        <v>3041678422</v>
      </c>
      <c r="F29" s="64">
        <v>960165386</v>
      </c>
      <c r="G29" s="64"/>
      <c r="H29" s="64"/>
    </row>
    <row r="30" spans="1:8" ht="18" customHeight="1">
      <c r="A30" s="38" t="s">
        <v>54</v>
      </c>
      <c r="B30" s="39" t="s">
        <v>55</v>
      </c>
      <c r="C30" s="38" t="s">
        <v>12</v>
      </c>
      <c r="D30" s="38">
        <v>27</v>
      </c>
      <c r="E30" s="63">
        <v>2212722482</v>
      </c>
      <c r="F30" s="63">
        <v>2088756356</v>
      </c>
      <c r="G30" s="63"/>
      <c r="H30" s="63"/>
    </row>
    <row r="31" spans="1:8" ht="18" customHeight="1">
      <c r="A31" s="42" t="s">
        <v>56</v>
      </c>
      <c r="B31" s="43" t="s">
        <v>57</v>
      </c>
      <c r="C31" s="42"/>
      <c r="D31" s="42"/>
      <c r="E31" s="64">
        <f>+E29-E30</f>
        <v>828955940</v>
      </c>
      <c r="F31" s="64">
        <v>-1128590970</v>
      </c>
      <c r="G31" s="64"/>
      <c r="H31" s="64"/>
    </row>
    <row r="32" spans="1:8" ht="18" customHeight="1">
      <c r="A32" s="38" t="s">
        <v>58</v>
      </c>
      <c r="B32" s="39" t="s">
        <v>59</v>
      </c>
      <c r="C32" s="38" t="s">
        <v>9</v>
      </c>
      <c r="D32" s="38">
        <v>28</v>
      </c>
      <c r="E32" s="63">
        <v>16579730</v>
      </c>
      <c r="F32" s="63">
        <v>9265021</v>
      </c>
      <c r="G32" s="63"/>
      <c r="H32" s="63"/>
    </row>
    <row r="33" spans="1:8" ht="18" customHeight="1">
      <c r="A33" s="65" t="s">
        <v>60</v>
      </c>
      <c r="B33" s="66" t="s">
        <v>61</v>
      </c>
      <c r="C33" s="65" t="s">
        <v>12</v>
      </c>
      <c r="D33" s="65" t="s">
        <v>62</v>
      </c>
      <c r="E33" s="67">
        <v>50152728</v>
      </c>
      <c r="F33" s="67">
        <v>148714789</v>
      </c>
      <c r="G33" s="67"/>
      <c r="H33" s="67"/>
    </row>
    <row r="34" spans="1:8" ht="18" customHeight="1">
      <c r="A34" s="42" t="s">
        <v>63</v>
      </c>
      <c r="B34" s="43" t="s">
        <v>64</v>
      </c>
      <c r="C34" s="42"/>
      <c r="D34" s="42"/>
      <c r="E34" s="64">
        <f>+E31+E32-E33</f>
        <v>795382942</v>
      </c>
      <c r="F34" s="64">
        <v>-1268040738</v>
      </c>
      <c r="G34" s="64"/>
      <c r="H34" s="64"/>
    </row>
    <row r="35" spans="1:8" ht="18" customHeight="1">
      <c r="A35" s="38" t="s">
        <v>65</v>
      </c>
      <c r="B35" s="39" t="s">
        <v>66</v>
      </c>
      <c r="C35" s="38" t="s">
        <v>9</v>
      </c>
      <c r="D35" s="38">
        <v>29</v>
      </c>
      <c r="E35" s="63">
        <v>101421</v>
      </c>
      <c r="F35" s="63">
        <v>10582835</v>
      </c>
      <c r="G35" s="63"/>
      <c r="H35" s="63"/>
    </row>
    <row r="36" spans="1:8" ht="18" customHeight="1">
      <c r="A36" s="38" t="s">
        <v>67</v>
      </c>
      <c r="B36" s="39" t="s">
        <v>68</v>
      </c>
      <c r="C36" s="38" t="s">
        <v>9</v>
      </c>
      <c r="D36" s="38">
        <v>28</v>
      </c>
      <c r="E36" s="63">
        <v>38475</v>
      </c>
      <c r="F36" s="63">
        <v>0</v>
      </c>
      <c r="G36" s="63"/>
      <c r="H36" s="63"/>
    </row>
    <row r="37" spans="1:8" ht="18" customHeight="1">
      <c r="A37" s="38" t="s">
        <v>69</v>
      </c>
      <c r="B37" s="39" t="s">
        <v>70</v>
      </c>
      <c r="C37" s="38" t="s">
        <v>9</v>
      </c>
      <c r="D37" s="38">
        <v>12</v>
      </c>
      <c r="E37" s="63">
        <v>0</v>
      </c>
      <c r="F37" s="63">
        <v>0</v>
      </c>
      <c r="G37" s="63"/>
      <c r="H37" s="63"/>
    </row>
    <row r="38" spans="1:8" ht="18" customHeight="1">
      <c r="A38" s="38" t="s">
        <v>71</v>
      </c>
      <c r="B38" s="39" t="s">
        <v>72</v>
      </c>
      <c r="C38" s="38" t="s">
        <v>12</v>
      </c>
      <c r="D38" s="38">
        <v>29</v>
      </c>
      <c r="E38" s="63">
        <v>17947603</v>
      </c>
      <c r="F38" s="63">
        <v>8193682</v>
      </c>
      <c r="G38" s="63"/>
      <c r="H38" s="63"/>
    </row>
    <row r="39" spans="1:8" ht="18" customHeight="1">
      <c r="A39" s="38" t="s">
        <v>73</v>
      </c>
      <c r="B39" s="39" t="s">
        <v>74</v>
      </c>
      <c r="C39" s="38" t="s">
        <v>12</v>
      </c>
      <c r="D39" s="38" t="s">
        <v>62</v>
      </c>
      <c r="E39" s="63">
        <v>0</v>
      </c>
      <c r="F39" s="63">
        <v>0</v>
      </c>
      <c r="G39" s="63"/>
      <c r="H39" s="63"/>
    </row>
    <row r="40" spans="1:8" ht="18" customHeight="1">
      <c r="A40" s="42" t="s">
        <v>75</v>
      </c>
      <c r="B40" s="43" t="s">
        <v>76</v>
      </c>
      <c r="C40" s="42"/>
      <c r="D40" s="42"/>
      <c r="E40" s="64">
        <v>-17807707</v>
      </c>
      <c r="F40" s="64">
        <v>2389153</v>
      </c>
      <c r="G40" s="64"/>
      <c r="H40" s="64"/>
    </row>
    <row r="41" spans="1:8" ht="18" customHeight="1">
      <c r="A41" s="46" t="s">
        <v>77</v>
      </c>
      <c r="B41" s="47" t="s">
        <v>78</v>
      </c>
      <c r="C41" s="46"/>
      <c r="D41" s="46"/>
      <c r="E41" s="68">
        <f>+E34+E40</f>
        <v>777575235</v>
      </c>
      <c r="F41" s="68">
        <v>-1265651585</v>
      </c>
      <c r="G41" s="68"/>
      <c r="H41" s="68"/>
    </row>
    <row r="42" spans="1:8" ht="18" customHeight="1">
      <c r="A42" s="38" t="s">
        <v>79</v>
      </c>
      <c r="B42" s="39" t="s">
        <v>80</v>
      </c>
      <c r="C42" s="38" t="s">
        <v>9</v>
      </c>
      <c r="D42" s="38" t="s">
        <v>81</v>
      </c>
      <c r="E42" s="63">
        <v>561761630</v>
      </c>
      <c r="F42" s="63">
        <v>0</v>
      </c>
      <c r="G42" s="63"/>
      <c r="H42" s="63"/>
    </row>
    <row r="43" spans="1:8" ht="18" customHeight="1">
      <c r="A43" s="38" t="s">
        <v>82</v>
      </c>
      <c r="B43" s="39" t="s">
        <v>83</v>
      </c>
      <c r="C43" s="38" t="s">
        <v>9</v>
      </c>
      <c r="D43" s="38">
        <v>30</v>
      </c>
      <c r="E43" s="63">
        <v>0</v>
      </c>
      <c r="F43" s="63">
        <v>0</v>
      </c>
      <c r="G43" s="63"/>
      <c r="H43" s="63"/>
    </row>
    <row r="44" spans="1:8" ht="18" customHeight="1">
      <c r="A44" s="38" t="s">
        <v>84</v>
      </c>
      <c r="B44" s="39" t="s">
        <v>85</v>
      </c>
      <c r="C44" s="38" t="s">
        <v>12</v>
      </c>
      <c r="D44" s="38" t="s">
        <v>81</v>
      </c>
      <c r="E44" s="63">
        <v>116548056</v>
      </c>
      <c r="F44" s="63">
        <v>0</v>
      </c>
      <c r="G44" s="63"/>
      <c r="H44" s="63"/>
    </row>
    <row r="45" spans="1:8" ht="18" customHeight="1">
      <c r="A45" s="38" t="s">
        <v>86</v>
      </c>
      <c r="B45" s="39" t="s">
        <v>87</v>
      </c>
      <c r="C45" s="38" t="s">
        <v>12</v>
      </c>
      <c r="D45" s="38">
        <v>30</v>
      </c>
      <c r="E45" s="63">
        <v>0</v>
      </c>
      <c r="F45" s="63">
        <v>0</v>
      </c>
      <c r="G45" s="63"/>
      <c r="H45" s="63"/>
    </row>
    <row r="46" spans="1:8" ht="18" customHeight="1">
      <c r="A46" s="46" t="s">
        <v>88</v>
      </c>
      <c r="B46" s="47" t="s">
        <v>89</v>
      </c>
      <c r="C46" s="46"/>
      <c r="D46" s="46"/>
      <c r="E46" s="68">
        <v>445213574</v>
      </c>
      <c r="F46" s="68">
        <v>0</v>
      </c>
      <c r="G46" s="68"/>
      <c r="H46" s="68"/>
    </row>
    <row r="47" spans="1:8" ht="18" customHeight="1">
      <c r="A47" s="38" t="s">
        <v>90</v>
      </c>
      <c r="B47" s="39" t="s">
        <v>91</v>
      </c>
      <c r="C47" s="38" t="s">
        <v>12</v>
      </c>
      <c r="D47" s="38">
        <v>30</v>
      </c>
      <c r="E47" s="63">
        <v>0</v>
      </c>
      <c r="F47" s="63">
        <v>0</v>
      </c>
      <c r="G47" s="63"/>
      <c r="H47" s="63"/>
    </row>
    <row r="48" spans="1:8" ht="18" customHeight="1">
      <c r="A48" s="38" t="s">
        <v>92</v>
      </c>
      <c r="B48" s="39" t="s">
        <v>93</v>
      </c>
      <c r="C48" s="38" t="s">
        <v>12</v>
      </c>
      <c r="D48" s="38"/>
      <c r="E48" s="63">
        <v>5000000</v>
      </c>
      <c r="F48" s="63">
        <v>5000000</v>
      </c>
      <c r="G48" s="63"/>
      <c r="H48" s="63"/>
    </row>
    <row r="49" spans="1:8" ht="18" customHeight="1">
      <c r="A49" s="42" t="s">
        <v>94</v>
      </c>
      <c r="B49" s="43" t="s">
        <v>95</v>
      </c>
      <c r="C49" s="42"/>
      <c r="D49" s="42"/>
      <c r="E49" s="64">
        <f>+E41+E46+E47-E48</f>
        <v>1217788809</v>
      </c>
      <c r="F49" s="64">
        <v>-1270651585</v>
      </c>
      <c r="G49" s="64"/>
      <c r="H49" s="64"/>
    </row>
    <row r="53" spans="1:8" ht="12.75" customHeight="1">
      <c r="B53" s="52"/>
      <c r="C53" s="52"/>
    </row>
    <row r="54" spans="1:8" ht="12.75" customHeight="1">
      <c r="B54" s="52"/>
      <c r="C54" s="52"/>
    </row>
    <row r="55" spans="1:8" ht="12.75" customHeight="1">
      <c r="B55" s="52"/>
      <c r="C55" s="52"/>
    </row>
    <row r="58" spans="1:8" ht="12.75" customHeight="1">
      <c r="B58" s="52"/>
      <c r="C58" s="52"/>
    </row>
    <row r="59" spans="1:8" ht="12.75" customHeight="1">
      <c r="B59" s="52"/>
      <c r="C59" s="52"/>
    </row>
    <row r="62" spans="1:8" ht="12.75" customHeight="1"/>
    <row r="63" spans="1:8" ht="12.75" customHeight="1"/>
    <row r="64" spans="1:8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H49" xr:uid="{E32902F0-F986-40F1-B1ED-84761C03406F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A9C5831-47F8-4C1A-B84E-FAE6FB99618F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9180B8D6-6C98-45A1-9509-7830DEB5BB69}"/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C3B0-92C6-41FB-9254-13D09703C9C2}">
  <sheetPr codeName="Feuil34"/>
  <dimension ref="A1:H84"/>
  <sheetViews>
    <sheetView topLeftCell="A5" zoomScale="80" workbookViewId="0">
      <selection activeCell="H16" sqref="H16"/>
    </sheetView>
  </sheetViews>
  <sheetFormatPr baseColWidth="10" defaultRowHeight="1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7" width="20.85546875" style="28" customWidth="1" collapsed="1"/>
    <col min="8" max="8" width="24" style="28" customWidth="1" collapsed="1"/>
  </cols>
  <sheetData>
    <row r="1" spans="1:8" ht="18.75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>
      <c r="A2" s="1"/>
      <c r="B2" s="1"/>
      <c r="C2" s="2"/>
      <c r="D2" s="1"/>
      <c r="E2" s="1"/>
      <c r="F2" s="1"/>
      <c r="G2" s="1"/>
      <c r="H2" s="1"/>
    </row>
    <row r="3" spans="1:8">
      <c r="A3" s="256" t="s">
        <v>96</v>
      </c>
      <c r="B3" s="256"/>
      <c r="C3" s="256"/>
      <c r="D3" s="1" t="s">
        <v>1</v>
      </c>
      <c r="E3" s="1"/>
      <c r="F3" s="1"/>
      <c r="G3" s="257">
        <f>+'[11]Fiche de renseignement R1'!$V$10</f>
        <v>44926</v>
      </c>
      <c r="H3" s="258"/>
    </row>
    <row r="4" spans="1:8">
      <c r="A4" s="258"/>
      <c r="B4" s="258"/>
      <c r="C4" s="258"/>
      <c r="D4" s="259" t="s">
        <v>2</v>
      </c>
      <c r="E4" s="25"/>
      <c r="F4" s="25"/>
      <c r="G4" s="260">
        <f>+'[11]Fiche de renseignement R1'!$AH$10</f>
        <v>12</v>
      </c>
      <c r="H4" s="260"/>
    </row>
    <row r="5" spans="1:8" ht="38.25">
      <c r="A5" s="4" t="s">
        <v>3</v>
      </c>
      <c r="B5" s="261" t="str">
        <f>+'[11]Fiche de renseignement R1'!$J$10</f>
        <v>002236190</v>
      </c>
      <c r="C5" s="261"/>
      <c r="D5" s="259"/>
      <c r="E5" s="25"/>
      <c r="F5" s="25"/>
      <c r="G5" s="258"/>
      <c r="H5" s="258"/>
    </row>
    <row r="6" spans="1:8">
      <c r="A6" s="1"/>
      <c r="B6" s="1"/>
      <c r="C6" s="2"/>
      <c r="D6" s="1"/>
      <c r="E6" s="1"/>
      <c r="F6" s="1"/>
      <c r="G6" s="1"/>
      <c r="H6" s="1"/>
    </row>
    <row r="7" spans="1:8">
      <c r="A7" s="5" t="s">
        <v>4</v>
      </c>
      <c r="B7" s="6" t="s">
        <v>5</v>
      </c>
      <c r="C7" s="5"/>
      <c r="D7" s="5" t="s">
        <v>6</v>
      </c>
      <c r="E7" s="5">
        <v>2024</v>
      </c>
      <c r="F7" s="5">
        <v>2023</v>
      </c>
      <c r="G7" s="7">
        <v>2022</v>
      </c>
      <c r="H7" s="7">
        <v>2021</v>
      </c>
    </row>
    <row r="8" spans="1:8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0"/>
      <c r="H8" s="10"/>
    </row>
    <row r="9" spans="1:8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3"/>
      <c r="H9" s="13"/>
    </row>
    <row r="10" spans="1:8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3"/>
      <c r="H10" s="13"/>
    </row>
    <row r="11" spans="1:8">
      <c r="A11" s="16" t="s">
        <v>16</v>
      </c>
      <c r="B11" s="17" t="s">
        <v>17</v>
      </c>
      <c r="C11" s="16"/>
      <c r="D11" s="16"/>
      <c r="E11" s="16"/>
      <c r="F11" s="16"/>
      <c r="G11" s="18"/>
      <c r="H11" s="18"/>
    </row>
    <row r="12" spans="1:8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3">
        <v>1851563752</v>
      </c>
      <c r="H12" s="13">
        <v>2150541340</v>
      </c>
    </row>
    <row r="13" spans="1:8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3"/>
      <c r="H13" s="13"/>
    </row>
    <row r="14" spans="1:8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3">
        <v>8302309</v>
      </c>
      <c r="H14" s="13">
        <v>14465924</v>
      </c>
    </row>
    <row r="15" spans="1:8">
      <c r="A15" s="16" t="s">
        <v>24</v>
      </c>
      <c r="B15" s="17" t="s">
        <v>25</v>
      </c>
      <c r="C15" s="16"/>
      <c r="D15" s="16"/>
      <c r="E15" s="16"/>
      <c r="F15" s="16"/>
      <c r="G15" s="18">
        <v>1859866061</v>
      </c>
      <c r="H15" s="18">
        <v>2165007264</v>
      </c>
    </row>
    <row r="16" spans="1:8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3">
        <v>20212275</v>
      </c>
      <c r="H16" s="13">
        <v>70892766</v>
      </c>
    </row>
    <row r="17" spans="1:8">
      <c r="A17" s="11" t="s">
        <v>28</v>
      </c>
      <c r="B17" s="12" t="s">
        <v>29</v>
      </c>
      <c r="C17" s="11"/>
      <c r="D17" s="11">
        <v>21</v>
      </c>
      <c r="E17" s="11"/>
      <c r="F17" s="11"/>
      <c r="G17" s="13"/>
      <c r="H17" s="13"/>
    </row>
    <row r="18" spans="1:8">
      <c r="A18" s="11" t="s">
        <v>30</v>
      </c>
      <c r="B18" s="12" t="s">
        <v>31</v>
      </c>
      <c r="C18" s="11"/>
      <c r="D18" s="11">
        <v>21</v>
      </c>
      <c r="E18" s="11"/>
      <c r="F18" s="11"/>
      <c r="G18" s="13"/>
      <c r="H18" s="13"/>
    </row>
    <row r="19" spans="1:8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3"/>
      <c r="H19" s="13"/>
    </row>
    <row r="20" spans="1:8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21">
        <v>3345355</v>
      </c>
      <c r="H20" s="21"/>
    </row>
    <row r="21" spans="1:8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3">
        <v>-1250</v>
      </c>
      <c r="H21" s="13">
        <v>-840074</v>
      </c>
    </row>
    <row r="22" spans="1:8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3"/>
      <c r="H22" s="13"/>
    </row>
    <row r="23" spans="1:8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3">
        <v>-675098791</v>
      </c>
      <c r="H23" s="13">
        <v>-1297454890</v>
      </c>
    </row>
    <row r="24" spans="1:8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3">
        <v>2389092</v>
      </c>
      <c r="H24" s="13">
        <v>1329415</v>
      </c>
    </row>
    <row r="25" spans="1:8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3">
        <v>-1211834</v>
      </c>
      <c r="H25" s="13">
        <v>-5710333</v>
      </c>
    </row>
    <row r="26" spans="1:8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3">
        <v>-189507978</v>
      </c>
      <c r="H26" s="13">
        <v>-246937130</v>
      </c>
    </row>
    <row r="27" spans="1:8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3">
        <v>-140801033</v>
      </c>
      <c r="H27" s="13">
        <v>-89630586</v>
      </c>
    </row>
    <row r="28" spans="1:8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3">
        <v>-2218256</v>
      </c>
      <c r="H28" s="13">
        <v>-53934422</v>
      </c>
    </row>
    <row r="29" spans="1:8">
      <c r="A29" s="16" t="s">
        <v>52</v>
      </c>
      <c r="B29" s="17" t="s">
        <v>53</v>
      </c>
      <c r="C29" s="16"/>
      <c r="D29" s="16"/>
      <c r="E29" s="16"/>
      <c r="F29" s="16"/>
      <c r="G29" s="18">
        <v>912973641</v>
      </c>
      <c r="H29" s="18">
        <v>542722010</v>
      </c>
    </row>
    <row r="30" spans="1:8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3">
        <v>-306882712</v>
      </c>
      <c r="H30" s="13">
        <v>-282216132</v>
      </c>
    </row>
    <row r="31" spans="1:8">
      <c r="A31" s="16" t="s">
        <v>56</v>
      </c>
      <c r="B31" s="17" t="s">
        <v>57</v>
      </c>
      <c r="C31" s="16"/>
      <c r="D31" s="16"/>
      <c r="E31" s="16"/>
      <c r="F31" s="16"/>
      <c r="G31" s="18">
        <v>606090929</v>
      </c>
      <c r="H31" s="18">
        <v>260505878</v>
      </c>
    </row>
    <row r="32" spans="1:8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3">
        <v>19908401</v>
      </c>
      <c r="H32" s="13">
        <v>16432030</v>
      </c>
    </row>
    <row r="33" spans="1:8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21">
        <v>-462851446</v>
      </c>
      <c r="H33" s="21">
        <v>-214543548</v>
      </c>
    </row>
    <row r="34" spans="1:8">
      <c r="A34" s="16" t="s">
        <v>63</v>
      </c>
      <c r="B34" s="17" t="s">
        <v>64</v>
      </c>
      <c r="C34" s="16"/>
      <c r="D34" s="16"/>
      <c r="E34" s="16"/>
      <c r="F34" s="16"/>
      <c r="G34" s="18">
        <v>163147884</v>
      </c>
      <c r="H34" s="18">
        <v>62394360</v>
      </c>
    </row>
    <row r="35" spans="1:8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3">
        <v>14815535</v>
      </c>
      <c r="H35" s="13"/>
    </row>
    <row r="36" spans="1:8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3"/>
      <c r="H36" s="13"/>
    </row>
    <row r="37" spans="1:8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3"/>
      <c r="H37" s="13"/>
    </row>
    <row r="38" spans="1:8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3">
        <v>-115193531</v>
      </c>
      <c r="H38" s="13">
        <v>-35246174</v>
      </c>
    </row>
    <row r="39" spans="1:8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3"/>
      <c r="H39" s="13"/>
    </row>
    <row r="40" spans="1:8">
      <c r="A40" s="16" t="s">
        <v>75</v>
      </c>
      <c r="B40" s="17" t="s">
        <v>76</v>
      </c>
      <c r="C40" s="16"/>
      <c r="D40" s="16"/>
      <c r="E40" s="16"/>
      <c r="F40" s="16"/>
      <c r="G40" s="18">
        <v>-100377996</v>
      </c>
      <c r="H40" s="18">
        <v>-35246174</v>
      </c>
    </row>
    <row r="41" spans="1:8">
      <c r="A41" s="22" t="s">
        <v>77</v>
      </c>
      <c r="B41" s="23" t="s">
        <v>78</v>
      </c>
      <c r="C41" s="22"/>
      <c r="D41" s="22"/>
      <c r="E41" s="22"/>
      <c r="F41" s="22"/>
      <c r="G41" s="24">
        <v>62769888</v>
      </c>
      <c r="H41" s="24">
        <v>27148186</v>
      </c>
    </row>
    <row r="42" spans="1:8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3"/>
      <c r="H42" s="13"/>
    </row>
    <row r="43" spans="1:8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3"/>
      <c r="H43" s="13"/>
    </row>
    <row r="44" spans="1:8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3"/>
      <c r="H44" s="13"/>
    </row>
    <row r="45" spans="1:8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3"/>
      <c r="H45" s="13"/>
    </row>
    <row r="46" spans="1:8">
      <c r="A46" s="22" t="s">
        <v>88</v>
      </c>
      <c r="B46" s="23" t="s">
        <v>89</v>
      </c>
      <c r="C46" s="22"/>
      <c r="D46" s="22"/>
      <c r="E46" s="22"/>
      <c r="F46" s="22"/>
      <c r="G46" s="24"/>
      <c r="H46" s="24"/>
    </row>
    <row r="47" spans="1:8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3"/>
      <c r="H47" s="13"/>
    </row>
    <row r="48" spans="1:8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3">
        <v>-19895735</v>
      </c>
      <c r="H48" s="13">
        <v>-19989212</v>
      </c>
    </row>
    <row r="49" spans="1:8">
      <c r="A49" s="16" t="s">
        <v>94</v>
      </c>
      <c r="B49" s="17" t="s">
        <v>95</v>
      </c>
      <c r="C49" s="16"/>
      <c r="D49" s="16"/>
      <c r="E49" s="16"/>
      <c r="F49" s="16"/>
      <c r="G49" s="18">
        <v>42874153</v>
      </c>
      <c r="H49" s="18">
        <v>7158974</v>
      </c>
    </row>
    <row r="53" spans="1:8">
      <c r="B53" s="29"/>
      <c r="C53" s="29"/>
    </row>
    <row r="54" spans="1:8">
      <c r="B54" s="29"/>
      <c r="C54" s="29"/>
    </row>
    <row r="55" spans="1:8">
      <c r="B55" s="29"/>
      <c r="C55" s="29"/>
    </row>
    <row r="58" spans="1:8">
      <c r="B58" s="29"/>
      <c r="C58" s="29"/>
    </row>
    <row r="59" spans="1:8">
      <c r="B59" s="29"/>
      <c r="C59" s="29"/>
    </row>
    <row r="62" spans="1:8">
      <c r="G62" s="30"/>
      <c r="H62" s="30"/>
    </row>
    <row r="63" spans="1:8">
      <c r="G63" s="30"/>
      <c r="H63" s="30"/>
    </row>
    <row r="64" spans="1:8">
      <c r="G64" s="30"/>
      <c r="H64" s="30"/>
    </row>
    <row r="65" spans="7:8">
      <c r="G65" s="30"/>
      <c r="H65" s="30"/>
    </row>
    <row r="66" spans="7:8">
      <c r="G66" s="30"/>
      <c r="H66" s="30"/>
    </row>
    <row r="67" spans="7:8">
      <c r="G67" s="30"/>
      <c r="H67" s="30"/>
    </row>
    <row r="68" spans="7:8">
      <c r="G68" s="30"/>
      <c r="H68" s="30"/>
    </row>
    <row r="69" spans="7:8">
      <c r="G69" s="30"/>
      <c r="H69" s="30"/>
    </row>
    <row r="70" spans="7:8">
      <c r="G70" s="30"/>
      <c r="H70" s="30"/>
    </row>
    <row r="71" spans="7:8">
      <c r="G71" s="30"/>
      <c r="H71" s="30"/>
    </row>
    <row r="72" spans="7:8">
      <c r="G72" s="30"/>
      <c r="H72" s="30"/>
    </row>
    <row r="73" spans="7:8">
      <c r="G73" s="30"/>
      <c r="H73" s="30"/>
    </row>
    <row r="74" spans="7:8">
      <c r="G74" s="30"/>
      <c r="H74" s="30"/>
    </row>
    <row r="75" spans="7:8">
      <c r="G75" s="30"/>
      <c r="H75" s="30"/>
    </row>
    <row r="76" spans="7:8">
      <c r="G76" s="30"/>
      <c r="H76" s="30"/>
    </row>
    <row r="77" spans="7:8">
      <c r="G77" s="30"/>
      <c r="H77" s="30"/>
    </row>
    <row r="78" spans="7:8">
      <c r="G78" s="30"/>
      <c r="H78" s="30"/>
    </row>
    <row r="79" spans="7:8">
      <c r="G79" s="30"/>
      <c r="H79" s="30"/>
    </row>
    <row r="80" spans="7:8">
      <c r="G80" s="30"/>
      <c r="H80" s="30"/>
    </row>
    <row r="81" spans="7:8">
      <c r="G81" s="30"/>
      <c r="H81" s="30"/>
    </row>
    <row r="82" spans="7:8">
      <c r="G82" s="30"/>
      <c r="H82" s="30"/>
    </row>
    <row r="83" spans="7:8">
      <c r="G83" s="30"/>
      <c r="H83" s="30"/>
    </row>
    <row r="84" spans="7:8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3A27353-7CEC-4155-9F82-07B767BCEB8B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E2B6E2BE-3907-450D-AC8D-3E09E07C3A51}"/>
    <dataValidation allowBlank="1" showInputMessage="1" showErrorMessage="1" errorTitle="Erreur de saisie" error="La cellule ne peut prendre que du numérique." promptTitle="Information" prompt="Cette cellule ne peut prendre que du numérique," sqref="G8:H49" xr:uid="{312E5426-5F6C-49E4-8D17-68ABFEF6C029}"/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55DA-E6CE-471D-B1B1-AEDD6ECC4133}">
  <sheetPr codeName="Feuil35"/>
  <dimension ref="A1:H84"/>
  <sheetViews>
    <sheetView topLeftCell="A4"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3.5703125" style="27" customWidth="1"/>
    <col min="7" max="8" width="17.7109375" style="28" bestFit="1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1" customHeight="1">
      <c r="C2" s="2"/>
    </row>
    <row r="3" spans="1:8" s="1" customFormat="1" ht="25.5" customHeight="1">
      <c r="A3" s="256" t="s">
        <v>96</v>
      </c>
      <c r="B3" s="256"/>
      <c r="C3" s="256"/>
      <c r="D3" s="1" t="s">
        <v>1</v>
      </c>
      <c r="G3" s="257">
        <f>+'[12]Fiche de renseignement R1'!$V$10</f>
        <v>45657</v>
      </c>
      <c r="H3" s="258"/>
    </row>
    <row r="4" spans="1:8" s="1" customFormat="1" ht="15" customHeight="1">
      <c r="A4" s="258"/>
      <c r="B4" s="258"/>
      <c r="C4" s="258"/>
      <c r="D4" s="259" t="s">
        <v>2</v>
      </c>
      <c r="E4" s="25"/>
      <c r="F4" s="25"/>
      <c r="G4" s="260">
        <f>+'[12]Fiche de renseignement R1'!$AH$10</f>
        <v>12</v>
      </c>
      <c r="H4" s="260"/>
    </row>
    <row r="5" spans="1:8" s="1" customFormat="1" ht="30.95" customHeight="1">
      <c r="A5" s="4" t="s">
        <v>3</v>
      </c>
      <c r="B5" s="261" t="str">
        <f>+'[12]Fiche de renseignement R1'!$J$10</f>
        <v>002292168</v>
      </c>
      <c r="C5" s="261"/>
      <c r="D5" s="259"/>
      <c r="E5" s="25"/>
      <c r="F5" s="25"/>
      <c r="G5" s="258"/>
      <c r="H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  <c r="G7" s="7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107325314</v>
      </c>
      <c r="F8" s="10">
        <v>9021476</v>
      </c>
      <c r="G8" s="10">
        <v>-23728387</v>
      </c>
      <c r="H8" s="10">
        <v>-36887028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-95482513</v>
      </c>
      <c r="F9" s="13">
        <v>-14169082</v>
      </c>
      <c r="G9" s="13">
        <v>-4330935</v>
      </c>
      <c r="H9" s="13">
        <v>0</v>
      </c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-11989211</v>
      </c>
      <c r="F10" s="13">
        <v>8355291</v>
      </c>
      <c r="G10" s="13">
        <v>3633920</v>
      </c>
      <c r="H10" s="13">
        <v>0</v>
      </c>
    </row>
    <row r="11" spans="1:8" ht="18" customHeight="1">
      <c r="A11" s="16" t="s">
        <v>16</v>
      </c>
      <c r="B11" s="17" t="s">
        <v>17</v>
      </c>
      <c r="C11" s="16"/>
      <c r="D11" s="16"/>
      <c r="E11" s="18">
        <v>-146410</v>
      </c>
      <c r="F11" s="18">
        <v>3207685</v>
      </c>
      <c r="G11" s="18">
        <v>-24425402</v>
      </c>
      <c r="H11" s="18">
        <v>-36887028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20776004902</v>
      </c>
      <c r="F12" s="13">
        <v>21081304182</v>
      </c>
      <c r="G12" s="13">
        <v>19510547154.849998</v>
      </c>
      <c r="H12" s="13">
        <v>15809290551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8134740262</v>
      </c>
      <c r="F13" s="13">
        <v>7753345282</v>
      </c>
      <c r="G13" s="13">
        <v>5426086397.6000004</v>
      </c>
      <c r="H13" s="13">
        <v>3638048131</v>
      </c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1653455290</v>
      </c>
      <c r="F14" s="13">
        <v>1479976381</v>
      </c>
      <c r="G14" s="13">
        <v>1056924090.5085001</v>
      </c>
      <c r="H14" s="13">
        <v>1089198935</v>
      </c>
    </row>
    <row r="15" spans="1:8" ht="18" customHeight="1">
      <c r="A15" s="16" t="s">
        <v>24</v>
      </c>
      <c r="B15" s="17" t="s">
        <v>25</v>
      </c>
      <c r="C15" s="16"/>
      <c r="D15" s="16"/>
      <c r="E15" s="18">
        <v>30671525768</v>
      </c>
      <c r="F15" s="18">
        <v>30323647321</v>
      </c>
      <c r="G15" s="18">
        <v>25969829256</v>
      </c>
      <c r="H15" s="18">
        <v>20499650589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705462611</v>
      </c>
      <c r="F16" s="13">
        <v>-1170969346.4158001</v>
      </c>
      <c r="G16" s="13">
        <v>-865211736.28851604</v>
      </c>
      <c r="H16" s="13">
        <v>680953831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  <c r="G17" s="13">
        <v>0</v>
      </c>
      <c r="H17" s="13">
        <v>0</v>
      </c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  <c r="G18" s="13">
        <v>0</v>
      </c>
      <c r="H18" s="13">
        <v>0</v>
      </c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675434602</v>
      </c>
      <c r="F19" s="13">
        <v>626676244.86886001</v>
      </c>
      <c r="G19" s="13">
        <v>594851797.98000002</v>
      </c>
      <c r="H19" s="13">
        <v>87870551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  <c r="G20" s="13">
        <v>0</v>
      </c>
      <c r="H20" s="13">
        <v>0</v>
      </c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  <c r="G21" s="13">
        <v>0</v>
      </c>
      <c r="H21" s="13">
        <v>0</v>
      </c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  <c r="G22" s="13">
        <v>0</v>
      </c>
      <c r="H22" s="13">
        <v>0</v>
      </c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-9380976729</v>
      </c>
      <c r="F23" s="13">
        <v>-9186338958</v>
      </c>
      <c r="G23" s="13">
        <v>-7968541790.7787399</v>
      </c>
      <c r="H23" s="13">
        <v>-6252712903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1070776975</v>
      </c>
      <c r="F24" s="13">
        <v>827382535</v>
      </c>
      <c r="G24" s="13">
        <v>935086303.6983912</v>
      </c>
      <c r="H24" s="13">
        <v>559150741</v>
      </c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-8050366317</v>
      </c>
      <c r="F25" s="13">
        <v>-7350182670</v>
      </c>
      <c r="G25" s="13">
        <v>-5644798258.3898306</v>
      </c>
      <c r="H25" s="13">
        <v>-3793251986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-3834089935</v>
      </c>
      <c r="F26" s="13">
        <v>-3247770635</v>
      </c>
      <c r="G26" s="13">
        <v>-3146647050.4237204</v>
      </c>
      <c r="H26" s="13">
        <v>-3605111979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-1658436373</v>
      </c>
      <c r="F27" s="13">
        <v>-1491632220</v>
      </c>
      <c r="G27" s="13">
        <v>-1260666970.9152501</v>
      </c>
      <c r="H27" s="13">
        <v>-1088965308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-580002531</v>
      </c>
      <c r="F28" s="13">
        <v>-1040111371.9725599</v>
      </c>
      <c r="G28" s="13">
        <v>-664639862.07999992</v>
      </c>
      <c r="H28" s="13">
        <v>-968287142</v>
      </c>
    </row>
    <row r="29" spans="1:8" ht="18" customHeight="1">
      <c r="A29" s="16" t="s">
        <v>52</v>
      </c>
      <c r="B29" s="17" t="s">
        <v>53</v>
      </c>
      <c r="C29" s="16"/>
      <c r="D29" s="16"/>
      <c r="E29" s="18">
        <v>9511856347</v>
      </c>
      <c r="F29" s="18">
        <v>8284887108.4804993</v>
      </c>
      <c r="G29" s="18">
        <v>7948564673.7608337</v>
      </c>
      <c r="H29" s="18">
        <v>6119296394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-2989400362</v>
      </c>
      <c r="F30" s="13">
        <v>-2645377206</v>
      </c>
      <c r="G30" s="13">
        <v>-2043278180</v>
      </c>
      <c r="H30" s="13">
        <v>-1793376457</v>
      </c>
    </row>
    <row r="31" spans="1:8" ht="18" customHeight="1">
      <c r="A31" s="16" t="s">
        <v>56</v>
      </c>
      <c r="B31" s="17" t="s">
        <v>57</v>
      </c>
      <c r="C31" s="16"/>
      <c r="D31" s="16"/>
      <c r="E31" s="18">
        <v>6522455985</v>
      </c>
      <c r="F31" s="18">
        <v>5639509902.4804993</v>
      </c>
      <c r="G31" s="18">
        <v>5905286493.7608337</v>
      </c>
      <c r="H31" s="18">
        <v>4325919937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10976020</v>
      </c>
      <c r="F32" s="13">
        <v>27819000</v>
      </c>
      <c r="G32" s="13">
        <v>23488960</v>
      </c>
      <c r="H32" s="13">
        <v>775897602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-2586057624.7399998</v>
      </c>
      <c r="F33" s="13">
        <v>-2299870472</v>
      </c>
      <c r="G33" s="13">
        <v>-2389187584.2600002</v>
      </c>
      <c r="H33" s="13">
        <v>-2331347430</v>
      </c>
    </row>
    <row r="34" spans="1:8" ht="18" customHeight="1">
      <c r="A34" s="16" t="s">
        <v>63</v>
      </c>
      <c r="B34" s="17" t="s">
        <v>64</v>
      </c>
      <c r="C34" s="16"/>
      <c r="D34" s="16"/>
      <c r="E34" s="18">
        <v>3947374380.2600002</v>
      </c>
      <c r="F34" s="18">
        <v>3367458430.4804993</v>
      </c>
      <c r="G34" s="18">
        <v>3539587869.5008335</v>
      </c>
      <c r="H34" s="18">
        <v>2770470109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4423</v>
      </c>
      <c r="F35" s="13">
        <v>404</v>
      </c>
      <c r="G35" s="13">
        <v>0</v>
      </c>
      <c r="H35" s="13">
        <v>0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  <c r="G36" s="13">
        <v>0</v>
      </c>
      <c r="H36" s="13">
        <v>0</v>
      </c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  <c r="G37" s="13">
        <v>0</v>
      </c>
      <c r="H37" s="13">
        <v>0</v>
      </c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-777809479</v>
      </c>
      <c r="F38" s="13">
        <v>-652866538.65038002</v>
      </c>
      <c r="G38" s="13">
        <v>-634303538</v>
      </c>
      <c r="H38" s="13">
        <v>-811378748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-54152171</v>
      </c>
      <c r="F39" s="13">
        <v>-25488572</v>
      </c>
      <c r="G39" s="13">
        <v>-21703996</v>
      </c>
      <c r="H39" s="13">
        <v>-45233372</v>
      </c>
    </row>
    <row r="40" spans="1:8" ht="18" customHeight="1">
      <c r="A40" s="16" t="s">
        <v>75</v>
      </c>
      <c r="B40" s="17" t="s">
        <v>76</v>
      </c>
      <c r="C40" s="16"/>
      <c r="D40" s="16"/>
      <c r="E40" s="18">
        <v>-831957227</v>
      </c>
      <c r="F40" s="18">
        <v>-678354706.65038002</v>
      </c>
      <c r="G40" s="18">
        <v>-656007534</v>
      </c>
      <c r="H40" s="18">
        <v>-856612120</v>
      </c>
    </row>
    <row r="41" spans="1:8" ht="18" customHeight="1">
      <c r="A41" s="22" t="s">
        <v>77</v>
      </c>
      <c r="B41" s="23" t="s">
        <v>78</v>
      </c>
      <c r="C41" s="22"/>
      <c r="D41" s="22"/>
      <c r="E41" s="24">
        <v>3115417153.2600002</v>
      </c>
      <c r="F41" s="24">
        <v>2689103723.8301191</v>
      </c>
      <c r="G41" s="24">
        <v>2883580335.5008335</v>
      </c>
      <c r="H41" s="24">
        <v>1913857989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67023728</v>
      </c>
      <c r="F42" s="13">
        <v>9322034</v>
      </c>
      <c r="G42" s="13">
        <v>0</v>
      </c>
      <c r="H42" s="13">
        <v>0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  <c r="G43" s="13">
        <v>0</v>
      </c>
      <c r="H43" s="13">
        <v>341164468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-12842070</v>
      </c>
      <c r="F44" s="13">
        <v>0</v>
      </c>
      <c r="G44" s="13">
        <v>0</v>
      </c>
      <c r="H44" s="13">
        <v>0</v>
      </c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  <c r="G45" s="13">
        <v>0</v>
      </c>
      <c r="H45" s="13">
        <v>-114441168</v>
      </c>
    </row>
    <row r="46" spans="1:8" ht="18" customHeight="1">
      <c r="A46" s="22" t="s">
        <v>88</v>
      </c>
      <c r="B46" s="23" t="s">
        <v>89</v>
      </c>
      <c r="C46" s="22"/>
      <c r="D46" s="22"/>
      <c r="E46" s="24">
        <v>54181658</v>
      </c>
      <c r="F46" s="24">
        <v>9322034</v>
      </c>
      <c r="G46" s="24">
        <v>0</v>
      </c>
      <c r="H46" s="24">
        <v>226723300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  <c r="G47" s="13">
        <v>0</v>
      </c>
      <c r="H47" s="13">
        <v>0</v>
      </c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3">
        <v>-1172240100</v>
      </c>
      <c r="F48" s="13">
        <v>-966556200</v>
      </c>
      <c r="G48" s="13">
        <v>-1071376500</v>
      </c>
      <c r="H48" s="13">
        <v>-813610826</v>
      </c>
    </row>
    <row r="49" spans="1:8" ht="18" customHeight="1">
      <c r="A49" s="16" t="s">
        <v>94</v>
      </c>
      <c r="B49" s="17" t="s">
        <v>95</v>
      </c>
      <c r="C49" s="16"/>
      <c r="D49" s="16"/>
      <c r="E49" s="18">
        <v>1997358711</v>
      </c>
      <c r="F49" s="18">
        <v>1731869558</v>
      </c>
      <c r="G49" s="18">
        <v>1812203836</v>
      </c>
      <c r="H49" s="18">
        <v>1326970463</v>
      </c>
    </row>
    <row r="50" spans="1:8">
      <c r="E50" s="28"/>
      <c r="F50" s="28"/>
    </row>
    <row r="51" spans="1:8">
      <c r="E51" s="28"/>
      <c r="F51" s="28"/>
    </row>
    <row r="52" spans="1:8">
      <c r="E52" s="28"/>
      <c r="F52" s="28"/>
    </row>
    <row r="53" spans="1:8" ht="12.75" customHeight="1">
      <c r="B53" s="29"/>
      <c r="C53" s="29"/>
      <c r="E53" s="28"/>
      <c r="F53" s="28"/>
    </row>
    <row r="54" spans="1:8" ht="12.75" customHeight="1">
      <c r="B54" s="29"/>
      <c r="C54" s="29"/>
      <c r="E54" s="28"/>
      <c r="F54" s="28"/>
    </row>
    <row r="55" spans="1:8" ht="12.75" customHeight="1">
      <c r="B55" s="29"/>
      <c r="C55" s="29"/>
      <c r="E55" s="28"/>
      <c r="F55" s="28"/>
    </row>
    <row r="56" spans="1:8">
      <c r="E56" s="28"/>
      <c r="F56" s="28"/>
    </row>
    <row r="57" spans="1:8">
      <c r="E57" s="28"/>
      <c r="F57" s="28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30"/>
      <c r="H62" s="30"/>
    </row>
    <row r="63" spans="1:8" ht="12.75" customHeight="1">
      <c r="G63" s="30"/>
      <c r="H63" s="30"/>
    </row>
    <row r="64" spans="1:8" ht="12.75" customHeight="1">
      <c r="G64" s="30"/>
      <c r="H64" s="30"/>
    </row>
    <row r="65" spans="7:8" ht="12.75" customHeight="1">
      <c r="G65" s="30"/>
      <c r="H65" s="30"/>
    </row>
    <row r="66" spans="7:8" ht="12.75" customHeight="1">
      <c r="G66" s="30"/>
      <c r="H66" s="30"/>
    </row>
    <row r="67" spans="7:8" ht="12.75" customHeight="1">
      <c r="G67" s="30"/>
      <c r="H67" s="30"/>
    </row>
    <row r="68" spans="7:8" ht="12.75" customHeight="1">
      <c r="G68" s="30"/>
      <c r="H68" s="30"/>
    </row>
    <row r="69" spans="7:8" ht="12.75" customHeight="1">
      <c r="G69" s="30"/>
      <c r="H69" s="30"/>
    </row>
    <row r="70" spans="7:8" ht="12.75" customHeight="1">
      <c r="G70" s="30"/>
      <c r="H70" s="30"/>
    </row>
    <row r="71" spans="7:8" ht="12.75" customHeight="1">
      <c r="G71" s="30"/>
      <c r="H71" s="30"/>
    </row>
    <row r="72" spans="7:8" ht="12.75" customHeight="1">
      <c r="G72" s="30"/>
      <c r="H72" s="30"/>
    </row>
    <row r="73" spans="7:8" ht="12.75" customHeight="1">
      <c r="G73" s="30"/>
      <c r="H73" s="30"/>
    </row>
    <row r="74" spans="7:8" ht="12.75" customHeight="1">
      <c r="G74" s="30"/>
      <c r="H74" s="30"/>
    </row>
    <row r="75" spans="7:8" ht="12.75" customHeight="1">
      <c r="G75" s="30"/>
      <c r="H75" s="30"/>
    </row>
    <row r="76" spans="7:8" ht="12.75" customHeight="1">
      <c r="G76" s="30"/>
      <c r="H76" s="30"/>
    </row>
    <row r="77" spans="7:8" ht="12.75" customHeight="1">
      <c r="G77" s="30"/>
      <c r="H77" s="30"/>
    </row>
    <row r="78" spans="7:8" ht="12.75" customHeight="1">
      <c r="G78" s="30"/>
      <c r="H78" s="30"/>
    </row>
    <row r="79" spans="7:8" ht="12.75" customHeight="1">
      <c r="G79" s="30"/>
      <c r="H79" s="30"/>
    </row>
    <row r="80" spans="7:8" ht="12.75" customHeight="1">
      <c r="G80" s="30"/>
      <c r="H80" s="30"/>
    </row>
    <row r="81" spans="7:8" ht="12.75" customHeight="1">
      <c r="G81" s="30"/>
      <c r="H81" s="30"/>
    </row>
    <row r="82" spans="7:8" ht="12.75" customHeight="1">
      <c r="G82" s="30"/>
      <c r="H82" s="30"/>
    </row>
    <row r="83" spans="7:8" ht="12.75" customHeight="1">
      <c r="G83" s="30"/>
      <c r="H83" s="30"/>
    </row>
    <row r="84" spans="7:8" ht="12.75" customHeight="1">
      <c r="G84" s="30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89F5E80-3EC4-4580-A26E-705542ECB7B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9D54C583-7DA0-420A-A65C-F9EF806CA25C}"/>
    <dataValidation allowBlank="1" showInputMessage="1" showErrorMessage="1" errorTitle="Erreur de saisie" error="La cellule ne peut prendre que du numérique." promptTitle="Information" prompt="Cette cellule ne peut prendre que du numérique," sqref="E8:H49" xr:uid="{ED466D52-DAB6-4E1D-8619-AE02BF0DCA35}"/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FC6C-2879-4B7B-8B36-520ECF88BA2F}">
  <sheetPr codeName="Feuil36"/>
  <dimension ref="A1:J49"/>
  <sheetViews>
    <sheetView topLeftCell="A3" workbookViewId="0">
      <selection activeCell="H16" sqref="H16"/>
    </sheetView>
  </sheetViews>
  <sheetFormatPr baseColWidth="10" defaultColWidth="11.42578125" defaultRowHeight="12.75"/>
  <cols>
    <col min="1" max="1" width="4.140625" style="100" customWidth="1" collapsed="1"/>
    <col min="2" max="2" width="56" style="90" customWidth="1" collapsed="1"/>
    <col min="3" max="3" width="3.140625" style="90" customWidth="1" collapsed="1"/>
    <col min="4" max="4" width="8.28515625" style="90" customWidth="1" collapsed="1"/>
    <col min="5" max="6" width="8.28515625" style="90" customWidth="1"/>
    <col min="7" max="8" width="13.85546875" style="90" customWidth="1" collapsed="1"/>
    <col min="9" max="16384" width="11.42578125" style="90" collapsed="1"/>
  </cols>
  <sheetData>
    <row r="1" spans="1:10" s="84" customFormat="1" ht="24.6" customHeight="1">
      <c r="A1" s="265" t="s">
        <v>0</v>
      </c>
      <c r="B1" s="265"/>
      <c r="C1" s="265"/>
      <c r="D1" s="265"/>
      <c r="E1" s="265"/>
      <c r="F1" s="265"/>
      <c r="G1" s="265"/>
      <c r="H1" s="265"/>
    </row>
    <row r="2" spans="1:10" s="84" customFormat="1" ht="8.1" customHeight="1">
      <c r="C2" s="85"/>
    </row>
    <row r="3" spans="1:10" s="84" customFormat="1" ht="25.5" customHeight="1">
      <c r="A3" s="266" t="s">
        <v>134</v>
      </c>
      <c r="B3" s="266"/>
      <c r="C3" s="266"/>
      <c r="D3" s="84" t="s">
        <v>1</v>
      </c>
      <c r="G3" s="267">
        <f>+'[13]Fiche de renseignement R1'!$V$10</f>
        <v>45657</v>
      </c>
      <c r="H3" s="268"/>
    </row>
    <row r="4" spans="1:10" s="84" customFormat="1" ht="15" customHeight="1">
      <c r="A4" s="269" t="str">
        <f>'[13]Fiche de renseignement R1'!$J$4</f>
        <v>GRAVITA SENEGAL SAU</v>
      </c>
      <c r="B4" s="268"/>
      <c r="C4" s="268"/>
      <c r="D4" s="270" t="s">
        <v>2</v>
      </c>
      <c r="E4" s="101"/>
      <c r="F4" s="101"/>
      <c r="G4" s="271">
        <f>+'[13]Fiche de renseignement R1'!$AH$10</f>
        <v>12</v>
      </c>
      <c r="H4" s="272"/>
    </row>
    <row r="5" spans="1:10" s="84" customFormat="1" ht="30.95" customHeight="1">
      <c r="A5" s="86" t="s">
        <v>3</v>
      </c>
      <c r="B5" s="273" t="str">
        <f>+'[13]Fiche de renseignement R1'!$J$10</f>
        <v>002697938</v>
      </c>
      <c r="C5" s="274"/>
      <c r="D5" s="270"/>
      <c r="E5" s="101"/>
      <c r="F5" s="101"/>
      <c r="G5" s="268"/>
      <c r="H5" s="268"/>
    </row>
    <row r="7" spans="1:10" ht="18" customHeight="1">
      <c r="A7" s="87" t="s">
        <v>4</v>
      </c>
      <c r="B7" s="88" t="s">
        <v>5</v>
      </c>
      <c r="C7" s="88"/>
      <c r="D7" s="87" t="s">
        <v>6</v>
      </c>
      <c r="E7" s="89">
        <v>2024</v>
      </c>
      <c r="F7" s="89">
        <v>2023</v>
      </c>
      <c r="G7" s="89">
        <v>2022</v>
      </c>
      <c r="H7" s="89">
        <v>2021</v>
      </c>
      <c r="I7" s="89">
        <v>2020</v>
      </c>
    </row>
    <row r="8" spans="1:10">
      <c r="A8" s="91" t="s">
        <v>7</v>
      </c>
      <c r="B8" s="92" t="s">
        <v>117</v>
      </c>
      <c r="C8" s="91" t="s">
        <v>9</v>
      </c>
      <c r="D8" s="91">
        <v>21</v>
      </c>
      <c r="E8" s="93">
        <v>0</v>
      </c>
      <c r="F8" s="93">
        <v>0</v>
      </c>
    </row>
    <row r="9" spans="1:10">
      <c r="A9" s="91" t="s">
        <v>10</v>
      </c>
      <c r="B9" s="92" t="s">
        <v>11</v>
      </c>
      <c r="C9" s="91" t="s">
        <v>12</v>
      </c>
      <c r="D9" s="91">
        <v>22</v>
      </c>
      <c r="E9" s="93">
        <v>0</v>
      </c>
      <c r="F9" s="93">
        <v>0</v>
      </c>
    </row>
    <row r="10" spans="1:10">
      <c r="A10" s="91" t="s">
        <v>13</v>
      </c>
      <c r="B10" s="92" t="s">
        <v>14</v>
      </c>
      <c r="C10" s="91" t="s">
        <v>15</v>
      </c>
      <c r="D10" s="91">
        <v>6</v>
      </c>
      <c r="E10" s="93">
        <v>0</v>
      </c>
      <c r="F10" s="93">
        <v>0</v>
      </c>
      <c r="J10" s="115"/>
    </row>
    <row r="11" spans="1:10">
      <c r="A11" s="87" t="s">
        <v>16</v>
      </c>
      <c r="B11" s="88" t="s">
        <v>17</v>
      </c>
      <c r="C11" s="87"/>
      <c r="D11" s="87"/>
      <c r="E11" s="94">
        <v>0</v>
      </c>
      <c r="F11" s="94">
        <v>0</v>
      </c>
    </row>
    <row r="12" spans="1:10">
      <c r="A12" s="91" t="s">
        <v>18</v>
      </c>
      <c r="B12" s="92" t="s">
        <v>118</v>
      </c>
      <c r="C12" s="91" t="s">
        <v>9</v>
      </c>
      <c r="D12" s="91">
        <v>21</v>
      </c>
      <c r="E12" s="93">
        <v>12791200832</v>
      </c>
      <c r="F12" s="93">
        <v>10579549714</v>
      </c>
    </row>
    <row r="13" spans="1:10">
      <c r="A13" s="91" t="s">
        <v>20</v>
      </c>
      <c r="B13" s="92" t="s">
        <v>119</v>
      </c>
      <c r="C13" s="91" t="s">
        <v>9</v>
      </c>
      <c r="D13" s="91">
        <v>21</v>
      </c>
      <c r="E13" s="93">
        <v>0</v>
      </c>
      <c r="F13" s="93">
        <v>120750678</v>
      </c>
    </row>
    <row r="14" spans="1:10">
      <c r="A14" s="91" t="s">
        <v>22</v>
      </c>
      <c r="B14" s="92" t="s">
        <v>120</v>
      </c>
      <c r="C14" s="91" t="s">
        <v>9</v>
      </c>
      <c r="D14" s="91">
        <v>21</v>
      </c>
      <c r="E14" s="93">
        <v>0</v>
      </c>
      <c r="F14" s="93">
        <v>0</v>
      </c>
    </row>
    <row r="15" spans="1:10">
      <c r="A15" s="87" t="s">
        <v>24</v>
      </c>
      <c r="B15" s="88" t="s">
        <v>25</v>
      </c>
      <c r="C15" s="87"/>
      <c r="D15" s="87"/>
      <c r="E15" s="94">
        <v>12791200832</v>
      </c>
      <c r="F15" s="94">
        <v>10700300392</v>
      </c>
    </row>
    <row r="16" spans="1:10">
      <c r="A16" s="91" t="s">
        <v>26</v>
      </c>
      <c r="B16" s="92" t="s">
        <v>27</v>
      </c>
      <c r="C16" s="91" t="s">
        <v>15</v>
      </c>
      <c r="D16" s="91">
        <v>6</v>
      </c>
      <c r="E16" s="93">
        <v>1609900807</v>
      </c>
      <c r="F16" s="93">
        <v>1500287891</v>
      </c>
    </row>
    <row r="17" spans="1:6">
      <c r="A17" s="91" t="s">
        <v>28</v>
      </c>
      <c r="B17" s="92" t="s">
        <v>29</v>
      </c>
      <c r="C17" s="91"/>
      <c r="D17" s="91">
        <v>21</v>
      </c>
      <c r="E17" s="93">
        <v>0</v>
      </c>
      <c r="F17" s="93">
        <v>0</v>
      </c>
    </row>
    <row r="18" spans="1:6">
      <c r="A18" s="91" t="s">
        <v>30</v>
      </c>
      <c r="B18" s="92" t="s">
        <v>31</v>
      </c>
      <c r="C18" s="91"/>
      <c r="D18" s="91">
        <v>21</v>
      </c>
      <c r="E18" s="93">
        <v>0</v>
      </c>
      <c r="F18" s="93">
        <v>0</v>
      </c>
    </row>
    <row r="19" spans="1:6">
      <c r="A19" s="91" t="s">
        <v>32</v>
      </c>
      <c r="B19" s="92" t="s">
        <v>33</v>
      </c>
      <c r="C19" s="91" t="s">
        <v>9</v>
      </c>
      <c r="D19" s="91">
        <v>21</v>
      </c>
      <c r="E19" s="93">
        <v>0</v>
      </c>
      <c r="F19" s="93">
        <v>0</v>
      </c>
    </row>
    <row r="20" spans="1:6">
      <c r="A20" s="91" t="s">
        <v>34</v>
      </c>
      <c r="B20" s="92" t="s">
        <v>35</v>
      </c>
      <c r="C20" s="91" t="s">
        <v>9</v>
      </c>
      <c r="D20" s="91">
        <v>12</v>
      </c>
      <c r="E20" s="93">
        <v>0</v>
      </c>
      <c r="F20" s="93">
        <v>0</v>
      </c>
    </row>
    <row r="21" spans="1:6">
      <c r="A21" s="91" t="s">
        <v>36</v>
      </c>
      <c r="B21" s="92" t="s">
        <v>37</v>
      </c>
      <c r="C21" s="91" t="s">
        <v>12</v>
      </c>
      <c r="D21" s="91">
        <v>22</v>
      </c>
      <c r="E21" s="93">
        <v>8984771924</v>
      </c>
      <c r="F21" s="93">
        <v>9605774522</v>
      </c>
    </row>
    <row r="22" spans="1:6">
      <c r="A22" s="91" t="s">
        <v>38</v>
      </c>
      <c r="B22" s="92" t="s">
        <v>39</v>
      </c>
      <c r="C22" s="91" t="s">
        <v>15</v>
      </c>
      <c r="D22" s="91">
        <v>6</v>
      </c>
      <c r="E22" s="93">
        <v>179094132</v>
      </c>
      <c r="F22" s="93">
        <v>18609866</v>
      </c>
    </row>
    <row r="23" spans="1:6">
      <c r="A23" s="91" t="s">
        <v>40</v>
      </c>
      <c r="B23" s="92" t="s">
        <v>41</v>
      </c>
      <c r="C23" s="91" t="s">
        <v>12</v>
      </c>
      <c r="D23" s="91">
        <v>22</v>
      </c>
      <c r="E23" s="93">
        <v>230619332</v>
      </c>
      <c r="F23" s="93">
        <v>153207400</v>
      </c>
    </row>
    <row r="24" spans="1:6">
      <c r="A24" s="91" t="s">
        <v>42</v>
      </c>
      <c r="B24" s="92" t="s">
        <v>43</v>
      </c>
      <c r="C24" s="91" t="s">
        <v>15</v>
      </c>
      <c r="D24" s="91">
        <v>6</v>
      </c>
      <c r="E24" s="93">
        <v>85453123</v>
      </c>
      <c r="F24" s="93">
        <v>0</v>
      </c>
    </row>
    <row r="25" spans="1:6">
      <c r="A25" s="91" t="s">
        <v>44</v>
      </c>
      <c r="B25" s="92" t="s">
        <v>45</v>
      </c>
      <c r="C25" s="91" t="s">
        <v>12</v>
      </c>
      <c r="D25" s="91">
        <v>23</v>
      </c>
      <c r="E25" s="93">
        <v>18937345</v>
      </c>
      <c r="F25" s="93">
        <v>247440162</v>
      </c>
    </row>
    <row r="26" spans="1:6">
      <c r="A26" s="91" t="s">
        <v>46</v>
      </c>
      <c r="B26" s="92" t="s">
        <v>47</v>
      </c>
      <c r="C26" s="91" t="s">
        <v>12</v>
      </c>
      <c r="D26" s="91">
        <v>24</v>
      </c>
      <c r="E26" s="93">
        <v>393068294</v>
      </c>
      <c r="F26" s="93">
        <v>786356924</v>
      </c>
    </row>
    <row r="27" spans="1:6">
      <c r="A27" s="91" t="s">
        <v>48</v>
      </c>
      <c r="B27" s="92" t="s">
        <v>49</v>
      </c>
      <c r="C27" s="91" t="s">
        <v>12</v>
      </c>
      <c r="D27" s="91">
        <v>25</v>
      </c>
      <c r="E27" s="93">
        <v>160113000</v>
      </c>
      <c r="F27" s="93">
        <v>37613701</v>
      </c>
    </row>
    <row r="28" spans="1:6">
      <c r="A28" s="91" t="s">
        <v>50</v>
      </c>
      <c r="B28" s="92" t="s">
        <v>51</v>
      </c>
      <c r="C28" s="91" t="s">
        <v>12</v>
      </c>
      <c r="D28" s="91">
        <v>26</v>
      </c>
      <c r="E28" s="93">
        <v>28318037</v>
      </c>
      <c r="F28" s="93">
        <v>24469728</v>
      </c>
    </row>
    <row r="29" spans="1:6">
      <c r="A29" s="87" t="s">
        <v>52</v>
      </c>
      <c r="B29" s="88" t="s">
        <v>53</v>
      </c>
      <c r="C29" s="87"/>
      <c r="D29" s="87"/>
      <c r="E29" s="94">
        <v>1100924838</v>
      </c>
      <c r="F29" s="94">
        <v>1327115980</v>
      </c>
    </row>
    <row r="30" spans="1:6">
      <c r="A30" s="91" t="s">
        <v>54</v>
      </c>
      <c r="B30" s="92" t="s">
        <v>55</v>
      </c>
      <c r="C30" s="91" t="s">
        <v>12</v>
      </c>
      <c r="D30" s="91">
        <v>27</v>
      </c>
      <c r="E30" s="93">
        <v>610210646</v>
      </c>
      <c r="F30" s="93">
        <v>565182039</v>
      </c>
    </row>
    <row r="31" spans="1:6">
      <c r="A31" s="87" t="s">
        <v>56</v>
      </c>
      <c r="B31" s="88" t="s">
        <v>57</v>
      </c>
      <c r="C31" s="87"/>
      <c r="D31" s="87"/>
      <c r="E31" s="94">
        <v>490714192</v>
      </c>
      <c r="F31" s="94">
        <v>761933941</v>
      </c>
    </row>
    <row r="32" spans="1:6">
      <c r="A32" s="95" t="s">
        <v>58</v>
      </c>
      <c r="B32" s="96" t="s">
        <v>100</v>
      </c>
      <c r="C32" s="95" t="s">
        <v>9</v>
      </c>
      <c r="D32" s="95">
        <v>28</v>
      </c>
      <c r="E32" s="93">
        <v>0</v>
      </c>
      <c r="F32" s="93">
        <v>0</v>
      </c>
    </row>
    <row r="33" spans="1:6">
      <c r="A33" s="91" t="s">
        <v>60</v>
      </c>
      <c r="B33" s="92" t="s">
        <v>61</v>
      </c>
      <c r="C33" s="91" t="s">
        <v>12</v>
      </c>
      <c r="D33" s="91" t="s">
        <v>62</v>
      </c>
      <c r="E33" s="93">
        <v>348867424</v>
      </c>
      <c r="F33" s="93">
        <v>482849001</v>
      </c>
    </row>
    <row r="34" spans="1:6">
      <c r="A34" s="87" t="s">
        <v>63</v>
      </c>
      <c r="B34" s="88" t="s">
        <v>64</v>
      </c>
      <c r="C34" s="87"/>
      <c r="D34" s="87"/>
      <c r="E34" s="94">
        <v>141846768</v>
      </c>
      <c r="F34" s="94">
        <v>279084940</v>
      </c>
    </row>
    <row r="35" spans="1:6">
      <c r="A35" s="91" t="s">
        <v>65</v>
      </c>
      <c r="B35" s="92" t="s">
        <v>66</v>
      </c>
      <c r="C35" s="91" t="s">
        <v>9</v>
      </c>
      <c r="D35" s="91">
        <v>29</v>
      </c>
      <c r="E35" s="93">
        <v>96154766</v>
      </c>
      <c r="F35" s="93">
        <v>159845391</v>
      </c>
    </row>
    <row r="36" spans="1:6">
      <c r="A36" s="91" t="s">
        <v>67</v>
      </c>
      <c r="B36" s="92" t="s">
        <v>68</v>
      </c>
      <c r="C36" s="91" t="s">
        <v>9</v>
      </c>
      <c r="D36" s="91">
        <v>28</v>
      </c>
      <c r="E36" s="93">
        <v>0</v>
      </c>
      <c r="F36" s="93">
        <v>0</v>
      </c>
    </row>
    <row r="37" spans="1:6">
      <c r="A37" s="91" t="s">
        <v>69</v>
      </c>
      <c r="B37" s="92" t="s">
        <v>101</v>
      </c>
      <c r="C37" s="91" t="s">
        <v>9</v>
      </c>
      <c r="D37" s="91">
        <v>12</v>
      </c>
      <c r="E37" s="93">
        <v>0</v>
      </c>
      <c r="F37" s="93">
        <v>0</v>
      </c>
    </row>
    <row r="38" spans="1:6">
      <c r="A38" s="91" t="s">
        <v>71</v>
      </c>
      <c r="B38" s="92" t="s">
        <v>72</v>
      </c>
      <c r="C38" s="91" t="s">
        <v>12</v>
      </c>
      <c r="D38" s="91">
        <v>29</v>
      </c>
      <c r="E38" s="93">
        <v>556214400</v>
      </c>
      <c r="F38" s="93">
        <v>333925530</v>
      </c>
    </row>
    <row r="39" spans="1:6">
      <c r="A39" s="91" t="s">
        <v>73</v>
      </c>
      <c r="B39" s="92" t="s">
        <v>74</v>
      </c>
      <c r="C39" s="91" t="s">
        <v>12</v>
      </c>
      <c r="D39" s="91" t="s">
        <v>62</v>
      </c>
      <c r="E39" s="93">
        <v>0</v>
      </c>
      <c r="F39" s="93">
        <v>0</v>
      </c>
    </row>
    <row r="40" spans="1:6">
      <c r="A40" s="87" t="s">
        <v>75</v>
      </c>
      <c r="B40" s="88" t="s">
        <v>76</v>
      </c>
      <c r="C40" s="87"/>
      <c r="D40" s="87"/>
      <c r="E40" s="94">
        <v>-460059634</v>
      </c>
      <c r="F40" s="94">
        <v>-174080139</v>
      </c>
    </row>
    <row r="41" spans="1:6">
      <c r="A41" s="97" t="s">
        <v>77</v>
      </c>
      <c r="B41" s="98" t="s">
        <v>78</v>
      </c>
      <c r="C41" s="97"/>
      <c r="D41" s="97"/>
      <c r="E41" s="99">
        <v>-318212866</v>
      </c>
      <c r="F41" s="99">
        <v>105004801</v>
      </c>
    </row>
    <row r="42" spans="1:6">
      <c r="A42" s="91" t="s">
        <v>79</v>
      </c>
      <c r="B42" s="92" t="s">
        <v>80</v>
      </c>
      <c r="C42" s="91" t="s">
        <v>9</v>
      </c>
      <c r="D42" s="91" t="s">
        <v>81</v>
      </c>
      <c r="E42" s="93">
        <v>5413335</v>
      </c>
      <c r="F42" s="93">
        <v>0</v>
      </c>
    </row>
    <row r="43" spans="1:6">
      <c r="A43" s="91" t="s">
        <v>82</v>
      </c>
      <c r="B43" s="92" t="s">
        <v>83</v>
      </c>
      <c r="C43" s="91" t="s">
        <v>9</v>
      </c>
      <c r="D43" s="91">
        <v>30</v>
      </c>
      <c r="E43" s="93">
        <v>0</v>
      </c>
      <c r="F43" s="93">
        <v>0</v>
      </c>
    </row>
    <row r="44" spans="1:6">
      <c r="A44" s="91" t="s">
        <v>84</v>
      </c>
      <c r="B44" s="92" t="s">
        <v>85</v>
      </c>
      <c r="C44" s="91" t="s">
        <v>12</v>
      </c>
      <c r="D44" s="91" t="s">
        <v>81</v>
      </c>
      <c r="E44" s="93">
        <v>0</v>
      </c>
      <c r="F44" s="93">
        <v>0</v>
      </c>
    </row>
    <row r="45" spans="1:6">
      <c r="A45" s="91" t="s">
        <v>86</v>
      </c>
      <c r="B45" s="92" t="s">
        <v>102</v>
      </c>
      <c r="C45" s="91" t="s">
        <v>12</v>
      </c>
      <c r="D45" s="91">
        <v>30</v>
      </c>
      <c r="E45" s="93">
        <v>0</v>
      </c>
      <c r="F45" s="93">
        <v>0</v>
      </c>
    </row>
    <row r="46" spans="1:6">
      <c r="A46" s="97" t="s">
        <v>88</v>
      </c>
      <c r="B46" s="98" t="s">
        <v>89</v>
      </c>
      <c r="C46" s="97"/>
      <c r="D46" s="97"/>
      <c r="E46" s="99">
        <v>5413335</v>
      </c>
      <c r="F46" s="99">
        <v>0</v>
      </c>
    </row>
    <row r="47" spans="1:6">
      <c r="A47" s="91" t="s">
        <v>90</v>
      </c>
      <c r="B47" s="92" t="s">
        <v>103</v>
      </c>
      <c r="C47" s="91" t="s">
        <v>12</v>
      </c>
      <c r="D47" s="91">
        <v>30</v>
      </c>
      <c r="E47" s="93">
        <v>0</v>
      </c>
      <c r="F47" s="93">
        <v>0</v>
      </c>
    </row>
    <row r="48" spans="1:6">
      <c r="A48" s="91" t="s">
        <v>92</v>
      </c>
      <c r="B48" s="92" t="s">
        <v>93</v>
      </c>
      <c r="C48" s="91" t="s">
        <v>12</v>
      </c>
      <c r="D48" s="91">
        <v>37</v>
      </c>
      <c r="E48" s="93">
        <v>5000000</v>
      </c>
      <c r="F48" s="93">
        <v>6417833</v>
      </c>
    </row>
    <row r="49" spans="1:6">
      <c r="A49" s="87" t="s">
        <v>94</v>
      </c>
      <c r="B49" s="88" t="s">
        <v>95</v>
      </c>
      <c r="C49" s="87"/>
      <c r="D49" s="88"/>
      <c r="E49" s="94">
        <v>-317799531</v>
      </c>
      <c r="F49" s="94">
        <v>98586968</v>
      </c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2">
    <dataValidation allowBlank="1" showInputMessage="1" showErrorMessage="1" errorTitle="Erreur de saisie" error="La cellule ne peut prendre que du numérique." promptTitle="Information" prompt="Cette cellule ne peut prendre que du numérique." sqref="D1:H5" xr:uid="{2FC27A69-566C-4F15-A247-A6ECAC34350F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5" xr:uid="{9947DC29-AEC5-40D0-89FF-12E341D97F70}">
      <formula1>0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CB787-DA47-48A9-BC41-FA337D95F781}">
  <sheetPr codeName="Feuil37"/>
  <dimension ref="A7:F84"/>
  <sheetViews>
    <sheetView workbookViewId="0">
      <selection sqref="A1:XFD1"/>
    </sheetView>
  </sheetViews>
  <sheetFormatPr baseColWidth="10" defaultRowHeight="15"/>
  <cols>
    <col min="1" max="1" width="11.7109375" style="49" customWidth="1" collapsed="1"/>
    <col min="2" max="2" width="56" style="50" bestFit="1" customWidth="1" collapsed="1"/>
    <col min="3" max="3" width="3.140625" style="50" bestFit="1" customWidth="1" collapsed="1"/>
    <col min="4" max="4" width="13.5703125" style="50" customWidth="1" collapsed="1"/>
    <col min="5" max="6" width="15.7109375" style="51" customWidth="1" collapsed="1"/>
  </cols>
  <sheetData>
    <row r="7" spans="1:6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</row>
    <row r="8" spans="1:6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</row>
    <row r="9" spans="1:6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</row>
    <row r="10" spans="1:6">
      <c r="A10" s="38" t="s">
        <v>13</v>
      </c>
      <c r="B10" s="40" t="s">
        <v>14</v>
      </c>
      <c r="C10" s="41" t="s">
        <v>15</v>
      </c>
      <c r="D10" s="41">
        <v>6</v>
      </c>
      <c r="E10" s="37">
        <v>0</v>
      </c>
      <c r="F10" s="37">
        <v>0</v>
      </c>
    </row>
    <row r="11" spans="1:6">
      <c r="A11" s="42" t="s">
        <v>16</v>
      </c>
      <c r="B11" s="43" t="s">
        <v>17</v>
      </c>
      <c r="C11" s="42"/>
      <c r="D11" s="42"/>
      <c r="E11" s="54">
        <v>0</v>
      </c>
      <c r="F11" s="54">
        <v>0</v>
      </c>
    </row>
    <row r="12" spans="1:6">
      <c r="A12" s="38" t="s">
        <v>18</v>
      </c>
      <c r="B12" s="39" t="s">
        <v>19</v>
      </c>
      <c r="C12" s="38" t="s">
        <v>9</v>
      </c>
      <c r="D12" s="38">
        <v>21</v>
      </c>
      <c r="E12" s="37">
        <v>0</v>
      </c>
      <c r="F12" s="37">
        <v>0</v>
      </c>
    </row>
    <row r="13" spans="1:6">
      <c r="A13" s="38" t="s">
        <v>20</v>
      </c>
      <c r="B13" s="39" t="s">
        <v>21</v>
      </c>
      <c r="C13" s="38" t="s">
        <v>9</v>
      </c>
      <c r="D13" s="38">
        <v>21</v>
      </c>
      <c r="E13" s="37">
        <v>0</v>
      </c>
      <c r="F13" s="37">
        <v>0</v>
      </c>
    </row>
    <row r="14" spans="1:6">
      <c r="A14" s="38" t="s">
        <v>22</v>
      </c>
      <c r="B14" s="39" t="s">
        <v>23</v>
      </c>
      <c r="C14" s="38" t="s">
        <v>9</v>
      </c>
      <c r="D14" s="38">
        <v>21</v>
      </c>
      <c r="E14" s="37">
        <v>0</v>
      </c>
      <c r="F14" s="37">
        <v>0</v>
      </c>
    </row>
    <row r="15" spans="1:6">
      <c r="A15" s="42" t="s">
        <v>24</v>
      </c>
      <c r="B15" s="43" t="s">
        <v>25</v>
      </c>
      <c r="C15" s="42"/>
      <c r="D15" s="42"/>
      <c r="E15" s="54">
        <v>0</v>
      </c>
      <c r="F15" s="54">
        <v>0</v>
      </c>
    </row>
    <row r="16" spans="1:6">
      <c r="A16" s="38" t="s">
        <v>26</v>
      </c>
      <c r="B16" s="39" t="s">
        <v>27</v>
      </c>
      <c r="C16" s="41" t="s">
        <v>15</v>
      </c>
      <c r="D16" s="38">
        <v>6</v>
      </c>
      <c r="E16" s="37">
        <v>0</v>
      </c>
      <c r="F16" s="37">
        <v>0</v>
      </c>
    </row>
    <row r="17" spans="1:6">
      <c r="A17" s="38" t="s">
        <v>28</v>
      </c>
      <c r="B17" s="39" t="s">
        <v>29</v>
      </c>
      <c r="C17" s="38"/>
      <c r="D17" s="38">
        <v>21</v>
      </c>
      <c r="E17" s="37">
        <v>0</v>
      </c>
      <c r="F17" s="37">
        <v>0</v>
      </c>
    </row>
    <row r="18" spans="1:6">
      <c r="A18" s="38" t="s">
        <v>30</v>
      </c>
      <c r="B18" s="39" t="s">
        <v>31</v>
      </c>
      <c r="C18" s="38"/>
      <c r="D18" s="38">
        <v>21</v>
      </c>
      <c r="E18" s="37">
        <v>0</v>
      </c>
      <c r="F18" s="37">
        <v>0</v>
      </c>
    </row>
    <row r="19" spans="1:6">
      <c r="A19" s="38" t="s">
        <v>32</v>
      </c>
      <c r="B19" s="39" t="s">
        <v>33</v>
      </c>
      <c r="C19" s="38" t="s">
        <v>9</v>
      </c>
      <c r="D19" s="38">
        <v>21</v>
      </c>
      <c r="E19" s="37">
        <v>0</v>
      </c>
      <c r="F19" s="37">
        <v>0</v>
      </c>
    </row>
    <row r="20" spans="1:6">
      <c r="A20" s="65" t="s">
        <v>34</v>
      </c>
      <c r="B20" s="66" t="s">
        <v>35</v>
      </c>
      <c r="C20" s="65" t="s">
        <v>9</v>
      </c>
      <c r="D20" s="65">
        <v>12</v>
      </c>
      <c r="E20" s="69">
        <v>0</v>
      </c>
      <c r="F20" s="69">
        <v>0</v>
      </c>
    </row>
    <row r="21" spans="1:6">
      <c r="A21" s="38" t="s">
        <v>36</v>
      </c>
      <c r="B21" s="39" t="s">
        <v>37</v>
      </c>
      <c r="C21" s="38" t="s">
        <v>12</v>
      </c>
      <c r="D21" s="38">
        <v>22</v>
      </c>
      <c r="E21" s="37">
        <v>0</v>
      </c>
      <c r="F21" s="37">
        <v>0</v>
      </c>
    </row>
    <row r="22" spans="1:6">
      <c r="A22" s="38" t="s">
        <v>38</v>
      </c>
      <c r="B22" s="40" t="s">
        <v>39</v>
      </c>
      <c r="C22" s="41" t="s">
        <v>15</v>
      </c>
      <c r="D22" s="38">
        <v>6</v>
      </c>
      <c r="E22" s="37">
        <v>0</v>
      </c>
      <c r="F22" s="37">
        <v>0</v>
      </c>
    </row>
    <row r="23" spans="1:6">
      <c r="A23" s="38" t="s">
        <v>40</v>
      </c>
      <c r="B23" s="39" t="s">
        <v>41</v>
      </c>
      <c r="C23" s="38" t="s">
        <v>12</v>
      </c>
      <c r="D23" s="38">
        <v>22</v>
      </c>
      <c r="E23" s="37">
        <v>0</v>
      </c>
      <c r="F23" s="37">
        <v>0</v>
      </c>
    </row>
    <row r="24" spans="1:6">
      <c r="A24" s="38" t="s">
        <v>42</v>
      </c>
      <c r="B24" s="40" t="s">
        <v>43</v>
      </c>
      <c r="C24" s="41" t="s">
        <v>15</v>
      </c>
      <c r="D24" s="38">
        <v>6</v>
      </c>
      <c r="E24" s="37">
        <v>0</v>
      </c>
      <c r="F24" s="37">
        <v>0</v>
      </c>
    </row>
    <row r="25" spans="1:6">
      <c r="A25" s="38" t="s">
        <v>44</v>
      </c>
      <c r="B25" s="39" t="s">
        <v>45</v>
      </c>
      <c r="C25" s="38" t="s">
        <v>12</v>
      </c>
      <c r="D25" s="38">
        <v>23</v>
      </c>
      <c r="E25" s="37">
        <v>0</v>
      </c>
      <c r="F25" s="37">
        <v>0</v>
      </c>
    </row>
    <row r="26" spans="1:6">
      <c r="A26" s="38" t="s">
        <v>46</v>
      </c>
      <c r="B26" s="39" t="s">
        <v>47</v>
      </c>
      <c r="C26" s="38" t="s">
        <v>12</v>
      </c>
      <c r="D26" s="38">
        <v>24</v>
      </c>
      <c r="E26" s="37">
        <v>0</v>
      </c>
      <c r="F26" s="37">
        <v>0</v>
      </c>
    </row>
    <row r="27" spans="1:6">
      <c r="A27" s="38" t="s">
        <v>48</v>
      </c>
      <c r="B27" s="39" t="s">
        <v>49</v>
      </c>
      <c r="C27" s="38" t="s">
        <v>12</v>
      </c>
      <c r="D27" s="38">
        <v>25</v>
      </c>
      <c r="E27" s="37">
        <v>0</v>
      </c>
      <c r="F27" s="37">
        <v>0</v>
      </c>
    </row>
    <row r="28" spans="1:6">
      <c r="A28" s="38" t="s">
        <v>50</v>
      </c>
      <c r="B28" s="39" t="s">
        <v>51</v>
      </c>
      <c r="C28" s="38" t="s">
        <v>12</v>
      </c>
      <c r="D28" s="38">
        <v>26</v>
      </c>
      <c r="E28" s="37">
        <v>0</v>
      </c>
      <c r="F28" s="37">
        <v>0</v>
      </c>
    </row>
    <row r="29" spans="1:6">
      <c r="A29" s="42" t="s">
        <v>52</v>
      </c>
      <c r="B29" s="43" t="s">
        <v>53</v>
      </c>
      <c r="C29" s="42"/>
      <c r="D29" s="42"/>
      <c r="E29" s="54">
        <v>0</v>
      </c>
      <c r="F29" s="54">
        <v>0</v>
      </c>
    </row>
    <row r="30" spans="1:6">
      <c r="A30" s="38" t="s">
        <v>54</v>
      </c>
      <c r="B30" s="39" t="s">
        <v>55</v>
      </c>
      <c r="C30" s="38" t="s">
        <v>12</v>
      </c>
      <c r="D30" s="38">
        <v>27</v>
      </c>
      <c r="E30" s="37">
        <v>0</v>
      </c>
      <c r="F30" s="37">
        <v>0</v>
      </c>
    </row>
    <row r="31" spans="1:6">
      <c r="A31" s="42" t="s">
        <v>56</v>
      </c>
      <c r="B31" s="43" t="s">
        <v>57</v>
      </c>
      <c r="C31" s="42"/>
      <c r="D31" s="42"/>
      <c r="E31" s="54">
        <v>0</v>
      </c>
      <c r="F31" s="54">
        <v>0</v>
      </c>
    </row>
    <row r="32" spans="1:6">
      <c r="A32" s="38" t="s">
        <v>58</v>
      </c>
      <c r="B32" s="39" t="s">
        <v>59</v>
      </c>
      <c r="C32" s="38" t="s">
        <v>9</v>
      </c>
      <c r="D32" s="38">
        <v>28</v>
      </c>
      <c r="E32" s="37">
        <v>0</v>
      </c>
      <c r="F32" s="37">
        <v>0</v>
      </c>
    </row>
    <row r="33" spans="1:6">
      <c r="A33" s="65" t="s">
        <v>60</v>
      </c>
      <c r="B33" s="66" t="s">
        <v>61</v>
      </c>
      <c r="C33" s="65" t="s">
        <v>12</v>
      </c>
      <c r="D33" s="65" t="s">
        <v>62</v>
      </c>
      <c r="E33" s="69">
        <v>0</v>
      </c>
      <c r="F33" s="69">
        <v>0</v>
      </c>
    </row>
    <row r="34" spans="1:6">
      <c r="A34" s="42" t="s">
        <v>63</v>
      </c>
      <c r="B34" s="43" t="s">
        <v>64</v>
      </c>
      <c r="C34" s="42"/>
      <c r="D34" s="42"/>
      <c r="E34" s="54">
        <v>0</v>
      </c>
      <c r="F34" s="54">
        <v>0</v>
      </c>
    </row>
    <row r="35" spans="1:6">
      <c r="A35" s="38" t="s">
        <v>65</v>
      </c>
      <c r="B35" s="39" t="s">
        <v>66</v>
      </c>
      <c r="C35" s="38" t="s">
        <v>9</v>
      </c>
      <c r="D35" s="38">
        <v>29</v>
      </c>
      <c r="E35" s="37">
        <v>0</v>
      </c>
      <c r="F35" s="37">
        <v>0</v>
      </c>
    </row>
    <row r="36" spans="1:6">
      <c r="A36" s="38" t="s">
        <v>67</v>
      </c>
      <c r="B36" s="39" t="s">
        <v>68</v>
      </c>
      <c r="C36" s="38" t="s">
        <v>9</v>
      </c>
      <c r="D36" s="38">
        <v>28</v>
      </c>
      <c r="E36" s="37">
        <v>0</v>
      </c>
      <c r="F36" s="37">
        <v>0</v>
      </c>
    </row>
    <row r="37" spans="1:6">
      <c r="A37" s="38" t="s">
        <v>69</v>
      </c>
      <c r="B37" s="39" t="s">
        <v>70</v>
      </c>
      <c r="C37" s="38" t="s">
        <v>9</v>
      </c>
      <c r="D37" s="38">
        <v>12</v>
      </c>
      <c r="E37" s="37">
        <v>0</v>
      </c>
      <c r="F37" s="37">
        <v>0</v>
      </c>
    </row>
    <row r="38" spans="1:6">
      <c r="A38" s="38" t="s">
        <v>71</v>
      </c>
      <c r="B38" s="39" t="s">
        <v>72</v>
      </c>
      <c r="C38" s="38" t="s">
        <v>12</v>
      </c>
      <c r="D38" s="38">
        <v>29</v>
      </c>
      <c r="E38" s="37">
        <v>0</v>
      </c>
      <c r="F38" s="37">
        <v>0</v>
      </c>
    </row>
    <row r="39" spans="1:6">
      <c r="A39" s="38" t="s">
        <v>73</v>
      </c>
      <c r="B39" s="39" t="s">
        <v>74</v>
      </c>
      <c r="C39" s="38" t="s">
        <v>12</v>
      </c>
      <c r="D39" s="38" t="s">
        <v>62</v>
      </c>
      <c r="E39" s="37">
        <v>0</v>
      </c>
      <c r="F39" s="37">
        <v>0</v>
      </c>
    </row>
    <row r="40" spans="1:6">
      <c r="A40" s="42" t="s">
        <v>75</v>
      </c>
      <c r="B40" s="43" t="s">
        <v>76</v>
      </c>
      <c r="C40" s="42"/>
      <c r="D40" s="42"/>
      <c r="E40" s="54">
        <v>0</v>
      </c>
      <c r="F40" s="54">
        <v>0</v>
      </c>
    </row>
    <row r="41" spans="1:6">
      <c r="A41" s="46" t="s">
        <v>77</v>
      </c>
      <c r="B41" s="47" t="s">
        <v>78</v>
      </c>
      <c r="C41" s="46"/>
      <c r="D41" s="46"/>
      <c r="E41" s="55">
        <v>0</v>
      </c>
      <c r="F41" s="55">
        <v>0</v>
      </c>
    </row>
    <row r="42" spans="1:6">
      <c r="A42" s="38" t="s">
        <v>79</v>
      </c>
      <c r="B42" s="39" t="s">
        <v>80</v>
      </c>
      <c r="C42" s="38" t="s">
        <v>9</v>
      </c>
      <c r="D42" s="38" t="s">
        <v>81</v>
      </c>
      <c r="E42" s="37">
        <v>0</v>
      </c>
      <c r="F42" s="37">
        <v>0</v>
      </c>
    </row>
    <row r="43" spans="1:6">
      <c r="A43" s="38" t="s">
        <v>82</v>
      </c>
      <c r="B43" s="39" t="s">
        <v>83</v>
      </c>
      <c r="C43" s="38" t="s">
        <v>9</v>
      </c>
      <c r="D43" s="38">
        <v>30</v>
      </c>
      <c r="E43" s="37">
        <v>0</v>
      </c>
      <c r="F43" s="37">
        <v>0</v>
      </c>
    </row>
    <row r="44" spans="1:6">
      <c r="A44" s="38" t="s">
        <v>84</v>
      </c>
      <c r="B44" s="39" t="s">
        <v>85</v>
      </c>
      <c r="C44" s="38" t="s">
        <v>12</v>
      </c>
      <c r="D44" s="38" t="s">
        <v>81</v>
      </c>
      <c r="E44" s="37">
        <v>0</v>
      </c>
      <c r="F44" s="37">
        <v>0</v>
      </c>
    </row>
    <row r="45" spans="1:6">
      <c r="A45" s="38" t="s">
        <v>86</v>
      </c>
      <c r="B45" s="39" t="s">
        <v>87</v>
      </c>
      <c r="C45" s="38" t="s">
        <v>12</v>
      </c>
      <c r="D45" s="38">
        <v>30</v>
      </c>
      <c r="E45" s="37">
        <v>0</v>
      </c>
      <c r="F45" s="37">
        <v>0</v>
      </c>
    </row>
    <row r="46" spans="1:6">
      <c r="A46" s="46" t="s">
        <v>88</v>
      </c>
      <c r="B46" s="47" t="s">
        <v>89</v>
      </c>
      <c r="C46" s="46"/>
      <c r="D46" s="46"/>
      <c r="E46" s="55">
        <v>0</v>
      </c>
      <c r="F46" s="55">
        <v>0</v>
      </c>
    </row>
    <row r="47" spans="1:6">
      <c r="A47" s="38" t="s">
        <v>90</v>
      </c>
      <c r="B47" s="39" t="s">
        <v>91</v>
      </c>
      <c r="C47" s="38" t="s">
        <v>12</v>
      </c>
      <c r="D47" s="38">
        <v>30</v>
      </c>
      <c r="E47" s="37">
        <v>0</v>
      </c>
      <c r="F47" s="37">
        <v>0</v>
      </c>
    </row>
    <row r="48" spans="1:6">
      <c r="A48" s="38" t="s">
        <v>92</v>
      </c>
      <c r="B48" s="39" t="s">
        <v>93</v>
      </c>
      <c r="C48" s="38" t="s">
        <v>12</v>
      </c>
      <c r="D48" s="38"/>
      <c r="E48" s="37">
        <v>0</v>
      </c>
      <c r="F48" s="37">
        <v>0</v>
      </c>
    </row>
    <row r="49" spans="1:6">
      <c r="A49" s="42" t="s">
        <v>94</v>
      </c>
      <c r="B49" s="43" t="s">
        <v>95</v>
      </c>
      <c r="C49" s="42"/>
      <c r="D49" s="42"/>
      <c r="E49" s="54">
        <v>0</v>
      </c>
      <c r="F49" s="54">
        <v>0</v>
      </c>
    </row>
    <row r="53" spans="1:6">
      <c r="B53" s="52"/>
      <c r="C53" s="52"/>
    </row>
    <row r="54" spans="1:6">
      <c r="B54" s="52"/>
      <c r="C54" s="52"/>
    </row>
    <row r="55" spans="1:6">
      <c r="B55" s="52"/>
      <c r="C55" s="52"/>
    </row>
    <row r="58" spans="1:6">
      <c r="B58" s="52"/>
      <c r="C58" s="52"/>
    </row>
    <row r="59" spans="1:6">
      <c r="B59" s="52"/>
      <c r="C59" s="52"/>
    </row>
    <row r="62" spans="1:6">
      <c r="E62" s="53"/>
      <c r="F62" s="53"/>
    </row>
    <row r="63" spans="1:6">
      <c r="E63" s="53"/>
      <c r="F63" s="53"/>
    </row>
    <row r="64" spans="1:6">
      <c r="E64" s="53"/>
      <c r="F64" s="53"/>
    </row>
    <row r="65" spans="5:6">
      <c r="E65" s="53"/>
      <c r="F65" s="53"/>
    </row>
    <row r="66" spans="5:6">
      <c r="E66" s="53"/>
      <c r="F66" s="53"/>
    </row>
    <row r="67" spans="5:6">
      <c r="E67" s="53"/>
      <c r="F67" s="53"/>
    </row>
    <row r="68" spans="5:6">
      <c r="E68" s="53"/>
      <c r="F68" s="53"/>
    </row>
    <row r="69" spans="5:6">
      <c r="E69" s="53"/>
      <c r="F69" s="53"/>
    </row>
    <row r="70" spans="5:6">
      <c r="E70" s="53"/>
      <c r="F70" s="53"/>
    </row>
    <row r="71" spans="5:6">
      <c r="E71" s="53"/>
      <c r="F71" s="53"/>
    </row>
    <row r="72" spans="5:6">
      <c r="E72" s="53"/>
      <c r="F72" s="53"/>
    </row>
    <row r="73" spans="5:6">
      <c r="E73" s="53"/>
      <c r="F73" s="53"/>
    </row>
    <row r="74" spans="5:6">
      <c r="E74" s="53"/>
      <c r="F74" s="53"/>
    </row>
    <row r="75" spans="5:6">
      <c r="E75" s="53"/>
      <c r="F75" s="53"/>
    </row>
    <row r="76" spans="5:6">
      <c r="E76" s="53"/>
      <c r="F76" s="53"/>
    </row>
    <row r="77" spans="5:6">
      <c r="E77" s="53"/>
      <c r="F77" s="53"/>
    </row>
    <row r="78" spans="5:6">
      <c r="E78" s="53"/>
      <c r="F78" s="53"/>
    </row>
    <row r="79" spans="5:6">
      <c r="E79" s="53"/>
      <c r="F79" s="53"/>
    </row>
    <row r="80" spans="5:6">
      <c r="E80" s="53"/>
      <c r="F80" s="53"/>
    </row>
    <row r="81" spans="5:6">
      <c r="E81" s="53"/>
      <c r="F81" s="53"/>
    </row>
    <row r="82" spans="5:6">
      <c r="E82" s="53"/>
      <c r="F82" s="53"/>
    </row>
    <row r="83" spans="5:6">
      <c r="E83" s="53"/>
      <c r="F83" s="53"/>
    </row>
    <row r="84" spans="5:6">
      <c r="E84" s="53"/>
      <c r="F84" s="53"/>
    </row>
  </sheetData>
  <dataValidations disablePrompts="1" count="1">
    <dataValidation allowBlank="1" showInputMessage="1" showErrorMessage="1" errorTitle="Erreur de saisie" error="La cellule ne peut prendre que du numérique." promptTitle="Information" prompt="Cette cellule ne peut prendre que du numérique," sqref="E8:F49" xr:uid="{04402914-A969-4917-9D27-4585702F813E}"/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D5535-C9A1-4DE6-BD5D-3E5E284A1874}">
  <sheetPr codeName="Feuil38"/>
  <dimension ref="A1:I84"/>
  <sheetViews>
    <sheetView workbookViewId="0">
      <selection activeCell="H16" sqref="H16"/>
    </sheetView>
  </sheetViews>
  <sheetFormatPr baseColWidth="10" defaultColWidth="10.28515625" defaultRowHeight="12.75"/>
  <cols>
    <col min="1" max="1" width="4.140625" style="26" customWidth="1" collapsed="1"/>
    <col min="2" max="2" width="56" style="27" bestFit="1" customWidth="1" collapsed="1"/>
    <col min="3" max="3" width="2.85546875" style="27" bestFit="1" customWidth="1" collapsed="1"/>
    <col min="4" max="4" width="8" style="27" bestFit="1" customWidth="1" collapsed="1"/>
    <col min="5" max="6" width="15.7109375" style="28" customWidth="1" collapsed="1"/>
    <col min="7" max="16384" width="10.28515625" style="27" collapsed="1"/>
  </cols>
  <sheetData>
    <row r="1" spans="1:9" s="1" customFormat="1" ht="24.6" customHeight="1">
      <c r="A1" s="255" t="s">
        <v>0</v>
      </c>
      <c r="B1" s="255"/>
      <c r="C1" s="255"/>
      <c r="D1" s="255"/>
      <c r="E1" s="255"/>
      <c r="F1" s="255"/>
    </row>
    <row r="2" spans="1:9" s="1" customFormat="1" ht="8.25" customHeight="1">
      <c r="C2" s="2"/>
    </row>
    <row r="3" spans="1:9" s="1" customFormat="1" ht="25.5" customHeight="1">
      <c r="A3" s="256" t="s">
        <v>96</v>
      </c>
      <c r="B3" s="256"/>
      <c r="C3" s="256"/>
      <c r="D3" s="1" t="s">
        <v>1</v>
      </c>
      <c r="E3" s="257">
        <v>45657</v>
      </c>
      <c r="F3" s="258"/>
    </row>
    <row r="4" spans="1:9" s="1" customFormat="1" ht="15" customHeight="1">
      <c r="A4" s="258" t="s">
        <v>135</v>
      </c>
      <c r="B4" s="258"/>
      <c r="C4" s="258"/>
      <c r="D4" s="259" t="s">
        <v>2</v>
      </c>
      <c r="E4" s="260">
        <v>12</v>
      </c>
      <c r="F4" s="260"/>
    </row>
    <row r="5" spans="1:9" s="1" customFormat="1" ht="30.95" customHeight="1">
      <c r="A5" s="4" t="s">
        <v>3</v>
      </c>
      <c r="B5" s="284" t="s">
        <v>136</v>
      </c>
      <c r="C5" s="261"/>
      <c r="D5" s="259"/>
      <c r="E5" s="258"/>
      <c r="F5" s="258"/>
    </row>
    <row r="6" spans="1:9" s="1" customFormat="1" ht="8.25" customHeight="1">
      <c r="C6" s="2"/>
    </row>
    <row r="7" spans="1:9" ht="18" customHeight="1">
      <c r="A7" s="116" t="s">
        <v>4</v>
      </c>
      <c r="B7" s="117" t="s">
        <v>5</v>
      </c>
      <c r="C7" s="116"/>
      <c r="D7" s="116" t="s">
        <v>6</v>
      </c>
      <c r="E7" s="121">
        <v>2024</v>
      </c>
      <c r="F7" s="121">
        <v>2023</v>
      </c>
      <c r="G7" s="121">
        <v>2022</v>
      </c>
      <c r="H7" s="121">
        <v>2021</v>
      </c>
      <c r="I7" s="121">
        <v>2020</v>
      </c>
    </row>
    <row r="8" spans="1:9" ht="18" customHeight="1">
      <c r="A8" s="118" t="s">
        <v>7</v>
      </c>
      <c r="B8" s="119" t="s">
        <v>8</v>
      </c>
      <c r="C8" s="118" t="s">
        <v>9</v>
      </c>
      <c r="D8" s="118">
        <v>21</v>
      </c>
      <c r="E8" s="120">
        <v>0</v>
      </c>
      <c r="F8" s="120">
        <v>0</v>
      </c>
    </row>
    <row r="9" spans="1:9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</row>
    <row r="10" spans="1:9" ht="18" customHeight="1">
      <c r="A10" s="11" t="s">
        <v>13</v>
      </c>
      <c r="B10" s="14" t="s">
        <v>98</v>
      </c>
      <c r="C10" s="15" t="s">
        <v>15</v>
      </c>
      <c r="D10" s="15">
        <v>6</v>
      </c>
      <c r="E10" s="13">
        <v>0</v>
      </c>
      <c r="F10" s="13">
        <v>0</v>
      </c>
    </row>
    <row r="11" spans="1:9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9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0</v>
      </c>
      <c r="F12" s="13">
        <v>0</v>
      </c>
    </row>
    <row r="13" spans="1:9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3539622265</v>
      </c>
      <c r="F13" s="13">
        <v>3712007237</v>
      </c>
    </row>
    <row r="14" spans="1:9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</row>
    <row r="15" spans="1:9" ht="18" customHeight="1">
      <c r="A15" s="16" t="s">
        <v>24</v>
      </c>
      <c r="B15" s="17" t="s">
        <v>25</v>
      </c>
      <c r="C15" s="16"/>
      <c r="D15" s="16"/>
      <c r="E15" s="18">
        <v>3539622265</v>
      </c>
      <c r="F15" s="18">
        <v>3712007237</v>
      </c>
    </row>
    <row r="16" spans="1:9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0</v>
      </c>
      <c r="F16" s="13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1266</v>
      </c>
      <c r="F19" s="13">
        <v>6065392</v>
      </c>
    </row>
    <row r="20" spans="1:6" ht="18" customHeight="1">
      <c r="A20" s="56" t="s">
        <v>34</v>
      </c>
      <c r="B20" s="57" t="s">
        <v>99</v>
      </c>
      <c r="C20" s="56" t="s">
        <v>9</v>
      </c>
      <c r="D20" s="56">
        <v>12</v>
      </c>
      <c r="E20" s="21">
        <v>0</v>
      </c>
      <c r="F20" s="21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2185633985</v>
      </c>
      <c r="F23" s="13">
        <v>2052481105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-78330544</v>
      </c>
      <c r="F24" s="13">
        <v>114897483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19071637</v>
      </c>
      <c r="F25" s="13">
        <v>19041213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451321773</v>
      </c>
      <c r="F26" s="13">
        <v>410624297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99245079</v>
      </c>
      <c r="F27" s="13">
        <v>81046157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6001</v>
      </c>
      <c r="F28" s="13">
        <v>673105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v>862675600</v>
      </c>
      <c r="F29" s="18">
        <v>1039309269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418004802</v>
      </c>
      <c r="F30" s="13">
        <v>403405542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v>444670798</v>
      </c>
      <c r="F31" s="18">
        <v>635903727</v>
      </c>
    </row>
    <row r="32" spans="1:6" ht="18" customHeight="1">
      <c r="A32" s="11" t="s">
        <v>58</v>
      </c>
      <c r="B32" s="12" t="s">
        <v>100</v>
      </c>
      <c r="C32" s="11" t="s">
        <v>9</v>
      </c>
      <c r="D32" s="11">
        <v>28</v>
      </c>
      <c r="E32" s="13">
        <v>0</v>
      </c>
      <c r="F32" s="13">
        <v>0</v>
      </c>
    </row>
    <row r="33" spans="1:6" ht="18" customHeight="1">
      <c r="A33" s="56" t="s">
        <v>60</v>
      </c>
      <c r="B33" s="57" t="s">
        <v>61</v>
      </c>
      <c r="C33" s="56" t="s">
        <v>12</v>
      </c>
      <c r="D33" s="56" t="s">
        <v>62</v>
      </c>
      <c r="E33" s="21">
        <v>346323637</v>
      </c>
      <c r="F33" s="21">
        <v>330372237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v>98347161</v>
      </c>
      <c r="F34" s="18">
        <v>305531490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128660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4438323</v>
      </c>
      <c r="F38" s="13">
        <v>18719654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</row>
    <row r="40" spans="1:6" ht="18" customHeight="1">
      <c r="A40" s="16" t="s">
        <v>75</v>
      </c>
      <c r="B40" s="17" t="s">
        <v>76</v>
      </c>
      <c r="C40" s="16"/>
      <c r="D40" s="16"/>
      <c r="E40" s="18">
        <v>-4438323</v>
      </c>
      <c r="F40" s="18">
        <v>-18590994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v>93908838</v>
      </c>
      <c r="F41" s="24">
        <v>286940496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1637458</v>
      </c>
      <c r="F42" s="13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</row>
    <row r="45" spans="1:6" ht="18" customHeight="1">
      <c r="A45" s="11" t="s">
        <v>86</v>
      </c>
      <c r="B45" s="12" t="s">
        <v>102</v>
      </c>
      <c r="C45" s="11" t="s">
        <v>12</v>
      </c>
      <c r="D45" s="11">
        <v>30</v>
      </c>
      <c r="E45" s="13">
        <v>0</v>
      </c>
      <c r="F45" s="13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4">
        <v>1637458</v>
      </c>
      <c r="F46" s="24">
        <v>0</v>
      </c>
    </row>
    <row r="47" spans="1:6" ht="18" customHeight="1">
      <c r="A47" s="11" t="s">
        <v>90</v>
      </c>
      <c r="B47" s="12" t="s">
        <v>103</v>
      </c>
      <c r="C47" s="11" t="s">
        <v>12</v>
      </c>
      <c r="D47" s="11">
        <v>30</v>
      </c>
      <c r="E47" s="13">
        <v>0</v>
      </c>
      <c r="F47" s="13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41388600</v>
      </c>
      <c r="F48" s="13">
        <v>105691200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v>54157696</v>
      </c>
      <c r="F49" s="18">
        <v>181249296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." sqref="D1:F6" xr:uid="{8A5FBF77-C386-4EA8-BAAA-AF6C90A8283D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4E541B9D-5E2A-414A-A2B5-E38A352410FC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," sqref="E8:F49" xr:uid="{8FE9E6A8-BE8D-4CB6-8179-5494EDED08EF}"/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E424-53B5-45BE-BA10-53BCA5539BB2}">
  <sheetPr codeName="Feuil39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49" customWidth="1" collapsed="1"/>
    <col min="2" max="2" width="56" style="50" bestFit="1" customWidth="1" collapsed="1"/>
    <col min="3" max="3" width="3.140625" style="50" bestFit="1" customWidth="1" collapsed="1"/>
    <col min="4" max="4" width="13.5703125" style="50" customWidth="1" collapsed="1"/>
    <col min="5" max="6" width="15.7109375" style="51" customWidth="1" collapsed="1"/>
    <col min="7" max="16384" width="10.28515625" style="50" collapsed="1"/>
  </cols>
  <sheetData>
    <row r="1" spans="1:6" s="102" customFormat="1" ht="24.6" customHeight="1">
      <c r="A1" s="275" t="s">
        <v>0</v>
      </c>
      <c r="B1" s="275"/>
      <c r="C1" s="275"/>
      <c r="D1" s="275"/>
      <c r="E1" s="275"/>
      <c r="F1" s="275"/>
    </row>
    <row r="2" spans="1:6" s="102" customFormat="1" ht="8.1" customHeight="1">
      <c r="C2" s="103"/>
    </row>
    <row r="3" spans="1:6" s="102" customFormat="1" ht="25.5" customHeight="1">
      <c r="A3" s="276" t="s">
        <v>96</v>
      </c>
      <c r="B3" s="276"/>
      <c r="C3" s="276"/>
      <c r="D3" s="102" t="s">
        <v>1</v>
      </c>
      <c r="E3" s="277">
        <v>45657</v>
      </c>
      <c r="F3" s="278"/>
    </row>
    <row r="4" spans="1:6" s="102" customFormat="1" ht="15" customHeight="1">
      <c r="A4" s="279" t="s">
        <v>137</v>
      </c>
      <c r="B4" s="278"/>
      <c r="C4" s="278"/>
      <c r="D4" s="280" t="s">
        <v>2</v>
      </c>
      <c r="E4" s="281"/>
      <c r="F4" s="281"/>
    </row>
    <row r="5" spans="1:6" s="102" customFormat="1" ht="30.95" customHeight="1">
      <c r="A5" s="104" t="s">
        <v>3</v>
      </c>
      <c r="B5" s="282" t="s">
        <v>138</v>
      </c>
      <c r="C5" s="283"/>
      <c r="D5" s="280"/>
      <c r="E5" s="279">
        <v>12</v>
      </c>
      <c r="F5" s="278"/>
    </row>
    <row r="6" spans="1:6" s="102" customFormat="1" ht="8.1" customHeight="1">
      <c r="C6" s="103"/>
    </row>
    <row r="7" spans="1:6" ht="18" customHeight="1">
      <c r="A7" s="32" t="s">
        <v>4</v>
      </c>
      <c r="B7" s="33" t="s">
        <v>5</v>
      </c>
      <c r="C7" s="32"/>
      <c r="D7" s="32" t="s">
        <v>6</v>
      </c>
      <c r="E7" s="34">
        <v>2024</v>
      </c>
      <c r="F7" s="34">
        <v>2023</v>
      </c>
    </row>
    <row r="8" spans="1:6" ht="18" customHeight="1">
      <c r="A8" s="35" t="s">
        <v>7</v>
      </c>
      <c r="B8" s="36" t="s">
        <v>8</v>
      </c>
      <c r="C8" s="35" t="s">
        <v>9</v>
      </c>
      <c r="D8" s="35">
        <v>21</v>
      </c>
      <c r="E8" s="37">
        <v>0</v>
      </c>
      <c r="F8" s="37">
        <v>0</v>
      </c>
    </row>
    <row r="9" spans="1:6" ht="18" customHeight="1">
      <c r="A9" s="38" t="s">
        <v>10</v>
      </c>
      <c r="B9" s="39" t="s">
        <v>11</v>
      </c>
      <c r="C9" s="38" t="s">
        <v>12</v>
      </c>
      <c r="D9" s="38">
        <v>22</v>
      </c>
      <c r="E9" s="37">
        <v>0</v>
      </c>
      <c r="F9" s="37">
        <v>0</v>
      </c>
    </row>
    <row r="10" spans="1:6" ht="18" customHeight="1">
      <c r="A10" s="38" t="s">
        <v>13</v>
      </c>
      <c r="B10" s="40" t="s">
        <v>14</v>
      </c>
      <c r="C10" s="41" t="s">
        <v>15</v>
      </c>
      <c r="D10" s="41">
        <v>6</v>
      </c>
      <c r="E10" s="37">
        <v>0</v>
      </c>
      <c r="F10" s="37">
        <v>0</v>
      </c>
    </row>
    <row r="11" spans="1:6" ht="18" customHeight="1">
      <c r="A11" s="42" t="s">
        <v>16</v>
      </c>
      <c r="B11" s="43" t="s">
        <v>17</v>
      </c>
      <c r="C11" s="42"/>
      <c r="D11" s="42"/>
      <c r="E11" s="54">
        <v>0</v>
      </c>
      <c r="F11" s="54">
        <v>0</v>
      </c>
    </row>
    <row r="12" spans="1:6" ht="18" customHeight="1">
      <c r="A12" s="38" t="s">
        <v>18</v>
      </c>
      <c r="B12" s="39" t="s">
        <v>19</v>
      </c>
      <c r="C12" s="38" t="s">
        <v>9</v>
      </c>
      <c r="D12" s="38">
        <v>21</v>
      </c>
      <c r="E12" s="37">
        <v>0</v>
      </c>
      <c r="F12" s="37">
        <v>0</v>
      </c>
    </row>
    <row r="13" spans="1:6" ht="18" customHeight="1">
      <c r="A13" s="38" t="s">
        <v>20</v>
      </c>
      <c r="B13" s="39" t="s">
        <v>21</v>
      </c>
      <c r="C13" s="38" t="s">
        <v>9</v>
      </c>
      <c r="D13" s="38">
        <v>21</v>
      </c>
      <c r="E13" s="37">
        <v>0</v>
      </c>
      <c r="F13" s="37">
        <v>0</v>
      </c>
    </row>
    <row r="14" spans="1:6" ht="18" customHeight="1">
      <c r="A14" s="38" t="s">
        <v>22</v>
      </c>
      <c r="B14" s="39" t="s">
        <v>23</v>
      </c>
      <c r="C14" s="38" t="s">
        <v>9</v>
      </c>
      <c r="D14" s="38">
        <v>21</v>
      </c>
      <c r="E14" s="37">
        <v>0</v>
      </c>
      <c r="F14" s="37">
        <v>0</v>
      </c>
    </row>
    <row r="15" spans="1:6" ht="18" customHeight="1">
      <c r="A15" s="42" t="s">
        <v>24</v>
      </c>
      <c r="B15" s="43" t="s">
        <v>25</v>
      </c>
      <c r="C15" s="42"/>
      <c r="D15" s="42"/>
      <c r="E15" s="54">
        <v>0</v>
      </c>
      <c r="F15" s="54">
        <v>0</v>
      </c>
    </row>
    <row r="16" spans="1:6" ht="18" customHeight="1">
      <c r="A16" s="38" t="s">
        <v>26</v>
      </c>
      <c r="B16" s="39" t="s">
        <v>27</v>
      </c>
      <c r="C16" s="41" t="s">
        <v>15</v>
      </c>
      <c r="D16" s="38">
        <v>6</v>
      </c>
      <c r="E16" s="37">
        <v>0</v>
      </c>
      <c r="F16" s="37">
        <v>0</v>
      </c>
    </row>
    <row r="17" spans="1:6" ht="18" customHeight="1">
      <c r="A17" s="38" t="s">
        <v>28</v>
      </c>
      <c r="B17" s="39" t="s">
        <v>29</v>
      </c>
      <c r="C17" s="38"/>
      <c r="D17" s="38">
        <v>21</v>
      </c>
      <c r="E17" s="37">
        <v>0</v>
      </c>
      <c r="F17" s="37">
        <v>0</v>
      </c>
    </row>
    <row r="18" spans="1:6" ht="18" customHeight="1">
      <c r="A18" s="38" t="s">
        <v>30</v>
      </c>
      <c r="B18" s="39" t="s">
        <v>31</v>
      </c>
      <c r="C18" s="38"/>
      <c r="D18" s="38">
        <v>21</v>
      </c>
      <c r="E18" s="37">
        <v>0</v>
      </c>
      <c r="F18" s="37">
        <v>0</v>
      </c>
    </row>
    <row r="19" spans="1:6" ht="18" customHeight="1">
      <c r="A19" s="38" t="s">
        <v>32</v>
      </c>
      <c r="B19" s="39" t="s">
        <v>33</v>
      </c>
      <c r="C19" s="38" t="s">
        <v>9</v>
      </c>
      <c r="D19" s="38">
        <v>21</v>
      </c>
      <c r="E19" s="37">
        <v>0</v>
      </c>
      <c r="F19" s="37">
        <v>0</v>
      </c>
    </row>
    <row r="20" spans="1:6" ht="18" customHeight="1">
      <c r="A20" s="65" t="s">
        <v>34</v>
      </c>
      <c r="B20" s="66" t="s">
        <v>35</v>
      </c>
      <c r="C20" s="65" t="s">
        <v>9</v>
      </c>
      <c r="D20" s="65">
        <v>12</v>
      </c>
      <c r="E20" s="69">
        <v>0</v>
      </c>
      <c r="F20" s="69">
        <v>0</v>
      </c>
    </row>
    <row r="21" spans="1:6" ht="18" customHeight="1">
      <c r="A21" s="38" t="s">
        <v>36</v>
      </c>
      <c r="B21" s="39" t="s">
        <v>37</v>
      </c>
      <c r="C21" s="38" t="s">
        <v>12</v>
      </c>
      <c r="D21" s="38">
        <v>22</v>
      </c>
      <c r="E21" s="37">
        <v>0</v>
      </c>
      <c r="F21" s="37">
        <v>0</v>
      </c>
    </row>
    <row r="22" spans="1:6" ht="18" customHeight="1">
      <c r="A22" s="38" t="s">
        <v>38</v>
      </c>
      <c r="B22" s="40" t="s">
        <v>39</v>
      </c>
      <c r="C22" s="41" t="s">
        <v>15</v>
      </c>
      <c r="D22" s="38">
        <v>6</v>
      </c>
      <c r="E22" s="37">
        <v>0</v>
      </c>
      <c r="F22" s="37">
        <v>0</v>
      </c>
    </row>
    <row r="23" spans="1:6" ht="18" customHeight="1">
      <c r="A23" s="38" t="s">
        <v>40</v>
      </c>
      <c r="B23" s="39" t="s">
        <v>41</v>
      </c>
      <c r="C23" s="38" t="s">
        <v>12</v>
      </c>
      <c r="D23" s="38">
        <v>22</v>
      </c>
      <c r="E23" s="37">
        <v>0</v>
      </c>
      <c r="F23" s="37">
        <v>0</v>
      </c>
    </row>
    <row r="24" spans="1:6" ht="18" customHeight="1">
      <c r="A24" s="38" t="s">
        <v>42</v>
      </c>
      <c r="B24" s="40" t="s">
        <v>43</v>
      </c>
      <c r="C24" s="41" t="s">
        <v>15</v>
      </c>
      <c r="D24" s="38">
        <v>6</v>
      </c>
      <c r="E24" s="37">
        <v>0</v>
      </c>
      <c r="F24" s="37">
        <v>0</v>
      </c>
    </row>
    <row r="25" spans="1:6" ht="18" customHeight="1">
      <c r="A25" s="38" t="s">
        <v>44</v>
      </c>
      <c r="B25" s="39" t="s">
        <v>45</v>
      </c>
      <c r="C25" s="38" t="s">
        <v>12</v>
      </c>
      <c r="D25" s="38">
        <v>23</v>
      </c>
      <c r="E25" s="37">
        <v>0</v>
      </c>
      <c r="F25" s="37">
        <v>0</v>
      </c>
    </row>
    <row r="26" spans="1:6" ht="18" customHeight="1">
      <c r="A26" s="38" t="s">
        <v>46</v>
      </c>
      <c r="B26" s="39" t="s">
        <v>47</v>
      </c>
      <c r="C26" s="38" t="s">
        <v>12</v>
      </c>
      <c r="D26" s="38">
        <v>24</v>
      </c>
      <c r="E26" s="37">
        <v>0</v>
      </c>
      <c r="F26" s="37">
        <v>0</v>
      </c>
    </row>
    <row r="27" spans="1:6" ht="18" customHeight="1">
      <c r="A27" s="38" t="s">
        <v>48</v>
      </c>
      <c r="B27" s="39" t="s">
        <v>49</v>
      </c>
      <c r="C27" s="38" t="s">
        <v>12</v>
      </c>
      <c r="D27" s="38">
        <v>25</v>
      </c>
      <c r="E27" s="37">
        <v>0</v>
      </c>
      <c r="F27" s="37">
        <v>0</v>
      </c>
    </row>
    <row r="28" spans="1:6" ht="18" customHeight="1">
      <c r="A28" s="38" t="s">
        <v>50</v>
      </c>
      <c r="B28" s="39" t="s">
        <v>51</v>
      </c>
      <c r="C28" s="38" t="s">
        <v>12</v>
      </c>
      <c r="D28" s="38">
        <v>26</v>
      </c>
      <c r="E28" s="37">
        <v>0</v>
      </c>
      <c r="F28" s="37">
        <v>0</v>
      </c>
    </row>
    <row r="29" spans="1:6" ht="18" customHeight="1">
      <c r="A29" s="42" t="s">
        <v>52</v>
      </c>
      <c r="B29" s="43" t="s">
        <v>53</v>
      </c>
      <c r="C29" s="42"/>
      <c r="D29" s="42"/>
      <c r="E29" s="54">
        <v>0</v>
      </c>
      <c r="F29" s="54">
        <v>0</v>
      </c>
    </row>
    <row r="30" spans="1:6" ht="18" customHeight="1">
      <c r="A30" s="38" t="s">
        <v>54</v>
      </c>
      <c r="B30" s="39" t="s">
        <v>55</v>
      </c>
      <c r="C30" s="38" t="s">
        <v>12</v>
      </c>
      <c r="D30" s="38">
        <v>27</v>
      </c>
      <c r="E30" s="37">
        <v>0</v>
      </c>
      <c r="F30" s="37">
        <v>0</v>
      </c>
    </row>
    <row r="31" spans="1:6" ht="18" customHeight="1">
      <c r="A31" s="42" t="s">
        <v>56</v>
      </c>
      <c r="B31" s="43" t="s">
        <v>57</v>
      </c>
      <c r="C31" s="42"/>
      <c r="D31" s="42"/>
      <c r="E31" s="54">
        <v>0</v>
      </c>
      <c r="F31" s="54">
        <v>0</v>
      </c>
    </row>
    <row r="32" spans="1:6" ht="18" customHeight="1">
      <c r="A32" s="38" t="s">
        <v>58</v>
      </c>
      <c r="B32" s="39" t="s">
        <v>59</v>
      </c>
      <c r="C32" s="38" t="s">
        <v>9</v>
      </c>
      <c r="D32" s="38">
        <v>28</v>
      </c>
      <c r="E32" s="37">
        <v>0</v>
      </c>
      <c r="F32" s="37">
        <v>0</v>
      </c>
    </row>
    <row r="33" spans="1:6" ht="18" customHeight="1">
      <c r="A33" s="65" t="s">
        <v>60</v>
      </c>
      <c r="B33" s="66" t="s">
        <v>61</v>
      </c>
      <c r="C33" s="65" t="s">
        <v>12</v>
      </c>
      <c r="D33" s="65" t="s">
        <v>62</v>
      </c>
      <c r="E33" s="69">
        <v>0</v>
      </c>
      <c r="F33" s="69">
        <v>0</v>
      </c>
    </row>
    <row r="34" spans="1:6" ht="18" customHeight="1">
      <c r="A34" s="42" t="s">
        <v>63</v>
      </c>
      <c r="B34" s="43" t="s">
        <v>64</v>
      </c>
      <c r="C34" s="42"/>
      <c r="D34" s="42"/>
      <c r="E34" s="54">
        <v>0</v>
      </c>
      <c r="F34" s="54">
        <v>0</v>
      </c>
    </row>
    <row r="35" spans="1:6" ht="18" customHeight="1">
      <c r="A35" s="38" t="s">
        <v>65</v>
      </c>
      <c r="B35" s="39" t="s">
        <v>66</v>
      </c>
      <c r="C35" s="38" t="s">
        <v>9</v>
      </c>
      <c r="D35" s="38">
        <v>29</v>
      </c>
      <c r="E35" s="37">
        <v>0</v>
      </c>
      <c r="F35" s="37">
        <v>0</v>
      </c>
    </row>
    <row r="36" spans="1:6" ht="18" customHeight="1">
      <c r="A36" s="38" t="s">
        <v>67</v>
      </c>
      <c r="B36" s="39" t="s">
        <v>68</v>
      </c>
      <c r="C36" s="38" t="s">
        <v>9</v>
      </c>
      <c r="D36" s="38">
        <v>28</v>
      </c>
      <c r="E36" s="37">
        <v>0</v>
      </c>
      <c r="F36" s="37">
        <v>0</v>
      </c>
    </row>
    <row r="37" spans="1:6" ht="18" customHeight="1">
      <c r="A37" s="38" t="s">
        <v>69</v>
      </c>
      <c r="B37" s="39" t="s">
        <v>70</v>
      </c>
      <c r="C37" s="38" t="s">
        <v>9</v>
      </c>
      <c r="D37" s="38">
        <v>12</v>
      </c>
      <c r="E37" s="37">
        <v>0</v>
      </c>
      <c r="F37" s="37">
        <v>0</v>
      </c>
    </row>
    <row r="38" spans="1:6" ht="18" customHeight="1">
      <c r="A38" s="38" t="s">
        <v>71</v>
      </c>
      <c r="B38" s="39" t="s">
        <v>72</v>
      </c>
      <c r="C38" s="38" t="s">
        <v>12</v>
      </c>
      <c r="D38" s="38">
        <v>29</v>
      </c>
      <c r="E38" s="37">
        <v>0</v>
      </c>
      <c r="F38" s="37">
        <v>0</v>
      </c>
    </row>
    <row r="39" spans="1:6" ht="18" customHeight="1">
      <c r="A39" s="38" t="s">
        <v>73</v>
      </c>
      <c r="B39" s="39" t="s">
        <v>74</v>
      </c>
      <c r="C39" s="38" t="s">
        <v>12</v>
      </c>
      <c r="D39" s="38" t="s">
        <v>62</v>
      </c>
      <c r="E39" s="37">
        <v>0</v>
      </c>
      <c r="F39" s="37">
        <v>0</v>
      </c>
    </row>
    <row r="40" spans="1:6" ht="18" customHeight="1">
      <c r="A40" s="42" t="s">
        <v>75</v>
      </c>
      <c r="B40" s="43" t="s">
        <v>76</v>
      </c>
      <c r="C40" s="42"/>
      <c r="D40" s="42"/>
      <c r="E40" s="54">
        <v>0</v>
      </c>
      <c r="F40" s="54">
        <v>0</v>
      </c>
    </row>
    <row r="41" spans="1:6" ht="18" customHeight="1">
      <c r="A41" s="46" t="s">
        <v>77</v>
      </c>
      <c r="B41" s="47" t="s">
        <v>78</v>
      </c>
      <c r="C41" s="46"/>
      <c r="D41" s="46"/>
      <c r="E41" s="55">
        <v>0</v>
      </c>
      <c r="F41" s="55">
        <v>0</v>
      </c>
    </row>
    <row r="42" spans="1:6" ht="18" customHeight="1">
      <c r="A42" s="38" t="s">
        <v>79</v>
      </c>
      <c r="B42" s="39" t="s">
        <v>80</v>
      </c>
      <c r="C42" s="38" t="s">
        <v>9</v>
      </c>
      <c r="D42" s="38" t="s">
        <v>81</v>
      </c>
      <c r="E42" s="37">
        <v>0</v>
      </c>
      <c r="F42" s="37">
        <v>0</v>
      </c>
    </row>
    <row r="43" spans="1:6" ht="18" customHeight="1">
      <c r="A43" s="38" t="s">
        <v>82</v>
      </c>
      <c r="B43" s="39" t="s">
        <v>83</v>
      </c>
      <c r="C43" s="38" t="s">
        <v>9</v>
      </c>
      <c r="D43" s="38">
        <v>30</v>
      </c>
      <c r="E43" s="37">
        <v>0</v>
      </c>
      <c r="F43" s="37">
        <v>0</v>
      </c>
    </row>
    <row r="44" spans="1:6" ht="18" customHeight="1">
      <c r="A44" s="38" t="s">
        <v>84</v>
      </c>
      <c r="B44" s="39" t="s">
        <v>85</v>
      </c>
      <c r="C44" s="38" t="s">
        <v>12</v>
      </c>
      <c r="D44" s="38" t="s">
        <v>81</v>
      </c>
      <c r="E44" s="37">
        <v>0</v>
      </c>
      <c r="F44" s="37">
        <v>0</v>
      </c>
    </row>
    <row r="45" spans="1:6" ht="18" customHeight="1">
      <c r="A45" s="38" t="s">
        <v>86</v>
      </c>
      <c r="B45" s="39" t="s">
        <v>87</v>
      </c>
      <c r="C45" s="38" t="s">
        <v>12</v>
      </c>
      <c r="D45" s="38">
        <v>30</v>
      </c>
      <c r="E45" s="37">
        <v>0</v>
      </c>
      <c r="F45" s="37">
        <v>0</v>
      </c>
    </row>
    <row r="46" spans="1:6" ht="18" customHeight="1">
      <c r="A46" s="46" t="s">
        <v>88</v>
      </c>
      <c r="B46" s="47" t="s">
        <v>89</v>
      </c>
      <c r="C46" s="46"/>
      <c r="D46" s="46"/>
      <c r="E46" s="55">
        <v>0</v>
      </c>
      <c r="F46" s="55">
        <v>0</v>
      </c>
    </row>
    <row r="47" spans="1:6" ht="18" customHeight="1">
      <c r="A47" s="38" t="s">
        <v>90</v>
      </c>
      <c r="B47" s="39" t="s">
        <v>91</v>
      </c>
      <c r="C47" s="38" t="s">
        <v>12</v>
      </c>
      <c r="D47" s="38">
        <v>30</v>
      </c>
      <c r="E47" s="37">
        <v>0</v>
      </c>
      <c r="F47" s="37">
        <v>0</v>
      </c>
    </row>
    <row r="48" spans="1:6" ht="18" customHeight="1">
      <c r="A48" s="38" t="s">
        <v>92</v>
      </c>
      <c r="B48" s="39" t="s">
        <v>93</v>
      </c>
      <c r="C48" s="38" t="s">
        <v>12</v>
      </c>
      <c r="D48" s="38"/>
      <c r="E48" s="37">
        <v>0</v>
      </c>
      <c r="F48" s="37">
        <v>0</v>
      </c>
    </row>
    <row r="49" spans="1:6" ht="18" customHeight="1">
      <c r="A49" s="42" t="s">
        <v>94</v>
      </c>
      <c r="B49" s="43" t="s">
        <v>95</v>
      </c>
      <c r="C49" s="42"/>
      <c r="D49" s="42"/>
      <c r="E49" s="54">
        <v>0</v>
      </c>
      <c r="F49" s="54">
        <v>0</v>
      </c>
    </row>
    <row r="53" spans="1:6" ht="12.75" customHeight="1">
      <c r="B53" s="52"/>
      <c r="C53" s="52"/>
    </row>
    <row r="54" spans="1:6" ht="12.75" customHeight="1">
      <c r="B54" s="52"/>
      <c r="C54" s="52"/>
    </row>
    <row r="55" spans="1:6" ht="12.75" customHeight="1">
      <c r="B55" s="52"/>
      <c r="C55" s="52"/>
    </row>
    <row r="58" spans="1:6" ht="12.75" customHeight="1">
      <c r="B58" s="52"/>
      <c r="C58" s="52"/>
    </row>
    <row r="59" spans="1:6" ht="12.75" customHeight="1">
      <c r="B59" s="52"/>
      <c r="C59" s="52"/>
    </row>
    <row r="62" spans="1:6" ht="12.75" customHeight="1">
      <c r="E62" s="53"/>
      <c r="F62" s="53"/>
    </row>
    <row r="63" spans="1:6" ht="12.75" customHeight="1">
      <c r="E63" s="53"/>
      <c r="F63" s="53"/>
    </row>
    <row r="64" spans="1:6" ht="12.75" customHeight="1">
      <c r="E64" s="53"/>
      <c r="F64" s="53"/>
    </row>
    <row r="65" spans="5:6" ht="12.75" customHeight="1">
      <c r="E65" s="53"/>
      <c r="F65" s="53"/>
    </row>
    <row r="66" spans="5:6" ht="12.75" customHeight="1">
      <c r="E66" s="53"/>
      <c r="F66" s="53"/>
    </row>
    <row r="67" spans="5:6" ht="12.75" customHeight="1">
      <c r="E67" s="53"/>
      <c r="F67" s="53"/>
    </row>
    <row r="68" spans="5:6" ht="12.75" customHeight="1">
      <c r="E68" s="53"/>
      <c r="F68" s="53"/>
    </row>
    <row r="69" spans="5:6" ht="12.75" customHeight="1">
      <c r="E69" s="53"/>
      <c r="F69" s="53"/>
    </row>
    <row r="70" spans="5:6" ht="12.75" customHeight="1">
      <c r="E70" s="53"/>
      <c r="F70" s="53"/>
    </row>
    <row r="71" spans="5:6" ht="12.75" customHeight="1">
      <c r="E71" s="53"/>
      <c r="F71" s="53"/>
    </row>
    <row r="72" spans="5:6" ht="12.75" customHeight="1">
      <c r="E72" s="53"/>
      <c r="F72" s="53"/>
    </row>
    <row r="73" spans="5:6" ht="12.75" customHeight="1">
      <c r="E73" s="53"/>
      <c r="F73" s="53"/>
    </row>
    <row r="74" spans="5:6" ht="12.75" customHeight="1">
      <c r="E74" s="53"/>
      <c r="F74" s="53"/>
    </row>
    <row r="75" spans="5:6" ht="12.75" customHeight="1">
      <c r="E75" s="53"/>
      <c r="F75" s="53"/>
    </row>
    <row r="76" spans="5:6" ht="12.75" customHeight="1">
      <c r="E76" s="53"/>
      <c r="F76" s="53"/>
    </row>
    <row r="77" spans="5:6" ht="12.75" customHeight="1">
      <c r="E77" s="53"/>
      <c r="F77" s="53"/>
    </row>
    <row r="78" spans="5:6" ht="12.75" customHeight="1">
      <c r="E78" s="53"/>
      <c r="F78" s="53"/>
    </row>
    <row r="79" spans="5:6" ht="12.75" customHeight="1">
      <c r="E79" s="53"/>
      <c r="F79" s="53"/>
    </row>
    <row r="80" spans="5:6" ht="12.75" customHeight="1">
      <c r="E80" s="53"/>
      <c r="F80" s="53"/>
    </row>
    <row r="81" spans="5:6" ht="12.75" customHeight="1">
      <c r="E81" s="53"/>
      <c r="F81" s="53"/>
    </row>
    <row r="82" spans="5:6" ht="12.75" customHeight="1">
      <c r="E82" s="53"/>
      <c r="F82" s="53"/>
    </row>
    <row r="83" spans="5:6" ht="12.75" customHeight="1">
      <c r="E83" s="53"/>
      <c r="F83" s="53"/>
    </row>
    <row r="84" spans="5:6" ht="12.75" customHeight="1">
      <c r="E84" s="53"/>
      <c r="F84" s="53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8EF4B89-AECF-41FA-96ED-A682408542AC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7E554B73-B11F-4FEF-9712-51AFEE2999A9}"/>
    <dataValidation allowBlank="1" showInputMessage="1" showErrorMessage="1" errorTitle="Erreur de saisie" error="La cellule ne peut prendre que du numérique." promptTitle="Information" prompt="Cette cellule ne peut prendre que du numérique," sqref="E8:F49" xr:uid="{F28D8746-B65C-41E3-8FC4-2492964D48C2}"/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9FE8-D8A3-48CC-B357-B6BDF14CBE49}">
  <sheetPr codeName="Feuil40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2.42578125" style="27" bestFit="1" customWidth="1" collapsed="1"/>
    <col min="5" max="5" width="14.28515625" style="28" customWidth="1" collapsed="1"/>
    <col min="6" max="6" width="13.7109375" style="28" bestFit="1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+'[14]Fiche de renseignement R1'!$V$10</f>
        <v>45657</v>
      </c>
      <c r="F3" s="258"/>
    </row>
    <row r="4" spans="1:6" s="1" customFormat="1" ht="15" customHeight="1">
      <c r="A4" s="258" t="s">
        <v>139</v>
      </c>
      <c r="B4" s="258"/>
      <c r="C4" s="258"/>
      <c r="D4" s="259" t="s">
        <v>2</v>
      </c>
      <c r="E4" s="260">
        <f>+'[14]Fiche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+'[14]Fiche de renseignement R1'!$J$10</f>
        <v>004331188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6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3923752499</v>
      </c>
      <c r="F13" s="13">
        <v>2152768626.5999999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63060977</v>
      </c>
      <c r="F14" s="13">
        <v>429868324.80000001</v>
      </c>
    </row>
    <row r="15" spans="1:6" ht="18" customHeight="1">
      <c r="A15" s="16" t="s">
        <v>24</v>
      </c>
      <c r="B15" s="17" t="s">
        <v>25</v>
      </c>
      <c r="C15" s="16"/>
      <c r="D15" s="16"/>
      <c r="E15" s="18">
        <f>E13+E14</f>
        <v>3986813476</v>
      </c>
      <c r="F15" s="18">
        <v>2582636951.4000001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/>
      <c r="F18" s="13"/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807760435</v>
      </c>
      <c r="F19" s="13">
        <v>554305859.11100006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831328448</v>
      </c>
      <c r="F21" s="13">
        <v>401810309.74200004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36530319</v>
      </c>
      <c r="F22" s="13">
        <v>-115057714.19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1110834664</v>
      </c>
      <c r="F23" s="13">
        <v>1229015267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/>
      <c r="F24" s="13"/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64298907</v>
      </c>
      <c r="F25" s="13">
        <v>50544564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730025312</v>
      </c>
      <c r="F26" s="13">
        <v>818392514.02499998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45221024</v>
      </c>
      <c r="F27" s="13">
        <v>65916289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5574350</v>
      </c>
      <c r="F28" s="13">
        <v>18640755.438000001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f>E15+E19-E21-E22-E23-E25-E26-E27-E28</f>
        <v>1970760887</v>
      </c>
      <c r="F29" s="18">
        <f>F15+F19-F21-F22-F23-F25-F26-F27-F28</f>
        <v>667680825.49600017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892817451</v>
      </c>
      <c r="F30" s="13">
        <v>795311012.67999995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f>E29-E30</f>
        <v>1077943436</v>
      </c>
      <c r="F31" s="18">
        <f>F29-F30</f>
        <v>-127630187.18399978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36583072</v>
      </c>
      <c r="F32" s="13">
        <v>20107304</v>
      </c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701333427</v>
      </c>
      <c r="F33" s="21">
        <v>542044469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f>E31+E32-E33</f>
        <v>413193081</v>
      </c>
      <c r="F34" s="18">
        <f>F31+F32-F33</f>
        <v>-649567352.18399978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/>
      <c r="F35" s="13"/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120035984</v>
      </c>
      <c r="F38" s="13">
        <v>113504606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/>
    </row>
    <row r="40" spans="1:6" ht="18" customHeight="1">
      <c r="A40" s="16" t="s">
        <v>75</v>
      </c>
      <c r="B40" s="17" t="s">
        <v>76</v>
      </c>
      <c r="C40" s="16"/>
      <c r="D40" s="16"/>
      <c r="E40" s="18">
        <f>E35-E38</f>
        <v>-120035984</v>
      </c>
      <c r="F40" s="18">
        <v>-113504606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f>E34+E40</f>
        <v>293157097</v>
      </c>
      <c r="F41" s="24">
        <v>-763071958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6000000</v>
      </c>
      <c r="F42" s="13">
        <v>2500000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</row>
    <row r="46" spans="1:6" ht="18" customHeight="1">
      <c r="A46" s="22" t="s">
        <v>88</v>
      </c>
      <c r="B46" s="23" t="s">
        <v>89</v>
      </c>
      <c r="C46" s="22"/>
      <c r="D46" s="22"/>
      <c r="E46" s="24">
        <f>E42+E43-E44-E45</f>
        <v>6000000</v>
      </c>
      <c r="F46" s="24">
        <f>F42+F43-F44-F45</f>
        <v>2500000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5000000</v>
      </c>
      <c r="F48" s="13">
        <v>5000000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f>E41+E46-E47-E48</f>
        <v>294157097</v>
      </c>
      <c r="F49" s="18">
        <f>F41+F46-F47-F48</f>
        <v>-765571958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BBD75544-0118-4ABC-88F6-6C3C95C9339E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297CE260-4824-48A9-9868-AC2428D6D7A2}"/>
    <dataValidation allowBlank="1" showInputMessage="1" showErrorMessage="1" errorTitle="Erreur de saisie" error="La cellule ne peut prendre que du numérique." promptTitle="Information" prompt="Cette cellule ne peut prendre que du numérique," sqref="E8:F49" xr:uid="{79E5260E-1DEB-4E5A-B55F-7D1EAA46460A}"/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5A696-7D92-41E9-9050-5CFD46D4F2B1}">
  <sheetPr codeName="Feuil41"/>
  <dimension ref="A1:J84"/>
  <sheetViews>
    <sheetView workbookViewId="0">
      <selection activeCell="H16" sqref="H16"/>
    </sheetView>
  </sheetViews>
  <sheetFormatPr baseColWidth="10" defaultColWidth="10.28515625" defaultRowHeight="12.75"/>
  <cols>
    <col min="1" max="1" width="14.140625" style="26" bestFit="1" customWidth="1" collapsed="1"/>
    <col min="2" max="2" width="60.5703125" style="27" bestFit="1" customWidth="1" collapsed="1"/>
    <col min="3" max="3" width="3.42578125" style="27" bestFit="1" customWidth="1" collapsed="1"/>
    <col min="4" max="4" width="14.85546875" style="27" bestFit="1" customWidth="1" collapsed="1"/>
    <col min="5" max="6" width="13.7109375" style="28" bestFit="1" customWidth="1" collapsed="1"/>
    <col min="7" max="9" width="10.28515625" style="27" collapsed="1"/>
    <col min="10" max="10" width="10.85546875" style="27" bestFit="1" customWidth="1" collapsed="1"/>
    <col min="11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142</v>
      </c>
      <c r="B3" s="256"/>
      <c r="C3" s="256"/>
      <c r="D3" s="1" t="s">
        <v>1</v>
      </c>
      <c r="E3" s="257">
        <f>+'[15]Fiche de renseignement R1'!$V$10</f>
        <v>45657</v>
      </c>
      <c r="F3" s="258"/>
    </row>
    <row r="4" spans="1:6" s="1" customFormat="1" ht="15" customHeight="1">
      <c r="A4" s="258"/>
      <c r="B4" s="258"/>
      <c r="C4" s="258"/>
      <c r="D4" s="259" t="s">
        <v>2</v>
      </c>
      <c r="E4" s="260">
        <f>+'[15]Fiche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+'[15]Fiche de renseignement R1'!$J$10</f>
        <v>004410601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6" ht="18" customHeight="1">
      <c r="A11" s="16" t="s">
        <v>16</v>
      </c>
      <c r="B11" s="17" t="s">
        <v>17</v>
      </c>
      <c r="C11" s="16"/>
      <c r="D11" s="16"/>
      <c r="E11" s="18"/>
      <c r="F11" s="18"/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/>
      <c r="F13" s="13"/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/>
      <c r="F14" s="13"/>
    </row>
    <row r="15" spans="1:6" ht="18" customHeight="1">
      <c r="A15" s="16" t="s">
        <v>24</v>
      </c>
      <c r="B15" s="17" t="s">
        <v>25</v>
      </c>
      <c r="C15" s="16"/>
      <c r="D15" s="16"/>
      <c r="E15" s="18"/>
      <c r="F15" s="18"/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22"/>
      <c r="F17" s="122"/>
    </row>
    <row r="18" spans="1:6" ht="18" customHeight="1">
      <c r="A18" s="11" t="s">
        <v>30</v>
      </c>
      <c r="B18" s="12" t="s">
        <v>31</v>
      </c>
      <c r="C18" s="11"/>
      <c r="D18" s="123">
        <v>21</v>
      </c>
      <c r="E18" s="124"/>
      <c r="F18" s="124"/>
    </row>
    <row r="19" spans="1:6" ht="18" customHeight="1">
      <c r="A19" s="11" t="s">
        <v>32</v>
      </c>
      <c r="B19" s="12" t="s">
        <v>33</v>
      </c>
      <c r="C19" s="11" t="s">
        <v>9</v>
      </c>
      <c r="D19" s="123">
        <v>21</v>
      </c>
      <c r="E19" s="125"/>
      <c r="F19" s="125"/>
    </row>
    <row r="20" spans="1:6" ht="18" customHeight="1">
      <c r="A20" s="19" t="s">
        <v>34</v>
      </c>
      <c r="B20" s="20" t="s">
        <v>35</v>
      </c>
      <c r="C20" s="19" t="s">
        <v>9</v>
      </c>
      <c r="D20" s="126">
        <v>12</v>
      </c>
      <c r="E20" s="127">
        <v>2345868715</v>
      </c>
      <c r="F20" s="127">
        <v>3070335908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23">
        <v>22</v>
      </c>
      <c r="E21" s="128"/>
      <c r="F21" s="128"/>
    </row>
    <row r="22" spans="1:6" ht="18" customHeight="1">
      <c r="A22" s="11" t="s">
        <v>38</v>
      </c>
      <c r="B22" s="14" t="s">
        <v>39</v>
      </c>
      <c r="C22" s="15" t="s">
        <v>15</v>
      </c>
      <c r="D22" s="123">
        <v>6</v>
      </c>
      <c r="E22" s="129"/>
      <c r="F22" s="129"/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0">
        <v>364803535</v>
      </c>
      <c r="F23" s="130">
        <v>382204538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1"/>
      <c r="F24" s="131"/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1">
        <v>40730383</v>
      </c>
      <c r="F25" s="131">
        <v>52177353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1">
        <v>1297564180</v>
      </c>
      <c r="F26" s="131">
        <v>1903357655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1">
        <v>9879794</v>
      </c>
      <c r="F27" s="131">
        <v>32778542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1">
        <v>7665602</v>
      </c>
      <c r="F28" s="131">
        <v>8608900</v>
      </c>
    </row>
    <row r="29" spans="1:6" ht="18" customHeight="1">
      <c r="A29" s="16" t="s">
        <v>52</v>
      </c>
      <c r="B29" s="17" t="s">
        <v>53</v>
      </c>
      <c r="C29" s="16"/>
      <c r="D29" s="16"/>
      <c r="E29" s="132">
        <v>625225221</v>
      </c>
      <c r="F29" s="132">
        <v>691208920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1">
        <v>543370983</v>
      </c>
      <c r="F30" s="131">
        <v>593085792</v>
      </c>
    </row>
    <row r="31" spans="1:6" ht="18" customHeight="1">
      <c r="A31" s="16" t="s">
        <v>56</v>
      </c>
      <c r="B31" s="17" t="s">
        <v>57</v>
      </c>
      <c r="C31" s="16"/>
      <c r="D31" s="16"/>
      <c r="E31" s="132">
        <v>81854238</v>
      </c>
      <c r="F31" s="132">
        <v>98123128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1"/>
      <c r="F32" s="131"/>
    </row>
    <row r="33" spans="1:10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33">
        <v>81854238</v>
      </c>
      <c r="F33" s="133">
        <v>98123128</v>
      </c>
    </row>
    <row r="34" spans="1:10" ht="18" customHeight="1">
      <c r="A34" s="16" t="s">
        <v>63</v>
      </c>
      <c r="B34" s="17" t="s">
        <v>64</v>
      </c>
      <c r="C34" s="16"/>
      <c r="D34" s="16"/>
      <c r="E34" s="18"/>
      <c r="F34" s="18"/>
    </row>
    <row r="35" spans="1:10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/>
      <c r="F35" s="13"/>
    </row>
    <row r="36" spans="1:10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</row>
    <row r="37" spans="1:10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</row>
    <row r="38" spans="1:10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/>
      <c r="F38" s="13"/>
    </row>
    <row r="39" spans="1:10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/>
    </row>
    <row r="40" spans="1:10" ht="18" customHeight="1">
      <c r="A40" s="16" t="s">
        <v>75</v>
      </c>
      <c r="B40" s="17" t="s">
        <v>76</v>
      </c>
      <c r="C40" s="16"/>
      <c r="D40" s="16"/>
      <c r="E40" s="18"/>
      <c r="F40" s="18"/>
    </row>
    <row r="41" spans="1:10" ht="18" customHeight="1">
      <c r="A41" s="22" t="s">
        <v>77</v>
      </c>
      <c r="B41" s="23" t="s">
        <v>78</v>
      </c>
      <c r="C41" s="22"/>
      <c r="D41" s="22"/>
      <c r="E41" s="24"/>
      <c r="F41" s="24"/>
    </row>
    <row r="42" spans="1:10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/>
    </row>
    <row r="43" spans="1:10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</row>
    <row r="44" spans="1:10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</row>
    <row r="45" spans="1:10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</row>
    <row r="46" spans="1:10" ht="18" customHeight="1">
      <c r="A46" s="22" t="s">
        <v>88</v>
      </c>
      <c r="B46" s="23" t="s">
        <v>89</v>
      </c>
      <c r="C46" s="22"/>
      <c r="D46" s="22"/>
      <c r="E46" s="24"/>
      <c r="F46" s="24"/>
      <c r="J46" s="30"/>
    </row>
    <row r="47" spans="1:10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</row>
    <row r="48" spans="1:10" ht="18" customHeight="1">
      <c r="A48" s="11" t="s">
        <v>92</v>
      </c>
      <c r="B48" s="12" t="s">
        <v>93</v>
      </c>
      <c r="C48" s="11" t="s">
        <v>12</v>
      </c>
      <c r="D48" s="11"/>
      <c r="E48" s="13"/>
      <c r="F48" s="13"/>
    </row>
    <row r="49" spans="1:10" ht="18" customHeight="1">
      <c r="A49" s="16" t="s">
        <v>94</v>
      </c>
      <c r="B49" s="17" t="s">
        <v>95</v>
      </c>
      <c r="C49" s="16"/>
      <c r="D49" s="16"/>
      <c r="E49" s="18"/>
      <c r="F49" s="18"/>
      <c r="J49" s="30"/>
    </row>
    <row r="53" spans="1:10" ht="12.75" customHeight="1">
      <c r="B53" s="29"/>
      <c r="C53" s="29"/>
    </row>
    <row r="54" spans="1:10" ht="12.75" customHeight="1">
      <c r="B54" s="29"/>
      <c r="C54" s="29"/>
    </row>
    <row r="55" spans="1:10" ht="12.75" customHeight="1">
      <c r="B55" s="29"/>
      <c r="C55" s="29"/>
    </row>
    <row r="58" spans="1:10" ht="12.75" customHeight="1">
      <c r="B58" s="29"/>
      <c r="C58" s="29"/>
    </row>
    <row r="59" spans="1:10" ht="12.75" customHeight="1">
      <c r="B59" s="29"/>
      <c r="C59" s="29"/>
    </row>
    <row r="62" spans="1:10" ht="12.75" customHeight="1">
      <c r="E62" s="30"/>
      <c r="F62" s="30"/>
    </row>
    <row r="63" spans="1:10" ht="12.75" customHeight="1">
      <c r="E63" s="30"/>
      <c r="F63" s="30"/>
    </row>
    <row r="64" spans="1:10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F17 E19:F21 E23:F49" xr:uid="{B09CCEA3-0F6A-4C17-A458-2C300AFABFBD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CFC98CDF-F2B1-431A-ADA8-5776294048A6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7B6F153D-1099-4B03-95C8-83CF5AF8CED5}"/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AAC8F-7042-4454-B71F-7EB64940BC01}">
  <sheetPr codeName="Feuil42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42578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 t="s">
        <v>114</v>
      </c>
      <c r="F3" s="258"/>
    </row>
    <row r="4" spans="1:6" s="1" customFormat="1" ht="15" customHeight="1">
      <c r="A4" s="262" t="s">
        <v>145</v>
      </c>
      <c r="B4" s="258"/>
      <c r="C4" s="258"/>
      <c r="D4" s="259" t="s">
        <v>2</v>
      </c>
      <c r="E4" s="260">
        <v>12</v>
      </c>
      <c r="F4" s="260"/>
    </row>
    <row r="5" spans="1:6" s="1" customFormat="1" ht="30.95" customHeight="1">
      <c r="A5" s="4" t="s">
        <v>3</v>
      </c>
      <c r="B5" s="264" t="s">
        <v>146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</row>
    <row r="11" spans="1:6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0</v>
      </c>
      <c r="F12" s="13">
        <v>0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18">
        <v>0</v>
      </c>
      <c r="F15" s="18">
        <v>0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0</v>
      </c>
      <c r="F16" s="13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7480000</v>
      </c>
      <c r="F19" s="13">
        <v>0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0</v>
      </c>
      <c r="F23" s="13">
        <v>0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>
        <v>0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0</v>
      </c>
      <c r="F25" s="13">
        <v>0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-41200</v>
      </c>
      <c r="F26" s="13">
        <v>-22254885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0</v>
      </c>
      <c r="F27" s="13">
        <v>-800000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0</v>
      </c>
      <c r="F28" s="13">
        <v>0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v>7438800</v>
      </c>
      <c r="F29" s="18">
        <v>-23054885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0</v>
      </c>
      <c r="F30" s="13">
        <v>4946842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v>7438800</v>
      </c>
      <c r="F31" s="18">
        <v>-18108043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0</v>
      </c>
      <c r="F32" s="13">
        <v>0</v>
      </c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3">
        <v>-16374398</v>
      </c>
      <c r="F33" s="13">
        <v>-270427329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v>-8935598</v>
      </c>
      <c r="F34" s="18">
        <v>-288535372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-368617159</v>
      </c>
      <c r="F38" s="13">
        <v>-333641876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</row>
    <row r="40" spans="1:6" ht="18" customHeight="1">
      <c r="A40" s="16" t="s">
        <v>75</v>
      </c>
      <c r="B40" s="17" t="s">
        <v>76</v>
      </c>
      <c r="C40" s="16"/>
      <c r="D40" s="16"/>
      <c r="E40" s="18">
        <v>-368617159</v>
      </c>
      <c r="F40" s="18">
        <v>-333641876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v>-377552757</v>
      </c>
      <c r="F41" s="24">
        <v>-622177248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0</v>
      </c>
      <c r="F48" s="13">
        <v>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v>-377552757</v>
      </c>
      <c r="F49" s="18">
        <v>-622177248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9351C85E-7D1B-42BF-B40A-82D06E496C0E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1BB5DBDF-DAA8-42C4-9167-51995FE882E0}"/>
    <dataValidation allowBlank="1" showInputMessage="1" showErrorMessage="1" errorTitle="Erreur de saisie" error="La cellule ne peut prendre que du numérique." promptTitle="Information" prompt="Cette cellule ne peut prendre que du numérique," sqref="E8:F49" xr:uid="{AC634D4E-CD57-4103-9978-3E052CA5D231}"/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56DA-D049-42E6-AEDB-340AA3656E76}">
  <sheetPr codeName="Feuil43"/>
  <dimension ref="A1:I84"/>
  <sheetViews>
    <sheetView zoomScale="87"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7.28515625" style="28" bestFit="1" customWidth="1" collapsed="1"/>
    <col min="7" max="7" width="10.28515625" style="27" collapsed="1"/>
    <col min="8" max="8" width="14.140625" style="27" bestFit="1" customWidth="1" collapsed="1"/>
    <col min="9" max="9" width="11.5703125" style="27" bestFit="1" customWidth="1" collapsed="1"/>
    <col min="10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</row>
    <row r="2" spans="1:8" s="1" customFormat="1" ht="8.1" customHeight="1">
      <c r="C2" s="2"/>
    </row>
    <row r="3" spans="1:8" s="1" customFormat="1" ht="25.5" customHeight="1">
      <c r="A3" s="256" t="s">
        <v>143</v>
      </c>
      <c r="B3" s="256"/>
      <c r="C3" s="256"/>
      <c r="D3" s="1" t="s">
        <v>1</v>
      </c>
      <c r="E3" s="257">
        <f>+'[16]Fiche de renseignement R1'!$V$10</f>
        <v>45657</v>
      </c>
      <c r="F3" s="258"/>
    </row>
    <row r="4" spans="1:8" s="1" customFormat="1" ht="15" customHeight="1">
      <c r="A4" s="258"/>
      <c r="B4" s="258"/>
      <c r="C4" s="258"/>
      <c r="D4" s="259" t="s">
        <v>2</v>
      </c>
      <c r="E4" s="260">
        <f>+'[16]Fiche de renseignement R1'!$AH$10</f>
        <v>12</v>
      </c>
      <c r="F4" s="260"/>
    </row>
    <row r="5" spans="1:8" s="1" customFormat="1" ht="30.95" customHeight="1">
      <c r="A5" s="4" t="s">
        <v>3</v>
      </c>
      <c r="B5" s="261" t="str">
        <f>+'[16]Fiche de renseignement R1'!$J$10</f>
        <v>004736198</v>
      </c>
      <c r="C5" s="261"/>
      <c r="D5" s="259"/>
      <c r="E5" s="258"/>
      <c r="F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8" ht="18" customHeight="1">
      <c r="A11" s="16" t="s">
        <v>16</v>
      </c>
      <c r="B11" s="17" t="s">
        <v>17</v>
      </c>
      <c r="C11" s="16"/>
      <c r="D11" s="16"/>
      <c r="E11" s="18"/>
      <c r="F11" s="18"/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2100290502</v>
      </c>
      <c r="F12" s="13">
        <v>3420230204</v>
      </c>
      <c r="H12" s="30"/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/>
      <c r="F13" s="13"/>
      <c r="H13" s="30"/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2318000</v>
      </c>
      <c r="H14" s="30"/>
    </row>
    <row r="15" spans="1:8" ht="18" customHeight="1">
      <c r="A15" s="16" t="s">
        <v>24</v>
      </c>
      <c r="B15" s="17" t="s">
        <v>25</v>
      </c>
      <c r="C15" s="16"/>
      <c r="D15" s="16"/>
      <c r="E15" s="134">
        <v>2100290502</v>
      </c>
      <c r="F15" s="134">
        <v>3422548204</v>
      </c>
      <c r="H15" s="30"/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  <c r="H16" s="30"/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  <c r="H17" s="30"/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3"/>
      <c r="F18" s="13"/>
      <c r="H18" s="30"/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/>
      <c r="F19" s="13"/>
      <c r="H19" s="30"/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  <c r="H20" s="30"/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/>
      <c r="F21" s="13"/>
      <c r="H21" s="30"/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/>
      <c r="F22" s="13"/>
      <c r="H22" s="30"/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-3385274338</v>
      </c>
      <c r="F23" s="13">
        <v>-1291150438</v>
      </c>
      <c r="H23" s="30"/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F24" s="13"/>
      <c r="H24" s="30"/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-27245750</v>
      </c>
      <c r="F25" s="13">
        <v>-51035867</v>
      </c>
      <c r="H25" s="30"/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-683632478</v>
      </c>
      <c r="F26" s="13">
        <v>-862102262</v>
      </c>
      <c r="H26" s="30"/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F27" s="13">
        <v>-826127</v>
      </c>
      <c r="H27" s="30"/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-53663</v>
      </c>
      <c r="F28" s="13"/>
      <c r="H28" s="30"/>
    </row>
    <row r="29" spans="1:8" ht="18" customHeight="1">
      <c r="A29" s="16" t="s">
        <v>52</v>
      </c>
      <c r="B29" s="17" t="s">
        <v>53</v>
      </c>
      <c r="C29" s="16"/>
      <c r="D29" s="16"/>
      <c r="E29" s="18">
        <v>-1995915727</v>
      </c>
      <c r="F29" s="18">
        <v>1217433450</v>
      </c>
      <c r="H29" s="30"/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-70274441</v>
      </c>
      <c r="F30" s="13">
        <v>-73013511</v>
      </c>
      <c r="H30" s="30"/>
    </row>
    <row r="31" spans="1:8" ht="18" customHeight="1">
      <c r="A31" s="16" t="s">
        <v>56</v>
      </c>
      <c r="B31" s="17" t="s">
        <v>57</v>
      </c>
      <c r="C31" s="16"/>
      <c r="D31" s="16"/>
      <c r="E31" s="18">
        <v>-2066190168</v>
      </c>
      <c r="F31" s="18">
        <v>1144419939</v>
      </c>
      <c r="H31" s="30"/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/>
      <c r="F32" s="13"/>
      <c r="H32" s="30"/>
    </row>
    <row r="33" spans="1:9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-898493299</v>
      </c>
      <c r="F33" s="21">
        <v>-1007453754</v>
      </c>
      <c r="H33" s="30"/>
    </row>
    <row r="34" spans="1:9" ht="18" customHeight="1">
      <c r="A34" s="16" t="s">
        <v>63</v>
      </c>
      <c r="B34" s="17" t="s">
        <v>64</v>
      </c>
      <c r="C34" s="16"/>
      <c r="D34" s="16"/>
      <c r="E34" s="18">
        <v>-2964683467</v>
      </c>
      <c r="F34" s="18">
        <v>136966185</v>
      </c>
      <c r="H34" s="30" t="s">
        <v>144</v>
      </c>
    </row>
    <row r="35" spans="1:9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1295397</v>
      </c>
      <c r="H35" s="30"/>
    </row>
    <row r="36" spans="1:9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  <c r="H36" s="30"/>
    </row>
    <row r="37" spans="1:9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  <c r="H37" s="30"/>
    </row>
    <row r="38" spans="1:9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-707206828</v>
      </c>
      <c r="F38" s="13">
        <v>-32154653</v>
      </c>
      <c r="H38" s="30"/>
      <c r="I38" s="30"/>
    </row>
    <row r="39" spans="1:9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/>
      <c r="H39" s="30"/>
    </row>
    <row r="40" spans="1:9" ht="18" customHeight="1">
      <c r="A40" s="16" t="s">
        <v>75</v>
      </c>
      <c r="B40" s="17" t="s">
        <v>76</v>
      </c>
      <c r="C40" s="16"/>
      <c r="D40" s="16"/>
      <c r="E40" s="18">
        <v>-707206828</v>
      </c>
      <c r="F40" s="18">
        <v>30859256</v>
      </c>
      <c r="H40" s="30"/>
      <c r="I40" s="30"/>
    </row>
    <row r="41" spans="1:9" ht="18" customHeight="1">
      <c r="A41" s="22" t="s">
        <v>77</v>
      </c>
      <c r="B41" s="23" t="s">
        <v>78</v>
      </c>
      <c r="C41" s="22"/>
      <c r="D41" s="22"/>
      <c r="E41" s="24">
        <v>-3671890295</v>
      </c>
      <c r="F41" s="24">
        <v>106106929</v>
      </c>
      <c r="H41" s="30"/>
    </row>
    <row r="42" spans="1:9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3500000</v>
      </c>
      <c r="H42" s="30"/>
    </row>
    <row r="43" spans="1:9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  <c r="H43" s="30"/>
    </row>
    <row r="44" spans="1:9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  <c r="H44" s="30"/>
    </row>
    <row r="45" spans="1:9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  <c r="H45" s="30"/>
    </row>
    <row r="46" spans="1:9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3500000</v>
      </c>
      <c r="H46" s="30"/>
      <c r="I46" s="30"/>
    </row>
    <row r="47" spans="1:9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  <c r="H47" s="30"/>
    </row>
    <row r="48" spans="1:9" ht="18" customHeight="1">
      <c r="A48" s="11" t="s">
        <v>92</v>
      </c>
      <c r="B48" s="12" t="s">
        <v>93</v>
      </c>
      <c r="C48" s="11" t="s">
        <v>12</v>
      </c>
      <c r="D48" s="11"/>
      <c r="E48" s="13">
        <v>-5000000</v>
      </c>
      <c r="F48" s="13">
        <v>-5000000</v>
      </c>
      <c r="H48" s="30"/>
    </row>
    <row r="49" spans="1:9" ht="18" customHeight="1">
      <c r="A49" s="16" t="s">
        <v>94</v>
      </c>
      <c r="B49" s="17" t="s">
        <v>95</v>
      </c>
      <c r="C49" s="16"/>
      <c r="D49" s="16"/>
      <c r="E49" s="18">
        <v>-3676890295</v>
      </c>
      <c r="F49" s="18">
        <v>104606929</v>
      </c>
      <c r="H49" s="30"/>
      <c r="I49" s="30"/>
    </row>
    <row r="53" spans="1:9" ht="12.75" customHeight="1">
      <c r="B53" s="29"/>
      <c r="C53" s="29"/>
    </row>
    <row r="54" spans="1:9" ht="12.75" customHeight="1">
      <c r="B54" s="29"/>
      <c r="C54" s="29"/>
    </row>
    <row r="55" spans="1:9" ht="12.75" customHeight="1">
      <c r="B55" s="29"/>
      <c r="C55" s="29"/>
    </row>
    <row r="58" spans="1:9" ht="12.75" customHeight="1">
      <c r="B58" s="29"/>
      <c r="C58" s="29"/>
    </row>
    <row r="59" spans="1:9" ht="12.75" customHeight="1">
      <c r="B59" s="29"/>
      <c r="C59" s="29"/>
    </row>
    <row r="62" spans="1:9" ht="12.75" customHeight="1">
      <c r="E62" s="30"/>
      <c r="F62" s="30"/>
    </row>
    <row r="63" spans="1:9" ht="12.75" customHeight="1">
      <c r="E63" s="30"/>
      <c r="F63" s="30"/>
    </row>
    <row r="64" spans="1:9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7F557505-F909-4E57-A0A0-0604E889D93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9D024AE2-39EB-442D-BF10-0637B0644ADF}"/>
    <dataValidation allowBlank="1" showInputMessage="1" showErrorMessage="1" errorTitle="Erreur de saisie" error="La cellule ne peut prendre que du numérique." promptTitle="Information" prompt="Cette cellule ne peut prendre que du numérique," sqref="F8:F49 E8:E23 E28:E49 E25:E26" xr:uid="{7F34FAE9-7670-4AB8-92CD-EA6E0E681C1F}"/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EA56A-B41E-41DF-8DC5-5D57DA4B1D96}">
  <sheetPr codeName="Feuil44"/>
  <dimension ref="A1:H84"/>
  <sheetViews>
    <sheetView workbookViewId="0">
      <selection activeCell="H16" sqref="H16"/>
    </sheetView>
  </sheetViews>
  <sheetFormatPr baseColWidth="10" defaultColWidth="10.28515625" defaultRowHeight="15"/>
  <cols>
    <col min="1" max="1" width="11.7109375" style="171" customWidth="1" collapsed="1"/>
    <col min="2" max="2" width="56" style="156" customWidth="1" collapsed="1"/>
    <col min="3" max="3" width="3.140625" style="156" customWidth="1" collapsed="1"/>
    <col min="4" max="4" width="13.5703125" style="156" customWidth="1" collapsed="1"/>
    <col min="5" max="6" width="23.85546875" style="173" customWidth="1" collapsed="1"/>
    <col min="7" max="7" width="12.7109375" style="156" bestFit="1" customWidth="1" collapsed="1"/>
    <col min="8" max="8" width="11.140625" bestFit="1" customWidth="1" collapsed="1"/>
  </cols>
  <sheetData>
    <row r="1" spans="1:6" s="150" customFormat="1" ht="24.6" customHeight="1">
      <c r="A1" s="285" t="s">
        <v>0</v>
      </c>
      <c r="B1" s="285"/>
      <c r="C1" s="285"/>
      <c r="D1" s="285"/>
      <c r="E1" s="285"/>
      <c r="F1" s="285"/>
    </row>
    <row r="2" spans="1:6" s="150" customFormat="1" ht="8.1" customHeight="1">
      <c r="C2" s="151"/>
    </row>
    <row r="3" spans="1:6" s="150" customFormat="1" ht="25.5" customHeight="1">
      <c r="A3" s="286" t="s">
        <v>149</v>
      </c>
      <c r="B3" s="286"/>
      <c r="C3" s="286"/>
      <c r="D3" s="150" t="s">
        <v>1</v>
      </c>
      <c r="E3" s="287">
        <f>+'[17]Fiche de renseignement R1'!$V$10</f>
        <v>45657</v>
      </c>
      <c r="F3" s="288"/>
    </row>
    <row r="4" spans="1:6" s="150" customFormat="1" ht="25.5" customHeight="1">
      <c r="A4" s="288" t="str">
        <f>'[17]Fiche de renseignement R1'!$J$4</f>
        <v>TANOR SAS</v>
      </c>
      <c r="B4" s="288"/>
      <c r="C4" s="288"/>
      <c r="D4" s="289" t="s">
        <v>2</v>
      </c>
      <c r="E4" s="290">
        <f>+'[17]Fiche de renseignement R1'!$AH$10</f>
        <v>12</v>
      </c>
      <c r="F4" s="290"/>
    </row>
    <row r="5" spans="1:6" s="150" customFormat="1" ht="48.75" customHeight="1">
      <c r="A5" s="152" t="s">
        <v>150</v>
      </c>
      <c r="B5" s="291" t="str">
        <f>+'[17]Fiche de renseignement R1'!$J$10</f>
        <v xml:space="preserve">006634027 </v>
      </c>
      <c r="C5" s="291"/>
      <c r="D5" s="289"/>
      <c r="E5" s="288"/>
      <c r="F5" s="288"/>
    </row>
    <row r="6" spans="1:6" s="150" customFormat="1" ht="8.1" customHeight="1">
      <c r="C6" s="151"/>
    </row>
    <row r="7" spans="1:6" ht="18" customHeight="1">
      <c r="A7" s="153" t="s">
        <v>4</v>
      </c>
      <c r="B7" s="154" t="s">
        <v>5</v>
      </c>
      <c r="C7" s="153"/>
      <c r="D7" s="153" t="s">
        <v>6</v>
      </c>
      <c r="E7" s="155">
        <v>2024</v>
      </c>
      <c r="F7" s="155">
        <v>2023</v>
      </c>
    </row>
    <row r="8" spans="1:6" ht="18" customHeight="1">
      <c r="A8" s="157" t="s">
        <v>7</v>
      </c>
      <c r="B8" s="158" t="s">
        <v>8</v>
      </c>
      <c r="C8" s="157" t="s">
        <v>9</v>
      </c>
      <c r="D8" s="157">
        <v>21</v>
      </c>
      <c r="E8" s="159">
        <v>0</v>
      </c>
      <c r="F8" s="159">
        <v>880712069</v>
      </c>
    </row>
    <row r="9" spans="1:6" ht="18" customHeight="1">
      <c r="A9" s="157" t="s">
        <v>10</v>
      </c>
      <c r="B9" s="158" t="s">
        <v>11</v>
      </c>
      <c r="C9" s="157" t="s">
        <v>12</v>
      </c>
      <c r="D9" s="157">
        <v>22</v>
      </c>
      <c r="E9" s="159">
        <v>0</v>
      </c>
      <c r="F9" s="159">
        <v>-29219859</v>
      </c>
    </row>
    <row r="10" spans="1:6" ht="18" customHeight="1">
      <c r="A10" s="157" t="s">
        <v>13</v>
      </c>
      <c r="B10" s="160" t="s">
        <v>14</v>
      </c>
      <c r="C10" s="161" t="s">
        <v>15</v>
      </c>
      <c r="D10" s="161">
        <v>6</v>
      </c>
      <c r="E10" s="159">
        <v>0</v>
      </c>
      <c r="F10" s="159">
        <v>0</v>
      </c>
    </row>
    <row r="11" spans="1:6" ht="18" customHeight="1">
      <c r="A11" s="162" t="s">
        <v>16</v>
      </c>
      <c r="B11" s="163" t="s">
        <v>17</v>
      </c>
      <c r="C11" s="162"/>
      <c r="D11" s="162"/>
      <c r="E11" s="164">
        <v>0</v>
      </c>
      <c r="F11" s="164">
        <v>851492210</v>
      </c>
    </row>
    <row r="12" spans="1:6" ht="18" customHeight="1">
      <c r="A12" s="157" t="s">
        <v>18</v>
      </c>
      <c r="B12" s="158" t="s">
        <v>19</v>
      </c>
      <c r="C12" s="157" t="s">
        <v>9</v>
      </c>
      <c r="D12" s="157">
        <v>21</v>
      </c>
      <c r="E12" s="159">
        <v>1513452903</v>
      </c>
      <c r="F12" s="159">
        <v>0</v>
      </c>
    </row>
    <row r="13" spans="1:6" ht="18" customHeight="1">
      <c r="A13" s="157" t="s">
        <v>20</v>
      </c>
      <c r="B13" s="158" t="s">
        <v>21</v>
      </c>
      <c r="C13" s="157" t="s">
        <v>9</v>
      </c>
      <c r="D13" s="157">
        <v>21</v>
      </c>
      <c r="E13" s="159">
        <v>0</v>
      </c>
      <c r="F13" s="159">
        <v>0</v>
      </c>
    </row>
    <row r="14" spans="1:6" ht="18" customHeight="1">
      <c r="A14" s="157" t="s">
        <v>22</v>
      </c>
      <c r="B14" s="158" t="s">
        <v>23</v>
      </c>
      <c r="C14" s="157" t="s">
        <v>9</v>
      </c>
      <c r="D14" s="157">
        <v>21</v>
      </c>
      <c r="E14" s="159">
        <v>804000</v>
      </c>
      <c r="F14" s="159">
        <v>580000</v>
      </c>
    </row>
    <row r="15" spans="1:6" ht="18" customHeight="1">
      <c r="A15" s="162" t="s">
        <v>24</v>
      </c>
      <c r="B15" s="163" t="s">
        <v>25</v>
      </c>
      <c r="C15" s="162"/>
      <c r="D15" s="162"/>
      <c r="E15" s="164">
        <v>1514256903</v>
      </c>
      <c r="F15" s="164">
        <v>881292069</v>
      </c>
    </row>
    <row r="16" spans="1:6" ht="18" customHeight="1">
      <c r="A16" s="157" t="s">
        <v>26</v>
      </c>
      <c r="B16" s="158" t="s">
        <v>27</v>
      </c>
      <c r="C16" s="161" t="s">
        <v>15</v>
      </c>
      <c r="D16" s="157">
        <v>6</v>
      </c>
      <c r="E16" s="159">
        <v>166629155</v>
      </c>
      <c r="F16" s="159">
        <v>0</v>
      </c>
    </row>
    <row r="17" spans="1:7" ht="18" customHeight="1">
      <c r="A17" s="157" t="s">
        <v>28</v>
      </c>
      <c r="B17" s="158" t="s">
        <v>29</v>
      </c>
      <c r="C17" s="157"/>
      <c r="D17" s="157">
        <v>21</v>
      </c>
      <c r="E17" s="159">
        <v>0</v>
      </c>
      <c r="F17" s="159">
        <v>0</v>
      </c>
    </row>
    <row r="18" spans="1:7" ht="18" customHeight="1">
      <c r="A18" s="157" t="s">
        <v>30</v>
      </c>
      <c r="B18" s="158" t="s">
        <v>31</v>
      </c>
      <c r="C18" s="157"/>
      <c r="D18" s="157">
        <v>21</v>
      </c>
      <c r="E18" s="159">
        <v>0</v>
      </c>
      <c r="F18" s="159">
        <v>0</v>
      </c>
    </row>
    <row r="19" spans="1:7" ht="18" customHeight="1">
      <c r="A19" s="157" t="s">
        <v>32</v>
      </c>
      <c r="B19" s="158" t="s">
        <v>33</v>
      </c>
      <c r="C19" s="157" t="s">
        <v>9</v>
      </c>
      <c r="D19" s="157">
        <v>21</v>
      </c>
      <c r="E19" s="159">
        <v>158559</v>
      </c>
      <c r="F19" s="159">
        <v>49392</v>
      </c>
    </row>
    <row r="20" spans="1:7" ht="18" customHeight="1">
      <c r="A20" s="157" t="s">
        <v>34</v>
      </c>
      <c r="B20" s="158" t="s">
        <v>35</v>
      </c>
      <c r="C20" s="157" t="s">
        <v>9</v>
      </c>
      <c r="D20" s="157">
        <v>12</v>
      </c>
      <c r="E20" s="165">
        <v>0</v>
      </c>
      <c r="F20" s="165">
        <v>0</v>
      </c>
    </row>
    <row r="21" spans="1:7" ht="18" customHeight="1">
      <c r="A21" s="157" t="s">
        <v>36</v>
      </c>
      <c r="B21" s="158" t="s">
        <v>37</v>
      </c>
      <c r="C21" s="157" t="s">
        <v>12</v>
      </c>
      <c r="D21" s="157">
        <v>22</v>
      </c>
      <c r="E21" s="159">
        <v>-2250148</v>
      </c>
      <c r="F21" s="159">
        <v>-4763815</v>
      </c>
    </row>
    <row r="22" spans="1:7" ht="18" customHeight="1">
      <c r="A22" s="157" t="s">
        <v>38</v>
      </c>
      <c r="B22" s="160" t="s">
        <v>39</v>
      </c>
      <c r="C22" s="161" t="s">
        <v>15</v>
      </c>
      <c r="D22" s="157">
        <v>6</v>
      </c>
      <c r="E22" s="159">
        <v>0</v>
      </c>
      <c r="F22" s="159">
        <v>0</v>
      </c>
    </row>
    <row r="23" spans="1:7" ht="18" customHeight="1">
      <c r="A23" s="157" t="s">
        <v>40</v>
      </c>
      <c r="B23" s="158" t="s">
        <v>41</v>
      </c>
      <c r="C23" s="157" t="s">
        <v>12</v>
      </c>
      <c r="D23" s="157">
        <v>22</v>
      </c>
      <c r="E23" s="159">
        <v>-493810091</v>
      </c>
      <c r="F23" s="159">
        <v>-555655713</v>
      </c>
      <c r="G23" s="166"/>
    </row>
    <row r="24" spans="1:7" ht="18" customHeight="1">
      <c r="A24" s="157" t="s">
        <v>42</v>
      </c>
      <c r="B24" s="160" t="s">
        <v>43</v>
      </c>
      <c r="C24" s="161" t="s">
        <v>15</v>
      </c>
      <c r="D24" s="157">
        <v>6</v>
      </c>
      <c r="E24" s="159">
        <v>-26812069</v>
      </c>
      <c r="F24" s="159">
        <v>271510501</v>
      </c>
    </row>
    <row r="25" spans="1:7" ht="18" customHeight="1">
      <c r="A25" s="157" t="s">
        <v>44</v>
      </c>
      <c r="B25" s="158" t="s">
        <v>45</v>
      </c>
      <c r="C25" s="157" t="s">
        <v>12</v>
      </c>
      <c r="D25" s="157">
        <v>23</v>
      </c>
      <c r="E25" s="159">
        <v>-21418756</v>
      </c>
      <c r="F25" s="159">
        <v>-8339968</v>
      </c>
    </row>
    <row r="26" spans="1:7" ht="18" customHeight="1">
      <c r="A26" s="157" t="s">
        <v>46</v>
      </c>
      <c r="B26" s="158" t="s">
        <v>47</v>
      </c>
      <c r="C26" s="157" t="s">
        <v>12</v>
      </c>
      <c r="D26" s="157">
        <v>24</v>
      </c>
      <c r="E26" s="159">
        <v>-460190411</v>
      </c>
      <c r="F26" s="159">
        <v>-490001233</v>
      </c>
    </row>
    <row r="27" spans="1:7" ht="18" customHeight="1">
      <c r="A27" s="157" t="s">
        <v>48</v>
      </c>
      <c r="B27" s="158" t="s">
        <v>49</v>
      </c>
      <c r="C27" s="157" t="s">
        <v>12</v>
      </c>
      <c r="D27" s="157">
        <v>25</v>
      </c>
      <c r="E27" s="159">
        <v>-10617266</v>
      </c>
      <c r="F27" s="159">
        <v>-12136758</v>
      </c>
    </row>
    <row r="28" spans="1:7" ht="18" customHeight="1">
      <c r="A28" s="157" t="s">
        <v>50</v>
      </c>
      <c r="B28" s="158" t="s">
        <v>51</v>
      </c>
      <c r="C28" s="157" t="s">
        <v>12</v>
      </c>
      <c r="D28" s="157">
        <v>26</v>
      </c>
      <c r="E28" s="159">
        <v>-438825</v>
      </c>
      <c r="F28" s="159">
        <v>-44765</v>
      </c>
    </row>
    <row r="29" spans="1:7" ht="18" customHeight="1">
      <c r="A29" s="162" t="s">
        <v>52</v>
      </c>
      <c r="B29" s="163" t="s">
        <v>53</v>
      </c>
      <c r="C29" s="162"/>
      <c r="D29" s="162"/>
      <c r="E29" s="164">
        <v>665507051</v>
      </c>
      <c r="F29" s="164">
        <v>52689851</v>
      </c>
    </row>
    <row r="30" spans="1:7" ht="18" customHeight="1">
      <c r="A30" s="157" t="s">
        <v>54</v>
      </c>
      <c r="B30" s="158" t="s">
        <v>55</v>
      </c>
      <c r="C30" s="157" t="s">
        <v>12</v>
      </c>
      <c r="D30" s="157">
        <v>27</v>
      </c>
      <c r="E30" s="159">
        <v>-345031838</v>
      </c>
      <c r="F30" s="159">
        <v>-298324178</v>
      </c>
    </row>
    <row r="31" spans="1:7" ht="18" customHeight="1">
      <c r="A31" s="162" t="s">
        <v>56</v>
      </c>
      <c r="B31" s="163" t="s">
        <v>57</v>
      </c>
      <c r="C31" s="162"/>
      <c r="D31" s="162"/>
      <c r="E31" s="164">
        <v>320475213</v>
      </c>
      <c r="F31" s="164">
        <v>-245634327</v>
      </c>
    </row>
    <row r="32" spans="1:7" ht="18" customHeight="1">
      <c r="A32" s="157" t="s">
        <v>58</v>
      </c>
      <c r="B32" s="158" t="s">
        <v>59</v>
      </c>
      <c r="C32" s="157" t="s">
        <v>9</v>
      </c>
      <c r="D32" s="157">
        <v>28</v>
      </c>
      <c r="E32" s="159">
        <v>12114189</v>
      </c>
      <c r="F32" s="159">
        <v>0</v>
      </c>
    </row>
    <row r="33" spans="1:8" ht="18" customHeight="1">
      <c r="A33" s="157" t="s">
        <v>60</v>
      </c>
      <c r="B33" s="158" t="s">
        <v>61</v>
      </c>
      <c r="C33" s="157" t="s">
        <v>12</v>
      </c>
      <c r="D33" s="157" t="s">
        <v>62</v>
      </c>
      <c r="E33" s="165">
        <v>-269883869</v>
      </c>
      <c r="F33" s="165">
        <v>-333812387</v>
      </c>
    </row>
    <row r="34" spans="1:8" ht="18" customHeight="1">
      <c r="A34" s="162" t="s">
        <v>63</v>
      </c>
      <c r="B34" s="163" t="s">
        <v>64</v>
      </c>
      <c r="C34" s="162"/>
      <c r="D34" s="162"/>
      <c r="E34" s="164">
        <v>62705533</v>
      </c>
      <c r="F34" s="164">
        <v>-579446714</v>
      </c>
    </row>
    <row r="35" spans="1:8" ht="18" customHeight="1">
      <c r="A35" s="157" t="s">
        <v>65</v>
      </c>
      <c r="B35" s="158" t="s">
        <v>66</v>
      </c>
      <c r="C35" s="157" t="s">
        <v>9</v>
      </c>
      <c r="D35" s="157">
        <v>29</v>
      </c>
      <c r="E35" s="159">
        <v>0</v>
      </c>
      <c r="F35" s="159">
        <v>0</v>
      </c>
    </row>
    <row r="36" spans="1:8" ht="18" customHeight="1">
      <c r="A36" s="157" t="s">
        <v>67</v>
      </c>
      <c r="B36" s="158" t="s">
        <v>68</v>
      </c>
      <c r="C36" s="157" t="s">
        <v>9</v>
      </c>
      <c r="D36" s="157">
        <v>28</v>
      </c>
      <c r="E36" s="159">
        <v>0</v>
      </c>
      <c r="F36" s="159">
        <v>0</v>
      </c>
    </row>
    <row r="37" spans="1:8" ht="18" customHeight="1">
      <c r="A37" s="157" t="s">
        <v>69</v>
      </c>
      <c r="B37" s="158" t="s">
        <v>70</v>
      </c>
      <c r="C37" s="157" t="s">
        <v>9</v>
      </c>
      <c r="D37" s="157">
        <v>12</v>
      </c>
      <c r="E37" s="159">
        <v>0</v>
      </c>
      <c r="F37" s="159">
        <v>0</v>
      </c>
    </row>
    <row r="38" spans="1:8" ht="18" customHeight="1">
      <c r="A38" s="157" t="s">
        <v>71</v>
      </c>
      <c r="B38" s="158" t="s">
        <v>72</v>
      </c>
      <c r="C38" s="157" t="s">
        <v>12</v>
      </c>
      <c r="D38" s="157">
        <v>29</v>
      </c>
      <c r="E38" s="159">
        <v>-8640591</v>
      </c>
      <c r="F38" s="159">
        <v>-17278143</v>
      </c>
      <c r="H38" s="167"/>
    </row>
    <row r="39" spans="1:8" ht="18" customHeight="1">
      <c r="A39" s="157" t="s">
        <v>73</v>
      </c>
      <c r="B39" s="158" t="s">
        <v>74</v>
      </c>
      <c r="C39" s="157" t="s">
        <v>12</v>
      </c>
      <c r="D39" s="157" t="s">
        <v>62</v>
      </c>
      <c r="E39" s="159">
        <v>0</v>
      </c>
      <c r="F39" s="159">
        <v>0</v>
      </c>
    </row>
    <row r="40" spans="1:8" ht="18" customHeight="1">
      <c r="A40" s="162" t="s">
        <v>75</v>
      </c>
      <c r="B40" s="163" t="s">
        <v>76</v>
      </c>
      <c r="C40" s="162"/>
      <c r="D40" s="162"/>
      <c r="E40" s="164">
        <v>-8640591</v>
      </c>
      <c r="F40" s="164">
        <v>-17278143</v>
      </c>
    </row>
    <row r="41" spans="1:8" ht="18" customHeight="1">
      <c r="A41" s="168" t="s">
        <v>77</v>
      </c>
      <c r="B41" s="169" t="s">
        <v>78</v>
      </c>
      <c r="C41" s="168"/>
      <c r="D41" s="168"/>
      <c r="E41" s="170">
        <v>54064942</v>
      </c>
      <c r="F41" s="170">
        <v>-596724857</v>
      </c>
    </row>
    <row r="42" spans="1:8" ht="18" customHeight="1">
      <c r="A42" s="157" t="s">
        <v>79</v>
      </c>
      <c r="B42" s="158" t="s">
        <v>80</v>
      </c>
      <c r="C42" s="157" t="s">
        <v>9</v>
      </c>
      <c r="D42" s="157" t="s">
        <v>81</v>
      </c>
      <c r="E42" s="159">
        <v>0</v>
      </c>
      <c r="F42" s="159">
        <v>0</v>
      </c>
    </row>
    <row r="43" spans="1:8" ht="18" customHeight="1">
      <c r="A43" s="157" t="s">
        <v>82</v>
      </c>
      <c r="B43" s="158" t="s">
        <v>83</v>
      </c>
      <c r="C43" s="157" t="s">
        <v>9</v>
      </c>
      <c r="D43" s="157">
        <v>30</v>
      </c>
      <c r="E43" s="159">
        <v>0</v>
      </c>
      <c r="F43" s="159">
        <v>0</v>
      </c>
    </row>
    <row r="44" spans="1:8" ht="18" customHeight="1">
      <c r="A44" s="157" t="s">
        <v>84</v>
      </c>
      <c r="B44" s="158" t="s">
        <v>85</v>
      </c>
      <c r="C44" s="157" t="s">
        <v>12</v>
      </c>
      <c r="D44" s="157" t="s">
        <v>81</v>
      </c>
      <c r="E44" s="159">
        <v>0</v>
      </c>
      <c r="F44" s="159">
        <v>0</v>
      </c>
    </row>
    <row r="45" spans="1:8" ht="18" customHeight="1">
      <c r="A45" s="157" t="s">
        <v>86</v>
      </c>
      <c r="B45" s="158" t="s">
        <v>87</v>
      </c>
      <c r="C45" s="157" t="s">
        <v>12</v>
      </c>
      <c r="D45" s="157">
        <v>30</v>
      </c>
      <c r="E45" s="159">
        <v>0</v>
      </c>
      <c r="F45" s="159">
        <v>0</v>
      </c>
    </row>
    <row r="46" spans="1:8" ht="18" customHeight="1">
      <c r="A46" s="168" t="s">
        <v>88</v>
      </c>
      <c r="B46" s="169" t="s">
        <v>89</v>
      </c>
      <c r="C46" s="168"/>
      <c r="D46" s="168"/>
      <c r="E46" s="170">
        <v>0</v>
      </c>
      <c r="F46" s="170">
        <v>0</v>
      </c>
    </row>
    <row r="47" spans="1:8" ht="18" customHeight="1">
      <c r="A47" s="157" t="s">
        <v>90</v>
      </c>
      <c r="B47" s="158" t="s">
        <v>91</v>
      </c>
      <c r="C47" s="157" t="s">
        <v>12</v>
      </c>
      <c r="D47" s="157">
        <v>30</v>
      </c>
      <c r="E47" s="159">
        <v>0</v>
      </c>
      <c r="F47" s="159">
        <v>0</v>
      </c>
    </row>
    <row r="48" spans="1:8" ht="18" customHeight="1">
      <c r="A48" s="157" t="s">
        <v>92</v>
      </c>
      <c r="B48" s="158" t="s">
        <v>93</v>
      </c>
      <c r="C48" s="157" t="s">
        <v>12</v>
      </c>
      <c r="D48" s="157"/>
      <c r="E48" s="159">
        <v>0</v>
      </c>
      <c r="F48" s="159">
        <v>0</v>
      </c>
    </row>
    <row r="49" spans="1:6" ht="18" customHeight="1">
      <c r="A49" s="162" t="s">
        <v>94</v>
      </c>
      <c r="B49" s="163" t="s">
        <v>95</v>
      </c>
      <c r="C49" s="162"/>
      <c r="D49" s="162"/>
      <c r="E49" s="164">
        <v>54064942</v>
      </c>
      <c r="F49" s="164">
        <v>-596724857</v>
      </c>
    </row>
    <row r="53" spans="1:6" ht="12.75" customHeight="1">
      <c r="B53" s="172"/>
      <c r="C53" s="172"/>
    </row>
    <row r="54" spans="1:6" ht="12.75" customHeight="1">
      <c r="B54" s="172"/>
      <c r="C54" s="172"/>
    </row>
    <row r="55" spans="1:6" ht="12.75" customHeight="1">
      <c r="B55" s="172"/>
      <c r="C55" s="172"/>
    </row>
    <row r="58" spans="1:6" ht="12.75" customHeight="1">
      <c r="B58" s="172"/>
      <c r="C58" s="172"/>
    </row>
    <row r="59" spans="1:6" ht="12.75" customHeight="1">
      <c r="B59" s="172"/>
      <c r="C59" s="172"/>
    </row>
    <row r="62" spans="1:6" ht="12.75" customHeight="1">
      <c r="E62" s="166"/>
      <c r="F62" s="166"/>
    </row>
    <row r="63" spans="1:6" ht="12.75" customHeight="1">
      <c r="E63" s="166"/>
      <c r="F63" s="166"/>
    </row>
    <row r="64" spans="1:6" ht="12.75" customHeight="1">
      <c r="E64" s="166"/>
      <c r="F64" s="166"/>
    </row>
    <row r="65" spans="5:6" ht="12.75" customHeight="1">
      <c r="E65" s="166"/>
      <c r="F65" s="166"/>
    </row>
    <row r="66" spans="5:6" ht="12.75" customHeight="1">
      <c r="E66" s="166"/>
      <c r="F66" s="166"/>
    </row>
    <row r="67" spans="5:6" ht="12.75" customHeight="1">
      <c r="E67" s="166"/>
      <c r="F67" s="166"/>
    </row>
    <row r="68" spans="5:6" ht="12.75" customHeight="1">
      <c r="E68" s="166"/>
      <c r="F68" s="166"/>
    </row>
    <row r="69" spans="5:6" ht="12.75" customHeight="1">
      <c r="E69" s="166"/>
      <c r="F69" s="166"/>
    </row>
    <row r="70" spans="5:6" ht="12.75" customHeight="1">
      <c r="E70" s="166"/>
      <c r="F70" s="166"/>
    </row>
    <row r="71" spans="5:6" ht="12.75" customHeight="1">
      <c r="E71" s="166"/>
      <c r="F71" s="166"/>
    </row>
    <row r="72" spans="5:6" ht="12.75" customHeight="1">
      <c r="E72" s="166"/>
      <c r="F72" s="166"/>
    </row>
    <row r="73" spans="5:6" ht="12.75" customHeight="1">
      <c r="E73" s="166"/>
      <c r="F73" s="166"/>
    </row>
    <row r="74" spans="5:6" ht="12.75" customHeight="1">
      <c r="E74" s="166"/>
      <c r="F74" s="166"/>
    </row>
    <row r="75" spans="5:6" ht="12.75" customHeight="1">
      <c r="E75" s="166"/>
      <c r="F75" s="166"/>
    </row>
    <row r="76" spans="5:6" ht="12.75" customHeight="1">
      <c r="E76" s="166"/>
      <c r="F76" s="166"/>
    </row>
    <row r="77" spans="5:6" ht="12.75" customHeight="1">
      <c r="E77" s="166"/>
      <c r="F77" s="166"/>
    </row>
    <row r="78" spans="5:6" ht="12.75" customHeight="1">
      <c r="E78" s="166"/>
      <c r="F78" s="166"/>
    </row>
    <row r="79" spans="5:6" ht="12.75" customHeight="1">
      <c r="E79" s="166"/>
      <c r="F79" s="166"/>
    </row>
    <row r="80" spans="5:6" ht="12.75" customHeight="1">
      <c r="E80" s="166"/>
      <c r="F80" s="166"/>
    </row>
    <row r="81" spans="5:6" ht="12.75" customHeight="1">
      <c r="E81" s="166"/>
      <c r="F81" s="166"/>
    </row>
    <row r="82" spans="5:6" ht="12.75" customHeight="1">
      <c r="E82" s="166"/>
      <c r="F82" s="166"/>
    </row>
    <row r="83" spans="5:6" ht="12.75" customHeight="1">
      <c r="E83" s="166"/>
      <c r="F83" s="166"/>
    </row>
    <row r="84" spans="5:6" ht="12.75" customHeight="1">
      <c r="E84" s="166"/>
      <c r="F84" s="166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DF2316EC-EE92-4C22-94B3-D84529FC5E69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85AC2463-24DD-4B88-9E0C-2B58B738DFA5}"/>
    <dataValidation allowBlank="1" showInputMessage="1" showErrorMessage="1" errorTitle="Erreur de saisie" error="La cellule ne peut prendre que du numérique." promptTitle="Information" prompt="Cette cellule ne peut prendre que du numérique," sqref="E8:F49" xr:uid="{1A5771E5-6033-4822-B183-CD82921D5D3D}"/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2BDD3-251B-4386-9D0C-9BEC8447C000}">
  <sheetPr codeName="Feuil45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+'[18]Fiche de renseignement R1'!$V$10</f>
        <v>45657</v>
      </c>
      <c r="F3" s="258"/>
    </row>
    <row r="4" spans="1:6" s="1" customFormat="1" ht="15" customHeight="1">
      <c r="A4" s="258" t="s">
        <v>151</v>
      </c>
      <c r="B4" s="258"/>
      <c r="C4" s="258"/>
      <c r="D4" s="259" t="s">
        <v>2</v>
      </c>
      <c r="E4" s="260">
        <f>+'[18]Fiche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+'[18]Fiche de renseignement R1'!$J$10</f>
        <v>006873873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6" ht="18" customHeight="1">
      <c r="A11" s="16" t="s">
        <v>16</v>
      </c>
      <c r="B11" s="17" t="s">
        <v>17</v>
      </c>
      <c r="C11" s="16"/>
      <c r="D11" s="16"/>
      <c r="E11" s="174">
        <v>0</v>
      </c>
      <c r="F11" s="174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/>
      <c r="F14" s="13"/>
    </row>
    <row r="15" spans="1:6" ht="18" customHeight="1">
      <c r="A15" s="16" t="s">
        <v>24</v>
      </c>
      <c r="B15" s="17" t="s">
        <v>25</v>
      </c>
      <c r="C15" s="16"/>
      <c r="D15" s="16"/>
      <c r="E15" s="174">
        <v>0</v>
      </c>
      <c r="F15" s="174">
        <v>0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0</v>
      </c>
      <c r="F19" s="13">
        <v>0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3">
        <v>0</v>
      </c>
      <c r="F20" s="13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0</v>
      </c>
      <c r="F23" s="13">
        <v>0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/>
      <c r="F24" s="13"/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0</v>
      </c>
      <c r="F25" s="13">
        <v>0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0</v>
      </c>
      <c r="F26" s="13">
        <v>0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0</v>
      </c>
      <c r="F27" s="13">
        <v>0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0</v>
      </c>
      <c r="F28" s="13">
        <v>0</v>
      </c>
    </row>
    <row r="29" spans="1:6" ht="18" customHeight="1">
      <c r="A29" s="16" t="s">
        <v>52</v>
      </c>
      <c r="B29" s="17" t="s">
        <v>53</v>
      </c>
      <c r="C29" s="16"/>
      <c r="D29" s="16"/>
      <c r="E29" s="174">
        <v>0</v>
      </c>
      <c r="F29" s="174">
        <v>0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0</v>
      </c>
      <c r="F30" s="13">
        <v>0</v>
      </c>
    </row>
    <row r="31" spans="1:6" ht="18" customHeight="1">
      <c r="A31" s="16" t="s">
        <v>56</v>
      </c>
      <c r="B31" s="17" t="s">
        <v>57</v>
      </c>
      <c r="C31" s="16"/>
      <c r="D31" s="16"/>
      <c r="E31" s="174">
        <v>0</v>
      </c>
      <c r="F31" s="174">
        <v>0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0</v>
      </c>
      <c r="F32" s="13">
        <v>0</v>
      </c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31">
        <v>0</v>
      </c>
      <c r="F33" s="31">
        <v>0</v>
      </c>
    </row>
    <row r="34" spans="1:6" ht="18" customHeight="1">
      <c r="A34" s="16" t="s">
        <v>63</v>
      </c>
      <c r="B34" s="17" t="s">
        <v>64</v>
      </c>
      <c r="C34" s="16"/>
      <c r="D34" s="16"/>
      <c r="E34" s="174">
        <v>0</v>
      </c>
      <c r="F34" s="174">
        <v>0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0</v>
      </c>
      <c r="F38" s="13">
        <v>0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</row>
    <row r="40" spans="1:6" ht="18" customHeight="1">
      <c r="A40" s="16" t="s">
        <v>75</v>
      </c>
      <c r="B40" s="17" t="s">
        <v>76</v>
      </c>
      <c r="C40" s="16"/>
      <c r="D40" s="16"/>
      <c r="E40" s="174">
        <v>0</v>
      </c>
      <c r="F40" s="174">
        <v>0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v>0</v>
      </c>
      <c r="F41" s="24">
        <v>0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/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4"/>
      <c r="F46" s="24"/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0</v>
      </c>
      <c r="F48" s="13">
        <v>0</v>
      </c>
    </row>
    <row r="49" spans="1:6" ht="18" customHeight="1">
      <c r="A49" s="16" t="s">
        <v>94</v>
      </c>
      <c r="B49" s="17" t="s">
        <v>95</v>
      </c>
      <c r="C49" s="16"/>
      <c r="D49" s="16"/>
      <c r="E49" s="174">
        <v>0</v>
      </c>
      <c r="F49" s="174">
        <v>0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A8B6625-C5CF-4D9B-9714-6CF7E4F6361C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0C217311-D3A9-4E3A-831A-351F92BB90EA}"/>
    <dataValidation allowBlank="1" showInputMessage="1" showErrorMessage="1" errorTitle="Erreur de saisie" error="La cellule ne peut prendre que du numérique." promptTitle="Information" prompt="Cette cellule ne peut prendre que du numérique," sqref="E8:F49" xr:uid="{2A25CACE-40B4-40C6-A6AA-A029BDD35803}"/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7702-4299-4166-9A96-7A5344C2AB8B}">
  <sheetPr codeName="Feuil46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+'[19]Fiche de renseignement R1'!$V$10</f>
        <v>45657</v>
      </c>
      <c r="F3" s="258"/>
    </row>
    <row r="4" spans="1:6" s="1" customFormat="1" ht="15" customHeight="1">
      <c r="A4" s="258" t="s">
        <v>152</v>
      </c>
      <c r="B4" s="258"/>
      <c r="C4" s="258"/>
      <c r="D4" s="259" t="s">
        <v>2</v>
      </c>
      <c r="E4" s="260">
        <f>+'[19]Fiche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+'[19]Fiche de renseignement R1'!$J$10</f>
        <v>007086665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6" ht="18" customHeight="1">
      <c r="A11" s="16" t="s">
        <v>16</v>
      </c>
      <c r="B11" s="17" t="s">
        <v>17</v>
      </c>
      <c r="C11" s="16"/>
      <c r="D11" s="16"/>
      <c r="E11" s="18"/>
      <c r="F11" s="18"/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340595160</v>
      </c>
      <c r="F12" s="13">
        <v>847818051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/>
      <c r="F13" s="13"/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/>
      <c r="F14" s="13"/>
    </row>
    <row r="15" spans="1:6" ht="18" customHeight="1">
      <c r="A15" s="16" t="s">
        <v>24</v>
      </c>
      <c r="B15" s="17" t="s">
        <v>25</v>
      </c>
      <c r="C15" s="16"/>
      <c r="D15" s="16"/>
      <c r="E15" s="18">
        <f>+E12</f>
        <v>340595160</v>
      </c>
      <c r="F15" s="18">
        <f>+F12</f>
        <v>847818051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/>
      <c r="F18" s="13"/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/>
      <c r="F19" s="13"/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/>
      <c r="F21" s="13"/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/>
      <c r="F22" s="13"/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f>40913546+2000+772482+1201689+245119+96444220+21521630+4230835+16000+1000+24206064+21537364+608000</f>
        <v>211699949</v>
      </c>
      <c r="F23" s="13">
        <v>419837836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/>
      <c r="F24" s="13"/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f>431000+150000+1410500+48390+55584</f>
        <v>2095474</v>
      </c>
      <c r="F25" s="13">
        <v>15208253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f>16762200+950000+1923750+520850+45529+371694+8831000</f>
        <v>29405023</v>
      </c>
      <c r="F26" s="13">
        <v>179705740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f>2070000+1638303+10069410+350000+2960</f>
        <v>14130673</v>
      </c>
      <c r="F27" s="13">
        <v>69235931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/>
      <c r="F28" s="13"/>
    </row>
    <row r="29" spans="1:6" ht="18" customHeight="1">
      <c r="A29" s="16" t="s">
        <v>52</v>
      </c>
      <c r="B29" s="17" t="s">
        <v>53</v>
      </c>
      <c r="C29" s="16"/>
      <c r="D29" s="16"/>
      <c r="E29" s="18">
        <f>+E15-E23-E25-E26-E27</f>
        <v>83264041</v>
      </c>
      <c r="F29" s="18">
        <f>+F15-F23-F25-F26-F27</f>
        <v>163830291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f>102799644+11307492+5547593+16118868+1908000</f>
        <v>137681597</v>
      </c>
      <c r="F30" s="13">
        <v>121591737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f>+E29-E30</f>
        <v>-54417556</v>
      </c>
      <c r="F31" s="18">
        <f>+F29-F30</f>
        <v>42238554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/>
      <c r="F32" s="13"/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50036345</v>
      </c>
      <c r="F33" s="21">
        <v>69109665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f>+E31-E33</f>
        <v>-104453901</v>
      </c>
      <c r="F34" s="18">
        <f>+F31-F33</f>
        <v>-26871111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/>
      <c r="F35" s="13"/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/>
      <c r="F38" s="13"/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/>
    </row>
    <row r="40" spans="1:6" ht="18" customHeight="1">
      <c r="A40" s="16" t="s">
        <v>75</v>
      </c>
      <c r="B40" s="17" t="s">
        <v>76</v>
      </c>
      <c r="C40" s="16"/>
      <c r="D40" s="16"/>
      <c r="E40" s="18"/>
      <c r="F40" s="18"/>
    </row>
    <row r="41" spans="1:6" ht="18" customHeight="1">
      <c r="A41" s="22" t="s">
        <v>77</v>
      </c>
      <c r="B41" s="23" t="s">
        <v>78</v>
      </c>
      <c r="C41" s="22"/>
      <c r="D41" s="22"/>
      <c r="E41" s="24">
        <f>+E34</f>
        <v>-104453901</v>
      </c>
      <c r="F41" s="24">
        <f>+F34</f>
        <v>-26871111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/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</row>
    <row r="46" spans="1:6" ht="18" customHeight="1">
      <c r="A46" s="22" t="s">
        <v>88</v>
      </c>
      <c r="B46" s="23" t="s">
        <v>89</v>
      </c>
      <c r="C46" s="22"/>
      <c r="D46" s="22"/>
      <c r="E46" s="24"/>
      <c r="F46" s="24"/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/>
      <c r="F48" s="13">
        <v>4816559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f>+E41-E48</f>
        <v>-104453901</v>
      </c>
      <c r="F49" s="18">
        <f>+F41-F48</f>
        <v>-31687670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F097B247-18D3-447A-9715-BA37AE823F7C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1C369A62-DB1D-4B6D-B1FE-ECF74D2A46BE}"/>
    <dataValidation allowBlank="1" showInputMessage="1" showErrorMessage="1" errorTitle="Erreur de saisie" error="La cellule ne peut prendre que du numérique." promptTitle="Information" prompt="Cette cellule ne peut prendre que du numérique," sqref="E8:F49" xr:uid="{A48C0298-8F8C-472E-A348-0EDD87360564}"/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3900B-1716-46E2-83BD-571B1CE4592B}">
  <sheetPr codeName="Feuil47"/>
  <dimension ref="A1:F84"/>
  <sheetViews>
    <sheetView workbookViewId="0">
      <selection activeCell="H16" sqref="H16"/>
    </sheetView>
  </sheetViews>
  <sheetFormatPr baseColWidth="10" defaultColWidth="11.42578125" defaultRowHeight="12.75"/>
  <cols>
    <col min="1" max="1" width="14.42578125" style="195" customWidth="1" collapsed="1"/>
    <col min="2" max="2" width="62.140625" style="180" bestFit="1" customWidth="1" collapsed="1"/>
    <col min="3" max="3" width="3.5703125" style="180" bestFit="1" customWidth="1" collapsed="1"/>
    <col min="4" max="4" width="14.140625" style="180" customWidth="1" collapsed="1"/>
    <col min="5" max="6" width="17.42578125" style="197" customWidth="1" collapsed="1"/>
    <col min="7" max="16384" width="11.42578125" style="180" collapsed="1"/>
  </cols>
  <sheetData>
    <row r="1" spans="1:6" s="175" customFormat="1" ht="24.6" customHeight="1">
      <c r="A1" s="292" t="s">
        <v>0</v>
      </c>
      <c r="B1" s="292"/>
      <c r="C1" s="292"/>
      <c r="D1" s="292"/>
      <c r="E1" s="292"/>
      <c r="F1" s="292"/>
    </row>
    <row r="2" spans="1:6" s="175" customFormat="1" ht="8.1" customHeight="1">
      <c r="C2" s="176"/>
    </row>
    <row r="3" spans="1:6" s="175" customFormat="1" ht="25.5" customHeight="1">
      <c r="A3" s="293" t="s">
        <v>96</v>
      </c>
      <c r="B3" s="293"/>
      <c r="C3" s="293"/>
      <c r="D3" s="175" t="s">
        <v>1</v>
      </c>
      <c r="E3" s="294">
        <f>+'[20]Fiche de renseignement R1'!$V$10</f>
        <v>45657</v>
      </c>
      <c r="F3" s="295"/>
    </row>
    <row r="4" spans="1:6" s="175" customFormat="1" ht="15" customHeight="1">
      <c r="A4" s="295" t="str">
        <f>'[20]Fiche de renseignement R1'!J4</f>
        <v>GOREE OFFSHORE ENGINEERING SENEGAL - SARL</v>
      </c>
      <c r="B4" s="295"/>
      <c r="C4" s="295"/>
      <c r="D4" s="296" t="s">
        <v>2</v>
      </c>
      <c r="E4" s="297">
        <f>+'[20]Fiche de renseignement R1'!$AH$10</f>
        <v>12</v>
      </c>
      <c r="F4" s="297"/>
    </row>
    <row r="5" spans="1:6" s="175" customFormat="1" ht="30.95" customHeight="1">
      <c r="A5" s="177" t="s">
        <v>3</v>
      </c>
      <c r="B5" s="298" t="str">
        <f>+'[20]Fiche de renseignement R1'!$J$10</f>
        <v>007626255</v>
      </c>
      <c r="C5" s="299"/>
      <c r="D5" s="296"/>
      <c r="E5" s="295"/>
      <c r="F5" s="295"/>
    </row>
    <row r="6" spans="1:6" s="175" customFormat="1" ht="8.1" customHeight="1">
      <c r="C6" s="176"/>
    </row>
    <row r="7" spans="1:6" ht="18" customHeight="1">
      <c r="A7" s="178" t="s">
        <v>4</v>
      </c>
      <c r="B7" s="179" t="s">
        <v>5</v>
      </c>
      <c r="C7" s="178"/>
      <c r="D7" s="178" t="s">
        <v>6</v>
      </c>
      <c r="E7" s="199">
        <v>2024</v>
      </c>
      <c r="F7" s="199">
        <v>2023</v>
      </c>
    </row>
    <row r="8" spans="1:6" ht="18" customHeight="1">
      <c r="A8" s="181" t="s">
        <v>7</v>
      </c>
      <c r="B8" s="182" t="s">
        <v>8</v>
      </c>
      <c r="C8" s="181" t="s">
        <v>9</v>
      </c>
      <c r="D8" s="181">
        <v>21</v>
      </c>
      <c r="E8" s="183">
        <v>122282761</v>
      </c>
      <c r="F8" s="183">
        <v>102906544</v>
      </c>
    </row>
    <row r="9" spans="1:6" ht="18" customHeight="1">
      <c r="A9" s="184" t="s">
        <v>10</v>
      </c>
      <c r="B9" s="185" t="s">
        <v>11</v>
      </c>
      <c r="C9" s="184" t="s">
        <v>12</v>
      </c>
      <c r="D9" s="184">
        <v>22</v>
      </c>
      <c r="E9" s="186">
        <v>0</v>
      </c>
      <c r="F9" s="186">
        <v>-5162700</v>
      </c>
    </row>
    <row r="10" spans="1:6" ht="18" customHeight="1">
      <c r="A10" s="184" t="s">
        <v>13</v>
      </c>
      <c r="B10" s="187" t="s">
        <v>98</v>
      </c>
      <c r="C10" s="188" t="s">
        <v>15</v>
      </c>
      <c r="D10" s="188">
        <v>6</v>
      </c>
      <c r="E10" s="186">
        <v>0</v>
      </c>
      <c r="F10" s="186">
        <v>0</v>
      </c>
    </row>
    <row r="11" spans="1:6" ht="18" customHeight="1">
      <c r="A11" s="189" t="s">
        <v>16</v>
      </c>
      <c r="B11" s="190" t="s">
        <v>17</v>
      </c>
      <c r="C11" s="189"/>
      <c r="D11" s="189"/>
      <c r="E11" s="191">
        <v>122282761</v>
      </c>
      <c r="F11" s="191">
        <v>97743844</v>
      </c>
    </row>
    <row r="12" spans="1:6" ht="18" customHeight="1">
      <c r="A12" s="184" t="s">
        <v>18</v>
      </c>
      <c r="B12" s="185" t="s">
        <v>19</v>
      </c>
      <c r="C12" s="184" t="s">
        <v>9</v>
      </c>
      <c r="D12" s="184">
        <v>21</v>
      </c>
      <c r="E12" s="186">
        <v>0</v>
      </c>
      <c r="F12" s="186">
        <v>0</v>
      </c>
    </row>
    <row r="13" spans="1:6" ht="18" customHeight="1">
      <c r="A13" s="184" t="s">
        <v>20</v>
      </c>
      <c r="B13" s="185" t="s">
        <v>21</v>
      </c>
      <c r="C13" s="184" t="s">
        <v>9</v>
      </c>
      <c r="D13" s="184">
        <v>21</v>
      </c>
      <c r="E13" s="186">
        <v>2649473131</v>
      </c>
      <c r="F13" s="186">
        <v>1216347228</v>
      </c>
    </row>
    <row r="14" spans="1:6" ht="18" customHeight="1">
      <c r="A14" s="184" t="s">
        <v>22</v>
      </c>
      <c r="B14" s="185" t="s">
        <v>23</v>
      </c>
      <c r="C14" s="184" t="s">
        <v>9</v>
      </c>
      <c r="D14" s="184">
        <v>21</v>
      </c>
      <c r="E14" s="186">
        <v>0</v>
      </c>
      <c r="F14" s="186">
        <v>0</v>
      </c>
    </row>
    <row r="15" spans="1:6" ht="18" customHeight="1">
      <c r="A15" s="189" t="s">
        <v>24</v>
      </c>
      <c r="B15" s="190" t="s">
        <v>25</v>
      </c>
      <c r="C15" s="189"/>
      <c r="D15" s="189"/>
      <c r="E15" s="191">
        <v>2771755892</v>
      </c>
      <c r="F15" s="191">
        <v>1319253772</v>
      </c>
    </row>
    <row r="16" spans="1:6" ht="18" customHeight="1">
      <c r="A16" s="184" t="s">
        <v>26</v>
      </c>
      <c r="B16" s="185" t="s">
        <v>27</v>
      </c>
      <c r="C16" s="188" t="s">
        <v>15</v>
      </c>
      <c r="D16" s="184">
        <v>6</v>
      </c>
      <c r="E16" s="186">
        <v>0</v>
      </c>
      <c r="F16" s="186">
        <v>0</v>
      </c>
    </row>
    <row r="17" spans="1:6" ht="18" customHeight="1">
      <c r="A17" s="184" t="s">
        <v>28</v>
      </c>
      <c r="B17" s="185" t="s">
        <v>29</v>
      </c>
      <c r="C17" s="184"/>
      <c r="D17" s="184">
        <v>21</v>
      </c>
      <c r="E17" s="186">
        <v>0</v>
      </c>
      <c r="F17" s="186">
        <v>0</v>
      </c>
    </row>
    <row r="18" spans="1:6" ht="18" customHeight="1">
      <c r="A18" s="184" t="s">
        <v>30</v>
      </c>
      <c r="B18" s="185" t="s">
        <v>31</v>
      </c>
      <c r="C18" s="184"/>
      <c r="D18" s="184">
        <v>21</v>
      </c>
      <c r="E18" s="186">
        <v>0</v>
      </c>
      <c r="F18" s="186">
        <v>0</v>
      </c>
    </row>
    <row r="19" spans="1:6" ht="18" customHeight="1">
      <c r="A19" s="184" t="s">
        <v>32</v>
      </c>
      <c r="B19" s="185" t="s">
        <v>33</v>
      </c>
      <c r="C19" s="184" t="s">
        <v>9</v>
      </c>
      <c r="D19" s="184">
        <v>21</v>
      </c>
      <c r="E19" s="186">
        <v>2371993</v>
      </c>
      <c r="F19" s="186">
        <v>0</v>
      </c>
    </row>
    <row r="20" spans="1:6" ht="18" customHeight="1">
      <c r="A20" s="184" t="s">
        <v>34</v>
      </c>
      <c r="B20" s="185" t="s">
        <v>99</v>
      </c>
      <c r="C20" s="184" t="s">
        <v>9</v>
      </c>
      <c r="D20" s="184">
        <v>12</v>
      </c>
      <c r="E20" s="186">
        <v>264702</v>
      </c>
      <c r="F20" s="186">
        <v>0</v>
      </c>
    </row>
    <row r="21" spans="1:6" ht="18" customHeight="1">
      <c r="A21" s="184" t="s">
        <v>36</v>
      </c>
      <c r="B21" s="185" t="s">
        <v>37</v>
      </c>
      <c r="C21" s="184" t="s">
        <v>12</v>
      </c>
      <c r="D21" s="184">
        <v>22</v>
      </c>
      <c r="E21" s="186">
        <v>0</v>
      </c>
      <c r="F21" s="186">
        <v>-90000</v>
      </c>
    </row>
    <row r="22" spans="1:6" ht="18" customHeight="1">
      <c r="A22" s="184" t="s">
        <v>38</v>
      </c>
      <c r="B22" s="187" t="s">
        <v>39</v>
      </c>
      <c r="C22" s="188" t="s">
        <v>15</v>
      </c>
      <c r="D22" s="184">
        <v>6</v>
      </c>
      <c r="E22" s="186">
        <v>0</v>
      </c>
      <c r="F22" s="186">
        <v>0</v>
      </c>
    </row>
    <row r="23" spans="1:6" ht="18" customHeight="1">
      <c r="A23" s="184" t="s">
        <v>40</v>
      </c>
      <c r="B23" s="185" t="s">
        <v>41</v>
      </c>
      <c r="C23" s="184" t="s">
        <v>12</v>
      </c>
      <c r="D23" s="184">
        <v>22</v>
      </c>
      <c r="E23" s="186">
        <v>-1496002456</v>
      </c>
      <c r="F23" s="186">
        <v>-856834876</v>
      </c>
    </row>
    <row r="24" spans="1:6" ht="18" customHeight="1">
      <c r="A24" s="184" t="s">
        <v>42</v>
      </c>
      <c r="B24" s="187" t="s">
        <v>43</v>
      </c>
      <c r="C24" s="188" t="s">
        <v>15</v>
      </c>
      <c r="D24" s="184">
        <v>6</v>
      </c>
      <c r="E24" s="186">
        <v>0</v>
      </c>
      <c r="F24" s="186">
        <v>0</v>
      </c>
    </row>
    <row r="25" spans="1:6" ht="18" customHeight="1">
      <c r="A25" s="184" t="s">
        <v>44</v>
      </c>
      <c r="B25" s="185" t="s">
        <v>45</v>
      </c>
      <c r="C25" s="184" t="s">
        <v>12</v>
      </c>
      <c r="D25" s="184">
        <v>23</v>
      </c>
      <c r="E25" s="186">
        <v>-209650333</v>
      </c>
      <c r="F25" s="186">
        <v>-74377538</v>
      </c>
    </row>
    <row r="26" spans="1:6" ht="18" customHeight="1">
      <c r="A26" s="184" t="s">
        <v>46</v>
      </c>
      <c r="B26" s="185" t="s">
        <v>47</v>
      </c>
      <c r="C26" s="184" t="s">
        <v>12</v>
      </c>
      <c r="D26" s="184">
        <v>24</v>
      </c>
      <c r="E26" s="186">
        <v>-248771271</v>
      </c>
      <c r="F26" s="186">
        <v>-134841230</v>
      </c>
    </row>
    <row r="27" spans="1:6" ht="18" customHeight="1">
      <c r="A27" s="184" t="s">
        <v>48</v>
      </c>
      <c r="B27" s="185" t="s">
        <v>49</v>
      </c>
      <c r="C27" s="184" t="s">
        <v>12</v>
      </c>
      <c r="D27" s="184">
        <v>25</v>
      </c>
      <c r="E27" s="186">
        <v>-122107914</v>
      </c>
      <c r="F27" s="186">
        <v>-39732721</v>
      </c>
    </row>
    <row r="28" spans="1:6" ht="18" customHeight="1">
      <c r="A28" s="184" t="s">
        <v>50</v>
      </c>
      <c r="B28" s="185" t="s">
        <v>51</v>
      </c>
      <c r="C28" s="184" t="s">
        <v>12</v>
      </c>
      <c r="D28" s="184">
        <v>26</v>
      </c>
      <c r="E28" s="186">
        <v>-18730412</v>
      </c>
      <c r="F28" s="186">
        <v>-8607889</v>
      </c>
    </row>
    <row r="29" spans="1:6" ht="18" customHeight="1">
      <c r="A29" s="189" t="s">
        <v>52</v>
      </c>
      <c r="B29" s="190" t="s">
        <v>53</v>
      </c>
      <c r="C29" s="189"/>
      <c r="D29" s="189"/>
      <c r="E29" s="191">
        <v>679130201</v>
      </c>
      <c r="F29" s="191">
        <v>199606818</v>
      </c>
    </row>
    <row r="30" spans="1:6" ht="18" customHeight="1">
      <c r="A30" s="184" t="s">
        <v>54</v>
      </c>
      <c r="B30" s="185" t="s">
        <v>55</v>
      </c>
      <c r="C30" s="184" t="s">
        <v>12</v>
      </c>
      <c r="D30" s="184">
        <v>27</v>
      </c>
      <c r="E30" s="186">
        <v>-179141804</v>
      </c>
      <c r="F30" s="186">
        <v>-103682009</v>
      </c>
    </row>
    <row r="31" spans="1:6" ht="18" customHeight="1">
      <c r="A31" s="189" t="s">
        <v>56</v>
      </c>
      <c r="B31" s="190" t="s">
        <v>57</v>
      </c>
      <c r="C31" s="189"/>
      <c r="D31" s="189"/>
      <c r="E31" s="191">
        <v>499988397</v>
      </c>
      <c r="F31" s="191">
        <v>95924809</v>
      </c>
    </row>
    <row r="32" spans="1:6" ht="18" customHeight="1">
      <c r="A32" s="184" t="s">
        <v>58</v>
      </c>
      <c r="B32" s="185" t="s">
        <v>100</v>
      </c>
      <c r="C32" s="184" t="s">
        <v>9</v>
      </c>
      <c r="D32" s="184">
        <v>28</v>
      </c>
      <c r="E32" s="186">
        <v>1782796</v>
      </c>
      <c r="F32" s="186">
        <v>810847</v>
      </c>
    </row>
    <row r="33" spans="1:6" ht="18" customHeight="1">
      <c r="A33" s="184" t="s">
        <v>60</v>
      </c>
      <c r="B33" s="185" t="s">
        <v>61</v>
      </c>
      <c r="C33" s="184" t="s">
        <v>12</v>
      </c>
      <c r="D33" s="184" t="s">
        <v>62</v>
      </c>
      <c r="E33" s="186">
        <v>-11840480</v>
      </c>
      <c r="F33" s="186">
        <v>-5866161</v>
      </c>
    </row>
    <row r="34" spans="1:6" ht="18" customHeight="1">
      <c r="A34" s="189" t="s">
        <v>63</v>
      </c>
      <c r="B34" s="190" t="s">
        <v>64</v>
      </c>
      <c r="C34" s="189"/>
      <c r="D34" s="189"/>
      <c r="E34" s="191">
        <v>489930713</v>
      </c>
      <c r="F34" s="191">
        <v>90869495</v>
      </c>
    </row>
    <row r="35" spans="1:6" ht="18" customHeight="1">
      <c r="A35" s="184" t="s">
        <v>65</v>
      </c>
      <c r="B35" s="185" t="s">
        <v>66</v>
      </c>
      <c r="C35" s="184" t="s">
        <v>9</v>
      </c>
      <c r="D35" s="184">
        <v>29</v>
      </c>
      <c r="E35" s="186">
        <v>0</v>
      </c>
      <c r="F35" s="186">
        <v>0</v>
      </c>
    </row>
    <row r="36" spans="1:6" ht="18" customHeight="1">
      <c r="A36" s="184" t="s">
        <v>67</v>
      </c>
      <c r="B36" s="185" t="s">
        <v>68</v>
      </c>
      <c r="C36" s="184" t="s">
        <v>9</v>
      </c>
      <c r="D36" s="184">
        <v>28</v>
      </c>
      <c r="E36" s="186">
        <v>0</v>
      </c>
      <c r="F36" s="186">
        <v>0</v>
      </c>
    </row>
    <row r="37" spans="1:6" ht="18" customHeight="1">
      <c r="A37" s="184" t="s">
        <v>69</v>
      </c>
      <c r="B37" s="185" t="s">
        <v>101</v>
      </c>
      <c r="C37" s="184" t="s">
        <v>9</v>
      </c>
      <c r="D37" s="184">
        <v>12</v>
      </c>
      <c r="E37" s="186">
        <v>0</v>
      </c>
      <c r="F37" s="186">
        <v>0</v>
      </c>
    </row>
    <row r="38" spans="1:6" ht="18" customHeight="1">
      <c r="A38" s="184" t="s">
        <v>71</v>
      </c>
      <c r="B38" s="185" t="s">
        <v>72</v>
      </c>
      <c r="C38" s="184" t="s">
        <v>12</v>
      </c>
      <c r="D38" s="184">
        <v>29</v>
      </c>
      <c r="E38" s="186">
        <v>0</v>
      </c>
      <c r="F38" s="186">
        <v>-55598</v>
      </c>
    </row>
    <row r="39" spans="1:6" ht="18" customHeight="1">
      <c r="A39" s="184" t="s">
        <v>73</v>
      </c>
      <c r="B39" s="185" t="s">
        <v>74</v>
      </c>
      <c r="C39" s="184" t="s">
        <v>12</v>
      </c>
      <c r="D39" s="184" t="s">
        <v>62</v>
      </c>
      <c r="E39" s="186">
        <v>0</v>
      </c>
      <c r="F39" s="186">
        <v>0</v>
      </c>
    </row>
    <row r="40" spans="1:6" ht="18" customHeight="1">
      <c r="A40" s="189" t="s">
        <v>75</v>
      </c>
      <c r="B40" s="190" t="s">
        <v>76</v>
      </c>
      <c r="C40" s="189"/>
      <c r="D40" s="189"/>
      <c r="E40" s="191">
        <v>0</v>
      </c>
      <c r="F40" s="191">
        <v>-55598</v>
      </c>
    </row>
    <row r="41" spans="1:6" ht="18" customHeight="1">
      <c r="A41" s="192" t="s">
        <v>77</v>
      </c>
      <c r="B41" s="193" t="s">
        <v>78</v>
      </c>
      <c r="C41" s="192"/>
      <c r="D41" s="192"/>
      <c r="E41" s="194">
        <v>489930713</v>
      </c>
      <c r="F41" s="194">
        <v>90813897</v>
      </c>
    </row>
    <row r="42" spans="1:6" ht="18" customHeight="1">
      <c r="A42" s="184" t="s">
        <v>79</v>
      </c>
      <c r="B42" s="185" t="s">
        <v>80</v>
      </c>
      <c r="C42" s="184" t="s">
        <v>9</v>
      </c>
      <c r="D42" s="184" t="s">
        <v>81</v>
      </c>
      <c r="E42" s="186">
        <v>0</v>
      </c>
      <c r="F42" s="186">
        <v>0</v>
      </c>
    </row>
    <row r="43" spans="1:6" ht="18" customHeight="1">
      <c r="A43" s="184" t="s">
        <v>82</v>
      </c>
      <c r="B43" s="185" t="s">
        <v>83</v>
      </c>
      <c r="C43" s="184" t="s">
        <v>9</v>
      </c>
      <c r="D43" s="184">
        <v>30</v>
      </c>
      <c r="E43" s="186">
        <v>0</v>
      </c>
      <c r="F43" s="186">
        <v>0</v>
      </c>
    </row>
    <row r="44" spans="1:6" ht="18" customHeight="1">
      <c r="A44" s="184" t="s">
        <v>84</v>
      </c>
      <c r="B44" s="185" t="s">
        <v>85</v>
      </c>
      <c r="C44" s="184" t="s">
        <v>12</v>
      </c>
      <c r="D44" s="184" t="s">
        <v>81</v>
      </c>
      <c r="E44" s="186">
        <v>0</v>
      </c>
      <c r="F44" s="186">
        <v>0</v>
      </c>
    </row>
    <row r="45" spans="1:6" ht="18" customHeight="1">
      <c r="A45" s="184" t="s">
        <v>86</v>
      </c>
      <c r="B45" s="185" t="s">
        <v>102</v>
      </c>
      <c r="C45" s="184" t="s">
        <v>12</v>
      </c>
      <c r="D45" s="184">
        <v>30</v>
      </c>
      <c r="E45" s="186">
        <v>0</v>
      </c>
      <c r="F45" s="186">
        <v>0</v>
      </c>
    </row>
    <row r="46" spans="1:6" ht="18" customHeight="1">
      <c r="A46" s="192" t="s">
        <v>88</v>
      </c>
      <c r="B46" s="193" t="s">
        <v>89</v>
      </c>
      <c r="C46" s="192"/>
      <c r="D46" s="192"/>
      <c r="E46" s="194">
        <v>0</v>
      </c>
      <c r="F46" s="194">
        <v>0</v>
      </c>
    </row>
    <row r="47" spans="1:6" ht="18" customHeight="1">
      <c r="A47" s="184" t="s">
        <v>90</v>
      </c>
      <c r="B47" s="185" t="s">
        <v>103</v>
      </c>
      <c r="C47" s="184" t="s">
        <v>12</v>
      </c>
      <c r="D47" s="184">
        <v>30</v>
      </c>
      <c r="E47" s="186">
        <v>0</v>
      </c>
      <c r="F47" s="186">
        <v>0</v>
      </c>
    </row>
    <row r="48" spans="1:6" ht="18" customHeight="1">
      <c r="A48" s="184" t="s">
        <v>92</v>
      </c>
      <c r="B48" s="185" t="s">
        <v>93</v>
      </c>
      <c r="C48" s="184" t="s">
        <v>12</v>
      </c>
      <c r="D48" s="184"/>
      <c r="E48" s="186">
        <v>-6386413</v>
      </c>
      <c r="F48" s="186">
        <v>-5000000</v>
      </c>
    </row>
    <row r="49" spans="1:6" ht="18" customHeight="1">
      <c r="A49" s="189" t="s">
        <v>94</v>
      </c>
      <c r="B49" s="190" t="s">
        <v>95</v>
      </c>
      <c r="C49" s="189"/>
      <c r="D49" s="189"/>
      <c r="E49" s="191">
        <v>483544300</v>
      </c>
      <c r="F49" s="191">
        <v>85813897</v>
      </c>
    </row>
    <row r="53" spans="1:6" ht="12.75" customHeight="1">
      <c r="B53" s="196"/>
      <c r="C53" s="196"/>
    </row>
    <row r="54" spans="1:6" ht="12.75" customHeight="1">
      <c r="B54" s="196"/>
      <c r="C54" s="196"/>
    </row>
    <row r="55" spans="1:6" ht="12.75" customHeight="1">
      <c r="B55" s="196"/>
      <c r="C55" s="196"/>
    </row>
    <row r="58" spans="1:6" ht="12.75" customHeight="1">
      <c r="B58" s="196"/>
      <c r="C58" s="196"/>
    </row>
    <row r="59" spans="1:6" ht="12.75" customHeight="1">
      <c r="B59" s="196"/>
      <c r="C59" s="196"/>
    </row>
    <row r="62" spans="1:6" ht="12.75" customHeight="1">
      <c r="E62" s="198"/>
      <c r="F62" s="198"/>
    </row>
    <row r="63" spans="1:6" ht="12.75" customHeight="1">
      <c r="E63" s="198"/>
      <c r="F63" s="198"/>
    </row>
    <row r="64" spans="1:6" ht="12.75" customHeight="1">
      <c r="E64" s="198"/>
      <c r="F64" s="198"/>
    </row>
    <row r="65" spans="5:6" ht="12.75" customHeight="1">
      <c r="E65" s="198"/>
      <c r="F65" s="198"/>
    </row>
    <row r="66" spans="5:6" ht="12.75" customHeight="1">
      <c r="E66" s="198"/>
      <c r="F66" s="198"/>
    </row>
    <row r="67" spans="5:6" ht="12.75" customHeight="1">
      <c r="E67" s="198"/>
      <c r="F67" s="198"/>
    </row>
    <row r="68" spans="5:6" ht="12.75" customHeight="1">
      <c r="E68" s="198"/>
      <c r="F68" s="198"/>
    </row>
    <row r="69" spans="5:6" ht="12.75" customHeight="1">
      <c r="E69" s="198"/>
      <c r="F69" s="198"/>
    </row>
    <row r="70" spans="5:6" ht="12.75" customHeight="1">
      <c r="E70" s="198"/>
      <c r="F70" s="198"/>
    </row>
    <row r="71" spans="5:6" ht="12.75" customHeight="1">
      <c r="E71" s="198"/>
      <c r="F71" s="198"/>
    </row>
    <row r="72" spans="5:6" ht="12.75" customHeight="1">
      <c r="E72" s="198"/>
      <c r="F72" s="198"/>
    </row>
    <row r="73" spans="5:6" ht="12.75" customHeight="1">
      <c r="E73" s="198"/>
      <c r="F73" s="198"/>
    </row>
    <row r="74" spans="5:6" ht="12.75" customHeight="1">
      <c r="E74" s="198"/>
      <c r="F74" s="198"/>
    </row>
    <row r="75" spans="5:6" ht="12.75" customHeight="1">
      <c r="E75" s="198"/>
      <c r="F75" s="198"/>
    </row>
    <row r="76" spans="5:6" ht="12.75" customHeight="1">
      <c r="E76" s="198"/>
      <c r="F76" s="198"/>
    </row>
    <row r="77" spans="5:6" ht="12.75" customHeight="1">
      <c r="E77" s="198"/>
      <c r="F77" s="198"/>
    </row>
    <row r="78" spans="5:6" ht="12.75" customHeight="1">
      <c r="E78" s="198"/>
      <c r="F78" s="198"/>
    </row>
    <row r="79" spans="5:6" ht="12.75" customHeight="1">
      <c r="E79" s="198"/>
      <c r="F79" s="198"/>
    </row>
    <row r="80" spans="5:6" ht="12.75" customHeight="1">
      <c r="E80" s="198"/>
      <c r="F80" s="198"/>
    </row>
    <row r="81" spans="5:6" ht="12.75" customHeight="1">
      <c r="E81" s="198"/>
      <c r="F81" s="198"/>
    </row>
    <row r="82" spans="5:6" ht="12.75" customHeight="1">
      <c r="E82" s="198"/>
      <c r="F82" s="198"/>
    </row>
    <row r="83" spans="5:6" ht="12.75" customHeight="1">
      <c r="E83" s="198"/>
      <c r="F83" s="198"/>
    </row>
    <row r="84" spans="5:6" ht="12.75" customHeight="1">
      <c r="E84" s="198"/>
      <c r="F84" s="198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F49" xr:uid="{048D10B5-B4AA-48BB-BF75-806052830D76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0A6C1820-32A9-4711-8853-95E0A1BF5991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B8389753-5D3B-4C83-BDB4-C91050530181}"/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ABA49-B2C7-4AEF-A1E5-304D323F242F}">
  <sheetPr codeName="Feuil48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4" style="26" customWidth="1" collapsed="1"/>
    <col min="2" max="2" width="56" style="27" bestFit="1" customWidth="1" collapsed="1"/>
    <col min="3" max="3" width="3.140625" style="27" bestFit="1" customWidth="1" collapsed="1"/>
    <col min="4" max="4" width="12.42578125" style="27" bestFit="1" customWidth="1" collapsed="1"/>
    <col min="5" max="5" width="17.28515625" style="28" bestFit="1" customWidth="1" collapsed="1"/>
    <col min="6" max="6" width="15.7109375" style="28" customWidth="1" collapsed="1"/>
    <col min="7" max="16384" width="10.28515625" style="27" collapsed="1"/>
  </cols>
  <sheetData>
    <row r="1" spans="1:6" ht="12.75" customHeight="1">
      <c r="A1" s="255" t="s">
        <v>0</v>
      </c>
      <c r="B1" s="255"/>
      <c r="C1" s="255"/>
      <c r="D1" s="255"/>
      <c r="E1" s="255"/>
      <c r="F1" s="255"/>
    </row>
    <row r="2" spans="1:6" ht="12.75" customHeight="1">
      <c r="A2" s="1"/>
      <c r="B2" s="1"/>
      <c r="C2" s="2"/>
      <c r="D2" s="1"/>
      <c r="E2" s="1"/>
      <c r="F2" s="1"/>
    </row>
    <row r="3" spans="1:6" ht="12.75" customHeight="1">
      <c r="A3" s="256" t="s">
        <v>96</v>
      </c>
      <c r="B3" s="256"/>
      <c r="C3" s="256"/>
      <c r="D3" s="1" t="s">
        <v>1</v>
      </c>
      <c r="E3" s="257">
        <v>45657</v>
      </c>
      <c r="F3" s="258"/>
    </row>
    <row r="4" spans="1:6" ht="12.75" customHeight="1">
      <c r="A4" s="258" t="s">
        <v>153</v>
      </c>
      <c r="B4" s="258"/>
      <c r="C4" s="258"/>
      <c r="D4" s="259" t="s">
        <v>2</v>
      </c>
      <c r="E4" s="260">
        <v>12</v>
      </c>
      <c r="F4" s="260"/>
    </row>
    <row r="5" spans="1:6" ht="23.45" customHeight="1">
      <c r="A5" s="4" t="s">
        <v>3</v>
      </c>
      <c r="B5" s="284" t="s">
        <v>154</v>
      </c>
      <c r="C5" s="261"/>
      <c r="D5" s="259"/>
      <c r="E5" s="258"/>
      <c r="F5" s="258"/>
    </row>
    <row r="6" spans="1:6" ht="12.75" customHeight="1">
      <c r="A6" s="1"/>
      <c r="B6" s="1"/>
      <c r="C6" s="2"/>
      <c r="D6" s="1"/>
      <c r="E6" s="1"/>
      <c r="F6" s="1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 t="s">
        <v>111</v>
      </c>
      <c r="F7" s="7" t="s">
        <v>112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200">
        <v>0</v>
      </c>
      <c r="F8" s="200">
        <v>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200">
        <v>0</v>
      </c>
      <c r="F9" s="200">
        <v>0</v>
      </c>
    </row>
    <row r="10" spans="1:6" ht="18" customHeight="1">
      <c r="A10" s="11" t="s">
        <v>13</v>
      </c>
      <c r="B10" s="14" t="s">
        <v>98</v>
      </c>
      <c r="C10" s="15" t="s">
        <v>15</v>
      </c>
      <c r="D10" s="15">
        <v>6</v>
      </c>
      <c r="E10" s="200">
        <v>0</v>
      </c>
      <c r="F10" s="200">
        <v>0</v>
      </c>
    </row>
    <row r="11" spans="1:6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200">
        <v>0</v>
      </c>
      <c r="F12" s="200">
        <v>0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200">
        <v>1104514951</v>
      </c>
      <c r="F13" s="200">
        <v>708969422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200">
        <v>0</v>
      </c>
      <c r="F14" s="200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18">
        <v>1104514951</v>
      </c>
      <c r="F15" s="18">
        <v>708969422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200">
        <v>0</v>
      </c>
      <c r="F16" s="200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200">
        <v>0</v>
      </c>
      <c r="F17" s="200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200">
        <v>0</v>
      </c>
      <c r="F18" s="200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200">
        <v>12113984</v>
      </c>
      <c r="F19" s="200">
        <v>0</v>
      </c>
    </row>
    <row r="20" spans="1:6" ht="18" customHeight="1">
      <c r="A20" s="56" t="s">
        <v>34</v>
      </c>
      <c r="B20" s="57" t="s">
        <v>99</v>
      </c>
      <c r="C20" s="56" t="s">
        <v>9</v>
      </c>
      <c r="D20" s="56">
        <v>12</v>
      </c>
      <c r="E20" s="200">
        <v>0</v>
      </c>
      <c r="F20" s="200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200">
        <v>0</v>
      </c>
      <c r="F21" s="200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200">
        <v>0</v>
      </c>
      <c r="F22" s="200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200">
        <v>-136213218</v>
      </c>
      <c r="F23" s="200">
        <v>-101853568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200">
        <v>286214433</v>
      </c>
      <c r="F24" s="200">
        <v>9156237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200">
        <v>-49116011</v>
      </c>
      <c r="F25" s="200">
        <v>-19484136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200">
        <v>-264350324</v>
      </c>
      <c r="F26" s="200">
        <v>-174569461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200">
        <v>-65156528</v>
      </c>
      <c r="F27" s="200">
        <v>1138747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200">
        <v>0</v>
      </c>
      <c r="F28" s="200">
        <v>0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v>888007287</v>
      </c>
      <c r="F29" s="18">
        <v>423357241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200">
        <v>-193533099</v>
      </c>
      <c r="F30" s="200">
        <v>-110932203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v>694474188</v>
      </c>
      <c r="F31" s="18">
        <v>312425038</v>
      </c>
    </row>
    <row r="32" spans="1:6" ht="18" customHeight="1">
      <c r="A32" s="11" t="s">
        <v>58</v>
      </c>
      <c r="B32" s="12" t="s">
        <v>100</v>
      </c>
      <c r="C32" s="11" t="s">
        <v>9</v>
      </c>
      <c r="D32" s="11">
        <v>28</v>
      </c>
      <c r="E32" s="200">
        <v>0</v>
      </c>
      <c r="F32" s="200">
        <v>0</v>
      </c>
    </row>
    <row r="33" spans="1:6" ht="18" customHeight="1">
      <c r="A33" s="56" t="s">
        <v>60</v>
      </c>
      <c r="B33" s="57" t="s">
        <v>61</v>
      </c>
      <c r="C33" s="56" t="s">
        <v>12</v>
      </c>
      <c r="D33" s="56" t="s">
        <v>62</v>
      </c>
      <c r="E33" s="200">
        <v>-29936605</v>
      </c>
      <c r="F33" s="200">
        <v>-64128397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v>664537583</v>
      </c>
      <c r="F34" s="18">
        <v>248296641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200">
        <v>927360</v>
      </c>
      <c r="F35" s="200">
        <v>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200">
        <v>0</v>
      </c>
      <c r="F36" s="200">
        <v>0</v>
      </c>
    </row>
    <row r="37" spans="1:6" ht="18" customHeight="1">
      <c r="A37" s="11" t="s">
        <v>69</v>
      </c>
      <c r="B37" s="12" t="s">
        <v>101</v>
      </c>
      <c r="C37" s="11" t="s">
        <v>9</v>
      </c>
      <c r="D37" s="11">
        <v>12</v>
      </c>
      <c r="E37" s="200">
        <v>0</v>
      </c>
      <c r="F37" s="200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200">
        <v>-1549381</v>
      </c>
      <c r="F38" s="200">
        <v>0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200">
        <v>0</v>
      </c>
      <c r="F39" s="200">
        <v>0</v>
      </c>
    </row>
    <row r="40" spans="1:6" ht="18" customHeight="1">
      <c r="A40" s="16" t="s">
        <v>75</v>
      </c>
      <c r="B40" s="17" t="s">
        <v>76</v>
      </c>
      <c r="C40" s="16"/>
      <c r="D40" s="16"/>
      <c r="E40" s="18">
        <v>-622021</v>
      </c>
      <c r="F40" s="18">
        <v>0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v>663915562</v>
      </c>
      <c r="F41" s="24">
        <v>248296641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200">
        <v>0</v>
      </c>
      <c r="F42" s="200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200">
        <v>0</v>
      </c>
      <c r="F43" s="200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200">
        <v>0</v>
      </c>
      <c r="F44" s="200">
        <v>0</v>
      </c>
    </row>
    <row r="45" spans="1:6" ht="18" customHeight="1">
      <c r="A45" s="11" t="s">
        <v>86</v>
      </c>
      <c r="B45" s="12" t="s">
        <v>102</v>
      </c>
      <c r="C45" s="11" t="s">
        <v>12</v>
      </c>
      <c r="D45" s="11">
        <v>30</v>
      </c>
      <c r="E45" s="200">
        <v>0</v>
      </c>
      <c r="F45" s="200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</row>
    <row r="47" spans="1:6" ht="18" customHeight="1">
      <c r="A47" s="11" t="s">
        <v>90</v>
      </c>
      <c r="B47" s="12" t="s">
        <v>103</v>
      </c>
      <c r="C47" s="11" t="s">
        <v>12</v>
      </c>
      <c r="D47" s="11">
        <v>30</v>
      </c>
      <c r="E47" s="200">
        <v>0</v>
      </c>
      <c r="F47" s="200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200">
        <v>-200308110</v>
      </c>
      <c r="F48" s="200">
        <v>-38778510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v>463607452</v>
      </c>
      <c r="F49" s="18">
        <v>209518131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." sqref="D1:F6" xr:uid="{7461E86F-E657-466C-99EA-2C39420643BE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712FACBA-3D0F-4FD2-A32F-D89C041B69A9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," sqref="E8:F49" xr:uid="{689A9F0F-875E-4AEA-9C84-FBD5A299F2D6}"/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844D-7DFC-423A-84F1-F0878AB3BDC2}">
  <sheetPr codeName="Feuil49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+'[21]Fiche de renseignement R1'!$V$10</f>
        <v>45657</v>
      </c>
      <c r="F3" s="258"/>
    </row>
    <row r="4" spans="1:6" s="1" customFormat="1" ht="15" customHeight="1">
      <c r="A4" s="258" t="str">
        <f>'[21]Fiche de renseignement R1'!$J$4</f>
        <v>CHEMTRA SARL</v>
      </c>
      <c r="B4" s="258"/>
      <c r="C4" s="258"/>
      <c r="D4" s="259" t="s">
        <v>2</v>
      </c>
      <c r="E4" s="260">
        <f>+'[21]Fiche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+'[21]Fiche de renseignement R1'!$J$10</f>
        <v>008114233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201">
        <v>2024</v>
      </c>
      <c r="F7" s="202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203">
        <v>186884984</v>
      </c>
      <c r="F8" s="204">
        <v>92039000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205">
        <v>-178965285</v>
      </c>
      <c r="F9" s="206">
        <v>-74006698</v>
      </c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205">
        <v>47871226</v>
      </c>
      <c r="F10" s="206">
        <v>1634351</v>
      </c>
    </row>
    <row r="11" spans="1:6" ht="18" customHeight="1">
      <c r="A11" s="16" t="s">
        <v>16</v>
      </c>
      <c r="B11" s="17" t="s">
        <v>17</v>
      </c>
      <c r="C11" s="16"/>
      <c r="D11" s="16"/>
      <c r="E11" s="207">
        <v>55790925</v>
      </c>
      <c r="F11" s="208">
        <v>19666653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205">
        <v>0</v>
      </c>
      <c r="F12" s="206">
        <v>0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209">
        <v>0</v>
      </c>
      <c r="F13" s="210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209">
        <v>0</v>
      </c>
      <c r="F14" s="210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211">
        <v>186884984</v>
      </c>
      <c r="F15" s="212">
        <v>92039000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209">
        <v>0</v>
      </c>
      <c r="F16" s="210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209">
        <v>0</v>
      </c>
      <c r="F17" s="210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209">
        <v>0</v>
      </c>
      <c r="F18" s="210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209">
        <v>33401</v>
      </c>
      <c r="F19" s="210">
        <v>21182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09">
        <v>0</v>
      </c>
      <c r="F20" s="210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209">
        <v>0</v>
      </c>
      <c r="F21" s="210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209">
        <v>0</v>
      </c>
      <c r="F22" s="210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209">
        <v>-36180139</v>
      </c>
      <c r="F23" s="210">
        <v>-17501676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209">
        <v>0</v>
      </c>
      <c r="F24" s="210">
        <v>0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209">
        <v>-4396702</v>
      </c>
      <c r="F25" s="210">
        <v>-2296235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209">
        <v>-43178329</v>
      </c>
      <c r="F26" s="210">
        <v>-20171084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209">
        <v>-4940764</v>
      </c>
      <c r="F27" s="210">
        <v>-2043894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209">
        <v>-958846</v>
      </c>
      <c r="F28" s="210">
        <v>-3633506</v>
      </c>
    </row>
    <row r="29" spans="1:6" ht="18" customHeight="1">
      <c r="A29" s="16" t="s">
        <v>52</v>
      </c>
      <c r="B29" s="17" t="s">
        <v>53</v>
      </c>
      <c r="C29" s="16"/>
      <c r="D29" s="16"/>
      <c r="E29" s="211">
        <v>-33830454</v>
      </c>
      <c r="F29" s="212">
        <v>-25958560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203">
        <v>-73463797</v>
      </c>
      <c r="F30" s="204">
        <v>-24681303</v>
      </c>
    </row>
    <row r="31" spans="1:6" ht="18" customHeight="1">
      <c r="A31" s="16" t="s">
        <v>56</v>
      </c>
      <c r="B31" s="17" t="s">
        <v>57</v>
      </c>
      <c r="C31" s="16"/>
      <c r="D31" s="16">
        <v>28</v>
      </c>
      <c r="E31" s="211">
        <v>-107294251</v>
      </c>
      <c r="F31" s="212">
        <v>-50639863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203">
        <v>0</v>
      </c>
      <c r="F32" s="204">
        <v>0</v>
      </c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155</v>
      </c>
      <c r="E33" s="203">
        <v>-10820250</v>
      </c>
      <c r="F33" s="204">
        <v>-3254112</v>
      </c>
    </row>
    <row r="34" spans="1:6" ht="18" customHeight="1">
      <c r="A34" s="16" t="s">
        <v>63</v>
      </c>
      <c r="B34" s="17" t="s">
        <v>64</v>
      </c>
      <c r="C34" s="16"/>
      <c r="D34" s="16"/>
      <c r="E34" s="211">
        <v>-118114501</v>
      </c>
      <c r="F34" s="212">
        <v>-53893975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209">
        <v>0</v>
      </c>
      <c r="F35" s="210">
        <v>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209">
        <v>411109</v>
      </c>
      <c r="F36" s="210">
        <v>0</v>
      </c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209">
        <v>0</v>
      </c>
      <c r="F37" s="210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209">
        <v>0</v>
      </c>
      <c r="F38" s="210">
        <v>0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155</v>
      </c>
      <c r="E39" s="209">
        <v>-1468560</v>
      </c>
      <c r="F39" s="210">
        <v>-379033</v>
      </c>
    </row>
    <row r="40" spans="1:6" ht="18" customHeight="1">
      <c r="A40" s="16" t="s">
        <v>75</v>
      </c>
      <c r="B40" s="17" t="s">
        <v>76</v>
      </c>
      <c r="C40" s="16"/>
      <c r="D40" s="16"/>
      <c r="E40" s="211">
        <v>-1057451</v>
      </c>
      <c r="F40" s="212">
        <v>-379033</v>
      </c>
    </row>
    <row r="41" spans="1:6" ht="18" customHeight="1">
      <c r="A41" s="22" t="s">
        <v>77</v>
      </c>
      <c r="B41" s="23" t="s">
        <v>78</v>
      </c>
      <c r="C41" s="22"/>
      <c r="D41" s="22"/>
      <c r="E41" s="213">
        <v>-119171952</v>
      </c>
      <c r="F41" s="214">
        <v>-54273008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209">
        <v>0</v>
      </c>
      <c r="F42" s="210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209">
        <v>0</v>
      </c>
      <c r="F43" s="210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209">
        <v>0</v>
      </c>
      <c r="F44" s="210">
        <v>0</v>
      </c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209">
        <v>0</v>
      </c>
      <c r="F45" s="210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13">
        <v>0</v>
      </c>
      <c r="F46" s="214">
        <v>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209">
        <v>0</v>
      </c>
      <c r="F47" s="210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209">
        <v>-934425</v>
      </c>
      <c r="F48" s="210">
        <v>0</v>
      </c>
    </row>
    <row r="49" spans="1:6" ht="18" customHeight="1">
      <c r="A49" s="16" t="s">
        <v>94</v>
      </c>
      <c r="B49" s="17" t="s">
        <v>95</v>
      </c>
      <c r="C49" s="16"/>
      <c r="D49" s="16"/>
      <c r="E49" s="211">
        <v>-120106377</v>
      </c>
      <c r="F49" s="212">
        <v>-54273008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F3ADB12B-4AD5-435C-B81D-B63453F48477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A49CFE0D-C9D0-4F54-9D21-BA8705FD9084}"/>
    <dataValidation allowBlank="1" showInputMessage="1" showErrorMessage="1" errorTitle="Erreur de saisie" error="La cellule ne peut prendre que du numérique." promptTitle="Information" prompt="Cette cellule ne peut prendre que du numérique," sqref="E8:F49" xr:uid="{1CE0110F-C190-4841-AAE0-F76CE0B63FCB}"/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CBA84-77C6-4CBE-9146-75DAC55F731F}">
  <sheetPr codeName="Feuil50"/>
  <dimension ref="A1:F84"/>
  <sheetViews>
    <sheetView topLeftCell="B1" workbookViewId="0">
      <selection activeCell="H16" sqref="H16"/>
    </sheetView>
  </sheetViews>
  <sheetFormatPr baseColWidth="10" defaultColWidth="10.28515625" defaultRowHeight="12.75"/>
  <cols>
    <col min="1" max="1" width="4.140625" style="26" customWidth="1" collapsed="1"/>
    <col min="2" max="2" width="56" style="27" bestFit="1" customWidth="1" collapsed="1"/>
    <col min="3" max="3" width="3.140625" style="27" bestFit="1" customWidth="1" collapsed="1"/>
    <col min="4" max="4" width="8.28515625" style="27" bestFit="1" customWidth="1" collapsed="1"/>
    <col min="5" max="6" width="14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v>45657</v>
      </c>
      <c r="F3" s="258"/>
    </row>
    <row r="4" spans="1:6" s="1" customFormat="1" ht="15" customHeight="1">
      <c r="A4" s="258" t="s">
        <v>156</v>
      </c>
      <c r="B4" s="258"/>
      <c r="C4" s="258"/>
      <c r="D4" s="259" t="s">
        <v>2</v>
      </c>
      <c r="E4" s="300">
        <v>12</v>
      </c>
      <c r="F4" s="260"/>
    </row>
    <row r="5" spans="1:6" s="1" customFormat="1" ht="30.95" customHeight="1">
      <c r="A5" s="4" t="s">
        <v>3</v>
      </c>
      <c r="B5" s="261">
        <v>8553796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215">
        <v>0</v>
      </c>
      <c r="F8" s="215">
        <v>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215">
        <v>0</v>
      </c>
      <c r="F9" s="216">
        <v>-1233069</v>
      </c>
    </row>
    <row r="10" spans="1:6" ht="18" customHeight="1">
      <c r="A10" s="11" t="s">
        <v>13</v>
      </c>
      <c r="B10" s="14" t="s">
        <v>98</v>
      </c>
      <c r="C10" s="15" t="s">
        <v>15</v>
      </c>
      <c r="D10" s="15">
        <v>6</v>
      </c>
      <c r="E10" s="215">
        <v>0</v>
      </c>
      <c r="F10" s="215">
        <v>0</v>
      </c>
    </row>
    <row r="11" spans="1:6" ht="18" customHeight="1">
      <c r="A11" s="16" t="s">
        <v>16</v>
      </c>
      <c r="B11" s="17" t="s">
        <v>17</v>
      </c>
      <c r="C11" s="16"/>
      <c r="D11" s="16"/>
      <c r="E11" s="217">
        <v>0</v>
      </c>
      <c r="F11" s="218">
        <v>-1233069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219">
        <v>1278114850</v>
      </c>
      <c r="F12" s="219">
        <v>951628380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219">
        <v>0</v>
      </c>
      <c r="F13" s="219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219">
        <v>0</v>
      </c>
      <c r="F14" s="219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218">
        <v>1278114850</v>
      </c>
      <c r="F15" s="218">
        <v>951628380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219">
        <v>0</v>
      </c>
      <c r="F16" s="219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219">
        <v>0</v>
      </c>
      <c r="F17" s="219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219">
        <v>0</v>
      </c>
      <c r="F18" s="219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219">
        <v>0</v>
      </c>
      <c r="F19" s="219">
        <v>0</v>
      </c>
    </row>
    <row r="20" spans="1:6" ht="18" customHeight="1">
      <c r="A20" s="56" t="s">
        <v>34</v>
      </c>
      <c r="B20" s="57" t="s">
        <v>99</v>
      </c>
      <c r="C20" s="56" t="s">
        <v>9</v>
      </c>
      <c r="D20" s="56">
        <v>12</v>
      </c>
      <c r="E20" s="220">
        <v>0</v>
      </c>
      <c r="F20" s="220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219">
        <v>0</v>
      </c>
      <c r="F21" s="219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219">
        <v>0</v>
      </c>
      <c r="F22" s="219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221">
        <v>-632882454</v>
      </c>
      <c r="F23" s="221">
        <v>-636626568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221">
        <v>0</v>
      </c>
      <c r="F24" s="221">
        <v>0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221">
        <v>0</v>
      </c>
      <c r="F25" s="221">
        <v>-2220667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219">
        <v>-474224366</v>
      </c>
      <c r="F26" s="219">
        <v>-366217240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219">
        <v>-28783089</v>
      </c>
      <c r="F27" s="219">
        <v>-21338186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222">
        <v>-42143110</v>
      </c>
      <c r="F28" s="222">
        <v>-722000</v>
      </c>
    </row>
    <row r="29" spans="1:6" ht="18" customHeight="1">
      <c r="A29" s="16" t="s">
        <v>52</v>
      </c>
      <c r="B29" s="17" t="s">
        <v>53</v>
      </c>
      <c r="C29" s="16"/>
      <c r="D29" s="16"/>
      <c r="E29" s="223">
        <v>100081831</v>
      </c>
      <c r="F29" s="223">
        <v>-76729350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224">
        <v>-54643594</v>
      </c>
      <c r="F30" s="224">
        <v>-34589833</v>
      </c>
    </row>
    <row r="31" spans="1:6" ht="18" customHeight="1">
      <c r="A31" s="16" t="s">
        <v>56</v>
      </c>
      <c r="B31" s="17" t="s">
        <v>57</v>
      </c>
      <c r="C31" s="16"/>
      <c r="D31" s="16"/>
      <c r="E31" s="223">
        <v>45438237</v>
      </c>
      <c r="F31" s="223">
        <v>-111319183</v>
      </c>
    </row>
    <row r="32" spans="1:6" ht="18" customHeight="1">
      <c r="A32" s="11" t="s">
        <v>58</v>
      </c>
      <c r="B32" s="12" t="s">
        <v>100</v>
      </c>
      <c r="C32" s="11" t="s">
        <v>9</v>
      </c>
      <c r="D32" s="11">
        <v>28</v>
      </c>
      <c r="E32" s="215">
        <v>0</v>
      </c>
      <c r="F32" s="215">
        <v>0</v>
      </c>
    </row>
    <row r="33" spans="1:6" ht="18" customHeight="1">
      <c r="A33" s="56" t="s">
        <v>60</v>
      </c>
      <c r="B33" s="57" t="s">
        <v>61</v>
      </c>
      <c r="C33" s="56" t="s">
        <v>12</v>
      </c>
      <c r="D33" s="56" t="s">
        <v>62</v>
      </c>
      <c r="E33" s="225">
        <v>-36826279</v>
      </c>
      <c r="F33" s="225">
        <v>-24859988</v>
      </c>
    </row>
    <row r="34" spans="1:6" ht="18" customHeight="1">
      <c r="A34" s="16" t="s">
        <v>63</v>
      </c>
      <c r="B34" s="17" t="s">
        <v>64</v>
      </c>
      <c r="C34" s="16"/>
      <c r="D34" s="16"/>
      <c r="E34" s="223">
        <v>8611958</v>
      </c>
      <c r="F34" s="223">
        <v>-136179171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226">
        <v>0</v>
      </c>
      <c r="F35" s="226">
        <v>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226">
        <v>0</v>
      </c>
      <c r="F36" s="226">
        <v>0</v>
      </c>
    </row>
    <row r="37" spans="1:6" ht="18" customHeight="1">
      <c r="A37" s="11" t="s">
        <v>69</v>
      </c>
      <c r="B37" s="12" t="s">
        <v>157</v>
      </c>
      <c r="C37" s="11" t="s">
        <v>9</v>
      </c>
      <c r="D37" s="11">
        <v>12</v>
      </c>
      <c r="E37" s="226">
        <v>0</v>
      </c>
      <c r="F37" s="226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219">
        <v>-797931</v>
      </c>
      <c r="F38" s="227">
        <v>-195084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226">
        <v>0</v>
      </c>
      <c r="F39" s="226">
        <v>0</v>
      </c>
    </row>
    <row r="40" spans="1:6" ht="18" customHeight="1">
      <c r="A40" s="16" t="s">
        <v>75</v>
      </c>
      <c r="B40" s="17" t="s">
        <v>76</v>
      </c>
      <c r="C40" s="16"/>
      <c r="D40" s="16"/>
      <c r="E40" s="223">
        <v>-797931</v>
      </c>
      <c r="F40" s="223">
        <v>-195084</v>
      </c>
    </row>
    <row r="41" spans="1:6" ht="18" customHeight="1">
      <c r="A41" s="22" t="s">
        <v>77</v>
      </c>
      <c r="B41" s="23" t="s">
        <v>78</v>
      </c>
      <c r="C41" s="22"/>
      <c r="D41" s="22"/>
      <c r="E41" s="228">
        <v>7814027</v>
      </c>
      <c r="F41" s="228">
        <v>-136374255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219">
        <v>0</v>
      </c>
      <c r="F42" s="219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219">
        <v>0</v>
      </c>
      <c r="F43" s="219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219">
        <v>0</v>
      </c>
      <c r="F44" s="219">
        <v>0</v>
      </c>
    </row>
    <row r="45" spans="1:6" ht="18" customHeight="1">
      <c r="A45" s="11" t="s">
        <v>86</v>
      </c>
      <c r="B45" s="12" t="s">
        <v>102</v>
      </c>
      <c r="C45" s="11" t="s">
        <v>12</v>
      </c>
      <c r="D45" s="11">
        <v>30</v>
      </c>
      <c r="E45" s="219">
        <v>0</v>
      </c>
      <c r="F45" s="219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29">
        <v>0</v>
      </c>
      <c r="F46" s="229">
        <v>0</v>
      </c>
    </row>
    <row r="47" spans="1:6" ht="18" customHeight="1">
      <c r="A47" s="11" t="s">
        <v>90</v>
      </c>
      <c r="B47" s="12" t="s">
        <v>103</v>
      </c>
      <c r="C47" s="11" t="s">
        <v>12</v>
      </c>
      <c r="D47" s="11">
        <v>30</v>
      </c>
      <c r="E47" s="219">
        <v>0</v>
      </c>
      <c r="F47" s="219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224">
        <v>-2344208</v>
      </c>
      <c r="F48" s="224">
        <v>-4758142</v>
      </c>
    </row>
    <row r="49" spans="1:6" ht="18" customHeight="1">
      <c r="A49" s="230" t="s">
        <v>94</v>
      </c>
      <c r="B49" s="17" t="s">
        <v>95</v>
      </c>
      <c r="C49" s="16"/>
      <c r="D49" s="16"/>
      <c r="E49" s="231">
        <v>5469819</v>
      </c>
      <c r="F49" s="231">
        <v>-141132397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conditionalFormatting sqref="F42">
    <cfRule type="expression" dxfId="26" priority="27">
      <formula>#REF!=1</formula>
    </cfRule>
  </conditionalFormatting>
  <conditionalFormatting sqref="F43">
    <cfRule type="expression" dxfId="25" priority="26">
      <formula>#REF!=1</formula>
    </cfRule>
  </conditionalFormatting>
  <conditionalFormatting sqref="F44">
    <cfRule type="expression" dxfId="24" priority="25">
      <formula>#REF!=1</formula>
    </cfRule>
  </conditionalFormatting>
  <conditionalFormatting sqref="F45">
    <cfRule type="expression" dxfId="23" priority="24">
      <formula>#REF!=1</formula>
    </cfRule>
  </conditionalFormatting>
  <conditionalFormatting sqref="F46">
    <cfRule type="expression" dxfId="22" priority="23">
      <formula>#REF!=1</formula>
    </cfRule>
  </conditionalFormatting>
  <conditionalFormatting sqref="F47">
    <cfRule type="expression" dxfId="21" priority="22">
      <formula>#REF!=1</formula>
    </cfRule>
  </conditionalFormatting>
  <conditionalFormatting sqref="F48">
    <cfRule type="expression" dxfId="20" priority="21">
      <formula>#REF!=1</formula>
    </cfRule>
  </conditionalFormatting>
  <conditionalFormatting sqref="F49">
    <cfRule type="expression" dxfId="19" priority="20">
      <formula>#REF!=1</formula>
    </cfRule>
  </conditionalFormatting>
  <conditionalFormatting sqref="F40">
    <cfRule type="expression" dxfId="18" priority="19">
      <formula>#REF!=1</formula>
    </cfRule>
  </conditionalFormatting>
  <conditionalFormatting sqref="F38">
    <cfRule type="expression" dxfId="17" priority="18">
      <formula>#REF!=1</formula>
    </cfRule>
  </conditionalFormatting>
  <conditionalFormatting sqref="F41">
    <cfRule type="expression" dxfId="16" priority="17">
      <formula>#REF!=1</formula>
    </cfRule>
  </conditionalFormatting>
  <conditionalFormatting sqref="F34">
    <cfRule type="expression" dxfId="15" priority="16">
      <formula>#REF!=1</formula>
    </cfRule>
  </conditionalFormatting>
  <conditionalFormatting sqref="F33">
    <cfRule type="expression" dxfId="14" priority="15">
      <formula>#REF!=1</formula>
    </cfRule>
  </conditionalFormatting>
  <conditionalFormatting sqref="F31">
    <cfRule type="expression" dxfId="13" priority="14">
      <formula>#REF!=1</formula>
    </cfRule>
  </conditionalFormatting>
  <conditionalFormatting sqref="F30">
    <cfRule type="expression" dxfId="12" priority="13">
      <formula>#REF!=1</formula>
    </cfRule>
  </conditionalFormatting>
  <conditionalFormatting sqref="F29">
    <cfRule type="expression" dxfId="11" priority="12">
      <formula>#REF!=1</formula>
    </cfRule>
  </conditionalFormatting>
  <conditionalFormatting sqref="F28">
    <cfRule type="expression" dxfId="10" priority="11">
      <formula>#REF!=1</formula>
    </cfRule>
  </conditionalFormatting>
  <conditionalFormatting sqref="F27">
    <cfRule type="expression" dxfId="9" priority="10">
      <formula>#REF!=1</formula>
    </cfRule>
  </conditionalFormatting>
  <conditionalFormatting sqref="F26">
    <cfRule type="expression" dxfId="8" priority="9">
      <formula>#REF!=1</formula>
    </cfRule>
  </conditionalFormatting>
  <conditionalFormatting sqref="F25">
    <cfRule type="expression" dxfId="7" priority="8">
      <formula>#REF!=1</formula>
    </cfRule>
  </conditionalFormatting>
  <conditionalFormatting sqref="F23">
    <cfRule type="expression" dxfId="6" priority="7">
      <formula>#REF!=1</formula>
    </cfRule>
  </conditionalFormatting>
  <conditionalFormatting sqref="F15">
    <cfRule type="expression" dxfId="5" priority="6">
      <formula>#REF!=1</formula>
    </cfRule>
  </conditionalFormatting>
  <conditionalFormatting sqref="F14">
    <cfRule type="expression" dxfId="4" priority="5">
      <formula>#REF!=1</formula>
    </cfRule>
  </conditionalFormatting>
  <conditionalFormatting sqref="F13">
    <cfRule type="expression" dxfId="3" priority="4">
      <formula>#REF!=1</formula>
    </cfRule>
  </conditionalFormatting>
  <conditionalFormatting sqref="F12">
    <cfRule type="expression" dxfId="2" priority="3">
      <formula>#REF!=1</formula>
    </cfRule>
  </conditionalFormatting>
  <conditionalFormatting sqref="F11">
    <cfRule type="expression" dxfId="1" priority="2">
      <formula>#REF!=1</formula>
    </cfRule>
  </conditionalFormatting>
  <conditionalFormatting sqref="F9">
    <cfRule type="expression" dxfId="0" priority="1">
      <formula>#REF!=1</formula>
    </cfRule>
  </conditionalFormatting>
  <dataValidations count="3">
    <dataValidation allowBlank="1" showInputMessage="1" showErrorMessage="1" errorTitle="Erreur de saisie" error="La cellule ne peut prendre que du numérique." promptTitle="Information" prompt="Cette cellule ne peut prendre que du numérique." sqref="D1:F6" xr:uid="{0F70BFB8-1B91-4938-99E9-C379D29A0331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1BF262E7-FED0-4ED3-BA3E-535E26226B1D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," sqref="E8:F49" xr:uid="{B570D026-A81D-4A1B-814A-DA8622539C50}"/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C7CD9-088A-4655-B0ED-C9AE0E6C6F2D}">
  <sheetPr codeName="Feuil51"/>
  <dimension ref="A1:F84"/>
  <sheetViews>
    <sheetView workbookViewId="0">
      <selection activeCell="H16" sqref="H16"/>
    </sheetView>
  </sheetViews>
  <sheetFormatPr baseColWidth="10" defaultColWidth="11.42578125" defaultRowHeight="12.75"/>
  <cols>
    <col min="1" max="1" width="14.42578125" style="195" customWidth="1" collapsed="1"/>
    <col min="2" max="2" width="62.140625" style="180" bestFit="1" customWidth="1" collapsed="1"/>
    <col min="3" max="3" width="3.5703125" style="180" bestFit="1" customWidth="1" collapsed="1"/>
    <col min="4" max="4" width="9.28515625" style="180" bestFit="1" customWidth="1" collapsed="1"/>
    <col min="5" max="6" width="17.42578125" style="197" customWidth="1" collapsed="1"/>
    <col min="7" max="16384" width="11.42578125" style="180" collapsed="1"/>
  </cols>
  <sheetData>
    <row r="1" spans="1:6" s="175" customFormat="1" ht="24.6" customHeight="1">
      <c r="A1" s="292" t="s">
        <v>0</v>
      </c>
      <c r="B1" s="292"/>
      <c r="C1" s="292"/>
      <c r="D1" s="292"/>
      <c r="E1" s="292"/>
      <c r="F1" s="292"/>
    </row>
    <row r="2" spans="1:6" s="175" customFormat="1" ht="8.1" customHeight="1">
      <c r="C2" s="176"/>
    </row>
    <row r="3" spans="1:6" s="175" customFormat="1" ht="25.5" customHeight="1">
      <c r="A3" s="293" t="s">
        <v>96</v>
      </c>
      <c r="B3" s="293"/>
      <c r="C3" s="293"/>
      <c r="D3" s="175" t="s">
        <v>1</v>
      </c>
      <c r="E3" s="294">
        <f>+'[22]Fiche de renseignement R1'!$V$10</f>
        <v>45657</v>
      </c>
      <c r="F3" s="295"/>
    </row>
    <row r="4" spans="1:6" s="175" customFormat="1" ht="15" customHeight="1">
      <c r="A4" s="295" t="str">
        <f>'[22]Fiche de renseignement R1'!J4</f>
        <v>ZENITH ENERGY SENEGAL SARL</v>
      </c>
      <c r="B4" s="295"/>
      <c r="C4" s="295"/>
      <c r="D4" s="296" t="s">
        <v>2</v>
      </c>
      <c r="E4" s="297">
        <f>+'[22]Fiche de renseignement R1'!$AH$10</f>
        <v>12</v>
      </c>
      <c r="F4" s="297"/>
    </row>
    <row r="5" spans="1:6" s="175" customFormat="1" ht="30.95" customHeight="1">
      <c r="A5" s="177" t="s">
        <v>3</v>
      </c>
      <c r="B5" s="298" t="str">
        <f>+'[22]Fiche de renseignement R1'!$J$10</f>
        <v>008567680</v>
      </c>
      <c r="C5" s="299"/>
      <c r="D5" s="296"/>
      <c r="E5" s="295"/>
      <c r="F5" s="295"/>
    </row>
    <row r="6" spans="1:6" s="175" customFormat="1" ht="8.1" customHeight="1">
      <c r="C6" s="176"/>
    </row>
    <row r="7" spans="1:6" ht="18" customHeight="1">
      <c r="A7" s="178" t="s">
        <v>4</v>
      </c>
      <c r="B7" s="179" t="s">
        <v>5</v>
      </c>
      <c r="C7" s="178"/>
      <c r="D7" s="178" t="s">
        <v>6</v>
      </c>
      <c r="E7" s="199">
        <v>2024</v>
      </c>
      <c r="F7" s="199">
        <v>2023</v>
      </c>
    </row>
    <row r="8" spans="1:6" ht="18" customHeight="1">
      <c r="A8" s="181" t="s">
        <v>7</v>
      </c>
      <c r="B8" s="182" t="s">
        <v>8</v>
      </c>
      <c r="C8" s="181" t="s">
        <v>9</v>
      </c>
      <c r="D8" s="181">
        <v>21</v>
      </c>
      <c r="E8" s="183">
        <v>0</v>
      </c>
      <c r="F8" s="183">
        <v>0</v>
      </c>
    </row>
    <row r="9" spans="1:6" ht="18" customHeight="1">
      <c r="A9" s="184" t="s">
        <v>10</v>
      </c>
      <c r="B9" s="185" t="s">
        <v>11</v>
      </c>
      <c r="C9" s="184" t="s">
        <v>12</v>
      </c>
      <c r="D9" s="184">
        <v>22</v>
      </c>
      <c r="E9" s="186">
        <v>0</v>
      </c>
      <c r="F9" s="186">
        <v>0</v>
      </c>
    </row>
    <row r="10" spans="1:6" ht="18" customHeight="1">
      <c r="A10" s="184" t="s">
        <v>13</v>
      </c>
      <c r="B10" s="187" t="s">
        <v>98</v>
      </c>
      <c r="C10" s="188" t="s">
        <v>15</v>
      </c>
      <c r="D10" s="188">
        <v>6</v>
      </c>
      <c r="E10" s="186">
        <v>0</v>
      </c>
      <c r="F10" s="186">
        <v>0</v>
      </c>
    </row>
    <row r="11" spans="1:6" ht="18" customHeight="1">
      <c r="A11" s="189" t="s">
        <v>16</v>
      </c>
      <c r="B11" s="190" t="s">
        <v>17</v>
      </c>
      <c r="C11" s="189"/>
      <c r="D11" s="189"/>
      <c r="E11" s="191">
        <v>0</v>
      </c>
      <c r="F11" s="191">
        <v>0</v>
      </c>
    </row>
    <row r="12" spans="1:6" ht="18" customHeight="1">
      <c r="A12" s="184" t="s">
        <v>18</v>
      </c>
      <c r="B12" s="185" t="s">
        <v>19</v>
      </c>
      <c r="C12" s="184" t="s">
        <v>9</v>
      </c>
      <c r="D12" s="184">
        <v>21</v>
      </c>
      <c r="E12" s="186">
        <v>0</v>
      </c>
      <c r="F12" s="186">
        <v>0</v>
      </c>
    </row>
    <row r="13" spans="1:6" ht="18" customHeight="1">
      <c r="A13" s="184" t="s">
        <v>20</v>
      </c>
      <c r="B13" s="185" t="s">
        <v>21</v>
      </c>
      <c r="C13" s="184" t="s">
        <v>9</v>
      </c>
      <c r="D13" s="184">
        <v>21</v>
      </c>
      <c r="E13" s="186">
        <v>5188357494</v>
      </c>
      <c r="F13" s="186">
        <v>7733511125</v>
      </c>
    </row>
    <row r="14" spans="1:6" ht="18" customHeight="1">
      <c r="A14" s="184" t="s">
        <v>22</v>
      </c>
      <c r="B14" s="185" t="s">
        <v>23</v>
      </c>
      <c r="C14" s="184" t="s">
        <v>9</v>
      </c>
      <c r="D14" s="184">
        <v>21</v>
      </c>
      <c r="E14" s="186">
        <v>0</v>
      </c>
      <c r="F14" s="186">
        <v>1000</v>
      </c>
    </row>
    <row r="15" spans="1:6" ht="18" customHeight="1">
      <c r="A15" s="189" t="s">
        <v>24</v>
      </c>
      <c r="B15" s="190" t="s">
        <v>25</v>
      </c>
      <c r="C15" s="189"/>
      <c r="D15" s="189"/>
      <c r="E15" s="191">
        <v>5188357494</v>
      </c>
      <c r="F15" s="191">
        <v>7733512125</v>
      </c>
    </row>
    <row r="16" spans="1:6" ht="18" customHeight="1">
      <c r="A16" s="184" t="s">
        <v>26</v>
      </c>
      <c r="B16" s="185" t="s">
        <v>27</v>
      </c>
      <c r="C16" s="188" t="s">
        <v>15</v>
      </c>
      <c r="D16" s="184">
        <v>6</v>
      </c>
      <c r="E16" s="186">
        <v>0</v>
      </c>
      <c r="F16" s="186">
        <v>0</v>
      </c>
    </row>
    <row r="17" spans="1:6" ht="18" customHeight="1">
      <c r="A17" s="184" t="s">
        <v>28</v>
      </c>
      <c r="B17" s="185" t="s">
        <v>29</v>
      </c>
      <c r="C17" s="184"/>
      <c r="D17" s="184">
        <v>21</v>
      </c>
      <c r="E17" s="186">
        <v>0</v>
      </c>
      <c r="F17" s="186">
        <v>0</v>
      </c>
    </row>
    <row r="18" spans="1:6" ht="18" customHeight="1">
      <c r="A18" s="184" t="s">
        <v>30</v>
      </c>
      <c r="B18" s="185" t="s">
        <v>31</v>
      </c>
      <c r="C18" s="184"/>
      <c r="D18" s="184">
        <v>21</v>
      </c>
      <c r="E18" s="186">
        <v>0</v>
      </c>
      <c r="F18" s="186">
        <v>0</v>
      </c>
    </row>
    <row r="19" spans="1:6" ht="18" customHeight="1">
      <c r="A19" s="184" t="s">
        <v>32</v>
      </c>
      <c r="B19" s="185" t="s">
        <v>33</v>
      </c>
      <c r="C19" s="184" t="s">
        <v>9</v>
      </c>
      <c r="D19" s="184">
        <v>21</v>
      </c>
      <c r="E19" s="186">
        <v>96712546</v>
      </c>
      <c r="F19" s="186">
        <v>8180</v>
      </c>
    </row>
    <row r="20" spans="1:6" ht="18" customHeight="1">
      <c r="A20" s="184" t="s">
        <v>34</v>
      </c>
      <c r="B20" s="185" t="s">
        <v>99</v>
      </c>
      <c r="C20" s="184" t="s">
        <v>9</v>
      </c>
      <c r="D20" s="184">
        <v>12</v>
      </c>
      <c r="E20" s="186">
        <v>0</v>
      </c>
      <c r="F20" s="186">
        <v>0</v>
      </c>
    </row>
    <row r="21" spans="1:6" ht="18" customHeight="1">
      <c r="A21" s="184" t="s">
        <v>36</v>
      </c>
      <c r="B21" s="185" t="s">
        <v>37</v>
      </c>
      <c r="C21" s="184" t="s">
        <v>12</v>
      </c>
      <c r="D21" s="184">
        <v>22</v>
      </c>
      <c r="E21" s="186">
        <v>0</v>
      </c>
      <c r="F21" s="186">
        <v>0</v>
      </c>
    </row>
    <row r="22" spans="1:6" ht="18" customHeight="1">
      <c r="A22" s="184" t="s">
        <v>38</v>
      </c>
      <c r="B22" s="187" t="s">
        <v>39</v>
      </c>
      <c r="C22" s="188" t="s">
        <v>15</v>
      </c>
      <c r="D22" s="184">
        <v>6</v>
      </c>
      <c r="E22" s="186">
        <v>0</v>
      </c>
      <c r="F22" s="186">
        <v>0</v>
      </c>
    </row>
    <row r="23" spans="1:6" ht="18" customHeight="1">
      <c r="A23" s="184" t="s">
        <v>40</v>
      </c>
      <c r="B23" s="185" t="s">
        <v>41</v>
      </c>
      <c r="C23" s="184" t="s">
        <v>12</v>
      </c>
      <c r="D23" s="184">
        <v>22</v>
      </c>
      <c r="E23" s="186">
        <v>-4961253827</v>
      </c>
      <c r="F23" s="186">
        <v>-4586278344</v>
      </c>
    </row>
    <row r="24" spans="1:6" ht="18" customHeight="1">
      <c r="A24" s="184" t="s">
        <v>42</v>
      </c>
      <c r="B24" s="187" t="s">
        <v>43</v>
      </c>
      <c r="C24" s="188" t="s">
        <v>15</v>
      </c>
      <c r="D24" s="184">
        <v>6</v>
      </c>
      <c r="E24" s="186">
        <v>0</v>
      </c>
      <c r="F24" s="186">
        <v>0</v>
      </c>
    </row>
    <row r="25" spans="1:6" ht="18" customHeight="1">
      <c r="A25" s="184" t="s">
        <v>44</v>
      </c>
      <c r="B25" s="185" t="s">
        <v>45</v>
      </c>
      <c r="C25" s="184" t="s">
        <v>12</v>
      </c>
      <c r="D25" s="184">
        <v>23</v>
      </c>
      <c r="E25" s="186">
        <v>0</v>
      </c>
      <c r="F25" s="186">
        <v>0</v>
      </c>
    </row>
    <row r="26" spans="1:6" ht="18" customHeight="1">
      <c r="A26" s="184" t="s">
        <v>46</v>
      </c>
      <c r="B26" s="185" t="s">
        <v>47</v>
      </c>
      <c r="C26" s="184" t="s">
        <v>12</v>
      </c>
      <c r="D26" s="184">
        <v>24</v>
      </c>
      <c r="E26" s="186">
        <v>-74390109</v>
      </c>
      <c r="F26" s="186">
        <v>-2959869381</v>
      </c>
    </row>
    <row r="27" spans="1:6" ht="18" customHeight="1">
      <c r="A27" s="184" t="s">
        <v>48</v>
      </c>
      <c r="B27" s="185" t="s">
        <v>49</v>
      </c>
      <c r="C27" s="184" t="s">
        <v>12</v>
      </c>
      <c r="D27" s="184">
        <v>25</v>
      </c>
      <c r="E27" s="186">
        <v>-15809900</v>
      </c>
      <c r="F27" s="186">
        <v>-15062108</v>
      </c>
    </row>
    <row r="28" spans="1:6" ht="18" customHeight="1">
      <c r="A28" s="184" t="s">
        <v>50</v>
      </c>
      <c r="B28" s="185" t="s">
        <v>51</v>
      </c>
      <c r="C28" s="184" t="s">
        <v>12</v>
      </c>
      <c r="D28" s="184">
        <v>26</v>
      </c>
      <c r="E28" s="186">
        <v>-29578597</v>
      </c>
      <c r="F28" s="186">
        <v>-96686999</v>
      </c>
    </row>
    <row r="29" spans="1:6" ht="18" customHeight="1">
      <c r="A29" s="189" t="s">
        <v>52</v>
      </c>
      <c r="B29" s="190" t="s">
        <v>53</v>
      </c>
      <c r="C29" s="189"/>
      <c r="D29" s="189"/>
      <c r="E29" s="191">
        <v>204037607</v>
      </c>
      <c r="F29" s="191">
        <v>75623473</v>
      </c>
    </row>
    <row r="30" spans="1:6" ht="18" customHeight="1">
      <c r="A30" s="184" t="s">
        <v>54</v>
      </c>
      <c r="B30" s="185" t="s">
        <v>55</v>
      </c>
      <c r="C30" s="184" t="s">
        <v>12</v>
      </c>
      <c r="D30" s="184">
        <v>27</v>
      </c>
      <c r="E30" s="186">
        <v>0</v>
      </c>
      <c r="F30" s="186">
        <v>0</v>
      </c>
    </row>
    <row r="31" spans="1:6" ht="18" customHeight="1">
      <c r="A31" s="189" t="s">
        <v>56</v>
      </c>
      <c r="B31" s="190" t="s">
        <v>57</v>
      </c>
      <c r="C31" s="189"/>
      <c r="D31" s="189"/>
      <c r="E31" s="191">
        <v>204037607</v>
      </c>
      <c r="F31" s="191">
        <v>75623473</v>
      </c>
    </row>
    <row r="32" spans="1:6" ht="18" customHeight="1">
      <c r="A32" s="184" t="s">
        <v>58</v>
      </c>
      <c r="B32" s="185" t="s">
        <v>100</v>
      </c>
      <c r="C32" s="184" t="s">
        <v>9</v>
      </c>
      <c r="D32" s="184">
        <v>28</v>
      </c>
      <c r="E32" s="186">
        <v>0</v>
      </c>
      <c r="F32" s="186">
        <v>0</v>
      </c>
    </row>
    <row r="33" spans="1:6" ht="18" customHeight="1">
      <c r="A33" s="184" t="s">
        <v>60</v>
      </c>
      <c r="B33" s="185" t="s">
        <v>61</v>
      </c>
      <c r="C33" s="184" t="s">
        <v>12</v>
      </c>
      <c r="D33" s="184" t="s">
        <v>62</v>
      </c>
      <c r="E33" s="186">
        <v>0</v>
      </c>
      <c r="F33" s="186">
        <v>0</v>
      </c>
    </row>
    <row r="34" spans="1:6" ht="18" customHeight="1">
      <c r="A34" s="189" t="s">
        <v>63</v>
      </c>
      <c r="B34" s="190" t="s">
        <v>64</v>
      </c>
      <c r="C34" s="189"/>
      <c r="D34" s="189"/>
      <c r="E34" s="191">
        <v>204037607</v>
      </c>
      <c r="F34" s="191">
        <v>75623473</v>
      </c>
    </row>
    <row r="35" spans="1:6" ht="18" customHeight="1">
      <c r="A35" s="184" t="s">
        <v>65</v>
      </c>
      <c r="B35" s="185" t="s">
        <v>66</v>
      </c>
      <c r="C35" s="184" t="s">
        <v>9</v>
      </c>
      <c r="D35" s="184">
        <v>29</v>
      </c>
      <c r="E35" s="186">
        <v>6851016</v>
      </c>
      <c r="F35" s="186">
        <v>9313190</v>
      </c>
    </row>
    <row r="36" spans="1:6" ht="18" customHeight="1">
      <c r="A36" s="184" t="s">
        <v>67</v>
      </c>
      <c r="B36" s="185" t="s">
        <v>68</v>
      </c>
      <c r="C36" s="184" t="s">
        <v>9</v>
      </c>
      <c r="D36" s="184">
        <v>28</v>
      </c>
      <c r="E36" s="186">
        <v>0</v>
      </c>
      <c r="F36" s="186">
        <v>0</v>
      </c>
    </row>
    <row r="37" spans="1:6" ht="18" customHeight="1">
      <c r="A37" s="184" t="s">
        <v>69</v>
      </c>
      <c r="B37" s="185" t="s">
        <v>101</v>
      </c>
      <c r="C37" s="184" t="s">
        <v>9</v>
      </c>
      <c r="D37" s="184">
        <v>12</v>
      </c>
      <c r="E37" s="186">
        <v>0</v>
      </c>
      <c r="F37" s="186">
        <v>0</v>
      </c>
    </row>
    <row r="38" spans="1:6" ht="18" customHeight="1">
      <c r="A38" s="184" t="s">
        <v>71</v>
      </c>
      <c r="B38" s="185" t="s">
        <v>72</v>
      </c>
      <c r="C38" s="184" t="s">
        <v>12</v>
      </c>
      <c r="D38" s="184">
        <v>29</v>
      </c>
      <c r="E38" s="186">
        <v>0</v>
      </c>
      <c r="F38" s="186">
        <v>-160988988</v>
      </c>
    </row>
    <row r="39" spans="1:6" ht="18" customHeight="1">
      <c r="A39" s="184" t="s">
        <v>73</v>
      </c>
      <c r="B39" s="185" t="s">
        <v>74</v>
      </c>
      <c r="C39" s="184" t="s">
        <v>12</v>
      </c>
      <c r="D39" s="184" t="s">
        <v>62</v>
      </c>
      <c r="E39" s="186">
        <v>0</v>
      </c>
      <c r="F39" s="186">
        <v>0</v>
      </c>
    </row>
    <row r="40" spans="1:6" ht="18" customHeight="1">
      <c r="A40" s="189" t="s">
        <v>75</v>
      </c>
      <c r="B40" s="190" t="s">
        <v>76</v>
      </c>
      <c r="C40" s="189"/>
      <c r="D40" s="189"/>
      <c r="E40" s="191">
        <v>6851016</v>
      </c>
      <c r="F40" s="191">
        <v>-151675798</v>
      </c>
    </row>
    <row r="41" spans="1:6" ht="18" customHeight="1">
      <c r="A41" s="192" t="s">
        <v>77</v>
      </c>
      <c r="B41" s="193" t="s">
        <v>78</v>
      </c>
      <c r="C41" s="192"/>
      <c r="D41" s="192"/>
      <c r="E41" s="194">
        <v>210888623</v>
      </c>
      <c r="F41" s="194">
        <v>-76052325</v>
      </c>
    </row>
    <row r="42" spans="1:6" ht="18" customHeight="1">
      <c r="A42" s="184" t="s">
        <v>79</v>
      </c>
      <c r="B42" s="185" t="s">
        <v>80</v>
      </c>
      <c r="C42" s="184" t="s">
        <v>9</v>
      </c>
      <c r="D42" s="184" t="s">
        <v>81</v>
      </c>
      <c r="E42" s="186">
        <v>0</v>
      </c>
      <c r="F42" s="186">
        <v>0</v>
      </c>
    </row>
    <row r="43" spans="1:6" ht="18" customHeight="1">
      <c r="A43" s="184" t="s">
        <v>82</v>
      </c>
      <c r="B43" s="185" t="s">
        <v>83</v>
      </c>
      <c r="C43" s="184" t="s">
        <v>9</v>
      </c>
      <c r="D43" s="184">
        <v>30</v>
      </c>
      <c r="E43" s="186">
        <v>0</v>
      </c>
      <c r="F43" s="186">
        <v>0</v>
      </c>
    </row>
    <row r="44" spans="1:6" ht="18" customHeight="1">
      <c r="A44" s="184" t="s">
        <v>84</v>
      </c>
      <c r="B44" s="185" t="s">
        <v>85</v>
      </c>
      <c r="C44" s="184" t="s">
        <v>12</v>
      </c>
      <c r="D44" s="184" t="s">
        <v>81</v>
      </c>
      <c r="E44" s="186">
        <v>0</v>
      </c>
      <c r="F44" s="186">
        <v>0</v>
      </c>
    </row>
    <row r="45" spans="1:6" ht="18" customHeight="1">
      <c r="A45" s="184" t="s">
        <v>86</v>
      </c>
      <c r="B45" s="185" t="s">
        <v>102</v>
      </c>
      <c r="C45" s="184" t="s">
        <v>12</v>
      </c>
      <c r="D45" s="184">
        <v>30</v>
      </c>
      <c r="E45" s="186">
        <v>0</v>
      </c>
      <c r="F45" s="186">
        <v>0</v>
      </c>
    </row>
    <row r="46" spans="1:6" ht="18" customHeight="1">
      <c r="A46" s="192" t="s">
        <v>88</v>
      </c>
      <c r="B46" s="193" t="s">
        <v>89</v>
      </c>
      <c r="C46" s="192"/>
      <c r="D46" s="192"/>
      <c r="E46" s="194">
        <v>0</v>
      </c>
      <c r="F46" s="194">
        <v>0</v>
      </c>
    </row>
    <row r="47" spans="1:6" ht="18" customHeight="1">
      <c r="A47" s="184" t="s">
        <v>90</v>
      </c>
      <c r="B47" s="185" t="s">
        <v>103</v>
      </c>
      <c r="C47" s="184" t="s">
        <v>12</v>
      </c>
      <c r="D47" s="184">
        <v>30</v>
      </c>
      <c r="E47" s="186">
        <v>0</v>
      </c>
      <c r="F47" s="186">
        <v>0</v>
      </c>
    </row>
    <row r="48" spans="1:6" ht="18" customHeight="1">
      <c r="A48" s="184" t="s">
        <v>92</v>
      </c>
      <c r="B48" s="185" t="s">
        <v>93</v>
      </c>
      <c r="C48" s="184" t="s">
        <v>12</v>
      </c>
      <c r="D48" s="184"/>
      <c r="E48" s="186">
        <v>-23346900</v>
      </c>
      <c r="F48" s="186">
        <v>-5000000</v>
      </c>
    </row>
    <row r="49" spans="1:6" ht="18" customHeight="1">
      <c r="A49" s="189" t="s">
        <v>94</v>
      </c>
      <c r="B49" s="190" t="s">
        <v>95</v>
      </c>
      <c r="C49" s="189"/>
      <c r="D49" s="189"/>
      <c r="E49" s="191">
        <v>187541723</v>
      </c>
      <c r="F49" s="191">
        <v>-81052325</v>
      </c>
    </row>
    <row r="53" spans="1:6" ht="12.75" customHeight="1">
      <c r="B53" s="196"/>
      <c r="C53" s="196"/>
    </row>
    <row r="54" spans="1:6" ht="12.75" customHeight="1">
      <c r="B54" s="196"/>
      <c r="C54" s="196"/>
    </row>
    <row r="55" spans="1:6" ht="12.75" customHeight="1">
      <c r="B55" s="196"/>
      <c r="C55" s="196"/>
    </row>
    <row r="58" spans="1:6" ht="12.75" customHeight="1">
      <c r="B58" s="196"/>
      <c r="C58" s="196"/>
    </row>
    <row r="59" spans="1:6" ht="12.75" customHeight="1">
      <c r="B59" s="196"/>
      <c r="C59" s="196"/>
    </row>
    <row r="62" spans="1:6" ht="12.75" customHeight="1">
      <c r="E62" s="198"/>
      <c r="F62" s="198"/>
    </row>
    <row r="63" spans="1:6" ht="12.75" customHeight="1">
      <c r="E63" s="198"/>
      <c r="F63" s="198"/>
    </row>
    <row r="64" spans="1:6" ht="12.75" customHeight="1">
      <c r="E64" s="198"/>
      <c r="F64" s="198"/>
    </row>
    <row r="65" spans="5:6" ht="12.75" customHeight="1">
      <c r="E65" s="198"/>
      <c r="F65" s="198"/>
    </row>
    <row r="66" spans="5:6" ht="12.75" customHeight="1">
      <c r="E66" s="198"/>
      <c r="F66" s="198"/>
    </row>
    <row r="67" spans="5:6" ht="12.75" customHeight="1">
      <c r="E67" s="198"/>
      <c r="F67" s="198"/>
    </row>
    <row r="68" spans="5:6" ht="12.75" customHeight="1">
      <c r="E68" s="198"/>
      <c r="F68" s="198"/>
    </row>
    <row r="69" spans="5:6" ht="12.75" customHeight="1">
      <c r="E69" s="198"/>
      <c r="F69" s="198"/>
    </row>
    <row r="70" spans="5:6" ht="12.75" customHeight="1">
      <c r="E70" s="198"/>
      <c r="F70" s="198"/>
    </row>
    <row r="71" spans="5:6" ht="12.75" customHeight="1">
      <c r="E71" s="198"/>
      <c r="F71" s="198"/>
    </row>
    <row r="72" spans="5:6" ht="12.75" customHeight="1">
      <c r="E72" s="198"/>
      <c r="F72" s="198"/>
    </row>
    <row r="73" spans="5:6" ht="12.75" customHeight="1">
      <c r="E73" s="198"/>
      <c r="F73" s="198"/>
    </row>
    <row r="74" spans="5:6" ht="12.75" customHeight="1">
      <c r="E74" s="198"/>
      <c r="F74" s="198"/>
    </row>
    <row r="75" spans="5:6" ht="12.75" customHeight="1">
      <c r="E75" s="198"/>
      <c r="F75" s="198"/>
    </row>
    <row r="76" spans="5:6" ht="12.75" customHeight="1">
      <c r="E76" s="198"/>
      <c r="F76" s="198"/>
    </row>
    <row r="77" spans="5:6" ht="12.75" customHeight="1">
      <c r="E77" s="198"/>
      <c r="F77" s="198"/>
    </row>
    <row r="78" spans="5:6" ht="12.75" customHeight="1">
      <c r="E78" s="198"/>
      <c r="F78" s="198"/>
    </row>
    <row r="79" spans="5:6" ht="12.75" customHeight="1">
      <c r="E79" s="198"/>
      <c r="F79" s="198"/>
    </row>
    <row r="80" spans="5:6" ht="12.75" customHeight="1">
      <c r="E80" s="198"/>
      <c r="F80" s="198"/>
    </row>
    <row r="81" spans="5:6" ht="12.75" customHeight="1">
      <c r="E81" s="198"/>
      <c r="F81" s="198"/>
    </row>
    <row r="82" spans="5:6" ht="12.75" customHeight="1">
      <c r="E82" s="198"/>
      <c r="F82" s="198"/>
    </row>
    <row r="83" spans="5:6" ht="12.75" customHeight="1">
      <c r="E83" s="198"/>
      <c r="F83" s="198"/>
    </row>
    <row r="84" spans="5:6" ht="12.75" customHeight="1">
      <c r="E84" s="198"/>
      <c r="F84" s="198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allowBlank="1" showInputMessage="1" showErrorMessage="1" errorTitle="Erreur de saisie" error="La cellule ne peut prendre que du numérique." promptTitle="Information" prompt="Cette cellule ne peut prendre que du numérique," sqref="E8:F49" xr:uid="{6FA9A6BF-8F46-4835-934B-10B70EB088B7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62B28EDB-C429-4A6B-B767-C92FEFB11B6C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3261281B-449A-4EE0-A096-84F3F2721E65}"/>
  </dataValidation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3644F-0196-4803-B8C9-4B789649410F}">
  <sheetPr codeName="Feuil52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+'[23]Fiche de renseignement R1'!$V$10</f>
        <v>45657</v>
      </c>
      <c r="F3" s="258"/>
    </row>
    <row r="4" spans="1:6" s="1" customFormat="1" ht="15" customHeight="1">
      <c r="A4" s="258"/>
      <c r="B4" s="258"/>
      <c r="C4" s="258"/>
      <c r="D4" s="259" t="s">
        <v>2</v>
      </c>
      <c r="E4" s="260">
        <f>+'[23]Fiche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+'[23]Fiche de renseignement R1'!$J$10</f>
        <v>008650196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232"/>
      <c r="F8" s="233"/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234"/>
      <c r="F9" s="235"/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234"/>
      <c r="F10" s="235"/>
    </row>
    <row r="11" spans="1:6" ht="18" customHeight="1">
      <c r="A11" s="16" t="s">
        <v>16</v>
      </c>
      <c r="B11" s="17" t="s">
        <v>17</v>
      </c>
      <c r="C11" s="16"/>
      <c r="D11" s="16"/>
      <c r="E11" s="236"/>
      <c r="F11" s="237"/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234"/>
      <c r="F12" s="235"/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234"/>
      <c r="F13" s="235"/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234"/>
      <c r="F14" s="235"/>
    </row>
    <row r="15" spans="1:6" ht="18" customHeight="1">
      <c r="A15" s="16" t="s">
        <v>24</v>
      </c>
      <c r="B15" s="17" t="s">
        <v>25</v>
      </c>
      <c r="C15" s="16"/>
      <c r="D15" s="16"/>
      <c r="E15" s="236">
        <v>0</v>
      </c>
      <c r="F15" s="237"/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234"/>
      <c r="F16" s="235"/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234"/>
      <c r="F17" s="235"/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234">
        <v>544699080</v>
      </c>
      <c r="F18" s="235">
        <v>692307400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234">
        <v>2391649</v>
      </c>
      <c r="F19" s="235">
        <v>570760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34"/>
      <c r="F20" s="235">
        <v>6000000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234"/>
      <c r="F21" s="235"/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234"/>
      <c r="F22" s="235"/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234">
        <v>-54599120</v>
      </c>
      <c r="F23" s="235">
        <v>-77322803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234">
        <v>4262257</v>
      </c>
      <c r="F24" s="235">
        <v>5429178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234">
        <v>-9384400</v>
      </c>
      <c r="F25" s="235">
        <v>-12695700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234">
        <v>-96543490</v>
      </c>
      <c r="F26" s="235">
        <v>-300326350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234">
        <v>-8978915</v>
      </c>
      <c r="F27" s="235">
        <v>-6671470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234">
        <v>-63953438</v>
      </c>
      <c r="F28" s="235">
        <v>-53644263</v>
      </c>
    </row>
    <row r="29" spans="1:6" ht="18" customHeight="1">
      <c r="A29" s="16" t="s">
        <v>52</v>
      </c>
      <c r="B29" s="17" t="s">
        <v>53</v>
      </c>
      <c r="C29" s="16"/>
      <c r="D29" s="16"/>
      <c r="E29" s="236">
        <f>SUM(E18:E28)</f>
        <v>317893623</v>
      </c>
      <c r="F29" s="237">
        <f>SUM(F18:F28)</f>
        <v>253646752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234">
        <v>-375419284</v>
      </c>
      <c r="F30" s="235">
        <v>-285007685</v>
      </c>
    </row>
    <row r="31" spans="1:6" ht="18" customHeight="1">
      <c r="A31" s="16" t="s">
        <v>56</v>
      </c>
      <c r="B31" s="17" t="s">
        <v>57</v>
      </c>
      <c r="C31" s="16"/>
      <c r="D31" s="16"/>
      <c r="E31" s="236">
        <f>+E29+E30</f>
        <v>-57525661</v>
      </c>
      <c r="F31" s="237">
        <f>+F29+F30</f>
        <v>-31360933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234"/>
      <c r="F32" s="235"/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34">
        <v>-55734734</v>
      </c>
      <c r="F33" s="235">
        <v>-50196130</v>
      </c>
    </row>
    <row r="34" spans="1:6" ht="18" customHeight="1">
      <c r="A34" s="16" t="s">
        <v>63</v>
      </c>
      <c r="B34" s="17" t="s">
        <v>64</v>
      </c>
      <c r="C34" s="16"/>
      <c r="D34" s="16"/>
      <c r="E34" s="236">
        <f>+E31+E33</f>
        <v>-113260395</v>
      </c>
      <c r="F34" s="237">
        <f>+F31+F33</f>
        <v>-81557063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234"/>
      <c r="F35" s="235"/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234"/>
      <c r="F36" s="235"/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234"/>
      <c r="F37" s="235"/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234">
        <v>-273123</v>
      </c>
      <c r="F38" s="235"/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234"/>
      <c r="F39" s="235"/>
    </row>
    <row r="40" spans="1:6" ht="18" customHeight="1">
      <c r="A40" s="16" t="s">
        <v>75</v>
      </c>
      <c r="B40" s="17" t="s">
        <v>76</v>
      </c>
      <c r="C40" s="16"/>
      <c r="D40" s="16"/>
      <c r="E40" s="236"/>
      <c r="F40" s="237"/>
    </row>
    <row r="41" spans="1:6" ht="18" customHeight="1">
      <c r="A41" s="22" t="s">
        <v>77</v>
      </c>
      <c r="B41" s="23" t="s">
        <v>78</v>
      </c>
      <c r="C41" s="22"/>
      <c r="D41" s="22"/>
      <c r="E41" s="238">
        <f>+E34+E38</f>
        <v>-113533518</v>
      </c>
      <c r="F41" s="239">
        <f>+F34+F38</f>
        <v>-81557063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234"/>
      <c r="F42" s="235"/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234">
        <v>71584461</v>
      </c>
      <c r="F43" s="235">
        <v>47227330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234">
        <v>-2180181</v>
      </c>
      <c r="F44" s="235">
        <v>-1616600</v>
      </c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234"/>
      <c r="F45" s="235"/>
    </row>
    <row r="46" spans="1:6" ht="18" customHeight="1">
      <c r="A46" s="22" t="s">
        <v>88</v>
      </c>
      <c r="B46" s="23" t="s">
        <v>89</v>
      </c>
      <c r="C46" s="22"/>
      <c r="D46" s="22"/>
      <c r="E46" s="238">
        <f>+E43+E44</f>
        <v>69404280</v>
      </c>
      <c r="F46" s="239">
        <f>+F43+F44</f>
        <v>45610730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234"/>
      <c r="F47" s="235"/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234"/>
      <c r="F48" s="235"/>
    </row>
    <row r="49" spans="1:6" ht="18" customHeight="1" thickBot="1">
      <c r="A49" s="16" t="s">
        <v>94</v>
      </c>
      <c r="B49" s="17" t="s">
        <v>95</v>
      </c>
      <c r="C49" s="16"/>
      <c r="D49" s="16"/>
      <c r="E49" s="240">
        <f>+E41+E46</f>
        <v>-44129238</v>
      </c>
      <c r="F49" s="241">
        <f>+F41+F46</f>
        <v>-35946333</v>
      </c>
    </row>
    <row r="53" spans="1:6" ht="12.95" customHeight="1">
      <c r="B53" s="29"/>
      <c r="C53" s="29"/>
    </row>
    <row r="54" spans="1:6" ht="12.95" customHeight="1">
      <c r="B54" s="29"/>
      <c r="C54" s="29"/>
    </row>
    <row r="55" spans="1:6" ht="12.95" customHeight="1">
      <c r="B55" s="29"/>
      <c r="C55" s="29"/>
    </row>
    <row r="58" spans="1:6" ht="12.95" customHeight="1">
      <c r="B58" s="29"/>
      <c r="C58" s="29"/>
    </row>
    <row r="59" spans="1:6" ht="12.95" customHeight="1">
      <c r="B59" s="29"/>
      <c r="C59" s="29"/>
    </row>
    <row r="62" spans="1:6" ht="12.95" customHeight="1">
      <c r="E62" s="30"/>
      <c r="F62" s="30"/>
    </row>
    <row r="63" spans="1:6" ht="12.95" customHeight="1">
      <c r="E63" s="30"/>
      <c r="F63" s="30"/>
    </row>
    <row r="64" spans="1:6" ht="12.95" customHeight="1">
      <c r="E64" s="30"/>
      <c r="F64" s="30"/>
    </row>
    <row r="65" spans="5:6" ht="12.95" customHeight="1">
      <c r="E65" s="30"/>
      <c r="F65" s="30"/>
    </row>
    <row r="66" spans="5:6" ht="12.95" customHeight="1">
      <c r="E66" s="30"/>
      <c r="F66" s="30"/>
    </row>
    <row r="67" spans="5:6" ht="12.95" customHeight="1">
      <c r="E67" s="30"/>
      <c r="F67" s="30"/>
    </row>
    <row r="68" spans="5:6" ht="12.95" customHeight="1">
      <c r="E68" s="30"/>
      <c r="F68" s="30"/>
    </row>
    <row r="69" spans="5:6" ht="12.95" customHeight="1">
      <c r="E69" s="30"/>
      <c r="F69" s="30"/>
    </row>
    <row r="70" spans="5:6" ht="12.95" customHeight="1">
      <c r="E70" s="30"/>
      <c r="F70" s="30"/>
    </row>
    <row r="71" spans="5:6" ht="12.95" customHeight="1">
      <c r="E71" s="30"/>
      <c r="F71" s="30"/>
    </row>
    <row r="72" spans="5:6" ht="12.95" customHeight="1">
      <c r="E72" s="30"/>
      <c r="F72" s="30"/>
    </row>
    <row r="73" spans="5:6" ht="12.95" customHeight="1">
      <c r="E73" s="30"/>
      <c r="F73" s="30"/>
    </row>
    <row r="74" spans="5:6" ht="12.95" customHeight="1">
      <c r="E74" s="30"/>
      <c r="F74" s="30"/>
    </row>
    <row r="75" spans="5:6" ht="12.95" customHeight="1">
      <c r="E75" s="30"/>
      <c r="F75" s="30"/>
    </row>
    <row r="76" spans="5:6" ht="12.95" customHeight="1">
      <c r="E76" s="30"/>
      <c r="F76" s="30"/>
    </row>
    <row r="77" spans="5:6" ht="12.95" customHeight="1">
      <c r="E77" s="30"/>
      <c r="F77" s="30"/>
    </row>
    <row r="78" spans="5:6" ht="12.95" customHeight="1">
      <c r="E78" s="30"/>
      <c r="F78" s="30"/>
    </row>
    <row r="79" spans="5:6" ht="12.95" customHeight="1">
      <c r="E79" s="30"/>
      <c r="F79" s="30"/>
    </row>
    <row r="80" spans="5:6" ht="12.95" customHeight="1">
      <c r="E80" s="30"/>
      <c r="F80" s="30"/>
    </row>
    <row r="81" spans="5:6" ht="12.95" customHeight="1">
      <c r="E81" s="30"/>
      <c r="F81" s="30"/>
    </row>
    <row r="82" spans="5:6" ht="12.95" customHeight="1">
      <c r="E82" s="30"/>
      <c r="F82" s="30"/>
    </row>
    <row r="83" spans="5:6" ht="12.95" customHeight="1">
      <c r="E83" s="30"/>
      <c r="F83" s="30"/>
    </row>
    <row r="84" spans="5:6" ht="12.9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B9ACDB5-6681-4DA4-8E19-7F3E3F5AAC3D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1A16CC5D-CC65-4A12-B63D-F3C00E7E4115}"/>
    <dataValidation allowBlank="1" showInputMessage="1" showErrorMessage="1" errorTitle="Erreur de saisie" error="La cellule ne peut prendre que du numérique." promptTitle="Information" prompt="Cette cellule ne peut prendre que du numérique," sqref="E8:F49" xr:uid="{9E145038-6021-43D5-B4A4-54AB30A671E7}"/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3A39F-BB68-45BC-AED0-A9DBED74539A}">
  <sheetPr codeName="Feuil53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5" width="22" style="28" customWidth="1" collapsed="1"/>
    <col min="6" max="6" width="20.2851562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tr">
        <f>'[24]BILAN PAYSAGE'!A3:C3</f>
        <v>Désignation entité :</v>
      </c>
      <c r="B3" s="256"/>
      <c r="C3" s="256"/>
      <c r="D3" s="1" t="s">
        <v>1</v>
      </c>
      <c r="E3" s="257">
        <f>+'[24]Fiche de renseignement R1'!$V$10</f>
        <v>45657</v>
      </c>
      <c r="F3" s="258"/>
    </row>
    <row r="4" spans="1:6" s="1" customFormat="1" ht="15" customHeight="1">
      <c r="A4" s="258" t="str">
        <f>+'[24]BILAN PAYSAGE'!A4:C4</f>
        <v>ASCO SENEGAL LLC</v>
      </c>
      <c r="B4" s="258"/>
      <c r="C4" s="258"/>
      <c r="D4" s="259" t="s">
        <v>2</v>
      </c>
      <c r="E4" s="260">
        <f>+'[24]Fiche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+'[24]Fiche de renseignement R1'!$J$10</f>
        <v>008804610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6" ht="18" customHeight="1">
      <c r="A11" s="16" t="s">
        <v>16</v>
      </c>
      <c r="B11" s="17" t="s">
        <v>17</v>
      </c>
      <c r="C11" s="16"/>
      <c r="D11" s="16"/>
      <c r="E11" s="18">
        <f>SUM(E8:E10)</f>
        <v>0</v>
      </c>
      <c r="F11" s="18">
        <f>SUM(F8:F10)</f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/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2750570858</v>
      </c>
      <c r="F13" s="13">
        <v>3554295639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/>
      <c r="F14" s="13"/>
    </row>
    <row r="15" spans="1:6" ht="18" customHeight="1">
      <c r="A15" s="16" t="s">
        <v>24</v>
      </c>
      <c r="B15" s="17" t="s">
        <v>25</v>
      </c>
      <c r="C15" s="16"/>
      <c r="D15" s="16"/>
      <c r="E15" s="18">
        <f>E8+E12+E13+E14</f>
        <v>2750570858</v>
      </c>
      <c r="F15" s="18">
        <f>F8+F12+F13+F14</f>
        <v>3554295639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/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/>
      <c r="F17" s="13"/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/>
      <c r="F18" s="13"/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/>
      <c r="F19" s="13"/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/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/>
      <c r="F21" s="13"/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/>
      <c r="F22" s="13"/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-36943228</v>
      </c>
      <c r="F23" s="13">
        <v>-58399635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/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-53743828</v>
      </c>
      <c r="F25" s="13">
        <v>-37442041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-371600135</v>
      </c>
      <c r="F26" s="13">
        <v>-563503976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-40081903</v>
      </c>
      <c r="F27" s="13">
        <v>-49263870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-159108417</v>
      </c>
      <c r="F28" s="13">
        <v>-128879892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f>SUM(E16:E28)+E11+E15</f>
        <v>2089093347</v>
      </c>
      <c r="F29" s="18">
        <f>SUM(F16:F28)+F11+F15</f>
        <v>2716806225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-1549361152</v>
      </c>
      <c r="F30" s="13">
        <v>-2048356361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f>SUM(E29:E30)</f>
        <v>539732195</v>
      </c>
      <c r="F31" s="18">
        <f>SUM(F29:F30)</f>
        <v>668449864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/>
      <c r="F32" s="13"/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-12625053</v>
      </c>
      <c r="F33" s="21">
        <v>-25205005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f>SUM(E31:E33)</f>
        <v>527107142</v>
      </c>
      <c r="F34" s="18">
        <f>SUM(F31:F33)</f>
        <v>643244859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/>
      <c r="F35" s="13">
        <v>6431865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-20419149</v>
      </c>
      <c r="F38" s="13">
        <v>-58401150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/>
    </row>
    <row r="40" spans="1:6" ht="18" customHeight="1">
      <c r="A40" s="16" t="s">
        <v>75</v>
      </c>
      <c r="B40" s="17" t="s">
        <v>76</v>
      </c>
      <c r="C40" s="16"/>
      <c r="D40" s="16"/>
      <c r="E40" s="18">
        <f>SUM(E35:E39)</f>
        <v>-20419149</v>
      </c>
      <c r="F40" s="18">
        <f>SUM(F35:F39)</f>
        <v>-51969285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f>+E34+E40</f>
        <v>506687993</v>
      </c>
      <c r="F41" s="24">
        <f>+F34+F40</f>
        <v>591275574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/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</row>
    <row r="46" spans="1:6" ht="18" customHeight="1">
      <c r="A46" s="22" t="s">
        <v>88</v>
      </c>
      <c r="B46" s="23" t="s">
        <v>89</v>
      </c>
      <c r="C46" s="22"/>
      <c r="D46" s="22"/>
      <c r="E46" s="24">
        <f>SUM(E42:E45)</f>
        <v>0</v>
      </c>
      <c r="F46" s="24">
        <f>SUM(F42:F45)</f>
        <v>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-212998648</v>
      </c>
      <c r="F48" s="13">
        <v>-289381149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f>+E48+E46+E41</f>
        <v>293689345</v>
      </c>
      <c r="F49" s="18">
        <f>+F48+F46+F41</f>
        <v>301894425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E3:F3"/>
    <mergeCell ref="D4:D5"/>
    <mergeCell ref="E4:F5"/>
    <mergeCell ref="A3:C3"/>
    <mergeCell ref="A4:C4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E5389468-CFAF-4914-B642-F93C910D90D9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DFEE40BC-3285-4690-95E8-3DB59AF982E4}"/>
    <dataValidation allowBlank="1" showInputMessage="1" showErrorMessage="1" errorTitle="Erreur de saisie" error="La cellule ne peut prendre que du numérique." promptTitle="Information" prompt="Cette cellule ne peut prendre que du numérique," sqref="E8:F49" xr:uid="{0A2698B3-8775-4F11-AEA1-E3E0CD94502E}"/>
  </dataValidation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CDA49-EE5B-4BB1-A497-CD797DA02A8D}">
  <sheetPr codeName="Feuil54"/>
  <dimension ref="A1:H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</row>
    <row r="2" spans="1:8" s="1" customFormat="1" ht="8.1" customHeight="1">
      <c r="C2" s="2"/>
    </row>
    <row r="3" spans="1:8" s="1" customFormat="1" ht="25.5" customHeight="1">
      <c r="A3" s="301" t="s">
        <v>113</v>
      </c>
      <c r="B3" s="301"/>
      <c r="C3" s="301"/>
      <c r="D3" s="1" t="s">
        <v>1</v>
      </c>
      <c r="E3" s="257">
        <f>+'[25]Fiche de renseignement R1'!$V$10</f>
        <v>45657</v>
      </c>
      <c r="F3" s="258"/>
    </row>
    <row r="4" spans="1:8" s="1" customFormat="1" ht="15" customHeight="1">
      <c r="A4" s="258">
        <f>+'[25]BILAN PAYSAGE'!A4:C4</f>
        <v>0</v>
      </c>
      <c r="B4" s="258"/>
      <c r="C4" s="258"/>
      <c r="D4" s="259" t="s">
        <v>2</v>
      </c>
      <c r="E4" s="260">
        <f>+'[25]Fiche de renseignement R1'!$AH$10</f>
        <v>12</v>
      </c>
      <c r="F4" s="260"/>
    </row>
    <row r="5" spans="1:8" s="1" customFormat="1" ht="30.95" customHeight="1">
      <c r="A5" s="4" t="s">
        <v>3</v>
      </c>
      <c r="B5" s="261" t="str">
        <f>+'[25]Fiche de renseignement R1'!$J$10</f>
        <v xml:space="preserve">008814180 </v>
      </c>
      <c r="C5" s="261"/>
      <c r="D5" s="259"/>
      <c r="E5" s="258"/>
      <c r="F5" s="258"/>
    </row>
    <row r="6" spans="1:8" s="1" customFormat="1" ht="8.1" customHeight="1">
      <c r="C6" s="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10"/>
      <c r="F8" s="10"/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/>
      <c r="F9" s="13"/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/>
      <c r="F10" s="13"/>
    </row>
    <row r="11" spans="1:8" ht="18" customHeight="1">
      <c r="A11" s="16" t="s">
        <v>16</v>
      </c>
      <c r="B11" s="17" t="s">
        <v>17</v>
      </c>
      <c r="C11" s="16"/>
      <c r="D11" s="16"/>
      <c r="E11" s="18">
        <f>+E8+E9+E10</f>
        <v>0</v>
      </c>
      <c r="F11" s="18">
        <f>+F8+F9+F10</f>
        <v>0</v>
      </c>
      <c r="H11" s="30"/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/>
      <c r="F12" s="13">
        <v>0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81852000</v>
      </c>
      <c r="F13" s="13"/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/>
      <c r="F14" s="13">
        <v>0</v>
      </c>
    </row>
    <row r="15" spans="1:8" ht="18" customHeight="1">
      <c r="A15" s="16" t="s">
        <v>24</v>
      </c>
      <c r="B15" s="17" t="s">
        <v>25</v>
      </c>
      <c r="C15" s="16"/>
      <c r="D15" s="16"/>
      <c r="E15" s="18">
        <f>+E12+E13+E14+E8</f>
        <v>81852000</v>
      </c>
      <c r="F15" s="18">
        <f>+F12+F13+F14+F8</f>
        <v>0</v>
      </c>
      <c r="H15" s="30"/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/>
      <c r="F16" s="13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/>
      <c r="F17" s="13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/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/>
      <c r="F19" s="13">
        <v>0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/>
      <c r="F20" s="21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/>
      <c r="F21" s="13"/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/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-65097375</v>
      </c>
      <c r="F23" s="13"/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/>
      <c r="F24" s="13">
        <v>0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/>
      <c r="F25" s="13"/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-3500000</v>
      </c>
      <c r="F26" s="13">
        <v>-3500000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-144000</v>
      </c>
      <c r="F27" s="13"/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/>
      <c r="F28" s="13"/>
    </row>
    <row r="29" spans="1:6" ht="18" customHeight="1">
      <c r="A29" s="16" t="s">
        <v>52</v>
      </c>
      <c r="B29" s="17" t="s">
        <v>53</v>
      </c>
      <c r="C29" s="16"/>
      <c r="D29" s="16"/>
      <c r="E29" s="18">
        <f>+((E15+E9+E10)+(E16+E17+E18+E19+E20+E21+E22+E23+E24+E25+E26+E27+E28))</f>
        <v>13110625</v>
      </c>
      <c r="F29" s="18">
        <f>+((F15+F9+F10)+(F16+F17+F18+F19+F20+F21+F22+F23+F24+F25+F26+F27+F28))</f>
        <v>-3500000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/>
      <c r="F30" s="13"/>
    </row>
    <row r="31" spans="1:6" ht="18" customHeight="1">
      <c r="A31" s="16" t="s">
        <v>56</v>
      </c>
      <c r="B31" s="17" t="s">
        <v>57</v>
      </c>
      <c r="C31" s="16"/>
      <c r="D31" s="16"/>
      <c r="E31" s="18">
        <f>+E29+E30</f>
        <v>13110625</v>
      </c>
      <c r="F31" s="18">
        <f>+F29+F30</f>
        <v>-3500000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/>
      <c r="F32" s="13"/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f>-'[25]Note 3C'!C24</f>
        <v>-55283860.799999997</v>
      </c>
      <c r="F33" s="21">
        <v>-602869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f>+((E31+E32)+E33)</f>
        <v>-42173235.799999997</v>
      </c>
      <c r="F34" s="18">
        <f>+((F31+F32)+F33)</f>
        <v>-4102869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/>
      <c r="F35" s="13"/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/>
      <c r="F36" s="13"/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/>
      <c r="F37" s="13"/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/>
      <c r="F38" s="13"/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/>
      <c r="F39" s="13"/>
    </row>
    <row r="40" spans="1:6" ht="18" customHeight="1">
      <c r="A40" s="16" t="s">
        <v>75</v>
      </c>
      <c r="B40" s="17" t="s">
        <v>76</v>
      </c>
      <c r="C40" s="16"/>
      <c r="D40" s="16"/>
      <c r="E40" s="18">
        <f>+E35+E36+E37+E38+E39</f>
        <v>0</v>
      </c>
      <c r="F40" s="18">
        <f>+F35+F36+F37+F38+F39</f>
        <v>0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f>+E34+E40</f>
        <v>-42173235.799999997</v>
      </c>
      <c r="F41" s="24">
        <f>+F34+F40</f>
        <v>-4102869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/>
      <c r="F42" s="13"/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/>
      <c r="F43" s="13"/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/>
      <c r="F44" s="13"/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/>
      <c r="F45" s="13"/>
    </row>
    <row r="46" spans="1:6" ht="18" customHeight="1">
      <c r="A46" s="22" t="s">
        <v>88</v>
      </c>
      <c r="B46" s="23" t="s">
        <v>89</v>
      </c>
      <c r="C46" s="22"/>
      <c r="D46" s="22"/>
      <c r="E46" s="24">
        <f>+E42+E43+E44+E45</f>
        <v>0</v>
      </c>
      <c r="F46" s="24">
        <f>+F42+F43+F44+F45</f>
        <v>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/>
      <c r="F47" s="13"/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f>-409260-3018012</f>
        <v>-3427272</v>
      </c>
      <c r="F48" s="13"/>
    </row>
    <row r="49" spans="1:6" ht="18" customHeight="1">
      <c r="A49" s="16" t="s">
        <v>94</v>
      </c>
      <c r="B49" s="17" t="s">
        <v>95</v>
      </c>
      <c r="C49" s="16"/>
      <c r="D49" s="16"/>
      <c r="E49" s="18">
        <v>-45600508</v>
      </c>
      <c r="F49" s="18">
        <f>+F41+F46+F47+F48</f>
        <v>-4102869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45E0BDCE-C987-4D52-8168-052B6BA59B45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DAE6430F-7E44-4153-8D35-9A6489783B02}"/>
    <dataValidation allowBlank="1" showInputMessage="1" showErrorMessage="1" errorTitle="Erreur de saisie" error="La cellule ne peut prendre que du numérique." promptTitle="Information" prompt="Cette cellule ne peut prendre que du numérique," sqref="E8:F49" xr:uid="{CE9F0BA8-2697-47A4-8D3D-334BF23A58F9}"/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33944-912E-4BAB-8231-E172B7970B4C}">
  <sheetPr codeName="Feuil55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570312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4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302" t="s">
        <v>158</v>
      </c>
      <c r="B3" s="302"/>
      <c r="C3" s="302"/>
      <c r="D3" s="1" t="s">
        <v>1</v>
      </c>
      <c r="E3" s="257">
        <f>+'[26]Fiche de renseignement R1'!$V$10</f>
        <v>45657</v>
      </c>
      <c r="F3" s="258"/>
    </row>
    <row r="4" spans="1:6" s="1" customFormat="1" ht="15" customHeight="1">
      <c r="A4" s="258"/>
      <c r="B4" s="258"/>
      <c r="C4" s="258"/>
      <c r="D4" s="259" t="s">
        <v>2</v>
      </c>
      <c r="E4" s="260">
        <f>+'[26]Fiche de renseignement R1'!$AH$10</f>
        <v>12</v>
      </c>
      <c r="F4" s="260"/>
    </row>
    <row r="5" spans="1:6" s="1" customFormat="1" ht="31.15" customHeight="1">
      <c r="A5" s="4" t="s">
        <v>3</v>
      </c>
      <c r="B5" s="261" t="str">
        <f>+'[26]Fiche de renseignement R1'!$J$10</f>
        <v>009071151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</row>
    <row r="11" spans="1:6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0</v>
      </c>
      <c r="F12" s="13">
        <v>0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11749730</v>
      </c>
      <c r="F13" s="13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18">
        <v>11749730</v>
      </c>
      <c r="F15" s="18">
        <v>0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0</v>
      </c>
      <c r="F16" s="13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250518230.97</v>
      </c>
      <c r="F19" s="13">
        <v>0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>
        <v>0</v>
      </c>
      <c r="F20" s="21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7547646</v>
      </c>
      <c r="F23" s="13">
        <v>20919515.707499996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>
        <v>0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21878528.559999999</v>
      </c>
      <c r="F25" s="13">
        <v>30392641.016363338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96429580</v>
      </c>
      <c r="F26" s="13">
        <v>94168680.03719978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26259451</v>
      </c>
      <c r="F27" s="13">
        <v>4245562.5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18414836.490000002</v>
      </c>
      <c r="F28" s="13">
        <v>499425.35100000014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v>91737918.919999987</v>
      </c>
      <c r="F29" s="18">
        <v>-150225824.61206311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183796022</v>
      </c>
      <c r="F30" s="13">
        <v>190111102.32459992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v>-92058103.080000013</v>
      </c>
      <c r="F31" s="18">
        <v>-340336926.93666303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3410084</v>
      </c>
      <c r="F32" s="13">
        <v>0</v>
      </c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12259499</v>
      </c>
      <c r="F33" s="21">
        <v>0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v>-100907518.08000001</v>
      </c>
      <c r="F34" s="18">
        <v>-340336926.93666303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3448544.5557000022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0</v>
      </c>
      <c r="F38" s="13">
        <v>10641887.969900006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3410084</v>
      </c>
    </row>
    <row r="40" spans="1:6" ht="18" customHeight="1">
      <c r="A40" s="16" t="s">
        <v>75</v>
      </c>
      <c r="B40" s="17" t="s">
        <v>76</v>
      </c>
      <c r="C40" s="16"/>
      <c r="D40" s="16"/>
      <c r="E40" s="18">
        <v>0</v>
      </c>
      <c r="F40" s="18">
        <v>-10603427.414200004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v>-100907518.08000001</v>
      </c>
      <c r="F41" s="24">
        <v>-350940354.35086304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54780761.329999998</v>
      </c>
      <c r="F48" s="13">
        <v>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v>-155688279</v>
      </c>
      <c r="F49" s="18">
        <v>-350940354.35086304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D4536AA0-84C9-4AD7-84AE-9BB7A9D9F18F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CDA3C066-109C-4A96-8511-1A93214B3478}"/>
    <dataValidation allowBlank="1" showInputMessage="1" showErrorMessage="1" errorTitle="Erreur de saisie" error="La cellule ne peut prendre que du numérique." promptTitle="Information" prompt="Cette cellule ne peut prendre que du numérique," sqref="E8:F49" xr:uid="{82DBC312-C326-4033-835C-DFDF0EBBAF8F}"/>
  </dataValidation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4B869-FDAB-4BA0-BFBE-1B77A1BBAF8B}">
  <sheetPr codeName="Feuil56"/>
  <dimension ref="A1:F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+'[27]Fiche de renseignement R1'!$V$10</f>
        <v>45657</v>
      </c>
      <c r="F3" s="258"/>
    </row>
    <row r="4" spans="1:6" s="1" customFormat="1" ht="15" customHeight="1">
      <c r="A4" s="258"/>
      <c r="B4" s="258"/>
      <c r="C4" s="258"/>
      <c r="D4" s="259" t="s">
        <v>2</v>
      </c>
      <c r="E4" s="260">
        <f>+'[27]Fiche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+'[27]Fiche de renseignement R1'!$J$10</f>
        <v>005758711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</row>
    <row r="11" spans="1:6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0</v>
      </c>
      <c r="F12" s="13">
        <v>0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18">
        <v>0</v>
      </c>
      <c r="F15" s="18">
        <v>0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0</v>
      </c>
      <c r="F16" s="13">
        <v>0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>
        <v>183938745</v>
      </c>
      <c r="F17" s="13">
        <v>187321375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0</v>
      </c>
      <c r="F19" s="13">
        <v>0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21">
        <v>0</v>
      </c>
      <c r="F20" s="21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-34885837</v>
      </c>
      <c r="F23" s="13">
        <v>-62643539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0</v>
      </c>
      <c r="F24" s="13">
        <v>0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-1122000</v>
      </c>
      <c r="F25" s="13">
        <v>-406336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-4117661</v>
      </c>
      <c r="F26" s="13">
        <v>-2590066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-27630000</v>
      </c>
      <c r="F27" s="13">
        <v>-7123200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-200</v>
      </c>
      <c r="F28" s="13">
        <v>-97224996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v>116183047</v>
      </c>
      <c r="F29" s="18">
        <v>17333238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-118063272</v>
      </c>
      <c r="F30" s="13">
        <v>-20838276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v>-1880225</v>
      </c>
      <c r="F31" s="18">
        <v>-3505038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0</v>
      </c>
      <c r="F32" s="13">
        <v>0</v>
      </c>
    </row>
    <row r="33" spans="1:6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21">
        <v>0</v>
      </c>
      <c r="F33" s="21">
        <v>-629766</v>
      </c>
    </row>
    <row r="34" spans="1:6" ht="18" customHeight="1">
      <c r="A34" s="16" t="s">
        <v>63</v>
      </c>
      <c r="B34" s="17" t="s">
        <v>64</v>
      </c>
      <c r="C34" s="16"/>
      <c r="D34" s="16"/>
      <c r="E34" s="18">
        <v>-1880225</v>
      </c>
      <c r="F34" s="18">
        <v>-4134804</v>
      </c>
    </row>
    <row r="35" spans="1:6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0</v>
      </c>
    </row>
    <row r="36" spans="1:6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0</v>
      </c>
      <c r="F36" s="13">
        <v>0</v>
      </c>
    </row>
    <row r="37" spans="1:6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</row>
    <row r="38" spans="1:6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-350208</v>
      </c>
      <c r="F38" s="13">
        <v>-337865</v>
      </c>
    </row>
    <row r="39" spans="1:6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0</v>
      </c>
      <c r="F39" s="13">
        <v>0</v>
      </c>
    </row>
    <row r="40" spans="1:6" ht="18" customHeight="1">
      <c r="A40" s="16" t="s">
        <v>75</v>
      </c>
      <c r="B40" s="17" t="s">
        <v>76</v>
      </c>
      <c r="C40" s="16"/>
      <c r="D40" s="16"/>
      <c r="E40" s="18">
        <v>-350208</v>
      </c>
      <c r="F40" s="18">
        <v>-337865</v>
      </c>
    </row>
    <row r="41" spans="1:6" ht="18" customHeight="1">
      <c r="A41" s="22" t="s">
        <v>77</v>
      </c>
      <c r="B41" s="23" t="s">
        <v>78</v>
      </c>
      <c r="C41" s="22"/>
      <c r="D41" s="22"/>
      <c r="E41" s="24">
        <v>-2230433</v>
      </c>
      <c r="F41" s="24">
        <v>-4472669</v>
      </c>
    </row>
    <row r="42" spans="1:6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0</v>
      </c>
    </row>
    <row r="43" spans="1:6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</row>
    <row r="44" spans="1:6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</row>
    <row r="45" spans="1:6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</row>
    <row r="46" spans="1:6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0</v>
      </c>
    </row>
    <row r="47" spans="1:6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</row>
    <row r="48" spans="1:6" ht="18" customHeight="1">
      <c r="A48" s="11" t="s">
        <v>92</v>
      </c>
      <c r="B48" s="12" t="s">
        <v>93</v>
      </c>
      <c r="C48" s="11" t="s">
        <v>12</v>
      </c>
      <c r="D48" s="11"/>
      <c r="E48" s="13">
        <v>0</v>
      </c>
      <c r="F48" s="13">
        <v>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v>-2230433</v>
      </c>
      <c r="F49" s="18">
        <v>-4472669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354ED33B-AD67-4668-BDF1-B58E7AB81B3F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8219B751-70D5-4A7B-9F28-4E581C33EE67}"/>
    <dataValidation allowBlank="1" showInputMessage="1" showErrorMessage="1" errorTitle="Erreur de saisie" error="La cellule ne peut prendre que du numérique." promptTitle="Information" prompt="Cette cellule ne peut prendre que du numérique," sqref="E8:F49" xr:uid="{32201469-8E4D-4B59-AF62-B765C1C16F56}"/>
  </dataValidation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35489-56FC-4C6E-BF11-F2BCDB962F13}">
  <sheetPr codeName="Feuil57"/>
  <dimension ref="A1:H84"/>
  <sheetViews>
    <sheetView workbookViewId="0">
      <selection activeCell="H16" sqref="H16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5703125" style="27" customWidth="1" collapsed="1"/>
    <col min="5" max="6" width="15.7109375" style="28" customWidth="1" collapsed="1"/>
    <col min="7" max="7" width="10.5703125" style="27" bestFit="1" customWidth="1" collapsed="1"/>
    <col min="8" max="16384" width="10.28515625" style="27" collapsed="1"/>
  </cols>
  <sheetData>
    <row r="1" spans="1:6" s="1" customFormat="1" ht="24.6" customHeight="1">
      <c r="A1" s="255" t="s">
        <v>0</v>
      </c>
      <c r="B1" s="255"/>
      <c r="C1" s="255"/>
      <c r="D1" s="255"/>
      <c r="E1" s="255"/>
      <c r="F1" s="255"/>
    </row>
    <row r="2" spans="1:6" s="1" customFormat="1" ht="8.1" customHeight="1">
      <c r="C2" s="2"/>
    </row>
    <row r="3" spans="1:6" s="1" customFormat="1" ht="25.5" customHeight="1">
      <c r="A3" s="256" t="s">
        <v>96</v>
      </c>
      <c r="B3" s="256"/>
      <c r="C3" s="256"/>
      <c r="D3" s="1" t="s">
        <v>1</v>
      </c>
      <c r="E3" s="257">
        <f>+'[28]Fiche de renseignement R1'!$V$10</f>
        <v>45657</v>
      </c>
      <c r="F3" s="258"/>
    </row>
    <row r="4" spans="1:6" s="1" customFormat="1" ht="15" customHeight="1">
      <c r="A4" s="263" t="str">
        <f>'[28]Fiche de renseignement R1'!$J$4</f>
        <v>BOSFOR SARL</v>
      </c>
      <c r="B4" s="263"/>
      <c r="C4" s="263"/>
      <c r="D4" s="259" t="s">
        <v>2</v>
      </c>
      <c r="E4" s="260">
        <f>+'[28]Fiche de renseignement R1'!$AH$10</f>
        <v>12</v>
      </c>
      <c r="F4" s="260"/>
    </row>
    <row r="5" spans="1:6" s="1" customFormat="1" ht="30.95" customHeight="1">
      <c r="A5" s="4" t="s">
        <v>3</v>
      </c>
      <c r="B5" s="261" t="str">
        <f>+'[28]Fiche de renseignement R1'!$J$10</f>
        <v>005790367</v>
      </c>
      <c r="C5" s="261"/>
      <c r="D5" s="259"/>
      <c r="E5" s="258"/>
      <c r="F5" s="258"/>
    </row>
    <row r="6" spans="1:6" s="1" customFormat="1" ht="8.1" customHeight="1">
      <c r="C6" s="2"/>
    </row>
    <row r="7" spans="1:6" ht="18" customHeight="1">
      <c r="A7" s="5" t="s">
        <v>4</v>
      </c>
      <c r="B7" s="6" t="s">
        <v>5</v>
      </c>
      <c r="C7" s="5"/>
      <c r="D7" s="5" t="s">
        <v>6</v>
      </c>
      <c r="E7" s="7">
        <v>2024</v>
      </c>
      <c r="F7" s="7">
        <v>2023</v>
      </c>
    </row>
    <row r="8" spans="1:6" ht="18" customHeight="1">
      <c r="A8" s="8" t="s">
        <v>7</v>
      </c>
      <c r="B8" s="9" t="s">
        <v>8</v>
      </c>
      <c r="C8" s="8" t="s">
        <v>9</v>
      </c>
      <c r="D8" s="8">
        <v>21</v>
      </c>
      <c r="E8" s="10">
        <v>0</v>
      </c>
      <c r="F8" s="10">
        <v>0</v>
      </c>
    </row>
    <row r="9" spans="1:6" ht="18" customHeight="1">
      <c r="A9" s="11" t="s">
        <v>10</v>
      </c>
      <c r="B9" s="12" t="s">
        <v>11</v>
      </c>
      <c r="C9" s="11" t="s">
        <v>12</v>
      </c>
      <c r="D9" s="11">
        <v>22</v>
      </c>
      <c r="E9" s="13">
        <v>0</v>
      </c>
      <c r="F9" s="13">
        <v>0</v>
      </c>
    </row>
    <row r="10" spans="1:6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3">
        <v>0</v>
      </c>
      <c r="F10" s="13">
        <v>0</v>
      </c>
    </row>
    <row r="11" spans="1:6" ht="18" customHeight="1">
      <c r="A11" s="16" t="s">
        <v>16</v>
      </c>
      <c r="B11" s="17" t="s">
        <v>17</v>
      </c>
      <c r="C11" s="16"/>
      <c r="D11" s="16"/>
      <c r="E11" s="18">
        <v>0</v>
      </c>
      <c r="F11" s="18">
        <v>0</v>
      </c>
    </row>
    <row r="12" spans="1:6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3">
        <v>1760988110</v>
      </c>
      <c r="F12" s="13">
        <v>1662291307</v>
      </c>
    </row>
    <row r="13" spans="1:6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3">
        <v>0</v>
      </c>
      <c r="F13" s="13">
        <v>0</v>
      </c>
    </row>
    <row r="14" spans="1:6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3">
        <v>0</v>
      </c>
      <c r="F14" s="13">
        <v>0</v>
      </c>
    </row>
    <row r="15" spans="1:6" ht="18" customHeight="1">
      <c r="A15" s="16" t="s">
        <v>24</v>
      </c>
      <c r="B15" s="17" t="s">
        <v>25</v>
      </c>
      <c r="C15" s="16"/>
      <c r="D15" s="16"/>
      <c r="E15" s="18">
        <v>1760988110</v>
      </c>
      <c r="F15" s="18">
        <v>1662291307</v>
      </c>
    </row>
    <row r="16" spans="1:6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3">
        <v>-98805380</v>
      </c>
      <c r="F16" s="13">
        <v>-6105924</v>
      </c>
    </row>
    <row r="17" spans="1:6" ht="18" customHeight="1">
      <c r="A17" s="11" t="s">
        <v>28</v>
      </c>
      <c r="B17" s="12" t="s">
        <v>29</v>
      </c>
      <c r="C17" s="11"/>
      <c r="D17" s="11">
        <v>21</v>
      </c>
      <c r="E17" s="13">
        <v>0</v>
      </c>
      <c r="F17" s="13">
        <v>0</v>
      </c>
    </row>
    <row r="18" spans="1:6" ht="18" customHeight="1">
      <c r="A18" s="11" t="s">
        <v>30</v>
      </c>
      <c r="B18" s="12" t="s">
        <v>31</v>
      </c>
      <c r="C18" s="11"/>
      <c r="D18" s="11">
        <v>21</v>
      </c>
      <c r="E18" s="13">
        <v>0</v>
      </c>
      <c r="F18" s="13">
        <v>0</v>
      </c>
    </row>
    <row r="19" spans="1:6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3">
        <v>33</v>
      </c>
      <c r="F19" s="13">
        <v>698291</v>
      </c>
    </row>
    <row r="20" spans="1:6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31">
        <v>0</v>
      </c>
      <c r="F20" s="31">
        <v>0</v>
      </c>
    </row>
    <row r="21" spans="1:6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3">
        <v>0</v>
      </c>
      <c r="F21" s="13">
        <v>0</v>
      </c>
    </row>
    <row r="22" spans="1:6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3">
        <v>0</v>
      </c>
      <c r="F22" s="13">
        <v>0</v>
      </c>
    </row>
    <row r="23" spans="1:6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3">
        <v>-1271801669</v>
      </c>
      <c r="F23" s="13">
        <v>-965024178</v>
      </c>
    </row>
    <row r="24" spans="1:6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3">
        <v>205542009</v>
      </c>
      <c r="F24" s="13">
        <v>-698237</v>
      </c>
    </row>
    <row r="25" spans="1:6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3">
        <v>0</v>
      </c>
      <c r="F25" s="13">
        <v>0</v>
      </c>
    </row>
    <row r="26" spans="1:6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3">
        <v>-232052791</v>
      </c>
      <c r="F26" s="13">
        <v>-180912671</v>
      </c>
    </row>
    <row r="27" spans="1:6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3">
        <v>-16161621</v>
      </c>
      <c r="F27" s="13">
        <v>-20891234</v>
      </c>
    </row>
    <row r="28" spans="1:6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3">
        <v>-39997</v>
      </c>
      <c r="F28" s="13">
        <v>-21</v>
      </c>
    </row>
    <row r="29" spans="1:6" ht="18" customHeight="1">
      <c r="A29" s="16" t="s">
        <v>52</v>
      </c>
      <c r="B29" s="17" t="s">
        <v>53</v>
      </c>
      <c r="C29" s="16"/>
      <c r="D29" s="16"/>
      <c r="E29" s="18">
        <v>347668694</v>
      </c>
      <c r="F29" s="18">
        <v>489357333</v>
      </c>
    </row>
    <row r="30" spans="1:6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3">
        <v>-326639770</v>
      </c>
      <c r="F30" s="13">
        <v>-276794088</v>
      </c>
    </row>
    <row r="31" spans="1:6" ht="18" customHeight="1">
      <c r="A31" s="16" t="s">
        <v>56</v>
      </c>
      <c r="B31" s="17" t="s">
        <v>57</v>
      </c>
      <c r="C31" s="16"/>
      <c r="D31" s="16"/>
      <c r="E31" s="18">
        <v>21028924</v>
      </c>
      <c r="F31" s="18">
        <v>212563245</v>
      </c>
    </row>
    <row r="32" spans="1:6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3">
        <v>0</v>
      </c>
      <c r="F32" s="13">
        <v>0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31">
        <v>-399698437</v>
      </c>
      <c r="F33" s="31">
        <v>-385170758</v>
      </c>
    </row>
    <row r="34" spans="1:8" ht="18" customHeight="1">
      <c r="A34" s="16" t="s">
        <v>63</v>
      </c>
      <c r="B34" s="17" t="s">
        <v>64</v>
      </c>
      <c r="C34" s="16"/>
      <c r="D34" s="16"/>
      <c r="E34" s="18">
        <f>+E33+E31</f>
        <v>-378669513</v>
      </c>
      <c r="F34" s="18">
        <v>-172607513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3">
        <v>0</v>
      </c>
      <c r="F35" s="13">
        <v>0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3">
        <v>5220058</v>
      </c>
      <c r="F36" s="13">
        <v>6296721</v>
      </c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3">
        <v>0</v>
      </c>
      <c r="F37" s="13">
        <v>0</v>
      </c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3">
        <v>-6482171</v>
      </c>
      <c r="F38" s="13">
        <v>-15097381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3">
        <v>-14097013</v>
      </c>
      <c r="F39" s="13">
        <v>-5220058</v>
      </c>
    </row>
    <row r="40" spans="1:8" ht="18" customHeight="1">
      <c r="A40" s="16" t="s">
        <v>75</v>
      </c>
      <c r="B40" s="17" t="s">
        <v>76</v>
      </c>
      <c r="C40" s="16"/>
      <c r="D40" s="16"/>
      <c r="E40" s="18">
        <v>-15359126</v>
      </c>
      <c r="F40" s="18">
        <v>-14020718</v>
      </c>
    </row>
    <row r="41" spans="1:8" ht="18" customHeight="1">
      <c r="A41" s="22" t="s">
        <v>77</v>
      </c>
      <c r="B41" s="23" t="s">
        <v>78</v>
      </c>
      <c r="C41" s="22"/>
      <c r="D41" s="22"/>
      <c r="E41" s="24">
        <v>-394028639</v>
      </c>
      <c r="F41" s="24">
        <v>-186628231</v>
      </c>
      <c r="G41" s="30"/>
      <c r="H41" s="30"/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3">
        <v>0</v>
      </c>
      <c r="F42" s="13">
        <v>10000000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3">
        <v>0</v>
      </c>
      <c r="F43" s="13">
        <v>0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3">
        <v>0</v>
      </c>
      <c r="F44" s="13">
        <v>0</v>
      </c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3">
        <v>0</v>
      </c>
      <c r="F45" s="13">
        <v>0</v>
      </c>
    </row>
    <row r="46" spans="1:8" ht="18" customHeight="1">
      <c r="A46" s="22" t="s">
        <v>88</v>
      </c>
      <c r="B46" s="23" t="s">
        <v>89</v>
      </c>
      <c r="C46" s="22"/>
      <c r="D46" s="22"/>
      <c r="E46" s="24">
        <v>0</v>
      </c>
      <c r="F46" s="24">
        <v>10000000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3">
        <v>0</v>
      </c>
      <c r="F47" s="13">
        <v>0</v>
      </c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3">
        <v>-5000000</v>
      </c>
      <c r="F48" s="13">
        <v>-5000000</v>
      </c>
    </row>
    <row r="49" spans="1:6" ht="18" customHeight="1">
      <c r="A49" s="16" t="s">
        <v>94</v>
      </c>
      <c r="B49" s="17" t="s">
        <v>95</v>
      </c>
      <c r="C49" s="16"/>
      <c r="D49" s="16"/>
      <c r="E49" s="18">
        <v>-399028639</v>
      </c>
      <c r="F49" s="18">
        <v>-181628231</v>
      </c>
    </row>
    <row r="53" spans="1:6" ht="12.75" customHeight="1">
      <c r="B53" s="29"/>
      <c r="C53" s="29"/>
    </row>
    <row r="54" spans="1:6" ht="12.75" customHeight="1">
      <c r="B54" s="29"/>
      <c r="C54" s="29"/>
    </row>
    <row r="55" spans="1:6" ht="12.75" customHeight="1">
      <c r="B55" s="29"/>
      <c r="C55" s="29"/>
    </row>
    <row r="58" spans="1:6" ht="12.75" customHeight="1">
      <c r="B58" s="29"/>
      <c r="C58" s="29"/>
    </row>
    <row r="59" spans="1:6" ht="12.75" customHeight="1">
      <c r="B59" s="29"/>
      <c r="C59" s="29"/>
    </row>
    <row r="62" spans="1:6" ht="12.75" customHeight="1">
      <c r="E62" s="30"/>
      <c r="F62" s="30"/>
    </row>
    <row r="63" spans="1:6" ht="12.75" customHeight="1">
      <c r="E63" s="30"/>
      <c r="F63" s="30"/>
    </row>
    <row r="64" spans="1:6" ht="12.75" customHeight="1">
      <c r="E64" s="30"/>
      <c r="F64" s="30"/>
    </row>
    <row r="65" spans="5:6" ht="12.75" customHeight="1">
      <c r="E65" s="30"/>
      <c r="F65" s="30"/>
    </row>
    <row r="66" spans="5:6" ht="12.75" customHeight="1">
      <c r="E66" s="30"/>
      <c r="F66" s="30"/>
    </row>
    <row r="67" spans="5:6" ht="12.75" customHeight="1">
      <c r="E67" s="30"/>
      <c r="F67" s="30"/>
    </row>
    <row r="68" spans="5:6" ht="12.75" customHeight="1">
      <c r="E68" s="30"/>
      <c r="F68" s="30"/>
    </row>
    <row r="69" spans="5:6" ht="12.75" customHeight="1">
      <c r="E69" s="30"/>
      <c r="F69" s="30"/>
    </row>
    <row r="70" spans="5:6" ht="12.75" customHeight="1">
      <c r="E70" s="30"/>
      <c r="F70" s="30"/>
    </row>
    <row r="71" spans="5:6" ht="12.75" customHeight="1">
      <c r="E71" s="30"/>
      <c r="F71" s="30"/>
    </row>
    <row r="72" spans="5:6" ht="12.75" customHeight="1">
      <c r="E72" s="30"/>
      <c r="F72" s="30"/>
    </row>
    <row r="73" spans="5:6" ht="12.75" customHeight="1">
      <c r="E73" s="30"/>
      <c r="F73" s="30"/>
    </row>
    <row r="74" spans="5:6" ht="12.75" customHeight="1">
      <c r="E74" s="30"/>
      <c r="F74" s="30"/>
    </row>
    <row r="75" spans="5:6" ht="12.75" customHeight="1">
      <c r="E75" s="30"/>
      <c r="F75" s="30"/>
    </row>
    <row r="76" spans="5:6" ht="12.75" customHeight="1">
      <c r="E76" s="30"/>
      <c r="F76" s="30"/>
    </row>
    <row r="77" spans="5:6" ht="12.75" customHeight="1">
      <c r="E77" s="30"/>
      <c r="F77" s="30"/>
    </row>
    <row r="78" spans="5:6" ht="12.75" customHeight="1">
      <c r="E78" s="30"/>
      <c r="F78" s="30"/>
    </row>
    <row r="79" spans="5:6" ht="12.75" customHeight="1">
      <c r="E79" s="30"/>
      <c r="F79" s="30"/>
    </row>
    <row r="80" spans="5:6" ht="12.75" customHeight="1">
      <c r="E80" s="30"/>
      <c r="F80" s="30"/>
    </row>
    <row r="81" spans="5:6" ht="12.75" customHeight="1">
      <c r="E81" s="30"/>
      <c r="F81" s="30"/>
    </row>
    <row r="82" spans="5:6" ht="12.75" customHeight="1">
      <c r="E82" s="30"/>
      <c r="F82" s="30"/>
    </row>
    <row r="83" spans="5:6" ht="12.75" customHeight="1">
      <c r="E83" s="30"/>
      <c r="F83" s="30"/>
    </row>
    <row r="84" spans="5:6" ht="12.75" customHeight="1">
      <c r="E84" s="30"/>
      <c r="F84" s="30"/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FC3D290B-1280-4420-BE60-5D2C266D0470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6" xr:uid="{B82719D0-C1AE-4A7D-9BD9-06EE065F4C8F}"/>
    <dataValidation allowBlank="1" showInputMessage="1" showErrorMessage="1" errorTitle="Erreur de saisie" error="La cellule ne peut prendre que du numérique." promptTitle="Information" prompt="Cette cellule ne peut prendre que du numérique," sqref="E8:F49" xr:uid="{05921074-5AEA-4594-97A7-159A7B4D05A7}"/>
  </dataValidation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2CF81-AA3A-4F1B-8BE0-8E58698DA753}">
  <sheetPr codeName="Feuil58"/>
  <dimension ref="A1:F49"/>
  <sheetViews>
    <sheetView topLeftCell="A6" workbookViewId="0">
      <selection activeCell="B18" sqref="B18"/>
    </sheetView>
  </sheetViews>
  <sheetFormatPr baseColWidth="10" defaultRowHeight="15"/>
  <cols>
    <col min="1" max="1" width="4.140625" style="100" customWidth="1" collapsed="1"/>
    <col min="2" max="2" width="56" style="90" customWidth="1" collapsed="1"/>
    <col min="3" max="3" width="3.140625" style="90" customWidth="1" collapsed="1"/>
    <col min="4" max="4" width="8.28515625" style="90" customWidth="1" collapsed="1"/>
    <col min="5" max="6" width="13.85546875" style="90" customWidth="1" collapsed="1"/>
  </cols>
  <sheetData>
    <row r="1" spans="1:6" ht="18.75">
      <c r="A1" s="265" t="s">
        <v>0</v>
      </c>
      <c r="B1" s="265"/>
      <c r="C1" s="265"/>
      <c r="D1" s="265"/>
      <c r="E1" s="265"/>
      <c r="F1" s="265"/>
    </row>
    <row r="2" spans="1:6">
      <c r="A2" s="84"/>
      <c r="B2" s="84"/>
      <c r="C2" s="85"/>
      <c r="D2" s="84"/>
      <c r="E2" s="84"/>
      <c r="F2" s="84"/>
    </row>
    <row r="3" spans="1:6">
      <c r="A3" s="266" t="s">
        <v>134</v>
      </c>
      <c r="B3" s="266"/>
      <c r="C3" s="266"/>
      <c r="D3" s="84" t="s">
        <v>1</v>
      </c>
      <c r="E3" s="267">
        <f>+'[29]Fiche de renseignement R1'!$V$10</f>
        <v>45657</v>
      </c>
      <c r="F3" s="268"/>
    </row>
    <row r="4" spans="1:6">
      <c r="A4" s="269" t="str">
        <f>'[29]Fiche de renseignement R1'!$J$4</f>
        <v>BAMBADJI-SA</v>
      </c>
      <c r="B4" s="268"/>
      <c r="C4" s="268"/>
      <c r="D4" s="270" t="s">
        <v>2</v>
      </c>
      <c r="E4" s="271">
        <f>+'[29]Fiche de renseignement R1'!$AH$10</f>
        <v>12</v>
      </c>
      <c r="F4" s="272"/>
    </row>
    <row r="5" spans="1:6" ht="102">
      <c r="A5" s="86" t="s">
        <v>3</v>
      </c>
      <c r="B5" s="273" t="str">
        <f>+'[29]Fiche de renseignement R1'!$J$10</f>
        <v>006046173</v>
      </c>
      <c r="C5" s="274"/>
      <c r="D5" s="270"/>
      <c r="E5" s="268"/>
      <c r="F5" s="268"/>
    </row>
    <row r="7" spans="1:6">
      <c r="A7" s="87" t="s">
        <v>4</v>
      </c>
      <c r="B7" s="88" t="s">
        <v>5</v>
      </c>
      <c r="C7" s="88"/>
      <c r="D7" s="87" t="s">
        <v>6</v>
      </c>
      <c r="E7" s="89">
        <v>2024</v>
      </c>
      <c r="F7" s="89">
        <v>2023</v>
      </c>
    </row>
    <row r="8" spans="1:6">
      <c r="A8" s="91" t="s">
        <v>7</v>
      </c>
      <c r="B8" s="92" t="s">
        <v>117</v>
      </c>
      <c r="C8" s="91" t="s">
        <v>9</v>
      </c>
      <c r="D8" s="91">
        <v>21</v>
      </c>
      <c r="E8" s="93">
        <v>0</v>
      </c>
      <c r="F8" s="93">
        <v>0</v>
      </c>
    </row>
    <row r="9" spans="1:6">
      <c r="A9" s="91" t="s">
        <v>10</v>
      </c>
      <c r="B9" s="92" t="s">
        <v>11</v>
      </c>
      <c r="C9" s="91" t="s">
        <v>12</v>
      </c>
      <c r="D9" s="91">
        <v>22</v>
      </c>
      <c r="E9" s="93">
        <v>0</v>
      </c>
      <c r="F9" s="93">
        <v>0</v>
      </c>
    </row>
    <row r="10" spans="1:6">
      <c r="A10" s="91" t="s">
        <v>13</v>
      </c>
      <c r="B10" s="92" t="s">
        <v>14</v>
      </c>
      <c r="C10" s="91" t="s">
        <v>15</v>
      </c>
      <c r="D10" s="91">
        <v>6</v>
      </c>
      <c r="E10" s="93">
        <v>0</v>
      </c>
      <c r="F10" s="93">
        <v>0</v>
      </c>
    </row>
    <row r="11" spans="1:6">
      <c r="A11" s="87" t="s">
        <v>16</v>
      </c>
      <c r="B11" s="88" t="s">
        <v>17</v>
      </c>
      <c r="C11" s="87"/>
      <c r="D11" s="87"/>
      <c r="E11" s="94">
        <v>0</v>
      </c>
      <c r="F11" s="94">
        <v>0</v>
      </c>
    </row>
    <row r="12" spans="1:6">
      <c r="A12" s="91" t="s">
        <v>18</v>
      </c>
      <c r="B12" s="92" t="s">
        <v>118</v>
      </c>
      <c r="C12" s="91" t="s">
        <v>9</v>
      </c>
      <c r="D12" s="91">
        <v>21</v>
      </c>
      <c r="E12" s="93">
        <v>0</v>
      </c>
      <c r="F12" s="93">
        <v>0</v>
      </c>
    </row>
    <row r="13" spans="1:6">
      <c r="A13" s="91" t="s">
        <v>20</v>
      </c>
      <c r="B13" s="92" t="s">
        <v>119</v>
      </c>
      <c r="C13" s="91" t="s">
        <v>9</v>
      </c>
      <c r="D13" s="91">
        <v>21</v>
      </c>
      <c r="E13" s="93">
        <v>0</v>
      </c>
      <c r="F13" s="93">
        <v>0</v>
      </c>
    </row>
    <row r="14" spans="1:6">
      <c r="A14" s="91" t="s">
        <v>22</v>
      </c>
      <c r="B14" s="92" t="s">
        <v>120</v>
      </c>
      <c r="C14" s="91" t="s">
        <v>9</v>
      </c>
      <c r="D14" s="91">
        <v>21</v>
      </c>
      <c r="E14" s="93">
        <v>0</v>
      </c>
      <c r="F14" s="93">
        <v>0</v>
      </c>
    </row>
    <row r="15" spans="1:6">
      <c r="A15" s="87" t="s">
        <v>24</v>
      </c>
      <c r="B15" s="88" t="s">
        <v>25</v>
      </c>
      <c r="C15" s="87"/>
      <c r="D15" s="87"/>
      <c r="E15" s="94">
        <v>0</v>
      </c>
      <c r="F15" s="94">
        <v>0</v>
      </c>
    </row>
    <row r="16" spans="1:6">
      <c r="A16" s="91" t="s">
        <v>26</v>
      </c>
      <c r="B16" s="92" t="s">
        <v>27</v>
      </c>
      <c r="C16" s="91" t="s">
        <v>15</v>
      </c>
      <c r="D16" s="91">
        <v>6</v>
      </c>
      <c r="E16" s="93">
        <v>0</v>
      </c>
      <c r="F16" s="93">
        <v>0</v>
      </c>
    </row>
    <row r="17" spans="1:6">
      <c r="A17" s="91" t="s">
        <v>28</v>
      </c>
      <c r="B17" s="92" t="s">
        <v>29</v>
      </c>
      <c r="C17" s="91"/>
      <c r="D17" s="91">
        <v>21</v>
      </c>
      <c r="E17" s="93">
        <v>0</v>
      </c>
      <c r="F17" s="93">
        <v>0</v>
      </c>
    </row>
    <row r="18" spans="1:6">
      <c r="A18" s="91" t="s">
        <v>30</v>
      </c>
      <c r="B18" s="92" t="s">
        <v>31</v>
      </c>
      <c r="C18" s="91"/>
      <c r="D18" s="91">
        <v>21</v>
      </c>
      <c r="E18" s="93">
        <v>0</v>
      </c>
      <c r="F18" s="93">
        <v>0</v>
      </c>
    </row>
    <row r="19" spans="1:6">
      <c r="A19" s="91" t="s">
        <v>32</v>
      </c>
      <c r="B19" s="92" t="s">
        <v>33</v>
      </c>
      <c r="C19" s="91" t="s">
        <v>9</v>
      </c>
      <c r="D19" s="91">
        <v>21</v>
      </c>
      <c r="E19" s="93">
        <v>0</v>
      </c>
      <c r="F19" s="93">
        <v>0</v>
      </c>
    </row>
    <row r="20" spans="1:6">
      <c r="A20" s="91" t="s">
        <v>34</v>
      </c>
      <c r="B20" s="92" t="s">
        <v>35</v>
      </c>
      <c r="C20" s="91" t="s">
        <v>9</v>
      </c>
      <c r="D20" s="91">
        <v>12</v>
      </c>
      <c r="E20" s="93">
        <v>1661566924</v>
      </c>
      <c r="F20" s="93">
        <v>3179406706</v>
      </c>
    </row>
    <row r="21" spans="1:6">
      <c r="A21" s="91" t="s">
        <v>36</v>
      </c>
      <c r="B21" s="92" t="s">
        <v>37</v>
      </c>
      <c r="C21" s="91" t="s">
        <v>12</v>
      </c>
      <c r="D21" s="91">
        <v>22</v>
      </c>
      <c r="E21" s="93">
        <v>0</v>
      </c>
      <c r="F21" s="93">
        <v>0</v>
      </c>
    </row>
    <row r="22" spans="1:6">
      <c r="A22" s="91" t="s">
        <v>38</v>
      </c>
      <c r="B22" s="92" t="s">
        <v>39</v>
      </c>
      <c r="C22" s="91" t="s">
        <v>15</v>
      </c>
      <c r="D22" s="91">
        <v>6</v>
      </c>
      <c r="E22" s="93">
        <v>0</v>
      </c>
      <c r="F22" s="93">
        <v>0</v>
      </c>
    </row>
    <row r="23" spans="1:6">
      <c r="A23" s="91" t="s">
        <v>40</v>
      </c>
      <c r="B23" s="92" t="s">
        <v>41</v>
      </c>
      <c r="C23" s="91" t="s">
        <v>12</v>
      </c>
      <c r="D23" s="91">
        <v>22</v>
      </c>
      <c r="E23" s="93">
        <v>1004144972</v>
      </c>
      <c r="F23" s="93">
        <v>1792268993</v>
      </c>
    </row>
    <row r="24" spans="1:6">
      <c r="A24" s="91" t="s">
        <v>42</v>
      </c>
      <c r="B24" s="92" t="s">
        <v>43</v>
      </c>
      <c r="C24" s="91" t="s">
        <v>15</v>
      </c>
      <c r="D24" s="91">
        <v>6</v>
      </c>
      <c r="E24" s="93">
        <v>0</v>
      </c>
      <c r="F24" s="93">
        <v>0</v>
      </c>
    </row>
    <row r="25" spans="1:6">
      <c r="A25" s="91" t="s">
        <v>44</v>
      </c>
      <c r="B25" s="92" t="s">
        <v>45</v>
      </c>
      <c r="C25" s="91" t="s">
        <v>12</v>
      </c>
      <c r="D25" s="91">
        <v>23</v>
      </c>
      <c r="E25" s="93">
        <v>8746115</v>
      </c>
      <c r="F25" s="93">
        <v>27768963</v>
      </c>
    </row>
    <row r="26" spans="1:6">
      <c r="A26" s="91" t="s">
        <v>46</v>
      </c>
      <c r="B26" s="92" t="s">
        <v>47</v>
      </c>
      <c r="C26" s="91" t="s">
        <v>12</v>
      </c>
      <c r="D26" s="91">
        <v>24</v>
      </c>
      <c r="E26" s="93">
        <v>236681448</v>
      </c>
      <c r="F26" s="93">
        <v>641630421</v>
      </c>
    </row>
    <row r="27" spans="1:6">
      <c r="A27" s="91" t="s">
        <v>48</v>
      </c>
      <c r="B27" s="92" t="s">
        <v>49</v>
      </c>
      <c r="C27" s="91" t="s">
        <v>12</v>
      </c>
      <c r="D27" s="91">
        <v>25</v>
      </c>
      <c r="E27" s="93">
        <v>2605658</v>
      </c>
      <c r="F27" s="93">
        <v>2278873</v>
      </c>
    </row>
    <row r="28" spans="1:6">
      <c r="A28" s="91" t="s">
        <v>50</v>
      </c>
      <c r="B28" s="92" t="s">
        <v>51</v>
      </c>
      <c r="C28" s="91" t="s">
        <v>12</v>
      </c>
      <c r="D28" s="91">
        <v>26</v>
      </c>
      <c r="E28" s="93">
        <v>41667500</v>
      </c>
      <c r="F28" s="93">
        <v>102778950</v>
      </c>
    </row>
    <row r="29" spans="1:6">
      <c r="A29" s="87" t="s">
        <v>52</v>
      </c>
      <c r="B29" s="88" t="s">
        <v>53</v>
      </c>
      <c r="C29" s="87"/>
      <c r="D29" s="87"/>
      <c r="E29" s="94">
        <v>367721231</v>
      </c>
      <c r="F29" s="94">
        <v>612680506</v>
      </c>
    </row>
    <row r="30" spans="1:6">
      <c r="A30" s="91" t="s">
        <v>54</v>
      </c>
      <c r="B30" s="92" t="s">
        <v>55</v>
      </c>
      <c r="C30" s="91" t="s">
        <v>12</v>
      </c>
      <c r="D30" s="91">
        <v>27</v>
      </c>
      <c r="E30" s="93">
        <v>367721231</v>
      </c>
      <c r="F30" s="93">
        <v>612680506</v>
      </c>
    </row>
    <row r="31" spans="1:6">
      <c r="A31" s="87" t="s">
        <v>56</v>
      </c>
      <c r="B31" s="88" t="s">
        <v>57</v>
      </c>
      <c r="C31" s="87"/>
      <c r="D31" s="87"/>
      <c r="E31" s="94">
        <v>0</v>
      </c>
      <c r="F31" s="94">
        <v>0</v>
      </c>
    </row>
    <row r="32" spans="1:6">
      <c r="A32" s="95" t="s">
        <v>58</v>
      </c>
      <c r="B32" s="96" t="s">
        <v>100</v>
      </c>
      <c r="C32" s="95" t="s">
        <v>9</v>
      </c>
      <c r="D32" s="95">
        <v>28</v>
      </c>
      <c r="E32" s="93">
        <v>0</v>
      </c>
      <c r="F32" s="93">
        <v>0</v>
      </c>
    </row>
    <row r="33" spans="1:6">
      <c r="A33" s="91" t="s">
        <v>60</v>
      </c>
      <c r="B33" s="92" t="s">
        <v>61</v>
      </c>
      <c r="C33" s="91" t="s">
        <v>12</v>
      </c>
      <c r="D33" s="91" t="s">
        <v>62</v>
      </c>
      <c r="E33" s="93">
        <v>0</v>
      </c>
      <c r="F33" s="93">
        <v>0</v>
      </c>
    </row>
    <row r="34" spans="1:6">
      <c r="A34" s="87" t="s">
        <v>63</v>
      </c>
      <c r="B34" s="88" t="s">
        <v>64</v>
      </c>
      <c r="C34" s="87"/>
      <c r="D34" s="87"/>
      <c r="E34" s="94">
        <v>0</v>
      </c>
      <c r="F34" s="94">
        <v>0</v>
      </c>
    </row>
    <row r="35" spans="1:6">
      <c r="A35" s="91" t="s">
        <v>65</v>
      </c>
      <c r="B35" s="92" t="s">
        <v>66</v>
      </c>
      <c r="C35" s="91" t="s">
        <v>9</v>
      </c>
      <c r="D35" s="91">
        <v>29</v>
      </c>
      <c r="E35" s="93">
        <v>0</v>
      </c>
      <c r="F35" s="93">
        <v>0</v>
      </c>
    </row>
    <row r="36" spans="1:6">
      <c r="A36" s="91" t="s">
        <v>67</v>
      </c>
      <c r="B36" s="92" t="s">
        <v>68</v>
      </c>
      <c r="C36" s="91" t="s">
        <v>9</v>
      </c>
      <c r="D36" s="91">
        <v>28</v>
      </c>
      <c r="E36" s="93">
        <v>0</v>
      </c>
      <c r="F36" s="93">
        <v>0</v>
      </c>
    </row>
    <row r="37" spans="1:6">
      <c r="A37" s="91" t="s">
        <v>69</v>
      </c>
      <c r="B37" s="92" t="s">
        <v>101</v>
      </c>
      <c r="C37" s="91" t="s">
        <v>9</v>
      </c>
      <c r="D37" s="91">
        <v>12</v>
      </c>
      <c r="E37" s="93">
        <v>0</v>
      </c>
      <c r="F37" s="93">
        <v>0</v>
      </c>
    </row>
    <row r="38" spans="1:6">
      <c r="A38" s="91" t="s">
        <v>71</v>
      </c>
      <c r="B38" s="92" t="s">
        <v>72</v>
      </c>
      <c r="C38" s="91" t="s">
        <v>12</v>
      </c>
      <c r="D38" s="91">
        <v>29</v>
      </c>
      <c r="E38" s="93">
        <v>0</v>
      </c>
      <c r="F38" s="93">
        <v>0</v>
      </c>
    </row>
    <row r="39" spans="1:6">
      <c r="A39" s="91" t="s">
        <v>73</v>
      </c>
      <c r="B39" s="92" t="s">
        <v>74</v>
      </c>
      <c r="C39" s="91" t="s">
        <v>12</v>
      </c>
      <c r="D39" s="91" t="s">
        <v>62</v>
      </c>
      <c r="E39" s="93">
        <v>0</v>
      </c>
      <c r="F39" s="93">
        <v>0</v>
      </c>
    </row>
    <row r="40" spans="1:6">
      <c r="A40" s="87" t="s">
        <v>75</v>
      </c>
      <c r="B40" s="88" t="s">
        <v>76</v>
      </c>
      <c r="C40" s="87"/>
      <c r="D40" s="87"/>
      <c r="E40" s="94">
        <v>0</v>
      </c>
      <c r="F40" s="94">
        <v>0</v>
      </c>
    </row>
    <row r="41" spans="1:6">
      <c r="A41" s="97" t="s">
        <v>77</v>
      </c>
      <c r="B41" s="98" t="s">
        <v>78</v>
      </c>
      <c r="C41" s="97"/>
      <c r="D41" s="97"/>
      <c r="E41" s="99">
        <v>0</v>
      </c>
      <c r="F41" s="99">
        <v>0</v>
      </c>
    </row>
    <row r="42" spans="1:6">
      <c r="A42" s="91" t="s">
        <v>79</v>
      </c>
      <c r="B42" s="92" t="s">
        <v>80</v>
      </c>
      <c r="C42" s="91" t="s">
        <v>9</v>
      </c>
      <c r="D42" s="91" t="s">
        <v>81</v>
      </c>
      <c r="E42" s="93">
        <v>0</v>
      </c>
      <c r="F42" s="93">
        <v>0</v>
      </c>
    </row>
    <row r="43" spans="1:6">
      <c r="A43" s="91" t="s">
        <v>82</v>
      </c>
      <c r="B43" s="92" t="s">
        <v>83</v>
      </c>
      <c r="C43" s="91" t="s">
        <v>9</v>
      </c>
      <c r="D43" s="91">
        <v>30</v>
      </c>
      <c r="E43" s="93">
        <v>0</v>
      </c>
      <c r="F43" s="93">
        <v>0</v>
      </c>
    </row>
    <row r="44" spans="1:6">
      <c r="A44" s="91" t="s">
        <v>84</v>
      </c>
      <c r="B44" s="92" t="s">
        <v>85</v>
      </c>
      <c r="C44" s="91" t="s">
        <v>12</v>
      </c>
      <c r="D44" s="91" t="s">
        <v>81</v>
      </c>
      <c r="E44" s="93">
        <v>0</v>
      </c>
      <c r="F44" s="93">
        <v>0</v>
      </c>
    </row>
    <row r="45" spans="1:6">
      <c r="A45" s="91" t="s">
        <v>86</v>
      </c>
      <c r="B45" s="92" t="s">
        <v>102</v>
      </c>
      <c r="C45" s="91" t="s">
        <v>12</v>
      </c>
      <c r="D45" s="91">
        <v>30</v>
      </c>
      <c r="E45" s="93">
        <v>0</v>
      </c>
      <c r="F45" s="93">
        <v>0</v>
      </c>
    </row>
    <row r="46" spans="1:6">
      <c r="A46" s="97" t="s">
        <v>88</v>
      </c>
      <c r="B46" s="98" t="s">
        <v>89</v>
      </c>
      <c r="C46" s="97"/>
      <c r="D46" s="97"/>
      <c r="E46" s="99">
        <v>0</v>
      </c>
      <c r="F46" s="99">
        <v>0</v>
      </c>
    </row>
    <row r="47" spans="1:6">
      <c r="A47" s="91" t="s">
        <v>90</v>
      </c>
      <c r="B47" s="92" t="s">
        <v>103</v>
      </c>
      <c r="C47" s="91" t="s">
        <v>12</v>
      </c>
      <c r="D47" s="91">
        <v>30</v>
      </c>
      <c r="E47" s="93">
        <v>0</v>
      </c>
      <c r="F47" s="93">
        <v>0</v>
      </c>
    </row>
    <row r="48" spans="1:6">
      <c r="A48" s="91" t="s">
        <v>92</v>
      </c>
      <c r="B48" s="92" t="s">
        <v>93</v>
      </c>
      <c r="C48" s="91" t="s">
        <v>12</v>
      </c>
      <c r="D48" s="91">
        <v>37</v>
      </c>
      <c r="E48" s="93">
        <v>0</v>
      </c>
      <c r="F48" s="93">
        <v>0</v>
      </c>
    </row>
    <row r="49" spans="1:6">
      <c r="A49" s="87" t="s">
        <v>94</v>
      </c>
      <c r="B49" s="88" t="s">
        <v>95</v>
      </c>
      <c r="C49" s="87"/>
      <c r="D49" s="88"/>
      <c r="E49" s="94">
        <v>0</v>
      </c>
      <c r="F49" s="94">
        <v>0</v>
      </c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2">
    <dataValidation allowBlank="1" showInputMessage="1" showErrorMessage="1" errorTitle="Erreur de saisie" error="La cellule ne peut prendre que du numérique." promptTitle="Information" prompt="Cette cellule ne peut prendre que du numérique." sqref="D1:F5" xr:uid="{AEC1A884-60BC-496D-B6AE-50C3D2F02DC8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5" xr:uid="{E84699F9-012D-4EAA-868A-B14A84E0F6EA}">
      <formula1>0</formula1>
    </dataValidation>
  </dataValidation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7C361-EF2B-485B-B813-1AC9D5DFC058}">
  <sheetPr codeName="Feuil59"/>
  <dimension ref="A1:F49"/>
  <sheetViews>
    <sheetView workbookViewId="0">
      <selection activeCell="H16" sqref="H16"/>
    </sheetView>
  </sheetViews>
  <sheetFormatPr baseColWidth="10" defaultColWidth="11.42578125" defaultRowHeight="12.75"/>
  <cols>
    <col min="1" max="1" width="4.140625" style="100" customWidth="1" collapsed="1"/>
    <col min="2" max="2" width="56" style="90" customWidth="1" collapsed="1"/>
    <col min="3" max="3" width="3.140625" style="90" customWidth="1" collapsed="1"/>
    <col min="4" max="4" width="8.28515625" style="90" customWidth="1" collapsed="1"/>
    <col min="5" max="6" width="13.85546875" style="90" customWidth="1" collapsed="1"/>
    <col min="7" max="16384" width="11.42578125" style="90" collapsed="1"/>
  </cols>
  <sheetData>
    <row r="1" spans="1:6" s="84" customFormat="1" ht="24.6" customHeight="1">
      <c r="A1" s="303" t="s">
        <v>0</v>
      </c>
      <c r="B1" s="303"/>
      <c r="C1" s="303"/>
      <c r="D1" s="303"/>
      <c r="E1" s="303"/>
      <c r="F1" s="303"/>
    </row>
    <row r="2" spans="1:6" s="84" customFormat="1" ht="8.1" customHeight="1">
      <c r="A2" s="135"/>
      <c r="B2" s="135"/>
      <c r="C2" s="136"/>
      <c r="D2" s="135"/>
      <c r="E2" s="135"/>
      <c r="F2" s="135"/>
    </row>
    <row r="3" spans="1:6" s="84" customFormat="1" ht="25.5" customHeight="1">
      <c r="A3" s="304" t="s">
        <v>134</v>
      </c>
      <c r="B3" s="304"/>
      <c r="C3" s="304"/>
      <c r="D3" s="135" t="s">
        <v>1</v>
      </c>
      <c r="E3" s="305">
        <v>45657</v>
      </c>
      <c r="F3" s="306"/>
    </row>
    <row r="4" spans="1:6" s="84" customFormat="1" ht="15" customHeight="1">
      <c r="A4" s="307" t="s">
        <v>147</v>
      </c>
      <c r="B4" s="306"/>
      <c r="C4" s="306"/>
      <c r="D4" s="308" t="s">
        <v>2</v>
      </c>
      <c r="E4" s="309">
        <v>12</v>
      </c>
      <c r="F4" s="310"/>
    </row>
    <row r="5" spans="1:6" s="84" customFormat="1" ht="30.95" customHeight="1">
      <c r="A5" s="137" t="s">
        <v>3</v>
      </c>
      <c r="B5" s="311" t="s">
        <v>148</v>
      </c>
      <c r="C5" s="312"/>
      <c r="D5" s="308"/>
      <c r="E5" s="306"/>
      <c r="F5" s="306"/>
    </row>
    <row r="7" spans="1:6" ht="18" customHeight="1">
      <c r="A7" s="138" t="s">
        <v>4</v>
      </c>
      <c r="B7" s="139" t="s">
        <v>5</v>
      </c>
      <c r="C7" s="139"/>
      <c r="D7" s="138" t="s">
        <v>6</v>
      </c>
      <c r="E7" s="140">
        <v>2024</v>
      </c>
      <c r="F7" s="140">
        <v>2023</v>
      </c>
    </row>
    <row r="8" spans="1:6">
      <c r="A8" s="141" t="s">
        <v>7</v>
      </c>
      <c r="B8" s="142" t="s">
        <v>117</v>
      </c>
      <c r="C8" s="141" t="s">
        <v>9</v>
      </c>
      <c r="D8" s="141">
        <v>21</v>
      </c>
      <c r="E8" s="143">
        <v>1058354357</v>
      </c>
      <c r="F8" s="143">
        <v>1958462591</v>
      </c>
    </row>
    <row r="9" spans="1:6">
      <c r="A9" s="141" t="s">
        <v>10</v>
      </c>
      <c r="B9" s="142" t="s">
        <v>11</v>
      </c>
      <c r="C9" s="141" t="s">
        <v>12</v>
      </c>
      <c r="D9" s="141">
        <v>22</v>
      </c>
      <c r="E9" s="143">
        <v>334334672</v>
      </c>
      <c r="F9" s="143">
        <v>1024603203</v>
      </c>
    </row>
    <row r="10" spans="1:6">
      <c r="A10" s="141" t="s">
        <v>13</v>
      </c>
      <c r="B10" s="142" t="s">
        <v>14</v>
      </c>
      <c r="C10" s="141" t="s">
        <v>15</v>
      </c>
      <c r="D10" s="141">
        <v>6</v>
      </c>
      <c r="E10" s="143">
        <v>289251315</v>
      </c>
      <c r="F10" s="143">
        <v>73491068</v>
      </c>
    </row>
    <row r="11" spans="1:6">
      <c r="A11" s="138" t="s">
        <v>16</v>
      </c>
      <c r="B11" s="139" t="s">
        <v>17</v>
      </c>
      <c r="C11" s="138"/>
      <c r="D11" s="138"/>
      <c r="E11" s="144">
        <v>434768370</v>
      </c>
      <c r="F11" s="144">
        <v>1007350456</v>
      </c>
    </row>
    <row r="12" spans="1:6">
      <c r="A12" s="141" t="s">
        <v>18</v>
      </c>
      <c r="B12" s="142" t="s">
        <v>118</v>
      </c>
      <c r="C12" s="141" t="s">
        <v>9</v>
      </c>
      <c r="D12" s="141">
        <v>21</v>
      </c>
      <c r="E12" s="143">
        <v>2951203046</v>
      </c>
      <c r="F12" s="143">
        <v>7947960142</v>
      </c>
    </row>
    <row r="13" spans="1:6">
      <c r="A13" s="141" t="s">
        <v>20</v>
      </c>
      <c r="B13" s="142" t="s">
        <v>119</v>
      </c>
      <c r="C13" s="141" t="s">
        <v>9</v>
      </c>
      <c r="D13" s="141">
        <v>21</v>
      </c>
      <c r="E13" s="143">
        <v>420935079</v>
      </c>
      <c r="F13" s="143">
        <v>473878129</v>
      </c>
    </row>
    <row r="14" spans="1:6">
      <c r="A14" s="141" t="s">
        <v>22</v>
      </c>
      <c r="B14" s="142" t="s">
        <v>120</v>
      </c>
      <c r="C14" s="141" t="s">
        <v>9</v>
      </c>
      <c r="D14" s="141">
        <v>21</v>
      </c>
      <c r="E14" s="143">
        <v>153701400</v>
      </c>
      <c r="F14" s="143">
        <v>6005116</v>
      </c>
    </row>
    <row r="15" spans="1:6">
      <c r="A15" s="138" t="s">
        <v>24</v>
      </c>
      <c r="B15" s="139" t="s">
        <v>25</v>
      </c>
      <c r="C15" s="138"/>
      <c r="D15" s="138"/>
      <c r="E15" s="144">
        <v>4584193882</v>
      </c>
      <c r="F15" s="144">
        <v>10386305978</v>
      </c>
    </row>
    <row r="16" spans="1:6">
      <c r="A16" s="141" t="s">
        <v>26</v>
      </c>
      <c r="B16" s="142" t="s">
        <v>27</v>
      </c>
      <c r="C16" s="141" t="s">
        <v>15</v>
      </c>
      <c r="D16" s="141">
        <v>6</v>
      </c>
      <c r="E16" s="143">
        <v>17685221</v>
      </c>
      <c r="F16" s="143">
        <v>2134842</v>
      </c>
    </row>
    <row r="17" spans="1:6">
      <c r="A17" s="141" t="s">
        <v>28</v>
      </c>
      <c r="B17" s="142" t="s">
        <v>29</v>
      </c>
      <c r="C17" s="141"/>
      <c r="D17" s="141">
        <v>21</v>
      </c>
      <c r="E17" s="143">
        <v>0</v>
      </c>
      <c r="F17" s="143">
        <v>0</v>
      </c>
    </row>
    <row r="18" spans="1:6">
      <c r="A18" s="141" t="s">
        <v>30</v>
      </c>
      <c r="B18" s="142" t="s">
        <v>31</v>
      </c>
      <c r="C18" s="141"/>
      <c r="D18" s="141">
        <v>21</v>
      </c>
      <c r="E18" s="143">
        <v>0</v>
      </c>
      <c r="F18" s="143">
        <v>0</v>
      </c>
    </row>
    <row r="19" spans="1:6">
      <c r="A19" s="141" t="s">
        <v>32</v>
      </c>
      <c r="B19" s="142" t="s">
        <v>33</v>
      </c>
      <c r="C19" s="141" t="s">
        <v>9</v>
      </c>
      <c r="D19" s="141">
        <v>21</v>
      </c>
      <c r="E19" s="143">
        <v>72438631</v>
      </c>
      <c r="F19" s="143">
        <v>111213323</v>
      </c>
    </row>
    <row r="20" spans="1:6">
      <c r="A20" s="141" t="s">
        <v>34</v>
      </c>
      <c r="B20" s="142" t="s">
        <v>35</v>
      </c>
      <c r="C20" s="141" t="s">
        <v>9</v>
      </c>
      <c r="D20" s="141">
        <v>12</v>
      </c>
      <c r="E20" s="143">
        <v>0</v>
      </c>
      <c r="F20" s="143">
        <v>0</v>
      </c>
    </row>
    <row r="21" spans="1:6">
      <c r="A21" s="141" t="s">
        <v>36</v>
      </c>
      <c r="B21" s="142" t="s">
        <v>37</v>
      </c>
      <c r="C21" s="141" t="s">
        <v>12</v>
      </c>
      <c r="D21" s="141">
        <v>22</v>
      </c>
      <c r="E21" s="143">
        <v>1808887536</v>
      </c>
      <c r="F21" s="143">
        <v>4212788210</v>
      </c>
    </row>
    <row r="22" spans="1:6">
      <c r="A22" s="141" t="s">
        <v>38</v>
      </c>
      <c r="B22" s="142" t="s">
        <v>39</v>
      </c>
      <c r="C22" s="141" t="s">
        <v>15</v>
      </c>
      <c r="D22" s="141">
        <v>6</v>
      </c>
      <c r="E22" s="143">
        <v>116727871</v>
      </c>
      <c r="F22" s="143">
        <v>1129654225</v>
      </c>
    </row>
    <row r="23" spans="1:6">
      <c r="A23" s="141" t="s">
        <v>40</v>
      </c>
      <c r="B23" s="142" t="s">
        <v>41</v>
      </c>
      <c r="C23" s="141" t="s">
        <v>12</v>
      </c>
      <c r="D23" s="141">
        <v>22</v>
      </c>
      <c r="E23" s="143">
        <v>126420070</v>
      </c>
      <c r="F23" s="143">
        <v>163865839</v>
      </c>
    </row>
    <row r="24" spans="1:6">
      <c r="A24" s="141" t="s">
        <v>42</v>
      </c>
      <c r="B24" s="142" t="s">
        <v>43</v>
      </c>
      <c r="C24" s="141" t="s">
        <v>15</v>
      </c>
      <c r="D24" s="141">
        <v>6</v>
      </c>
      <c r="E24" s="143">
        <v>27463834</v>
      </c>
      <c r="F24" s="143">
        <v>37635156</v>
      </c>
    </row>
    <row r="25" spans="1:6">
      <c r="A25" s="141" t="s">
        <v>44</v>
      </c>
      <c r="B25" s="142" t="s">
        <v>45</v>
      </c>
      <c r="C25" s="141" t="s">
        <v>12</v>
      </c>
      <c r="D25" s="141">
        <v>23</v>
      </c>
      <c r="E25" s="143">
        <v>18103292</v>
      </c>
      <c r="F25" s="143">
        <v>11673672</v>
      </c>
    </row>
    <row r="26" spans="1:6">
      <c r="A26" s="141" t="s">
        <v>46</v>
      </c>
      <c r="B26" s="142" t="s">
        <v>47</v>
      </c>
      <c r="C26" s="141" t="s">
        <v>12</v>
      </c>
      <c r="D26" s="141">
        <v>24</v>
      </c>
      <c r="E26" s="143">
        <v>662125850</v>
      </c>
      <c r="F26" s="143">
        <v>541332906</v>
      </c>
    </row>
    <row r="27" spans="1:6">
      <c r="A27" s="141" t="s">
        <v>48</v>
      </c>
      <c r="B27" s="142" t="s">
        <v>49</v>
      </c>
      <c r="C27" s="141" t="s">
        <v>12</v>
      </c>
      <c r="D27" s="141">
        <v>25</v>
      </c>
      <c r="E27" s="143">
        <v>72607747</v>
      </c>
      <c r="F27" s="143">
        <v>299996672</v>
      </c>
    </row>
    <row r="28" spans="1:6">
      <c r="A28" s="141" t="s">
        <v>50</v>
      </c>
      <c r="B28" s="142" t="s">
        <v>51</v>
      </c>
      <c r="C28" s="141" t="s">
        <v>12</v>
      </c>
      <c r="D28" s="141">
        <v>26</v>
      </c>
      <c r="E28" s="143">
        <v>99160695</v>
      </c>
      <c r="F28" s="143">
        <v>32416811</v>
      </c>
    </row>
    <row r="29" spans="1:6">
      <c r="A29" s="138" t="s">
        <v>52</v>
      </c>
      <c r="B29" s="139" t="s">
        <v>53</v>
      </c>
      <c r="C29" s="138"/>
      <c r="D29" s="138"/>
      <c r="E29" s="144">
        <v>1372247820</v>
      </c>
      <c r="F29" s="144">
        <v>3194448829</v>
      </c>
    </row>
    <row r="30" spans="1:6">
      <c r="A30" s="141" t="s">
        <v>54</v>
      </c>
      <c r="B30" s="142" t="s">
        <v>55</v>
      </c>
      <c r="C30" s="141" t="s">
        <v>12</v>
      </c>
      <c r="D30" s="141">
        <v>27</v>
      </c>
      <c r="E30" s="143">
        <v>535015791</v>
      </c>
      <c r="F30" s="143">
        <v>571587243</v>
      </c>
    </row>
    <row r="31" spans="1:6">
      <c r="A31" s="138" t="s">
        <v>56</v>
      </c>
      <c r="B31" s="139" t="s">
        <v>57</v>
      </c>
      <c r="C31" s="138"/>
      <c r="D31" s="138"/>
      <c r="E31" s="144">
        <v>837232029</v>
      </c>
      <c r="F31" s="144">
        <v>2622861586</v>
      </c>
    </row>
    <row r="32" spans="1:6">
      <c r="A32" s="145" t="s">
        <v>58</v>
      </c>
      <c r="B32" s="146" t="s">
        <v>100</v>
      </c>
      <c r="C32" s="145" t="s">
        <v>9</v>
      </c>
      <c r="D32" s="145">
        <v>28</v>
      </c>
      <c r="E32" s="143">
        <v>0</v>
      </c>
      <c r="F32" s="143">
        <v>0</v>
      </c>
    </row>
    <row r="33" spans="1:6">
      <c r="A33" s="141" t="s">
        <v>60</v>
      </c>
      <c r="B33" s="142" t="s">
        <v>61</v>
      </c>
      <c r="C33" s="141" t="s">
        <v>12</v>
      </c>
      <c r="D33" s="141" t="s">
        <v>62</v>
      </c>
      <c r="E33" s="143">
        <v>133140342</v>
      </c>
      <c r="F33" s="143">
        <v>153395096</v>
      </c>
    </row>
    <row r="34" spans="1:6">
      <c r="A34" s="138" t="s">
        <v>63</v>
      </c>
      <c r="B34" s="139" t="s">
        <v>64</v>
      </c>
      <c r="C34" s="138"/>
      <c r="D34" s="138"/>
      <c r="E34" s="144">
        <v>704091687</v>
      </c>
      <c r="F34" s="144">
        <v>2469466490</v>
      </c>
    </row>
    <row r="35" spans="1:6">
      <c r="A35" s="141" t="s">
        <v>65</v>
      </c>
      <c r="B35" s="142" t="s">
        <v>66</v>
      </c>
      <c r="C35" s="141" t="s">
        <v>9</v>
      </c>
      <c r="D35" s="141">
        <v>29</v>
      </c>
      <c r="E35" s="143">
        <v>0</v>
      </c>
      <c r="F35" s="143">
        <v>0</v>
      </c>
    </row>
    <row r="36" spans="1:6">
      <c r="A36" s="141" t="s">
        <v>67</v>
      </c>
      <c r="B36" s="142" t="s">
        <v>68</v>
      </c>
      <c r="C36" s="141" t="s">
        <v>9</v>
      </c>
      <c r="D36" s="141">
        <v>28</v>
      </c>
      <c r="E36" s="143">
        <v>0</v>
      </c>
      <c r="F36" s="143">
        <v>0</v>
      </c>
    </row>
    <row r="37" spans="1:6">
      <c r="A37" s="141" t="s">
        <v>69</v>
      </c>
      <c r="B37" s="142" t="s">
        <v>101</v>
      </c>
      <c r="C37" s="141" t="s">
        <v>9</v>
      </c>
      <c r="D37" s="141">
        <v>12</v>
      </c>
      <c r="E37" s="143">
        <v>0</v>
      </c>
      <c r="F37" s="143">
        <v>0</v>
      </c>
    </row>
    <row r="38" spans="1:6">
      <c r="A38" s="141" t="s">
        <v>71</v>
      </c>
      <c r="B38" s="142" t="s">
        <v>72</v>
      </c>
      <c r="C38" s="141" t="s">
        <v>12</v>
      </c>
      <c r="D38" s="141">
        <v>29</v>
      </c>
      <c r="E38" s="143">
        <v>39564000</v>
      </c>
      <c r="F38" s="143">
        <v>0</v>
      </c>
    </row>
    <row r="39" spans="1:6">
      <c r="A39" s="141" t="s">
        <v>73</v>
      </c>
      <c r="B39" s="142" t="s">
        <v>74</v>
      </c>
      <c r="C39" s="141" t="s">
        <v>12</v>
      </c>
      <c r="D39" s="141" t="s">
        <v>62</v>
      </c>
      <c r="E39" s="143">
        <v>0</v>
      </c>
      <c r="F39" s="143">
        <v>0</v>
      </c>
    </row>
    <row r="40" spans="1:6">
      <c r="A40" s="138" t="s">
        <v>75</v>
      </c>
      <c r="B40" s="139" t="s">
        <v>76</v>
      </c>
      <c r="C40" s="138"/>
      <c r="D40" s="138"/>
      <c r="E40" s="144">
        <v>-39564000</v>
      </c>
      <c r="F40" s="144">
        <v>0</v>
      </c>
    </row>
    <row r="41" spans="1:6">
      <c r="A41" s="147" t="s">
        <v>77</v>
      </c>
      <c r="B41" s="148" t="s">
        <v>78</v>
      </c>
      <c r="C41" s="147"/>
      <c r="D41" s="147"/>
      <c r="E41" s="149">
        <v>664527687</v>
      </c>
      <c r="F41" s="149">
        <v>2469466490</v>
      </c>
    </row>
    <row r="42" spans="1:6">
      <c r="A42" s="141" t="s">
        <v>79</v>
      </c>
      <c r="B42" s="142" t="s">
        <v>80</v>
      </c>
      <c r="C42" s="141" t="s">
        <v>9</v>
      </c>
      <c r="D42" s="141" t="s">
        <v>81</v>
      </c>
      <c r="E42" s="143">
        <v>0</v>
      </c>
      <c r="F42" s="143">
        <v>0</v>
      </c>
    </row>
    <row r="43" spans="1:6">
      <c r="A43" s="141" t="s">
        <v>82</v>
      </c>
      <c r="B43" s="142" t="s">
        <v>83</v>
      </c>
      <c r="C43" s="141" t="s">
        <v>9</v>
      </c>
      <c r="D43" s="141">
        <v>30</v>
      </c>
      <c r="E43" s="143">
        <v>0</v>
      </c>
      <c r="F43" s="143">
        <v>0</v>
      </c>
    </row>
    <row r="44" spans="1:6">
      <c r="A44" s="141" t="s">
        <v>84</v>
      </c>
      <c r="B44" s="142" t="s">
        <v>85</v>
      </c>
      <c r="C44" s="141" t="s">
        <v>12</v>
      </c>
      <c r="D44" s="141" t="s">
        <v>81</v>
      </c>
      <c r="E44" s="143">
        <v>0</v>
      </c>
      <c r="F44" s="143">
        <v>0</v>
      </c>
    </row>
    <row r="45" spans="1:6">
      <c r="A45" s="141" t="s">
        <v>86</v>
      </c>
      <c r="B45" s="142" t="s">
        <v>102</v>
      </c>
      <c r="C45" s="141" t="s">
        <v>12</v>
      </c>
      <c r="D45" s="141">
        <v>30</v>
      </c>
      <c r="E45" s="143">
        <v>0</v>
      </c>
      <c r="F45" s="143">
        <v>0</v>
      </c>
    </row>
    <row r="46" spans="1:6">
      <c r="A46" s="147" t="s">
        <v>88</v>
      </c>
      <c r="B46" s="148" t="s">
        <v>89</v>
      </c>
      <c r="C46" s="147"/>
      <c r="D46" s="147"/>
      <c r="E46" s="149">
        <v>0</v>
      </c>
      <c r="F46" s="149">
        <v>0</v>
      </c>
    </row>
    <row r="47" spans="1:6">
      <c r="A47" s="141" t="s">
        <v>90</v>
      </c>
      <c r="B47" s="142" t="s">
        <v>103</v>
      </c>
      <c r="C47" s="141" t="s">
        <v>12</v>
      </c>
      <c r="D47" s="141">
        <v>30</v>
      </c>
      <c r="E47" s="143">
        <v>0</v>
      </c>
      <c r="F47" s="143">
        <v>0</v>
      </c>
    </row>
    <row r="48" spans="1:6">
      <c r="A48" s="141" t="s">
        <v>92</v>
      </c>
      <c r="B48" s="142" t="s">
        <v>93</v>
      </c>
      <c r="C48" s="141" t="s">
        <v>12</v>
      </c>
      <c r="D48" s="141">
        <v>37</v>
      </c>
      <c r="E48" s="143">
        <v>238850968</v>
      </c>
      <c r="F48" s="143">
        <v>841550036</v>
      </c>
    </row>
    <row r="49" spans="1:6">
      <c r="A49" s="138" t="s">
        <v>94</v>
      </c>
      <c r="B49" s="139" t="s">
        <v>95</v>
      </c>
      <c r="C49" s="138"/>
      <c r="D49" s="139"/>
      <c r="E49" s="144">
        <v>425676719</v>
      </c>
      <c r="F49" s="144">
        <v>1627916454</v>
      </c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2">
    <dataValidation allowBlank="1" showInputMessage="1" showErrorMessage="1" errorTitle="Erreur de saisie" error="La cellule ne peut prendre que du numérique." promptTitle="Information" prompt="Cette cellule ne peut prendre que du numérique." sqref="D1:F5" xr:uid="{0D6F92D1-186A-44C0-BE06-934AA4F703BE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5" xr:uid="{8368B25B-A05B-43C0-8A0C-76FF3C04C872}">
      <formula1>0</formula1>
    </dataValidation>
  </dataValidation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6EF04-1040-4BD6-957B-7F70A27FB357}">
  <sheetPr codeName="Feuil61"/>
  <dimension ref="A1:F49"/>
  <sheetViews>
    <sheetView workbookViewId="0">
      <selection activeCell="B11" sqref="B11"/>
    </sheetView>
  </sheetViews>
  <sheetFormatPr baseColWidth="10" defaultRowHeight="15"/>
  <cols>
    <col min="1" max="1" width="4.140625" style="100" customWidth="1" collapsed="1"/>
    <col min="2" max="2" width="56" style="90" customWidth="1" collapsed="1"/>
    <col min="3" max="3" width="3.140625" style="90" customWidth="1" collapsed="1"/>
    <col min="4" max="4" width="8.42578125" style="90" customWidth="1" collapsed="1"/>
    <col min="5" max="6" width="13.85546875" style="90" customWidth="1" collapsed="1"/>
  </cols>
  <sheetData>
    <row r="1" spans="1:6" ht="18.75">
      <c r="A1" s="265" t="s">
        <v>0</v>
      </c>
      <c r="B1" s="265"/>
      <c r="C1" s="265"/>
      <c r="D1" s="265"/>
      <c r="E1" s="265"/>
      <c r="F1" s="265"/>
    </row>
    <row r="2" spans="1:6">
      <c r="A2" s="84"/>
      <c r="B2" s="84"/>
      <c r="C2" s="85"/>
      <c r="D2" s="84"/>
      <c r="E2" s="84"/>
      <c r="F2" s="84"/>
    </row>
    <row r="3" spans="1:6">
      <c r="A3" s="266" t="s">
        <v>134</v>
      </c>
      <c r="B3" s="266"/>
      <c r="C3" s="266"/>
      <c r="D3" s="84" t="s">
        <v>1</v>
      </c>
      <c r="E3" s="267">
        <f>+'[30]Fiche de renseignement R1'!$V$10</f>
        <v>45657</v>
      </c>
      <c r="F3" s="268"/>
    </row>
    <row r="4" spans="1:6">
      <c r="A4" s="269" t="str">
        <f>'[30]Fiche de renseignement R1'!$J$4</f>
        <v>MANDINGA RESSOURCES SARL</v>
      </c>
      <c r="B4" s="268"/>
      <c r="C4" s="268"/>
      <c r="D4" s="270" t="s">
        <v>2</v>
      </c>
      <c r="E4" s="271">
        <f>+'[30]Fiche de renseignement R1'!$AH$10</f>
        <v>12</v>
      </c>
      <c r="F4" s="272"/>
    </row>
    <row r="5" spans="1:6" ht="102">
      <c r="A5" s="86" t="s">
        <v>3</v>
      </c>
      <c r="B5" s="273" t="str">
        <f>+'[30]Fiche de renseignement R1'!$J$10</f>
        <v>006495693</v>
      </c>
      <c r="C5" s="274"/>
      <c r="D5" s="270"/>
      <c r="E5" s="268"/>
      <c r="F5" s="268"/>
    </row>
    <row r="7" spans="1:6">
      <c r="A7" s="87" t="s">
        <v>4</v>
      </c>
      <c r="B7" s="88" t="s">
        <v>5</v>
      </c>
      <c r="C7" s="88"/>
      <c r="D7" s="87" t="s">
        <v>6</v>
      </c>
      <c r="E7" s="89">
        <v>2024</v>
      </c>
      <c r="F7" s="89">
        <v>2023</v>
      </c>
    </row>
    <row r="8" spans="1:6">
      <c r="A8" s="91" t="s">
        <v>7</v>
      </c>
      <c r="B8" s="92" t="s">
        <v>117</v>
      </c>
      <c r="C8" s="91" t="s">
        <v>9</v>
      </c>
      <c r="D8" s="91">
        <v>21</v>
      </c>
      <c r="E8" s="93">
        <v>0</v>
      </c>
      <c r="F8" s="93">
        <v>0</v>
      </c>
    </row>
    <row r="9" spans="1:6">
      <c r="A9" s="91" t="s">
        <v>10</v>
      </c>
      <c r="B9" s="92" t="s">
        <v>11</v>
      </c>
      <c r="C9" s="91" t="s">
        <v>12</v>
      </c>
      <c r="D9" s="91">
        <v>22</v>
      </c>
      <c r="E9" s="93">
        <v>4554724</v>
      </c>
      <c r="F9" s="93">
        <v>0</v>
      </c>
    </row>
    <row r="10" spans="1:6">
      <c r="A10" s="91" t="s">
        <v>13</v>
      </c>
      <c r="B10" s="92" t="s">
        <v>14</v>
      </c>
      <c r="C10" s="91" t="s">
        <v>15</v>
      </c>
      <c r="D10" s="91">
        <v>6</v>
      </c>
      <c r="E10" s="93">
        <v>0</v>
      </c>
      <c r="F10" s="93">
        <v>0</v>
      </c>
    </row>
    <row r="11" spans="1:6">
      <c r="A11" s="87" t="s">
        <v>16</v>
      </c>
      <c r="B11" s="88" t="s">
        <v>17</v>
      </c>
      <c r="C11" s="87"/>
      <c r="D11" s="87"/>
      <c r="E11" s="94">
        <v>-4554724</v>
      </c>
      <c r="F11" s="94">
        <v>0</v>
      </c>
    </row>
    <row r="12" spans="1:6">
      <c r="A12" s="91" t="s">
        <v>18</v>
      </c>
      <c r="B12" s="92" t="s">
        <v>118</v>
      </c>
      <c r="C12" s="91" t="s">
        <v>9</v>
      </c>
      <c r="D12" s="91">
        <v>21</v>
      </c>
      <c r="E12" s="93">
        <v>0</v>
      </c>
      <c r="F12" s="93">
        <v>0</v>
      </c>
    </row>
    <row r="13" spans="1:6">
      <c r="A13" s="91" t="s">
        <v>20</v>
      </c>
      <c r="B13" s="92" t="s">
        <v>119</v>
      </c>
      <c r="C13" s="91" t="s">
        <v>9</v>
      </c>
      <c r="D13" s="91">
        <v>21</v>
      </c>
      <c r="E13" s="93">
        <v>0</v>
      </c>
      <c r="F13" s="93">
        <v>0</v>
      </c>
    </row>
    <row r="14" spans="1:6">
      <c r="A14" s="91" t="s">
        <v>22</v>
      </c>
      <c r="B14" s="92" t="s">
        <v>120</v>
      </c>
      <c r="C14" s="91" t="s">
        <v>9</v>
      </c>
      <c r="D14" s="91">
        <v>21</v>
      </c>
      <c r="E14" s="93">
        <v>0</v>
      </c>
      <c r="F14" s="93">
        <v>0</v>
      </c>
    </row>
    <row r="15" spans="1:6">
      <c r="A15" s="87" t="s">
        <v>24</v>
      </c>
      <c r="B15" s="88" t="s">
        <v>25</v>
      </c>
      <c r="C15" s="87"/>
      <c r="D15" s="87"/>
      <c r="E15" s="94">
        <v>0</v>
      </c>
      <c r="F15" s="94">
        <v>0</v>
      </c>
    </row>
    <row r="16" spans="1:6">
      <c r="A16" s="91" t="s">
        <v>26</v>
      </c>
      <c r="B16" s="92" t="s">
        <v>27</v>
      </c>
      <c r="C16" s="91" t="s">
        <v>15</v>
      </c>
      <c r="D16" s="91">
        <v>6</v>
      </c>
      <c r="E16" s="93">
        <v>0</v>
      </c>
      <c r="F16" s="93">
        <v>0</v>
      </c>
    </row>
    <row r="17" spans="1:6">
      <c r="A17" s="91" t="s">
        <v>28</v>
      </c>
      <c r="B17" s="92" t="s">
        <v>29</v>
      </c>
      <c r="C17" s="91"/>
      <c r="D17" s="91">
        <v>21</v>
      </c>
      <c r="E17" s="93">
        <v>0</v>
      </c>
      <c r="F17" s="93">
        <v>0</v>
      </c>
    </row>
    <row r="18" spans="1:6">
      <c r="A18" s="91" t="s">
        <v>30</v>
      </c>
      <c r="B18" s="92" t="s">
        <v>31</v>
      </c>
      <c r="C18" s="91"/>
      <c r="D18" s="91">
        <v>21</v>
      </c>
      <c r="E18" s="93">
        <v>0</v>
      </c>
      <c r="F18" s="93">
        <v>0</v>
      </c>
    </row>
    <row r="19" spans="1:6">
      <c r="A19" s="91" t="s">
        <v>32</v>
      </c>
      <c r="B19" s="92" t="s">
        <v>33</v>
      </c>
      <c r="C19" s="91" t="s">
        <v>9</v>
      </c>
      <c r="D19" s="91">
        <v>21</v>
      </c>
      <c r="E19" s="93">
        <v>42900</v>
      </c>
      <c r="F19" s="93">
        <v>1923100</v>
      </c>
    </row>
    <row r="20" spans="1:6">
      <c r="A20" s="91" t="s">
        <v>34</v>
      </c>
      <c r="B20" s="92" t="s">
        <v>35</v>
      </c>
      <c r="C20" s="91" t="s">
        <v>9</v>
      </c>
      <c r="D20" s="91">
        <v>12</v>
      </c>
      <c r="E20" s="93">
        <v>0</v>
      </c>
      <c r="F20" s="93">
        <v>255488655</v>
      </c>
    </row>
    <row r="21" spans="1:6">
      <c r="A21" s="91" t="s">
        <v>36</v>
      </c>
      <c r="B21" s="92" t="s">
        <v>37</v>
      </c>
      <c r="C21" s="91" t="s">
        <v>12</v>
      </c>
      <c r="D21" s="91">
        <v>22</v>
      </c>
      <c r="E21" s="93">
        <v>0</v>
      </c>
      <c r="F21" s="93">
        <v>0</v>
      </c>
    </row>
    <row r="22" spans="1:6">
      <c r="A22" s="91" t="s">
        <v>38</v>
      </c>
      <c r="B22" s="92" t="s">
        <v>39</v>
      </c>
      <c r="C22" s="91" t="s">
        <v>15</v>
      </c>
      <c r="D22" s="91">
        <v>6</v>
      </c>
      <c r="E22" s="93">
        <v>0</v>
      </c>
      <c r="F22" s="93">
        <v>0</v>
      </c>
    </row>
    <row r="23" spans="1:6">
      <c r="A23" s="91" t="s">
        <v>40</v>
      </c>
      <c r="B23" s="92" t="s">
        <v>41</v>
      </c>
      <c r="C23" s="91" t="s">
        <v>12</v>
      </c>
      <c r="D23" s="91">
        <v>22</v>
      </c>
      <c r="E23" s="93">
        <v>280483792</v>
      </c>
      <c r="F23" s="93">
        <v>88747393</v>
      </c>
    </row>
    <row r="24" spans="1:6">
      <c r="A24" s="91" t="s">
        <v>42</v>
      </c>
      <c r="B24" s="92" t="s">
        <v>43</v>
      </c>
      <c r="C24" s="91" t="s">
        <v>15</v>
      </c>
      <c r="D24" s="91">
        <v>6</v>
      </c>
      <c r="E24" s="93">
        <v>0</v>
      </c>
      <c r="F24" s="93">
        <v>0</v>
      </c>
    </row>
    <row r="25" spans="1:6">
      <c r="A25" s="91" t="s">
        <v>44</v>
      </c>
      <c r="B25" s="92" t="s">
        <v>45</v>
      </c>
      <c r="C25" s="91" t="s">
        <v>12</v>
      </c>
      <c r="D25" s="91">
        <v>23</v>
      </c>
      <c r="E25" s="93">
        <v>9538476</v>
      </c>
      <c r="F25" s="93">
        <v>2554135</v>
      </c>
    </row>
    <row r="26" spans="1:6">
      <c r="A26" s="91" t="s">
        <v>46</v>
      </c>
      <c r="B26" s="92" t="s">
        <v>47</v>
      </c>
      <c r="C26" s="91" t="s">
        <v>12</v>
      </c>
      <c r="D26" s="91">
        <v>24</v>
      </c>
      <c r="E26" s="93">
        <v>54253447</v>
      </c>
      <c r="F26" s="93">
        <v>133182325</v>
      </c>
    </row>
    <row r="27" spans="1:6">
      <c r="A27" s="91" t="s">
        <v>48</v>
      </c>
      <c r="B27" s="92" t="s">
        <v>49</v>
      </c>
      <c r="C27" s="91" t="s">
        <v>12</v>
      </c>
      <c r="D27" s="91">
        <v>25</v>
      </c>
      <c r="E27" s="93">
        <v>5049333</v>
      </c>
      <c r="F27" s="93">
        <v>22770914</v>
      </c>
    </row>
    <row r="28" spans="1:6">
      <c r="A28" s="91" t="s">
        <v>50</v>
      </c>
      <c r="B28" s="92" t="s">
        <v>51</v>
      </c>
      <c r="C28" s="91" t="s">
        <v>12</v>
      </c>
      <c r="D28" s="91">
        <v>26</v>
      </c>
      <c r="E28" s="93">
        <v>9387457</v>
      </c>
      <c r="F28" s="93">
        <v>10156988</v>
      </c>
    </row>
    <row r="29" spans="1:6">
      <c r="A29" s="87" t="s">
        <v>52</v>
      </c>
      <c r="B29" s="88" t="s">
        <v>53</v>
      </c>
      <c r="C29" s="87"/>
      <c r="D29" s="87"/>
      <c r="E29" s="94">
        <v>-363224329</v>
      </c>
      <c r="F29" s="94">
        <v>0</v>
      </c>
    </row>
    <row r="30" spans="1:6">
      <c r="A30" s="91" t="s">
        <v>54</v>
      </c>
      <c r="B30" s="92" t="s">
        <v>55</v>
      </c>
      <c r="C30" s="91" t="s">
        <v>12</v>
      </c>
      <c r="D30" s="91">
        <v>27</v>
      </c>
      <c r="E30" s="93">
        <v>77442921</v>
      </c>
      <c r="F30" s="93">
        <v>0</v>
      </c>
    </row>
    <row r="31" spans="1:6">
      <c r="A31" s="87" t="s">
        <v>56</v>
      </c>
      <c r="B31" s="88" t="s">
        <v>57</v>
      </c>
      <c r="C31" s="87"/>
      <c r="D31" s="87"/>
      <c r="E31" s="94">
        <v>-440667250</v>
      </c>
      <c r="F31" s="94">
        <v>0</v>
      </c>
    </row>
    <row r="32" spans="1:6">
      <c r="A32" s="95" t="s">
        <v>58</v>
      </c>
      <c r="B32" s="96" t="s">
        <v>100</v>
      </c>
      <c r="C32" s="95" t="s">
        <v>9</v>
      </c>
      <c r="D32" s="95">
        <v>28</v>
      </c>
      <c r="E32" s="93">
        <v>440667250</v>
      </c>
      <c r="F32" s="93">
        <v>0</v>
      </c>
    </row>
    <row r="33" spans="1:6">
      <c r="A33" s="91" t="s">
        <v>60</v>
      </c>
      <c r="B33" s="92" t="s">
        <v>61</v>
      </c>
      <c r="C33" s="91" t="s">
        <v>12</v>
      </c>
      <c r="D33" s="91" t="s">
        <v>62</v>
      </c>
      <c r="E33" s="93">
        <v>29258243</v>
      </c>
      <c r="F33" s="93">
        <v>27657980</v>
      </c>
    </row>
    <row r="34" spans="1:6">
      <c r="A34" s="87" t="s">
        <v>63</v>
      </c>
      <c r="B34" s="88" t="s">
        <v>64</v>
      </c>
      <c r="C34" s="87"/>
      <c r="D34" s="87"/>
      <c r="E34" s="94">
        <v>-29258243</v>
      </c>
      <c r="F34" s="94">
        <v>-27657980</v>
      </c>
    </row>
    <row r="35" spans="1:6">
      <c r="A35" s="91" t="s">
        <v>65</v>
      </c>
      <c r="B35" s="92" t="s">
        <v>66</v>
      </c>
      <c r="C35" s="91" t="s">
        <v>9</v>
      </c>
      <c r="D35" s="91">
        <v>29</v>
      </c>
      <c r="E35" s="93">
        <v>0</v>
      </c>
      <c r="F35" s="93">
        <v>0</v>
      </c>
    </row>
    <row r="36" spans="1:6">
      <c r="A36" s="91" t="s">
        <v>67</v>
      </c>
      <c r="B36" s="92" t="s">
        <v>68</v>
      </c>
      <c r="C36" s="91" t="s">
        <v>9</v>
      </c>
      <c r="D36" s="91">
        <v>28</v>
      </c>
      <c r="E36" s="93">
        <v>0</v>
      </c>
      <c r="F36" s="93">
        <v>0</v>
      </c>
    </row>
    <row r="37" spans="1:6">
      <c r="A37" s="91" t="s">
        <v>69</v>
      </c>
      <c r="B37" s="92" t="s">
        <v>101</v>
      </c>
      <c r="C37" s="91" t="s">
        <v>9</v>
      </c>
      <c r="D37" s="91">
        <v>12</v>
      </c>
      <c r="E37" s="93">
        <v>0</v>
      </c>
      <c r="F37" s="93">
        <v>0</v>
      </c>
    </row>
    <row r="38" spans="1:6">
      <c r="A38" s="91" t="s">
        <v>71</v>
      </c>
      <c r="B38" s="92" t="s">
        <v>72</v>
      </c>
      <c r="C38" s="91" t="s">
        <v>12</v>
      </c>
      <c r="D38" s="91">
        <v>29</v>
      </c>
      <c r="E38" s="93">
        <v>0</v>
      </c>
      <c r="F38" s="93">
        <v>0</v>
      </c>
    </row>
    <row r="39" spans="1:6">
      <c r="A39" s="91" t="s">
        <v>73</v>
      </c>
      <c r="B39" s="92" t="s">
        <v>74</v>
      </c>
      <c r="C39" s="91" t="s">
        <v>12</v>
      </c>
      <c r="D39" s="91" t="s">
        <v>62</v>
      </c>
      <c r="E39" s="93">
        <v>0</v>
      </c>
      <c r="F39" s="93">
        <v>0</v>
      </c>
    </row>
    <row r="40" spans="1:6">
      <c r="A40" s="87" t="s">
        <v>75</v>
      </c>
      <c r="B40" s="88" t="s">
        <v>76</v>
      </c>
      <c r="C40" s="87"/>
      <c r="D40" s="87"/>
      <c r="E40" s="94">
        <v>0</v>
      </c>
      <c r="F40" s="94">
        <v>0</v>
      </c>
    </row>
    <row r="41" spans="1:6">
      <c r="A41" s="97" t="s">
        <v>77</v>
      </c>
      <c r="B41" s="98" t="s">
        <v>78</v>
      </c>
      <c r="C41" s="97"/>
      <c r="D41" s="97"/>
      <c r="E41" s="99">
        <v>-29258243</v>
      </c>
      <c r="F41" s="99">
        <v>-27657980</v>
      </c>
    </row>
    <row r="42" spans="1:6">
      <c r="A42" s="91" t="s">
        <v>79</v>
      </c>
      <c r="B42" s="92" t="s">
        <v>80</v>
      </c>
      <c r="C42" s="91" t="s">
        <v>9</v>
      </c>
      <c r="D42" s="91" t="s">
        <v>81</v>
      </c>
      <c r="E42" s="93">
        <v>0</v>
      </c>
      <c r="F42" s="93">
        <v>0</v>
      </c>
    </row>
    <row r="43" spans="1:6">
      <c r="A43" s="91" t="s">
        <v>82</v>
      </c>
      <c r="B43" s="92" t="s">
        <v>83</v>
      </c>
      <c r="C43" s="91" t="s">
        <v>9</v>
      </c>
      <c r="D43" s="91">
        <v>30</v>
      </c>
      <c r="E43" s="93">
        <v>0</v>
      </c>
      <c r="F43" s="93">
        <v>0</v>
      </c>
    </row>
    <row r="44" spans="1:6">
      <c r="A44" s="91" t="s">
        <v>84</v>
      </c>
      <c r="B44" s="92" t="s">
        <v>85</v>
      </c>
      <c r="C44" s="91" t="s">
        <v>12</v>
      </c>
      <c r="D44" s="91" t="s">
        <v>81</v>
      </c>
      <c r="E44" s="93">
        <v>0</v>
      </c>
      <c r="F44" s="93">
        <v>0</v>
      </c>
    </row>
    <row r="45" spans="1:6">
      <c r="A45" s="91" t="s">
        <v>86</v>
      </c>
      <c r="B45" s="92" t="s">
        <v>102</v>
      </c>
      <c r="C45" s="91" t="s">
        <v>12</v>
      </c>
      <c r="D45" s="91">
        <v>30</v>
      </c>
      <c r="E45" s="93">
        <v>0</v>
      </c>
      <c r="F45" s="93">
        <v>0</v>
      </c>
    </row>
    <row r="46" spans="1:6">
      <c r="A46" s="97" t="s">
        <v>88</v>
      </c>
      <c r="B46" s="98" t="s">
        <v>89</v>
      </c>
      <c r="C46" s="97"/>
      <c r="D46" s="97"/>
      <c r="E46" s="99">
        <v>0</v>
      </c>
      <c r="F46" s="99">
        <v>0</v>
      </c>
    </row>
    <row r="47" spans="1:6">
      <c r="A47" s="91" t="s">
        <v>90</v>
      </c>
      <c r="B47" s="92" t="s">
        <v>103</v>
      </c>
      <c r="C47" s="91" t="s">
        <v>12</v>
      </c>
      <c r="D47" s="91">
        <v>30</v>
      </c>
      <c r="E47" s="93">
        <v>0</v>
      </c>
      <c r="F47" s="93">
        <v>0</v>
      </c>
    </row>
    <row r="48" spans="1:6">
      <c r="A48" s="91" t="s">
        <v>92</v>
      </c>
      <c r="B48" s="92" t="s">
        <v>93</v>
      </c>
      <c r="C48" s="91" t="s">
        <v>12</v>
      </c>
      <c r="D48" s="91">
        <v>37</v>
      </c>
      <c r="E48" s="93">
        <v>0</v>
      </c>
      <c r="F48" s="93">
        <v>0</v>
      </c>
    </row>
    <row r="49" spans="1:6">
      <c r="A49" s="87" t="s">
        <v>94</v>
      </c>
      <c r="B49" s="88" t="s">
        <v>95</v>
      </c>
      <c r="C49" s="87"/>
      <c r="D49" s="88"/>
      <c r="E49" s="94">
        <v>-29258243</v>
      </c>
      <c r="F49" s="94">
        <v>-27657980</v>
      </c>
    </row>
  </sheetData>
  <mergeCells count="7">
    <mergeCell ref="A1:F1"/>
    <mergeCell ref="A3:C3"/>
    <mergeCell ref="E3:F3"/>
    <mergeCell ref="A4:C4"/>
    <mergeCell ref="D4:D5"/>
    <mergeCell ref="E4:F5"/>
    <mergeCell ref="B5:C5"/>
  </mergeCells>
  <dataValidations count="2">
    <dataValidation allowBlank="1" showInputMessage="1" showErrorMessage="1" errorTitle="Erreur de saisie" error="La cellule ne peut prendre que du numérique." promptTitle="Information" prompt="Cette cellule ne peut prendre que du numérique." sqref="D1:F5" xr:uid="{4B2E323E-0B29-48A5-A519-4C215F265C9E}"/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5" xr:uid="{B2C1AB95-3CE9-43A1-B7F7-1994676A40DA}">
      <formula1>0</formula1>
    </dataValidation>
  </dataValidation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EF18B-D736-4187-984D-38BE19D6DBDC}">
  <sheetPr codeName="Feuil62"/>
  <dimension ref="A1:H84"/>
  <sheetViews>
    <sheetView workbookViewId="0">
      <selection activeCell="B20" sqref="B20"/>
    </sheetView>
  </sheetViews>
  <sheetFormatPr baseColWidth="10" defaultColWidth="10.28515625" defaultRowHeight="12.75"/>
  <cols>
    <col min="1" max="1" width="11.7109375" style="26" customWidth="1" collapsed="1"/>
    <col min="2" max="2" width="56" style="27" bestFit="1" customWidth="1" collapsed="1"/>
    <col min="3" max="3" width="3.140625" style="27" bestFit="1" customWidth="1" collapsed="1"/>
    <col min="4" max="4" width="13.42578125" style="27" customWidth="1" collapsed="1"/>
    <col min="5" max="6" width="13.42578125" style="27" customWidth="1"/>
    <col min="7" max="7" width="15.7109375" style="244" customWidth="1" collapsed="1"/>
    <col min="8" max="8" width="15.7109375" style="28" customWidth="1" collapsed="1"/>
    <col min="9" max="16384" width="10.28515625" style="27" collapsed="1"/>
  </cols>
  <sheetData>
    <row r="1" spans="1:8" s="1" customFormat="1" ht="24.6" customHeight="1">
      <c r="A1" s="255" t="s">
        <v>0</v>
      </c>
      <c r="B1" s="255"/>
      <c r="C1" s="255"/>
      <c r="D1" s="255"/>
      <c r="E1" s="255"/>
      <c r="F1" s="255"/>
      <c r="G1" s="255"/>
      <c r="H1" s="255"/>
    </row>
    <row r="2" spans="1:8" s="1" customFormat="1" ht="8.1" customHeight="1">
      <c r="C2" s="2"/>
      <c r="G2" s="242"/>
    </row>
    <row r="3" spans="1:8" s="1" customFormat="1" ht="25.5" customHeight="1">
      <c r="A3" s="256" t="s">
        <v>96</v>
      </c>
      <c r="B3" s="256"/>
      <c r="C3" s="256"/>
      <c r="D3" s="1" t="s">
        <v>1</v>
      </c>
      <c r="G3" s="257" t="s">
        <v>104</v>
      </c>
      <c r="H3" s="258"/>
    </row>
    <row r="4" spans="1:8" s="1" customFormat="1" ht="15" customHeight="1">
      <c r="A4" s="262" t="s">
        <v>160</v>
      </c>
      <c r="B4" s="258"/>
      <c r="C4" s="258"/>
      <c r="D4" s="259" t="s">
        <v>2</v>
      </c>
      <c r="E4" s="25"/>
      <c r="F4" s="25"/>
      <c r="G4" s="260">
        <v>12</v>
      </c>
      <c r="H4" s="260"/>
    </row>
    <row r="5" spans="1:8" s="1" customFormat="1" ht="30.95" customHeight="1">
      <c r="A5" s="4" t="s">
        <v>3</v>
      </c>
      <c r="B5" s="261" t="s">
        <v>161</v>
      </c>
      <c r="C5" s="261"/>
      <c r="D5" s="259"/>
      <c r="E5" s="25"/>
      <c r="F5" s="25"/>
      <c r="G5" s="258"/>
      <c r="H5" s="258"/>
    </row>
    <row r="6" spans="1:8" s="1" customFormat="1" ht="8.1" customHeight="1">
      <c r="C6" s="2"/>
      <c r="G6" s="242"/>
    </row>
    <row r="7" spans="1:8" ht="18" customHeight="1">
      <c r="A7" s="5" t="s">
        <v>4</v>
      </c>
      <c r="B7" s="6" t="s">
        <v>5</v>
      </c>
      <c r="C7" s="5"/>
      <c r="D7" s="5" t="s">
        <v>6</v>
      </c>
      <c r="E7" s="243">
        <v>2024</v>
      </c>
      <c r="F7" s="7">
        <v>2023</v>
      </c>
      <c r="G7" s="243">
        <v>2022</v>
      </c>
      <c r="H7" s="7">
        <v>2021</v>
      </c>
    </row>
    <row r="8" spans="1:8" ht="18" customHeight="1">
      <c r="A8" s="8" t="s">
        <v>7</v>
      </c>
      <c r="B8" s="9" t="s">
        <v>8</v>
      </c>
      <c r="C8" s="8" t="s">
        <v>9</v>
      </c>
      <c r="D8" s="8">
        <v>21</v>
      </c>
      <c r="E8" s="8"/>
      <c r="F8" s="8"/>
      <c r="G8" s="110">
        <v>0</v>
      </c>
      <c r="H8" s="10">
        <v>0</v>
      </c>
    </row>
    <row r="9" spans="1:8" ht="18" customHeight="1">
      <c r="A9" s="11" t="s">
        <v>10</v>
      </c>
      <c r="B9" s="12" t="s">
        <v>11</v>
      </c>
      <c r="C9" s="11" t="s">
        <v>12</v>
      </c>
      <c r="D9" s="11">
        <v>22</v>
      </c>
      <c r="E9" s="11"/>
      <c r="F9" s="11"/>
      <c r="G9" s="111">
        <v>0</v>
      </c>
      <c r="H9" s="13">
        <v>0</v>
      </c>
    </row>
    <row r="10" spans="1:8" ht="18" customHeight="1">
      <c r="A10" s="11" t="s">
        <v>13</v>
      </c>
      <c r="B10" s="14" t="s">
        <v>14</v>
      </c>
      <c r="C10" s="15" t="s">
        <v>15</v>
      </c>
      <c r="D10" s="15">
        <v>6</v>
      </c>
      <c r="E10" s="15"/>
      <c r="F10" s="15"/>
      <c r="G10" s="111">
        <v>0</v>
      </c>
      <c r="H10" s="13">
        <v>0</v>
      </c>
    </row>
    <row r="11" spans="1:8" ht="18" customHeight="1">
      <c r="A11" s="16" t="s">
        <v>16</v>
      </c>
      <c r="B11" s="17" t="s">
        <v>17</v>
      </c>
      <c r="C11" s="16"/>
      <c r="D11" s="16"/>
      <c r="E11" s="16"/>
      <c r="F11" s="16"/>
      <c r="G11" s="112">
        <v>0</v>
      </c>
      <c r="H11" s="18">
        <v>0</v>
      </c>
    </row>
    <row r="12" spans="1:8" ht="18" customHeight="1">
      <c r="A12" s="11" t="s">
        <v>18</v>
      </c>
      <c r="B12" s="12" t="s">
        <v>19</v>
      </c>
      <c r="C12" s="11" t="s">
        <v>9</v>
      </c>
      <c r="D12" s="11">
        <v>21</v>
      </c>
      <c r="E12" s="11"/>
      <c r="F12" s="11"/>
      <c r="G12" s="111">
        <v>0</v>
      </c>
      <c r="H12" s="13">
        <v>0</v>
      </c>
    </row>
    <row r="13" spans="1:8" ht="18" customHeight="1">
      <c r="A13" s="11" t="s">
        <v>20</v>
      </c>
      <c r="B13" s="12" t="s">
        <v>21</v>
      </c>
      <c r="C13" s="11" t="s">
        <v>9</v>
      </c>
      <c r="D13" s="11">
        <v>21</v>
      </c>
      <c r="E13" s="11"/>
      <c r="F13" s="11"/>
      <c r="G13" s="111">
        <v>0</v>
      </c>
      <c r="H13" s="13">
        <v>0</v>
      </c>
    </row>
    <row r="14" spans="1:8" ht="18" customHeight="1">
      <c r="A14" s="11" t="s">
        <v>22</v>
      </c>
      <c r="B14" s="12" t="s">
        <v>23</v>
      </c>
      <c r="C14" s="11" t="s">
        <v>9</v>
      </c>
      <c r="D14" s="11">
        <v>21</v>
      </c>
      <c r="E14" s="11"/>
      <c r="F14" s="11"/>
      <c r="G14" s="111">
        <v>0</v>
      </c>
      <c r="H14" s="13">
        <v>0</v>
      </c>
    </row>
    <row r="15" spans="1:8" ht="18" customHeight="1">
      <c r="A15" s="16" t="s">
        <v>24</v>
      </c>
      <c r="B15" s="17" t="s">
        <v>25</v>
      </c>
      <c r="C15" s="16"/>
      <c r="D15" s="16"/>
      <c r="E15" s="16"/>
      <c r="F15" s="16"/>
      <c r="G15" s="112">
        <v>0</v>
      </c>
      <c r="H15" s="18">
        <v>0</v>
      </c>
    </row>
    <row r="16" spans="1:8" ht="18" customHeight="1">
      <c r="A16" s="11" t="s">
        <v>26</v>
      </c>
      <c r="B16" s="12" t="s">
        <v>27</v>
      </c>
      <c r="C16" s="15" t="s">
        <v>15</v>
      </c>
      <c r="D16" s="11">
        <v>6</v>
      </c>
      <c r="E16" s="11"/>
      <c r="F16" s="11"/>
      <c r="G16" s="111">
        <v>0</v>
      </c>
      <c r="H16" s="13">
        <v>0</v>
      </c>
    </row>
    <row r="17" spans="1:8" ht="18" customHeight="1">
      <c r="A17" s="11" t="s">
        <v>28</v>
      </c>
      <c r="B17" s="12" t="s">
        <v>29</v>
      </c>
      <c r="C17" s="11"/>
      <c r="D17" s="11">
        <v>21</v>
      </c>
      <c r="E17" s="11"/>
      <c r="F17" s="11"/>
      <c r="G17" s="111">
        <v>0</v>
      </c>
      <c r="H17" s="13">
        <v>0</v>
      </c>
    </row>
    <row r="18" spans="1:8" ht="18" customHeight="1">
      <c r="A18" s="11" t="s">
        <v>30</v>
      </c>
      <c r="B18" s="12" t="s">
        <v>31</v>
      </c>
      <c r="C18" s="11"/>
      <c r="D18" s="11">
        <v>21</v>
      </c>
      <c r="E18" s="11"/>
      <c r="F18" s="11"/>
      <c r="G18" s="111">
        <v>0</v>
      </c>
      <c r="H18" s="13">
        <v>0</v>
      </c>
    </row>
    <row r="19" spans="1:8" ht="18" customHeight="1">
      <c r="A19" s="11" t="s">
        <v>32</v>
      </c>
      <c r="B19" s="12" t="s">
        <v>33</v>
      </c>
      <c r="C19" s="11" t="s">
        <v>9</v>
      </c>
      <c r="D19" s="11">
        <v>21</v>
      </c>
      <c r="E19" s="11"/>
      <c r="F19" s="11"/>
      <c r="G19" s="111">
        <v>0</v>
      </c>
      <c r="H19" s="13">
        <v>0</v>
      </c>
    </row>
    <row r="20" spans="1:8" ht="18" customHeight="1">
      <c r="A20" s="19" t="s">
        <v>34</v>
      </c>
      <c r="B20" s="20" t="s">
        <v>35</v>
      </c>
      <c r="C20" s="19" t="s">
        <v>9</v>
      </c>
      <c r="D20" s="19">
        <v>12</v>
      </c>
      <c r="E20" s="19"/>
      <c r="F20" s="19"/>
      <c r="G20" s="113">
        <v>0</v>
      </c>
      <c r="H20" s="21">
        <v>0</v>
      </c>
    </row>
    <row r="21" spans="1:8" ht="18" customHeight="1">
      <c r="A21" s="11" t="s">
        <v>36</v>
      </c>
      <c r="B21" s="12" t="s">
        <v>37</v>
      </c>
      <c r="C21" s="11" t="s">
        <v>12</v>
      </c>
      <c r="D21" s="11">
        <v>22</v>
      </c>
      <c r="E21" s="11"/>
      <c r="F21" s="11"/>
      <c r="G21" s="111">
        <v>0</v>
      </c>
      <c r="H21" s="13">
        <v>0</v>
      </c>
    </row>
    <row r="22" spans="1:8" ht="18" customHeight="1">
      <c r="A22" s="11" t="s">
        <v>38</v>
      </c>
      <c r="B22" s="14" t="s">
        <v>39</v>
      </c>
      <c r="C22" s="15" t="s">
        <v>15</v>
      </c>
      <c r="D22" s="11">
        <v>6</v>
      </c>
      <c r="E22" s="11"/>
      <c r="F22" s="11"/>
      <c r="G22" s="111">
        <v>0</v>
      </c>
      <c r="H22" s="13">
        <v>0</v>
      </c>
    </row>
    <row r="23" spans="1:8" ht="18" customHeight="1">
      <c r="A23" s="11" t="s">
        <v>40</v>
      </c>
      <c r="B23" s="12" t="s">
        <v>41</v>
      </c>
      <c r="C23" s="11" t="s">
        <v>12</v>
      </c>
      <c r="D23" s="11">
        <v>22</v>
      </c>
      <c r="E23" s="11"/>
      <c r="F23" s="11"/>
      <c r="G23" s="111">
        <v>-1123286</v>
      </c>
      <c r="H23" s="13">
        <v>0</v>
      </c>
    </row>
    <row r="24" spans="1:8" ht="18" customHeight="1">
      <c r="A24" s="11" t="s">
        <v>42</v>
      </c>
      <c r="B24" s="14" t="s">
        <v>43</v>
      </c>
      <c r="C24" s="15" t="s">
        <v>15</v>
      </c>
      <c r="D24" s="11">
        <v>6</v>
      </c>
      <c r="E24" s="11"/>
      <c r="F24" s="11"/>
      <c r="G24" s="111">
        <v>0</v>
      </c>
      <c r="H24" s="13">
        <v>0</v>
      </c>
    </row>
    <row r="25" spans="1:8" ht="18" customHeight="1">
      <c r="A25" s="11" t="s">
        <v>44</v>
      </c>
      <c r="B25" s="12" t="s">
        <v>45</v>
      </c>
      <c r="C25" s="11" t="s">
        <v>12</v>
      </c>
      <c r="D25" s="11">
        <v>23</v>
      </c>
      <c r="E25" s="11"/>
      <c r="F25" s="11"/>
      <c r="G25" s="111">
        <v>0</v>
      </c>
      <c r="H25" s="13">
        <v>0</v>
      </c>
    </row>
    <row r="26" spans="1:8" ht="18" customHeight="1">
      <c r="A26" s="11" t="s">
        <v>46</v>
      </c>
      <c r="B26" s="12" t="s">
        <v>47</v>
      </c>
      <c r="C26" s="11" t="s">
        <v>12</v>
      </c>
      <c r="D26" s="11">
        <v>24</v>
      </c>
      <c r="E26" s="11"/>
      <c r="F26" s="11"/>
      <c r="G26" s="111">
        <v>-2220154</v>
      </c>
      <c r="H26" s="13">
        <v>0</v>
      </c>
    </row>
    <row r="27" spans="1:8" ht="18" customHeight="1">
      <c r="A27" s="11" t="s">
        <v>48</v>
      </c>
      <c r="B27" s="12" t="s">
        <v>49</v>
      </c>
      <c r="C27" s="11" t="s">
        <v>12</v>
      </c>
      <c r="D27" s="11">
        <v>25</v>
      </c>
      <c r="E27" s="11"/>
      <c r="F27" s="11"/>
      <c r="G27" s="111">
        <v>-8617960</v>
      </c>
      <c r="H27" s="13">
        <v>0</v>
      </c>
    </row>
    <row r="28" spans="1:8" ht="18" customHeight="1">
      <c r="A28" s="11" t="s">
        <v>50</v>
      </c>
      <c r="B28" s="12" t="s">
        <v>51</v>
      </c>
      <c r="C28" s="11" t="s">
        <v>12</v>
      </c>
      <c r="D28" s="11">
        <v>26</v>
      </c>
      <c r="E28" s="11"/>
      <c r="F28" s="11"/>
      <c r="G28" s="111">
        <v>0</v>
      </c>
      <c r="H28" s="13">
        <v>0</v>
      </c>
    </row>
    <row r="29" spans="1:8" ht="18" customHeight="1">
      <c r="A29" s="16" t="s">
        <v>52</v>
      </c>
      <c r="B29" s="17" t="s">
        <v>53</v>
      </c>
      <c r="C29" s="16"/>
      <c r="D29" s="16"/>
      <c r="E29" s="16"/>
      <c r="F29" s="16"/>
      <c r="G29" s="112">
        <v>-11961400</v>
      </c>
      <c r="H29" s="18">
        <v>0</v>
      </c>
    </row>
    <row r="30" spans="1:8" ht="18" customHeight="1">
      <c r="A30" s="11" t="s">
        <v>54</v>
      </c>
      <c r="B30" s="12" t="s">
        <v>55</v>
      </c>
      <c r="C30" s="11" t="s">
        <v>12</v>
      </c>
      <c r="D30" s="11">
        <v>27</v>
      </c>
      <c r="E30" s="11"/>
      <c r="F30" s="11"/>
      <c r="G30" s="111">
        <v>-1517576</v>
      </c>
      <c r="H30" s="13">
        <v>0</v>
      </c>
    </row>
    <row r="31" spans="1:8" ht="18" customHeight="1">
      <c r="A31" s="16" t="s">
        <v>56</v>
      </c>
      <c r="B31" s="17" t="s">
        <v>57</v>
      </c>
      <c r="C31" s="16"/>
      <c r="D31" s="16"/>
      <c r="E31" s="16"/>
      <c r="F31" s="16"/>
      <c r="G31" s="112">
        <v>-13478976</v>
      </c>
      <c r="H31" s="18">
        <v>0</v>
      </c>
    </row>
    <row r="32" spans="1:8" ht="18" customHeight="1">
      <c r="A32" s="11" t="s">
        <v>58</v>
      </c>
      <c r="B32" s="12" t="s">
        <v>59</v>
      </c>
      <c r="C32" s="11" t="s">
        <v>9</v>
      </c>
      <c r="D32" s="11">
        <v>28</v>
      </c>
      <c r="E32" s="11"/>
      <c r="F32" s="11"/>
      <c r="G32" s="111">
        <v>0</v>
      </c>
      <c r="H32" s="13">
        <v>0</v>
      </c>
    </row>
    <row r="33" spans="1:8" ht="18" customHeight="1">
      <c r="A33" s="19" t="s">
        <v>60</v>
      </c>
      <c r="B33" s="20" t="s">
        <v>61</v>
      </c>
      <c r="C33" s="19" t="s">
        <v>12</v>
      </c>
      <c r="D33" s="19" t="s">
        <v>62</v>
      </c>
      <c r="E33" s="19"/>
      <c r="F33" s="19"/>
      <c r="G33" s="113">
        <v>-19213261</v>
      </c>
      <c r="H33" s="21">
        <v>0</v>
      </c>
    </row>
    <row r="34" spans="1:8" ht="18" customHeight="1">
      <c r="A34" s="16" t="s">
        <v>63</v>
      </c>
      <c r="B34" s="17" t="s">
        <v>64</v>
      </c>
      <c r="C34" s="16"/>
      <c r="D34" s="16"/>
      <c r="E34" s="16"/>
      <c r="F34" s="16"/>
      <c r="G34" s="112">
        <v>-32692237</v>
      </c>
      <c r="H34" s="18">
        <v>0</v>
      </c>
    </row>
    <row r="35" spans="1:8" ht="18" customHeight="1">
      <c r="A35" s="11" t="s">
        <v>65</v>
      </c>
      <c r="B35" s="12" t="s">
        <v>66</v>
      </c>
      <c r="C35" s="11" t="s">
        <v>9</v>
      </c>
      <c r="D35" s="11">
        <v>29</v>
      </c>
      <c r="E35" s="11"/>
      <c r="F35" s="11"/>
      <c r="G35" s="111">
        <v>0</v>
      </c>
      <c r="H35" s="13">
        <v>0</v>
      </c>
    </row>
    <row r="36" spans="1:8" ht="18" customHeight="1">
      <c r="A36" s="11" t="s">
        <v>67</v>
      </c>
      <c r="B36" s="12" t="s">
        <v>68</v>
      </c>
      <c r="C36" s="11" t="s">
        <v>9</v>
      </c>
      <c r="D36" s="11">
        <v>28</v>
      </c>
      <c r="E36" s="11"/>
      <c r="F36" s="11"/>
      <c r="G36" s="111">
        <v>0</v>
      </c>
      <c r="H36" s="13">
        <v>0</v>
      </c>
    </row>
    <row r="37" spans="1:8" ht="18" customHeight="1">
      <c r="A37" s="11" t="s">
        <v>69</v>
      </c>
      <c r="B37" s="12" t="s">
        <v>70</v>
      </c>
      <c r="C37" s="11" t="s">
        <v>9</v>
      </c>
      <c r="D37" s="11">
        <v>12</v>
      </c>
      <c r="E37" s="11"/>
      <c r="F37" s="11"/>
      <c r="G37" s="111">
        <v>0</v>
      </c>
      <c r="H37" s="13">
        <v>0</v>
      </c>
    </row>
    <row r="38" spans="1:8" ht="18" customHeight="1">
      <c r="A38" s="11" t="s">
        <v>71</v>
      </c>
      <c r="B38" s="12" t="s">
        <v>72</v>
      </c>
      <c r="C38" s="11" t="s">
        <v>12</v>
      </c>
      <c r="D38" s="11">
        <v>29</v>
      </c>
      <c r="E38" s="11"/>
      <c r="F38" s="11"/>
      <c r="G38" s="111">
        <v>-310322</v>
      </c>
      <c r="H38" s="13">
        <v>0</v>
      </c>
    </row>
    <row r="39" spans="1:8" ht="18" customHeight="1">
      <c r="A39" s="11" t="s">
        <v>73</v>
      </c>
      <c r="B39" s="12" t="s">
        <v>74</v>
      </c>
      <c r="C39" s="11" t="s">
        <v>12</v>
      </c>
      <c r="D39" s="11" t="s">
        <v>62</v>
      </c>
      <c r="E39" s="11"/>
      <c r="F39" s="11"/>
      <c r="G39" s="111">
        <v>0</v>
      </c>
      <c r="H39" s="13">
        <v>0</v>
      </c>
    </row>
    <row r="40" spans="1:8" ht="18" customHeight="1">
      <c r="A40" s="16" t="s">
        <v>75</v>
      </c>
      <c r="B40" s="17" t="s">
        <v>76</v>
      </c>
      <c r="C40" s="16"/>
      <c r="D40" s="16"/>
      <c r="E40" s="16"/>
      <c r="F40" s="16"/>
      <c r="G40" s="112">
        <v>-310322</v>
      </c>
      <c r="H40" s="18">
        <v>0</v>
      </c>
    </row>
    <row r="41" spans="1:8" ht="18" customHeight="1">
      <c r="A41" s="22" t="s">
        <v>77</v>
      </c>
      <c r="B41" s="23" t="s">
        <v>78</v>
      </c>
      <c r="C41" s="22"/>
      <c r="D41" s="22"/>
      <c r="E41" s="22"/>
      <c r="F41" s="22"/>
      <c r="G41" s="114">
        <v>-33002559</v>
      </c>
      <c r="H41" s="24">
        <v>0</v>
      </c>
    </row>
    <row r="42" spans="1:8" ht="18" customHeight="1">
      <c r="A42" s="11" t="s">
        <v>79</v>
      </c>
      <c r="B42" s="12" t="s">
        <v>80</v>
      </c>
      <c r="C42" s="11" t="s">
        <v>9</v>
      </c>
      <c r="D42" s="11" t="s">
        <v>81</v>
      </c>
      <c r="E42" s="11"/>
      <c r="F42" s="11"/>
      <c r="G42" s="111">
        <v>0</v>
      </c>
      <c r="H42" s="13">
        <v>0</v>
      </c>
    </row>
    <row r="43" spans="1:8" ht="18" customHeight="1">
      <c r="A43" s="11" t="s">
        <v>82</v>
      </c>
      <c r="B43" s="12" t="s">
        <v>83</v>
      </c>
      <c r="C43" s="11" t="s">
        <v>9</v>
      </c>
      <c r="D43" s="11">
        <v>30</v>
      </c>
      <c r="E43" s="11"/>
      <c r="F43" s="11"/>
      <c r="G43" s="111">
        <v>0</v>
      </c>
      <c r="H43" s="13">
        <v>0</v>
      </c>
    </row>
    <row r="44" spans="1:8" ht="18" customHeight="1">
      <c r="A44" s="11" t="s">
        <v>84</v>
      </c>
      <c r="B44" s="12" t="s">
        <v>85</v>
      </c>
      <c r="C44" s="11" t="s">
        <v>12</v>
      </c>
      <c r="D44" s="11" t="s">
        <v>81</v>
      </c>
      <c r="E44" s="11"/>
      <c r="F44" s="11"/>
      <c r="G44" s="111">
        <v>0</v>
      </c>
      <c r="H44" s="13">
        <v>0</v>
      </c>
    </row>
    <row r="45" spans="1:8" ht="18" customHeight="1">
      <c r="A45" s="11" t="s">
        <v>86</v>
      </c>
      <c r="B45" s="12" t="s">
        <v>87</v>
      </c>
      <c r="C45" s="11" t="s">
        <v>12</v>
      </c>
      <c r="D45" s="11">
        <v>30</v>
      </c>
      <c r="E45" s="11"/>
      <c r="F45" s="11"/>
      <c r="G45" s="111">
        <v>0</v>
      </c>
      <c r="H45" s="13">
        <v>0</v>
      </c>
    </row>
    <row r="46" spans="1:8" ht="18" customHeight="1">
      <c r="A46" s="22" t="s">
        <v>88</v>
      </c>
      <c r="B46" s="23" t="s">
        <v>89</v>
      </c>
      <c r="C46" s="22"/>
      <c r="D46" s="22"/>
      <c r="E46" s="22"/>
      <c r="F46" s="22"/>
      <c r="G46" s="114">
        <v>0</v>
      </c>
      <c r="H46" s="24">
        <v>0</v>
      </c>
    </row>
    <row r="47" spans="1:8" ht="18" customHeight="1">
      <c r="A47" s="11" t="s">
        <v>90</v>
      </c>
      <c r="B47" s="12" t="s">
        <v>91</v>
      </c>
      <c r="C47" s="11" t="s">
        <v>12</v>
      </c>
      <c r="D47" s="11">
        <v>30</v>
      </c>
      <c r="E47" s="11"/>
      <c r="F47" s="11"/>
      <c r="G47" s="111">
        <v>0</v>
      </c>
      <c r="H47" s="13">
        <v>0</v>
      </c>
    </row>
    <row r="48" spans="1:8" ht="18" customHeight="1">
      <c r="A48" s="11" t="s">
        <v>92</v>
      </c>
      <c r="B48" s="12" t="s">
        <v>93</v>
      </c>
      <c r="C48" s="11" t="s">
        <v>12</v>
      </c>
      <c r="D48" s="11"/>
      <c r="E48" s="11"/>
      <c r="F48" s="11"/>
      <c r="G48" s="111">
        <v>0</v>
      </c>
      <c r="H48" s="13">
        <v>0</v>
      </c>
    </row>
    <row r="49" spans="1:8" ht="18" customHeight="1">
      <c r="A49" s="16" t="s">
        <v>94</v>
      </c>
      <c r="B49" s="17" t="s">
        <v>95</v>
      </c>
      <c r="C49" s="16"/>
      <c r="D49" s="16"/>
      <c r="E49" s="16"/>
      <c r="F49" s="16"/>
      <c r="G49" s="112">
        <v>-33002559</v>
      </c>
      <c r="H49" s="18">
        <v>0</v>
      </c>
    </row>
    <row r="53" spans="1:8" ht="12.75" customHeight="1">
      <c r="B53" s="29"/>
      <c r="C53" s="29"/>
    </row>
    <row r="54" spans="1:8" ht="12.75" customHeight="1">
      <c r="B54" s="29"/>
      <c r="C54" s="29"/>
    </row>
    <row r="55" spans="1:8" ht="12.75" customHeight="1">
      <c r="B55" s="29"/>
      <c r="C55" s="29"/>
    </row>
    <row r="58" spans="1:8" ht="12.75" customHeight="1">
      <c r="B58" s="29"/>
      <c r="C58" s="29"/>
    </row>
    <row r="59" spans="1:8" ht="12.75" customHeight="1">
      <c r="B59" s="29"/>
      <c r="C59" s="29"/>
    </row>
    <row r="62" spans="1:8" ht="12.75" customHeight="1">
      <c r="G62" s="245"/>
      <c r="H62" s="30"/>
    </row>
    <row r="63" spans="1:8" ht="12.75" customHeight="1">
      <c r="G63" s="245"/>
      <c r="H63" s="30"/>
    </row>
    <row r="64" spans="1:8" ht="12.75" customHeight="1">
      <c r="G64" s="245"/>
      <c r="H64" s="30"/>
    </row>
    <row r="65" spans="7:8" ht="12.75" customHeight="1">
      <c r="G65" s="245"/>
      <c r="H65" s="30"/>
    </row>
    <row r="66" spans="7:8" ht="12.75" customHeight="1">
      <c r="G66" s="245"/>
      <c r="H66" s="30"/>
    </row>
    <row r="67" spans="7:8" ht="12.75" customHeight="1">
      <c r="G67" s="245"/>
      <c r="H67" s="30"/>
    </row>
    <row r="68" spans="7:8" ht="12.75" customHeight="1">
      <c r="G68" s="245"/>
      <c r="H68" s="30"/>
    </row>
    <row r="69" spans="7:8" ht="12.75" customHeight="1">
      <c r="G69" s="245"/>
      <c r="H69" s="30"/>
    </row>
    <row r="70" spans="7:8" ht="12.75" customHeight="1">
      <c r="G70" s="245"/>
      <c r="H70" s="30"/>
    </row>
    <row r="71" spans="7:8" ht="12.75" customHeight="1">
      <c r="G71" s="245"/>
      <c r="H71" s="30"/>
    </row>
    <row r="72" spans="7:8" ht="12.75" customHeight="1">
      <c r="G72" s="245"/>
      <c r="H72" s="30"/>
    </row>
    <row r="73" spans="7:8" ht="12.75" customHeight="1">
      <c r="G73" s="245"/>
      <c r="H73" s="30"/>
    </row>
    <row r="74" spans="7:8" ht="12.75" customHeight="1">
      <c r="G74" s="245"/>
      <c r="H74" s="30"/>
    </row>
    <row r="75" spans="7:8" ht="12.75" customHeight="1">
      <c r="G75" s="245"/>
      <c r="H75" s="30"/>
    </row>
    <row r="76" spans="7:8" ht="12.75" customHeight="1">
      <c r="G76" s="245"/>
      <c r="H76" s="30"/>
    </row>
    <row r="77" spans="7:8" ht="12.75" customHeight="1">
      <c r="G77" s="245"/>
      <c r="H77" s="30"/>
    </row>
    <row r="78" spans="7:8" ht="12.75" customHeight="1">
      <c r="G78" s="245"/>
      <c r="H78" s="30"/>
    </row>
    <row r="79" spans="7:8" ht="12.75" customHeight="1">
      <c r="G79" s="245"/>
      <c r="H79" s="30"/>
    </row>
    <row r="80" spans="7:8" ht="12.75" customHeight="1">
      <c r="G80" s="245"/>
      <c r="H80" s="30"/>
    </row>
    <row r="81" spans="7:8" ht="12.75" customHeight="1">
      <c r="G81" s="245"/>
      <c r="H81" s="30"/>
    </row>
    <row r="82" spans="7:8" ht="12.75" customHeight="1">
      <c r="G82" s="245"/>
      <c r="H82" s="30"/>
    </row>
    <row r="83" spans="7:8" ht="12.75" customHeight="1">
      <c r="G83" s="245"/>
      <c r="H83" s="30"/>
    </row>
    <row r="84" spans="7:8" ht="12.75" customHeight="1">
      <c r="G84" s="245"/>
      <c r="H84" s="30"/>
    </row>
  </sheetData>
  <mergeCells count="7">
    <mergeCell ref="A1:H1"/>
    <mergeCell ref="A3:C3"/>
    <mergeCell ref="G3:H3"/>
    <mergeCell ref="A4:C4"/>
    <mergeCell ref="D4:D5"/>
    <mergeCell ref="G4:H5"/>
    <mergeCell ref="B5:C5"/>
  </mergeCells>
  <dataValidations count="3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6" xr:uid="{CDE836FD-74BF-4FA7-B7ED-B121F1E815B3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H6" xr:uid="{E2379D2A-65AD-43CC-B2F1-8A392464E6F6}"/>
    <dataValidation allowBlank="1" showInputMessage="1" showErrorMessage="1" errorTitle="Erreur de saisie" error="La cellule ne peut prendre que du numérique." promptTitle="Information" prompt="Cette cellule ne peut prendre que du numérique," sqref="G8:H49" xr:uid="{D38E8868-8BAC-4564-A549-00FAD11A7AFE}"/>
  </dataValidation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1E161-9E9E-4EC6-B7AC-350EE36FEDBA}">
  <sheetPr codeName="Feuil63"/>
  <dimension ref="A1:F49"/>
  <sheetViews>
    <sheetView topLeftCell="A21" workbookViewId="0">
      <selection activeCell="H1" sqref="H1:H1048576"/>
    </sheetView>
  </sheetViews>
  <sheetFormatPr baseColWidth="10" defaultRowHeight="15"/>
  <cols>
    <col min="1" max="1" width="4.140625" style="100" customWidth="1" collapsed="1"/>
    <col min="2" max="2" width="56" style="90" customWidth="1" collapsed="1"/>
    <col min="3" max="3" width="3.140625" style="90" customWidth="1" collapsed="1"/>
    <col min="4" max="4" width="8.42578125" style="90" customWidth="1" collapsed="1"/>
    <col min="5" max="6" width="13.85546875" style="90" customWidth="1" collapsed="1"/>
  </cols>
  <sheetData>
    <row r="1" spans="1:6" ht="18.75">
      <c r="A1" s="265" t="s">
        <v>0</v>
      </c>
      <c r="B1" s="265"/>
      <c r="C1" s="265"/>
      <c r="D1" s="265"/>
      <c r="E1" s="265"/>
      <c r="F1" s="265"/>
    </row>
    <row r="2" spans="1:6">
      <c r="A2" s="84"/>
      <c r="B2" s="84"/>
      <c r="C2" s="85"/>
      <c r="D2" s="84"/>
      <c r="E2" s="84"/>
      <c r="F2" s="84"/>
    </row>
    <row r="3" spans="1:6">
      <c r="A3" s="266" t="s">
        <v>134</v>
      </c>
      <c r="B3" s="266"/>
      <c r="C3" s="266"/>
      <c r="D3" s="84" t="s">
        <v>1</v>
      </c>
      <c r="E3" s="267">
        <f>+'[30]Fiche de renseignement R1'!$V$10</f>
        <v>45657</v>
      </c>
      <c r="F3" s="268"/>
    </row>
    <row r="4" spans="1:6">
      <c r="A4" s="314" t="s">
        <v>163</v>
      </c>
      <c r="B4" s="314"/>
      <c r="C4" s="246"/>
      <c r="D4" s="270" t="s">
        <v>2</v>
      </c>
      <c r="E4" s="271">
        <f>+'[30]Fiche de renseignement R1'!$AH$10</f>
        <v>12</v>
      </c>
      <c r="F4" s="272"/>
    </row>
    <row r="5" spans="1:6" ht="102">
      <c r="A5" s="86" t="s">
        <v>3</v>
      </c>
      <c r="B5" s="313" t="s">
        <v>162</v>
      </c>
      <c r="C5" s="313"/>
      <c r="D5" s="270"/>
      <c r="E5" s="268"/>
      <c r="F5" s="268"/>
    </row>
    <row r="7" spans="1:6">
      <c r="A7" s="87" t="s">
        <v>4</v>
      </c>
      <c r="B7" s="88" t="s">
        <v>5</v>
      </c>
      <c r="C7" s="88"/>
      <c r="D7" s="87" t="s">
        <v>6</v>
      </c>
      <c r="E7" s="89"/>
      <c r="F7" s="89"/>
    </row>
    <row r="8" spans="1:6">
      <c r="A8" s="91" t="s">
        <v>7</v>
      </c>
      <c r="B8" s="92" t="s">
        <v>117</v>
      </c>
      <c r="C8" s="91" t="s">
        <v>9</v>
      </c>
      <c r="D8" s="91">
        <v>21</v>
      </c>
      <c r="E8" s="93"/>
      <c r="F8" s="93"/>
    </row>
    <row r="9" spans="1:6">
      <c r="A9" s="91" t="s">
        <v>10</v>
      </c>
      <c r="B9" s="92" t="s">
        <v>11</v>
      </c>
      <c r="C9" s="91" t="s">
        <v>12</v>
      </c>
      <c r="D9" s="91">
        <v>22</v>
      </c>
      <c r="E9" s="93"/>
      <c r="F9" s="93"/>
    </row>
    <row r="10" spans="1:6">
      <c r="A10" s="91" t="s">
        <v>13</v>
      </c>
      <c r="B10" s="92" t="s">
        <v>14</v>
      </c>
      <c r="C10" s="91" t="s">
        <v>15</v>
      </c>
      <c r="D10" s="91">
        <v>6</v>
      </c>
      <c r="E10" s="93"/>
      <c r="F10" s="93"/>
    </row>
    <row r="11" spans="1:6">
      <c r="A11" s="87" t="s">
        <v>16</v>
      </c>
      <c r="B11" s="88" t="s">
        <v>17</v>
      </c>
      <c r="C11" s="87"/>
      <c r="D11" s="87"/>
      <c r="E11" s="94"/>
      <c r="F11" s="94"/>
    </row>
    <row r="12" spans="1:6">
      <c r="A12" s="91" t="s">
        <v>18</v>
      </c>
      <c r="B12" s="92" t="s">
        <v>118</v>
      </c>
      <c r="C12" s="91" t="s">
        <v>9</v>
      </c>
      <c r="D12" s="91">
        <v>21</v>
      </c>
      <c r="E12" s="93"/>
      <c r="F12" s="93"/>
    </row>
    <row r="13" spans="1:6">
      <c r="A13" s="91" t="s">
        <v>20</v>
      </c>
      <c r="B13" s="92" t="s">
        <v>119</v>
      </c>
      <c r="C13" s="91" t="s">
        <v>9</v>
      </c>
      <c r="D13" s="91">
        <v>21</v>
      </c>
      <c r="E13" s="93"/>
      <c r="F13" s="93"/>
    </row>
    <row r="14" spans="1:6">
      <c r="A14" s="91" t="s">
        <v>22</v>
      </c>
      <c r="B14" s="92" t="s">
        <v>120</v>
      </c>
      <c r="C14" s="91" t="s">
        <v>9</v>
      </c>
      <c r="D14" s="91">
        <v>21</v>
      </c>
      <c r="E14" s="93"/>
      <c r="F14" s="93"/>
    </row>
    <row r="15" spans="1:6">
      <c r="A15" s="87" t="s">
        <v>24</v>
      </c>
      <c r="B15" s="88" t="s">
        <v>25</v>
      </c>
      <c r="C15" s="87"/>
      <c r="D15" s="87"/>
      <c r="E15" s="94"/>
      <c r="F15" s="94"/>
    </row>
    <row r="16" spans="1:6">
      <c r="A16" s="91" t="s">
        <v>26</v>
      </c>
      <c r="B16" s="92" t="s">
        <v>27</v>
      </c>
      <c r="C16" s="91" t="s">
        <v>15</v>
      </c>
      <c r="D16" s="91">
        <v>6</v>
      </c>
      <c r="E16" s="93"/>
      <c r="F16" s="93"/>
    </row>
    <row r="17" spans="1:6">
      <c r="A17" s="91" t="s">
        <v>28</v>
      </c>
      <c r="B17" s="92" t="s">
        <v>29</v>
      </c>
      <c r="C17" s="91"/>
      <c r="D17" s="91">
        <v>21</v>
      </c>
      <c r="E17" s="93"/>
      <c r="F17" s="93"/>
    </row>
    <row r="18" spans="1:6">
      <c r="A18" s="91" t="s">
        <v>30</v>
      </c>
      <c r="B18" s="92" t="s">
        <v>31</v>
      </c>
      <c r="C18" s="91"/>
      <c r="D18" s="91">
        <v>21</v>
      </c>
      <c r="E18" s="93"/>
      <c r="F18" s="93"/>
    </row>
    <row r="19" spans="1:6">
      <c r="A19" s="91" t="s">
        <v>32</v>
      </c>
      <c r="B19" s="92" t="s">
        <v>33</v>
      </c>
      <c r="C19" s="91" t="s">
        <v>9</v>
      </c>
      <c r="D19" s="91">
        <v>21</v>
      </c>
      <c r="E19" s="93"/>
      <c r="F19" s="93"/>
    </row>
    <row r="20" spans="1:6">
      <c r="A20" s="91" t="s">
        <v>34</v>
      </c>
      <c r="B20" s="92" t="s">
        <v>35</v>
      </c>
      <c r="C20" s="91" t="s">
        <v>9</v>
      </c>
      <c r="D20" s="91">
        <v>12</v>
      </c>
      <c r="E20" s="93"/>
      <c r="F20" s="93"/>
    </row>
    <row r="21" spans="1:6">
      <c r="A21" s="91" t="s">
        <v>36</v>
      </c>
      <c r="B21" s="92" t="s">
        <v>37</v>
      </c>
      <c r="C21" s="91" t="s">
        <v>12</v>
      </c>
      <c r="D21" s="91">
        <v>22</v>
      </c>
      <c r="E21" s="93"/>
      <c r="F21" s="93"/>
    </row>
    <row r="22" spans="1:6">
      <c r="A22" s="91" t="s">
        <v>38</v>
      </c>
      <c r="B22" s="92" t="s">
        <v>39</v>
      </c>
      <c r="C22" s="91" t="s">
        <v>15</v>
      </c>
      <c r="D22" s="91">
        <v>6</v>
      </c>
      <c r="E22" s="93"/>
      <c r="F22" s="93"/>
    </row>
    <row r="23" spans="1:6">
      <c r="A23" s="91" t="s">
        <v>40</v>
      </c>
      <c r="B23" s="92" t="s">
        <v>41</v>
      </c>
      <c r="C23" s="91" t="s">
        <v>12</v>
      </c>
      <c r="D23" s="91">
        <v>22</v>
      </c>
      <c r="E23" s="93"/>
      <c r="F23" s="93"/>
    </row>
    <row r="24" spans="1:6">
      <c r="A24" s="91" t="s">
        <v>42</v>
      </c>
      <c r="B24" s="92" t="s">
        <v>43</v>
      </c>
      <c r="C24" s="91" t="s">
        <v>15</v>
      </c>
      <c r="D24" s="91">
        <v>6</v>
      </c>
      <c r="E24" s="93"/>
      <c r="F24" s="93"/>
    </row>
    <row r="25" spans="1:6">
      <c r="A25" s="91" t="s">
        <v>44</v>
      </c>
      <c r="B25" s="92" t="s">
        <v>45</v>
      </c>
      <c r="C25" s="91" t="s">
        <v>12</v>
      </c>
      <c r="D25" s="91">
        <v>23</v>
      </c>
      <c r="E25" s="93"/>
      <c r="F25" s="93"/>
    </row>
    <row r="26" spans="1:6">
      <c r="A26" s="91" t="s">
        <v>46</v>
      </c>
      <c r="B26" s="92" t="s">
        <v>47</v>
      </c>
      <c r="C26" s="91" t="s">
        <v>12</v>
      </c>
      <c r="D26" s="91">
        <v>24</v>
      </c>
      <c r="E26" s="93"/>
      <c r="F26" s="93"/>
    </row>
    <row r="27" spans="1:6">
      <c r="A27" s="91" t="s">
        <v>48</v>
      </c>
      <c r="B27" s="92" t="s">
        <v>49</v>
      </c>
      <c r="C27" s="91" t="s">
        <v>12</v>
      </c>
      <c r="D27" s="91">
        <v>25</v>
      </c>
      <c r="E27" s="93"/>
      <c r="F27" s="93"/>
    </row>
    <row r="28" spans="1:6">
      <c r="A28" s="91" t="s">
        <v>50</v>
      </c>
      <c r="B28" s="92" t="s">
        <v>51</v>
      </c>
      <c r="C28" s="91" t="s">
        <v>12</v>
      </c>
      <c r="D28" s="91">
        <v>26</v>
      </c>
      <c r="E28" s="93"/>
      <c r="F28" s="93"/>
    </row>
    <row r="29" spans="1:6">
      <c r="A29" s="87" t="s">
        <v>52</v>
      </c>
      <c r="B29" s="88" t="s">
        <v>53</v>
      </c>
      <c r="C29" s="87"/>
      <c r="D29" s="87"/>
      <c r="E29" s="94"/>
      <c r="F29" s="94"/>
    </row>
    <row r="30" spans="1:6">
      <c r="A30" s="91" t="s">
        <v>54</v>
      </c>
      <c r="B30" s="92" t="s">
        <v>55</v>
      </c>
      <c r="C30" s="91" t="s">
        <v>12</v>
      </c>
      <c r="D30" s="91">
        <v>27</v>
      </c>
      <c r="E30" s="93"/>
      <c r="F30" s="93"/>
    </row>
    <row r="31" spans="1:6">
      <c r="A31" s="87" t="s">
        <v>56</v>
      </c>
      <c r="B31" s="88" t="s">
        <v>57</v>
      </c>
      <c r="C31" s="87"/>
      <c r="D31" s="87"/>
      <c r="E31" s="94"/>
      <c r="F31" s="94"/>
    </row>
    <row r="32" spans="1:6">
      <c r="A32" s="95" t="s">
        <v>58</v>
      </c>
      <c r="B32" s="96" t="s">
        <v>100</v>
      </c>
      <c r="C32" s="95" t="s">
        <v>9</v>
      </c>
      <c r="D32" s="95">
        <v>28</v>
      </c>
      <c r="E32" s="93"/>
      <c r="F32" s="93"/>
    </row>
    <row r="33" spans="1:6">
      <c r="A33" s="91" t="s">
        <v>60</v>
      </c>
      <c r="B33" s="92" t="s">
        <v>61</v>
      </c>
      <c r="C33" s="91" t="s">
        <v>12</v>
      </c>
      <c r="D33" s="91" t="s">
        <v>62</v>
      </c>
      <c r="E33" s="93"/>
      <c r="F33" s="93"/>
    </row>
    <row r="34" spans="1:6">
      <c r="A34" s="87" t="s">
        <v>63</v>
      </c>
      <c r="B34" s="88" t="s">
        <v>64</v>
      </c>
      <c r="C34" s="87"/>
      <c r="D34" s="87"/>
      <c r="E34" s="94"/>
      <c r="F34" s="94"/>
    </row>
    <row r="35" spans="1:6">
      <c r="A35" s="91" t="s">
        <v>65</v>
      </c>
      <c r="B35" s="92" t="s">
        <v>66</v>
      </c>
      <c r="C35" s="91" t="s">
        <v>9</v>
      </c>
      <c r="D35" s="91">
        <v>29</v>
      </c>
      <c r="E35" s="93"/>
      <c r="F35" s="93"/>
    </row>
    <row r="36" spans="1:6">
      <c r="A36" s="91" t="s">
        <v>67</v>
      </c>
      <c r="B36" s="92" t="s">
        <v>68</v>
      </c>
      <c r="C36" s="91" t="s">
        <v>9</v>
      </c>
      <c r="D36" s="91">
        <v>28</v>
      </c>
      <c r="E36" s="93"/>
      <c r="F36" s="93"/>
    </row>
    <row r="37" spans="1:6">
      <c r="A37" s="91" t="s">
        <v>69</v>
      </c>
      <c r="B37" s="92" t="s">
        <v>101</v>
      </c>
      <c r="C37" s="91" t="s">
        <v>9</v>
      </c>
      <c r="D37" s="91">
        <v>12</v>
      </c>
      <c r="E37" s="93"/>
      <c r="F37" s="93"/>
    </row>
    <row r="38" spans="1:6">
      <c r="A38" s="91" t="s">
        <v>71</v>
      </c>
      <c r="B38" s="92" t="s">
        <v>72</v>
      </c>
      <c r="C38" s="91" t="s">
        <v>12</v>
      </c>
      <c r="D38" s="91">
        <v>29</v>
      </c>
      <c r="E38" s="93"/>
      <c r="F38" s="93"/>
    </row>
    <row r="39" spans="1:6">
      <c r="A39" s="91" t="s">
        <v>73</v>
      </c>
      <c r="B39" s="92" t="s">
        <v>74</v>
      </c>
      <c r="C39" s="91" t="s">
        <v>12</v>
      </c>
      <c r="D39" s="91" t="s">
        <v>62</v>
      </c>
      <c r="E39" s="93"/>
      <c r="F39" s="93"/>
    </row>
    <row r="40" spans="1:6">
      <c r="A40" s="87" t="s">
        <v>75</v>
      </c>
      <c r="B40" s="88" t="s">
        <v>76</v>
      </c>
      <c r="C40" s="87"/>
      <c r="D40" s="87"/>
      <c r="E40" s="94"/>
      <c r="F40" s="94"/>
    </row>
    <row r="41" spans="1:6">
      <c r="A41" s="97" t="s">
        <v>77</v>
      </c>
      <c r="B41" s="98" t="s">
        <v>78</v>
      </c>
      <c r="C41" s="97"/>
      <c r="D41" s="97"/>
      <c r="E41" s="99"/>
      <c r="F41" s="99"/>
    </row>
    <row r="42" spans="1:6">
      <c r="A42" s="91" t="s">
        <v>79</v>
      </c>
      <c r="B42" s="92" t="s">
        <v>80</v>
      </c>
      <c r="C42" s="91" t="s">
        <v>9</v>
      </c>
      <c r="D42" s="91" t="s">
        <v>81</v>
      </c>
      <c r="E42" s="93"/>
      <c r="F42" s="93"/>
    </row>
    <row r="43" spans="1:6">
      <c r="A43" s="91" t="s">
        <v>82</v>
      </c>
      <c r="B43" s="92" t="s">
        <v>83</v>
      </c>
      <c r="C43" s="91" t="s">
        <v>9</v>
      </c>
      <c r="D43" s="91">
        <v>30</v>
      </c>
      <c r="E43" s="93"/>
      <c r="F43" s="93"/>
    </row>
    <row r="44" spans="1:6">
      <c r="A44" s="91" t="s">
        <v>84</v>
      </c>
      <c r="B44" s="92" t="s">
        <v>85</v>
      </c>
      <c r="C44" s="91" t="s">
        <v>12</v>
      </c>
      <c r="D44" s="91" t="s">
        <v>81</v>
      </c>
      <c r="E44" s="93"/>
      <c r="F44" s="93"/>
    </row>
    <row r="45" spans="1:6">
      <c r="A45" s="91" t="s">
        <v>86</v>
      </c>
      <c r="B45" s="92" t="s">
        <v>102</v>
      </c>
      <c r="C45" s="91" t="s">
        <v>12</v>
      </c>
      <c r="D45" s="91">
        <v>30</v>
      </c>
      <c r="E45" s="93"/>
      <c r="F45" s="93"/>
    </row>
    <row r="46" spans="1:6">
      <c r="A46" s="97" t="s">
        <v>88</v>
      </c>
      <c r="B46" s="98" t="s">
        <v>89</v>
      </c>
      <c r="C46" s="97"/>
      <c r="D46" s="97"/>
      <c r="E46" s="99"/>
      <c r="F46" s="99"/>
    </row>
    <row r="47" spans="1:6">
      <c r="A47" s="91" t="s">
        <v>90</v>
      </c>
      <c r="B47" s="92" t="s">
        <v>103</v>
      </c>
      <c r="C47" s="91" t="s">
        <v>12</v>
      </c>
      <c r="D47" s="91">
        <v>30</v>
      </c>
      <c r="E47" s="93"/>
      <c r="F47" s="93"/>
    </row>
    <row r="48" spans="1:6">
      <c r="A48" s="91" t="s">
        <v>92</v>
      </c>
      <c r="B48" s="92" t="s">
        <v>93</v>
      </c>
      <c r="C48" s="91" t="s">
        <v>12</v>
      </c>
      <c r="D48" s="91">
        <v>37</v>
      </c>
      <c r="E48" s="93"/>
      <c r="F48" s="93"/>
    </row>
    <row r="49" spans="1:6">
      <c r="A49" s="87" t="s">
        <v>94</v>
      </c>
      <c r="B49" s="88" t="s">
        <v>95</v>
      </c>
      <c r="C49" s="87"/>
      <c r="D49" s="88"/>
      <c r="E49" s="94"/>
      <c r="F49" s="94"/>
    </row>
  </sheetData>
  <mergeCells count="7">
    <mergeCell ref="A1:F1"/>
    <mergeCell ref="A3:C3"/>
    <mergeCell ref="E3:F3"/>
    <mergeCell ref="D4:D5"/>
    <mergeCell ref="E4:F5"/>
    <mergeCell ref="B5:C5"/>
    <mergeCell ref="A4:B4"/>
  </mergeCells>
  <dataValidations count="2">
    <dataValidation type="whole" operator="greaterThan" allowBlank="1" showInputMessage="1" showErrorMessage="1" errorTitle="Erreur de saisie" error="La cellule ne peut prendre que du numérique." promptTitle="Information" prompt="Cette cellule ne peut prendre que du numérique." sqref="C1:C4" xr:uid="{1D4B48B4-232B-4DF6-9486-ED78A337291C}">
      <formula1>0</formula1>
    </dataValidation>
    <dataValidation allowBlank="1" showInputMessage="1" showErrorMessage="1" errorTitle="Erreur de saisie" error="La cellule ne peut prendre que du numérique." promptTitle="Information" prompt="Cette cellule ne peut prendre que du numérique." sqref="D1:F5" xr:uid="{3EF32D24-4F03-4D59-A6E7-991BADB73292}"/>
  </dataValidation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A50F-C1DA-48FD-AB49-D0889E94FF62}">
  <sheetPr codeName="Feuil64">
    <tabColor rgb="FF00467F"/>
  </sheetPr>
  <dimension ref="A1:L66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1" sqref="F11"/>
    </sheetView>
  </sheetViews>
  <sheetFormatPr baseColWidth="10" defaultRowHeight="15"/>
  <cols>
    <col min="1" max="2" width="28.7109375" style="253" customWidth="1"/>
    <col min="3" max="3" width="12.85546875" style="253" bestFit="1" customWidth="1"/>
    <col min="4" max="4" width="11.42578125" style="253"/>
    <col min="5" max="11" width="20" style="253" bestFit="1" customWidth="1"/>
    <col min="12" max="12" width="19" style="253" bestFit="1" customWidth="1"/>
    <col min="13" max="16384" width="11.42578125" style="253"/>
  </cols>
  <sheetData>
    <row r="1" spans="1:12" ht="32.1" customHeight="1">
      <c r="C1" s="254">
        <v>2020</v>
      </c>
      <c r="D1" s="254"/>
      <c r="E1" s="254">
        <v>2021</v>
      </c>
      <c r="F1" s="254"/>
      <c r="G1" s="254">
        <v>2022</v>
      </c>
      <c r="H1" s="254"/>
      <c r="I1" s="254">
        <v>2023</v>
      </c>
      <c r="J1" s="254"/>
      <c r="K1" s="315">
        <v>2024</v>
      </c>
      <c r="L1" s="315"/>
    </row>
    <row r="2" spans="1:12" ht="21.95" customHeight="1">
      <c r="A2" s="253" t="s">
        <v>275</v>
      </c>
      <c r="C2" s="253" t="s">
        <v>276</v>
      </c>
      <c r="D2" s="253" t="s">
        <v>73</v>
      </c>
      <c r="E2" s="253" t="s">
        <v>276</v>
      </c>
      <c r="F2" s="253" t="s">
        <v>73</v>
      </c>
      <c r="G2" s="253" t="s">
        <v>276</v>
      </c>
      <c r="H2" s="253" t="s">
        <v>73</v>
      </c>
      <c r="I2" s="253" t="s">
        <v>276</v>
      </c>
      <c r="J2" s="253" t="s">
        <v>73</v>
      </c>
      <c r="K2" s="253" t="s">
        <v>276</v>
      </c>
      <c r="L2" s="253" t="s">
        <v>73</v>
      </c>
    </row>
    <row r="3" spans="1:12" ht="18" customHeight="1">
      <c r="A3" s="253" t="s">
        <v>212</v>
      </c>
    </row>
    <row r="4" spans="1:12" s="316" customFormat="1" ht="18" customHeight="1">
      <c r="A4" s="316" t="s">
        <v>213</v>
      </c>
      <c r="C4" s="316" t="s">
        <v>278</v>
      </c>
    </row>
    <row r="5" spans="1:12" s="316" customFormat="1" ht="18" customHeight="1">
      <c r="A5" s="316" t="s">
        <v>214</v>
      </c>
    </row>
    <row r="6" spans="1:12" s="316" customFormat="1" ht="18" customHeight="1">
      <c r="A6" s="316" t="s">
        <v>215</v>
      </c>
    </row>
    <row r="7" spans="1:12" s="316" customFormat="1" ht="18" customHeight="1">
      <c r="A7" s="316" t="s">
        <v>216</v>
      </c>
      <c r="C7" s="316" t="s">
        <v>278</v>
      </c>
      <c r="I7" s="316" t="s">
        <v>278</v>
      </c>
    </row>
    <row r="8" spans="1:12" s="316" customFormat="1" ht="18" customHeight="1">
      <c r="A8" s="316" t="s">
        <v>217</v>
      </c>
    </row>
    <row r="9" spans="1:12" s="316" customFormat="1" ht="18" customHeight="1">
      <c r="A9" s="316" t="s">
        <v>218</v>
      </c>
    </row>
    <row r="10" spans="1:12" s="316" customFormat="1" ht="18" customHeight="1">
      <c r="A10" s="316" t="s">
        <v>219</v>
      </c>
    </row>
    <row r="11" spans="1:12" s="316" customFormat="1" ht="18" customHeight="1">
      <c r="A11" s="316" t="s">
        <v>220</v>
      </c>
    </row>
    <row r="12" spans="1:12" s="316" customFormat="1" ht="18" customHeight="1">
      <c r="A12" s="316" t="s">
        <v>221</v>
      </c>
    </row>
    <row r="13" spans="1:12" s="316" customFormat="1" ht="18" customHeight="1">
      <c r="A13" s="316" t="s">
        <v>222</v>
      </c>
    </row>
    <row r="14" spans="1:12" s="316" customFormat="1" ht="18" customHeight="1">
      <c r="A14" s="316" t="s">
        <v>223</v>
      </c>
    </row>
    <row r="15" spans="1:12" ht="18" customHeight="1">
      <c r="A15" s="253" t="s">
        <v>224</v>
      </c>
      <c r="E15" s="253">
        <v>459975250746</v>
      </c>
      <c r="F15" s="253">
        <v>26718633081</v>
      </c>
      <c r="G15" s="253">
        <v>392961612956</v>
      </c>
      <c r="H15" s="253">
        <v>143556313105</v>
      </c>
      <c r="I15" s="253">
        <v>354075329142.07953</v>
      </c>
      <c r="J15" s="253">
        <v>137096340502.89597</v>
      </c>
      <c r="K15" s="253">
        <v>337162693235</v>
      </c>
      <c r="L15" s="253">
        <v>57851662541</v>
      </c>
    </row>
    <row r="16" spans="1:12" ht="18" customHeight="1">
      <c r="A16" s="253" t="s">
        <v>225</v>
      </c>
      <c r="C16" s="253" t="s">
        <v>278</v>
      </c>
      <c r="E16" s="253">
        <v>123502918007</v>
      </c>
      <c r="F16" s="253">
        <v>31337723864</v>
      </c>
      <c r="G16" s="253">
        <v>147862815768</v>
      </c>
      <c r="H16" s="253">
        <v>22855910095</v>
      </c>
      <c r="I16" s="253">
        <v>138230031552</v>
      </c>
      <c r="J16" s="253">
        <v>22694238966</v>
      </c>
      <c r="K16" s="253">
        <v>175133858574</v>
      </c>
      <c r="L16" s="253">
        <v>36396157176</v>
      </c>
    </row>
    <row r="17" spans="1:12" ht="18" customHeight="1">
      <c r="A17" s="253" t="s">
        <v>226</v>
      </c>
      <c r="C17" s="253" t="s">
        <v>278</v>
      </c>
      <c r="E17" s="253">
        <v>148257573911.29999</v>
      </c>
      <c r="F17" s="253">
        <v>13254337442.02</v>
      </c>
      <c r="G17" s="253">
        <v>208567180824</v>
      </c>
      <c r="H17" s="253">
        <v>57698846122</v>
      </c>
      <c r="I17" s="253">
        <v>141064555704</v>
      </c>
      <c r="J17" s="253">
        <v>21709050224</v>
      </c>
      <c r="K17" s="253">
        <v>171081298200</v>
      </c>
      <c r="L17" s="253">
        <v>14423265142</v>
      </c>
    </row>
    <row r="18" spans="1:12" ht="18" customHeight="1">
      <c r="A18" s="253" t="s">
        <v>227</v>
      </c>
      <c r="E18" s="253">
        <v>0</v>
      </c>
      <c r="F18" s="253">
        <v>-52436153</v>
      </c>
      <c r="G18" s="253">
        <v>357766575</v>
      </c>
      <c r="H18" s="253">
        <v>-25741181</v>
      </c>
      <c r="I18" s="253">
        <v>590714400</v>
      </c>
      <c r="J18" s="253">
        <v>-130773503</v>
      </c>
      <c r="K18" s="253">
        <v>339990650</v>
      </c>
      <c r="L18" s="253">
        <v>-326048897</v>
      </c>
    </row>
    <row r="19" spans="1:12" ht="18" customHeight="1">
      <c r="A19" s="253" t="s">
        <v>228</v>
      </c>
      <c r="E19" s="253">
        <v>12244307867</v>
      </c>
      <c r="F19" s="253">
        <v>515575109</v>
      </c>
      <c r="G19" s="253">
        <v>15759900201</v>
      </c>
      <c r="H19" s="253">
        <v>609301525</v>
      </c>
      <c r="I19" s="253">
        <v>19848701001</v>
      </c>
      <c r="J19" s="253">
        <v>935630309</v>
      </c>
      <c r="K19" s="253">
        <v>17890982807</v>
      </c>
      <c r="L19" s="253">
        <v>538338515</v>
      </c>
    </row>
    <row r="20" spans="1:12" ht="18" customHeight="1">
      <c r="A20" s="253" t="s">
        <v>229</v>
      </c>
      <c r="E20" s="253">
        <v>157773737762</v>
      </c>
      <c r="F20" s="253">
        <v>12357368337</v>
      </c>
      <c r="G20" s="253">
        <v>161020148826</v>
      </c>
      <c r="H20" s="253">
        <v>-3597241112</v>
      </c>
      <c r="I20" s="253">
        <v>167004925900</v>
      </c>
      <c r="J20" s="253">
        <v>-2098860977</v>
      </c>
      <c r="K20" s="253">
        <v>162510769325</v>
      </c>
      <c r="L20" s="253">
        <v>17523080081</v>
      </c>
    </row>
    <row r="21" spans="1:12" ht="18" customHeight="1">
      <c r="A21" s="253" t="s">
        <v>237</v>
      </c>
      <c r="C21" s="253" t="s">
        <v>278</v>
      </c>
      <c r="E21" s="253">
        <v>125938701894</v>
      </c>
      <c r="F21" s="253">
        <v>26998231133</v>
      </c>
      <c r="G21" s="253">
        <v>163864492567</v>
      </c>
      <c r="H21" s="253">
        <v>9473766747</v>
      </c>
      <c r="I21" s="253">
        <v>208039398219</v>
      </c>
      <c r="J21" s="253">
        <v>45379996833</v>
      </c>
      <c r="K21" s="253">
        <v>208275366815</v>
      </c>
      <c r="L21" s="253">
        <v>40151124119</v>
      </c>
    </row>
    <row r="22" spans="1:12" ht="18" customHeight="1">
      <c r="A22" s="253" t="s">
        <v>240</v>
      </c>
      <c r="C22" s="253" t="s">
        <v>278</v>
      </c>
      <c r="E22" s="253">
        <v>8140087334</v>
      </c>
      <c r="F22" s="253">
        <v>-274584431</v>
      </c>
      <c r="G22" s="253">
        <v>4002286439</v>
      </c>
      <c r="H22" s="253">
        <v>355804282</v>
      </c>
      <c r="I22" s="253">
        <v>5321602264</v>
      </c>
      <c r="J22" s="253">
        <v>-150948557</v>
      </c>
      <c r="K22" s="253">
        <v>4913023137</v>
      </c>
      <c r="L22" s="253">
        <v>-283240460</v>
      </c>
    </row>
    <row r="23" spans="1:12" ht="18" customHeight="1">
      <c r="A23" s="253" t="s">
        <v>271</v>
      </c>
      <c r="E23" s="253">
        <v>1296774732</v>
      </c>
      <c r="F23" s="253">
        <v>377163225</v>
      </c>
      <c r="G23" s="253">
        <v>941421361</v>
      </c>
      <c r="H23" s="253">
        <v>19600135</v>
      </c>
      <c r="I23" s="253">
        <v>411877964</v>
      </c>
      <c r="J23" s="253">
        <v>-118502310</v>
      </c>
      <c r="K23" s="253">
        <v>382459488</v>
      </c>
      <c r="L23" s="253">
        <v>14008346</v>
      </c>
    </row>
    <row r="24" spans="1:12" ht="18" customHeight="1">
      <c r="A24" s="253" t="s">
        <v>230</v>
      </c>
      <c r="C24" s="253" t="s">
        <v>278</v>
      </c>
      <c r="H24" s="253">
        <v>-583451768027</v>
      </c>
      <c r="J24" s="253">
        <v>-525642165189</v>
      </c>
    </row>
    <row r="25" spans="1:12" ht="18" customHeight="1">
      <c r="A25" s="253" t="s">
        <v>231</v>
      </c>
      <c r="C25" s="253" t="s">
        <v>278</v>
      </c>
      <c r="E25" s="253">
        <v>344543113621</v>
      </c>
      <c r="F25" s="253">
        <v>117477649557</v>
      </c>
      <c r="G25" s="253">
        <v>566423853591</v>
      </c>
      <c r="H25" s="253">
        <v>230165320277</v>
      </c>
    </row>
    <row r="26" spans="1:12" ht="18" customHeight="1">
      <c r="A26" s="253" t="s">
        <v>232</v>
      </c>
      <c r="I26" s="253">
        <v>913278800278</v>
      </c>
      <c r="J26" s="253">
        <v>21140344947</v>
      </c>
      <c r="K26" s="253">
        <v>922945152135</v>
      </c>
      <c r="L26" s="253">
        <v>22316909474</v>
      </c>
    </row>
    <row r="27" spans="1:12" ht="18" customHeight="1">
      <c r="A27" s="253" t="s">
        <v>233</v>
      </c>
      <c r="F27" s="253">
        <v>0</v>
      </c>
      <c r="G27" s="253">
        <v>0</v>
      </c>
      <c r="H27" s="253">
        <v>0</v>
      </c>
    </row>
    <row r="28" spans="1:12" ht="18" customHeight="1">
      <c r="A28" s="253" t="s">
        <v>234</v>
      </c>
      <c r="I28" s="253">
        <v>49467658370</v>
      </c>
      <c r="J28" s="253">
        <v>-971779354</v>
      </c>
      <c r="K28" s="253">
        <v>54363903293</v>
      </c>
      <c r="L28" s="253">
        <v>675674355</v>
      </c>
    </row>
    <row r="29" spans="1:12" ht="18" customHeight="1">
      <c r="A29" s="253" t="s">
        <v>235</v>
      </c>
      <c r="C29" s="253" t="s">
        <v>278</v>
      </c>
      <c r="G29" s="253" t="s">
        <v>164</v>
      </c>
      <c r="H29" s="253" t="s">
        <v>185</v>
      </c>
      <c r="I29" s="253">
        <v>7699622013</v>
      </c>
      <c r="J29" s="253">
        <v>-3975136492</v>
      </c>
      <c r="K29" s="253">
        <v>10401453748</v>
      </c>
      <c r="L29" s="253">
        <v>-7726090136</v>
      </c>
    </row>
    <row r="30" spans="1:12" ht="18" customHeight="1">
      <c r="A30" s="253" t="s">
        <v>236</v>
      </c>
      <c r="C30" s="253" t="s">
        <v>278</v>
      </c>
      <c r="E30" s="253">
        <v>69573490910</v>
      </c>
      <c r="F30" s="253">
        <v>16694787635</v>
      </c>
      <c r="G30" s="253">
        <v>49581280381</v>
      </c>
      <c r="H30" s="253">
        <v>-6608648871</v>
      </c>
      <c r="I30" s="253" t="s">
        <v>190</v>
      </c>
      <c r="J30" s="253" t="s">
        <v>209</v>
      </c>
      <c r="K30" s="253" t="s">
        <v>278</v>
      </c>
    </row>
    <row r="31" spans="1:12" ht="18" customHeight="1">
      <c r="A31" s="253" t="s">
        <v>238</v>
      </c>
      <c r="I31" s="253">
        <v>2198339105</v>
      </c>
      <c r="J31" s="253">
        <v>-718233462</v>
      </c>
      <c r="K31" s="253">
        <v>2845183426</v>
      </c>
      <c r="L31" s="253">
        <v>-446215959</v>
      </c>
    </row>
    <row r="32" spans="1:12" ht="18" customHeight="1">
      <c r="A32" s="253" t="s">
        <v>239</v>
      </c>
      <c r="I32" s="253">
        <v>17748438180</v>
      </c>
      <c r="J32" s="253">
        <v>4369124484</v>
      </c>
      <c r="K32" s="253">
        <v>15118888788</v>
      </c>
      <c r="L32" s="253">
        <v>3693778426</v>
      </c>
    </row>
    <row r="33" spans="1:12" ht="18" customHeight="1">
      <c r="A33" s="253" t="s">
        <v>241</v>
      </c>
      <c r="E33" s="253">
        <v>0</v>
      </c>
      <c r="F33" s="253">
        <v>0</v>
      </c>
      <c r="G33" s="253">
        <v>0</v>
      </c>
      <c r="H33" s="253">
        <v>0</v>
      </c>
    </row>
    <row r="34" spans="1:12" ht="18" customHeight="1">
      <c r="A34" s="253" t="s">
        <v>242</v>
      </c>
      <c r="E34" s="253">
        <v>23066725181</v>
      </c>
      <c r="F34" s="253">
        <v>3309380514</v>
      </c>
      <c r="G34" s="253">
        <v>24969073870</v>
      </c>
      <c r="H34" s="253">
        <v>1360984077</v>
      </c>
    </row>
    <row r="35" spans="1:12" ht="18" customHeight="1">
      <c r="A35" s="253" t="s">
        <v>243</v>
      </c>
      <c r="C35" s="253" t="s">
        <v>278</v>
      </c>
      <c r="I35" s="253">
        <v>9558234759</v>
      </c>
      <c r="J35" s="253">
        <v>1033485494</v>
      </c>
      <c r="K35" s="253">
        <v>13089313273</v>
      </c>
      <c r="L35" s="253">
        <v>1663855770</v>
      </c>
    </row>
    <row r="36" spans="1:12" ht="18" customHeight="1">
      <c r="A36" s="253" t="s">
        <v>244</v>
      </c>
      <c r="I36" s="253">
        <v>903294089</v>
      </c>
      <c r="J36" s="253">
        <v>-1270651585</v>
      </c>
      <c r="K36" s="253">
        <v>2756043638</v>
      </c>
      <c r="L36" s="253">
        <v>1217788809</v>
      </c>
    </row>
    <row r="37" spans="1:12" ht="18" customHeight="1">
      <c r="A37" s="253" t="s">
        <v>245</v>
      </c>
      <c r="E37" s="253">
        <v>2165007264</v>
      </c>
      <c r="F37" s="253">
        <v>7158974</v>
      </c>
      <c r="G37" s="253">
        <v>1859866061</v>
      </c>
      <c r="H37" s="253">
        <v>42874153</v>
      </c>
    </row>
    <row r="38" spans="1:12" ht="18" customHeight="1">
      <c r="A38" s="253" t="s">
        <v>246</v>
      </c>
      <c r="E38" s="253">
        <v>20499650589</v>
      </c>
      <c r="F38" s="253">
        <v>1326970463</v>
      </c>
      <c r="G38" s="253">
        <v>25969829256</v>
      </c>
      <c r="H38" s="253">
        <v>1812203836</v>
      </c>
      <c r="I38" s="253">
        <v>30323647321</v>
      </c>
      <c r="J38" s="253">
        <v>1731869558</v>
      </c>
      <c r="K38" s="253">
        <v>30671525768</v>
      </c>
      <c r="L38" s="253">
        <v>1997358711</v>
      </c>
    </row>
    <row r="39" spans="1:12" ht="18" customHeight="1">
      <c r="A39" s="253" t="s">
        <v>247</v>
      </c>
      <c r="I39" s="253">
        <v>10700300392</v>
      </c>
      <c r="J39" s="253">
        <v>98586968</v>
      </c>
      <c r="K39" s="253">
        <v>12791200832</v>
      </c>
      <c r="L39" s="253">
        <v>-317799531</v>
      </c>
    </row>
    <row r="40" spans="1:12" ht="18" customHeight="1">
      <c r="A40" s="253" t="s">
        <v>248</v>
      </c>
      <c r="I40" s="253">
        <v>0</v>
      </c>
      <c r="J40" s="253">
        <v>0</v>
      </c>
      <c r="K40" s="253">
        <v>0</v>
      </c>
      <c r="L40" s="253">
        <v>0</v>
      </c>
    </row>
    <row r="41" spans="1:12" ht="18" customHeight="1">
      <c r="A41" s="253" t="s">
        <v>249</v>
      </c>
      <c r="I41" s="253">
        <v>3712007237</v>
      </c>
      <c r="J41" s="253">
        <v>181249296</v>
      </c>
      <c r="K41" s="253">
        <v>3539622265</v>
      </c>
      <c r="L41" s="253">
        <v>54157696</v>
      </c>
    </row>
    <row r="42" spans="1:12" ht="18" customHeight="1">
      <c r="A42" s="253" t="s">
        <v>250</v>
      </c>
      <c r="I42" s="253">
        <v>0</v>
      </c>
      <c r="J42" s="253">
        <v>0</v>
      </c>
      <c r="K42" s="253">
        <v>0</v>
      </c>
      <c r="L42" s="253">
        <v>0</v>
      </c>
    </row>
    <row r="43" spans="1:12" ht="18" customHeight="1">
      <c r="A43" s="253" t="s">
        <v>251</v>
      </c>
      <c r="I43" s="253">
        <v>2582636951.4000001</v>
      </c>
      <c r="J43" s="253">
        <v>-765571958</v>
      </c>
      <c r="K43" s="253">
        <v>3986813476</v>
      </c>
      <c r="L43" s="253">
        <v>294157097</v>
      </c>
    </row>
    <row r="44" spans="1:12" ht="18" customHeight="1">
      <c r="A44" s="253" t="s">
        <v>252</v>
      </c>
    </row>
    <row r="45" spans="1:12" ht="18" customHeight="1">
      <c r="A45" s="253" t="s">
        <v>253</v>
      </c>
      <c r="I45" s="253">
        <v>0</v>
      </c>
      <c r="J45" s="253">
        <v>-622177248</v>
      </c>
      <c r="K45" s="253">
        <v>0</v>
      </c>
      <c r="L45" s="253">
        <v>-377552757</v>
      </c>
    </row>
    <row r="46" spans="1:12" ht="18" customHeight="1">
      <c r="A46" s="253" t="s">
        <v>254</v>
      </c>
      <c r="I46" s="253">
        <v>3422548204</v>
      </c>
      <c r="J46" s="253">
        <v>104606929</v>
      </c>
      <c r="K46" s="253">
        <v>2100290502</v>
      </c>
      <c r="L46" s="253">
        <v>-3676890295</v>
      </c>
    </row>
    <row r="47" spans="1:12" ht="18" customHeight="1">
      <c r="A47" s="253" t="s">
        <v>255</v>
      </c>
      <c r="I47" s="253">
        <v>881292069</v>
      </c>
      <c r="J47" s="253">
        <v>-596724857</v>
      </c>
      <c r="K47" s="253">
        <v>1514256903</v>
      </c>
      <c r="L47" s="253">
        <v>54064942</v>
      </c>
    </row>
    <row r="48" spans="1:12" ht="18" customHeight="1">
      <c r="A48" s="253" t="s">
        <v>256</v>
      </c>
      <c r="I48" s="253">
        <v>0</v>
      </c>
      <c r="J48" s="253">
        <v>0</v>
      </c>
      <c r="K48" s="253">
        <v>0</v>
      </c>
      <c r="L48" s="253">
        <v>0</v>
      </c>
    </row>
    <row r="49" spans="1:12" ht="18" customHeight="1">
      <c r="A49" s="253" t="s">
        <v>257</v>
      </c>
      <c r="I49" s="253">
        <v>847818051</v>
      </c>
      <c r="J49" s="253">
        <v>-31687670</v>
      </c>
      <c r="K49" s="253">
        <v>340595160</v>
      </c>
      <c r="L49" s="253">
        <v>-104453901</v>
      </c>
    </row>
    <row r="50" spans="1:12" ht="18" customHeight="1">
      <c r="A50" s="253" t="s">
        <v>258</v>
      </c>
      <c r="I50" s="253">
        <v>1319253772</v>
      </c>
      <c r="J50" s="253">
        <v>85813897</v>
      </c>
      <c r="K50" s="253">
        <v>2771755892</v>
      </c>
      <c r="L50" s="253">
        <v>483544300</v>
      </c>
    </row>
    <row r="51" spans="1:12" ht="18" customHeight="1">
      <c r="A51" s="253" t="s">
        <v>259</v>
      </c>
      <c r="I51" s="253">
        <v>708969422</v>
      </c>
      <c r="J51" s="253">
        <v>209518131</v>
      </c>
      <c r="K51" s="253">
        <v>1104514951</v>
      </c>
      <c r="L51" s="253">
        <v>463607452</v>
      </c>
    </row>
    <row r="52" spans="1:12" ht="18" customHeight="1">
      <c r="A52" s="253" t="s">
        <v>260</v>
      </c>
      <c r="I52" s="253">
        <v>92039000</v>
      </c>
      <c r="J52" s="253">
        <v>-54273008</v>
      </c>
      <c r="K52" s="253">
        <v>186884984</v>
      </c>
      <c r="L52" s="253">
        <v>-120106377</v>
      </c>
    </row>
    <row r="53" spans="1:12" ht="18" customHeight="1">
      <c r="A53" s="253" t="s">
        <v>261</v>
      </c>
      <c r="I53" s="253">
        <v>951628380</v>
      </c>
      <c r="J53" s="253">
        <v>-141132397</v>
      </c>
      <c r="K53" s="253">
        <v>1278114850</v>
      </c>
      <c r="L53" s="253">
        <v>5469819</v>
      </c>
    </row>
    <row r="54" spans="1:12" ht="18" customHeight="1">
      <c r="A54" s="253" t="s">
        <v>262</v>
      </c>
      <c r="I54" s="253">
        <v>7733512125</v>
      </c>
      <c r="J54" s="253">
        <v>-81052325</v>
      </c>
      <c r="K54" s="253">
        <v>5188357494</v>
      </c>
      <c r="L54" s="253">
        <v>187541723</v>
      </c>
    </row>
    <row r="55" spans="1:12" ht="18" customHeight="1">
      <c r="A55" s="253" t="s">
        <v>263</v>
      </c>
      <c r="J55" s="253">
        <v>-35946333</v>
      </c>
      <c r="K55" s="253">
        <v>0</v>
      </c>
      <c r="L55" s="253">
        <v>-44129238</v>
      </c>
    </row>
    <row r="56" spans="1:12" ht="18" customHeight="1">
      <c r="A56" s="253" t="s">
        <v>264</v>
      </c>
      <c r="I56" s="253">
        <v>3554295639</v>
      </c>
      <c r="J56" s="253">
        <v>301894425</v>
      </c>
      <c r="K56" s="253">
        <v>2750570858</v>
      </c>
      <c r="L56" s="253">
        <v>293689345</v>
      </c>
    </row>
    <row r="57" spans="1:12" ht="18" customHeight="1">
      <c r="A57" s="253" t="s">
        <v>265</v>
      </c>
      <c r="I57" s="253">
        <v>0</v>
      </c>
      <c r="J57" s="253">
        <v>-4102869</v>
      </c>
      <c r="K57" s="253">
        <v>81852000</v>
      </c>
      <c r="L57" s="253">
        <v>-45600508</v>
      </c>
    </row>
    <row r="58" spans="1:12" ht="18" customHeight="1">
      <c r="A58" s="253" t="s">
        <v>266</v>
      </c>
      <c r="I58" s="253">
        <v>0</v>
      </c>
      <c r="J58" s="253">
        <v>-350940354.35086304</v>
      </c>
      <c r="K58" s="253">
        <v>11749730</v>
      </c>
      <c r="L58" s="253">
        <v>-155688279</v>
      </c>
    </row>
    <row r="59" spans="1:12" ht="18" customHeight="1">
      <c r="A59" s="253" t="s">
        <v>267</v>
      </c>
      <c r="I59" s="253">
        <v>0</v>
      </c>
      <c r="J59" s="253">
        <v>-4472669</v>
      </c>
      <c r="K59" s="253">
        <v>0</v>
      </c>
      <c r="L59" s="253">
        <v>-2230433</v>
      </c>
    </row>
    <row r="60" spans="1:12" ht="18" customHeight="1">
      <c r="A60" s="253" t="s">
        <v>268</v>
      </c>
      <c r="I60" s="253">
        <v>1662291307</v>
      </c>
      <c r="J60" s="253">
        <v>-181628231</v>
      </c>
      <c r="K60" s="253">
        <v>1760988110</v>
      </c>
      <c r="L60" s="253">
        <v>-399028639</v>
      </c>
    </row>
    <row r="61" spans="1:12" ht="18" customHeight="1">
      <c r="A61" s="253" t="s">
        <v>269</v>
      </c>
      <c r="I61" s="253">
        <v>0</v>
      </c>
      <c r="J61" s="253">
        <v>0</v>
      </c>
      <c r="K61" s="253">
        <v>0</v>
      </c>
      <c r="L61" s="253">
        <v>0</v>
      </c>
    </row>
    <row r="62" spans="1:12" ht="18" customHeight="1">
      <c r="A62" s="253" t="s">
        <v>270</v>
      </c>
      <c r="I62" s="253">
        <v>10386305978</v>
      </c>
      <c r="J62" s="253">
        <v>1627916454</v>
      </c>
      <c r="K62" s="253">
        <v>4584193882</v>
      </c>
      <c r="L62" s="253">
        <v>425676719</v>
      </c>
    </row>
    <row r="63" spans="1:12" ht="18" customHeight="1">
      <c r="A63" s="253" t="s">
        <v>272</v>
      </c>
      <c r="I63" s="253">
        <v>0</v>
      </c>
      <c r="J63" s="253">
        <v>-27657980</v>
      </c>
      <c r="K63" s="253">
        <v>0</v>
      </c>
      <c r="L63" s="253">
        <v>-29258243</v>
      </c>
    </row>
    <row r="64" spans="1:12" ht="18" customHeight="1">
      <c r="A64" s="253" t="s">
        <v>273</v>
      </c>
      <c r="E64" s="253">
        <v>0</v>
      </c>
      <c r="F64" s="253">
        <v>0</v>
      </c>
      <c r="G64" s="253">
        <v>0</v>
      </c>
      <c r="H64" s="253">
        <v>-33002559</v>
      </c>
    </row>
    <row r="65" spans="1:3" ht="18" customHeight="1">
      <c r="A65" s="253" t="s">
        <v>274</v>
      </c>
      <c r="C65" s="253" t="s">
        <v>278</v>
      </c>
    </row>
    <row r="66" spans="1:3" ht="18" customHeight="1">
      <c r="A66" s="253" t="s">
        <v>277</v>
      </c>
    </row>
  </sheetData>
  <mergeCells count="1">
    <mergeCell ref="K1:L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4394D-90CB-4818-867E-318CA40302C1}">
  <dimension ref="B1:B31"/>
  <sheetViews>
    <sheetView workbookViewId="0">
      <selection activeCell="B1" sqref="B1:B31"/>
    </sheetView>
  </sheetViews>
  <sheetFormatPr baseColWidth="10" defaultRowHeight="15"/>
  <sheetData>
    <row r="1" spans="2:2">
      <c r="B1" s="317" t="s">
        <v>230</v>
      </c>
    </row>
    <row r="2" spans="2:2">
      <c r="B2" s="317" t="s">
        <v>231</v>
      </c>
    </row>
    <row r="3" spans="2:2">
      <c r="B3" s="317" t="s">
        <v>224</v>
      </c>
    </row>
    <row r="4" spans="2:2">
      <c r="B4" s="317" t="s">
        <v>225</v>
      </c>
    </row>
    <row r="5" spans="2:2">
      <c r="B5" s="317" t="s">
        <v>279</v>
      </c>
    </row>
    <row r="6" spans="2:2">
      <c r="B6" s="317" t="s">
        <v>237</v>
      </c>
    </row>
    <row r="7" spans="2:2">
      <c r="B7" s="317" t="s">
        <v>226</v>
      </c>
    </row>
    <row r="8" spans="2:2">
      <c r="B8" s="317" t="s">
        <v>213</v>
      </c>
    </row>
    <row r="9" spans="2:2">
      <c r="B9" s="317" t="s">
        <v>235</v>
      </c>
    </row>
    <row r="10" spans="2:2">
      <c r="B10" s="317" t="s">
        <v>105</v>
      </c>
    </row>
    <row r="11" spans="2:2">
      <c r="B11" s="317" t="s">
        <v>214</v>
      </c>
    </row>
    <row r="12" spans="2:2">
      <c r="B12" s="317" t="s">
        <v>215</v>
      </c>
    </row>
    <row r="13" spans="2:2">
      <c r="B13" s="317" t="s">
        <v>216</v>
      </c>
    </row>
    <row r="14" spans="2:2">
      <c r="B14" s="317" t="s">
        <v>236</v>
      </c>
    </row>
    <row r="15" spans="2:2">
      <c r="B15" s="317" t="s">
        <v>217</v>
      </c>
    </row>
    <row r="16" spans="2:2">
      <c r="B16" s="317" t="s">
        <v>240</v>
      </c>
    </row>
    <row r="17" spans="2:2">
      <c r="B17" s="317" t="s">
        <v>241</v>
      </c>
    </row>
    <row r="18" spans="2:2">
      <c r="B18" s="317" t="s">
        <v>242</v>
      </c>
    </row>
    <row r="19" spans="2:2">
      <c r="B19" s="317" t="s">
        <v>229</v>
      </c>
    </row>
    <row r="20" spans="2:2">
      <c r="B20" s="317" t="s">
        <v>243</v>
      </c>
    </row>
    <row r="21" spans="2:2">
      <c r="B21" s="317" t="s">
        <v>218</v>
      </c>
    </row>
    <row r="22" spans="2:2">
      <c r="B22" s="317" t="s">
        <v>228</v>
      </c>
    </row>
    <row r="23" spans="2:2">
      <c r="B23" s="317" t="s">
        <v>244</v>
      </c>
    </row>
    <row r="24" spans="2:2">
      <c r="B24" s="317" t="s">
        <v>280</v>
      </c>
    </row>
    <row r="25" spans="2:2">
      <c r="B25" s="317" t="s">
        <v>246</v>
      </c>
    </row>
    <row r="26" spans="2:2">
      <c r="B26" s="317" t="s">
        <v>281</v>
      </c>
    </row>
    <row r="27" spans="2:2">
      <c r="B27" s="317" t="s">
        <v>219</v>
      </c>
    </row>
    <row r="28" spans="2:2">
      <c r="B28" s="317" t="s">
        <v>282</v>
      </c>
    </row>
    <row r="29" spans="2:2">
      <c r="B29" s="317" t="s">
        <v>283</v>
      </c>
    </row>
    <row r="30" spans="2:2">
      <c r="B30" s="317" t="s">
        <v>222</v>
      </c>
    </row>
    <row r="31" spans="2:2">
      <c r="B31" s="317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65</vt:i4>
      </vt:variant>
    </vt:vector>
  </HeadingPairs>
  <TitlesOfParts>
    <vt:vector size="65" baseType="lpstr">
      <vt:lpstr>Feuil3</vt:lpstr>
      <vt:lpstr>WOODSIDE</vt:lpstr>
      <vt:lpstr>TOTAL E&amp;P</vt:lpstr>
      <vt:lpstr>KOSMOS</vt:lpstr>
      <vt:lpstr>SOMIVA</vt:lpstr>
      <vt:lpstr>BARRICK GOLD</vt:lpstr>
      <vt:lpstr>SMC</vt:lpstr>
      <vt:lpstr>AIG</vt:lpstr>
      <vt:lpstr>SORED</vt:lpstr>
      <vt:lpstr>CAPRICORN</vt:lpstr>
      <vt:lpstr>MIFERSO</vt:lpstr>
      <vt:lpstr>ORANTO</vt:lpstr>
      <vt:lpstr>SGO</vt:lpstr>
      <vt:lpstr>PMC</vt:lpstr>
      <vt:lpstr>GCO</vt:lpstr>
      <vt:lpstr>GPHOS</vt:lpstr>
      <vt:lpstr>CSE</vt:lpstr>
      <vt:lpstr>SOCOCIM</vt:lpstr>
      <vt:lpstr>CDS</vt:lpstr>
      <vt:lpstr>SSPT</vt:lpstr>
      <vt:lpstr>SOCOBE</vt:lpstr>
      <vt:lpstr>BP SENEGAL</vt:lpstr>
      <vt:lpstr>SAR</vt:lpstr>
      <vt:lpstr>ICS</vt:lpstr>
      <vt:lpstr>IAMGOLD</vt:lpstr>
      <vt:lpstr>CSL</vt:lpstr>
      <vt:lpstr>BMCC</vt:lpstr>
      <vt:lpstr>DANGOTE</vt:lpstr>
      <vt:lpstr>SEN_MINES</vt:lpstr>
      <vt:lpstr>SNSSS</vt:lpstr>
      <vt:lpstr>AGEM</vt:lpstr>
      <vt:lpstr>COGECA</vt:lpstr>
      <vt:lpstr>SEPHOS</vt:lpstr>
      <vt:lpstr>PETROSEN</vt:lpstr>
      <vt:lpstr>TALIX MINES</vt:lpstr>
      <vt:lpstr>GECAMINES</vt:lpstr>
      <vt:lpstr>GRAVITA</vt:lpstr>
      <vt:lpstr>FORTESA</vt:lpstr>
      <vt:lpstr>AOD</vt:lpstr>
      <vt:lpstr>FIS_SN</vt:lpstr>
      <vt:lpstr>IDC</vt:lpstr>
      <vt:lpstr>ASR</vt:lpstr>
      <vt:lpstr>GBO</vt:lpstr>
      <vt:lpstr>AFRIGOLD</vt:lpstr>
      <vt:lpstr>TANOR</vt:lpstr>
      <vt:lpstr>CHESSER</vt:lpstr>
      <vt:lpstr>KG HOLDING</vt:lpstr>
      <vt:lpstr>GOES</vt:lpstr>
      <vt:lpstr>FMS</vt:lpstr>
      <vt:lpstr>CHEMTRA</vt:lpstr>
      <vt:lpstr>LCP</vt:lpstr>
      <vt:lpstr>ZENITH</vt:lpstr>
      <vt:lpstr>SOMISEN</vt:lpstr>
      <vt:lpstr>ASCO</vt:lpstr>
      <vt:lpstr>SILEX</vt:lpstr>
      <vt:lpstr>CMS</vt:lpstr>
      <vt:lpstr>SOCABEG</vt:lpstr>
      <vt:lpstr>BOSFOR</vt:lpstr>
      <vt:lpstr>BAMBADJI</vt:lpstr>
      <vt:lpstr>AECI</vt:lpstr>
      <vt:lpstr>MANDINGA</vt:lpstr>
      <vt:lpstr>CPM</vt:lpstr>
      <vt:lpstr>PROCHIMAT</vt:lpstr>
      <vt:lpstr>RAPPORT_01</vt:lpstr>
      <vt:lpstr>RAPPORT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 rachid traore</dc:creator>
  <cp:lastModifiedBy>sie rachid traore</cp:lastModifiedBy>
  <dcterms:created xsi:type="dcterms:W3CDTF">2015-06-05T18:19:34Z</dcterms:created>
  <dcterms:modified xsi:type="dcterms:W3CDTF">2026-05-07T10:14:51Z</dcterms:modified>
</cp:coreProperties>
</file>