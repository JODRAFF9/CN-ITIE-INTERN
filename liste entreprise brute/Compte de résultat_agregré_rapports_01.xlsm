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p\Documents\bibliothèque de travail\2 Elève ingénieur\ISE\Cours\ISE3\Stage ITIE\Liste entreprise brute\"/>
    </mc:Choice>
  </mc:AlternateContent>
  <xr:revisionPtr revIDLastSave="0" documentId="13_ncr:1_{4876A80A-CD8B-4CD8-945F-3DFEE71815BE}" xr6:coauthVersionLast="47" xr6:coauthVersionMax="47" xr10:uidLastSave="{00000000-0000-0000-0000-000000000000}"/>
  <bookViews>
    <workbookView xWindow="-120" yWindow="-120" windowWidth="20730" windowHeight="11040" firstSheet="30" activeTab="34" xr2:uid="{10F920D3-6F4A-449F-9F88-6472E5F5AA97}"/>
  </bookViews>
  <sheets>
    <sheet name="WOODSIDE" sheetId="14" r:id="rId1"/>
    <sheet name="TOTAL E&amp;P" sheetId="12" r:id="rId2"/>
    <sheet name="KOSMOS" sheetId="11" r:id="rId3"/>
    <sheet name="SOMIVA" sheetId="10" r:id="rId4"/>
    <sheet name="BARRICK GOLD" sheetId="15" r:id="rId5"/>
    <sheet name="SMC" sheetId="21" r:id="rId6"/>
    <sheet name="AIG" sheetId="27" r:id="rId7"/>
    <sheet name="SORED" sheetId="28" r:id="rId8"/>
    <sheet name="CAPRICORN" sheetId="29" r:id="rId9"/>
    <sheet name="MIFERSO" sheetId="30" r:id="rId10"/>
    <sheet name="ORANTO" sheetId="31" r:id="rId11"/>
    <sheet name="SGO" sheetId="3" r:id="rId12"/>
    <sheet name="PMC" sheetId="2" r:id="rId13"/>
    <sheet name="GCO" sheetId="4" r:id="rId14"/>
    <sheet name="GPHOS" sheetId="6" r:id="rId15"/>
    <sheet name="CSE" sheetId="22" r:id="rId16"/>
    <sheet name="SOCOCIM" sheetId="19" r:id="rId17"/>
    <sheet name="CDS" sheetId="36" r:id="rId18"/>
    <sheet name="SSPT" sheetId="16" r:id="rId19"/>
    <sheet name="BP SENEGAL" sheetId="1" r:id="rId20"/>
    <sheet name="ICS" sheetId="7" r:id="rId21"/>
    <sheet name="IAMGOLD" sheetId="5" r:id="rId22"/>
    <sheet name="BMCC" sheetId="13" r:id="rId23"/>
    <sheet name="DANGOTE" sheetId="9" r:id="rId24"/>
    <sheet name="AGEM" sheetId="17" r:id="rId25"/>
    <sheet name="COGECA" sheetId="18" r:id="rId26"/>
    <sheet name="SEPHOS" sheetId="20" r:id="rId27"/>
    <sheet name="PETROSEN" sheetId="23" r:id="rId28"/>
    <sheet name="TALIX MINES" sheetId="24" r:id="rId29"/>
    <sheet name="GECAMINES" sheetId="25" r:id="rId30"/>
    <sheet name="FORTESA" sheetId="26" r:id="rId31"/>
    <sheet name="Feuil16" sheetId="86" r:id="rId32"/>
    <sheet name="Feuil1" sheetId="87" r:id="rId33"/>
    <sheet name="Feuil2" sheetId="88" r:id="rId34"/>
    <sheet name="BASE" sheetId="78" r:id="rId35"/>
    <sheet name="TCD" sheetId="81" state="veryHidden" r:id="rId36"/>
    <sheet name="Feuil" sheetId="75" r:id="rId37"/>
    <sheet name="RAPPORT" sheetId="70" r:id="rId38"/>
  </sheets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calcPr calcId="191029"/>
  <pivotCaches>
    <pivotCache cacheId="0" r:id="rId48"/>
    <pivotCache cacheId="2" r:id="rId49"/>
    <pivotCache cacheId="7" r:id="rId5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9" i="4" l="1"/>
  <c r="I46" i="4"/>
  <c r="I41" i="4"/>
  <c r="I31" i="4"/>
  <c r="I15" i="4"/>
  <c r="J15" i="36"/>
  <c r="J49" i="36"/>
  <c r="J41" i="36"/>
  <c r="J41" i="9"/>
  <c r="J40" i="9"/>
  <c r="J34" i="9"/>
  <c r="J31" i="9"/>
  <c r="J49" i="9"/>
  <c r="J29" i="9"/>
  <c r="J15" i="9"/>
  <c r="J11" i="9"/>
  <c r="B5" i="17" l="1"/>
  <c r="G4" i="17"/>
  <c r="G3" i="17"/>
  <c r="B5" i="22" l="1"/>
  <c r="E4" i="22"/>
  <c r="E3" i="22"/>
  <c r="B5" i="25" l="1"/>
  <c r="G4" i="25"/>
  <c r="G3" i="25"/>
  <c r="B5" i="36" l="1"/>
  <c r="G4" i="36"/>
  <c r="G3" i="36"/>
  <c r="B5" i="16" l="1"/>
  <c r="E4" i="16"/>
  <c r="E3" i="16"/>
  <c r="B5" i="7" l="1"/>
  <c r="G4" i="7"/>
  <c r="G3" i="7"/>
  <c r="E31" i="23" l="1"/>
  <c r="E34" i="23" s="1"/>
  <c r="E41" i="23" s="1"/>
  <c r="E49" i="23" s="1"/>
  <c r="B5" i="24" l="1"/>
  <c r="G4" i="24"/>
  <c r="G3" i="24"/>
  <c r="H46" i="19" l="1"/>
  <c r="G46" i="19"/>
  <c r="H40" i="19"/>
  <c r="G40" i="19"/>
  <c r="H15" i="19"/>
  <c r="H29" i="19" s="1"/>
  <c r="H31" i="19" s="1"/>
  <c r="H34" i="19" s="1"/>
  <c r="G15" i="19"/>
  <c r="G29" i="19" s="1"/>
  <c r="G31" i="19" s="1"/>
  <c r="G34" i="19" s="1"/>
  <c r="G41" i="19" s="1"/>
  <c r="G49" i="19" s="1"/>
  <c r="H41" i="19" l="1"/>
  <c r="H49" i="19" s="1"/>
  <c r="G28" i="4"/>
  <c r="G29" i="4" s="1"/>
  <c r="G31" i="4" s="1"/>
  <c r="G34" i="4" s="1"/>
  <c r="G35" i="4"/>
  <c r="G40" i="4" s="1"/>
  <c r="B5" i="3" l="1"/>
  <c r="G4" i="3"/>
  <c r="G3" i="3"/>
  <c r="B5" i="2" l="1"/>
  <c r="G4" i="2"/>
  <c r="G3" i="2"/>
  <c r="F46" i="1" l="1"/>
  <c r="E46" i="1"/>
  <c r="F40" i="1"/>
  <c r="E40" i="1"/>
  <c r="F29" i="1"/>
  <c r="F31" i="1" s="1"/>
  <c r="F34" i="1" s="1"/>
  <c r="E29" i="1"/>
  <c r="E31" i="1" s="1"/>
  <c r="E34" i="1" s="1"/>
  <c r="F41" i="1" l="1"/>
  <c r="F49" i="1" s="1"/>
  <c r="E41" i="1"/>
  <c r="E49" i="1" s="1"/>
</calcChain>
</file>

<file path=xl/sharedStrings.xml><?xml version="1.0" encoding="utf-8"?>
<sst xmlns="http://schemas.openxmlformats.org/spreadsheetml/2006/main" count="2984" uniqueCount="220">
  <si>
    <t>COMPTE DE RESULTAT</t>
  </si>
  <si>
    <t>Excercice clos le :</t>
  </si>
  <si>
    <t>Durée en mois :</t>
  </si>
  <si>
    <t>Numéro d'identification :</t>
  </si>
  <si>
    <t>REF</t>
  </si>
  <si>
    <t>LIBELLES</t>
  </si>
  <si>
    <t>NOTE</t>
  </si>
  <si>
    <t>TA</t>
  </si>
  <si>
    <t>Ventes de marchandises                                                                                       A</t>
  </si>
  <si>
    <t>+</t>
  </si>
  <si>
    <t>RA</t>
  </si>
  <si>
    <t>Achats de marchandises</t>
  </si>
  <si>
    <t>-</t>
  </si>
  <si>
    <t>RB</t>
  </si>
  <si>
    <t>Variation de stocks de marchandises</t>
  </si>
  <si>
    <t>-/+</t>
  </si>
  <si>
    <t>XA</t>
  </si>
  <si>
    <t>MARGE BRUTE SUR MARCHANDISES (somme TA à RB)</t>
  </si>
  <si>
    <t>TB</t>
  </si>
  <si>
    <t>Ventes de produits fabriqués                                                                                B</t>
  </si>
  <si>
    <t>TC</t>
  </si>
  <si>
    <t>Travaux, services vendus                                                                                      C</t>
  </si>
  <si>
    <t>TD</t>
  </si>
  <si>
    <t>Produits accessoires                                                                                              D</t>
  </si>
  <si>
    <t>XB</t>
  </si>
  <si>
    <t>CHIFFRE D'AFFAIRES (A + B + C + D)</t>
  </si>
  <si>
    <t>TE</t>
  </si>
  <si>
    <t>Production stockée (ou destockage)</t>
  </si>
  <si>
    <t>TF</t>
  </si>
  <si>
    <t>Production immobilisée</t>
  </si>
  <si>
    <t>TG</t>
  </si>
  <si>
    <t>Subventions d'exploitation</t>
  </si>
  <si>
    <t>TH</t>
  </si>
  <si>
    <t>Autres produits</t>
  </si>
  <si>
    <t>TI</t>
  </si>
  <si>
    <t>Transferts de charges d'exploitation</t>
  </si>
  <si>
    <t>RC</t>
  </si>
  <si>
    <t>Achats de matières premières et fournitures liées</t>
  </si>
  <si>
    <t>RD</t>
  </si>
  <si>
    <t>Variation de stocks de stocks de matières premières et fournitures liées</t>
  </si>
  <si>
    <t>RE</t>
  </si>
  <si>
    <t>Autres achats</t>
  </si>
  <si>
    <t>RF</t>
  </si>
  <si>
    <t>Variation de stocks d'autres approvisionnements</t>
  </si>
  <si>
    <t>RG</t>
  </si>
  <si>
    <t>Transports</t>
  </si>
  <si>
    <t>RH</t>
  </si>
  <si>
    <t>Services extérieurs</t>
  </si>
  <si>
    <t>RI</t>
  </si>
  <si>
    <t>Impôts et taxes</t>
  </si>
  <si>
    <t>RJ</t>
  </si>
  <si>
    <t>Autres charges</t>
  </si>
  <si>
    <t>XC</t>
  </si>
  <si>
    <t>VALEUR AJOUTEE (XB + RA + RB) + (somme TE à RJ)</t>
  </si>
  <si>
    <t>RK</t>
  </si>
  <si>
    <t>Charges de personnel</t>
  </si>
  <si>
    <t>XD</t>
  </si>
  <si>
    <t>EXCEDENT BRUT D'EXPLOITATION (XC + RK)</t>
  </si>
  <si>
    <t>TJ</t>
  </si>
  <si>
    <t>Reprises d'amortissements, provisions et dépréciations</t>
  </si>
  <si>
    <t>RL</t>
  </si>
  <si>
    <t>Dotations aux amortissements, aux provisions et dépréciations</t>
  </si>
  <si>
    <t>3C &amp; 28</t>
  </si>
  <si>
    <t>XE</t>
  </si>
  <si>
    <t>RESULTAT D'EXPLOITATION (XD + TJ + RL)</t>
  </si>
  <si>
    <t>TK</t>
  </si>
  <si>
    <t>Revenus financiers et assimilés</t>
  </si>
  <si>
    <t>TL</t>
  </si>
  <si>
    <t>Reprises de provisions et dépréciations financières</t>
  </si>
  <si>
    <t>TM</t>
  </si>
  <si>
    <t>Tranferts de charges financières</t>
  </si>
  <si>
    <t>RM</t>
  </si>
  <si>
    <t>Frais financiers et charges assimilées</t>
  </si>
  <si>
    <t>RN</t>
  </si>
  <si>
    <t>Dotations aux provisions et aux dépréciations financières</t>
  </si>
  <si>
    <t>XF</t>
  </si>
  <si>
    <t>RESULTAT FINANCIER (somme TK à RN)</t>
  </si>
  <si>
    <t>XG</t>
  </si>
  <si>
    <t>RESULTAT DES ACTIVITES ORDINAIRES (XE + XF)</t>
  </si>
  <si>
    <t>TN</t>
  </si>
  <si>
    <t>Produits des cessions d'immobilisations</t>
  </si>
  <si>
    <t>3D</t>
  </si>
  <si>
    <t>TO</t>
  </si>
  <si>
    <t>Autres produits H.A.O.</t>
  </si>
  <si>
    <t>RO</t>
  </si>
  <si>
    <t>Valeurs comptables des cessions d'immobilisations</t>
  </si>
  <si>
    <t>RP</t>
  </si>
  <si>
    <t>Autres charges H.A.O.</t>
  </si>
  <si>
    <t>XH</t>
  </si>
  <si>
    <t>RESULTAT HORS ACTIVITES ORDINAIRES (somme TN à RP)</t>
  </si>
  <si>
    <t>RQ</t>
  </si>
  <si>
    <t>Participation des travailleurs</t>
  </si>
  <si>
    <t>RS</t>
  </si>
  <si>
    <t>Impôts sur le résultat</t>
  </si>
  <si>
    <t>XI</t>
  </si>
  <si>
    <t>RESULTAT NET (XG + XH + RQ + RS)</t>
  </si>
  <si>
    <t>Désignation entité :</t>
  </si>
  <si>
    <t>Désignation entité :Sabodala Gold Operations S.A</t>
  </si>
  <si>
    <t>Variation de stocks</t>
  </si>
  <si>
    <t>Transferts de charges</t>
  </si>
  <si>
    <t>Reprises d'amortissements</t>
  </si>
  <si>
    <t>Tranfert de charges financières</t>
  </si>
  <si>
    <t>Charges H.A.O.</t>
  </si>
  <si>
    <t>Participations des travailleurs</t>
  </si>
  <si>
    <t>31/12/2022</t>
  </si>
  <si>
    <t>G-PHOS</t>
  </si>
  <si>
    <t>004716033 2V3</t>
  </si>
  <si>
    <t>2024</t>
  </si>
  <si>
    <t>2023</t>
  </si>
  <si>
    <t>2022</t>
  </si>
  <si>
    <t>2021</t>
  </si>
  <si>
    <t>31/12/2024</t>
  </si>
  <si>
    <t>SEPHOS SENEGAL SA</t>
  </si>
  <si>
    <t>004013041</t>
  </si>
  <si>
    <t>SOCIETES DES PETROLES DU SENEGAL D'EXPLORATION ET DE PRODUCTION - SA</t>
  </si>
  <si>
    <t>007644736</t>
  </si>
  <si>
    <t>INDUSTRIES CHIMIQUES DU SENEGAL</t>
  </si>
  <si>
    <t>SOCIETE SENEGALAISE DES PHOSPHATES DE THIES</t>
  </si>
  <si>
    <t>LES CIMENTS DU SAHEL SA</t>
  </si>
  <si>
    <t>BAOBAB MINING AND CHEMICALS CORPORATION SA</t>
  </si>
  <si>
    <t>004408622 2C2</t>
  </si>
  <si>
    <t>Désignation entité : AGEM SENEGAL EXPLORATION</t>
  </si>
  <si>
    <t>2 632 606 203</t>
  </si>
  <si>
    <t>4 210 516 843</t>
  </si>
  <si>
    <t>528 007 820</t>
  </si>
  <si>
    <t>-2 027 516 927</t>
  </si>
  <si>
    <t>-1 578 483 958</t>
  </si>
  <si>
    <t>-1 109 412 557</t>
  </si>
  <si>
    <t>-4 603 901 932</t>
  </si>
  <si>
    <t>-255 012 459</t>
  </si>
  <si>
    <t>-190 774 588</t>
  </si>
  <si>
    <t>-2 394 225 092</t>
  </si>
  <si>
    <t>-190 367 729</t>
  </si>
  <si>
    <t>-2 584 592 821</t>
  </si>
  <si>
    <t>-1 691 689 997</t>
  </si>
  <si>
    <t>-4 276 282 818</t>
  </si>
  <si>
    <t>520 895 424</t>
  </si>
  <si>
    <t>-468 544 971</t>
  </si>
  <si>
    <t>52 350 453</t>
  </si>
  <si>
    <t>-4 223 932 365</t>
  </si>
  <si>
    <t>4 220 658 894</t>
  </si>
  <si>
    <t>-4 138 938 844</t>
  </si>
  <si>
    <t>81 720 050</t>
  </si>
  <si>
    <t>-4 142 212 315</t>
  </si>
  <si>
    <t>-253 738</t>
  </si>
  <si>
    <t>81 622 116 701</t>
  </si>
  <si>
    <t>1 309 928 679</t>
  </si>
  <si>
    <t>48 410 439</t>
  </si>
  <si>
    <t>82 980 455 719</t>
  </si>
  <si>
    <t>-3 622 251 761</t>
  </si>
  <si>
    <t>63 169 683</t>
  </si>
  <si>
    <t>-23 522 521 477</t>
  </si>
  <si>
    <t>-753 888 790</t>
  </si>
  <si>
    <t>-17 850 546 356</t>
  </si>
  <si>
    <t>2 688 836 106</t>
  </si>
  <si>
    <t>-124 853 371</t>
  </si>
  <si>
    <t>-4 147 008 531</t>
  </si>
  <si>
    <t>-203 418 554</t>
  </si>
  <si>
    <t>-253 581 515</t>
  </si>
  <si>
    <t>35 254 390 163</t>
  </si>
  <si>
    <t>-8 242 359 010</t>
  </si>
  <si>
    <t>27 012 031 243</t>
  </si>
  <si>
    <t>104 152 219</t>
  </si>
  <si>
    <t>5 455 153 284</t>
  </si>
  <si>
    <t>-9 886 568 856</t>
  </si>
  <si>
    <t>-8 099 280</t>
  </si>
  <si>
    <t>4 895 547 928</t>
  </si>
  <si>
    <t>14 713 048 916</t>
  </si>
  <si>
    <t>19 048 895 549</t>
  </si>
  <si>
    <t>WOODSIDE</t>
  </si>
  <si>
    <t>TOTAL E&amp;P</t>
  </si>
  <si>
    <t>KOSMOS</t>
  </si>
  <si>
    <t>SOMIVA</t>
  </si>
  <si>
    <t>BARRICK GOLD</t>
  </si>
  <si>
    <t>SMC</t>
  </si>
  <si>
    <t>AIG</t>
  </si>
  <si>
    <t>SORED</t>
  </si>
  <si>
    <t>CAPRICORN</t>
  </si>
  <si>
    <t>MIFERSO</t>
  </si>
  <si>
    <t>ORANTO</t>
  </si>
  <si>
    <t>SGO</t>
  </si>
  <si>
    <t>PMC</t>
  </si>
  <si>
    <t>GCO</t>
  </si>
  <si>
    <t>GPHOS</t>
  </si>
  <si>
    <t>CSE</t>
  </si>
  <si>
    <t>SOCOCIM</t>
  </si>
  <si>
    <t>BP SENEGAL</t>
  </si>
  <si>
    <t>ICS</t>
  </si>
  <si>
    <t>IAMGOLD</t>
  </si>
  <si>
    <t>BMCC</t>
  </si>
  <si>
    <t>DANGOTE</t>
  </si>
  <si>
    <t>CDS</t>
  </si>
  <si>
    <t>SSPT</t>
  </si>
  <si>
    <t>AGEM</t>
  </si>
  <si>
    <t>COGECA</t>
  </si>
  <si>
    <t>SEPHOS</t>
  </si>
  <si>
    <t>PETROSEN</t>
  </si>
  <si>
    <t>TALIX MINES</t>
  </si>
  <si>
    <t>GECAMINES</t>
  </si>
  <si>
    <t>FORTESA</t>
  </si>
  <si>
    <t>Entreprise</t>
  </si>
  <si>
    <t>CA</t>
  </si>
  <si>
    <t>Annee</t>
  </si>
  <si>
    <t>Étiquettes de lignes</t>
  </si>
  <si>
    <t>Total général</t>
  </si>
  <si>
    <t>Étiquettes de colonnes</t>
  </si>
  <si>
    <t>CA Total</t>
  </si>
  <si>
    <t>Total Chriffre d'affaires</t>
  </si>
  <si>
    <t>Chriffre d'affaires</t>
  </si>
  <si>
    <t>Total Résultat net</t>
  </si>
  <si>
    <t>Résultat net</t>
  </si>
  <si>
    <t>Chiffre d'affaires</t>
  </si>
  <si>
    <t>Résultat Net</t>
  </si>
  <si>
    <t>Feuil16</t>
  </si>
  <si>
    <t>Feuil1</t>
  </si>
  <si>
    <t>Feuil2</t>
  </si>
  <si>
    <t>BASE</t>
  </si>
  <si>
    <t>TCD</t>
  </si>
  <si>
    <t>Feuil</t>
  </si>
  <si>
    <t>Somme de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</si>
</sst>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\ _F"/>
    <numFmt numFmtId="165" formatCode="_ * #,##0_)\ _$_ ;_ * \(#,##0\)\ _$_ ;_ * &quot;-&quot;??_)\ _$_ ;_ @_ "/>
    <numFmt numFmtId="166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mbria"/>
      <family val="1"/>
    </font>
    <font>
      <sz val="10"/>
      <name val="Cambria"/>
      <family val="1"/>
    </font>
    <font>
      <b/>
      <sz val="10"/>
      <color theme="0"/>
      <name val="Cambria"/>
      <family val="1"/>
    </font>
    <font>
      <sz val="10"/>
      <color theme="1"/>
      <name val="Cambria"/>
      <family val="1"/>
    </font>
    <font>
      <b/>
      <sz val="10"/>
      <color rgb="FFFF0000"/>
      <name val="Cambria"/>
      <family val="1"/>
    </font>
    <font>
      <sz val="10"/>
      <color indexed="0"/>
      <name val="Cambria"/>
      <family val="1"/>
    </font>
    <font>
      <b/>
      <sz val="10"/>
      <color indexed="1"/>
      <name val="Cambria"/>
      <family val="1"/>
    </font>
    <font>
      <b/>
      <sz val="10"/>
      <color indexed="0"/>
      <name val="Cambria"/>
      <family val="1"/>
    </font>
    <font>
      <sz val="11"/>
      <color theme="1"/>
      <name val="Calibri"/>
      <family val="2"/>
    </font>
    <font>
      <b/>
      <sz val="10"/>
      <color indexed="2"/>
      <name val="Cambria"/>
      <family val="1"/>
    </font>
    <font>
      <b/>
      <sz val="14"/>
      <color theme="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sz val="10"/>
      <name val="CG Times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2"/>
      </patternFill>
    </fill>
    <fill>
      <patternFill patternType="solid">
        <fgColor theme="9" tint="0.59996337778862885"/>
        <bgColor indexed="64"/>
      </patternFill>
    </fill>
    <fill>
      <patternFill patternType="solid">
        <fgColor indexed="11"/>
      </patternFill>
    </fill>
    <fill>
      <patternFill patternType="solid">
        <fgColor indexed="13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13" fillId="0" borderId="0" applyAlignment="0" applyProtection="0"/>
    <xf numFmtId="0" fontId="13" fillId="0" borderId="0" applyAlignment="0" applyProtection="0"/>
    <xf numFmtId="0" fontId="13" fillId="0" borderId="0" applyAlignment="0" applyProtection="0"/>
    <xf numFmtId="0" fontId="13" fillId="0" borderId="0" applyAlignment="0" applyProtection="0"/>
    <xf numFmtId="0" fontId="1" fillId="0" borderId="0"/>
    <xf numFmtId="0" fontId="19" fillId="0" borderId="0"/>
  </cellStyleXfs>
  <cellXfs count="155">
    <xf numFmtId="0" fontId="0" fillId="0" borderId="0" xfId="0"/>
    <xf numFmtId="0" fontId="3" fillId="0" borderId="0" xfId="1" applyFont="1" applyProtection="1">
      <protection locked="0" hidden="1"/>
    </xf>
    <xf numFmtId="164" fontId="3" fillId="0" borderId="0" xfId="1" applyNumberFormat="1" applyFont="1" applyProtection="1">
      <protection locked="0"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3" fillId="0" borderId="0" xfId="1" applyFont="1" applyAlignment="1" applyProtection="1">
      <alignment vertical="center" wrapText="1"/>
      <protection locked="0" hidden="1"/>
    </xf>
    <xf numFmtId="0" fontId="5" fillId="2" borderId="4" xfId="0" applyFont="1" applyFill="1" applyBorder="1" applyAlignment="1" applyProtection="1">
      <alignment horizontal="center" vertical="center" wrapText="1"/>
      <protection hidden="1"/>
    </xf>
    <xf numFmtId="0" fontId="5" fillId="2" borderId="4" xfId="0" applyFont="1" applyFill="1" applyBorder="1" applyAlignment="1" applyProtection="1">
      <alignment vertical="center" wrapText="1"/>
      <protection hidden="1"/>
    </xf>
    <xf numFmtId="3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vertical="center"/>
      <protection hidden="1"/>
    </xf>
    <xf numFmtId="3" fontId="6" fillId="0" borderId="5" xfId="0" applyNumberFormat="1" applyFont="1" applyBorder="1" applyAlignment="1" applyProtection="1">
      <alignment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vertical="center"/>
      <protection hidden="1"/>
    </xf>
    <xf numFmtId="3" fontId="6" fillId="0" borderId="6" xfId="0" applyNumberFormat="1" applyFont="1" applyBorder="1" applyAlignment="1" applyProtection="1">
      <alignment vertical="center"/>
      <protection hidden="1"/>
    </xf>
    <xf numFmtId="0" fontId="6" fillId="0" borderId="6" xfId="0" quotePrefix="1" applyFont="1" applyBorder="1" applyAlignment="1" applyProtection="1">
      <alignment vertical="center"/>
      <protection hidden="1"/>
    </xf>
    <xf numFmtId="0" fontId="6" fillId="0" borderId="6" xfId="0" quotePrefix="1" applyFont="1" applyBorder="1" applyAlignment="1" applyProtection="1">
      <alignment horizontal="center" vertical="center"/>
      <protection hidden="1"/>
    </xf>
    <xf numFmtId="0" fontId="7" fillId="2" borderId="6" xfId="0" applyFont="1" applyFill="1" applyBorder="1" applyAlignment="1" applyProtection="1">
      <alignment horizontal="center" vertical="center"/>
      <protection hidden="1"/>
    </xf>
    <xf numFmtId="0" fontId="7" fillId="2" borderId="6" xfId="0" applyFont="1" applyFill="1" applyBorder="1" applyAlignment="1" applyProtection="1">
      <alignment vertical="center"/>
      <protection hidden="1"/>
    </xf>
    <xf numFmtId="3" fontId="7" fillId="2" borderId="6" xfId="0" applyNumberFormat="1" applyFont="1" applyFill="1" applyBorder="1" applyAlignment="1" applyProtection="1">
      <alignment vertical="center"/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vertical="center"/>
      <protection hidden="1"/>
    </xf>
    <xf numFmtId="3" fontId="9" fillId="0" borderId="6" xfId="0" applyNumberFormat="1" applyFont="1" applyBorder="1" applyAlignment="1" applyProtection="1">
      <alignment vertical="center"/>
      <protection hidden="1"/>
    </xf>
    <xf numFmtId="0" fontId="5" fillId="3" borderId="6" xfId="0" applyFont="1" applyFill="1" applyBorder="1" applyAlignment="1" applyProtection="1">
      <alignment horizontal="center" vertical="center"/>
      <protection hidden="1"/>
    </xf>
    <xf numFmtId="0" fontId="5" fillId="3" borderId="6" xfId="0" applyFont="1" applyFill="1" applyBorder="1" applyAlignment="1" applyProtection="1">
      <alignment vertical="center"/>
      <protection hidden="1"/>
    </xf>
    <xf numFmtId="3" fontId="5" fillId="3" borderId="6" xfId="0" applyNumberFormat="1" applyFont="1" applyFill="1" applyBorder="1" applyAlignment="1" applyProtection="1">
      <alignment vertical="center"/>
      <protection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3" fontId="6" fillId="0" borderId="0" xfId="0" applyNumberFormat="1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vertical="center"/>
      <protection hidden="1"/>
    </xf>
    <xf numFmtId="3" fontId="6" fillId="0" borderId="0" xfId="0" applyNumberFormat="1" applyFont="1" applyAlignment="1" applyProtection="1">
      <alignment vertical="center"/>
      <protection hidden="1"/>
    </xf>
    <xf numFmtId="3" fontId="5" fillId="0" borderId="6" xfId="0" applyNumberFormat="1" applyFont="1" applyBorder="1" applyAlignment="1" applyProtection="1">
      <alignment vertical="center"/>
      <protection hidden="1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3" fontId="5" fillId="2" borderId="4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3" fontId="10" fillId="0" borderId="6" xfId="0" applyNumberFormat="1" applyFont="1" applyBorder="1" applyAlignment="1">
      <alignment horizontal="right" vertical="center"/>
    </xf>
    <xf numFmtId="0" fontId="6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6" xfId="0" quotePrefix="1" applyFont="1" applyBorder="1" applyAlignment="1">
      <alignment vertical="center"/>
    </xf>
    <xf numFmtId="0" fontId="6" fillId="0" borderId="6" xfId="0" quotePrefix="1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vertical="center"/>
    </xf>
    <xf numFmtId="3" fontId="11" fillId="4" borderId="6" xfId="0" applyNumberFormat="1" applyFont="1" applyFill="1" applyBorder="1" applyAlignment="1">
      <alignment horizontal="right" vertical="center"/>
    </xf>
    <xf numFmtId="3" fontId="6" fillId="0" borderId="6" xfId="0" applyNumberFormat="1" applyFont="1" applyBorder="1" applyAlignment="1">
      <alignment horizontal="right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vertical="center"/>
    </xf>
    <xf numFmtId="3" fontId="12" fillId="6" borderId="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3" fontId="11" fillId="7" borderId="6" xfId="0" applyNumberFormat="1" applyFont="1" applyFill="1" applyBorder="1" applyAlignment="1">
      <alignment horizontal="right" vertical="center"/>
    </xf>
    <xf numFmtId="3" fontId="12" fillId="4" borderId="6" xfId="0" applyNumberFormat="1" applyFont="1" applyFill="1" applyBorder="1" applyAlignment="1">
      <alignment horizontal="right" vertical="center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vertical="center"/>
      <protection hidden="1"/>
    </xf>
    <xf numFmtId="3" fontId="6" fillId="0" borderId="6" xfId="0" applyNumberFormat="1" applyFont="1" applyBorder="1" applyAlignment="1" applyProtection="1">
      <alignment horizontal="center" vertical="center"/>
      <protection hidden="1"/>
    </xf>
    <xf numFmtId="3" fontId="7" fillId="2" borderId="6" xfId="0" applyNumberFormat="1" applyFont="1" applyFill="1" applyBorder="1" applyAlignment="1" applyProtection="1">
      <alignment horizontal="center" vertical="center"/>
      <protection hidden="1"/>
    </xf>
    <xf numFmtId="3" fontId="8" fillId="0" borderId="6" xfId="0" applyNumberFormat="1" applyFont="1" applyBorder="1" applyAlignment="1" applyProtection="1">
      <alignment horizontal="center" vertical="center"/>
      <protection hidden="1"/>
    </xf>
    <xf numFmtId="3" fontId="5" fillId="3" borderId="6" xfId="0" applyNumberFormat="1" applyFont="1" applyFill="1" applyBorder="1" applyAlignment="1" applyProtection="1">
      <alignment horizontal="center" vertical="center"/>
      <protection hidden="1"/>
    </xf>
    <xf numFmtId="0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165" fontId="10" fillId="0" borderId="6" xfId="2" applyNumberFormat="1" applyFont="1" applyBorder="1" applyAlignment="1" applyProtection="1">
      <alignment horizontal="right" vertical="center"/>
    </xf>
    <xf numFmtId="165" fontId="11" fillId="7" borderId="6" xfId="2" applyNumberFormat="1" applyFont="1" applyFill="1" applyBorder="1" applyAlignment="1" applyProtection="1">
      <alignment horizontal="right" vertical="center"/>
    </xf>
    <xf numFmtId="0" fontId="8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165" fontId="14" fillId="0" borderId="6" xfId="2" applyNumberFormat="1" applyFont="1" applyBorder="1" applyAlignment="1" applyProtection="1">
      <alignment horizontal="right" vertical="center"/>
    </xf>
    <xf numFmtId="165" fontId="12" fillId="4" borderId="6" xfId="2" applyNumberFormat="1" applyFont="1" applyFill="1" applyBorder="1" applyAlignment="1" applyProtection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49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49" fontId="5" fillId="2" borderId="4" xfId="0" applyNumberFormat="1" applyFont="1" applyFill="1" applyBorder="1" applyAlignment="1" applyProtection="1">
      <alignment vertical="center" wrapText="1"/>
      <protection hidden="1"/>
    </xf>
    <xf numFmtId="49" fontId="6" fillId="0" borderId="5" xfId="0" applyNumberFormat="1" applyFont="1" applyBorder="1" applyAlignment="1" applyProtection="1">
      <alignment horizontal="center" vertical="center"/>
      <protection hidden="1"/>
    </xf>
    <xf numFmtId="49" fontId="6" fillId="0" borderId="5" xfId="0" applyNumberFormat="1" applyFont="1" applyBorder="1" applyAlignment="1" applyProtection="1">
      <alignment vertical="center"/>
      <protection hidden="1"/>
    </xf>
    <xf numFmtId="49" fontId="6" fillId="0" borderId="6" xfId="0" applyNumberFormat="1" applyFont="1" applyBorder="1" applyAlignment="1" applyProtection="1">
      <alignment horizontal="center" vertical="center"/>
      <protection hidden="1"/>
    </xf>
    <xf numFmtId="49" fontId="6" fillId="0" borderId="6" xfId="0" applyNumberFormat="1" applyFont="1" applyBorder="1" applyAlignment="1" applyProtection="1">
      <alignment vertical="center"/>
      <protection hidden="1"/>
    </xf>
    <xf numFmtId="49" fontId="6" fillId="0" borderId="6" xfId="0" quotePrefix="1" applyNumberFormat="1" applyFont="1" applyBorder="1" applyAlignment="1" applyProtection="1">
      <alignment vertical="center"/>
      <protection hidden="1"/>
    </xf>
    <xf numFmtId="49" fontId="6" fillId="0" borderId="6" xfId="0" quotePrefix="1" applyNumberFormat="1" applyFont="1" applyBorder="1" applyAlignment="1" applyProtection="1">
      <alignment horizontal="center" vertical="center"/>
      <protection hidden="1"/>
    </xf>
    <xf numFmtId="49" fontId="7" fillId="2" borderId="6" xfId="0" applyNumberFormat="1" applyFont="1" applyFill="1" applyBorder="1" applyAlignment="1" applyProtection="1">
      <alignment horizontal="center" vertical="center"/>
      <protection hidden="1"/>
    </xf>
    <xf numFmtId="49" fontId="7" fillId="2" borderId="6" xfId="0" applyNumberFormat="1" applyFont="1" applyFill="1" applyBorder="1" applyAlignment="1" applyProtection="1">
      <alignment vertical="center"/>
      <protection hidden="1"/>
    </xf>
    <xf numFmtId="49" fontId="9" fillId="0" borderId="6" xfId="0" applyNumberFormat="1" applyFont="1" applyBorder="1" applyAlignment="1" applyProtection="1">
      <alignment horizontal="center" vertical="center"/>
      <protection hidden="1"/>
    </xf>
    <xf numFmtId="49" fontId="9" fillId="0" borderId="6" xfId="0" applyNumberFormat="1" applyFont="1" applyBorder="1" applyAlignment="1" applyProtection="1">
      <alignment vertical="center"/>
      <protection hidden="1"/>
    </xf>
    <xf numFmtId="49" fontId="5" fillId="3" borderId="6" xfId="0" applyNumberFormat="1" applyFont="1" applyFill="1" applyBorder="1" applyAlignment="1" applyProtection="1">
      <alignment horizontal="center" vertical="center"/>
      <protection hidden="1"/>
    </xf>
    <xf numFmtId="49" fontId="5" fillId="3" borderId="6" xfId="0" applyNumberFormat="1" applyFont="1" applyFill="1" applyBorder="1" applyAlignment="1" applyProtection="1">
      <alignment vertical="center"/>
      <protection hidden="1"/>
    </xf>
    <xf numFmtId="0" fontId="16" fillId="0" borderId="0" xfId="3" applyFont="1" applyProtection="1"/>
    <xf numFmtId="164" fontId="16" fillId="0" borderId="0" xfId="3" applyNumberFormat="1" applyFont="1" applyProtection="1"/>
    <xf numFmtId="0" fontId="16" fillId="0" borderId="0" xfId="3" applyFont="1" applyAlignment="1" applyProtection="1">
      <alignment vertical="center" wrapText="1"/>
    </xf>
    <xf numFmtId="0" fontId="16" fillId="0" borderId="0" xfId="3" applyFont="1" applyAlignment="1" applyProtection="1">
      <alignment horizontal="center" vertical="center"/>
    </xf>
    <xf numFmtId="3" fontId="6" fillId="0" borderId="9" xfId="0" applyNumberFormat="1" applyFont="1" applyBorder="1" applyAlignment="1" applyProtection="1">
      <alignment vertical="center"/>
      <protection hidden="1"/>
    </xf>
    <xf numFmtId="0" fontId="0" fillId="0" borderId="0" xfId="0" applyAlignment="1">
      <alignment vertical="center" wrapText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166" fontId="8" fillId="0" borderId="6" xfId="2" applyNumberFormat="1" applyFont="1" applyBorder="1" applyAlignment="1" applyProtection="1">
      <alignment horizontal="center" vertical="center"/>
      <protection hidden="1"/>
    </xf>
    <xf numFmtId="166" fontId="0" fillId="0" borderId="0" xfId="2" applyNumberFormat="1" applyFont="1"/>
    <xf numFmtId="0" fontId="0" fillId="0" borderId="0" xfId="0" applyAlignment="1">
      <alignment horizontal="left"/>
    </xf>
    <xf numFmtId="3" fontId="5" fillId="2" borderId="0" xfId="0" applyNumberFormat="1" applyFont="1" applyFill="1" applyBorder="1" applyAlignment="1" applyProtection="1">
      <alignment horizontal="center" vertical="center" wrapText="1"/>
      <protection hidden="1"/>
    </xf>
    <xf numFmtId="3" fontId="6" fillId="0" borderId="0" xfId="0" applyNumberFormat="1" applyFont="1" applyBorder="1" applyAlignment="1" applyProtection="1">
      <alignment vertical="center"/>
      <protection hidden="1"/>
    </xf>
    <xf numFmtId="3" fontId="7" fillId="2" borderId="0" xfId="0" applyNumberFormat="1" applyFont="1" applyFill="1" applyBorder="1" applyAlignment="1" applyProtection="1">
      <alignment vertical="center"/>
      <protection hidden="1"/>
    </xf>
    <xf numFmtId="3" fontId="9" fillId="0" borderId="0" xfId="0" applyNumberFormat="1" applyFont="1" applyBorder="1" applyAlignment="1" applyProtection="1">
      <alignment vertical="center"/>
      <protection hidden="1"/>
    </xf>
    <xf numFmtId="3" fontId="5" fillId="3" borderId="0" xfId="0" applyNumberFormat="1" applyFont="1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7" fillId="2" borderId="0" xfId="0" applyFont="1" applyFill="1" applyBorder="1" applyAlignment="1" applyProtection="1">
      <alignment vertical="center"/>
      <protection hidden="1"/>
    </xf>
    <xf numFmtId="3" fontId="0" fillId="0" borderId="0" xfId="0" applyNumberFormat="1"/>
    <xf numFmtId="0" fontId="3" fillId="0" borderId="0" xfId="1" applyNumberFormat="1" applyFont="1" applyProtection="1">
      <protection locked="0" hidden="1"/>
    </xf>
    <xf numFmtId="0" fontId="6" fillId="0" borderId="0" xfId="0" applyNumberFormat="1" applyFont="1" applyAlignment="1" applyProtection="1">
      <alignment vertical="center" wrapText="1"/>
      <protection hidden="1"/>
    </xf>
    <xf numFmtId="0" fontId="6" fillId="0" borderId="0" xfId="0" applyNumberFormat="1" applyFont="1" applyAlignment="1" applyProtection="1">
      <alignment vertical="center"/>
      <protection hidden="1"/>
    </xf>
    <xf numFmtId="166" fontId="6" fillId="0" borderId="5" xfId="2" applyNumberFormat="1" applyFont="1" applyBorder="1" applyAlignment="1" applyProtection="1">
      <alignment vertical="center"/>
      <protection hidden="1"/>
    </xf>
    <xf numFmtId="166" fontId="6" fillId="0" borderId="6" xfId="2" applyNumberFormat="1" applyFont="1" applyBorder="1" applyAlignment="1" applyProtection="1">
      <alignment vertical="center"/>
      <protection hidden="1"/>
    </xf>
    <xf numFmtId="166" fontId="7" fillId="2" borderId="6" xfId="2" applyNumberFormat="1" applyFont="1" applyFill="1" applyBorder="1" applyAlignment="1" applyProtection="1">
      <alignment vertical="center"/>
      <protection hidden="1"/>
    </xf>
    <xf numFmtId="166" fontId="9" fillId="0" borderId="6" xfId="2" applyNumberFormat="1" applyFont="1" applyBorder="1" applyAlignment="1" applyProtection="1">
      <alignment vertical="center"/>
      <protection hidden="1"/>
    </xf>
    <xf numFmtId="166" fontId="5" fillId="3" borderId="6" xfId="2" applyNumberFormat="1" applyFont="1" applyFill="1" applyBorder="1" applyAlignment="1" applyProtection="1">
      <alignment vertical="center"/>
      <protection hidden="1"/>
    </xf>
    <xf numFmtId="166" fontId="6" fillId="0" borderId="0" xfId="0" applyNumberFormat="1" applyFont="1" applyAlignment="1" applyProtection="1">
      <alignment vertical="center"/>
      <protection hidden="1"/>
    </xf>
    <xf numFmtId="166" fontId="2" fillId="2" borderId="0" xfId="2" applyNumberFormat="1" applyFont="1" applyFill="1" applyAlignment="1" applyProtection="1">
      <alignment horizontal="center" vertical="center"/>
      <protection locked="0" hidden="1"/>
    </xf>
    <xf numFmtId="166" fontId="3" fillId="0" borderId="0" xfId="2" applyNumberFormat="1" applyFont="1" applyProtection="1">
      <protection locked="0" hidden="1"/>
    </xf>
    <xf numFmtId="166" fontId="4" fillId="0" borderId="0" xfId="2" applyNumberFormat="1" applyFont="1" applyBorder="1" applyAlignment="1" applyProtection="1">
      <alignment horizontal="center" vertical="center"/>
      <protection hidden="1"/>
    </xf>
    <xf numFmtId="166" fontId="5" fillId="2" borderId="0" xfId="2" applyNumberFormat="1" applyFont="1" applyFill="1" applyBorder="1" applyAlignment="1" applyProtection="1">
      <alignment horizontal="center" vertical="center" wrapText="1"/>
      <protection hidden="1"/>
    </xf>
    <xf numFmtId="166" fontId="6" fillId="0" borderId="0" xfId="2" applyNumberFormat="1" applyFont="1" applyBorder="1" applyAlignment="1" applyProtection="1">
      <alignment vertical="center"/>
      <protection hidden="1"/>
    </xf>
    <xf numFmtId="166" fontId="7" fillId="2" borderId="0" xfId="2" applyNumberFormat="1" applyFont="1" applyFill="1" applyBorder="1" applyAlignment="1" applyProtection="1">
      <alignment vertical="center"/>
      <protection hidden="1"/>
    </xf>
    <xf numFmtId="166" fontId="0" fillId="0" borderId="0" xfId="2" applyNumberFormat="1" applyFont="1" applyAlignment="1">
      <alignment vertical="center" wrapText="1"/>
    </xf>
    <xf numFmtId="166" fontId="9" fillId="0" borderId="0" xfId="2" applyNumberFormat="1" applyFont="1" applyBorder="1" applyAlignment="1" applyProtection="1">
      <alignment vertical="center"/>
      <protection hidden="1"/>
    </xf>
    <xf numFmtId="166" fontId="5" fillId="3" borderId="0" xfId="2" applyNumberFormat="1" applyFont="1" applyFill="1" applyBorder="1" applyAlignment="1" applyProtection="1">
      <alignment vertical="center"/>
      <protection hidden="1"/>
    </xf>
    <xf numFmtId="166" fontId="6" fillId="0" borderId="0" xfId="2" applyNumberFormat="1" applyFont="1" applyAlignment="1" applyProtection="1">
      <alignment vertical="center" wrapText="1"/>
      <protection hidden="1"/>
    </xf>
    <xf numFmtId="166" fontId="6" fillId="0" borderId="0" xfId="2" applyNumberFormat="1" applyFont="1" applyAlignment="1" applyProtection="1">
      <alignment vertical="center"/>
      <protection hidden="1"/>
    </xf>
    <xf numFmtId="0" fontId="0" fillId="0" borderId="0" xfId="0" pivotButton="1"/>
    <xf numFmtId="166" fontId="0" fillId="0" borderId="0" xfId="0" applyNumberFormat="1"/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right"/>
    </xf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2" pivotButton="1" applyNumberFormat="1" applyFont="1"/>
    <xf numFmtId="166" fontId="0" fillId="0" borderId="0" xfId="2" applyNumberFormat="1" applyFont="1" applyAlignment="1">
      <alignment horizontal="left"/>
    </xf>
    <xf numFmtId="0" fontId="2" fillId="2" borderId="0" xfId="1" applyFont="1" applyFill="1" applyAlignment="1" applyProtection="1">
      <alignment horizontal="center" vertical="center"/>
      <protection locked="0" hidden="1"/>
    </xf>
    <xf numFmtId="0" fontId="3" fillId="0" borderId="0" xfId="1" applyFont="1" applyAlignment="1" applyProtection="1">
      <alignment horizontal="left"/>
      <protection locked="0" hidden="1"/>
    </xf>
    <xf numFmtId="14" fontId="4" fillId="0" borderId="1" xfId="1" applyNumberFormat="1" applyFont="1" applyBorder="1" applyAlignment="1" applyProtection="1">
      <alignment horizontal="center" vertical="center"/>
      <protection hidden="1"/>
    </xf>
    <xf numFmtId="0" fontId="4" fillId="0" borderId="1" xfId="1" applyFont="1" applyBorder="1" applyAlignment="1" applyProtection="1">
      <alignment horizontal="center" vertical="center"/>
      <protection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4" fillId="0" borderId="2" xfId="1" applyFont="1" applyBorder="1" applyAlignment="1" applyProtection="1">
      <alignment horizontal="center" vertical="center"/>
      <protection hidden="1"/>
    </xf>
    <xf numFmtId="0" fontId="4" fillId="0" borderId="3" xfId="1" applyFont="1" applyBorder="1" applyAlignment="1" applyProtection="1">
      <alignment horizontal="center" vertical="center"/>
      <protection hidden="1"/>
    </xf>
    <xf numFmtId="1" fontId="4" fillId="0" borderId="1" xfId="1" applyNumberFormat="1" applyFont="1" applyBorder="1" applyAlignment="1" applyProtection="1">
      <alignment horizontal="center" vertical="center"/>
      <protection hidden="1"/>
    </xf>
    <xf numFmtId="0" fontId="15" fillId="2" borderId="0" xfId="3" applyFont="1" applyFill="1" applyAlignment="1" applyProtection="1">
      <alignment horizontal="center" vertical="center"/>
    </xf>
    <xf numFmtId="0" fontId="16" fillId="0" borderId="0" xfId="3" applyFont="1" applyAlignment="1" applyProtection="1">
      <alignment horizontal="left"/>
    </xf>
    <xf numFmtId="14" fontId="18" fillId="0" borderId="7" xfId="0" applyNumberFormat="1" applyFont="1" applyBorder="1" applyAlignment="1">
      <alignment horizontal="center" vertical="center"/>
    </xf>
    <xf numFmtId="0" fontId="17" fillId="0" borderId="1" xfId="3" applyFont="1" applyBorder="1" applyAlignment="1" applyProtection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6" fillId="0" borderId="0" xfId="3" applyFont="1" applyAlignment="1" applyProtection="1">
      <alignment horizontal="center" vertical="center"/>
    </xf>
    <xf numFmtId="0" fontId="17" fillId="0" borderId="2" xfId="3" applyFont="1" applyBorder="1" applyAlignment="1" applyProtection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7" fillId="0" borderId="3" xfId="3" applyFont="1" applyBorder="1" applyAlignment="1" applyProtection="1">
      <alignment horizontal="center" vertical="center"/>
    </xf>
    <xf numFmtId="166" fontId="0" fillId="8" borderId="0" xfId="2" applyNumberFormat="1" applyFont="1" applyFill="1"/>
    <xf numFmtId="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21" fillId="0" borderId="11" xfId="0" applyFont="1" applyFill="1" applyBorder="1" applyAlignment="1">
      <alignment horizontal="centerContinuous"/>
    </xf>
  </cellXfs>
  <cellStyles count="9">
    <cellStyle name="Milliers" xfId="2" builtinId="3"/>
    <cellStyle name="Normal" xfId="0" builtinId="0"/>
    <cellStyle name="Normal 2" xfId="6" xr:uid="{66772B21-B3CC-4281-8AFB-4522ED5D941B}"/>
    <cellStyle name="Normal 4" xfId="1" xr:uid="{41E99E2F-42EA-4245-BA6D-859136476CF0}"/>
    <cellStyle name="Normal 4 2" xfId="7" xr:uid="{5818D1AB-6277-4A9A-86D4-7CEB29B85B18}"/>
    <cellStyle name="Normal 8 2" xfId="8" xr:uid="{F66382E6-689D-43E4-AFDE-A9E6CE0075AC}"/>
    <cellStyle name="Style 12" xfId="3" xr:uid="{824E394C-0FCF-42CE-97A5-D8CDDCBAEE43}"/>
    <cellStyle name="Style 5" xfId="4" xr:uid="{01B63BE4-DC35-49E3-B2AF-D4055AA772DD}"/>
    <cellStyle name="Style 5 2" xfId="5" xr:uid="{7F037881-6398-4D55-AD58-924606369AAC}"/>
  </cellStyles>
  <dxfs count="38"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pivotCacheDefinition" Target="pivotCache/pivotCacheDefinition3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[Compte de résultat_agregré_rapports_01.xlsm]Feuil16!Tableau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Feuil16!$A$3:$A$5</c:f>
              <c:strCache>
                <c:ptCount val="1"/>
                <c:pt idx="0">
                  <c:v>2020 - Chriffre d'affaires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Feuil16!$A$6</c:f>
              <c:numCache>
                <c:formatCode>_-* #,##0_-;\-* #,##0_-;_-* "-"??_-;_-@_-</c:formatCode>
                <c:ptCount val="1"/>
                <c:pt idx="0">
                  <c:v>157009696804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38-4167-B54A-BCCB24347CDC}"/>
            </c:ext>
          </c:extLst>
        </c:ser>
        <c:ser>
          <c:idx val="1"/>
          <c:order val="1"/>
          <c:tx>
            <c:strRef>
              <c:f>Feuil16!$B$3:$B$5</c:f>
              <c:strCache>
                <c:ptCount val="1"/>
                <c:pt idx="0">
                  <c:v>2020 - Résultat net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Feuil16!$B$6</c:f>
              <c:numCache>
                <c:formatCode>_-* #,##0_-;\-* #,##0_-;_-* "-"??_-;_-@_-</c:formatCode>
                <c:ptCount val="1"/>
                <c:pt idx="0">
                  <c:v>49090566419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38-4167-B54A-BCCB24347CDC}"/>
            </c:ext>
          </c:extLst>
        </c:ser>
        <c:ser>
          <c:idx val="2"/>
          <c:order val="2"/>
          <c:tx>
            <c:strRef>
              <c:f>Feuil16!$C$3:$C$5</c:f>
              <c:strCache>
                <c:ptCount val="1"/>
                <c:pt idx="0">
                  <c:v>2021 - Chriffre d'affaires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Feuil16!$C$6</c:f>
              <c:numCache>
                <c:formatCode>_-* #,##0_-;\-* #,##0_-;_-* "-"??_-;_-@_-</c:formatCode>
                <c:ptCount val="1"/>
                <c:pt idx="0">
                  <c:v>123502918007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38-4167-B54A-BCCB24347CDC}"/>
            </c:ext>
          </c:extLst>
        </c:ser>
        <c:ser>
          <c:idx val="3"/>
          <c:order val="3"/>
          <c:tx>
            <c:strRef>
              <c:f>Feuil16!$D$3:$D$5</c:f>
              <c:strCache>
                <c:ptCount val="1"/>
                <c:pt idx="0">
                  <c:v>2021 - Résultat net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Feuil16!$D$6</c:f>
              <c:numCache>
                <c:formatCode>_-* #,##0_-;\-* #,##0_-;_-* "-"??_-;_-@_-</c:formatCode>
                <c:ptCount val="1"/>
                <c:pt idx="0">
                  <c:v>31337723864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38-4167-B54A-BCCB24347CDC}"/>
            </c:ext>
          </c:extLst>
        </c:ser>
        <c:ser>
          <c:idx val="4"/>
          <c:order val="4"/>
          <c:tx>
            <c:strRef>
              <c:f>Feuil16!$E$3:$E$5</c:f>
              <c:strCache>
                <c:ptCount val="1"/>
                <c:pt idx="0">
                  <c:v>2022 - Chriffre d'affaires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Feuil16!$E$6</c:f>
              <c:numCache>
                <c:formatCode>_-* #,##0_-;\-* #,##0_-;_-* "-"??_-;_-@_-</c:formatCode>
                <c:ptCount val="1"/>
                <c:pt idx="0">
                  <c:v>147862815768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38-4167-B54A-BCCB24347CDC}"/>
            </c:ext>
          </c:extLst>
        </c:ser>
        <c:ser>
          <c:idx val="5"/>
          <c:order val="5"/>
          <c:tx>
            <c:strRef>
              <c:f>Feuil16!$F$3:$F$5</c:f>
              <c:strCache>
                <c:ptCount val="1"/>
                <c:pt idx="0">
                  <c:v>2022 - Résultat net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Feuil16!$F$6</c:f>
              <c:numCache>
                <c:formatCode>_-* #,##0_-;\-* #,##0_-;_-* "-"??_-;_-@_-</c:formatCode>
                <c:ptCount val="1"/>
                <c:pt idx="0">
                  <c:v>22855910095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38-4167-B54A-BCCB24347CDC}"/>
            </c:ext>
          </c:extLst>
        </c:ser>
        <c:ser>
          <c:idx val="6"/>
          <c:order val="6"/>
          <c:tx>
            <c:strRef>
              <c:f>Feuil16!$G$3:$G$5</c:f>
              <c:strCache>
                <c:ptCount val="1"/>
                <c:pt idx="0">
                  <c:v>2023 - Chriffre d'affaires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Feuil16!$G$6</c:f>
              <c:numCache>
                <c:formatCode>_-* #,##0_-;\-* #,##0_-;_-* "-"??_-;_-@_-</c:formatCode>
                <c:ptCount val="1"/>
                <c:pt idx="0">
                  <c:v>138230031552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38-4167-B54A-BCCB24347CDC}"/>
            </c:ext>
          </c:extLst>
        </c:ser>
        <c:ser>
          <c:idx val="7"/>
          <c:order val="7"/>
          <c:tx>
            <c:strRef>
              <c:f>Feuil16!$H$3:$H$5</c:f>
              <c:strCache>
                <c:ptCount val="1"/>
                <c:pt idx="0">
                  <c:v>2023 - Résultat net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Feuil16!$H$6</c:f>
              <c:numCache>
                <c:formatCode>_-* #,##0_-;\-* #,##0_-;_-* "-"??_-;_-@_-</c:formatCode>
                <c:ptCount val="1"/>
                <c:pt idx="0">
                  <c:v>22694238966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38-4167-B54A-BCCB24347CDC}"/>
            </c:ext>
          </c:extLst>
        </c:ser>
        <c:ser>
          <c:idx val="8"/>
          <c:order val="8"/>
          <c:tx>
            <c:strRef>
              <c:f>Feuil16!$I$3:$I$5</c:f>
              <c:strCache>
                <c:ptCount val="1"/>
                <c:pt idx="0">
                  <c:v>2024 - Chriffre d'affaires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Feuil16!$I$6</c:f>
              <c:numCache>
                <c:formatCode>_-* #,##0_-;\-* #,##0_-;_-* "-"??_-;_-@_-</c:formatCode>
                <c:ptCount val="1"/>
                <c:pt idx="0">
                  <c:v>175133858574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38-4167-B54A-BCCB24347CDC}"/>
            </c:ext>
          </c:extLst>
        </c:ser>
        <c:ser>
          <c:idx val="9"/>
          <c:order val="9"/>
          <c:tx>
            <c:strRef>
              <c:f>Feuil16!$J$3:$J$5</c:f>
              <c:strCache>
                <c:ptCount val="1"/>
                <c:pt idx="0">
                  <c:v>2024 - Résultat net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Feuil16!$A$6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Feuil16!$J$6</c:f>
              <c:numCache>
                <c:formatCode>_-* #,##0_-;\-* #,##0_-;_-* "-"??_-;_-@_-</c:formatCode>
                <c:ptCount val="1"/>
                <c:pt idx="0">
                  <c:v>36396157176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38-4167-B54A-BCCB2434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479116015"/>
        <c:axId val="1479116431"/>
      </c:barChart>
      <c:catAx>
        <c:axId val="147911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9116431"/>
        <c:crosses val="autoZero"/>
        <c:auto val="1"/>
        <c:lblAlgn val="ctr"/>
        <c:lblOffset val="100"/>
        <c:noMultiLvlLbl val="0"/>
      </c:catAx>
      <c:valAx>
        <c:axId val="147911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9116015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[Compte de résultat_agregré_rapports_01.xlsm]Feuil1!Tableau croisé dynamique1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Feuil1!$B$1:$B$2</c:f>
              <c:strCache>
                <c:ptCount val="1"/>
                <c:pt idx="0">
                  <c:v>AGEM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Feuil1!$B$3:$B$8</c:f>
              <c:numCache>
                <c:formatCode>_-* #,##0_-;\-* #,##0_-;_-* "-"??_-;_-@_-</c:formatCode>
                <c:ptCount val="5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6-4B5F-A8ED-509F627AC5B2}"/>
            </c:ext>
          </c:extLst>
        </c:ser>
        <c:ser>
          <c:idx val="1"/>
          <c:order val="1"/>
          <c:tx>
            <c:strRef>
              <c:f>Feuil1!$C$1:$C$2</c:f>
              <c:strCache>
                <c:ptCount val="1"/>
                <c:pt idx="0">
                  <c:v>AIG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Feuil1!$C$3:$C$8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D006-4B5F-A8ED-509F627AC5B2}"/>
            </c:ext>
          </c:extLst>
        </c:ser>
        <c:ser>
          <c:idx val="2"/>
          <c:order val="2"/>
          <c:tx>
            <c:strRef>
              <c:f>Feuil1!$D$1:$D$2</c:f>
              <c:strCache>
                <c:ptCount val="1"/>
                <c:pt idx="0">
                  <c:v>BARRICK GOLD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Feuil1!$D$3:$D$8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D006-4B5F-A8ED-509F627AC5B2}"/>
            </c:ext>
          </c:extLst>
        </c:ser>
        <c:ser>
          <c:idx val="3"/>
          <c:order val="3"/>
          <c:tx>
            <c:strRef>
              <c:f>Feuil1!$E$1:$E$2</c:f>
              <c:strCache>
                <c:ptCount val="1"/>
                <c:pt idx="0">
                  <c:v>BMCC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Feuil1!$E$3:$E$8</c:f>
              <c:numCache>
                <c:formatCode>_-* #,##0_-;\-* #,##0_-;_-* "-"??_-;_-@_-</c:formatCode>
                <c:ptCount val="5"/>
                <c:pt idx="2">
                  <c:v>0</c:v>
                </c:pt>
                <c:pt idx="3">
                  <c:v>-3975136492</c:v>
                </c:pt>
                <c:pt idx="4">
                  <c:v>-7726090136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06-4B5F-A8ED-509F627AC5B2}"/>
            </c:ext>
          </c:extLst>
        </c:ser>
        <c:ser>
          <c:idx val="4"/>
          <c:order val="4"/>
          <c:tx>
            <c:strRef>
              <c:f>Feuil1!$F$1:$F$2</c:f>
              <c:strCache>
                <c:ptCount val="1"/>
                <c:pt idx="0">
                  <c:v>BP SENEGAL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Feuil1!$F$3:$F$8</c:f>
              <c:numCache>
                <c:formatCode>_-* #,##0_-;\-* #,##0_-;_-* "-"??_-;_-@_-</c:formatCode>
                <c:ptCount val="5"/>
                <c:pt idx="2">
                  <c:v>-583451768027</c:v>
                </c:pt>
                <c:pt idx="3">
                  <c:v>-525642165189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06-4B5F-A8ED-509F627AC5B2}"/>
            </c:ext>
          </c:extLst>
        </c:ser>
        <c:ser>
          <c:idx val="5"/>
          <c:order val="5"/>
          <c:tx>
            <c:strRef>
              <c:f>Feuil1!$G$1:$G$2</c:f>
              <c:strCache>
                <c:ptCount val="1"/>
                <c:pt idx="0">
                  <c:v>CAPRICORN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Feuil1!$G$3:$G$8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0-D006-4B5F-A8ED-509F627AC5B2}"/>
            </c:ext>
          </c:extLst>
        </c:ser>
        <c:ser>
          <c:idx val="6"/>
          <c:order val="6"/>
          <c:tx>
            <c:strRef>
              <c:f>Feuil1!$H$1:$H$2</c:f>
              <c:strCache>
                <c:ptCount val="1"/>
                <c:pt idx="0">
                  <c:v>CDS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Feuil1!$H$3:$H$8</c:f>
              <c:numCache>
                <c:formatCode>_-* #,##0_-;\-* #,##0_-;_-* "-"??_-;_-@_-</c:formatCode>
                <c:ptCount val="5"/>
                <c:pt idx="0">
                  <c:v>33805580013</c:v>
                </c:pt>
                <c:pt idx="1">
                  <c:v>26998231133</c:v>
                </c:pt>
                <c:pt idx="2">
                  <c:v>9473766747</c:v>
                </c:pt>
                <c:pt idx="3">
                  <c:v>45379996833</c:v>
                </c:pt>
                <c:pt idx="4">
                  <c:v>40151124119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006-4B5F-A8ED-509F627AC5B2}"/>
            </c:ext>
          </c:extLst>
        </c:ser>
        <c:ser>
          <c:idx val="7"/>
          <c:order val="7"/>
          <c:tx>
            <c:strRef>
              <c:f>Feuil1!$I$1:$I$2</c:f>
              <c:strCache>
                <c:ptCount val="1"/>
                <c:pt idx="0">
                  <c:v>COGECA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Feuil1!$I$3:$I$8</c:f>
              <c:numCache>
                <c:formatCode>_-* #,##0_-;\-* #,##0_-;_-* "-"??_-;_-@_-</c:formatCode>
                <c:ptCount val="5"/>
                <c:pt idx="1">
                  <c:v>3309380514</c:v>
                </c:pt>
                <c:pt idx="2">
                  <c:v>1360984077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006-4B5F-A8ED-509F627AC5B2}"/>
            </c:ext>
          </c:extLst>
        </c:ser>
        <c:ser>
          <c:idx val="8"/>
          <c:order val="8"/>
          <c:tx>
            <c:strRef>
              <c:f>Feuil1!$J$1:$J$2</c:f>
              <c:strCache>
                <c:ptCount val="1"/>
                <c:pt idx="0">
                  <c:v>CSE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Feuil1!$J$3:$J$8</c:f>
              <c:numCache>
                <c:formatCode>_-* #,##0_-;\-* #,##0_-;_-* "-"??_-;_-@_-</c:formatCode>
                <c:ptCount val="5"/>
                <c:pt idx="1">
                  <c:v>515575109</c:v>
                </c:pt>
                <c:pt idx="2">
                  <c:v>609301525</c:v>
                </c:pt>
                <c:pt idx="3">
                  <c:v>935630309</c:v>
                </c:pt>
                <c:pt idx="4">
                  <c:v>538338515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006-4B5F-A8ED-509F627AC5B2}"/>
            </c:ext>
          </c:extLst>
        </c:ser>
        <c:ser>
          <c:idx val="9"/>
          <c:order val="9"/>
          <c:tx>
            <c:strRef>
              <c:f>Feuil1!$K$1:$K$2</c:f>
              <c:strCache>
                <c:ptCount val="1"/>
                <c:pt idx="0">
                  <c:v>DANGOTE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Feuil1!$K$3:$K$8</c:f>
              <c:numCache>
                <c:formatCode>_-* #,##0_-;\-* #,##0_-;_-* "-"??_-;_-@_-</c:formatCode>
                <c:ptCount val="5"/>
                <c:pt idx="0">
                  <c:v>26991933037</c:v>
                </c:pt>
                <c:pt idx="1">
                  <c:v>16694787635</c:v>
                </c:pt>
                <c:pt idx="2">
                  <c:v>-6608648871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006-4B5F-A8ED-509F627AC5B2}"/>
            </c:ext>
          </c:extLst>
        </c:ser>
        <c:ser>
          <c:idx val="10"/>
          <c:order val="10"/>
          <c:tx>
            <c:strRef>
              <c:f>Feuil1!$L$1:$L$2</c:f>
              <c:strCache>
                <c:ptCount val="1"/>
                <c:pt idx="0">
                  <c:v>FORTESA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Feuil1!$L$3:$L$8</c:f>
              <c:numCache>
                <c:formatCode>_-* #,##0_-;\-* #,##0_-;_-* "-"??_-;_-@_-</c:formatCode>
                <c:ptCount val="5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006-4B5F-A8ED-509F627AC5B2}"/>
            </c:ext>
          </c:extLst>
        </c:ser>
        <c:ser>
          <c:idx val="11"/>
          <c:order val="11"/>
          <c:tx>
            <c:strRef>
              <c:f>Feuil1!$M$1:$M$2</c:f>
              <c:strCache>
                <c:ptCount val="1"/>
                <c:pt idx="0">
                  <c:v>GCO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Feuil1!$M$3:$M$8</c:f>
              <c:numCache>
                <c:formatCode>_-* #,##0_-;\-* #,##0_-;_-* "-"??_-;_-@_-</c:formatCode>
                <c:ptCount val="5"/>
                <c:pt idx="0">
                  <c:v>53061400347</c:v>
                </c:pt>
                <c:pt idx="1">
                  <c:v>13254337442.02</c:v>
                </c:pt>
                <c:pt idx="2">
                  <c:v>57698846122</c:v>
                </c:pt>
                <c:pt idx="3">
                  <c:v>21709050224</c:v>
                </c:pt>
                <c:pt idx="4">
                  <c:v>14423265142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006-4B5F-A8ED-509F627AC5B2}"/>
            </c:ext>
          </c:extLst>
        </c:ser>
        <c:ser>
          <c:idx val="12"/>
          <c:order val="12"/>
          <c:tx>
            <c:strRef>
              <c:f>Feuil1!$N$1:$N$2</c:f>
              <c:strCache>
                <c:ptCount val="1"/>
                <c:pt idx="0">
                  <c:v>GECAMINES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Feuil1!$N$3:$N$8</c:f>
              <c:numCache>
                <c:formatCode>_-* #,##0_-;\-* #,##0_-;_-* "-"??_-;_-@_-</c:formatCode>
                <c:ptCount val="5"/>
                <c:pt idx="1">
                  <c:v>1326970463</c:v>
                </c:pt>
                <c:pt idx="2">
                  <c:v>1812203836</c:v>
                </c:pt>
                <c:pt idx="3">
                  <c:v>1731869558</c:v>
                </c:pt>
                <c:pt idx="4">
                  <c:v>1997358711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006-4B5F-A8ED-509F627AC5B2}"/>
            </c:ext>
          </c:extLst>
        </c:ser>
        <c:ser>
          <c:idx val="13"/>
          <c:order val="13"/>
          <c:tx>
            <c:strRef>
              <c:f>Feuil1!$O$1:$O$2</c:f>
              <c:strCache>
                <c:ptCount val="1"/>
                <c:pt idx="0">
                  <c:v>GPHOS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Feuil1!$O$3:$O$8</c:f>
              <c:numCache>
                <c:formatCode>_-* #,##0_-;\-* #,##0_-;_-* "-"??_-;_-@_-</c:formatCode>
                <c:ptCount val="5"/>
                <c:pt idx="1">
                  <c:v>-52436153</c:v>
                </c:pt>
                <c:pt idx="2">
                  <c:v>-25741181</c:v>
                </c:pt>
                <c:pt idx="3">
                  <c:v>-130773503</c:v>
                </c:pt>
                <c:pt idx="4">
                  <c:v>-326048897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006-4B5F-A8ED-509F627AC5B2}"/>
            </c:ext>
          </c:extLst>
        </c:ser>
        <c:ser>
          <c:idx val="14"/>
          <c:order val="14"/>
          <c:tx>
            <c:strRef>
              <c:f>Feuil1!$P$1:$P$2</c:f>
              <c:strCache>
                <c:ptCount val="1"/>
                <c:pt idx="0">
                  <c:v>IAMGOLD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Feuil1!$P$3:$P$8</c:f>
              <c:numCache>
                <c:formatCode>_-* #,##0_-;\-* #,##0_-;_-* "-"??_-;_-@_-</c:formatCode>
                <c:ptCount val="5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006-4B5F-A8ED-509F627AC5B2}"/>
            </c:ext>
          </c:extLst>
        </c:ser>
        <c:ser>
          <c:idx val="15"/>
          <c:order val="15"/>
          <c:tx>
            <c:strRef>
              <c:f>Feuil1!$Q$1:$Q$2</c:f>
              <c:strCache>
                <c:ptCount val="1"/>
                <c:pt idx="0">
                  <c:v>ICS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Feuil1!$Q$3:$Q$8</c:f>
              <c:numCache>
                <c:formatCode>_-* #,##0_-;\-* #,##0_-;_-* "-"??_-;_-@_-</c:formatCode>
                <c:ptCount val="5"/>
                <c:pt idx="0">
                  <c:v>37985634536</c:v>
                </c:pt>
                <c:pt idx="1">
                  <c:v>117477649557</c:v>
                </c:pt>
                <c:pt idx="2">
                  <c:v>230165320277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006-4B5F-A8ED-509F627AC5B2}"/>
            </c:ext>
          </c:extLst>
        </c:ser>
        <c:ser>
          <c:idx val="16"/>
          <c:order val="16"/>
          <c:tx>
            <c:strRef>
              <c:f>Feuil1!$R$1:$R$2</c:f>
              <c:strCache>
                <c:ptCount val="1"/>
                <c:pt idx="0">
                  <c:v>KOSMOS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Feuil1!$R$3:$R$8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B-D006-4B5F-A8ED-509F627AC5B2}"/>
            </c:ext>
          </c:extLst>
        </c:ser>
        <c:ser>
          <c:idx val="17"/>
          <c:order val="17"/>
          <c:tx>
            <c:strRef>
              <c:f>Feuil1!$S$1:$S$2</c:f>
              <c:strCache>
                <c:ptCount val="1"/>
                <c:pt idx="0">
                  <c:v>MIFERSO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Feuil1!$S$3:$S$8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C-D006-4B5F-A8ED-509F627AC5B2}"/>
            </c:ext>
          </c:extLst>
        </c:ser>
        <c:ser>
          <c:idx val="18"/>
          <c:order val="18"/>
          <c:tx>
            <c:strRef>
              <c:f>Feuil1!$T$1:$T$2</c:f>
              <c:strCache>
                <c:ptCount val="1"/>
                <c:pt idx="0">
                  <c:v>ORANTO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Feuil1!$T$3:$T$8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D-D006-4B5F-A8ED-509F627AC5B2}"/>
            </c:ext>
          </c:extLst>
        </c:ser>
        <c:ser>
          <c:idx val="19"/>
          <c:order val="19"/>
          <c:tx>
            <c:strRef>
              <c:f>Feuil1!$U$1:$U$2</c:f>
              <c:strCache>
                <c:ptCount val="1"/>
                <c:pt idx="0">
                  <c:v>PETROSEN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Feuil1!$U$3:$U$8</c:f>
              <c:numCache>
                <c:formatCode>_-* #,##0_-;\-* #,##0_-;_-* "-"??_-;_-@_-</c:formatCode>
                <c:ptCount val="5"/>
                <c:pt idx="3">
                  <c:v>-1270651585</c:v>
                </c:pt>
                <c:pt idx="4">
                  <c:v>1217788809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006-4B5F-A8ED-509F627AC5B2}"/>
            </c:ext>
          </c:extLst>
        </c:ser>
        <c:ser>
          <c:idx val="20"/>
          <c:order val="20"/>
          <c:tx>
            <c:strRef>
              <c:f>Feuil1!$V$1:$V$2</c:f>
              <c:strCache>
                <c:ptCount val="1"/>
                <c:pt idx="0">
                  <c:v>PMC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Feuil1!$V$3:$V$8</c:f>
              <c:numCache>
                <c:formatCode>_-* #,##0_-;\-* #,##0_-;_-* "-"??_-;_-@_-</c:formatCode>
                <c:ptCount val="5"/>
                <c:pt idx="0">
                  <c:v>49090566419</c:v>
                </c:pt>
                <c:pt idx="1">
                  <c:v>31337723864</c:v>
                </c:pt>
                <c:pt idx="2">
                  <c:v>22855910095</c:v>
                </c:pt>
                <c:pt idx="3">
                  <c:v>22694238966</c:v>
                </c:pt>
                <c:pt idx="4">
                  <c:v>36396157176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D006-4B5F-A8ED-509F627AC5B2}"/>
            </c:ext>
          </c:extLst>
        </c:ser>
        <c:ser>
          <c:idx val="21"/>
          <c:order val="21"/>
          <c:tx>
            <c:strRef>
              <c:f>Feuil1!$W$1:$W$2</c:f>
              <c:strCache>
                <c:ptCount val="1"/>
                <c:pt idx="0">
                  <c:v>SEPHOS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Feuil1!$W$3:$W$8</c:f>
              <c:numCache>
                <c:formatCode>_-* #,##0_-;\-* #,##0_-;_-* "-"??_-;_-@_-</c:formatCode>
                <c:ptCount val="5"/>
                <c:pt idx="0">
                  <c:v>-766531809</c:v>
                </c:pt>
                <c:pt idx="3">
                  <c:v>1033485494</c:v>
                </c:pt>
                <c:pt idx="4">
                  <c:v>1663855770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006-4B5F-A8ED-509F627AC5B2}"/>
            </c:ext>
          </c:extLst>
        </c:ser>
        <c:ser>
          <c:idx val="22"/>
          <c:order val="22"/>
          <c:tx>
            <c:strRef>
              <c:f>Feuil1!$X$1:$X$2</c:f>
              <c:strCache>
                <c:ptCount val="1"/>
                <c:pt idx="0">
                  <c:v>SGO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Feuil1!$X$3:$X$8</c:f>
              <c:numCache>
                <c:formatCode>_-* #,##0_-;\-* #,##0_-;_-* "-"??_-;_-@_-</c:formatCode>
                <c:ptCount val="5"/>
                <c:pt idx="1">
                  <c:v>26718633081</c:v>
                </c:pt>
                <c:pt idx="2">
                  <c:v>143556313105</c:v>
                </c:pt>
                <c:pt idx="3">
                  <c:v>137096340502.89597</c:v>
                </c:pt>
                <c:pt idx="4">
                  <c:v>57851662541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006-4B5F-A8ED-509F627AC5B2}"/>
            </c:ext>
          </c:extLst>
        </c:ser>
        <c:ser>
          <c:idx val="23"/>
          <c:order val="23"/>
          <c:tx>
            <c:strRef>
              <c:f>Feuil1!$Y$1:$Y$2</c:f>
              <c:strCache>
                <c:ptCount val="1"/>
                <c:pt idx="0">
                  <c:v>SMC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Feuil1!$Y$3:$Y$8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2-D006-4B5F-A8ED-509F627AC5B2}"/>
            </c:ext>
          </c:extLst>
        </c:ser>
        <c:ser>
          <c:idx val="24"/>
          <c:order val="24"/>
          <c:tx>
            <c:strRef>
              <c:f>Feuil1!$Z$1:$Z$2</c:f>
              <c:strCache>
                <c:ptCount val="1"/>
                <c:pt idx="0">
                  <c:v>SOCOCIM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Feuil1!$Z$3:$Z$8</c:f>
              <c:numCache>
                <c:formatCode>_-* #,##0_-;\-* #,##0_-;_-* "-"??_-;_-@_-</c:formatCode>
                <c:ptCount val="5"/>
                <c:pt idx="1">
                  <c:v>12357368337</c:v>
                </c:pt>
                <c:pt idx="2">
                  <c:v>-3597241112</c:v>
                </c:pt>
                <c:pt idx="3">
                  <c:v>-2098860977</c:v>
                </c:pt>
                <c:pt idx="4">
                  <c:v>17523080081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D006-4B5F-A8ED-509F627AC5B2}"/>
            </c:ext>
          </c:extLst>
        </c:ser>
        <c:ser>
          <c:idx val="25"/>
          <c:order val="25"/>
          <c:tx>
            <c:strRef>
              <c:f>Feuil1!$AA$1:$AA$2</c:f>
              <c:strCache>
                <c:ptCount val="1"/>
                <c:pt idx="0">
                  <c:v>SOMIVA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Feuil1!$AA$3:$AA$8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4-D006-4B5F-A8ED-509F627AC5B2}"/>
            </c:ext>
          </c:extLst>
        </c:ser>
        <c:ser>
          <c:idx val="26"/>
          <c:order val="26"/>
          <c:tx>
            <c:strRef>
              <c:f>Feuil1!$AB$1:$AB$2</c:f>
              <c:strCache>
                <c:ptCount val="1"/>
                <c:pt idx="0">
                  <c:v>SORED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Feuil1!$AB$3:$AB$8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5-D006-4B5F-A8ED-509F627AC5B2}"/>
            </c:ext>
          </c:extLst>
        </c:ser>
        <c:ser>
          <c:idx val="27"/>
          <c:order val="27"/>
          <c:tx>
            <c:strRef>
              <c:f>Feuil1!$AC$1:$AC$2</c:f>
              <c:strCache>
                <c:ptCount val="1"/>
                <c:pt idx="0">
                  <c:v>SSPT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Feuil1!$AC$3:$AC$8</c:f>
              <c:numCache>
                <c:formatCode>_-* #,##0_-;\-* #,##0_-;_-* "-"??_-;_-@_-</c:formatCode>
                <c:ptCount val="5"/>
                <c:pt idx="0">
                  <c:v>971677713</c:v>
                </c:pt>
                <c:pt idx="1">
                  <c:v>-274584431</c:v>
                </c:pt>
                <c:pt idx="2">
                  <c:v>355804282</c:v>
                </c:pt>
                <c:pt idx="3">
                  <c:v>-150948557</c:v>
                </c:pt>
                <c:pt idx="4">
                  <c:v>-283240460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D006-4B5F-A8ED-509F627AC5B2}"/>
            </c:ext>
          </c:extLst>
        </c:ser>
        <c:ser>
          <c:idx val="28"/>
          <c:order val="28"/>
          <c:tx>
            <c:strRef>
              <c:f>Feuil1!$AD$1:$AD$2</c:f>
              <c:strCache>
                <c:ptCount val="1"/>
                <c:pt idx="0">
                  <c:v>TALIX MINES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Feuil1!$AD$3:$AD$8</c:f>
              <c:numCache>
                <c:formatCode>_-* #,##0_-;\-* #,##0_-;_-* "-"??_-;_-@_-</c:formatCode>
                <c:ptCount val="5"/>
                <c:pt idx="1">
                  <c:v>7158974</c:v>
                </c:pt>
                <c:pt idx="2">
                  <c:v>42874153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D006-4B5F-A8ED-509F627AC5B2}"/>
            </c:ext>
          </c:extLst>
        </c:ser>
        <c:ser>
          <c:idx val="29"/>
          <c:order val="29"/>
          <c:tx>
            <c:strRef>
              <c:f>Feuil1!$AE$1:$AE$2</c:f>
              <c:strCache>
                <c:ptCount val="1"/>
                <c:pt idx="0">
                  <c:v>TOTAL E&amp;P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Feuil1!$AE$3:$AE$8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8-D006-4B5F-A8ED-509F627AC5B2}"/>
            </c:ext>
          </c:extLst>
        </c:ser>
        <c:ser>
          <c:idx val="30"/>
          <c:order val="30"/>
          <c:tx>
            <c:strRef>
              <c:f>Feuil1!$AF$1:$AF$2</c:f>
              <c:strCache>
                <c:ptCount val="1"/>
                <c:pt idx="0">
                  <c:v>WOODSIDE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Feuil1!$AF$3:$AF$8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9-D006-4B5F-A8ED-509F627AC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5554111"/>
        <c:axId val="205554527"/>
      </c:barChart>
      <c:catAx>
        <c:axId val="205554111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554527"/>
        <c:crosses val="autoZero"/>
        <c:auto val="1"/>
        <c:lblAlgn val="ctr"/>
        <c:lblOffset val="100"/>
        <c:noMultiLvlLbl val="0"/>
      </c:catAx>
      <c:valAx>
        <c:axId val="205554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55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[Compte de résultat_agregré_rapports_01.xlsm]Feuil1!Tableau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9525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16081242959013"/>
          <c:y val="9.7249692129716014E-2"/>
          <c:w val="0.6814544784393457"/>
          <c:h val="0.7624554987498600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Feuil1!$B$1:$B$2</c:f>
              <c:strCache>
                <c:ptCount val="1"/>
                <c:pt idx="0">
                  <c:v>AGEM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Feuil1!$B$3:$B$8</c:f>
              <c:numCache>
                <c:formatCode>_-* #,##0_-;\-* #,##0_-;_-* "-"??_-;_-@_-</c:formatCode>
                <c:ptCount val="5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23-4561-92A7-F53D70C78C4A}"/>
            </c:ext>
          </c:extLst>
        </c:ser>
        <c:ser>
          <c:idx val="1"/>
          <c:order val="1"/>
          <c:tx>
            <c:strRef>
              <c:f>Feuil1!$C$1:$C$2</c:f>
              <c:strCache>
                <c:ptCount val="1"/>
                <c:pt idx="0">
                  <c:v>AIG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Feuil1!$C$3:$C$8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3123-4561-92A7-F53D70C78C4A}"/>
            </c:ext>
          </c:extLst>
        </c:ser>
        <c:ser>
          <c:idx val="2"/>
          <c:order val="2"/>
          <c:tx>
            <c:strRef>
              <c:f>Feuil1!$D$1:$D$2</c:f>
              <c:strCache>
                <c:ptCount val="1"/>
                <c:pt idx="0">
                  <c:v>BARRICK GOLD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Feuil1!$D$3:$D$8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123-4561-92A7-F53D70C78C4A}"/>
            </c:ext>
          </c:extLst>
        </c:ser>
        <c:ser>
          <c:idx val="3"/>
          <c:order val="3"/>
          <c:tx>
            <c:strRef>
              <c:f>Feuil1!$E$1:$E$2</c:f>
              <c:strCache>
                <c:ptCount val="1"/>
                <c:pt idx="0">
                  <c:v>BMCC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Feuil1!$E$3:$E$8</c:f>
              <c:numCache>
                <c:formatCode>_-* #,##0_-;\-* #,##0_-;_-* "-"??_-;_-@_-</c:formatCode>
                <c:ptCount val="5"/>
                <c:pt idx="2">
                  <c:v>0</c:v>
                </c:pt>
                <c:pt idx="3">
                  <c:v>-3975136492</c:v>
                </c:pt>
                <c:pt idx="4">
                  <c:v>-7726090136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23-4561-92A7-F53D70C78C4A}"/>
            </c:ext>
          </c:extLst>
        </c:ser>
        <c:ser>
          <c:idx val="4"/>
          <c:order val="4"/>
          <c:tx>
            <c:strRef>
              <c:f>Feuil1!$F$1:$F$2</c:f>
              <c:strCache>
                <c:ptCount val="1"/>
                <c:pt idx="0">
                  <c:v>BP SENEGAL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Feuil1!$F$3:$F$8</c:f>
              <c:numCache>
                <c:formatCode>_-* #,##0_-;\-* #,##0_-;_-* "-"??_-;_-@_-</c:formatCode>
                <c:ptCount val="5"/>
                <c:pt idx="2">
                  <c:v>-583451768027</c:v>
                </c:pt>
                <c:pt idx="3">
                  <c:v>-525642165189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23-4561-92A7-F53D70C78C4A}"/>
            </c:ext>
          </c:extLst>
        </c:ser>
        <c:ser>
          <c:idx val="5"/>
          <c:order val="5"/>
          <c:tx>
            <c:strRef>
              <c:f>Feuil1!$G$1:$G$2</c:f>
              <c:strCache>
                <c:ptCount val="1"/>
                <c:pt idx="0">
                  <c:v>CAPRICORN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Feuil1!$G$3:$G$8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B-3123-4561-92A7-F53D70C78C4A}"/>
            </c:ext>
          </c:extLst>
        </c:ser>
        <c:ser>
          <c:idx val="6"/>
          <c:order val="6"/>
          <c:tx>
            <c:strRef>
              <c:f>Feuil1!$H$1:$H$2</c:f>
              <c:strCache>
                <c:ptCount val="1"/>
                <c:pt idx="0">
                  <c:v>CDS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Feuil1!$H$3:$H$8</c:f>
              <c:numCache>
                <c:formatCode>_-* #,##0_-;\-* #,##0_-;_-* "-"??_-;_-@_-</c:formatCode>
                <c:ptCount val="5"/>
                <c:pt idx="0">
                  <c:v>33805580013</c:v>
                </c:pt>
                <c:pt idx="1">
                  <c:v>26998231133</c:v>
                </c:pt>
                <c:pt idx="2">
                  <c:v>9473766747</c:v>
                </c:pt>
                <c:pt idx="3">
                  <c:v>45379996833</c:v>
                </c:pt>
                <c:pt idx="4">
                  <c:v>40151124119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123-4561-92A7-F53D70C78C4A}"/>
            </c:ext>
          </c:extLst>
        </c:ser>
        <c:ser>
          <c:idx val="7"/>
          <c:order val="7"/>
          <c:tx>
            <c:strRef>
              <c:f>Feuil1!$I$1:$I$2</c:f>
              <c:strCache>
                <c:ptCount val="1"/>
                <c:pt idx="0">
                  <c:v>COGECA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Feuil1!$I$3:$I$8</c:f>
              <c:numCache>
                <c:formatCode>_-* #,##0_-;\-* #,##0_-;_-* "-"??_-;_-@_-</c:formatCode>
                <c:ptCount val="5"/>
                <c:pt idx="1">
                  <c:v>3309380514</c:v>
                </c:pt>
                <c:pt idx="2">
                  <c:v>1360984077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123-4561-92A7-F53D70C78C4A}"/>
            </c:ext>
          </c:extLst>
        </c:ser>
        <c:ser>
          <c:idx val="8"/>
          <c:order val="8"/>
          <c:tx>
            <c:strRef>
              <c:f>Feuil1!$J$1:$J$2</c:f>
              <c:strCache>
                <c:ptCount val="1"/>
                <c:pt idx="0">
                  <c:v>CSE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Feuil1!$J$3:$J$8</c:f>
              <c:numCache>
                <c:formatCode>_-* #,##0_-;\-* #,##0_-;_-* "-"??_-;_-@_-</c:formatCode>
                <c:ptCount val="5"/>
                <c:pt idx="1">
                  <c:v>515575109</c:v>
                </c:pt>
                <c:pt idx="2">
                  <c:v>609301525</c:v>
                </c:pt>
                <c:pt idx="3">
                  <c:v>935630309</c:v>
                </c:pt>
                <c:pt idx="4">
                  <c:v>538338515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123-4561-92A7-F53D70C78C4A}"/>
            </c:ext>
          </c:extLst>
        </c:ser>
        <c:ser>
          <c:idx val="9"/>
          <c:order val="9"/>
          <c:tx>
            <c:strRef>
              <c:f>Feuil1!$K$1:$K$2</c:f>
              <c:strCache>
                <c:ptCount val="1"/>
                <c:pt idx="0">
                  <c:v>DANGOTE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Feuil1!$K$3:$K$8</c:f>
              <c:numCache>
                <c:formatCode>_-* #,##0_-;\-* #,##0_-;_-* "-"??_-;_-@_-</c:formatCode>
                <c:ptCount val="5"/>
                <c:pt idx="0">
                  <c:v>26991933037</c:v>
                </c:pt>
                <c:pt idx="1">
                  <c:v>16694787635</c:v>
                </c:pt>
                <c:pt idx="2">
                  <c:v>-6608648871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123-4561-92A7-F53D70C78C4A}"/>
            </c:ext>
          </c:extLst>
        </c:ser>
        <c:ser>
          <c:idx val="10"/>
          <c:order val="10"/>
          <c:tx>
            <c:strRef>
              <c:f>Feuil1!$L$1:$L$2</c:f>
              <c:strCache>
                <c:ptCount val="1"/>
                <c:pt idx="0">
                  <c:v>FORTESA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Feuil1!$L$3:$L$8</c:f>
              <c:numCache>
                <c:formatCode>_-* #,##0_-;\-* #,##0_-;_-* "-"??_-;_-@_-</c:formatCode>
                <c:ptCount val="5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123-4561-92A7-F53D70C78C4A}"/>
            </c:ext>
          </c:extLst>
        </c:ser>
        <c:ser>
          <c:idx val="11"/>
          <c:order val="11"/>
          <c:tx>
            <c:strRef>
              <c:f>Feuil1!$M$1:$M$2</c:f>
              <c:strCache>
                <c:ptCount val="1"/>
                <c:pt idx="0">
                  <c:v>GCO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Feuil1!$M$3:$M$8</c:f>
              <c:numCache>
                <c:formatCode>_-* #,##0_-;\-* #,##0_-;_-* "-"??_-;_-@_-</c:formatCode>
                <c:ptCount val="5"/>
                <c:pt idx="0">
                  <c:v>53061400347</c:v>
                </c:pt>
                <c:pt idx="1">
                  <c:v>13254337442.02</c:v>
                </c:pt>
                <c:pt idx="2">
                  <c:v>57698846122</c:v>
                </c:pt>
                <c:pt idx="3">
                  <c:v>21709050224</c:v>
                </c:pt>
                <c:pt idx="4">
                  <c:v>14423265142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123-4561-92A7-F53D70C78C4A}"/>
            </c:ext>
          </c:extLst>
        </c:ser>
        <c:ser>
          <c:idx val="12"/>
          <c:order val="12"/>
          <c:tx>
            <c:strRef>
              <c:f>Feuil1!$N$1:$N$2</c:f>
              <c:strCache>
                <c:ptCount val="1"/>
                <c:pt idx="0">
                  <c:v>GECAMINES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Feuil1!$N$3:$N$8</c:f>
              <c:numCache>
                <c:formatCode>_-* #,##0_-;\-* #,##0_-;_-* "-"??_-;_-@_-</c:formatCode>
                <c:ptCount val="5"/>
                <c:pt idx="1">
                  <c:v>1326970463</c:v>
                </c:pt>
                <c:pt idx="2">
                  <c:v>1812203836</c:v>
                </c:pt>
                <c:pt idx="3">
                  <c:v>1731869558</c:v>
                </c:pt>
                <c:pt idx="4">
                  <c:v>1997358711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23-4561-92A7-F53D70C78C4A}"/>
            </c:ext>
          </c:extLst>
        </c:ser>
        <c:ser>
          <c:idx val="13"/>
          <c:order val="13"/>
          <c:tx>
            <c:strRef>
              <c:f>Feuil1!$O$1:$O$2</c:f>
              <c:strCache>
                <c:ptCount val="1"/>
                <c:pt idx="0">
                  <c:v>GPHOS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Feuil1!$O$3:$O$8</c:f>
              <c:numCache>
                <c:formatCode>_-* #,##0_-;\-* #,##0_-;_-* "-"??_-;_-@_-</c:formatCode>
                <c:ptCount val="5"/>
                <c:pt idx="1">
                  <c:v>-52436153</c:v>
                </c:pt>
                <c:pt idx="2">
                  <c:v>-25741181</c:v>
                </c:pt>
                <c:pt idx="3">
                  <c:v>-130773503</c:v>
                </c:pt>
                <c:pt idx="4">
                  <c:v>-326048897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123-4561-92A7-F53D70C78C4A}"/>
            </c:ext>
          </c:extLst>
        </c:ser>
        <c:ser>
          <c:idx val="14"/>
          <c:order val="14"/>
          <c:tx>
            <c:strRef>
              <c:f>Feuil1!$P$1:$P$2</c:f>
              <c:strCache>
                <c:ptCount val="1"/>
                <c:pt idx="0">
                  <c:v>IAMGOLD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Feuil1!$P$3:$P$8</c:f>
              <c:numCache>
                <c:formatCode>_-* #,##0_-;\-* #,##0_-;_-* "-"??_-;_-@_-</c:formatCode>
                <c:ptCount val="5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123-4561-92A7-F53D70C78C4A}"/>
            </c:ext>
          </c:extLst>
        </c:ser>
        <c:ser>
          <c:idx val="15"/>
          <c:order val="15"/>
          <c:tx>
            <c:strRef>
              <c:f>Feuil1!$Q$1:$Q$2</c:f>
              <c:strCache>
                <c:ptCount val="1"/>
                <c:pt idx="0">
                  <c:v>ICS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123-4561-92A7-F53D70C78C4A}"/>
              </c:ext>
            </c:extLst>
          </c:dPt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Feuil1!$Q$3:$Q$8</c:f>
              <c:numCache>
                <c:formatCode>_-* #,##0_-;\-* #,##0_-;_-* "-"??_-;_-@_-</c:formatCode>
                <c:ptCount val="5"/>
                <c:pt idx="0">
                  <c:v>37985634536</c:v>
                </c:pt>
                <c:pt idx="1">
                  <c:v>117477649557</c:v>
                </c:pt>
                <c:pt idx="2">
                  <c:v>230165320277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123-4561-92A7-F53D70C78C4A}"/>
            </c:ext>
          </c:extLst>
        </c:ser>
        <c:ser>
          <c:idx val="16"/>
          <c:order val="16"/>
          <c:tx>
            <c:strRef>
              <c:f>Feuil1!$R$1:$R$2</c:f>
              <c:strCache>
                <c:ptCount val="1"/>
                <c:pt idx="0">
                  <c:v>KOSMOS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Feuil1!$R$3:$R$8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4-3123-4561-92A7-F53D70C78C4A}"/>
            </c:ext>
          </c:extLst>
        </c:ser>
        <c:ser>
          <c:idx val="17"/>
          <c:order val="17"/>
          <c:tx>
            <c:strRef>
              <c:f>Feuil1!$S$1:$S$2</c:f>
              <c:strCache>
                <c:ptCount val="1"/>
                <c:pt idx="0">
                  <c:v>MIFERSO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Feuil1!$S$3:$S$8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5-3123-4561-92A7-F53D70C78C4A}"/>
            </c:ext>
          </c:extLst>
        </c:ser>
        <c:ser>
          <c:idx val="18"/>
          <c:order val="18"/>
          <c:tx>
            <c:strRef>
              <c:f>Feuil1!$T$1:$T$2</c:f>
              <c:strCache>
                <c:ptCount val="1"/>
                <c:pt idx="0">
                  <c:v>ORANTO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Feuil1!$T$3:$T$8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6-3123-4561-92A7-F53D70C78C4A}"/>
            </c:ext>
          </c:extLst>
        </c:ser>
        <c:ser>
          <c:idx val="19"/>
          <c:order val="19"/>
          <c:tx>
            <c:strRef>
              <c:f>Feuil1!$U$1:$U$2</c:f>
              <c:strCache>
                <c:ptCount val="1"/>
                <c:pt idx="0">
                  <c:v>PETROSEN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Feuil1!$U$3:$U$8</c:f>
              <c:numCache>
                <c:formatCode>_-* #,##0_-;\-* #,##0_-;_-* "-"??_-;_-@_-</c:formatCode>
                <c:ptCount val="5"/>
                <c:pt idx="3">
                  <c:v>-1270651585</c:v>
                </c:pt>
                <c:pt idx="4">
                  <c:v>1217788809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123-4561-92A7-F53D70C78C4A}"/>
            </c:ext>
          </c:extLst>
        </c:ser>
        <c:ser>
          <c:idx val="20"/>
          <c:order val="20"/>
          <c:tx>
            <c:strRef>
              <c:f>Feuil1!$V$1:$V$2</c:f>
              <c:strCache>
                <c:ptCount val="1"/>
                <c:pt idx="0">
                  <c:v>PMC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Feuil1!$V$3:$V$8</c:f>
              <c:numCache>
                <c:formatCode>_-* #,##0_-;\-* #,##0_-;_-* "-"??_-;_-@_-</c:formatCode>
                <c:ptCount val="5"/>
                <c:pt idx="0">
                  <c:v>49090566419</c:v>
                </c:pt>
                <c:pt idx="1">
                  <c:v>31337723864</c:v>
                </c:pt>
                <c:pt idx="2">
                  <c:v>22855910095</c:v>
                </c:pt>
                <c:pt idx="3">
                  <c:v>22694238966</c:v>
                </c:pt>
                <c:pt idx="4">
                  <c:v>36396157176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123-4561-92A7-F53D70C78C4A}"/>
            </c:ext>
          </c:extLst>
        </c:ser>
        <c:ser>
          <c:idx val="21"/>
          <c:order val="21"/>
          <c:tx>
            <c:strRef>
              <c:f>Feuil1!$W$1:$W$2</c:f>
              <c:strCache>
                <c:ptCount val="1"/>
                <c:pt idx="0">
                  <c:v>SEPHOS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Feuil1!$W$3:$W$8</c:f>
              <c:numCache>
                <c:formatCode>_-* #,##0_-;\-* #,##0_-;_-* "-"??_-;_-@_-</c:formatCode>
                <c:ptCount val="5"/>
                <c:pt idx="0">
                  <c:v>-766531809</c:v>
                </c:pt>
                <c:pt idx="3">
                  <c:v>1033485494</c:v>
                </c:pt>
                <c:pt idx="4">
                  <c:v>1663855770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123-4561-92A7-F53D70C78C4A}"/>
            </c:ext>
          </c:extLst>
        </c:ser>
        <c:ser>
          <c:idx val="22"/>
          <c:order val="22"/>
          <c:tx>
            <c:strRef>
              <c:f>Feuil1!$X$1:$X$2</c:f>
              <c:strCache>
                <c:ptCount val="1"/>
                <c:pt idx="0">
                  <c:v>SGO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Feuil1!$X$3:$X$8</c:f>
              <c:numCache>
                <c:formatCode>_-* #,##0_-;\-* #,##0_-;_-* "-"??_-;_-@_-</c:formatCode>
                <c:ptCount val="5"/>
                <c:pt idx="1">
                  <c:v>26718633081</c:v>
                </c:pt>
                <c:pt idx="2">
                  <c:v>143556313105</c:v>
                </c:pt>
                <c:pt idx="3">
                  <c:v>137096340502.89597</c:v>
                </c:pt>
                <c:pt idx="4">
                  <c:v>57851662541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123-4561-92A7-F53D70C78C4A}"/>
            </c:ext>
          </c:extLst>
        </c:ser>
        <c:ser>
          <c:idx val="23"/>
          <c:order val="23"/>
          <c:tx>
            <c:strRef>
              <c:f>Feuil1!$Y$1:$Y$2</c:f>
              <c:strCache>
                <c:ptCount val="1"/>
                <c:pt idx="0">
                  <c:v>SMC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Feuil1!$Y$3:$Y$8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B-3123-4561-92A7-F53D70C78C4A}"/>
            </c:ext>
          </c:extLst>
        </c:ser>
        <c:ser>
          <c:idx val="24"/>
          <c:order val="24"/>
          <c:tx>
            <c:strRef>
              <c:f>Feuil1!$Z$1:$Z$2</c:f>
              <c:strCache>
                <c:ptCount val="1"/>
                <c:pt idx="0">
                  <c:v>SOCOCIM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Feuil1!$Z$3:$Z$8</c:f>
              <c:numCache>
                <c:formatCode>_-* #,##0_-;\-* #,##0_-;_-* "-"??_-;_-@_-</c:formatCode>
                <c:ptCount val="5"/>
                <c:pt idx="1">
                  <c:v>12357368337</c:v>
                </c:pt>
                <c:pt idx="2">
                  <c:v>-3597241112</c:v>
                </c:pt>
                <c:pt idx="3">
                  <c:v>-2098860977</c:v>
                </c:pt>
                <c:pt idx="4">
                  <c:v>17523080081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123-4561-92A7-F53D70C78C4A}"/>
            </c:ext>
          </c:extLst>
        </c:ser>
        <c:ser>
          <c:idx val="25"/>
          <c:order val="25"/>
          <c:tx>
            <c:strRef>
              <c:f>Feuil1!$AA$1:$AA$2</c:f>
              <c:strCache>
                <c:ptCount val="1"/>
                <c:pt idx="0">
                  <c:v>SOMIVA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Feuil1!$AA$3:$AA$8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D-3123-4561-92A7-F53D70C78C4A}"/>
            </c:ext>
          </c:extLst>
        </c:ser>
        <c:ser>
          <c:idx val="26"/>
          <c:order val="26"/>
          <c:tx>
            <c:strRef>
              <c:f>Feuil1!$AB$1:$AB$2</c:f>
              <c:strCache>
                <c:ptCount val="1"/>
                <c:pt idx="0">
                  <c:v>SORED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Feuil1!$AB$3:$AB$8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E-3123-4561-92A7-F53D70C78C4A}"/>
            </c:ext>
          </c:extLst>
        </c:ser>
        <c:ser>
          <c:idx val="27"/>
          <c:order val="27"/>
          <c:tx>
            <c:strRef>
              <c:f>Feuil1!$AC$1:$AC$2</c:f>
              <c:strCache>
                <c:ptCount val="1"/>
                <c:pt idx="0">
                  <c:v>SSPT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Feuil1!$AC$3:$AC$8</c:f>
              <c:numCache>
                <c:formatCode>_-* #,##0_-;\-* #,##0_-;_-* "-"??_-;_-@_-</c:formatCode>
                <c:ptCount val="5"/>
                <c:pt idx="0">
                  <c:v>971677713</c:v>
                </c:pt>
                <c:pt idx="1">
                  <c:v>-274584431</c:v>
                </c:pt>
                <c:pt idx="2">
                  <c:v>355804282</c:v>
                </c:pt>
                <c:pt idx="3">
                  <c:v>-150948557</c:v>
                </c:pt>
                <c:pt idx="4">
                  <c:v>-283240460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123-4561-92A7-F53D70C78C4A}"/>
            </c:ext>
          </c:extLst>
        </c:ser>
        <c:ser>
          <c:idx val="28"/>
          <c:order val="28"/>
          <c:tx>
            <c:strRef>
              <c:f>Feuil1!$AD$1:$AD$2</c:f>
              <c:strCache>
                <c:ptCount val="1"/>
                <c:pt idx="0">
                  <c:v>TALIX MINES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Feuil1!$AD$3:$AD$8</c:f>
              <c:numCache>
                <c:formatCode>_-* #,##0_-;\-* #,##0_-;_-* "-"??_-;_-@_-</c:formatCode>
                <c:ptCount val="5"/>
                <c:pt idx="1">
                  <c:v>7158974</c:v>
                </c:pt>
                <c:pt idx="2">
                  <c:v>42874153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123-4561-92A7-F53D70C78C4A}"/>
            </c:ext>
          </c:extLst>
        </c:ser>
        <c:ser>
          <c:idx val="29"/>
          <c:order val="29"/>
          <c:tx>
            <c:strRef>
              <c:f>Feuil1!$AE$1:$AE$2</c:f>
              <c:strCache>
                <c:ptCount val="1"/>
                <c:pt idx="0">
                  <c:v>TOTAL E&amp;P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Feuil1!$AE$3:$AE$8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1-3123-4561-92A7-F53D70C78C4A}"/>
            </c:ext>
          </c:extLst>
        </c:ser>
        <c:ser>
          <c:idx val="30"/>
          <c:order val="30"/>
          <c:tx>
            <c:strRef>
              <c:f>Feuil1!$AF$1:$AF$2</c:f>
              <c:strCache>
                <c:ptCount val="1"/>
                <c:pt idx="0">
                  <c:v>WOODSIDE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Feuil1!$A$3:$A$8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Feuil1!$AF$3:$AF$8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32-3123-4561-92A7-F53D70C7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5554111"/>
        <c:axId val="205554527"/>
      </c:barChart>
      <c:catAx>
        <c:axId val="205554111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554527"/>
        <c:crosses val="autoZero"/>
        <c:auto val="1"/>
        <c:lblAlgn val="ctr"/>
        <c:lblOffset val="100"/>
        <c:noMultiLvlLbl val="0"/>
      </c:catAx>
      <c:valAx>
        <c:axId val="205554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55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5681655960028579E-2"/>
              <c:y val="3.499561590355097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AGEM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01-4E4A-90CB-F4D7CD55DC01}"/>
            </c:ext>
          </c:extLst>
        </c:ser>
        <c:ser>
          <c:idx val="1"/>
          <c:order val="1"/>
          <c:tx>
            <c:v>AIG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201-4E4A-90CB-F4D7CD55DC01}"/>
            </c:ext>
          </c:extLst>
        </c:ser>
        <c:ser>
          <c:idx val="2"/>
          <c:order val="2"/>
          <c:tx>
            <c:v>BARRICK GOLD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201-4E4A-90CB-F4D7CD55DC01}"/>
            </c:ext>
          </c:extLst>
        </c:ser>
        <c:ser>
          <c:idx val="3"/>
          <c:order val="3"/>
          <c:tx>
            <c:v>BMCC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A201-4E4A-90CB-F4D7CD55DC01}"/>
            </c:ext>
          </c:extLst>
        </c:ser>
        <c:ser>
          <c:idx val="4"/>
          <c:order val="4"/>
          <c:tx>
            <c:v>BP SENEGAL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01-4E4A-90CB-F4D7CD55DC01}"/>
            </c:ext>
          </c:extLst>
        </c:ser>
        <c:ser>
          <c:idx val="5"/>
          <c:order val="5"/>
          <c:tx>
            <c:v>CAPRICORN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A201-4E4A-90CB-F4D7CD55DC01}"/>
            </c:ext>
          </c:extLst>
        </c:ser>
        <c:ser>
          <c:idx val="6"/>
          <c:order val="6"/>
          <c:tx>
            <c:v>CDS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A201-4E4A-90CB-F4D7CD55DC01}"/>
              </c:ext>
            </c:extLst>
          </c:dPt>
          <c:dLbls>
            <c:dLbl>
              <c:idx val="0"/>
              <c:layout>
                <c:manualLayout>
                  <c:x val="-4.5681655960028579E-2"/>
                  <c:y val="3.499561590355097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201-4E4A-90CB-F4D7CD55DC0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113297503885</c:v>
              </c:pt>
            </c:numLit>
          </c:val>
          <c:extLst>
            <c:ext xmlns:c16="http://schemas.microsoft.com/office/drawing/2014/chart" uri="{C3380CC4-5D6E-409C-BE32-E72D297353CC}">
              <c16:uniqueId val="{0000000D-A201-4E4A-90CB-F4D7CD55DC01}"/>
            </c:ext>
          </c:extLst>
        </c:ser>
        <c:ser>
          <c:idx val="7"/>
          <c:order val="7"/>
          <c:tx>
            <c:v>COGECA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201-4E4A-90CB-F4D7CD55DC01}"/>
            </c:ext>
          </c:extLst>
        </c:ser>
        <c:ser>
          <c:idx val="8"/>
          <c:order val="8"/>
          <c:tx>
            <c:v>CSE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A201-4E4A-90CB-F4D7CD55DC01}"/>
            </c:ext>
          </c:extLst>
        </c:ser>
        <c:ser>
          <c:idx val="9"/>
          <c:order val="9"/>
          <c:tx>
            <c:v>DANGOTE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69683764705</c:v>
              </c:pt>
            </c:numLit>
          </c:val>
          <c:extLst>
            <c:ext xmlns:c16="http://schemas.microsoft.com/office/drawing/2014/chart" uri="{C3380CC4-5D6E-409C-BE32-E72D297353CC}">
              <c16:uniqueId val="{00000010-A201-4E4A-90CB-F4D7CD55DC01}"/>
            </c:ext>
          </c:extLst>
        </c:ser>
        <c:ser>
          <c:idx val="10"/>
          <c:order val="10"/>
          <c:tx>
            <c:v>FORTESA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201-4E4A-90CB-F4D7CD55DC01}"/>
            </c:ext>
          </c:extLst>
        </c:ser>
        <c:ser>
          <c:idx val="11"/>
          <c:order val="11"/>
          <c:tx>
            <c:v>GCO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115974923177</c:v>
              </c:pt>
            </c:numLit>
          </c:val>
          <c:extLst>
            <c:ext xmlns:c16="http://schemas.microsoft.com/office/drawing/2014/chart" uri="{C3380CC4-5D6E-409C-BE32-E72D297353CC}">
              <c16:uniqueId val="{00000012-A201-4E4A-90CB-F4D7CD55DC01}"/>
            </c:ext>
          </c:extLst>
        </c:ser>
        <c:ser>
          <c:idx val="12"/>
          <c:order val="12"/>
          <c:tx>
            <c:v>GECAMINES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201-4E4A-90CB-F4D7CD55DC01}"/>
            </c:ext>
          </c:extLst>
        </c:ser>
        <c:ser>
          <c:idx val="13"/>
          <c:order val="13"/>
          <c:tx>
            <c:v>GPHOS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A201-4E4A-90CB-F4D7CD55DC01}"/>
            </c:ext>
          </c:extLst>
        </c:ser>
        <c:ser>
          <c:idx val="14"/>
          <c:order val="14"/>
          <c:tx>
            <c:v>IAMGOLD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A201-4E4A-90CB-F4D7CD55DC01}"/>
            </c:ext>
          </c:extLst>
        </c:ser>
        <c:ser>
          <c:idx val="15"/>
          <c:order val="15"/>
          <c:tx>
            <c:v>ICS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201922549725</c:v>
              </c:pt>
            </c:numLit>
          </c:val>
          <c:extLst>
            <c:ext xmlns:c16="http://schemas.microsoft.com/office/drawing/2014/chart" uri="{C3380CC4-5D6E-409C-BE32-E72D297353CC}">
              <c16:uniqueId val="{00000016-A201-4E4A-90CB-F4D7CD55DC01}"/>
            </c:ext>
          </c:extLst>
        </c:ser>
        <c:ser>
          <c:idx val="16"/>
          <c:order val="16"/>
          <c:tx>
            <c:v>KOSMOS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A201-4E4A-90CB-F4D7CD55DC01}"/>
            </c:ext>
          </c:extLst>
        </c:ser>
        <c:ser>
          <c:idx val="17"/>
          <c:order val="17"/>
          <c:tx>
            <c:v>MIFERSO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A201-4E4A-90CB-F4D7CD55DC01}"/>
            </c:ext>
          </c:extLst>
        </c:ser>
        <c:ser>
          <c:idx val="18"/>
          <c:order val="18"/>
          <c:tx>
            <c:v>ORANTO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A201-4E4A-90CB-F4D7CD55DC01}"/>
            </c:ext>
          </c:extLst>
        </c:ser>
        <c:ser>
          <c:idx val="19"/>
          <c:order val="19"/>
          <c:tx>
            <c:v>PETROSEN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A201-4E4A-90CB-F4D7CD55DC01}"/>
            </c:ext>
          </c:extLst>
        </c:ser>
        <c:ser>
          <c:idx val="20"/>
          <c:order val="20"/>
          <c:tx>
            <c:v>PMC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157009696804</c:v>
              </c:pt>
            </c:numLit>
          </c:val>
          <c:extLst>
            <c:ext xmlns:c16="http://schemas.microsoft.com/office/drawing/2014/chart" uri="{C3380CC4-5D6E-409C-BE32-E72D297353CC}">
              <c16:uniqueId val="{0000001B-A201-4E4A-90CB-F4D7CD55DC01}"/>
            </c:ext>
          </c:extLst>
        </c:ser>
        <c:ser>
          <c:idx val="21"/>
          <c:order val="21"/>
          <c:tx>
            <c:v>SEPHOS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1618558530</c:v>
              </c:pt>
            </c:numLit>
          </c:val>
          <c:extLst>
            <c:ext xmlns:c16="http://schemas.microsoft.com/office/drawing/2014/chart" uri="{C3380CC4-5D6E-409C-BE32-E72D297353CC}">
              <c16:uniqueId val="{0000001C-A201-4E4A-90CB-F4D7CD55DC01}"/>
            </c:ext>
          </c:extLst>
        </c:ser>
        <c:ser>
          <c:idx val="22"/>
          <c:order val="22"/>
          <c:tx>
            <c:v>SGO</c:v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A201-4E4A-90CB-F4D7CD55DC01}"/>
            </c:ext>
          </c:extLst>
        </c:ser>
        <c:ser>
          <c:idx val="23"/>
          <c:order val="23"/>
          <c:tx>
            <c:v>SMC</c:v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A201-4E4A-90CB-F4D7CD55DC01}"/>
            </c:ext>
          </c:extLst>
        </c:ser>
        <c:ser>
          <c:idx val="24"/>
          <c:order val="24"/>
          <c:tx>
            <c:v>SOCOCIM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A201-4E4A-90CB-F4D7CD55DC01}"/>
            </c:ext>
          </c:extLst>
        </c:ser>
        <c:ser>
          <c:idx val="25"/>
          <c:order val="25"/>
          <c:tx>
            <c:v>SOMIVA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A201-4E4A-90CB-F4D7CD55DC01}"/>
            </c:ext>
          </c:extLst>
        </c:ser>
        <c:ser>
          <c:idx val="26"/>
          <c:order val="26"/>
          <c:tx>
            <c:v>SORED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1-A201-4E4A-90CB-F4D7CD55DC01}"/>
            </c:ext>
          </c:extLst>
        </c:ser>
        <c:ser>
          <c:idx val="27"/>
          <c:order val="27"/>
          <c:tx>
            <c:v>SSPT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8952032192</c:v>
              </c:pt>
            </c:numLit>
          </c:val>
          <c:extLst>
            <c:ext xmlns:c16="http://schemas.microsoft.com/office/drawing/2014/chart" uri="{C3380CC4-5D6E-409C-BE32-E72D297353CC}">
              <c16:uniqueId val="{00000022-A201-4E4A-90CB-F4D7CD55DC01}"/>
            </c:ext>
          </c:extLst>
        </c:ser>
        <c:ser>
          <c:idx val="28"/>
          <c:order val="28"/>
          <c:tx>
            <c:v>TALIX MINES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A201-4E4A-90CB-F4D7CD55DC01}"/>
            </c:ext>
          </c:extLst>
        </c:ser>
        <c:ser>
          <c:idx val="29"/>
          <c:order val="29"/>
          <c:tx>
            <c:v>TOTAL E&amp;P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4-A201-4E4A-90CB-F4D7CD55DC01}"/>
            </c:ext>
          </c:extLst>
        </c:ser>
        <c:ser>
          <c:idx val="30"/>
          <c:order val="30"/>
          <c:tx>
            <c:v>WOODSIDE</c:v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5-A201-4E4A-90CB-F4D7CD55D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199722591"/>
        <c:axId val="1199745887"/>
      </c:barChart>
      <c:catAx>
        <c:axId val="1199722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9745887"/>
        <c:crosses val="autoZero"/>
        <c:auto val="1"/>
        <c:lblAlgn val="ctr"/>
        <c:lblOffset val="100"/>
        <c:noMultiLvlLbl val="0"/>
      </c:catAx>
      <c:valAx>
        <c:axId val="119974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972259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7</xdr:row>
      <xdr:rowOff>28575</xdr:rowOff>
    </xdr:from>
    <xdr:to>
      <xdr:col>6</xdr:col>
      <xdr:colOff>695325</xdr:colOff>
      <xdr:row>21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F369102-7AA2-4D45-AF65-AD120052F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10</xdr:row>
      <xdr:rowOff>28575</xdr:rowOff>
    </xdr:from>
    <xdr:to>
      <xdr:col>10</xdr:col>
      <xdr:colOff>19050</xdr:colOff>
      <xdr:row>31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2CAE7DC-1FA7-48CC-AA8E-B9F00B63B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2</xdr:row>
      <xdr:rowOff>152400</xdr:rowOff>
    </xdr:from>
    <xdr:to>
      <xdr:col>8</xdr:col>
      <xdr:colOff>533400</xdr:colOff>
      <xdr:row>23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BE3E3C4-482E-4F06-AB16-94EFC173B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277050</xdr:colOff>
      <xdr:row>11</xdr:row>
      <xdr:rowOff>176390</xdr:rowOff>
    </xdr:from>
    <xdr:to>
      <xdr:col>13</xdr:col>
      <xdr:colOff>893705</xdr:colOff>
      <xdr:row>35</xdr:row>
      <xdr:rowOff>131117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8F92F2E-2971-4DB6-84E4-633DA5B7C9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2850023_2G3_EtafiEnExcel_2022_SG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Documents/biblioth&#232;que%20de%20travail/2%20El&#232;ve%20ing&#233;nieur/ISE/Cours/ISE3/Stage%20ITIE/Analyse%20ETAT/Liste%20entreprise/Etat%20Financier%20Entreprise%20E00/005844700_2G3_EtafiEnExcel_2022_PMC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dione\Desktop\MAJ%202025\MDIONE%202025\modele_etats_financiers_DGID%20(Nouveau)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325995_2G3_EtafiEnExcel_2024_CD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028797_2G3_EtafiEnExcel_2024_SSPT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0022955_2G3_EtafiEnExcel_2022_IC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4151750_22_EtafiEnExcel_2022_AGE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2236190_2G2_EtafiEnExcel_2022_Talix%20mine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2292168_2G3_EtafiEnExcel_2024_GECAMIN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002850023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/>
      <sheetData sheetId="1">
        <row r="10">
          <cell r="J10" t="str">
            <v>005844700</v>
          </cell>
          <cell r="V10">
            <v>44926</v>
          </cell>
          <cell r="AH10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 refreshError="1">
        <row r="10">
          <cell r="J10">
            <v>0</v>
          </cell>
          <cell r="V10">
            <v>0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000325995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 xml:space="preserve">000028797 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 xml:space="preserve">000022955  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004151750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002236190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002292168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ompte%20de%20r&#233;sultat_agregr&#233;_rapports_0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ompte%20de%20r&#233;sultat_agregr&#233;_rapports_01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e rachid traore" refreshedDate="46149.557048495371" createdVersion="3" refreshedVersion="7" minRefreshableVersion="3" recordCount="155" xr:uid="{7C511CEA-390A-4283-88CB-15698844B8B7}">
  <cacheSource type="worksheet">
    <worksheetSource ref="A1:D156" sheet="BASE" r:id="rId2"/>
  </cacheSource>
  <cacheFields count="4">
    <cacheField name="Entreprise" numFmtId="0">
      <sharedItems count="31">
        <s v="WOODSIDE"/>
        <s v="TOTAL E&amp;P"/>
        <s v="KOSMOS"/>
        <s v="SOMIVA"/>
        <s v="BARRICK GOLD"/>
        <s v="SMC"/>
        <s v="AIG"/>
        <s v="SORED"/>
        <s v="CAPRICORN"/>
        <s v="MIFERSO"/>
        <s v="ORANTO"/>
        <s v="SGO"/>
        <s v="PMC"/>
        <s v="GCO"/>
        <s v="GPHOS"/>
        <s v="CSE"/>
        <s v="SOCOCIM"/>
        <s v="CDS"/>
        <s v="SSPT"/>
        <s v="BP SENEGAL"/>
        <s v="ICS"/>
        <s v="IAMGOLD"/>
        <s v="BMCC"/>
        <s v="DANGOTE"/>
        <s v="AGEM"/>
        <s v="COGECA"/>
        <s v="SEPHOS"/>
        <s v="PETROSEN"/>
        <s v="TALIX MINES"/>
        <s v="GECAMINES"/>
        <s v="FORTESA"/>
      </sharedItems>
    </cacheField>
    <cacheField name="Annee" numFmtId="0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  <cacheField name="CA" numFmtId="0">
      <sharedItems containsBlank="1" containsMixedTypes="1" containsNumber="1" minValue="0" maxValue="566423853591"/>
    </cacheField>
    <cacheField name="RN" numFmtId="0">
      <sharedItems containsBlank="1" containsMixedTypes="1" containsNumber="1" minValue="-583451768027" maxValue="2301653202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e rachid traore" refreshedDate="46149.569651736114" createdVersion="7" refreshedVersion="7" minRefreshableVersion="3" recordCount="155" xr:uid="{7D9A817F-3F62-4E6E-8143-4202A8262892}">
  <cacheSource type="worksheet">
    <worksheetSource ref="A1:D156" sheet="BASE" r:id="rId2"/>
  </cacheSource>
  <cacheFields count="4">
    <cacheField name="Entreprise" numFmtId="0">
      <sharedItems count="31">
        <s v="WOODSIDE"/>
        <s v="TOTAL E&amp;P"/>
        <s v="KOSMOS"/>
        <s v="SOMIVA"/>
        <s v="BARRICK GOLD"/>
        <s v="SMC"/>
        <s v="AIG"/>
        <s v="SORED"/>
        <s v="CAPRICORN"/>
        <s v="MIFERSO"/>
        <s v="ORANTO"/>
        <s v="SGO"/>
        <s v="PMC"/>
        <s v="GCO"/>
        <s v="GPHOS"/>
        <s v="CSE"/>
        <s v="SOCOCIM"/>
        <s v="CDS"/>
        <s v="SSPT"/>
        <s v="BP SENEGAL"/>
        <s v="ICS"/>
        <s v="IAMGOLD"/>
        <s v="BMCC"/>
        <s v="DANGOTE"/>
        <s v="AGEM"/>
        <s v="COGECA"/>
        <s v="SEPHOS"/>
        <s v="PETROSEN"/>
        <s v="TALIX MINES"/>
        <s v="GECAMINES"/>
        <s v="FORTESA"/>
      </sharedItems>
    </cacheField>
    <cacheField name="Annee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  <cacheField name="CA" numFmtId="3">
      <sharedItems containsBlank="1" containsMixedTypes="1" containsNumber="1" minValue="0" maxValue="566423853591"/>
    </cacheField>
    <cacheField name="RN" numFmtId="3">
      <sharedItems containsBlank="1" containsMixedTypes="1" containsNumber="1" minValue="-583451768027" maxValue="2301653202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e rachid traore" refreshedDate="46153.46965914352" createdVersion="7" refreshedVersion="7" minRefreshableVersion="3" recordCount="156" xr:uid="{6B111E2B-4FA3-4251-9098-422E690C56A4}">
  <cacheSource type="worksheet">
    <worksheetSource ref="A1:D1048576" sheet="BASE"/>
  </cacheSource>
  <cacheFields count="4">
    <cacheField name="Entreprise" numFmtId="0">
      <sharedItems containsBlank="1" count="32">
        <s v="WOODSIDE"/>
        <s v="TOTAL E&amp;P"/>
        <s v="KOSMOS"/>
        <s v="SOMIVA"/>
        <s v="BARRICK GOLD"/>
        <s v="SMC"/>
        <s v="AIG"/>
        <s v="SORED"/>
        <s v="CAPRICORN"/>
        <s v="MIFERSO"/>
        <s v="ORANTO"/>
        <s v="SGO"/>
        <s v="PMC"/>
        <s v="GCO"/>
        <s v="GPHOS"/>
        <s v="CSE"/>
        <s v="SOCOCIM"/>
        <s v="CDS"/>
        <s v="SSPT"/>
        <s v="BP SENEGAL"/>
        <s v="ICS"/>
        <s v="IAMGOLD"/>
        <s v="BMCC"/>
        <s v="DANGOTE"/>
        <s v="AGEM"/>
        <s v="COGECA"/>
        <s v="SEPHOS"/>
        <s v="PETROSEN"/>
        <s v="TALIX MINES"/>
        <s v="GECAMINES"/>
        <s v="FORTESA"/>
        <m/>
      </sharedItems>
    </cacheField>
    <cacheField name="Annee" numFmtId="0">
      <sharedItems containsString="0" containsBlank="1" containsNumber="1" containsInteger="1" minValue="2020" maxValue="2024" count="6">
        <n v="2020"/>
        <n v="2021"/>
        <n v="2022"/>
        <n v="2023"/>
        <n v="2024"/>
        <m/>
      </sharedItems>
    </cacheField>
    <cacheField name="CA" numFmtId="0">
      <sharedItems containsString="0" containsBlank="1" containsNumber="1" minValue="0" maxValue="566423853591"/>
    </cacheField>
    <cacheField name="RN" numFmtId="0">
      <sharedItems containsString="0" containsBlank="1" containsNumber="1" minValue="-662893412476" maxValue="2301653202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">
  <r>
    <x v="0"/>
    <x v="0"/>
    <m/>
    <m/>
  </r>
  <r>
    <x v="0"/>
    <x v="1"/>
    <m/>
    <m/>
  </r>
  <r>
    <x v="0"/>
    <x v="2"/>
    <m/>
    <m/>
  </r>
  <r>
    <x v="0"/>
    <x v="3"/>
    <m/>
    <m/>
  </r>
  <r>
    <x v="0"/>
    <x v="4"/>
    <m/>
    <m/>
  </r>
  <r>
    <x v="1"/>
    <x v="0"/>
    <m/>
    <m/>
  </r>
  <r>
    <x v="1"/>
    <x v="1"/>
    <m/>
    <m/>
  </r>
  <r>
    <x v="1"/>
    <x v="2"/>
    <m/>
    <m/>
  </r>
  <r>
    <x v="1"/>
    <x v="3"/>
    <m/>
    <m/>
  </r>
  <r>
    <x v="1"/>
    <x v="4"/>
    <m/>
    <m/>
  </r>
  <r>
    <x v="2"/>
    <x v="0"/>
    <m/>
    <m/>
  </r>
  <r>
    <x v="2"/>
    <x v="1"/>
    <m/>
    <m/>
  </r>
  <r>
    <x v="2"/>
    <x v="2"/>
    <m/>
    <m/>
  </r>
  <r>
    <x v="2"/>
    <x v="3"/>
    <m/>
    <m/>
  </r>
  <r>
    <x v="2"/>
    <x v="4"/>
    <m/>
    <m/>
  </r>
  <r>
    <x v="3"/>
    <x v="0"/>
    <m/>
    <m/>
  </r>
  <r>
    <x v="3"/>
    <x v="1"/>
    <m/>
    <m/>
  </r>
  <r>
    <x v="3"/>
    <x v="2"/>
    <m/>
    <m/>
  </r>
  <r>
    <x v="3"/>
    <x v="3"/>
    <m/>
    <m/>
  </r>
  <r>
    <x v="3"/>
    <x v="4"/>
    <m/>
    <m/>
  </r>
  <r>
    <x v="4"/>
    <x v="0"/>
    <m/>
    <m/>
  </r>
  <r>
    <x v="4"/>
    <x v="1"/>
    <m/>
    <m/>
  </r>
  <r>
    <x v="4"/>
    <x v="2"/>
    <m/>
    <m/>
  </r>
  <r>
    <x v="4"/>
    <x v="3"/>
    <m/>
    <m/>
  </r>
  <r>
    <x v="4"/>
    <x v="4"/>
    <m/>
    <m/>
  </r>
  <r>
    <x v="5"/>
    <x v="0"/>
    <m/>
    <m/>
  </r>
  <r>
    <x v="5"/>
    <x v="1"/>
    <m/>
    <m/>
  </r>
  <r>
    <x v="5"/>
    <x v="2"/>
    <m/>
    <m/>
  </r>
  <r>
    <x v="5"/>
    <x v="3"/>
    <m/>
    <m/>
  </r>
  <r>
    <x v="5"/>
    <x v="4"/>
    <m/>
    <m/>
  </r>
  <r>
    <x v="6"/>
    <x v="0"/>
    <m/>
    <m/>
  </r>
  <r>
    <x v="6"/>
    <x v="1"/>
    <m/>
    <m/>
  </r>
  <r>
    <x v="6"/>
    <x v="2"/>
    <m/>
    <m/>
  </r>
  <r>
    <x v="6"/>
    <x v="3"/>
    <m/>
    <m/>
  </r>
  <r>
    <x v="6"/>
    <x v="4"/>
    <m/>
    <m/>
  </r>
  <r>
    <x v="7"/>
    <x v="0"/>
    <m/>
    <m/>
  </r>
  <r>
    <x v="7"/>
    <x v="1"/>
    <m/>
    <m/>
  </r>
  <r>
    <x v="7"/>
    <x v="2"/>
    <m/>
    <m/>
  </r>
  <r>
    <x v="7"/>
    <x v="3"/>
    <m/>
    <m/>
  </r>
  <r>
    <x v="7"/>
    <x v="4"/>
    <m/>
    <m/>
  </r>
  <r>
    <x v="8"/>
    <x v="0"/>
    <m/>
    <m/>
  </r>
  <r>
    <x v="8"/>
    <x v="1"/>
    <m/>
    <m/>
  </r>
  <r>
    <x v="8"/>
    <x v="2"/>
    <m/>
    <m/>
  </r>
  <r>
    <x v="8"/>
    <x v="3"/>
    <m/>
    <m/>
  </r>
  <r>
    <x v="8"/>
    <x v="4"/>
    <m/>
    <m/>
  </r>
  <r>
    <x v="9"/>
    <x v="0"/>
    <m/>
    <m/>
  </r>
  <r>
    <x v="9"/>
    <x v="1"/>
    <m/>
    <m/>
  </r>
  <r>
    <x v="9"/>
    <x v="2"/>
    <m/>
    <m/>
  </r>
  <r>
    <x v="9"/>
    <x v="3"/>
    <m/>
    <m/>
  </r>
  <r>
    <x v="9"/>
    <x v="4"/>
    <m/>
    <m/>
  </r>
  <r>
    <x v="10"/>
    <x v="0"/>
    <m/>
    <m/>
  </r>
  <r>
    <x v="10"/>
    <x v="1"/>
    <m/>
    <m/>
  </r>
  <r>
    <x v="10"/>
    <x v="2"/>
    <m/>
    <m/>
  </r>
  <r>
    <x v="10"/>
    <x v="3"/>
    <m/>
    <m/>
  </r>
  <r>
    <x v="10"/>
    <x v="4"/>
    <m/>
    <m/>
  </r>
  <r>
    <x v="11"/>
    <x v="0"/>
    <m/>
    <m/>
  </r>
  <r>
    <x v="11"/>
    <x v="1"/>
    <n v="459975250746"/>
    <n v="26718633081"/>
  </r>
  <r>
    <x v="11"/>
    <x v="2"/>
    <n v="392961612956"/>
    <n v="143556313105"/>
  </r>
  <r>
    <x v="11"/>
    <x v="3"/>
    <n v="354075329142.07953"/>
    <n v="137096340502.89597"/>
  </r>
  <r>
    <x v="11"/>
    <x v="4"/>
    <n v="337162693235"/>
    <n v="57851662541"/>
  </r>
  <r>
    <x v="12"/>
    <x v="0"/>
    <n v="157009696804"/>
    <n v="49090566419"/>
  </r>
  <r>
    <x v="12"/>
    <x v="1"/>
    <n v="123502918007"/>
    <n v="31337723864"/>
  </r>
  <r>
    <x v="12"/>
    <x v="2"/>
    <n v="147862815768"/>
    <n v="22855910095"/>
  </r>
  <r>
    <x v="12"/>
    <x v="3"/>
    <n v="138230031552"/>
    <n v="22694238966"/>
  </r>
  <r>
    <x v="12"/>
    <x v="4"/>
    <n v="175133858574"/>
    <n v="36396157176"/>
  </r>
  <r>
    <x v="13"/>
    <x v="0"/>
    <n v="115974923177"/>
    <n v="53061400347"/>
  </r>
  <r>
    <x v="13"/>
    <x v="1"/>
    <n v="148257573911.29999"/>
    <n v="13254337442.02"/>
  </r>
  <r>
    <x v="13"/>
    <x v="2"/>
    <n v="208567180824"/>
    <n v="57698846122"/>
  </r>
  <r>
    <x v="13"/>
    <x v="3"/>
    <n v="141064555704"/>
    <n v="21709050224"/>
  </r>
  <r>
    <x v="13"/>
    <x v="4"/>
    <n v="171081298200"/>
    <n v="14423265142"/>
  </r>
  <r>
    <x v="14"/>
    <x v="0"/>
    <m/>
    <m/>
  </r>
  <r>
    <x v="14"/>
    <x v="1"/>
    <n v="0"/>
    <n v="-52436153"/>
  </r>
  <r>
    <x v="14"/>
    <x v="2"/>
    <n v="357766575"/>
    <n v="-25741181"/>
  </r>
  <r>
    <x v="14"/>
    <x v="3"/>
    <n v="590714400"/>
    <n v="-130773503"/>
  </r>
  <r>
    <x v="14"/>
    <x v="4"/>
    <n v="339990650"/>
    <n v="-326048897"/>
  </r>
  <r>
    <x v="15"/>
    <x v="0"/>
    <m/>
    <m/>
  </r>
  <r>
    <x v="15"/>
    <x v="1"/>
    <n v="12244307867"/>
    <n v="515575109"/>
  </r>
  <r>
    <x v="15"/>
    <x v="2"/>
    <n v="15759900201"/>
    <n v="609301525"/>
  </r>
  <r>
    <x v="15"/>
    <x v="3"/>
    <n v="19848701001"/>
    <n v="935630309"/>
  </r>
  <r>
    <x v="15"/>
    <x v="4"/>
    <n v="17890982807"/>
    <n v="538338515"/>
  </r>
  <r>
    <x v="16"/>
    <x v="0"/>
    <m/>
    <m/>
  </r>
  <r>
    <x v="16"/>
    <x v="1"/>
    <n v="157773737762"/>
    <n v="12357368337"/>
  </r>
  <r>
    <x v="16"/>
    <x v="2"/>
    <n v="161020148826"/>
    <n v="-3597241112"/>
  </r>
  <r>
    <x v="16"/>
    <x v="3"/>
    <n v="167004925900"/>
    <n v="-2098860977"/>
  </r>
  <r>
    <x v="16"/>
    <x v="4"/>
    <n v="162510769325"/>
    <n v="17523080081"/>
  </r>
  <r>
    <x v="17"/>
    <x v="0"/>
    <n v="113297503885"/>
    <n v="33805580013"/>
  </r>
  <r>
    <x v="17"/>
    <x v="1"/>
    <n v="125938701894"/>
    <n v="26998231133"/>
  </r>
  <r>
    <x v="17"/>
    <x v="2"/>
    <n v="163864492567"/>
    <n v="9473766747"/>
  </r>
  <r>
    <x v="17"/>
    <x v="3"/>
    <n v="208039398219"/>
    <n v="45379996833"/>
  </r>
  <r>
    <x v="17"/>
    <x v="4"/>
    <n v="208275366815"/>
    <n v="40151124119"/>
  </r>
  <r>
    <x v="18"/>
    <x v="0"/>
    <n v="8952032192"/>
    <n v="971677713"/>
  </r>
  <r>
    <x v="18"/>
    <x v="1"/>
    <n v="8140087334"/>
    <n v="-274584431"/>
  </r>
  <r>
    <x v="18"/>
    <x v="2"/>
    <n v="4002286439"/>
    <n v="355804282"/>
  </r>
  <r>
    <x v="18"/>
    <x v="3"/>
    <n v="5321602264"/>
    <n v="-150948557"/>
  </r>
  <r>
    <x v="18"/>
    <x v="4"/>
    <n v="4913023137"/>
    <n v="-283240460"/>
  </r>
  <r>
    <x v="19"/>
    <x v="0"/>
    <m/>
    <m/>
  </r>
  <r>
    <x v="19"/>
    <x v="1"/>
    <m/>
    <m/>
  </r>
  <r>
    <x v="19"/>
    <x v="2"/>
    <m/>
    <n v="-583451768027"/>
  </r>
  <r>
    <x v="19"/>
    <x v="3"/>
    <m/>
    <n v="-525642165189"/>
  </r>
  <r>
    <x v="19"/>
    <x v="4"/>
    <m/>
    <m/>
  </r>
  <r>
    <x v="20"/>
    <x v="0"/>
    <n v="201922549725"/>
    <n v="37985634536"/>
  </r>
  <r>
    <x v="20"/>
    <x v="1"/>
    <n v="344543113621"/>
    <n v="117477649557"/>
  </r>
  <r>
    <x v="20"/>
    <x v="2"/>
    <n v="566423853591"/>
    <n v="230165320277"/>
  </r>
  <r>
    <x v="20"/>
    <x v="3"/>
    <m/>
    <m/>
  </r>
  <r>
    <x v="20"/>
    <x v="4"/>
    <m/>
    <m/>
  </r>
  <r>
    <x v="21"/>
    <x v="0"/>
    <m/>
    <m/>
  </r>
  <r>
    <x v="21"/>
    <x v="1"/>
    <m/>
    <n v="0"/>
  </r>
  <r>
    <x v="21"/>
    <x v="2"/>
    <n v="0"/>
    <n v="0"/>
  </r>
  <r>
    <x v="21"/>
    <x v="3"/>
    <m/>
    <m/>
  </r>
  <r>
    <x v="21"/>
    <x v="4"/>
    <m/>
    <m/>
  </r>
  <r>
    <x v="22"/>
    <x v="0"/>
    <m/>
    <m/>
  </r>
  <r>
    <x v="22"/>
    <x v="1"/>
    <m/>
    <m/>
  </r>
  <r>
    <x v="22"/>
    <x v="2"/>
    <s v="2 632 606 203"/>
    <s v="-4 142 212 315"/>
  </r>
  <r>
    <x v="22"/>
    <x v="3"/>
    <n v="7699622013"/>
    <n v="-3975136492"/>
  </r>
  <r>
    <x v="22"/>
    <x v="4"/>
    <n v="10401453748"/>
    <n v="-7726090136"/>
  </r>
  <r>
    <x v="23"/>
    <x v="0"/>
    <n v="69683764705"/>
    <n v="26991933037"/>
  </r>
  <r>
    <x v="23"/>
    <x v="1"/>
    <n v="69573490910"/>
    <n v="16694787635"/>
  </r>
  <r>
    <x v="23"/>
    <x v="2"/>
    <n v="49581280381"/>
    <n v="-6608648871"/>
  </r>
  <r>
    <x v="23"/>
    <x v="3"/>
    <s v="82 980 455 719"/>
    <s v="14 713 048 916"/>
  </r>
  <r>
    <x v="23"/>
    <x v="4"/>
    <m/>
    <m/>
  </r>
  <r>
    <x v="24"/>
    <x v="0"/>
    <m/>
    <m/>
  </r>
  <r>
    <x v="24"/>
    <x v="1"/>
    <n v="0"/>
    <n v="0"/>
  </r>
  <r>
    <x v="24"/>
    <x v="2"/>
    <n v="0"/>
    <n v="0"/>
  </r>
  <r>
    <x v="24"/>
    <x v="3"/>
    <m/>
    <m/>
  </r>
  <r>
    <x v="24"/>
    <x v="4"/>
    <m/>
    <m/>
  </r>
  <r>
    <x v="25"/>
    <x v="0"/>
    <m/>
    <m/>
  </r>
  <r>
    <x v="25"/>
    <x v="1"/>
    <n v="23066725181"/>
    <n v="3309380514"/>
  </r>
  <r>
    <x v="25"/>
    <x v="2"/>
    <n v="24969073870"/>
    <n v="1360984077"/>
  </r>
  <r>
    <x v="25"/>
    <x v="3"/>
    <m/>
    <m/>
  </r>
  <r>
    <x v="25"/>
    <x v="4"/>
    <m/>
    <m/>
  </r>
  <r>
    <x v="26"/>
    <x v="0"/>
    <n v="1618558530"/>
    <n v="-766531809"/>
  </r>
  <r>
    <x v="26"/>
    <x v="1"/>
    <m/>
    <m/>
  </r>
  <r>
    <x v="26"/>
    <x v="2"/>
    <m/>
    <m/>
  </r>
  <r>
    <x v="26"/>
    <x v="3"/>
    <n v="9558234759"/>
    <n v="1033485494"/>
  </r>
  <r>
    <x v="26"/>
    <x v="4"/>
    <n v="13089313273"/>
    <n v="1663855770"/>
  </r>
  <r>
    <x v="27"/>
    <x v="0"/>
    <m/>
    <m/>
  </r>
  <r>
    <x v="27"/>
    <x v="1"/>
    <m/>
    <m/>
  </r>
  <r>
    <x v="27"/>
    <x v="2"/>
    <m/>
    <m/>
  </r>
  <r>
    <x v="27"/>
    <x v="3"/>
    <n v="903294089"/>
    <n v="-1270651585"/>
  </r>
  <r>
    <x v="27"/>
    <x v="4"/>
    <n v="2756043638"/>
    <n v="1217788809"/>
  </r>
  <r>
    <x v="28"/>
    <x v="0"/>
    <m/>
    <m/>
  </r>
  <r>
    <x v="28"/>
    <x v="1"/>
    <n v="2165007264"/>
    <n v="7158974"/>
  </r>
  <r>
    <x v="28"/>
    <x v="2"/>
    <n v="1859866061"/>
    <n v="42874153"/>
  </r>
  <r>
    <x v="28"/>
    <x v="3"/>
    <m/>
    <m/>
  </r>
  <r>
    <x v="28"/>
    <x v="4"/>
    <m/>
    <m/>
  </r>
  <r>
    <x v="29"/>
    <x v="0"/>
    <m/>
    <m/>
  </r>
  <r>
    <x v="29"/>
    <x v="1"/>
    <n v="20499650589"/>
    <n v="1326970463"/>
  </r>
  <r>
    <x v="29"/>
    <x v="2"/>
    <n v="25969829256"/>
    <n v="1812203836"/>
  </r>
  <r>
    <x v="29"/>
    <x v="3"/>
    <n v="30323647321"/>
    <n v="1731869558"/>
  </r>
  <r>
    <x v="29"/>
    <x v="4"/>
    <n v="30671525768"/>
    <n v="1997358711"/>
  </r>
  <r>
    <x v="30"/>
    <x v="0"/>
    <m/>
    <m/>
  </r>
  <r>
    <x v="30"/>
    <x v="1"/>
    <m/>
    <m/>
  </r>
  <r>
    <x v="30"/>
    <x v="2"/>
    <m/>
    <m/>
  </r>
  <r>
    <x v="30"/>
    <x v="3"/>
    <n v="0"/>
    <n v="0"/>
  </r>
  <r>
    <x v="30"/>
    <x v="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">
  <r>
    <x v="0"/>
    <x v="0"/>
    <m/>
    <m/>
  </r>
  <r>
    <x v="0"/>
    <x v="1"/>
    <m/>
    <m/>
  </r>
  <r>
    <x v="0"/>
    <x v="2"/>
    <m/>
    <m/>
  </r>
  <r>
    <x v="0"/>
    <x v="3"/>
    <m/>
    <m/>
  </r>
  <r>
    <x v="0"/>
    <x v="4"/>
    <m/>
    <m/>
  </r>
  <r>
    <x v="1"/>
    <x v="0"/>
    <m/>
    <m/>
  </r>
  <r>
    <x v="1"/>
    <x v="1"/>
    <m/>
    <m/>
  </r>
  <r>
    <x v="1"/>
    <x v="2"/>
    <m/>
    <m/>
  </r>
  <r>
    <x v="1"/>
    <x v="3"/>
    <m/>
    <m/>
  </r>
  <r>
    <x v="1"/>
    <x v="4"/>
    <m/>
    <m/>
  </r>
  <r>
    <x v="2"/>
    <x v="0"/>
    <m/>
    <m/>
  </r>
  <r>
    <x v="2"/>
    <x v="1"/>
    <m/>
    <m/>
  </r>
  <r>
    <x v="2"/>
    <x v="2"/>
    <m/>
    <m/>
  </r>
  <r>
    <x v="2"/>
    <x v="3"/>
    <m/>
    <m/>
  </r>
  <r>
    <x v="2"/>
    <x v="4"/>
    <m/>
    <m/>
  </r>
  <r>
    <x v="3"/>
    <x v="0"/>
    <m/>
    <m/>
  </r>
  <r>
    <x v="3"/>
    <x v="1"/>
    <m/>
    <m/>
  </r>
  <r>
    <x v="3"/>
    <x v="2"/>
    <m/>
    <m/>
  </r>
  <r>
    <x v="3"/>
    <x v="3"/>
    <m/>
    <m/>
  </r>
  <r>
    <x v="3"/>
    <x v="4"/>
    <m/>
    <m/>
  </r>
  <r>
    <x v="4"/>
    <x v="0"/>
    <m/>
    <m/>
  </r>
  <r>
    <x v="4"/>
    <x v="1"/>
    <m/>
    <m/>
  </r>
  <r>
    <x v="4"/>
    <x v="2"/>
    <m/>
    <m/>
  </r>
  <r>
    <x v="4"/>
    <x v="3"/>
    <m/>
    <m/>
  </r>
  <r>
    <x v="4"/>
    <x v="4"/>
    <m/>
    <m/>
  </r>
  <r>
    <x v="5"/>
    <x v="0"/>
    <m/>
    <m/>
  </r>
  <r>
    <x v="5"/>
    <x v="1"/>
    <m/>
    <m/>
  </r>
  <r>
    <x v="5"/>
    <x v="2"/>
    <m/>
    <m/>
  </r>
  <r>
    <x v="5"/>
    <x v="3"/>
    <m/>
    <m/>
  </r>
  <r>
    <x v="5"/>
    <x v="4"/>
    <m/>
    <m/>
  </r>
  <r>
    <x v="6"/>
    <x v="0"/>
    <m/>
    <m/>
  </r>
  <r>
    <x v="6"/>
    <x v="1"/>
    <m/>
    <m/>
  </r>
  <r>
    <x v="6"/>
    <x v="2"/>
    <m/>
    <m/>
  </r>
  <r>
    <x v="6"/>
    <x v="3"/>
    <m/>
    <m/>
  </r>
  <r>
    <x v="6"/>
    <x v="4"/>
    <m/>
    <m/>
  </r>
  <r>
    <x v="7"/>
    <x v="0"/>
    <m/>
    <m/>
  </r>
  <r>
    <x v="7"/>
    <x v="1"/>
    <m/>
    <m/>
  </r>
  <r>
    <x v="7"/>
    <x v="2"/>
    <m/>
    <m/>
  </r>
  <r>
    <x v="7"/>
    <x v="3"/>
    <m/>
    <m/>
  </r>
  <r>
    <x v="7"/>
    <x v="4"/>
    <m/>
    <m/>
  </r>
  <r>
    <x v="8"/>
    <x v="0"/>
    <m/>
    <m/>
  </r>
  <r>
    <x v="8"/>
    <x v="1"/>
    <m/>
    <m/>
  </r>
  <r>
    <x v="8"/>
    <x v="2"/>
    <m/>
    <m/>
  </r>
  <r>
    <x v="8"/>
    <x v="3"/>
    <m/>
    <m/>
  </r>
  <r>
    <x v="8"/>
    <x v="4"/>
    <m/>
    <m/>
  </r>
  <r>
    <x v="9"/>
    <x v="0"/>
    <m/>
    <m/>
  </r>
  <r>
    <x v="9"/>
    <x v="1"/>
    <m/>
    <m/>
  </r>
  <r>
    <x v="9"/>
    <x v="2"/>
    <m/>
    <m/>
  </r>
  <r>
    <x v="9"/>
    <x v="3"/>
    <m/>
    <m/>
  </r>
  <r>
    <x v="9"/>
    <x v="4"/>
    <m/>
    <m/>
  </r>
  <r>
    <x v="10"/>
    <x v="0"/>
    <m/>
    <m/>
  </r>
  <r>
    <x v="10"/>
    <x v="1"/>
    <m/>
    <m/>
  </r>
  <r>
    <x v="10"/>
    <x v="2"/>
    <m/>
    <m/>
  </r>
  <r>
    <x v="10"/>
    <x v="3"/>
    <m/>
    <m/>
  </r>
  <r>
    <x v="10"/>
    <x v="4"/>
    <m/>
    <m/>
  </r>
  <r>
    <x v="11"/>
    <x v="0"/>
    <m/>
    <m/>
  </r>
  <r>
    <x v="11"/>
    <x v="1"/>
    <n v="459975250746"/>
    <n v="26718633081"/>
  </r>
  <r>
    <x v="11"/>
    <x v="2"/>
    <n v="392961612956"/>
    <n v="143556313105"/>
  </r>
  <r>
    <x v="11"/>
    <x v="3"/>
    <n v="354075329142.07953"/>
    <n v="137096340502.89597"/>
  </r>
  <r>
    <x v="11"/>
    <x v="4"/>
    <n v="337162693235"/>
    <n v="57851662541"/>
  </r>
  <r>
    <x v="12"/>
    <x v="0"/>
    <n v="157009696804"/>
    <n v="49090566419"/>
  </r>
  <r>
    <x v="12"/>
    <x v="1"/>
    <n v="123502918007"/>
    <n v="31337723864"/>
  </r>
  <r>
    <x v="12"/>
    <x v="2"/>
    <n v="147862815768"/>
    <n v="22855910095"/>
  </r>
  <r>
    <x v="12"/>
    <x v="3"/>
    <n v="138230031552"/>
    <n v="22694238966"/>
  </r>
  <r>
    <x v="12"/>
    <x v="4"/>
    <n v="175133858574"/>
    <n v="36396157176"/>
  </r>
  <r>
    <x v="13"/>
    <x v="0"/>
    <n v="115974923177"/>
    <n v="53061400347"/>
  </r>
  <r>
    <x v="13"/>
    <x v="1"/>
    <n v="148257573911.29999"/>
    <n v="13254337442.02"/>
  </r>
  <r>
    <x v="13"/>
    <x v="2"/>
    <n v="208567180824"/>
    <n v="57698846122"/>
  </r>
  <r>
    <x v="13"/>
    <x v="3"/>
    <n v="141064555704"/>
    <n v="21709050224"/>
  </r>
  <r>
    <x v="13"/>
    <x v="4"/>
    <n v="171081298200"/>
    <n v="14423265142"/>
  </r>
  <r>
    <x v="14"/>
    <x v="0"/>
    <m/>
    <m/>
  </r>
  <r>
    <x v="14"/>
    <x v="1"/>
    <n v="0"/>
    <n v="-52436153"/>
  </r>
  <r>
    <x v="14"/>
    <x v="2"/>
    <n v="357766575"/>
    <n v="-25741181"/>
  </r>
  <r>
    <x v="14"/>
    <x v="3"/>
    <n v="590714400"/>
    <n v="-130773503"/>
  </r>
  <r>
    <x v="14"/>
    <x v="4"/>
    <n v="339990650"/>
    <n v="-326048897"/>
  </r>
  <r>
    <x v="15"/>
    <x v="0"/>
    <m/>
    <m/>
  </r>
  <r>
    <x v="15"/>
    <x v="1"/>
    <n v="12244307867"/>
    <n v="515575109"/>
  </r>
  <r>
    <x v="15"/>
    <x v="2"/>
    <n v="15759900201"/>
    <n v="609301525"/>
  </r>
  <r>
    <x v="15"/>
    <x v="3"/>
    <n v="19848701001"/>
    <n v="935630309"/>
  </r>
  <r>
    <x v="15"/>
    <x v="4"/>
    <n v="17890982807"/>
    <n v="538338515"/>
  </r>
  <r>
    <x v="16"/>
    <x v="0"/>
    <m/>
    <m/>
  </r>
  <r>
    <x v="16"/>
    <x v="1"/>
    <n v="157773737762"/>
    <n v="12357368337"/>
  </r>
  <r>
    <x v="16"/>
    <x v="2"/>
    <n v="161020148826"/>
    <n v="-3597241112"/>
  </r>
  <r>
    <x v="16"/>
    <x v="3"/>
    <n v="167004925900"/>
    <n v="-2098860977"/>
  </r>
  <r>
    <x v="16"/>
    <x v="4"/>
    <n v="162510769325"/>
    <n v="17523080081"/>
  </r>
  <r>
    <x v="17"/>
    <x v="0"/>
    <n v="113297503885"/>
    <n v="33805580013"/>
  </r>
  <r>
    <x v="17"/>
    <x v="1"/>
    <n v="125938701894"/>
    <n v="26998231133"/>
  </r>
  <r>
    <x v="17"/>
    <x v="2"/>
    <n v="163864492567"/>
    <n v="9473766747"/>
  </r>
  <r>
    <x v="17"/>
    <x v="3"/>
    <n v="208039398219"/>
    <n v="45379996833"/>
  </r>
  <r>
    <x v="17"/>
    <x v="4"/>
    <n v="208275366815"/>
    <n v="40151124119"/>
  </r>
  <r>
    <x v="18"/>
    <x v="0"/>
    <n v="8952032192"/>
    <n v="971677713"/>
  </r>
  <r>
    <x v="18"/>
    <x v="1"/>
    <n v="8140087334"/>
    <n v="-274584431"/>
  </r>
  <r>
    <x v="18"/>
    <x v="2"/>
    <n v="4002286439"/>
    <n v="355804282"/>
  </r>
  <r>
    <x v="18"/>
    <x v="3"/>
    <n v="5321602264"/>
    <n v="-150948557"/>
  </r>
  <r>
    <x v="18"/>
    <x v="4"/>
    <n v="4913023137"/>
    <n v="-283240460"/>
  </r>
  <r>
    <x v="19"/>
    <x v="0"/>
    <m/>
    <m/>
  </r>
  <r>
    <x v="19"/>
    <x v="1"/>
    <m/>
    <m/>
  </r>
  <r>
    <x v="19"/>
    <x v="2"/>
    <m/>
    <n v="-583451768027"/>
  </r>
  <r>
    <x v="19"/>
    <x v="3"/>
    <m/>
    <n v="-525642165189"/>
  </r>
  <r>
    <x v="19"/>
    <x v="4"/>
    <m/>
    <m/>
  </r>
  <r>
    <x v="20"/>
    <x v="0"/>
    <n v="201922549725"/>
    <n v="37985634536"/>
  </r>
  <r>
    <x v="20"/>
    <x v="1"/>
    <n v="344543113621"/>
    <n v="117477649557"/>
  </r>
  <r>
    <x v="20"/>
    <x v="2"/>
    <n v="566423853591"/>
    <n v="230165320277"/>
  </r>
  <r>
    <x v="20"/>
    <x v="3"/>
    <m/>
    <m/>
  </r>
  <r>
    <x v="20"/>
    <x v="4"/>
    <m/>
    <m/>
  </r>
  <r>
    <x v="21"/>
    <x v="0"/>
    <m/>
    <m/>
  </r>
  <r>
    <x v="21"/>
    <x v="1"/>
    <m/>
    <n v="0"/>
  </r>
  <r>
    <x v="21"/>
    <x v="2"/>
    <n v="0"/>
    <n v="0"/>
  </r>
  <r>
    <x v="21"/>
    <x v="3"/>
    <m/>
    <m/>
  </r>
  <r>
    <x v="21"/>
    <x v="4"/>
    <m/>
    <m/>
  </r>
  <r>
    <x v="22"/>
    <x v="0"/>
    <m/>
    <m/>
  </r>
  <r>
    <x v="22"/>
    <x v="1"/>
    <m/>
    <m/>
  </r>
  <r>
    <x v="22"/>
    <x v="2"/>
    <s v="2 632 606 203"/>
    <s v="-4 142 212 315"/>
  </r>
  <r>
    <x v="22"/>
    <x v="3"/>
    <n v="7699622013"/>
    <n v="-3975136492"/>
  </r>
  <r>
    <x v="22"/>
    <x v="4"/>
    <n v="10401453748"/>
    <n v="-7726090136"/>
  </r>
  <r>
    <x v="23"/>
    <x v="0"/>
    <n v="69683764705"/>
    <n v="26991933037"/>
  </r>
  <r>
    <x v="23"/>
    <x v="1"/>
    <n v="69573490910"/>
    <n v="16694787635"/>
  </r>
  <r>
    <x v="23"/>
    <x v="2"/>
    <n v="49581280381"/>
    <n v="-6608648871"/>
  </r>
  <r>
    <x v="23"/>
    <x v="3"/>
    <s v="82 980 455 719"/>
    <s v="14 713 048 916"/>
  </r>
  <r>
    <x v="23"/>
    <x v="4"/>
    <m/>
    <m/>
  </r>
  <r>
    <x v="24"/>
    <x v="0"/>
    <m/>
    <m/>
  </r>
  <r>
    <x v="24"/>
    <x v="1"/>
    <n v="0"/>
    <n v="0"/>
  </r>
  <r>
    <x v="24"/>
    <x v="2"/>
    <n v="0"/>
    <n v="0"/>
  </r>
  <r>
    <x v="24"/>
    <x v="3"/>
    <m/>
    <m/>
  </r>
  <r>
    <x v="24"/>
    <x v="4"/>
    <m/>
    <m/>
  </r>
  <r>
    <x v="25"/>
    <x v="0"/>
    <m/>
    <m/>
  </r>
  <r>
    <x v="25"/>
    <x v="1"/>
    <n v="23066725181"/>
    <n v="3309380514"/>
  </r>
  <r>
    <x v="25"/>
    <x v="2"/>
    <n v="24969073870"/>
    <n v="1360984077"/>
  </r>
  <r>
    <x v="25"/>
    <x v="3"/>
    <m/>
    <m/>
  </r>
  <r>
    <x v="25"/>
    <x v="4"/>
    <m/>
    <m/>
  </r>
  <r>
    <x v="26"/>
    <x v="0"/>
    <n v="1618558530"/>
    <n v="-766531809"/>
  </r>
  <r>
    <x v="26"/>
    <x v="1"/>
    <m/>
    <m/>
  </r>
  <r>
    <x v="26"/>
    <x v="2"/>
    <m/>
    <m/>
  </r>
  <r>
    <x v="26"/>
    <x v="3"/>
    <n v="9558234759"/>
    <n v="1033485494"/>
  </r>
  <r>
    <x v="26"/>
    <x v="4"/>
    <n v="13089313273"/>
    <n v="1663855770"/>
  </r>
  <r>
    <x v="27"/>
    <x v="0"/>
    <m/>
    <m/>
  </r>
  <r>
    <x v="27"/>
    <x v="1"/>
    <m/>
    <m/>
  </r>
  <r>
    <x v="27"/>
    <x v="2"/>
    <m/>
    <m/>
  </r>
  <r>
    <x v="27"/>
    <x v="3"/>
    <n v="903294089"/>
    <n v="-1270651585"/>
  </r>
  <r>
    <x v="27"/>
    <x v="4"/>
    <n v="2756043638"/>
    <n v="1217788809"/>
  </r>
  <r>
    <x v="28"/>
    <x v="0"/>
    <m/>
    <m/>
  </r>
  <r>
    <x v="28"/>
    <x v="1"/>
    <n v="2165007264"/>
    <n v="7158974"/>
  </r>
  <r>
    <x v="28"/>
    <x v="2"/>
    <n v="1859866061"/>
    <n v="42874153"/>
  </r>
  <r>
    <x v="28"/>
    <x v="3"/>
    <m/>
    <m/>
  </r>
  <r>
    <x v="28"/>
    <x v="4"/>
    <m/>
    <m/>
  </r>
  <r>
    <x v="29"/>
    <x v="0"/>
    <m/>
    <m/>
  </r>
  <r>
    <x v="29"/>
    <x v="1"/>
    <n v="20499650589"/>
    <n v="1326970463"/>
  </r>
  <r>
    <x v="29"/>
    <x v="2"/>
    <n v="25969829256"/>
    <n v="1812203836"/>
  </r>
  <r>
    <x v="29"/>
    <x v="3"/>
    <n v="30323647321"/>
    <n v="1731869558"/>
  </r>
  <r>
    <x v="29"/>
    <x v="4"/>
    <n v="30671525768"/>
    <n v="1997358711"/>
  </r>
  <r>
    <x v="30"/>
    <x v="0"/>
    <m/>
    <m/>
  </r>
  <r>
    <x v="30"/>
    <x v="1"/>
    <m/>
    <m/>
  </r>
  <r>
    <x v="30"/>
    <x v="2"/>
    <m/>
    <m/>
  </r>
  <r>
    <x v="30"/>
    <x v="3"/>
    <n v="0"/>
    <n v="0"/>
  </r>
  <r>
    <x v="30"/>
    <x v="4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x v="0"/>
    <n v="0"/>
    <n v="-126007918698"/>
  </r>
  <r>
    <x v="0"/>
    <x v="1"/>
    <n v="0"/>
    <n v="0"/>
  </r>
  <r>
    <x v="0"/>
    <x v="2"/>
    <n v="0"/>
    <n v="0"/>
  </r>
  <r>
    <x v="0"/>
    <x v="3"/>
    <n v="0"/>
    <n v="0"/>
  </r>
  <r>
    <x v="0"/>
    <x v="4"/>
    <m/>
    <m/>
  </r>
  <r>
    <x v="1"/>
    <x v="0"/>
    <m/>
    <m/>
  </r>
  <r>
    <x v="1"/>
    <x v="1"/>
    <m/>
    <m/>
  </r>
  <r>
    <x v="1"/>
    <x v="2"/>
    <m/>
    <m/>
  </r>
  <r>
    <x v="1"/>
    <x v="3"/>
    <m/>
    <m/>
  </r>
  <r>
    <x v="1"/>
    <x v="4"/>
    <m/>
    <m/>
  </r>
  <r>
    <x v="2"/>
    <x v="0"/>
    <n v="0"/>
    <n v="0"/>
  </r>
  <r>
    <x v="2"/>
    <x v="1"/>
    <n v="0"/>
    <n v="0"/>
  </r>
  <r>
    <x v="2"/>
    <x v="2"/>
    <n v="0"/>
    <n v="0"/>
  </r>
  <r>
    <x v="2"/>
    <x v="3"/>
    <n v="0"/>
    <n v="0"/>
  </r>
  <r>
    <x v="2"/>
    <x v="4"/>
    <m/>
    <m/>
  </r>
  <r>
    <x v="3"/>
    <x v="0"/>
    <n v="14680550364"/>
    <n v="191487008"/>
  </r>
  <r>
    <x v="3"/>
    <x v="1"/>
    <n v="23769685980"/>
    <n v="-2572669647"/>
  </r>
  <r>
    <x v="3"/>
    <x v="2"/>
    <n v="56483995960"/>
    <n v="18988336191"/>
  </r>
  <r>
    <x v="3"/>
    <x v="3"/>
    <n v="35871351795"/>
    <n v="555936599"/>
  </r>
  <r>
    <x v="3"/>
    <x v="4"/>
    <m/>
    <m/>
  </r>
  <r>
    <x v="4"/>
    <x v="0"/>
    <m/>
    <m/>
  </r>
  <r>
    <x v="4"/>
    <x v="1"/>
    <m/>
    <m/>
  </r>
  <r>
    <x v="4"/>
    <x v="2"/>
    <m/>
    <m/>
  </r>
  <r>
    <x v="4"/>
    <x v="3"/>
    <m/>
    <m/>
  </r>
  <r>
    <x v="4"/>
    <x v="4"/>
    <m/>
    <m/>
  </r>
  <r>
    <x v="5"/>
    <x v="0"/>
    <m/>
    <m/>
  </r>
  <r>
    <x v="5"/>
    <x v="1"/>
    <m/>
    <m/>
  </r>
  <r>
    <x v="5"/>
    <x v="2"/>
    <m/>
    <m/>
  </r>
  <r>
    <x v="5"/>
    <x v="3"/>
    <m/>
    <m/>
  </r>
  <r>
    <x v="5"/>
    <x v="4"/>
    <m/>
    <m/>
  </r>
  <r>
    <x v="6"/>
    <x v="0"/>
    <m/>
    <m/>
  </r>
  <r>
    <x v="6"/>
    <x v="1"/>
    <m/>
    <m/>
  </r>
  <r>
    <x v="6"/>
    <x v="2"/>
    <m/>
    <m/>
  </r>
  <r>
    <x v="6"/>
    <x v="3"/>
    <m/>
    <m/>
  </r>
  <r>
    <x v="6"/>
    <x v="4"/>
    <m/>
    <m/>
  </r>
  <r>
    <x v="7"/>
    <x v="0"/>
    <m/>
    <m/>
  </r>
  <r>
    <x v="7"/>
    <x v="1"/>
    <n v="1325725445"/>
    <n v="0"/>
  </r>
  <r>
    <x v="7"/>
    <x v="2"/>
    <n v="1219355818"/>
    <n v="0"/>
  </r>
  <r>
    <x v="7"/>
    <x v="3"/>
    <n v="1821112229"/>
    <n v="0"/>
  </r>
  <r>
    <x v="7"/>
    <x v="4"/>
    <m/>
    <m/>
  </r>
  <r>
    <x v="8"/>
    <x v="0"/>
    <n v="0"/>
    <n v="-162984447797"/>
  </r>
  <r>
    <x v="8"/>
    <x v="1"/>
    <n v="0"/>
    <n v="-109755076"/>
  </r>
  <r>
    <x v="8"/>
    <x v="2"/>
    <n v="0"/>
    <n v="-25582355"/>
  </r>
  <r>
    <x v="8"/>
    <x v="3"/>
    <m/>
    <m/>
  </r>
  <r>
    <x v="8"/>
    <x v="4"/>
    <m/>
    <m/>
  </r>
  <r>
    <x v="9"/>
    <x v="0"/>
    <m/>
    <m/>
  </r>
  <r>
    <x v="9"/>
    <x v="1"/>
    <m/>
    <m/>
  </r>
  <r>
    <x v="9"/>
    <x v="2"/>
    <m/>
    <m/>
  </r>
  <r>
    <x v="9"/>
    <x v="3"/>
    <m/>
    <m/>
  </r>
  <r>
    <x v="9"/>
    <x v="4"/>
    <m/>
    <m/>
  </r>
  <r>
    <x v="10"/>
    <x v="0"/>
    <m/>
    <m/>
  </r>
  <r>
    <x v="10"/>
    <x v="1"/>
    <m/>
    <m/>
  </r>
  <r>
    <x v="10"/>
    <x v="2"/>
    <m/>
    <m/>
  </r>
  <r>
    <x v="10"/>
    <x v="3"/>
    <m/>
    <m/>
  </r>
  <r>
    <x v="10"/>
    <x v="4"/>
    <m/>
    <m/>
  </r>
  <r>
    <x v="11"/>
    <x v="0"/>
    <m/>
    <m/>
  </r>
  <r>
    <x v="11"/>
    <x v="1"/>
    <n v="459975250746"/>
    <n v="26718633081"/>
  </r>
  <r>
    <x v="11"/>
    <x v="2"/>
    <n v="392961612956"/>
    <n v="143556313105"/>
  </r>
  <r>
    <x v="11"/>
    <x v="3"/>
    <n v="354075329142.07953"/>
    <n v="137096340502.89597"/>
  </r>
  <r>
    <x v="11"/>
    <x v="4"/>
    <n v="337162693235"/>
    <n v="57851662541"/>
  </r>
  <r>
    <x v="12"/>
    <x v="0"/>
    <n v="157009696804"/>
    <n v="49090566419"/>
  </r>
  <r>
    <x v="12"/>
    <x v="1"/>
    <n v="123502918007"/>
    <n v="31337723864"/>
  </r>
  <r>
    <x v="12"/>
    <x v="2"/>
    <n v="147862815768"/>
    <n v="22855910095"/>
  </r>
  <r>
    <x v="12"/>
    <x v="3"/>
    <n v="138230031552"/>
    <n v="22694238966"/>
  </r>
  <r>
    <x v="12"/>
    <x v="4"/>
    <n v="175133858574"/>
    <n v="36396157176"/>
  </r>
  <r>
    <x v="13"/>
    <x v="0"/>
    <n v="115974923177"/>
    <n v="53061400347"/>
  </r>
  <r>
    <x v="13"/>
    <x v="1"/>
    <n v="148257573911.29999"/>
    <n v="13254337442.02"/>
  </r>
  <r>
    <x v="13"/>
    <x v="2"/>
    <n v="208567180824"/>
    <n v="57698846122"/>
  </r>
  <r>
    <x v="13"/>
    <x v="3"/>
    <n v="141064555704"/>
    <n v="21709050224"/>
  </r>
  <r>
    <x v="13"/>
    <x v="4"/>
    <n v="171081298200"/>
    <n v="14423265142"/>
  </r>
  <r>
    <x v="14"/>
    <x v="0"/>
    <m/>
    <m/>
  </r>
  <r>
    <x v="14"/>
    <x v="1"/>
    <n v="0"/>
    <n v="-52436153"/>
  </r>
  <r>
    <x v="14"/>
    <x v="2"/>
    <n v="357766575"/>
    <n v="-25741181"/>
  </r>
  <r>
    <x v="14"/>
    <x v="3"/>
    <n v="590714400"/>
    <n v="-130773503"/>
  </r>
  <r>
    <x v="14"/>
    <x v="4"/>
    <n v="339990650"/>
    <n v="-326048897"/>
  </r>
  <r>
    <x v="15"/>
    <x v="0"/>
    <m/>
    <m/>
  </r>
  <r>
    <x v="15"/>
    <x v="1"/>
    <n v="12244307867"/>
    <n v="515575109"/>
  </r>
  <r>
    <x v="15"/>
    <x v="2"/>
    <n v="15759900201"/>
    <n v="609301525"/>
  </r>
  <r>
    <x v="15"/>
    <x v="3"/>
    <n v="19848701001"/>
    <n v="935630309"/>
  </r>
  <r>
    <x v="15"/>
    <x v="4"/>
    <n v="17890982807"/>
    <n v="538338515"/>
  </r>
  <r>
    <x v="16"/>
    <x v="0"/>
    <m/>
    <m/>
  </r>
  <r>
    <x v="16"/>
    <x v="1"/>
    <n v="157773737762"/>
    <n v="12357368337"/>
  </r>
  <r>
    <x v="16"/>
    <x v="2"/>
    <n v="161020148826"/>
    <n v="-3597241112"/>
  </r>
  <r>
    <x v="16"/>
    <x v="3"/>
    <n v="167004925900"/>
    <n v="-2098860977"/>
  </r>
  <r>
    <x v="16"/>
    <x v="4"/>
    <n v="162510769325"/>
    <n v="17523080081"/>
  </r>
  <r>
    <x v="17"/>
    <x v="0"/>
    <n v="113297503885"/>
    <n v="33805580013"/>
  </r>
  <r>
    <x v="17"/>
    <x v="1"/>
    <n v="125938701894"/>
    <n v="26998231133"/>
  </r>
  <r>
    <x v="17"/>
    <x v="2"/>
    <n v="163864492567"/>
    <n v="9473766747"/>
  </r>
  <r>
    <x v="17"/>
    <x v="3"/>
    <n v="208039398219"/>
    <n v="45379996833"/>
  </r>
  <r>
    <x v="17"/>
    <x v="4"/>
    <n v="208275366815"/>
    <n v="40151124119"/>
  </r>
  <r>
    <x v="18"/>
    <x v="0"/>
    <n v="8952032192"/>
    <n v="971677713"/>
  </r>
  <r>
    <x v="18"/>
    <x v="1"/>
    <n v="8140087334"/>
    <n v="-274584431"/>
  </r>
  <r>
    <x v="18"/>
    <x v="2"/>
    <n v="4002286439"/>
    <n v="355804282"/>
  </r>
  <r>
    <x v="18"/>
    <x v="3"/>
    <n v="5321602264"/>
    <n v="-150948557"/>
  </r>
  <r>
    <x v="18"/>
    <x v="4"/>
    <n v="4913023137"/>
    <n v="-283240460"/>
  </r>
  <r>
    <x v="19"/>
    <x v="0"/>
    <n v="0"/>
    <n v="-662893412476"/>
  </r>
  <r>
    <x v="19"/>
    <x v="1"/>
    <n v="0"/>
    <n v="-4294967298"/>
  </r>
  <r>
    <x v="19"/>
    <x v="2"/>
    <n v="0"/>
    <n v="-4294967298"/>
  </r>
  <r>
    <x v="19"/>
    <x v="3"/>
    <n v="0"/>
    <n v="-583451768027"/>
  </r>
  <r>
    <x v="19"/>
    <x v="4"/>
    <n v="0"/>
    <n v="-525642165189"/>
  </r>
  <r>
    <x v="20"/>
    <x v="0"/>
    <n v="201922549725"/>
    <n v="37985634536"/>
  </r>
  <r>
    <x v="20"/>
    <x v="1"/>
    <n v="344543113621"/>
    <n v="117477649557"/>
  </r>
  <r>
    <x v="20"/>
    <x v="2"/>
    <n v="566423853591"/>
    <n v="230165320277"/>
  </r>
  <r>
    <x v="20"/>
    <x v="3"/>
    <n v="347503271938"/>
    <n v="79843566179"/>
  </r>
  <r>
    <x v="20"/>
    <x v="4"/>
    <m/>
    <m/>
  </r>
  <r>
    <x v="21"/>
    <x v="0"/>
    <m/>
    <m/>
  </r>
  <r>
    <x v="21"/>
    <x v="1"/>
    <m/>
    <n v="0"/>
  </r>
  <r>
    <x v="21"/>
    <x v="2"/>
    <n v="0"/>
    <n v="0"/>
  </r>
  <r>
    <x v="21"/>
    <x v="3"/>
    <m/>
    <m/>
  </r>
  <r>
    <x v="21"/>
    <x v="4"/>
    <m/>
    <m/>
  </r>
  <r>
    <x v="22"/>
    <x v="0"/>
    <n v="75000"/>
    <n v="-282791098"/>
  </r>
  <r>
    <x v="22"/>
    <x v="1"/>
    <n v="1603367320"/>
    <n v="-2538298985"/>
  </r>
  <r>
    <x v="22"/>
    <x v="2"/>
    <n v="2632606203"/>
    <n v="-4142212315"/>
  </r>
  <r>
    <x v="22"/>
    <x v="3"/>
    <n v="7699622013"/>
    <n v="-3975136492"/>
  </r>
  <r>
    <x v="22"/>
    <x v="4"/>
    <n v="10401453748"/>
    <n v="-7726090136"/>
  </r>
  <r>
    <x v="23"/>
    <x v="0"/>
    <n v="69683764705"/>
    <n v="26991933037"/>
  </r>
  <r>
    <x v="23"/>
    <x v="1"/>
    <n v="69573490910"/>
    <n v="16694787635"/>
  </r>
  <r>
    <x v="23"/>
    <x v="2"/>
    <n v="49581280381"/>
    <n v="-6608648871"/>
  </r>
  <r>
    <x v="23"/>
    <x v="3"/>
    <n v="82980455719"/>
    <n v="14713048916"/>
  </r>
  <r>
    <x v="23"/>
    <x v="4"/>
    <m/>
    <m/>
  </r>
  <r>
    <x v="24"/>
    <x v="0"/>
    <m/>
    <m/>
  </r>
  <r>
    <x v="24"/>
    <x v="1"/>
    <n v="0"/>
    <n v="0"/>
  </r>
  <r>
    <x v="24"/>
    <x v="2"/>
    <n v="0"/>
    <n v="0"/>
  </r>
  <r>
    <x v="24"/>
    <x v="3"/>
    <m/>
    <m/>
  </r>
  <r>
    <x v="24"/>
    <x v="4"/>
    <m/>
    <m/>
  </r>
  <r>
    <x v="25"/>
    <x v="0"/>
    <m/>
    <m/>
  </r>
  <r>
    <x v="25"/>
    <x v="1"/>
    <n v="23066725181"/>
    <n v="3309380514"/>
  </r>
  <r>
    <x v="25"/>
    <x v="2"/>
    <n v="24969073870"/>
    <n v="1360984077"/>
  </r>
  <r>
    <x v="25"/>
    <x v="3"/>
    <m/>
    <m/>
  </r>
  <r>
    <x v="25"/>
    <x v="4"/>
    <m/>
    <m/>
  </r>
  <r>
    <x v="26"/>
    <x v="0"/>
    <n v="1618558530"/>
    <n v="-766531809"/>
  </r>
  <r>
    <x v="26"/>
    <x v="1"/>
    <m/>
    <m/>
  </r>
  <r>
    <x v="26"/>
    <x v="2"/>
    <m/>
    <m/>
  </r>
  <r>
    <x v="26"/>
    <x v="3"/>
    <n v="9558234759"/>
    <n v="1033485494"/>
  </r>
  <r>
    <x v="26"/>
    <x v="4"/>
    <n v="13089313273"/>
    <n v="1663855770"/>
  </r>
  <r>
    <x v="27"/>
    <x v="0"/>
    <m/>
    <m/>
  </r>
  <r>
    <x v="27"/>
    <x v="1"/>
    <m/>
    <m/>
  </r>
  <r>
    <x v="27"/>
    <x v="2"/>
    <m/>
    <m/>
  </r>
  <r>
    <x v="27"/>
    <x v="3"/>
    <n v="903294089"/>
    <n v="-1270651585"/>
  </r>
  <r>
    <x v="27"/>
    <x v="4"/>
    <n v="2756043638"/>
    <n v="1217788809"/>
  </r>
  <r>
    <x v="28"/>
    <x v="0"/>
    <m/>
    <m/>
  </r>
  <r>
    <x v="28"/>
    <x v="1"/>
    <n v="2165007264"/>
    <n v="7158974"/>
  </r>
  <r>
    <x v="28"/>
    <x v="2"/>
    <n v="1859866061"/>
    <n v="42874153"/>
  </r>
  <r>
    <x v="28"/>
    <x v="3"/>
    <m/>
    <m/>
  </r>
  <r>
    <x v="28"/>
    <x v="4"/>
    <m/>
    <m/>
  </r>
  <r>
    <x v="29"/>
    <x v="0"/>
    <m/>
    <m/>
  </r>
  <r>
    <x v="29"/>
    <x v="1"/>
    <n v="20499650589"/>
    <n v="1326970463"/>
  </r>
  <r>
    <x v="29"/>
    <x v="2"/>
    <n v="25969829256"/>
    <n v="1812203836"/>
  </r>
  <r>
    <x v="29"/>
    <x v="3"/>
    <n v="30323647321"/>
    <n v="1731869558"/>
  </r>
  <r>
    <x v="29"/>
    <x v="4"/>
    <n v="30671525768"/>
    <n v="1997358711"/>
  </r>
  <r>
    <x v="30"/>
    <x v="0"/>
    <m/>
    <m/>
  </r>
  <r>
    <x v="30"/>
    <x v="1"/>
    <m/>
    <m/>
  </r>
  <r>
    <x v="30"/>
    <x v="2"/>
    <m/>
    <m/>
  </r>
  <r>
    <x v="30"/>
    <x v="3"/>
    <n v="0"/>
    <n v="0"/>
  </r>
  <r>
    <x v="30"/>
    <x v="4"/>
    <n v="0"/>
    <n v="0"/>
  </r>
  <r>
    <x v="31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88202-F0E5-48B9-AB4E-A54AA026A246}" name="Tableau croisé dynamique3" cacheId="2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3:L6" firstHeaderRow="1" firstDataRow="3" firstDataCol="0" rowPageCount="1" colPageCount="1"/>
  <pivotFields count="4">
    <pivotField axis="axisPage" showAll="0">
      <items count="32">
        <item x="24"/>
        <item x="6"/>
        <item x="4"/>
        <item x="22"/>
        <item x="19"/>
        <item x="8"/>
        <item x="17"/>
        <item x="25"/>
        <item x="15"/>
        <item x="23"/>
        <item x="30"/>
        <item x="13"/>
        <item x="29"/>
        <item x="14"/>
        <item x="21"/>
        <item x="20"/>
        <item x="2"/>
        <item x="9"/>
        <item x="10"/>
        <item x="27"/>
        <item x="12"/>
        <item x="26"/>
        <item x="11"/>
        <item x="5"/>
        <item x="16"/>
        <item x="3"/>
        <item x="7"/>
        <item x="18"/>
        <item x="28"/>
        <item x="1"/>
        <item x="0"/>
        <item t="default"/>
      </items>
    </pivotField>
    <pivotField axis="axisCol" numFmtId="1" showAll="0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</pivotFields>
  <rowItems count="1">
    <i/>
  </rowItems>
  <colFields count="2">
    <field x="1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pageFields count="1">
    <pageField fld="0" item="20" hier="-1"/>
  </pageFields>
  <dataFields count="2">
    <dataField name="Chriffre d'affaires" fld="2" baseField="1" baseItem="0"/>
    <dataField name="Résultat net" fld="3" baseField="1" baseItem="0"/>
  </dataFields>
  <formats count="13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Col" fieldPosition="0"/>
    </format>
    <format dxfId="34">
      <pivotArea field="-2" type="button" dataOnly="0" labelOnly="1" outline="0" axis="axisCol" fieldPosition="1"/>
    </format>
    <format dxfId="33">
      <pivotArea type="topRight" dataOnly="0" labelOnly="1" outline="0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field="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0">
      <pivotArea field="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0"/>
          </reference>
        </references>
      </pivotArea>
    </format>
    <format dxfId="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"/>
          </reference>
        </references>
      </pivotArea>
    </format>
    <format dxfId="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3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21CA6-AA79-4351-8384-279A97859C99}" name="Tableau croisé dynamique1" cacheId="2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3">
  <location ref="A1:AG8" firstHeaderRow="1" firstDataRow="2" firstDataCol="1"/>
  <pivotFields count="4">
    <pivotField axis="axisCol" showAll="0">
      <items count="32">
        <item x="24"/>
        <item x="6"/>
        <item x="4"/>
        <item x="22"/>
        <item x="19"/>
        <item x="8"/>
        <item x="17"/>
        <item x="25"/>
        <item x="15"/>
        <item x="23"/>
        <item x="30"/>
        <item x="13"/>
        <item x="29"/>
        <item x="14"/>
        <item x="21"/>
        <item x="20"/>
        <item x="2"/>
        <item x="9"/>
        <item x="10"/>
        <item x="27"/>
        <item x="12"/>
        <item x="26"/>
        <item x="11"/>
        <item x="5"/>
        <item x="16"/>
        <item x="3"/>
        <item x="7"/>
        <item x="18"/>
        <item x="28"/>
        <item x="1"/>
        <item x="0"/>
        <item t="default"/>
      </items>
    </pivotField>
    <pivotField axis="axisRow" numFmtId="1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Résultat Net" fld="3" baseField="1" baseItem="0"/>
  </dataFields>
  <formats count="10">
    <format dxfId="24">
      <pivotArea type="all" dataOnly="0" outline="0" fieldPosition="0"/>
    </format>
    <format dxfId="23">
      <pivotArea outline="0" collapsedLevelsAreSubtotals="1" fieldPosition="0"/>
    </format>
    <format dxfId="22">
      <pivotArea type="origin" dataOnly="0" labelOnly="1" outline="0" fieldPosition="0"/>
    </format>
    <format dxfId="21">
      <pivotArea field="0" type="button" dataOnly="0" labelOnly="1" outline="0" axis="axisCol" fieldPosition="0"/>
    </format>
    <format dxfId="20">
      <pivotArea type="topRight" dataOnly="0" labelOnly="1" outline="0" fieldPosition="0"/>
    </format>
    <format dxfId="19">
      <pivotArea field="1" type="button" dataOnly="0" labelOnly="1" outline="0" axis="axisRow" fieldPosition="0"/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grandRow="1" outline="0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Col="1" outline="0" fieldPosition="0"/>
    </format>
  </formats>
  <chartFormats count="9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2" format="1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1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1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1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1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1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1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1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1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1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1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1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1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1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1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2" format="1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1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1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1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1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1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DAC8F-79D1-4ACB-B59D-73FFC4F905A5}" name="Tableau croisé dynamique2" cacheId="2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3">
  <location ref="A1:AG8" firstHeaderRow="1" firstDataRow="2" firstDataCol="1"/>
  <pivotFields count="4">
    <pivotField axis="axisCol" showAll="0">
      <items count="32">
        <item x="24"/>
        <item x="6"/>
        <item x="4"/>
        <item x="22"/>
        <item x="19"/>
        <item x="8"/>
        <item x="17"/>
        <item x="25"/>
        <item x="15"/>
        <item x="23"/>
        <item x="30"/>
        <item x="13"/>
        <item x="29"/>
        <item x="14"/>
        <item x="21"/>
        <item x="20"/>
        <item x="2"/>
        <item x="9"/>
        <item x="10"/>
        <item x="27"/>
        <item x="12"/>
        <item x="26"/>
        <item x="11"/>
        <item x="5"/>
        <item x="16"/>
        <item x="3"/>
        <item x="7"/>
        <item x="18"/>
        <item x="28"/>
        <item x="1"/>
        <item x="0"/>
        <item t="default"/>
      </items>
    </pivotField>
    <pivotField axis="axisRow" numFmtId="1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hiffre d'affaires" fld="2" baseField="1" baseItem="0" numFmtId="166"/>
  </dataFields>
  <formats count="10"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field="0" type="button" dataOnly="0" labelOnly="1" outline="0" axis="axisCol" fieldPosition="0"/>
    </format>
    <format dxfId="10">
      <pivotArea type="topRight" dataOnly="0" labelOnly="1" outline="0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Col="1" outline="0" fieldPosition="0"/>
    </format>
  </formats>
  <chartFormats count="118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0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0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0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0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0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0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4"/>
          </reference>
        </references>
      </pivotArea>
    </chartFormat>
    <chartFormat chart="0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4"/>
          </reference>
        </references>
      </pivotArea>
    </chartFormat>
    <chartFormat chart="0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4"/>
          </reference>
        </references>
      </pivotArea>
    </chartFormat>
    <chartFormat chart="0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4"/>
          </reference>
        </references>
      </pivotArea>
    </chartFormat>
    <chartFormat chart="0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4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2" format="1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1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1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4"/>
          </reference>
        </references>
      </pivotArea>
    </chartFormat>
    <chartFormat chart="2" format="1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4"/>
          </reference>
        </references>
      </pivotArea>
    </chartFormat>
    <chartFormat chart="2" format="1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1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2" format="1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4"/>
          </reference>
        </references>
      </pivotArea>
    </chartFormat>
    <chartFormat chart="2" format="1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1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1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1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1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1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1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1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1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1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1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1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1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1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3393E-A8CB-4F0E-B031-A385ED0D909D}" name="Tableau croisé dynamique1" cacheId="7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S13:Y46" firstHeaderRow="1" firstDataRow="2" firstDataCol="1"/>
  <pivotFields count="4">
    <pivotField axis="axisRow" showAll="0">
      <items count="33">
        <item x="24"/>
        <item x="6"/>
        <item x="4"/>
        <item x="22"/>
        <item x="19"/>
        <item x="8"/>
        <item x="17"/>
        <item x="25"/>
        <item x="15"/>
        <item x="23"/>
        <item x="30"/>
        <item x="13"/>
        <item x="29"/>
        <item x="14"/>
        <item x="21"/>
        <item x="20"/>
        <item x="2"/>
        <item x="9"/>
        <item x="10"/>
        <item x="27"/>
        <item x="12"/>
        <item x="26"/>
        <item x="11"/>
        <item x="5"/>
        <item x="16"/>
        <item x="3"/>
        <item x="7"/>
        <item x="18"/>
        <item x="28"/>
        <item x="1"/>
        <item x="0"/>
        <item x="31"/>
        <item t="default"/>
      </items>
    </pivotField>
    <pivotField axis="axisCol" showAll="0">
      <items count="7">
        <item x="0"/>
        <item x="1"/>
        <item x="2"/>
        <item x="3"/>
        <item x="4"/>
        <item h="1" x="5"/>
        <item t="default"/>
      </items>
    </pivotField>
    <pivotField dataField="1"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e de C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BB402-01AE-49FA-939A-3D82A9377984}" name="TCD_CA" cacheId="0" applyNumberFormats="0" applyBorderFormats="0" applyFontFormats="0" applyPatternFormats="0" applyAlignmentFormats="0" applyWidthHeightFormats="1" dataCaption="Valeurs" missingCaption="-" updatedVersion="7" minRefreshableVersion="3" showCalcMbrs="0" useAutoFormatting="1" itemPrintTitles="1" createdVersion="3" indent="0" outline="1" outlineData="1" multipleFieldFilters="0">
  <location ref="A3:AG10" firstHeaderRow="1" firstDataRow="2" firstDataCol="1"/>
  <pivotFields count="4">
    <pivotField axis="axisCol" showAll="0">
      <items count="32">
        <item x="24"/>
        <item x="6"/>
        <item x="4"/>
        <item x="22"/>
        <item x="19"/>
        <item x="8"/>
        <item x="17"/>
        <item x="25"/>
        <item x="15"/>
        <item x="23"/>
        <item x="30"/>
        <item x="13"/>
        <item x="29"/>
        <item x="14"/>
        <item x="21"/>
        <item x="20"/>
        <item x="2"/>
        <item x="9"/>
        <item x="10"/>
        <item x="27"/>
        <item x="12"/>
        <item x="26"/>
        <item x="11"/>
        <item x="5"/>
        <item x="16"/>
        <item x="3"/>
        <item x="7"/>
        <item x="18"/>
        <item x="28"/>
        <item x="1"/>
        <item x="0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A Total" fld="2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B8911F-40F3-48BD-874A-846618C355DC}" name="Tableau_Panel" displayName="Tableau_Panel" ref="A1:D156" totalsRowShown="0" headerRowDxfId="4">
  <autoFilter ref="A1:D156" xr:uid="{10B8911F-40F3-48BD-874A-846618C355DC}"/>
  <tableColumns count="4">
    <tableColumn id="1" xr3:uid="{D26D2649-B2B5-40FE-A7E9-53B163F0C1E3}" name="Entreprise" dataDxfId="3"/>
    <tableColumn id="2" xr3:uid="{EF8BBB49-08B6-42DB-95EE-322C239343A2}" name="Annee" dataDxfId="2"/>
    <tableColumn id="3" xr3:uid="{9D63C93E-EF6B-4B9F-AE3F-A1C7206EDED6}" name="CA" dataDxfId="1"/>
    <tableColumn id="4" xr3:uid="{3760D8B8-2176-4E83-9C55-0581639DFB25}" name="R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6C15-D521-4DCD-AE6F-28A675B9CC48}">
  <sheetPr codeName="Feuil2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CAAAA-1999-435E-85FE-5BF8F5BE38EB}">
  <sheetPr codeName="Feuil3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7F2E-3716-4249-8A6B-164E6C9BC78E}">
  <sheetPr codeName="Feuil4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C3DE9-1121-4DB6-818D-D64A8E1B7A9E}">
  <sheetPr codeName="Feuil5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0142-3073-4BAA-8AB5-149100A69A6F}">
  <sheetPr codeName="Feuil6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18D6-3CB7-46C1-9D70-6281889A6B48}">
  <sheetPr codeName="Feuil7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B04F-4396-4D40-9E37-BD46B2726EDF}">
  <sheetPr codeName="Feuil8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28B3-36D7-4AD8-943F-05D1D3AF71EF}">
  <sheetPr codeName="Feuil9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149C-F908-4221-9AD0-13A43720841E}">
  <sheetPr codeName="Feuil10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92089-1C89-4CF0-AAD6-316AC58FF06A}">
  <sheetPr codeName="Feuil11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F250-DD54-4D77-BD84-B6ED2727717C}">
  <sheetPr codeName="Feuil12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DAE6C-4794-43B5-A4F4-03E883158D6D}">
  <sheetPr codeName="Feuil13">
    <tabColor rgb="FF00B050"/>
  </sheetPr>
  <dimension ref="A1:H49"/>
  <sheetViews>
    <sheetView workbookViewId="0">
      <selection sqref="A1:H1"/>
    </sheetView>
  </sheetViews>
  <sheetFormatPr baseColWidth="10" defaultRowHeight="15" x14ac:dyDescent="0.25"/>
  <sheetData>
    <row r="1" spans="1:8" ht="18.75" x14ac:dyDescent="0.25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x14ac:dyDescent="0.25">
      <c r="A2" s="1"/>
      <c r="B2" s="1"/>
      <c r="C2" s="2"/>
      <c r="D2" s="1"/>
      <c r="E2" s="1"/>
      <c r="F2" s="1"/>
      <c r="G2" s="1"/>
      <c r="H2" s="1"/>
    </row>
    <row r="3" spans="1:8" x14ac:dyDescent="0.25">
      <c r="A3" s="134" t="s">
        <v>97</v>
      </c>
      <c r="B3" s="134"/>
      <c r="C3" s="134"/>
      <c r="D3" s="1" t="s">
        <v>1</v>
      </c>
      <c r="E3" s="1"/>
      <c r="F3" s="1"/>
      <c r="G3" s="135">
        <f>+'[1]Fiche de renseignement R1'!$V$10</f>
        <v>44926</v>
      </c>
      <c r="H3" s="136"/>
    </row>
    <row r="4" spans="1:8" x14ac:dyDescent="0.25">
      <c r="A4" s="136"/>
      <c r="B4" s="136"/>
      <c r="C4" s="136"/>
      <c r="D4" s="137" t="s">
        <v>2</v>
      </c>
      <c r="E4" s="3"/>
      <c r="F4" s="3"/>
      <c r="G4" s="138">
        <f>+'[1]Fiche de renseignement R1'!$AH$10</f>
        <v>12</v>
      </c>
      <c r="H4" s="138"/>
    </row>
    <row r="5" spans="1:8" ht="38.25" x14ac:dyDescent="0.25">
      <c r="A5" s="4" t="s">
        <v>3</v>
      </c>
      <c r="B5" s="139" t="str">
        <f>+'[1]Fiche de renseignement R1'!$J$10</f>
        <v>002850023</v>
      </c>
      <c r="C5" s="139"/>
      <c r="D5" s="137"/>
      <c r="E5" s="3"/>
      <c r="F5" s="3"/>
      <c r="G5" s="136"/>
      <c r="H5" s="136"/>
    </row>
    <row r="6" spans="1:8" x14ac:dyDescent="0.25">
      <c r="A6" s="1"/>
      <c r="B6" s="1"/>
      <c r="C6" s="2"/>
      <c r="D6" s="1"/>
      <c r="E6" s="1"/>
      <c r="F6" s="1"/>
      <c r="G6" s="1"/>
      <c r="H6" s="1"/>
    </row>
    <row r="7" spans="1:8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/>
      <c r="H9" s="13"/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/>
      <c r="H10" s="13"/>
    </row>
    <row r="11" spans="1:8" x14ac:dyDescent="0.25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>
        <v>0</v>
      </c>
      <c r="H11" s="18"/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337162693234.63837</v>
      </c>
      <c r="F12" s="13">
        <v>354075329142.07953</v>
      </c>
      <c r="G12" s="13">
        <v>392961612956.48334</v>
      </c>
      <c r="H12" s="13">
        <v>391192164800.62994</v>
      </c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>
        <v>0</v>
      </c>
      <c r="H13" s="13">
        <v>68783085945.218781</v>
      </c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  <c r="G14" s="13">
        <v>0</v>
      </c>
      <c r="H14" s="13"/>
    </row>
    <row r="15" spans="1:8" x14ac:dyDescent="0.25">
      <c r="A15" s="16" t="s">
        <v>24</v>
      </c>
      <c r="B15" s="17" t="s">
        <v>25</v>
      </c>
      <c r="C15" s="16"/>
      <c r="D15" s="16"/>
      <c r="E15" s="18">
        <v>337162693235</v>
      </c>
      <c r="F15" s="18">
        <v>354075329142.07953</v>
      </c>
      <c r="G15" s="18">
        <v>392961612956</v>
      </c>
      <c r="H15" s="18">
        <v>459975250746</v>
      </c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17407545199.252274</v>
      </c>
      <c r="F16" s="13">
        <v>26055475998.868736</v>
      </c>
      <c r="G16" s="13">
        <v>16333582805.434906</v>
      </c>
      <c r="H16" s="13">
        <v>8561237397.0399923</v>
      </c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9736214814.5540714</v>
      </c>
      <c r="F19" s="13">
        <v>24449239619.555</v>
      </c>
      <c r="G19" s="13">
        <v>14622542270.0951</v>
      </c>
      <c r="H19" s="13">
        <v>8824234732.5661869</v>
      </c>
    </row>
    <row r="20" spans="1:8" x14ac:dyDescent="0.25">
      <c r="A20" s="19" t="s">
        <v>34</v>
      </c>
      <c r="B20" s="20" t="s">
        <v>35</v>
      </c>
      <c r="C20" s="19" t="s">
        <v>9</v>
      </c>
      <c r="D20" s="11">
        <v>12</v>
      </c>
      <c r="E20" s="13">
        <v>20101757331.471352</v>
      </c>
      <c r="F20" s="13">
        <v>20280952637.922081</v>
      </c>
      <c r="G20" s="13">
        <v>17370833685.193001</v>
      </c>
      <c r="H20" s="13">
        <v>2810848823.4814801</v>
      </c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-280168679901.79797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/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-98270284408.303177</v>
      </c>
      <c r="F23" s="13">
        <v>-71364240026.8172</v>
      </c>
      <c r="G23" s="13">
        <v>-69844371738.874649</v>
      </c>
      <c r="H23" s="13">
        <v>-48156827997.388702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10999104078.230015</v>
      </c>
      <c r="F24" s="13">
        <v>1217480937.2537956</v>
      </c>
      <c r="G24" s="13">
        <v>1274802287.7420399</v>
      </c>
      <c r="H24" s="13">
        <v>-9555475721.6329403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-2524666838.8093276</v>
      </c>
      <c r="F25" s="13">
        <v>-1888887771.2032862</v>
      </c>
      <c r="G25" s="13">
        <v>-1733591383.3186381</v>
      </c>
      <c r="H25" s="13">
        <v>-1707254274.9518299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-28766950918.801579</v>
      </c>
      <c r="F26" s="13">
        <v>-25755497732.153709</v>
      </c>
      <c r="G26" s="13">
        <v>-25377742331.998451</v>
      </c>
      <c r="H26" s="13">
        <v>-21248072410.1507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-23151839938.203617</v>
      </c>
      <c r="F27" s="13">
        <v>-44009458558</v>
      </c>
      <c r="G27" s="13">
        <v>-23867095913.477333</v>
      </c>
      <c r="H27" s="13">
        <v>-20712511746.68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-11879174886.712189</v>
      </c>
      <c r="F28" s="13">
        <v>-11186585424.820631</v>
      </c>
      <c r="G28" s="13">
        <v>-34621787046.826965</v>
      </c>
      <c r="H28" s="13">
        <v>-12980338565.5203</v>
      </c>
    </row>
    <row r="29" spans="1:8" x14ac:dyDescent="0.25">
      <c r="A29" s="16" t="s">
        <v>52</v>
      </c>
      <c r="B29" s="17" t="s">
        <v>53</v>
      </c>
      <c r="C29" s="16"/>
      <c r="D29" s="16"/>
      <c r="E29" s="18">
        <v>230814397667.31619</v>
      </c>
      <c r="F29" s="18">
        <v>271873808822.68433</v>
      </c>
      <c r="G29" s="18">
        <v>287118785590.45227</v>
      </c>
      <c r="H29" s="18">
        <v>85642411080.813965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-51202886506.72966</v>
      </c>
      <c r="F30" s="13">
        <v>-36700822915.79689</v>
      </c>
      <c r="G30" s="13">
        <v>-34616432415.330826</v>
      </c>
      <c r="H30" s="13">
        <v>-27400314069.004601</v>
      </c>
    </row>
    <row r="31" spans="1:8" x14ac:dyDescent="0.25">
      <c r="A31" s="16" t="s">
        <v>56</v>
      </c>
      <c r="B31" s="17" t="s">
        <v>57</v>
      </c>
      <c r="C31" s="16"/>
      <c r="D31" s="16"/>
      <c r="E31" s="18">
        <v>179611511160.58655</v>
      </c>
      <c r="F31" s="18">
        <v>235172985906.88745</v>
      </c>
      <c r="G31" s="18">
        <v>252502353175.12146</v>
      </c>
      <c r="H31" s="18">
        <v>58242097011.809364</v>
      </c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1720764917.8115482</v>
      </c>
      <c r="F32" s="13">
        <v>1023260732.9364569</v>
      </c>
      <c r="G32" s="13">
        <v>0</v>
      </c>
      <c r="H32" s="13"/>
    </row>
    <row r="33" spans="1:8" x14ac:dyDescent="0.25">
      <c r="A33" s="19" t="s">
        <v>60</v>
      </c>
      <c r="B33" s="20" t="s">
        <v>61</v>
      </c>
      <c r="C33" s="19" t="s">
        <v>12</v>
      </c>
      <c r="D33" s="11" t="s">
        <v>62</v>
      </c>
      <c r="E33" s="13">
        <v>-97413142778.429901</v>
      </c>
      <c r="F33" s="13">
        <v>-61139750871.928558</v>
      </c>
      <c r="G33" s="13">
        <v>-50065009031.914398</v>
      </c>
      <c r="H33" s="13">
        <v>-19075692070.951698</v>
      </c>
    </row>
    <row r="34" spans="1:8" x14ac:dyDescent="0.25">
      <c r="A34" s="16" t="s">
        <v>63</v>
      </c>
      <c r="B34" s="17" t="s">
        <v>64</v>
      </c>
      <c r="C34" s="16"/>
      <c r="D34" s="16"/>
      <c r="E34" s="18">
        <v>83919133299.968201</v>
      </c>
      <c r="F34" s="18">
        <v>175056495767.89536</v>
      </c>
      <c r="G34" s="18">
        <v>202437344143.20706</v>
      </c>
      <c r="H34" s="18">
        <v>39166404940.857666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  <c r="G35" s="13">
        <v>310410959</v>
      </c>
      <c r="H35" s="13">
        <v>333170988.5</v>
      </c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3540652435.9254732</v>
      </c>
      <c r="F36" s="13">
        <v>13394152562.410324</v>
      </c>
      <c r="G36" s="13">
        <v>2444705401.2514601</v>
      </c>
      <c r="H36" s="13">
        <v>1516223299.7940741</v>
      </c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/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-3426536431.6299996</v>
      </c>
      <c r="F38" s="13">
        <v>-1556205052.1200001</v>
      </c>
      <c r="G38" s="13">
        <v>-5464055.7100000009</v>
      </c>
      <c r="H38" s="13">
        <v>-1170972338.55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-4501650925.8673048</v>
      </c>
      <c r="F39" s="13">
        <v>-1622367658.7951572</v>
      </c>
      <c r="G39" s="13">
        <v>-5032374533.929143</v>
      </c>
      <c r="H39" s="13">
        <v>-2704951097.0700002</v>
      </c>
    </row>
    <row r="40" spans="1:8" x14ac:dyDescent="0.25">
      <c r="A40" s="16" t="s">
        <v>75</v>
      </c>
      <c r="B40" s="17" t="s">
        <v>76</v>
      </c>
      <c r="C40" s="16"/>
      <c r="D40" s="16"/>
      <c r="E40" s="18">
        <v>-4387534921.5718307</v>
      </c>
      <c r="F40" s="18">
        <v>10215579851.495167</v>
      </c>
      <c r="G40" s="18">
        <v>-2282722229.3876829</v>
      </c>
      <c r="H40" s="18">
        <v>-2026529147.3259261</v>
      </c>
    </row>
    <row r="41" spans="1:8" x14ac:dyDescent="0.25">
      <c r="A41" s="22" t="s">
        <v>77</v>
      </c>
      <c r="B41" s="23" t="s">
        <v>78</v>
      </c>
      <c r="C41" s="22"/>
      <c r="D41" s="22"/>
      <c r="E41" s="24">
        <v>79531598378.396362</v>
      </c>
      <c r="F41" s="24">
        <v>185272075619.39053</v>
      </c>
      <c r="G41" s="24">
        <v>200154621913.81937</v>
      </c>
      <c r="H41" s="24">
        <v>37139875793.531738</v>
      </c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>
        <v>0</v>
      </c>
      <c r="H42" s="13">
        <v>2950200</v>
      </c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>
        <v>0</v>
      </c>
      <c r="H43" s="13"/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-881014155.78388751</v>
      </c>
      <c r="F44" s="13">
        <v>-398789944.49456298</v>
      </c>
      <c r="G44" s="13">
        <v>-566644423.68875074</v>
      </c>
      <c r="H44" s="13">
        <v>-215044350.93000001</v>
      </c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/>
      <c r="G45" s="13">
        <v>0</v>
      </c>
      <c r="H45" s="13"/>
    </row>
    <row r="46" spans="1:8" x14ac:dyDescent="0.25">
      <c r="A46" s="22" t="s">
        <v>88</v>
      </c>
      <c r="B46" s="23" t="s">
        <v>89</v>
      </c>
      <c r="C46" s="22"/>
      <c r="D46" s="22"/>
      <c r="E46" s="24">
        <v>-881014155.78388751</v>
      </c>
      <c r="F46" s="24">
        <v>-398789944.49456298</v>
      </c>
      <c r="G46" s="24">
        <v>-566644423.68875074</v>
      </c>
      <c r="H46" s="24">
        <v>-212094150.93000001</v>
      </c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13">
        <v>-20798921681.376602</v>
      </c>
      <c r="F48" s="13">
        <v>-47776945172</v>
      </c>
      <c r="G48" s="13">
        <v>-56031664384.824814</v>
      </c>
      <c r="H48" s="13">
        <v>-10209148562</v>
      </c>
    </row>
    <row r="49" spans="1:8" x14ac:dyDescent="0.25">
      <c r="A49" s="16" t="s">
        <v>94</v>
      </c>
      <c r="B49" s="17" t="s">
        <v>95</v>
      </c>
      <c r="C49" s="16"/>
      <c r="D49" s="16"/>
      <c r="E49" s="18">
        <v>57851662541</v>
      </c>
      <c r="F49" s="18">
        <v>137096340502.89597</v>
      </c>
      <c r="G49" s="18">
        <v>143556313105</v>
      </c>
      <c r="H49" s="18">
        <v>26718633081</v>
      </c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5BA454B-8A0C-4DD5-AE6D-06BA3EAA4F8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C67472F5-83D9-4359-B357-A57CDF0ADCB1}"/>
    <dataValidation allowBlank="1" showInputMessage="1" showErrorMessage="1" errorTitle="Erreur de saisie" error="La cellule ne peut prendre que du numérique." promptTitle="Information" prompt="Cette cellule ne peut prendre que du numérique," sqref="E8:H49" xr:uid="{DE5CEA7F-3827-4493-BA9B-60D888DC1AEA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150D-F581-44DB-AE01-5809A4169E54}">
  <sheetPr codeName="Feuil14">
    <tabColor rgb="FF00B050"/>
  </sheetPr>
  <dimension ref="A1:H84"/>
  <sheetViews>
    <sheetView topLeftCell="B1" workbookViewId="0">
      <selection sqref="A1:H1"/>
    </sheetView>
  </sheetViews>
  <sheetFormatPr baseColWidth="10" defaultRowHeight="1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6.140625" style="27" bestFit="1" customWidth="1"/>
    <col min="7" max="7" width="18.7109375" style="28" bestFit="1" customWidth="1" collapsed="1"/>
    <col min="8" max="8" width="18.7109375" style="28" customWidth="1" collapsed="1"/>
  </cols>
  <sheetData>
    <row r="1" spans="1:8" ht="18.75" x14ac:dyDescent="0.25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x14ac:dyDescent="0.25">
      <c r="A2" s="1"/>
      <c r="B2" s="1"/>
      <c r="C2" s="2"/>
      <c r="D2" s="1"/>
      <c r="E2" s="1"/>
      <c r="F2" s="1"/>
      <c r="G2" s="1"/>
      <c r="H2" s="1"/>
    </row>
    <row r="3" spans="1:8" x14ac:dyDescent="0.25">
      <c r="A3" s="134" t="s">
        <v>96</v>
      </c>
      <c r="B3" s="134"/>
      <c r="C3" s="134"/>
      <c r="D3" s="1" t="s">
        <v>1</v>
      </c>
      <c r="E3" s="1"/>
      <c r="F3" s="1"/>
      <c r="G3" s="135">
        <f>+'[2]Fiche de renseignement R1'!$V$10</f>
        <v>44926</v>
      </c>
      <c r="H3" s="136"/>
    </row>
    <row r="4" spans="1:8" x14ac:dyDescent="0.25">
      <c r="A4" s="136"/>
      <c r="B4" s="136"/>
      <c r="C4" s="136"/>
      <c r="D4" s="137" t="s">
        <v>2</v>
      </c>
      <c r="E4" s="3"/>
      <c r="F4" s="3"/>
      <c r="G4" s="138">
        <f>+'[2]Fiche de renseignement R1'!$AH$10</f>
        <v>12</v>
      </c>
      <c r="H4" s="138"/>
    </row>
    <row r="5" spans="1:8" ht="38.25" x14ac:dyDescent="0.25">
      <c r="A5" s="4" t="s">
        <v>3</v>
      </c>
      <c r="B5" s="139" t="str">
        <f>+'[2]Fiche de renseignement R1'!$J$10</f>
        <v>005844700</v>
      </c>
      <c r="C5" s="139"/>
      <c r="D5" s="137"/>
      <c r="E5" s="3"/>
      <c r="F5" s="3"/>
      <c r="G5" s="136"/>
      <c r="H5" s="136"/>
    </row>
    <row r="6" spans="1:8" x14ac:dyDescent="0.25">
      <c r="A6" s="1"/>
      <c r="B6" s="1"/>
      <c r="C6" s="2"/>
      <c r="D6" s="1"/>
      <c r="E6" s="1"/>
      <c r="F6" s="1"/>
      <c r="G6" s="1"/>
      <c r="H6" s="1"/>
    </row>
    <row r="7" spans="1:8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>
        <v>0</v>
      </c>
      <c r="H8" s="10">
        <v>0</v>
      </c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>
        <v>0</v>
      </c>
      <c r="H11" s="18">
        <v>0</v>
      </c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174953117808</v>
      </c>
      <c r="F12" s="13">
        <v>138230031551</v>
      </c>
      <c r="G12" s="13">
        <v>147862815768</v>
      </c>
      <c r="H12" s="13">
        <v>123502918007</v>
      </c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180740767</v>
      </c>
      <c r="F14" s="13">
        <v>1</v>
      </c>
      <c r="G14" s="13">
        <v>0</v>
      </c>
      <c r="H14" s="13">
        <v>0</v>
      </c>
    </row>
    <row r="15" spans="1:8" x14ac:dyDescent="0.25">
      <c r="A15" s="16" t="s">
        <v>24</v>
      </c>
      <c r="B15" s="17" t="s">
        <v>25</v>
      </c>
      <c r="C15" s="16"/>
      <c r="D15" s="16"/>
      <c r="E15" s="18">
        <v>175133858574</v>
      </c>
      <c r="F15" s="18">
        <v>138230031552</v>
      </c>
      <c r="G15" s="18">
        <v>147862815768</v>
      </c>
      <c r="H15" s="18">
        <v>123502918007</v>
      </c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36720394087</v>
      </c>
      <c r="F16" s="13">
        <v>4966368064</v>
      </c>
      <c r="G16" s="13">
        <v>-4807792050</v>
      </c>
      <c r="H16" s="13">
        <v>-6704188980</v>
      </c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>
        <v>0</v>
      </c>
      <c r="H17" s="13">
        <v>0</v>
      </c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>
        <v>0</v>
      </c>
      <c r="H18" s="13">
        <v>0</v>
      </c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2362240488</v>
      </c>
      <c r="F19" s="13">
        <v>837311222</v>
      </c>
      <c r="G19" s="13"/>
      <c r="H19" s="13"/>
    </row>
    <row r="20" spans="1:8" x14ac:dyDescent="0.25">
      <c r="A20" s="19" t="s">
        <v>34</v>
      </c>
      <c r="B20" s="20" t="s">
        <v>35</v>
      </c>
      <c r="C20" s="19" t="s">
        <v>9</v>
      </c>
      <c r="D20" s="19">
        <v>12</v>
      </c>
      <c r="E20" s="21">
        <v>7604357440</v>
      </c>
      <c r="F20" s="21">
        <v>27251039666</v>
      </c>
      <c r="G20" s="21">
        <v>9110991892</v>
      </c>
      <c r="H20" s="21">
        <v>7719075633</v>
      </c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0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>
        <v>0</v>
      </c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-35265934979</v>
      </c>
      <c r="F23" s="13">
        <v>-38869287620</v>
      </c>
      <c r="G23" s="13">
        <v>-28972484795</v>
      </c>
      <c r="H23" s="13">
        <v>-25627698216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>
        <v>0</v>
      </c>
      <c r="G24" s="13">
        <v>0</v>
      </c>
      <c r="H24" s="13">
        <v>0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-1236735313</v>
      </c>
      <c r="F25" s="13">
        <v>-987987721</v>
      </c>
      <c r="G25" s="13">
        <v>-1938920751</v>
      </c>
      <c r="H25" s="13">
        <v>-2143364262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-41330084012</v>
      </c>
      <c r="F26" s="13">
        <v>-58087789082</v>
      </c>
      <c r="G26" s="13">
        <v>-60332576785</v>
      </c>
      <c r="H26" s="13">
        <v>-41919108874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-18702270857</v>
      </c>
      <c r="F27" s="13">
        <v>-12045231792</v>
      </c>
      <c r="G27" s="13">
        <v>-8102403993</v>
      </c>
      <c r="H27" s="13">
        <v>-12190593348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-3859773656</v>
      </c>
      <c r="F28" s="13">
        <v>-3212140466</v>
      </c>
      <c r="G28" s="13">
        <v>-2393184997</v>
      </c>
      <c r="H28" s="13">
        <v>-1174926095</v>
      </c>
    </row>
    <row r="29" spans="1:8" x14ac:dyDescent="0.25">
      <c r="A29" s="16" t="s">
        <v>52</v>
      </c>
      <c r="B29" s="17" t="s">
        <v>53</v>
      </c>
      <c r="C29" s="16"/>
      <c r="D29" s="16"/>
      <c r="E29" s="18">
        <v>121426051773</v>
      </c>
      <c r="F29" s="18">
        <v>58082313823</v>
      </c>
      <c r="G29" s="18">
        <v>50426444289</v>
      </c>
      <c r="H29" s="18">
        <v>41462113865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-7486859343</v>
      </c>
      <c r="F30" s="13">
        <v>-8770657004</v>
      </c>
      <c r="G30" s="13">
        <v>-9407376883</v>
      </c>
      <c r="H30" s="13">
        <v>-8825653749</v>
      </c>
    </row>
    <row r="31" spans="1:8" x14ac:dyDescent="0.25">
      <c r="A31" s="16" t="s">
        <v>56</v>
      </c>
      <c r="B31" s="17" t="s">
        <v>57</v>
      </c>
      <c r="C31" s="16"/>
      <c r="D31" s="16"/>
      <c r="E31" s="18">
        <v>113939192429</v>
      </c>
      <c r="F31" s="18">
        <v>49311656819</v>
      </c>
      <c r="G31" s="18">
        <v>41019067406</v>
      </c>
      <c r="H31" s="18">
        <v>32636460116</v>
      </c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14287127</v>
      </c>
      <c r="F32" s="13">
        <v>356721423</v>
      </c>
      <c r="G32" s="13">
        <v>1024614886</v>
      </c>
      <c r="H32" s="13">
        <v>10883406160</v>
      </c>
    </row>
    <row r="33" spans="1:8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-48480016032</v>
      </c>
      <c r="F33" s="21">
        <v>-21695361635</v>
      </c>
      <c r="G33" s="21">
        <v>-19706100090</v>
      </c>
      <c r="H33" s="21">
        <v>-15987695123</v>
      </c>
    </row>
    <row r="34" spans="1:8" x14ac:dyDescent="0.25">
      <c r="A34" s="16" t="s">
        <v>63</v>
      </c>
      <c r="B34" s="17" t="s">
        <v>64</v>
      </c>
      <c r="C34" s="16"/>
      <c r="D34" s="16"/>
      <c r="E34" s="18">
        <v>65473463524.400024</v>
      </c>
      <c r="F34" s="18">
        <v>27973016607</v>
      </c>
      <c r="G34" s="18">
        <v>22337582202</v>
      </c>
      <c r="H34" s="18">
        <v>27532171153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1941073514</v>
      </c>
      <c r="F35" s="13">
        <v>377125502</v>
      </c>
      <c r="G35" s="13">
        <v>6086860</v>
      </c>
      <c r="H35" s="13">
        <v>55751090</v>
      </c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>
        <v>760520603</v>
      </c>
      <c r="H36" s="13">
        <v>4017146942</v>
      </c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>
        <v>0</v>
      </c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-2437620279</v>
      </c>
      <c r="F38" s="13">
        <v>-8615660779</v>
      </c>
      <c r="G38" s="13">
        <v>-248279570</v>
      </c>
      <c r="H38" s="13">
        <v>-267345321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>
        <v>0</v>
      </c>
      <c r="H39" s="13">
        <v>0</v>
      </c>
    </row>
    <row r="40" spans="1:8" x14ac:dyDescent="0.25">
      <c r="A40" s="16" t="s">
        <v>75</v>
      </c>
      <c r="B40" s="17" t="s">
        <v>76</v>
      </c>
      <c r="C40" s="16"/>
      <c r="D40" s="16"/>
      <c r="E40" s="18">
        <v>-496546765</v>
      </c>
      <c r="F40" s="18">
        <v>-8238535277</v>
      </c>
      <c r="G40" s="18">
        <v>518327893</v>
      </c>
      <c r="H40" s="18">
        <v>3805552711</v>
      </c>
    </row>
    <row r="41" spans="1:8" x14ac:dyDescent="0.25">
      <c r="A41" s="22" t="s">
        <v>77</v>
      </c>
      <c r="B41" s="23" t="s">
        <v>78</v>
      </c>
      <c r="C41" s="22"/>
      <c r="D41" s="22"/>
      <c r="E41" s="24">
        <v>64976916759.610023</v>
      </c>
      <c r="F41" s="24">
        <v>19734481330</v>
      </c>
      <c r="G41" s="24">
        <v>22855910095</v>
      </c>
      <c r="H41" s="24">
        <v>31337723864</v>
      </c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>
        <v>0</v>
      </c>
      <c r="H42" s="13">
        <v>0</v>
      </c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6220973118</v>
      </c>
      <c r="G43" s="13">
        <v>0</v>
      </c>
      <c r="H43" s="13">
        <v>0</v>
      </c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  <c r="G44" s="13">
        <v>0</v>
      </c>
      <c r="H44" s="13">
        <v>0</v>
      </c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>
        <v>0</v>
      </c>
      <c r="H45" s="13">
        <v>0</v>
      </c>
    </row>
    <row r="46" spans="1:8" x14ac:dyDescent="0.25">
      <c r="A46" s="22" t="s">
        <v>88</v>
      </c>
      <c r="B46" s="23" t="s">
        <v>89</v>
      </c>
      <c r="C46" s="22"/>
      <c r="D46" s="22"/>
      <c r="E46" s="24">
        <v>0</v>
      </c>
      <c r="F46" s="24">
        <v>6220973118</v>
      </c>
      <c r="G46" s="24">
        <v>0</v>
      </c>
      <c r="H46" s="24">
        <v>0</v>
      </c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>
        <v>0</v>
      </c>
      <c r="H47" s="13">
        <v>0</v>
      </c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31">
        <v>-28580759584</v>
      </c>
      <c r="F48" s="13">
        <v>-3261215482</v>
      </c>
      <c r="G48" s="13">
        <v>0</v>
      </c>
      <c r="H48" s="13">
        <v>0</v>
      </c>
    </row>
    <row r="49" spans="1:8" x14ac:dyDescent="0.25">
      <c r="A49" s="16" t="s">
        <v>94</v>
      </c>
      <c r="B49" s="17" t="s">
        <v>95</v>
      </c>
      <c r="C49" s="16"/>
      <c r="D49" s="16"/>
      <c r="E49" s="18">
        <v>36396157176</v>
      </c>
      <c r="F49" s="18">
        <v>22694238966</v>
      </c>
      <c r="G49" s="18">
        <v>22855910095</v>
      </c>
      <c r="H49" s="18">
        <v>31337723864</v>
      </c>
    </row>
    <row r="53" spans="1:8" x14ac:dyDescent="0.25">
      <c r="B53" s="29"/>
      <c r="C53" s="29"/>
    </row>
    <row r="54" spans="1:8" x14ac:dyDescent="0.25">
      <c r="B54" s="29"/>
      <c r="C54" s="29"/>
    </row>
    <row r="55" spans="1:8" x14ac:dyDescent="0.25">
      <c r="B55" s="29"/>
      <c r="C55" s="29"/>
    </row>
    <row r="58" spans="1:8" x14ac:dyDescent="0.25">
      <c r="B58" s="29"/>
      <c r="C58" s="29"/>
    </row>
    <row r="59" spans="1:8" x14ac:dyDescent="0.25">
      <c r="B59" s="29"/>
      <c r="C59" s="29"/>
    </row>
    <row r="62" spans="1:8" x14ac:dyDescent="0.25">
      <c r="G62" s="30"/>
      <c r="H62" s="30"/>
    </row>
    <row r="63" spans="1:8" x14ac:dyDescent="0.25">
      <c r="G63" s="30"/>
      <c r="H63" s="30"/>
    </row>
    <row r="64" spans="1:8" x14ac:dyDescent="0.25">
      <c r="G64" s="30"/>
      <c r="H64" s="30"/>
    </row>
    <row r="65" spans="7:8" x14ac:dyDescent="0.25">
      <c r="G65" s="30"/>
      <c r="H65" s="30"/>
    </row>
    <row r="66" spans="7:8" x14ac:dyDescent="0.25">
      <c r="G66" s="30"/>
      <c r="H66" s="30"/>
    </row>
    <row r="67" spans="7:8" x14ac:dyDescent="0.25">
      <c r="G67" s="30"/>
      <c r="H67" s="30"/>
    </row>
    <row r="68" spans="7:8" x14ac:dyDescent="0.25">
      <c r="G68" s="30"/>
      <c r="H68" s="30"/>
    </row>
    <row r="69" spans="7:8" x14ac:dyDescent="0.25">
      <c r="G69" s="30"/>
      <c r="H69" s="30"/>
    </row>
    <row r="70" spans="7:8" x14ac:dyDescent="0.25">
      <c r="G70" s="30"/>
      <c r="H70" s="30"/>
    </row>
    <row r="71" spans="7:8" x14ac:dyDescent="0.25">
      <c r="G71" s="30"/>
      <c r="H71" s="30"/>
    </row>
    <row r="72" spans="7:8" x14ac:dyDescent="0.25">
      <c r="G72" s="30"/>
      <c r="H72" s="30"/>
    </row>
    <row r="73" spans="7:8" x14ac:dyDescent="0.25">
      <c r="G73" s="30"/>
      <c r="H73" s="30"/>
    </row>
    <row r="74" spans="7:8" x14ac:dyDescent="0.25">
      <c r="G74" s="30"/>
      <c r="H74" s="30"/>
    </row>
    <row r="75" spans="7:8" x14ac:dyDescent="0.25">
      <c r="G75" s="30"/>
      <c r="H75" s="30"/>
    </row>
    <row r="76" spans="7:8" x14ac:dyDescent="0.25">
      <c r="G76" s="30"/>
      <c r="H76" s="30"/>
    </row>
    <row r="77" spans="7:8" x14ac:dyDescent="0.25">
      <c r="G77" s="30"/>
      <c r="H77" s="30"/>
    </row>
    <row r="78" spans="7:8" x14ac:dyDescent="0.25">
      <c r="G78" s="30"/>
      <c r="H78" s="30"/>
    </row>
    <row r="79" spans="7:8" x14ac:dyDescent="0.25">
      <c r="G79" s="30"/>
      <c r="H79" s="30"/>
    </row>
    <row r="80" spans="7:8" x14ac:dyDescent="0.25">
      <c r="G80" s="30"/>
      <c r="H80" s="30"/>
    </row>
    <row r="81" spans="7:8" x14ac:dyDescent="0.25">
      <c r="G81" s="30"/>
      <c r="H81" s="30"/>
    </row>
    <row r="82" spans="7:8" x14ac:dyDescent="0.25">
      <c r="G82" s="30"/>
      <c r="H82" s="30"/>
    </row>
    <row r="83" spans="7:8" x14ac:dyDescent="0.25">
      <c r="G83" s="30"/>
      <c r="H83" s="30"/>
    </row>
    <row r="84" spans="7:8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2228B268-92B0-49A5-B00A-B00E8201D44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E8:H49" xr:uid="{6BECF56A-4E34-460D-ACCE-723311687DAB}"/>
    <dataValidation allowBlank="1" showInputMessage="1" showErrorMessage="1" errorTitle="Erreur de saisie" error="La cellule ne peut prendre que du numérique." promptTitle="Information" prompt="Cette cellule ne peut prendre que du numérique." sqref="D1:H6" xr:uid="{BFF7403D-0CDE-42F4-B9D6-13C47159D317}"/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C30F3-59C6-46DD-A7AE-D0AB4FAF48D2}">
  <sheetPr codeName="Feuil15">
    <tabColor rgb="FF00B050"/>
  </sheetPr>
  <dimension ref="A7:I84"/>
  <sheetViews>
    <sheetView topLeftCell="C1" workbookViewId="0"/>
  </sheetViews>
  <sheetFormatPr baseColWidth="10" defaultRowHeight="15" x14ac:dyDescent="0.25"/>
  <cols>
    <col min="1" max="1" width="4.140625" style="49" customWidth="1" collapsed="1"/>
    <col min="2" max="2" width="56" style="50" bestFit="1" customWidth="1" collapsed="1"/>
    <col min="3" max="3" width="3.140625" style="50" bestFit="1" customWidth="1" collapsed="1"/>
    <col min="4" max="4" width="7.140625" style="50" bestFit="1" customWidth="1" collapsed="1"/>
    <col min="5" max="6" width="16.140625" style="50" bestFit="1" customWidth="1"/>
    <col min="7" max="7" width="20" style="51" customWidth="1" collapsed="1"/>
    <col min="8" max="8" width="16.42578125" style="51" bestFit="1" customWidth="1" collapsed="1"/>
    <col min="9" max="9" width="16.140625" bestFit="1" customWidth="1"/>
  </cols>
  <sheetData>
    <row r="7" spans="1:9" ht="25.5" x14ac:dyDescent="0.25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  <c r="G7" s="34">
        <v>2022</v>
      </c>
      <c r="H7" s="34">
        <v>2021</v>
      </c>
      <c r="I7" s="34">
        <v>2020</v>
      </c>
    </row>
    <row r="8" spans="1:9" x14ac:dyDescent="0.25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  <c r="G8" s="37">
        <v>0</v>
      </c>
      <c r="H8" s="37">
        <v>0</v>
      </c>
      <c r="I8" s="37">
        <v>0</v>
      </c>
    </row>
    <row r="9" spans="1:9" x14ac:dyDescent="0.25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  <c r="G9" s="37">
        <v>0</v>
      </c>
      <c r="H9" s="37">
        <v>0</v>
      </c>
      <c r="I9" s="37">
        <v>0</v>
      </c>
    </row>
    <row r="10" spans="1:9" x14ac:dyDescent="0.25">
      <c r="A10" s="38" t="s">
        <v>13</v>
      </c>
      <c r="B10" s="40" t="s">
        <v>98</v>
      </c>
      <c r="C10" s="41" t="s">
        <v>15</v>
      </c>
      <c r="D10" s="41">
        <v>6</v>
      </c>
      <c r="E10" s="37">
        <v>0</v>
      </c>
      <c r="F10" s="37">
        <v>0</v>
      </c>
      <c r="G10" s="37">
        <v>0</v>
      </c>
      <c r="H10" s="37">
        <v>0</v>
      </c>
      <c r="I10" s="37">
        <v>0</v>
      </c>
    </row>
    <row r="11" spans="1:9" x14ac:dyDescent="0.25">
      <c r="A11" s="42" t="s">
        <v>16</v>
      </c>
      <c r="B11" s="43" t="s">
        <v>17</v>
      </c>
      <c r="C11" s="42"/>
      <c r="D11" s="42"/>
      <c r="E11" s="54">
        <v>0</v>
      </c>
      <c r="F11" s="54">
        <v>0</v>
      </c>
      <c r="G11" s="44">
        <v>0</v>
      </c>
      <c r="H11" s="44">
        <v>0</v>
      </c>
      <c r="I11" s="44">
        <v>0</v>
      </c>
    </row>
    <row r="12" spans="1:9" x14ac:dyDescent="0.25">
      <c r="A12" s="38" t="s">
        <v>18</v>
      </c>
      <c r="B12" s="39" t="s">
        <v>19</v>
      </c>
      <c r="C12" s="38" t="s">
        <v>9</v>
      </c>
      <c r="D12" s="38">
        <v>21</v>
      </c>
      <c r="E12" s="37">
        <v>170524042823.89999</v>
      </c>
      <c r="F12" s="37">
        <v>140526187361.70001</v>
      </c>
      <c r="G12" s="37">
        <v>208511840359.79999</v>
      </c>
      <c r="H12" s="37">
        <v>147604340692.20001</v>
      </c>
      <c r="I12" s="37">
        <v>115173341389</v>
      </c>
    </row>
    <row r="13" spans="1:9" x14ac:dyDescent="0.25">
      <c r="A13" s="38" t="s">
        <v>20</v>
      </c>
      <c r="B13" s="39" t="s">
        <v>21</v>
      </c>
      <c r="C13" s="38" t="s">
        <v>9</v>
      </c>
      <c r="D13" s="38">
        <v>21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</row>
    <row r="14" spans="1:9" x14ac:dyDescent="0.25">
      <c r="A14" s="38" t="s">
        <v>22</v>
      </c>
      <c r="B14" s="39" t="s">
        <v>23</v>
      </c>
      <c r="C14" s="38" t="s">
        <v>9</v>
      </c>
      <c r="D14" s="38">
        <v>21</v>
      </c>
      <c r="E14" s="37">
        <v>557255376</v>
      </c>
      <c r="F14" s="37">
        <v>538368343.22000003</v>
      </c>
      <c r="G14" s="37">
        <v>55340464</v>
      </c>
      <c r="H14" s="37">
        <v>653233219.10000002</v>
      </c>
      <c r="I14" s="37">
        <v>801581788</v>
      </c>
    </row>
    <row r="15" spans="1:9" x14ac:dyDescent="0.25">
      <c r="A15" s="42" t="s">
        <v>24</v>
      </c>
      <c r="B15" s="43" t="s">
        <v>25</v>
      </c>
      <c r="C15" s="42"/>
      <c r="D15" s="42"/>
      <c r="E15" s="54">
        <v>171081298200</v>
      </c>
      <c r="F15" s="54">
        <v>141064555704</v>
      </c>
      <c r="G15" s="44">
        <v>208567180824</v>
      </c>
      <c r="H15" s="44">
        <v>148257573911.29999</v>
      </c>
      <c r="I15" s="44">
        <f>SUM(I12:I14)</f>
        <v>115974923177</v>
      </c>
    </row>
    <row r="16" spans="1:9" x14ac:dyDescent="0.25">
      <c r="A16" s="38" t="s">
        <v>26</v>
      </c>
      <c r="B16" s="39" t="s">
        <v>27</v>
      </c>
      <c r="C16" s="41" t="s">
        <v>15</v>
      </c>
      <c r="D16" s="38">
        <v>6</v>
      </c>
      <c r="E16" s="37">
        <v>1586204642.3199999</v>
      </c>
      <c r="F16" s="37">
        <v>565247534</v>
      </c>
      <c r="G16" s="37">
        <v>-3215216799</v>
      </c>
      <c r="H16" s="37">
        <v>-1162794026.0899999</v>
      </c>
      <c r="I16" s="37">
        <v>-1602235469</v>
      </c>
    </row>
    <row r="17" spans="1:9" x14ac:dyDescent="0.25">
      <c r="A17" s="38" t="s">
        <v>28</v>
      </c>
      <c r="B17" s="39" t="s">
        <v>29</v>
      </c>
      <c r="C17" s="38"/>
      <c r="D17" s="38">
        <v>21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</row>
    <row r="18" spans="1:9" x14ac:dyDescent="0.25">
      <c r="A18" s="38" t="s">
        <v>30</v>
      </c>
      <c r="B18" s="39" t="s">
        <v>31</v>
      </c>
      <c r="C18" s="38"/>
      <c r="D18" s="38">
        <v>21</v>
      </c>
      <c r="E18" s="45">
        <v>0</v>
      </c>
      <c r="F18" s="45">
        <v>0</v>
      </c>
      <c r="G18" s="37">
        <v>0</v>
      </c>
      <c r="H18" s="37">
        <v>0</v>
      </c>
      <c r="I18" s="37">
        <v>0</v>
      </c>
    </row>
    <row r="19" spans="1:9" x14ac:dyDescent="0.25">
      <c r="A19" s="38" t="s">
        <v>32</v>
      </c>
      <c r="B19" s="39" t="s">
        <v>33</v>
      </c>
      <c r="C19" s="38" t="s">
        <v>9</v>
      </c>
      <c r="D19" s="38">
        <v>21</v>
      </c>
      <c r="E19" s="45">
        <v>1248700913.76</v>
      </c>
      <c r="F19" s="45">
        <v>3441286082.3299999</v>
      </c>
      <c r="G19" s="45">
        <v>2914174580.5100002</v>
      </c>
      <c r="H19" s="45">
        <v>1019684573.64</v>
      </c>
      <c r="I19" s="45">
        <v>42600000</v>
      </c>
    </row>
    <row r="20" spans="1:9" x14ac:dyDescent="0.25">
      <c r="A20" s="38" t="s">
        <v>34</v>
      </c>
      <c r="B20" s="39" t="s">
        <v>99</v>
      </c>
      <c r="C20" s="38" t="s">
        <v>9</v>
      </c>
      <c r="D20" s="38">
        <v>12</v>
      </c>
      <c r="E20" s="45">
        <v>1351866612.2</v>
      </c>
      <c r="F20" s="45">
        <v>651350722.82000005</v>
      </c>
      <c r="G20" s="45">
        <v>813248624.64999998</v>
      </c>
      <c r="H20" s="45">
        <v>34316439</v>
      </c>
      <c r="I20" s="45">
        <v>0</v>
      </c>
    </row>
    <row r="21" spans="1:9" x14ac:dyDescent="0.25">
      <c r="A21" s="38" t="s">
        <v>36</v>
      </c>
      <c r="B21" s="39" t="s">
        <v>37</v>
      </c>
      <c r="C21" s="38" t="s">
        <v>12</v>
      </c>
      <c r="D21" s="38">
        <v>22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</row>
    <row r="22" spans="1:9" x14ac:dyDescent="0.25">
      <c r="A22" s="38" t="s">
        <v>38</v>
      </c>
      <c r="B22" s="40" t="s">
        <v>39</v>
      </c>
      <c r="C22" s="41" t="s">
        <v>15</v>
      </c>
      <c r="D22" s="38">
        <v>6</v>
      </c>
      <c r="E22" s="45">
        <v>0</v>
      </c>
      <c r="F22" s="45">
        <v>0</v>
      </c>
      <c r="G22" s="37">
        <v>0</v>
      </c>
      <c r="H22" s="37">
        <v>0</v>
      </c>
      <c r="I22" s="37">
        <v>0</v>
      </c>
    </row>
    <row r="23" spans="1:9" x14ac:dyDescent="0.25">
      <c r="A23" s="38" t="s">
        <v>40</v>
      </c>
      <c r="B23" s="39" t="s">
        <v>41</v>
      </c>
      <c r="C23" s="38" t="s">
        <v>12</v>
      </c>
      <c r="D23" s="38">
        <v>22</v>
      </c>
      <c r="E23" s="45">
        <v>-30422148300.290001</v>
      </c>
      <c r="F23" s="45">
        <v>-32898635870.009998</v>
      </c>
      <c r="G23" s="37">
        <v>-24061007402.75</v>
      </c>
      <c r="H23" s="37">
        <v>-19999945921.82</v>
      </c>
      <c r="I23" s="37">
        <v>-16657958183</v>
      </c>
    </row>
    <row r="24" spans="1:9" x14ac:dyDescent="0.25">
      <c r="A24" s="38" t="s">
        <v>42</v>
      </c>
      <c r="B24" s="40" t="s">
        <v>43</v>
      </c>
      <c r="C24" s="41" t="s">
        <v>15</v>
      </c>
      <c r="D24" s="38">
        <v>6</v>
      </c>
      <c r="E24" s="45">
        <v>-3134080851.9200001</v>
      </c>
      <c r="F24" s="45">
        <v>-190041208.66999999</v>
      </c>
      <c r="G24" s="37">
        <v>-1513008720</v>
      </c>
      <c r="H24" s="37">
        <v>-846250447.63999999</v>
      </c>
      <c r="I24" s="37">
        <v>-841482040</v>
      </c>
    </row>
    <row r="25" spans="1:9" x14ac:dyDescent="0.25">
      <c r="A25" s="38" t="s">
        <v>44</v>
      </c>
      <c r="B25" s="39" t="s">
        <v>45</v>
      </c>
      <c r="C25" s="38" t="s">
        <v>12</v>
      </c>
      <c r="D25" s="38">
        <v>23</v>
      </c>
      <c r="E25" s="45">
        <v>-4001718568.5300002</v>
      </c>
      <c r="F25" s="45">
        <v>-2304099993.5999999</v>
      </c>
      <c r="G25" s="37">
        <v>-4071698522.1900001</v>
      </c>
      <c r="H25" s="37">
        <v>-8338773177.4399996</v>
      </c>
      <c r="I25" s="37">
        <v>-5469486912</v>
      </c>
    </row>
    <row r="26" spans="1:9" x14ac:dyDescent="0.25">
      <c r="A26" s="38" t="s">
        <v>46</v>
      </c>
      <c r="B26" s="39" t="s">
        <v>47</v>
      </c>
      <c r="C26" s="38" t="s">
        <v>12</v>
      </c>
      <c r="D26" s="38">
        <v>24</v>
      </c>
      <c r="E26" s="45">
        <v>-36977305895.900002</v>
      </c>
      <c r="F26" s="45">
        <v>-28073807787.759998</v>
      </c>
      <c r="G26" s="37">
        <v>-36167605623.769997</v>
      </c>
      <c r="H26" s="37">
        <v>-25352162056.75</v>
      </c>
      <c r="I26" s="37">
        <v>-28047573935</v>
      </c>
    </row>
    <row r="27" spans="1:9" x14ac:dyDescent="0.25">
      <c r="A27" s="38" t="s">
        <v>48</v>
      </c>
      <c r="B27" s="39" t="s">
        <v>49</v>
      </c>
      <c r="C27" s="38" t="s">
        <v>12</v>
      </c>
      <c r="D27" s="38">
        <v>25</v>
      </c>
      <c r="E27" s="37">
        <v>-128429650</v>
      </c>
      <c r="F27" s="37">
        <v>-1411219658</v>
      </c>
      <c r="G27" s="37">
        <v>-256590518</v>
      </c>
      <c r="H27" s="37">
        <v>-2597254221</v>
      </c>
      <c r="I27" s="37">
        <v>-368311527</v>
      </c>
    </row>
    <row r="28" spans="1:9" x14ac:dyDescent="0.25">
      <c r="A28" s="38" t="s">
        <v>50</v>
      </c>
      <c r="B28" s="39" t="s">
        <v>51</v>
      </c>
      <c r="C28" s="38" t="s">
        <v>12</v>
      </c>
      <c r="D28" s="38">
        <v>26</v>
      </c>
      <c r="E28" s="37">
        <v>-3994781488.77</v>
      </c>
      <c r="F28" s="37">
        <v>-8242637270</v>
      </c>
      <c r="G28" s="37">
        <f>-12597863518.24+317428853</f>
        <v>-12280434665.24</v>
      </c>
      <c r="H28" s="37">
        <v>-3849899375.6799998</v>
      </c>
      <c r="I28" s="37">
        <v>-3293534003</v>
      </c>
    </row>
    <row r="29" spans="1:9" x14ac:dyDescent="0.25">
      <c r="A29" s="42" t="s">
        <v>52</v>
      </c>
      <c r="B29" s="43" t="s">
        <v>53</v>
      </c>
      <c r="C29" s="42"/>
      <c r="D29" s="42"/>
      <c r="E29" s="54">
        <v>96609605612.770004</v>
      </c>
      <c r="F29" s="54">
        <v>72601998256</v>
      </c>
      <c r="G29" s="44">
        <f>SUM(G15:G28)</f>
        <v>130729041778.21001</v>
      </c>
      <c r="H29" s="44">
        <v>87164495697.470001</v>
      </c>
      <c r="I29" s="44">
        <v>59736941109</v>
      </c>
    </row>
    <row r="30" spans="1:9" x14ac:dyDescent="0.25">
      <c r="A30" s="38" t="s">
        <v>54</v>
      </c>
      <c r="B30" s="39" t="s">
        <v>55</v>
      </c>
      <c r="C30" s="38" t="s">
        <v>12</v>
      </c>
      <c r="D30" s="38">
        <v>27</v>
      </c>
      <c r="E30" s="37">
        <v>-27975212944.049999</v>
      </c>
      <c r="F30" s="37">
        <v>-25303473731</v>
      </c>
      <c r="G30" s="37">
        <v>-23686592667.619999</v>
      </c>
      <c r="H30" s="37">
        <v>-20604689454.490002</v>
      </c>
      <c r="I30" s="37">
        <v>-19217291872</v>
      </c>
    </row>
    <row r="31" spans="1:9" x14ac:dyDescent="0.25">
      <c r="A31" s="42" t="s">
        <v>56</v>
      </c>
      <c r="B31" s="43" t="s">
        <v>57</v>
      </c>
      <c r="C31" s="42"/>
      <c r="D31" s="42"/>
      <c r="E31" s="54">
        <v>68634392668.720001</v>
      </c>
      <c r="F31" s="54">
        <v>47298524524.339996</v>
      </c>
      <c r="G31" s="44">
        <f>SUM(G29:G30)</f>
        <v>107042449110.59001</v>
      </c>
      <c r="H31" s="44">
        <v>66559806242.980003</v>
      </c>
      <c r="I31" s="44">
        <f>SUM(I29:I30)</f>
        <v>40519649237</v>
      </c>
    </row>
    <row r="32" spans="1:9" x14ac:dyDescent="0.25">
      <c r="A32" s="38" t="s">
        <v>58</v>
      </c>
      <c r="B32" s="39" t="s">
        <v>100</v>
      </c>
      <c r="C32" s="38" t="s">
        <v>9</v>
      </c>
      <c r="D32" s="38">
        <v>28</v>
      </c>
      <c r="E32" s="45">
        <v>2147340756</v>
      </c>
      <c r="F32" s="45">
        <v>399017709</v>
      </c>
      <c r="G32" s="37">
        <v>302600107</v>
      </c>
      <c r="H32" s="37">
        <v>220052906</v>
      </c>
      <c r="I32" s="37">
        <v>0</v>
      </c>
    </row>
    <row r="33" spans="1:9" x14ac:dyDescent="0.25">
      <c r="A33" s="38" t="s">
        <v>60</v>
      </c>
      <c r="B33" s="39" t="s">
        <v>61</v>
      </c>
      <c r="C33" s="38" t="s">
        <v>12</v>
      </c>
      <c r="D33" s="38" t="s">
        <v>62</v>
      </c>
      <c r="E33" s="45">
        <v>-23126876299.759998</v>
      </c>
      <c r="F33" s="45">
        <v>-25725328624.380001</v>
      </c>
      <c r="G33" s="45">
        <v>-21751797892.110001</v>
      </c>
      <c r="H33" s="45">
        <v>-21440178060.610001</v>
      </c>
      <c r="I33" s="45">
        <v>-21315951907</v>
      </c>
    </row>
    <row r="34" spans="1:9" x14ac:dyDescent="0.25">
      <c r="A34" s="42" t="s">
        <v>63</v>
      </c>
      <c r="B34" s="43" t="s">
        <v>64</v>
      </c>
      <c r="C34" s="42"/>
      <c r="D34" s="42"/>
      <c r="E34" s="54">
        <v>47654857124.959999</v>
      </c>
      <c r="F34" s="54">
        <v>21972213608.959999</v>
      </c>
      <c r="G34" s="44">
        <f>SUM(G31:G33)</f>
        <v>85593251325.480011</v>
      </c>
      <c r="H34" s="44">
        <v>45339681088.370003</v>
      </c>
      <c r="I34" s="44">
        <v>19203697330</v>
      </c>
    </row>
    <row r="35" spans="1:9" x14ac:dyDescent="0.25">
      <c r="A35" s="38" t="s">
        <v>65</v>
      </c>
      <c r="B35" s="39" t="s">
        <v>66</v>
      </c>
      <c r="C35" s="38" t="s">
        <v>9</v>
      </c>
      <c r="D35" s="38">
        <v>29</v>
      </c>
      <c r="E35" s="37">
        <v>871039395.39999998</v>
      </c>
      <c r="F35" s="37">
        <v>1340473884.8800001</v>
      </c>
      <c r="G35" s="37">
        <f>742709602.3+28349028</f>
        <v>771058630.29999995</v>
      </c>
      <c r="H35" s="37">
        <v>61812228.200000003</v>
      </c>
      <c r="I35" s="37">
        <v>133648750</v>
      </c>
    </row>
    <row r="36" spans="1:9" x14ac:dyDescent="0.25">
      <c r="A36" s="38" t="s">
        <v>67</v>
      </c>
      <c r="B36" s="39" t="s">
        <v>68</v>
      </c>
      <c r="C36" s="38" t="s">
        <v>9</v>
      </c>
      <c r="D36" s="38">
        <v>28</v>
      </c>
      <c r="E36" s="37">
        <v>36034843362</v>
      </c>
      <c r="F36" s="37">
        <v>51617906763</v>
      </c>
      <c r="G36" s="37">
        <v>45237079498</v>
      </c>
      <c r="H36" s="37">
        <v>20677465859</v>
      </c>
      <c r="I36" s="37">
        <v>79679271009</v>
      </c>
    </row>
    <row r="37" spans="1:9" x14ac:dyDescent="0.25">
      <c r="A37" s="38" t="s">
        <v>69</v>
      </c>
      <c r="B37" s="39" t="s">
        <v>101</v>
      </c>
      <c r="C37" s="38" t="s">
        <v>9</v>
      </c>
      <c r="D37" s="38">
        <v>12</v>
      </c>
      <c r="E37" s="37">
        <v>0</v>
      </c>
      <c r="F37" s="37">
        <v>0</v>
      </c>
      <c r="G37" s="37">
        <v>0</v>
      </c>
      <c r="H37" s="37">
        <v>0</v>
      </c>
      <c r="I37" s="37">
        <v>0</v>
      </c>
    </row>
    <row r="38" spans="1:9" x14ac:dyDescent="0.25">
      <c r="A38" s="38" t="s">
        <v>71</v>
      </c>
      <c r="B38" s="39" t="s">
        <v>72</v>
      </c>
      <c r="C38" s="38" t="s">
        <v>12</v>
      </c>
      <c r="D38" s="38">
        <v>29</v>
      </c>
      <c r="E38" s="37">
        <v>-11968609048.91</v>
      </c>
      <c r="F38" s="37">
        <v>-10063450621.379999</v>
      </c>
      <c r="G38" s="37">
        <v>-22105386640.310001</v>
      </c>
      <c r="H38" s="37">
        <v>-7432865108.3599997</v>
      </c>
      <c r="I38" s="37">
        <v>-4255587274</v>
      </c>
    </row>
    <row r="39" spans="1:9" x14ac:dyDescent="0.25">
      <c r="A39" s="38" t="s">
        <v>73</v>
      </c>
      <c r="B39" s="39" t="s">
        <v>74</v>
      </c>
      <c r="C39" s="38" t="s">
        <v>12</v>
      </c>
      <c r="D39" s="38" t="s">
        <v>62</v>
      </c>
      <c r="E39" s="37">
        <v>-47342532027.75</v>
      </c>
      <c r="F39" s="37">
        <v>-36034843111.730003</v>
      </c>
      <c r="G39" s="37">
        <v>-51797156691</v>
      </c>
      <c r="H39" s="37">
        <v>-45391756625.190002</v>
      </c>
      <c r="I39" s="37">
        <v>-41690470219</v>
      </c>
    </row>
    <row r="40" spans="1:9" x14ac:dyDescent="0.25">
      <c r="A40" s="42" t="s">
        <v>75</v>
      </c>
      <c r="B40" s="43" t="s">
        <v>76</v>
      </c>
      <c r="C40" s="42"/>
      <c r="D40" s="42"/>
      <c r="E40" s="54">
        <v>-22405258319.259998</v>
      </c>
      <c r="F40" s="54">
        <v>6860086914.7700005</v>
      </c>
      <c r="G40" s="44">
        <f>SUM(G35:G39)</f>
        <v>-27894405203.009998</v>
      </c>
      <c r="H40" s="44">
        <v>-32085343646.349998</v>
      </c>
      <c r="I40" s="44">
        <v>33866862267</v>
      </c>
    </row>
    <row r="41" spans="1:9" x14ac:dyDescent="0.25">
      <c r="A41" s="46" t="s">
        <v>77</v>
      </c>
      <c r="B41" s="47" t="s">
        <v>78</v>
      </c>
      <c r="C41" s="46"/>
      <c r="D41" s="46"/>
      <c r="E41" s="55">
        <v>25249598805.700001</v>
      </c>
      <c r="F41" s="55">
        <v>28832300523.73</v>
      </c>
      <c r="G41" s="48">
        <v>57698846122.18</v>
      </c>
      <c r="H41" s="48">
        <v>13254337442.02</v>
      </c>
      <c r="I41" s="48">
        <f>I40+I34</f>
        <v>53070559597</v>
      </c>
    </row>
    <row r="42" spans="1:9" x14ac:dyDescent="0.25">
      <c r="A42" s="38" t="s">
        <v>79</v>
      </c>
      <c r="B42" s="39" t="s">
        <v>80</v>
      </c>
      <c r="C42" s="38" t="s">
        <v>9</v>
      </c>
      <c r="D42" s="38" t="s">
        <v>81</v>
      </c>
      <c r="E42" s="37">
        <v>623359580.04999995</v>
      </c>
      <c r="F42" s="37">
        <v>0</v>
      </c>
      <c r="G42" s="37">
        <v>0</v>
      </c>
      <c r="H42" s="37">
        <v>0</v>
      </c>
      <c r="I42" s="37">
        <v>0</v>
      </c>
    </row>
    <row r="43" spans="1:9" x14ac:dyDescent="0.25">
      <c r="A43" s="38" t="s">
        <v>82</v>
      </c>
      <c r="B43" s="39" t="s">
        <v>83</v>
      </c>
      <c r="C43" s="38" t="s">
        <v>9</v>
      </c>
      <c r="D43" s="38">
        <v>30</v>
      </c>
      <c r="E43" s="37">
        <v>0</v>
      </c>
      <c r="F43" s="37">
        <v>0</v>
      </c>
      <c r="G43" s="37">
        <v>0</v>
      </c>
      <c r="H43" s="37">
        <v>0</v>
      </c>
      <c r="I43" s="37">
        <v>0</v>
      </c>
    </row>
    <row r="44" spans="1:9" x14ac:dyDescent="0.25">
      <c r="A44" s="38" t="s">
        <v>84</v>
      </c>
      <c r="B44" s="39" t="s">
        <v>85</v>
      </c>
      <c r="C44" s="38" t="s">
        <v>12</v>
      </c>
      <c r="D44" s="38" t="s">
        <v>81</v>
      </c>
      <c r="E44" s="37">
        <v>-839897922</v>
      </c>
      <c r="F44" s="37">
        <v>0</v>
      </c>
      <c r="G44" s="37">
        <v>0</v>
      </c>
      <c r="H44" s="37">
        <v>0</v>
      </c>
      <c r="I44" s="37">
        <v>-9159250</v>
      </c>
    </row>
    <row r="45" spans="1:9" x14ac:dyDescent="0.25">
      <c r="A45" s="38" t="s">
        <v>86</v>
      </c>
      <c r="B45" s="39" t="s">
        <v>102</v>
      </c>
      <c r="C45" s="38" t="s">
        <v>12</v>
      </c>
      <c r="D45" s="38">
        <v>30</v>
      </c>
      <c r="E45" s="37">
        <v>0</v>
      </c>
      <c r="F45" s="37">
        <v>0</v>
      </c>
      <c r="G45" s="37">
        <v>0</v>
      </c>
      <c r="H45" s="37">
        <v>0</v>
      </c>
      <c r="I45" s="37">
        <v>0</v>
      </c>
    </row>
    <row r="46" spans="1:9" x14ac:dyDescent="0.25">
      <c r="A46" s="46" t="s">
        <v>88</v>
      </c>
      <c r="B46" s="47" t="s">
        <v>89</v>
      </c>
      <c r="C46" s="46"/>
      <c r="D46" s="46"/>
      <c r="E46" s="55">
        <v>-216538341.94999999</v>
      </c>
      <c r="F46" s="55">
        <v>0</v>
      </c>
      <c r="G46" s="48">
        <v>0</v>
      </c>
      <c r="H46" s="48">
        <v>0</v>
      </c>
      <c r="I46" s="48">
        <f>SUM(I42:I45)</f>
        <v>-9159250</v>
      </c>
    </row>
    <row r="47" spans="1:9" x14ac:dyDescent="0.25">
      <c r="A47" s="38" t="s">
        <v>90</v>
      </c>
      <c r="B47" s="39" t="s">
        <v>103</v>
      </c>
      <c r="C47" s="38" t="s">
        <v>12</v>
      </c>
      <c r="D47" s="38">
        <v>30</v>
      </c>
      <c r="E47" s="37">
        <v>0</v>
      </c>
      <c r="F47" s="37">
        <v>0</v>
      </c>
      <c r="G47" s="37">
        <v>0</v>
      </c>
      <c r="H47" s="37">
        <v>0</v>
      </c>
      <c r="I47" s="37">
        <v>0</v>
      </c>
    </row>
    <row r="48" spans="1:9" x14ac:dyDescent="0.25">
      <c r="A48" s="38" t="s">
        <v>92</v>
      </c>
      <c r="B48" s="39" t="s">
        <v>93</v>
      </c>
      <c r="C48" s="38" t="s">
        <v>12</v>
      </c>
      <c r="D48" s="38"/>
      <c r="E48" s="37">
        <v>-10609795322.23</v>
      </c>
      <c r="F48" s="37">
        <v>-7123250300</v>
      </c>
      <c r="G48" s="37">
        <v>0</v>
      </c>
      <c r="H48" s="37">
        <v>0</v>
      </c>
      <c r="I48" s="37">
        <v>0</v>
      </c>
    </row>
    <row r="49" spans="1:9" x14ac:dyDescent="0.25">
      <c r="A49" s="42" t="s">
        <v>94</v>
      </c>
      <c r="B49" s="43" t="s">
        <v>95</v>
      </c>
      <c r="C49" s="42"/>
      <c r="D49" s="42"/>
      <c r="E49" s="54">
        <v>14423265142</v>
      </c>
      <c r="F49" s="54">
        <v>21709050224</v>
      </c>
      <c r="G49" s="44">
        <v>57698846122</v>
      </c>
      <c r="H49" s="44">
        <v>13254337442.02</v>
      </c>
      <c r="I49" s="44">
        <f>SUM(I41,I46:I48)</f>
        <v>53061400347</v>
      </c>
    </row>
    <row r="53" spans="1:9" x14ac:dyDescent="0.25">
      <c r="B53" s="52"/>
      <c r="C53" s="52"/>
    </row>
    <row r="54" spans="1:9" x14ac:dyDescent="0.25">
      <c r="B54" s="52"/>
      <c r="C54" s="52"/>
    </row>
    <row r="55" spans="1:9" x14ac:dyDescent="0.25">
      <c r="B55" s="52"/>
      <c r="C55" s="52"/>
    </row>
    <row r="58" spans="1:9" x14ac:dyDescent="0.25">
      <c r="B58" s="52"/>
      <c r="C58" s="52"/>
    </row>
    <row r="59" spans="1:9" x14ac:dyDescent="0.25">
      <c r="B59" s="52"/>
      <c r="C59" s="52"/>
    </row>
    <row r="62" spans="1:9" x14ac:dyDescent="0.25">
      <c r="G62" s="53"/>
      <c r="H62" s="53"/>
    </row>
    <row r="63" spans="1:9" x14ac:dyDescent="0.25">
      <c r="G63" s="53"/>
      <c r="H63" s="53"/>
    </row>
    <row r="64" spans="1:9" x14ac:dyDescent="0.25">
      <c r="G64" s="53"/>
      <c r="H64" s="53"/>
    </row>
    <row r="65" spans="7:8" x14ac:dyDescent="0.25">
      <c r="G65" s="53"/>
      <c r="H65" s="53"/>
    </row>
    <row r="66" spans="7:8" x14ac:dyDescent="0.25">
      <c r="G66" s="53"/>
      <c r="H66" s="53"/>
    </row>
    <row r="67" spans="7:8" x14ac:dyDescent="0.25">
      <c r="G67" s="53"/>
      <c r="H67" s="53"/>
    </row>
    <row r="68" spans="7:8" x14ac:dyDescent="0.25">
      <c r="G68" s="53"/>
      <c r="H68" s="53"/>
    </row>
    <row r="69" spans="7:8" x14ac:dyDescent="0.25">
      <c r="G69" s="53"/>
      <c r="H69" s="53"/>
    </row>
    <row r="70" spans="7:8" x14ac:dyDescent="0.25">
      <c r="G70" s="53"/>
      <c r="H70" s="53"/>
    </row>
    <row r="71" spans="7:8" x14ac:dyDescent="0.25">
      <c r="G71" s="53"/>
      <c r="H71" s="53"/>
    </row>
    <row r="72" spans="7:8" x14ac:dyDescent="0.25">
      <c r="G72" s="53"/>
      <c r="H72" s="53"/>
    </row>
    <row r="73" spans="7:8" x14ac:dyDescent="0.25">
      <c r="G73" s="53"/>
      <c r="H73" s="53"/>
    </row>
    <row r="74" spans="7:8" x14ac:dyDescent="0.25">
      <c r="G74" s="53"/>
      <c r="H74" s="53"/>
    </row>
    <row r="75" spans="7:8" x14ac:dyDescent="0.25">
      <c r="G75" s="53"/>
      <c r="H75" s="53"/>
    </row>
    <row r="76" spans="7:8" x14ac:dyDescent="0.25">
      <c r="G76" s="53"/>
      <c r="H76" s="53"/>
    </row>
    <row r="77" spans="7:8" x14ac:dyDescent="0.25">
      <c r="G77" s="53"/>
      <c r="H77" s="53"/>
    </row>
    <row r="78" spans="7:8" x14ac:dyDescent="0.25">
      <c r="G78" s="53"/>
      <c r="H78" s="53"/>
    </row>
    <row r="79" spans="7:8" x14ac:dyDescent="0.25">
      <c r="G79" s="53"/>
      <c r="H79" s="53"/>
    </row>
    <row r="80" spans="7:8" x14ac:dyDescent="0.25">
      <c r="G80" s="53"/>
      <c r="H80" s="53"/>
    </row>
    <row r="81" spans="7:8" x14ac:dyDescent="0.25">
      <c r="G81" s="53"/>
      <c r="H81" s="53"/>
    </row>
    <row r="82" spans="7:8" x14ac:dyDescent="0.25">
      <c r="G82" s="53"/>
      <c r="H82" s="53"/>
    </row>
    <row r="83" spans="7:8" x14ac:dyDescent="0.25">
      <c r="G83" s="53"/>
      <c r="H83" s="53"/>
    </row>
    <row r="84" spans="7:8" x14ac:dyDescent="0.25">
      <c r="G84" s="53"/>
      <c r="H84" s="53"/>
    </row>
  </sheetData>
  <dataValidations count="2">
    <dataValidation allowBlank="1" showInputMessage="1" showErrorMessage="1" errorTitle="Erreur de saisie" error="La cellule ne peut prendre que du numérique." promptTitle="Information" prompt="Cette cellule ne peut prendre que du numérique," sqref="F8:I49 E8:E48" xr:uid="{16423D9B-D88F-4F55-B0C6-CA86B97B04B8}"/>
    <dataValidation allowBlank="1" showInputMessage="1" showErrorMessage="1" errorTitle="Erreur de saisie" error="La cellule ne peut prendre que du numérique." promptTitle="Information" prompt="Cette cellule ne peut prendre que du numérique." sqref="E49" xr:uid="{DD01E8FA-3852-4B66-B99E-B238054F7AB6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7C57-F039-4F26-82E9-762FBA8E53FD}">
  <sheetPr codeName="Feuil16">
    <tabColor rgb="FF00B050"/>
  </sheetPr>
  <dimension ref="A1:H84"/>
  <sheetViews>
    <sheetView topLeftCell="C1" workbookViewId="0">
      <selection sqref="A1:H1"/>
    </sheetView>
  </sheetViews>
  <sheetFormatPr baseColWidth="10" defaultRowHeight="1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</cols>
  <sheetData>
    <row r="1" spans="1:8" ht="18.75" x14ac:dyDescent="0.25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x14ac:dyDescent="0.25">
      <c r="A2" s="1"/>
      <c r="B2" s="1"/>
      <c r="C2" s="2"/>
      <c r="D2" s="1"/>
      <c r="E2" s="1"/>
      <c r="F2" s="1"/>
      <c r="G2" s="1"/>
      <c r="H2" s="1"/>
    </row>
    <row r="3" spans="1:8" x14ac:dyDescent="0.25">
      <c r="A3" s="134" t="s">
        <v>96</v>
      </c>
      <c r="B3" s="134"/>
      <c r="C3" s="134"/>
      <c r="D3" s="1" t="s">
        <v>1</v>
      </c>
      <c r="E3" s="1"/>
      <c r="F3" s="1"/>
      <c r="G3" s="135" t="s">
        <v>104</v>
      </c>
      <c r="H3" s="136"/>
    </row>
    <row r="4" spans="1:8" x14ac:dyDescent="0.25">
      <c r="A4" s="140" t="s">
        <v>105</v>
      </c>
      <c r="B4" s="136"/>
      <c r="C4" s="136"/>
      <c r="D4" s="137" t="s">
        <v>2</v>
      </c>
      <c r="E4" s="3"/>
      <c r="F4" s="3"/>
      <c r="G4" s="138">
        <v>12</v>
      </c>
      <c r="H4" s="138"/>
    </row>
    <row r="5" spans="1:8" ht="38.25" x14ac:dyDescent="0.25">
      <c r="A5" s="4" t="s">
        <v>3</v>
      </c>
      <c r="B5" s="139" t="s">
        <v>106</v>
      </c>
      <c r="C5" s="139"/>
      <c r="D5" s="137"/>
      <c r="E5" s="3"/>
      <c r="F5" s="3"/>
      <c r="G5" s="136"/>
      <c r="H5" s="136"/>
    </row>
    <row r="6" spans="1:8" x14ac:dyDescent="0.25">
      <c r="A6" s="1"/>
      <c r="B6" s="1"/>
      <c r="C6" s="2"/>
      <c r="D6" s="1"/>
      <c r="E6" s="1"/>
      <c r="F6" s="1"/>
      <c r="G6" s="1"/>
      <c r="H6" s="1"/>
    </row>
    <row r="7" spans="1:8" x14ac:dyDescent="0.2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8">
        <v>0</v>
      </c>
      <c r="F8" s="8">
        <v>0</v>
      </c>
      <c r="G8" s="10">
        <v>0</v>
      </c>
      <c r="H8" s="10">
        <v>0</v>
      </c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1">
        <v>0</v>
      </c>
      <c r="F9" s="11">
        <v>0</v>
      </c>
      <c r="G9" s="13">
        <v>0</v>
      </c>
      <c r="H9" s="13">
        <v>0</v>
      </c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5">
        <v>0</v>
      </c>
      <c r="F10" s="15">
        <v>0</v>
      </c>
      <c r="G10" s="13">
        <v>0</v>
      </c>
      <c r="H10" s="13">
        <v>0</v>
      </c>
    </row>
    <row r="11" spans="1:8" x14ac:dyDescent="0.25">
      <c r="A11" s="16" t="s">
        <v>16</v>
      </c>
      <c r="B11" s="17" t="s">
        <v>17</v>
      </c>
      <c r="C11" s="16"/>
      <c r="D11" s="16"/>
      <c r="E11" s="16">
        <v>0</v>
      </c>
      <c r="F11" s="16">
        <v>0</v>
      </c>
      <c r="G11" s="18">
        <v>0</v>
      </c>
      <c r="H11" s="18">
        <v>0</v>
      </c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>
        <v>0</v>
      </c>
      <c r="F12" s="11">
        <v>0</v>
      </c>
      <c r="G12" s="13">
        <v>0</v>
      </c>
      <c r="H12" s="13">
        <v>0</v>
      </c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>
        <v>0</v>
      </c>
      <c r="F13" s="11">
        <v>0</v>
      </c>
      <c r="G13" s="13">
        <v>0</v>
      </c>
      <c r="H13" s="13">
        <v>0</v>
      </c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58">
        <v>339990650</v>
      </c>
      <c r="F14" s="58">
        <v>590714400</v>
      </c>
      <c r="G14" s="13">
        <v>357766575</v>
      </c>
      <c r="H14" s="13">
        <v>0</v>
      </c>
    </row>
    <row r="15" spans="1:8" x14ac:dyDescent="0.25">
      <c r="A15" s="16" t="s">
        <v>24</v>
      </c>
      <c r="B15" s="17" t="s">
        <v>25</v>
      </c>
      <c r="C15" s="16"/>
      <c r="D15" s="16"/>
      <c r="E15" s="59">
        <v>339990650</v>
      </c>
      <c r="F15" s="59">
        <v>590714400</v>
      </c>
      <c r="G15" s="18">
        <v>357766575</v>
      </c>
      <c r="H15" s="18">
        <v>0</v>
      </c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>
        <v>0</v>
      </c>
      <c r="F16" s="11">
        <v>0</v>
      </c>
      <c r="G16" s="13">
        <v>0</v>
      </c>
      <c r="H16" s="13">
        <v>0</v>
      </c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58">
        <v>771589458</v>
      </c>
      <c r="F17" s="58">
        <v>376372262</v>
      </c>
      <c r="G17" s="13">
        <v>821886243</v>
      </c>
      <c r="H17" s="13">
        <v>139134976</v>
      </c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1">
        <v>0</v>
      </c>
      <c r="F18" s="11">
        <v>0</v>
      </c>
      <c r="G18" s="13">
        <v>0</v>
      </c>
      <c r="H18" s="13">
        <v>0</v>
      </c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>
        <v>1</v>
      </c>
      <c r="F19" s="11">
        <v>60</v>
      </c>
      <c r="G19" s="13">
        <v>10000</v>
      </c>
      <c r="H19" s="13">
        <v>888</v>
      </c>
    </row>
    <row r="20" spans="1:8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9">
        <v>0</v>
      </c>
      <c r="F20" s="19">
        <v>0</v>
      </c>
      <c r="G20" s="13">
        <v>0</v>
      </c>
      <c r="H20" s="13">
        <v>0</v>
      </c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>
        <v>0</v>
      </c>
      <c r="F21" s="11">
        <v>0</v>
      </c>
      <c r="G21" s="13">
        <v>0</v>
      </c>
      <c r="H21" s="13">
        <v>0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>
        <v>0</v>
      </c>
      <c r="F22" s="11">
        <v>0</v>
      </c>
      <c r="G22" s="13">
        <v>0</v>
      </c>
      <c r="H22" s="13">
        <v>0</v>
      </c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58">
        <v>13009581</v>
      </c>
      <c r="F23" s="58">
        <v>12206331</v>
      </c>
      <c r="G23" s="13">
        <v>-207385675</v>
      </c>
      <c r="H23" s="13">
        <v>-536142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58">
        <v>16904983</v>
      </c>
      <c r="F24" s="58">
        <v>28269575</v>
      </c>
      <c r="G24" s="13">
        <v>61659958</v>
      </c>
      <c r="H24" s="13">
        <v>0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58">
        <v>3792461</v>
      </c>
      <c r="F25" s="58">
        <v>10425478</v>
      </c>
      <c r="G25" s="13">
        <v>-5140777</v>
      </c>
      <c r="H25" s="13">
        <v>-1634996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58">
        <v>80614460</v>
      </c>
      <c r="F26" s="58">
        <v>58272261</v>
      </c>
      <c r="G26" s="13">
        <v>-248477419</v>
      </c>
      <c r="H26" s="13">
        <v>-176082257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58">
        <v>13642063</v>
      </c>
      <c r="F27" s="58">
        <v>9279806</v>
      </c>
      <c r="G27" s="13">
        <v>-33000</v>
      </c>
      <c r="H27" s="13">
        <v>-182925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58">
        <v>10784029</v>
      </c>
      <c r="F28" s="58">
        <v>24437321</v>
      </c>
      <c r="G28" s="13">
        <v>-48340889</v>
      </c>
      <c r="H28" s="13">
        <v>-588750</v>
      </c>
    </row>
    <row r="29" spans="1:8" x14ac:dyDescent="0.25">
      <c r="A29" s="16" t="s">
        <v>52</v>
      </c>
      <c r="B29" s="17" t="s">
        <v>53</v>
      </c>
      <c r="C29" s="16"/>
      <c r="D29" s="16"/>
      <c r="E29" s="59">
        <v>972832532</v>
      </c>
      <c r="F29" s="59">
        <v>824195950</v>
      </c>
      <c r="G29" s="18">
        <v>731945016</v>
      </c>
      <c r="H29" s="18">
        <v>-39889206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58">
        <v>66951657</v>
      </c>
      <c r="F30" s="11">
        <v>0</v>
      </c>
      <c r="G30" s="13">
        <v>0</v>
      </c>
      <c r="H30" s="13">
        <v>0</v>
      </c>
    </row>
    <row r="31" spans="1:8" x14ac:dyDescent="0.25">
      <c r="A31" s="16" t="s">
        <v>56</v>
      </c>
      <c r="B31" s="17" t="s">
        <v>57</v>
      </c>
      <c r="C31" s="16"/>
      <c r="D31" s="16"/>
      <c r="E31" s="59">
        <v>905880875</v>
      </c>
      <c r="F31" s="59">
        <v>824195950</v>
      </c>
      <c r="G31" s="18">
        <v>731945016</v>
      </c>
      <c r="H31" s="18">
        <v>-39889206</v>
      </c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1">
        <v>0</v>
      </c>
      <c r="F32" s="11">
        <v>0</v>
      </c>
      <c r="G32" s="13">
        <v>0</v>
      </c>
      <c r="H32" s="13">
        <v>0</v>
      </c>
    </row>
    <row r="33" spans="1:8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60">
        <v>826269207</v>
      </c>
      <c r="F33" s="60">
        <v>705091062</v>
      </c>
      <c r="G33" s="13">
        <v>-649674783</v>
      </c>
      <c r="H33" s="13">
        <v>-7205572</v>
      </c>
    </row>
    <row r="34" spans="1:8" x14ac:dyDescent="0.25">
      <c r="A34" s="16" t="s">
        <v>63</v>
      </c>
      <c r="B34" s="17" t="s">
        <v>64</v>
      </c>
      <c r="C34" s="16"/>
      <c r="D34" s="16"/>
      <c r="E34" s="59">
        <v>79611668</v>
      </c>
      <c r="F34" s="59">
        <v>119104888</v>
      </c>
      <c r="G34" s="18">
        <v>82270233</v>
      </c>
      <c r="H34" s="18">
        <v>-47094778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>
        <v>0</v>
      </c>
      <c r="F35" s="11">
        <v>0</v>
      </c>
      <c r="G35" s="13">
        <v>0</v>
      </c>
      <c r="H35" s="13">
        <v>0</v>
      </c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>
        <v>0</v>
      </c>
      <c r="F36" s="11">
        <v>0</v>
      </c>
      <c r="G36" s="13">
        <v>0</v>
      </c>
      <c r="H36" s="13">
        <v>0</v>
      </c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1">
        <v>0</v>
      </c>
      <c r="F37" s="11">
        <v>0</v>
      </c>
      <c r="G37" s="13">
        <v>0</v>
      </c>
      <c r="H37" s="13">
        <v>0</v>
      </c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58">
        <v>403960612</v>
      </c>
      <c r="F38" s="58">
        <v>246924819</v>
      </c>
      <c r="G38" s="13">
        <v>-106222581</v>
      </c>
      <c r="H38" s="13">
        <v>-5341375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>
        <v>0</v>
      </c>
      <c r="F39" s="11">
        <v>0</v>
      </c>
      <c r="G39" s="13">
        <v>0</v>
      </c>
      <c r="H39" s="13">
        <v>0</v>
      </c>
    </row>
    <row r="40" spans="1:8" x14ac:dyDescent="0.25">
      <c r="A40" s="16" t="s">
        <v>75</v>
      </c>
      <c r="B40" s="17" t="s">
        <v>76</v>
      </c>
      <c r="C40" s="16"/>
      <c r="D40" s="16"/>
      <c r="E40" s="59">
        <v>-403960612</v>
      </c>
      <c r="F40" s="59">
        <v>-246924819</v>
      </c>
      <c r="G40" s="18">
        <v>-106222581</v>
      </c>
      <c r="H40" s="18">
        <v>-5341375</v>
      </c>
    </row>
    <row r="41" spans="1:8" x14ac:dyDescent="0.25">
      <c r="A41" s="22" t="s">
        <v>77</v>
      </c>
      <c r="B41" s="23" t="s">
        <v>78</v>
      </c>
      <c r="C41" s="22"/>
      <c r="D41" s="22"/>
      <c r="E41" s="61">
        <v>-324348944</v>
      </c>
      <c r="F41" s="61">
        <v>-127819931</v>
      </c>
      <c r="G41" s="24">
        <v>-23952348</v>
      </c>
      <c r="H41" s="24">
        <v>-52436153</v>
      </c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>
        <v>0</v>
      </c>
      <c r="F42" s="11">
        <v>0</v>
      </c>
      <c r="G42" s="13">
        <v>0</v>
      </c>
      <c r="H42" s="13">
        <v>0</v>
      </c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>
        <v>0</v>
      </c>
      <c r="F43" s="11">
        <v>0</v>
      </c>
      <c r="G43" s="13">
        <v>0</v>
      </c>
      <c r="H43" s="13">
        <v>0</v>
      </c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>
        <v>0</v>
      </c>
      <c r="F44" s="11">
        <v>0</v>
      </c>
      <c r="G44" s="13">
        <v>0</v>
      </c>
      <c r="H44" s="13">
        <v>0</v>
      </c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1">
        <v>0</v>
      </c>
      <c r="F45" s="11">
        <v>0</v>
      </c>
      <c r="G45" s="13">
        <v>0</v>
      </c>
      <c r="H45" s="13">
        <v>0</v>
      </c>
    </row>
    <row r="46" spans="1:8" x14ac:dyDescent="0.25">
      <c r="A46" s="22" t="s">
        <v>88</v>
      </c>
      <c r="B46" s="23" t="s">
        <v>89</v>
      </c>
      <c r="C46" s="22"/>
      <c r="D46" s="22"/>
      <c r="E46" s="22">
        <v>0</v>
      </c>
      <c r="F46" s="22">
        <v>0</v>
      </c>
      <c r="G46" s="24">
        <v>0</v>
      </c>
      <c r="H46" s="24">
        <v>0</v>
      </c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1">
        <v>0</v>
      </c>
      <c r="F47" s="11">
        <v>0</v>
      </c>
      <c r="G47" s="13">
        <v>0</v>
      </c>
      <c r="H47" s="13">
        <v>0</v>
      </c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58">
        <v>1699953</v>
      </c>
      <c r="F48" s="58">
        <v>2953572</v>
      </c>
      <c r="G48" s="13">
        <v>-1788833</v>
      </c>
      <c r="H48" s="13">
        <v>0</v>
      </c>
    </row>
    <row r="49" spans="1:8" x14ac:dyDescent="0.25">
      <c r="A49" s="16" t="s">
        <v>94</v>
      </c>
      <c r="B49" s="17" t="s">
        <v>95</v>
      </c>
      <c r="C49" s="16"/>
      <c r="D49" s="16"/>
      <c r="E49" s="59">
        <v>-326048897</v>
      </c>
      <c r="F49" s="59">
        <v>-130773503</v>
      </c>
      <c r="G49" s="18">
        <v>-25741181</v>
      </c>
      <c r="H49" s="18">
        <v>-52436153</v>
      </c>
    </row>
    <row r="53" spans="1:8" x14ac:dyDescent="0.25">
      <c r="B53" s="29"/>
      <c r="C53" s="29"/>
    </row>
    <row r="54" spans="1:8" x14ac:dyDescent="0.25">
      <c r="B54" s="29"/>
      <c r="C54" s="29"/>
    </row>
    <row r="55" spans="1:8" x14ac:dyDescent="0.25">
      <c r="B55" s="29"/>
      <c r="C55" s="29"/>
    </row>
    <row r="58" spans="1:8" x14ac:dyDescent="0.25">
      <c r="B58" s="29"/>
      <c r="C58" s="29"/>
    </row>
    <row r="59" spans="1:8" x14ac:dyDescent="0.25">
      <c r="B59" s="29"/>
      <c r="C59" s="29"/>
    </row>
    <row r="62" spans="1:8" x14ac:dyDescent="0.25">
      <c r="G62" s="30"/>
      <c r="H62" s="30"/>
    </row>
    <row r="63" spans="1:8" x14ac:dyDescent="0.25">
      <c r="G63" s="30"/>
      <c r="H63" s="30"/>
    </row>
    <row r="64" spans="1:8" x14ac:dyDescent="0.25">
      <c r="G64" s="30"/>
      <c r="H64" s="30"/>
    </row>
    <row r="65" spans="7:8" x14ac:dyDescent="0.25">
      <c r="G65" s="30"/>
      <c r="H65" s="30"/>
    </row>
    <row r="66" spans="7:8" x14ac:dyDescent="0.25">
      <c r="G66" s="30"/>
      <c r="H66" s="30"/>
    </row>
    <row r="67" spans="7:8" x14ac:dyDescent="0.25">
      <c r="G67" s="30"/>
      <c r="H67" s="30"/>
    </row>
    <row r="68" spans="7:8" x14ac:dyDescent="0.25">
      <c r="G68" s="30"/>
      <c r="H68" s="30"/>
    </row>
    <row r="69" spans="7:8" x14ac:dyDescent="0.25">
      <c r="G69" s="30"/>
      <c r="H69" s="30"/>
    </row>
    <row r="70" spans="7:8" x14ac:dyDescent="0.25">
      <c r="G70" s="30"/>
      <c r="H70" s="30"/>
    </row>
    <row r="71" spans="7:8" x14ac:dyDescent="0.25">
      <c r="G71" s="30"/>
      <c r="H71" s="30"/>
    </row>
    <row r="72" spans="7:8" x14ac:dyDescent="0.25">
      <c r="G72" s="30"/>
      <c r="H72" s="30"/>
    </row>
    <row r="73" spans="7:8" x14ac:dyDescent="0.25">
      <c r="G73" s="30"/>
      <c r="H73" s="30"/>
    </row>
    <row r="74" spans="7:8" x14ac:dyDescent="0.25">
      <c r="G74" s="30"/>
      <c r="H74" s="30"/>
    </row>
    <row r="75" spans="7:8" x14ac:dyDescent="0.25">
      <c r="G75" s="30"/>
      <c r="H75" s="30"/>
    </row>
    <row r="76" spans="7:8" x14ac:dyDescent="0.25">
      <c r="G76" s="30"/>
      <c r="H76" s="30"/>
    </row>
    <row r="77" spans="7:8" x14ac:dyDescent="0.25">
      <c r="G77" s="30"/>
      <c r="H77" s="30"/>
    </row>
    <row r="78" spans="7:8" x14ac:dyDescent="0.25">
      <c r="G78" s="30"/>
      <c r="H78" s="30"/>
    </row>
    <row r="79" spans="7:8" x14ac:dyDescent="0.25">
      <c r="G79" s="30"/>
      <c r="H79" s="30"/>
    </row>
    <row r="80" spans="7:8" x14ac:dyDescent="0.25">
      <c r="G80" s="30"/>
      <c r="H80" s="30"/>
    </row>
    <row r="81" spans="7:8" x14ac:dyDescent="0.25">
      <c r="G81" s="30"/>
      <c r="H81" s="30"/>
    </row>
    <row r="82" spans="7:8" x14ac:dyDescent="0.25">
      <c r="G82" s="30"/>
      <c r="H82" s="30"/>
    </row>
    <row r="83" spans="7:8" x14ac:dyDescent="0.25">
      <c r="G83" s="30"/>
      <c r="H83" s="30"/>
    </row>
    <row r="84" spans="7:8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8302B17F-5425-416D-8B74-666283F2AC12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C9970F67-287C-4058-9730-8220A9DAD124}"/>
    <dataValidation allowBlank="1" showInputMessage="1" showErrorMessage="1" errorTitle="Erreur de saisie" error="La cellule ne peut prendre que du numérique." promptTitle="Information" prompt="Cette cellule ne peut prendre que du numérique," sqref="G8:H49" xr:uid="{F01CAB8C-D4DC-49AE-B664-3D3F9CF5C042}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98D06-3F10-4EFB-897F-A55460E63F1C}">
  <sheetPr codeName="Feuil17">
    <tabColor rgb="FF00B050"/>
  </sheetPr>
  <dimension ref="A1:H84"/>
  <sheetViews>
    <sheetView workbookViewId="0">
      <selection sqref="A1:F1"/>
    </sheetView>
  </sheetViews>
  <sheetFormatPr baseColWidth="10" defaultColWidth="10.28515625" defaultRowHeight="12.7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7.7109375" style="28" bestFit="1" customWidth="1" collapsed="1"/>
    <col min="6" max="6" width="16.85546875" style="28" bestFit="1" customWidth="1" collapsed="1"/>
    <col min="7" max="8" width="14.85546875" style="27" bestFit="1" customWidth="1" collapsed="1"/>
    <col min="9" max="16384" width="10.28515625" style="27" collapsed="1"/>
  </cols>
  <sheetData>
    <row r="1" spans="1:8" s="1" customFormat="1" ht="24.6" customHeight="1" x14ac:dyDescent="0.2">
      <c r="A1" s="133" t="s">
        <v>0</v>
      </c>
      <c r="B1" s="133"/>
      <c r="C1" s="133"/>
      <c r="D1" s="133"/>
      <c r="E1" s="133"/>
      <c r="F1" s="133"/>
    </row>
    <row r="2" spans="1:8" s="1" customFormat="1" ht="8.1" customHeight="1" x14ac:dyDescent="0.2">
      <c r="C2" s="2"/>
    </row>
    <row r="3" spans="1:8" s="1" customFormat="1" ht="25.5" customHeight="1" x14ac:dyDescent="0.2">
      <c r="A3" s="134" t="s">
        <v>96</v>
      </c>
      <c r="B3" s="134"/>
      <c r="C3" s="134"/>
      <c r="D3" s="1" t="s">
        <v>1</v>
      </c>
      <c r="E3" s="135">
        <f>+'[3]Fiche de renseignement R1'!$V$10</f>
        <v>0</v>
      </c>
      <c r="F3" s="136"/>
    </row>
    <row r="4" spans="1:8" s="1" customFormat="1" ht="15" customHeight="1" x14ac:dyDescent="0.2">
      <c r="A4" s="136"/>
      <c r="B4" s="136"/>
      <c r="C4" s="136"/>
      <c r="D4" s="137" t="s">
        <v>2</v>
      </c>
      <c r="E4" s="138">
        <f>+'[3]Fiche de renseignement R1'!$AH$10</f>
        <v>12</v>
      </c>
      <c r="F4" s="138"/>
    </row>
    <row r="5" spans="1:8" s="1" customFormat="1" ht="30.95" customHeight="1" x14ac:dyDescent="0.2">
      <c r="A5" s="4" t="s">
        <v>3</v>
      </c>
      <c r="B5" s="139">
        <f>+'[3]Fiche de renseignement R1'!$J$10</f>
        <v>0</v>
      </c>
      <c r="C5" s="139"/>
      <c r="D5" s="137"/>
      <c r="E5" s="136"/>
      <c r="F5" s="136"/>
    </row>
    <row r="6" spans="1:8" s="1" customFormat="1" ht="8.1" customHeight="1" x14ac:dyDescent="0.2">
      <c r="C6" s="2"/>
    </row>
    <row r="7" spans="1:8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11770696251</v>
      </c>
      <c r="F8" s="10">
        <v>12724385125</v>
      </c>
      <c r="G8" s="88">
        <v>9623643793</v>
      </c>
      <c r="H8" s="88">
        <v>8282301497</v>
      </c>
    </row>
    <row r="9" spans="1:8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530365104</v>
      </c>
      <c r="F9" s="13">
        <v>618927141</v>
      </c>
      <c r="G9" s="13">
        <v>690098032</v>
      </c>
      <c r="H9" s="13">
        <v>230114319</v>
      </c>
    </row>
    <row r="10" spans="1:8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4933977</v>
      </c>
      <c r="F10" s="13">
        <v>-7645854</v>
      </c>
      <c r="G10" s="13">
        <v>304822514</v>
      </c>
      <c r="H10" s="13">
        <v>17510838</v>
      </c>
    </row>
    <row r="11" spans="1:8" ht="18" customHeight="1" x14ac:dyDescent="0.25">
      <c r="A11" s="16" t="s">
        <v>16</v>
      </c>
      <c r="B11" s="17" t="s">
        <v>17</v>
      </c>
      <c r="C11" s="16"/>
      <c r="D11" s="16"/>
      <c r="E11" s="18">
        <v>11235397170</v>
      </c>
      <c r="F11" s="18">
        <v>12113103838</v>
      </c>
      <c r="G11" s="18">
        <v>8628723247</v>
      </c>
      <c r="H11" s="18">
        <v>8034676340</v>
      </c>
    </row>
    <row r="12" spans="1:8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  <c r="G12" s="13"/>
      <c r="H12" s="13"/>
    </row>
    <row r="13" spans="1:8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  <c r="G13" s="13"/>
      <c r="H13" s="13"/>
    </row>
    <row r="14" spans="1:8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6120286556</v>
      </c>
      <c r="F14" s="13">
        <v>7124315876</v>
      </c>
      <c r="G14" s="13">
        <v>6136256408</v>
      </c>
      <c r="H14" s="13">
        <v>3962006370</v>
      </c>
    </row>
    <row r="15" spans="1:8" ht="18" customHeight="1" x14ac:dyDescent="0.25">
      <c r="A15" s="16" t="s">
        <v>24</v>
      </c>
      <c r="B15" s="17" t="s">
        <v>25</v>
      </c>
      <c r="C15" s="16"/>
      <c r="D15" s="16"/>
      <c r="E15" s="18">
        <v>17890982807</v>
      </c>
      <c r="F15" s="18">
        <v>19848701001</v>
      </c>
      <c r="G15" s="18">
        <v>15759900201</v>
      </c>
      <c r="H15" s="18">
        <v>12244307867</v>
      </c>
    </row>
    <row r="16" spans="1:8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-74772584</v>
      </c>
      <c r="F16" s="13">
        <v>-56285126</v>
      </c>
      <c r="G16" s="13">
        <v>-151990024</v>
      </c>
      <c r="H16" s="13">
        <v>431006630</v>
      </c>
    </row>
    <row r="17" spans="1:8" ht="18" customHeight="1" x14ac:dyDescent="0.25">
      <c r="A17" s="11" t="s">
        <v>28</v>
      </c>
      <c r="B17" s="12" t="s">
        <v>29</v>
      </c>
      <c r="C17" s="11"/>
      <c r="D17" s="11">
        <v>21</v>
      </c>
      <c r="E17" s="13"/>
      <c r="F17" s="13"/>
      <c r="G17" s="13"/>
      <c r="H17" s="13"/>
    </row>
    <row r="18" spans="1:8" ht="18" customHeight="1" x14ac:dyDescent="0.25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14897020</v>
      </c>
      <c r="F19" s="13">
        <v>6591540</v>
      </c>
      <c r="G19" s="13">
        <v>50538728</v>
      </c>
      <c r="H19" s="13">
        <v>1324068</v>
      </c>
    </row>
    <row r="20" spans="1:8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  <c r="G20" s="21"/>
      <c r="H20" s="21"/>
    </row>
    <row r="21" spans="1:8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265768024</v>
      </c>
      <c r="F21" s="13">
        <v>68913058</v>
      </c>
      <c r="G21" s="13">
        <v>113859017</v>
      </c>
      <c r="H21" s="13">
        <v>1324068</v>
      </c>
    </row>
    <row r="22" spans="1:8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/>
      <c r="G22" s="13"/>
      <c r="H22" s="13"/>
    </row>
    <row r="23" spans="1:8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8831791420</v>
      </c>
      <c r="F23" s="13">
        <v>11095634096</v>
      </c>
      <c r="G23" s="13">
        <v>6133228522</v>
      </c>
      <c r="H23" s="13">
        <v>5161733757</v>
      </c>
    </row>
    <row r="24" spans="1:8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/>
      <c r="G24" s="13"/>
      <c r="H24" s="13"/>
    </row>
    <row r="25" spans="1:8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219451804</v>
      </c>
      <c r="F25" s="13">
        <v>182824519</v>
      </c>
      <c r="G25" s="13">
        <v>135750737</v>
      </c>
      <c r="H25" s="13">
        <v>126465752</v>
      </c>
    </row>
    <row r="26" spans="1:8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1971774216</v>
      </c>
      <c r="F26" s="13">
        <v>2315706629</v>
      </c>
      <c r="G26" s="13">
        <v>3560407150</v>
      </c>
      <c r="H26" s="13">
        <v>2577503620</v>
      </c>
    </row>
    <row r="27" spans="1:8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754930448</v>
      </c>
      <c r="F27" s="13">
        <v>733753917</v>
      </c>
      <c r="G27" s="13">
        <v>588135441</v>
      </c>
      <c r="H27" s="13">
        <v>666543573</v>
      </c>
    </row>
    <row r="28" spans="1:8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151021377</v>
      </c>
      <c r="F28" s="13">
        <v>107618379</v>
      </c>
      <c r="G28" s="13">
        <v>69508985</v>
      </c>
      <c r="H28" s="13">
        <v>153495775</v>
      </c>
    </row>
    <row r="29" spans="1:8" ht="18" customHeight="1" x14ac:dyDescent="0.25">
      <c r="A29" s="16" t="s">
        <v>52</v>
      </c>
      <c r="B29" s="17" t="s">
        <v>53</v>
      </c>
      <c r="C29" s="16"/>
      <c r="D29" s="16"/>
      <c r="E29" s="18">
        <v>5101070873</v>
      </c>
      <c r="F29" s="18">
        <v>4683275530</v>
      </c>
      <c r="G29" s="18">
        <v>4062638507</v>
      </c>
      <c r="H29" s="18">
        <v>3677997201</v>
      </c>
    </row>
    <row r="30" spans="1:8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2316964185</v>
      </c>
      <c r="F30" s="13">
        <v>1858093499</v>
      </c>
      <c r="G30" s="13">
        <v>1476419756</v>
      </c>
      <c r="H30" s="13">
        <v>1148922993</v>
      </c>
    </row>
    <row r="31" spans="1:8" ht="18" customHeight="1" x14ac:dyDescent="0.25">
      <c r="A31" s="16" t="s">
        <v>56</v>
      </c>
      <c r="B31" s="17" t="s">
        <v>57</v>
      </c>
      <c r="C31" s="16"/>
      <c r="D31" s="16"/>
      <c r="E31" s="18">
        <v>2784106688</v>
      </c>
      <c r="F31" s="18">
        <v>2825182031</v>
      </c>
      <c r="G31" s="18">
        <v>2586218751</v>
      </c>
      <c r="H31" s="18">
        <v>2529074208</v>
      </c>
    </row>
    <row r="32" spans="1:8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78559787</v>
      </c>
      <c r="F32" s="13">
        <v>142523302</v>
      </c>
      <c r="G32" s="13">
        <v>47055372</v>
      </c>
      <c r="H32" s="13">
        <v>40126788</v>
      </c>
    </row>
    <row r="33" spans="1:8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21">
        <v>1689132123</v>
      </c>
      <c r="F33" s="21">
        <v>1451998825</v>
      </c>
      <c r="G33" s="21">
        <v>1653247858</v>
      </c>
      <c r="H33" s="21">
        <v>1667109158</v>
      </c>
    </row>
    <row r="34" spans="1:8" ht="18" customHeight="1" x14ac:dyDescent="0.25">
      <c r="A34" s="16" t="s">
        <v>63</v>
      </c>
      <c r="B34" s="17" t="s">
        <v>64</v>
      </c>
      <c r="C34" s="16"/>
      <c r="D34" s="16"/>
      <c r="E34" s="18">
        <v>1173534352</v>
      </c>
      <c r="F34" s="18">
        <v>1515706508</v>
      </c>
      <c r="G34" s="18">
        <v>980026265</v>
      </c>
      <c r="H34" s="18">
        <v>902091838</v>
      </c>
    </row>
    <row r="35" spans="1:8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76586</v>
      </c>
      <c r="F35" s="13"/>
      <c r="G35" s="13">
        <v>768002</v>
      </c>
      <c r="H35" s="13">
        <v>5217228</v>
      </c>
    </row>
    <row r="36" spans="1:8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/>
    </row>
    <row r="37" spans="1:8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87243747</v>
      </c>
      <c r="F38" s="13">
        <v>41477800</v>
      </c>
      <c r="G38" s="13">
        <v>23156781</v>
      </c>
      <c r="H38" s="13">
        <v>46155726</v>
      </c>
    </row>
    <row r="39" spans="1:8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207663614</v>
      </c>
      <c r="F39" s="13">
        <v>78559787</v>
      </c>
      <c r="G39" s="13">
        <v>53628356</v>
      </c>
      <c r="H39" s="13">
        <v>47055372</v>
      </c>
    </row>
    <row r="40" spans="1:8" ht="18" customHeight="1" x14ac:dyDescent="0.25">
      <c r="A40" s="16" t="s">
        <v>75</v>
      </c>
      <c r="B40" s="17" t="s">
        <v>76</v>
      </c>
      <c r="C40" s="16"/>
      <c r="D40" s="16"/>
      <c r="E40" s="18">
        <v>-294830775</v>
      </c>
      <c r="F40" s="18">
        <v>-120037587</v>
      </c>
      <c r="G40" s="18">
        <v>-76017135</v>
      </c>
      <c r="H40" s="18">
        <v>-87993870</v>
      </c>
    </row>
    <row r="41" spans="1:8" ht="18" customHeight="1" x14ac:dyDescent="0.25">
      <c r="A41" s="22" t="s">
        <v>77</v>
      </c>
      <c r="B41" s="23" t="s">
        <v>78</v>
      </c>
      <c r="C41" s="22"/>
      <c r="D41" s="22"/>
      <c r="E41" s="24">
        <v>878703577</v>
      </c>
      <c r="F41" s="24">
        <v>1395668921</v>
      </c>
      <c r="G41" s="24">
        <v>904009130</v>
      </c>
      <c r="H41" s="24">
        <v>814097968</v>
      </c>
    </row>
    <row r="42" spans="1:8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24850616</v>
      </c>
      <c r="F42" s="13"/>
      <c r="G42" s="13"/>
      <c r="H42" s="13"/>
    </row>
    <row r="43" spans="1:8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  <c r="G43" s="13"/>
      <c r="H43" s="13"/>
    </row>
    <row r="44" spans="1:8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17714512</v>
      </c>
      <c r="F44" s="13"/>
      <c r="G44" s="13"/>
      <c r="H44" s="13"/>
    </row>
    <row r="45" spans="1:8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  <c r="G45" s="13"/>
      <c r="H45" s="13"/>
    </row>
    <row r="46" spans="1:8" ht="18" customHeight="1" x14ac:dyDescent="0.25">
      <c r="A46" s="22" t="s">
        <v>88</v>
      </c>
      <c r="B46" s="23" t="s">
        <v>89</v>
      </c>
      <c r="C46" s="22"/>
      <c r="D46" s="22"/>
      <c r="E46" s="24">
        <v>7136104</v>
      </c>
      <c r="F46" s="24"/>
      <c r="G46" s="24"/>
      <c r="H46" s="24"/>
    </row>
    <row r="47" spans="1:8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ht="18" customHeight="1" x14ac:dyDescent="0.25">
      <c r="A48" s="11" t="s">
        <v>92</v>
      </c>
      <c r="B48" s="12" t="s">
        <v>93</v>
      </c>
      <c r="C48" s="11" t="s">
        <v>12</v>
      </c>
      <c r="D48" s="11"/>
      <c r="E48" s="13">
        <v>347501166</v>
      </c>
      <c r="F48" s="13">
        <v>460038612</v>
      </c>
      <c r="G48" s="13">
        <v>294707605</v>
      </c>
      <c r="H48" s="13">
        <v>298522859</v>
      </c>
    </row>
    <row r="49" spans="1:8" ht="18" customHeight="1" x14ac:dyDescent="0.25">
      <c r="A49" s="16" t="s">
        <v>94</v>
      </c>
      <c r="B49" s="17" t="s">
        <v>95</v>
      </c>
      <c r="C49" s="16"/>
      <c r="D49" s="16"/>
      <c r="E49" s="18">
        <v>538338515</v>
      </c>
      <c r="F49" s="18">
        <v>935630309</v>
      </c>
      <c r="G49" s="18">
        <v>609301525</v>
      </c>
      <c r="H49" s="18">
        <v>515575109</v>
      </c>
    </row>
    <row r="53" spans="1:8" ht="12.75" customHeight="1" x14ac:dyDescent="0.25">
      <c r="B53" s="29"/>
      <c r="C53" s="29"/>
    </row>
    <row r="54" spans="1:8" ht="12.75" customHeight="1" x14ac:dyDescent="0.25">
      <c r="B54" s="29"/>
      <c r="C54" s="29"/>
    </row>
    <row r="55" spans="1:8" ht="12.75" customHeight="1" x14ac:dyDescent="0.25">
      <c r="B55" s="29"/>
      <c r="C55" s="29"/>
    </row>
    <row r="58" spans="1:8" ht="12.75" customHeight="1" x14ac:dyDescent="0.25">
      <c r="B58" s="29"/>
      <c r="C58" s="29"/>
    </row>
    <row r="59" spans="1:8" ht="12.75" customHeight="1" x14ac:dyDescent="0.25">
      <c r="B59" s="29"/>
      <c r="C59" s="29"/>
    </row>
    <row r="62" spans="1:8" ht="12.75" customHeight="1" x14ac:dyDescent="0.25">
      <c r="E62" s="30"/>
      <c r="F62" s="30"/>
    </row>
    <row r="63" spans="1:8" ht="12.75" customHeight="1" x14ac:dyDescent="0.25">
      <c r="E63" s="30"/>
      <c r="F63" s="30"/>
    </row>
    <row r="64" spans="1:8" ht="12.75" customHeight="1" x14ac:dyDescent="0.25">
      <c r="E64" s="30"/>
      <c r="F64" s="30"/>
    </row>
    <row r="65" spans="5:6" s="27" customFormat="1" ht="12.75" customHeight="1" x14ac:dyDescent="0.25">
      <c r="E65" s="30"/>
      <c r="F65" s="30"/>
    </row>
    <row r="66" spans="5:6" s="27" customFormat="1" ht="12.75" customHeight="1" x14ac:dyDescent="0.25">
      <c r="E66" s="30"/>
      <c r="F66" s="30"/>
    </row>
    <row r="67" spans="5:6" s="27" customFormat="1" ht="12.75" customHeight="1" x14ac:dyDescent="0.25">
      <c r="E67" s="30"/>
      <c r="F67" s="30"/>
    </row>
    <row r="68" spans="5:6" s="27" customFormat="1" ht="12.75" customHeight="1" x14ac:dyDescent="0.25">
      <c r="E68" s="30"/>
      <c r="F68" s="30"/>
    </row>
    <row r="69" spans="5:6" s="27" customFormat="1" ht="12.75" customHeight="1" x14ac:dyDescent="0.25">
      <c r="E69" s="30"/>
      <c r="F69" s="30"/>
    </row>
    <row r="70" spans="5:6" s="27" customFormat="1" ht="12.75" customHeight="1" x14ac:dyDescent="0.25">
      <c r="E70" s="30"/>
      <c r="F70" s="30"/>
    </row>
    <row r="71" spans="5:6" s="27" customFormat="1" ht="12.75" customHeight="1" x14ac:dyDescent="0.25">
      <c r="E71" s="30"/>
      <c r="F71" s="30"/>
    </row>
    <row r="72" spans="5:6" s="27" customFormat="1" ht="12.75" customHeight="1" x14ac:dyDescent="0.25">
      <c r="E72" s="30"/>
      <c r="F72" s="30"/>
    </row>
    <row r="73" spans="5:6" s="27" customFormat="1" ht="12.75" customHeight="1" x14ac:dyDescent="0.25">
      <c r="E73" s="30"/>
      <c r="F73" s="30"/>
    </row>
    <row r="74" spans="5:6" s="27" customFormat="1" ht="12.75" customHeight="1" x14ac:dyDescent="0.25">
      <c r="E74" s="30"/>
      <c r="F74" s="30"/>
    </row>
    <row r="75" spans="5:6" s="27" customFormat="1" ht="12.75" customHeight="1" x14ac:dyDescent="0.25">
      <c r="E75" s="30"/>
      <c r="F75" s="30"/>
    </row>
    <row r="76" spans="5:6" s="27" customFormat="1" ht="12.75" customHeight="1" x14ac:dyDescent="0.25">
      <c r="E76" s="30"/>
      <c r="F76" s="30"/>
    </row>
    <row r="77" spans="5:6" s="27" customFormat="1" ht="12.75" customHeight="1" x14ac:dyDescent="0.25">
      <c r="E77" s="30"/>
      <c r="F77" s="30"/>
    </row>
    <row r="78" spans="5:6" s="27" customFormat="1" ht="12.75" customHeight="1" x14ac:dyDescent="0.25">
      <c r="E78" s="30"/>
      <c r="F78" s="30"/>
    </row>
    <row r="79" spans="5:6" s="27" customFormat="1" ht="12.75" customHeight="1" x14ac:dyDescent="0.25">
      <c r="E79" s="30"/>
      <c r="F79" s="30"/>
    </row>
    <row r="80" spans="5:6" s="27" customFormat="1" ht="12.75" customHeight="1" x14ac:dyDescent="0.25">
      <c r="E80" s="30"/>
      <c r="F80" s="30"/>
    </row>
    <row r="81" spans="5:6" s="27" customFormat="1" ht="12.75" customHeight="1" x14ac:dyDescent="0.25">
      <c r="E81" s="30"/>
      <c r="F81" s="30"/>
    </row>
    <row r="82" spans="5:6" s="27" customFormat="1" ht="12.75" customHeight="1" x14ac:dyDescent="0.25">
      <c r="E82" s="30"/>
      <c r="F82" s="30"/>
    </row>
    <row r="83" spans="5:6" s="27" customFormat="1" ht="12.75" customHeight="1" x14ac:dyDescent="0.25">
      <c r="E83" s="30"/>
      <c r="F83" s="30"/>
    </row>
    <row r="84" spans="5:6" s="27" customFormat="1" ht="12.75" customHeight="1" x14ac:dyDescent="0.25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1B3FE9A-858F-481B-8A3B-169B39049E5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B4BE111A-8356-4C0B-9606-ACF697169E0D}"/>
    <dataValidation allowBlank="1" showInputMessage="1" showErrorMessage="1" errorTitle="Erreur de saisie" error="La cellule ne peut prendre que du numérique." promptTitle="Information" prompt="Cette cellule ne peut prendre que du numérique," sqref="E8:H49" xr:uid="{8867F3B5-C899-4C06-9922-24AF4D62B811}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CF4A6-F5DC-4A2F-B34B-A0284003F158}">
  <sheetPr codeName="Feuil18">
    <tabColor rgb="FF00B050"/>
  </sheetPr>
  <dimension ref="A7:H84"/>
  <sheetViews>
    <sheetView topLeftCell="C1" workbookViewId="0"/>
  </sheetViews>
  <sheetFormatPr baseColWidth="10" defaultRowHeight="1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6.42578125" style="27" bestFit="1" customWidth="1"/>
    <col min="7" max="7" width="18.7109375" style="28" customWidth="1" collapsed="1"/>
    <col min="8" max="8" width="19.140625" style="28" bestFit="1" customWidth="1" collapsed="1"/>
  </cols>
  <sheetData>
    <row r="7" spans="1:8" x14ac:dyDescent="0.25">
      <c r="A7" s="5" t="s">
        <v>4</v>
      </c>
      <c r="B7" s="6" t="s">
        <v>5</v>
      </c>
      <c r="C7" s="5"/>
      <c r="D7" s="5" t="s">
        <v>6</v>
      </c>
      <c r="E7" s="62">
        <v>2024</v>
      </c>
      <c r="F7" s="62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  <c r="G8" s="10"/>
      <c r="H8" s="10"/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  <c r="G9" s="13"/>
      <c r="H9" s="13"/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  <c r="G10" s="13"/>
      <c r="H10" s="13"/>
    </row>
    <row r="11" spans="1:8" x14ac:dyDescent="0.25">
      <c r="A11" s="16" t="s">
        <v>16</v>
      </c>
      <c r="B11" s="17" t="s">
        <v>17</v>
      </c>
      <c r="C11" s="16"/>
      <c r="D11" s="16"/>
      <c r="E11" s="18"/>
      <c r="F11" s="18"/>
      <c r="G11" s="18"/>
      <c r="H11" s="18"/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161370972033</v>
      </c>
      <c r="F12" s="13">
        <v>165733808700</v>
      </c>
      <c r="G12" s="13">
        <v>160002338803</v>
      </c>
      <c r="H12" s="13">
        <v>156468214865</v>
      </c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6518179</v>
      </c>
      <c r="F13" s="13">
        <v>3293816</v>
      </c>
      <c r="G13" s="13">
        <v>10064732</v>
      </c>
      <c r="H13" s="13">
        <v>49644732</v>
      </c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1133279113</v>
      </c>
      <c r="F14" s="13">
        <v>1267823384</v>
      </c>
      <c r="G14" s="13">
        <v>1007745291</v>
      </c>
      <c r="H14" s="13">
        <v>1255878165</v>
      </c>
    </row>
    <row r="15" spans="1:8" x14ac:dyDescent="0.25">
      <c r="A15" s="16" t="s">
        <v>24</v>
      </c>
      <c r="B15" s="17" t="s">
        <v>25</v>
      </c>
      <c r="C15" s="16"/>
      <c r="D15" s="16"/>
      <c r="E15" s="18">
        <v>162510769325</v>
      </c>
      <c r="F15" s="18">
        <v>167004925900</v>
      </c>
      <c r="G15" s="18">
        <f>SUM(G12:G14,G8)</f>
        <v>161020148826</v>
      </c>
      <c r="H15" s="18">
        <f>SUM(H12:H14,H8)</f>
        <v>157773737762</v>
      </c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-1272650903</v>
      </c>
      <c r="F16" s="13">
        <v>2713804461</v>
      </c>
      <c r="G16" s="13">
        <v>722619185.99999988</v>
      </c>
      <c r="H16" s="13">
        <v>-1034238394</v>
      </c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3">
        <v>729661311</v>
      </c>
      <c r="F17" s="13">
        <v>483397733</v>
      </c>
      <c r="G17" s="13">
        <v>322000000</v>
      </c>
      <c r="H17" s="13">
        <v>208691666</v>
      </c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43253832</v>
      </c>
      <c r="F19" s="13">
        <v>89475499</v>
      </c>
      <c r="G19" s="13">
        <v>353918311</v>
      </c>
      <c r="H19" s="13">
        <v>2732162493</v>
      </c>
    </row>
    <row r="20" spans="1:8" x14ac:dyDescent="0.25">
      <c r="A20" s="19" t="s">
        <v>34</v>
      </c>
      <c r="B20" s="20" t="s">
        <v>35</v>
      </c>
      <c r="C20" s="19" t="s">
        <v>9</v>
      </c>
      <c r="D20" s="19">
        <v>12</v>
      </c>
      <c r="E20" s="21">
        <v>383089242</v>
      </c>
      <c r="F20" s="21">
        <v>111348400</v>
      </c>
      <c r="G20" s="21">
        <v>111524000</v>
      </c>
      <c r="H20" s="21">
        <v>105983800</v>
      </c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79734363076</v>
      </c>
      <c r="F21" s="13">
        <v>91134454136</v>
      </c>
      <c r="G21" s="13">
        <v>109444026555</v>
      </c>
      <c r="H21" s="13">
        <v>87538880005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-3050936152</v>
      </c>
      <c r="F22" s="13">
        <v>463785755</v>
      </c>
      <c r="G22" s="13">
        <v>1253198334</v>
      </c>
      <c r="H22" s="13">
        <v>-2211979423</v>
      </c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11841781868</v>
      </c>
      <c r="F23" s="13">
        <v>14297713214</v>
      </c>
      <c r="G23" s="13">
        <v>14091960238</v>
      </c>
      <c r="H23" s="13">
        <v>12488793768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2678503643</v>
      </c>
      <c r="F24" s="13">
        <v>992792373</v>
      </c>
      <c r="G24" s="13">
        <v>-10751229476</v>
      </c>
      <c r="H24" s="13">
        <v>-6970218084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1404483457</v>
      </c>
      <c r="F25" s="13">
        <v>1564034120</v>
      </c>
      <c r="G25" s="13">
        <v>1340085198</v>
      </c>
      <c r="H25" s="13">
        <v>1352587655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26911028662</v>
      </c>
      <c r="F26" s="13">
        <v>27390599667</v>
      </c>
      <c r="G26" s="13">
        <v>21686722506</v>
      </c>
      <c r="H26" s="13">
        <v>24763649838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1758497239</v>
      </c>
      <c r="F27" s="13">
        <v>1804804364</v>
      </c>
      <c r="G27" s="13">
        <v>2877975328</v>
      </c>
      <c r="H27" s="13">
        <v>1780936913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942316177</v>
      </c>
      <c r="F28" s="13">
        <v>4823411279</v>
      </c>
      <c r="G28" s="13">
        <v>393294216</v>
      </c>
      <c r="H28" s="13">
        <v>1179697978</v>
      </c>
    </row>
    <row r="29" spans="1:8" x14ac:dyDescent="0.25">
      <c r="A29" s="16" t="s">
        <v>52</v>
      </c>
      <c r="B29" s="17" t="s">
        <v>53</v>
      </c>
      <c r="C29" s="16"/>
      <c r="D29" s="16"/>
      <c r="E29" s="18">
        <v>40174084837</v>
      </c>
      <c r="F29" s="18">
        <v>27931357085</v>
      </c>
      <c r="G29" s="18">
        <f>G15+G16+G17+G18+G19+G20-G21-G22-G23-G24-G25-G26-G27-G28</f>
        <v>22194177424</v>
      </c>
      <c r="H29" s="18">
        <f>H15+H16+H17+H18+H19+H20-H21-H22-H23-H24-H25-H26-H27-H28</f>
        <v>39863988677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14235167535</v>
      </c>
      <c r="F30" s="13">
        <v>13233827940</v>
      </c>
      <c r="G30" s="13">
        <v>12140811347</v>
      </c>
      <c r="H30" s="13">
        <v>11083922253</v>
      </c>
    </row>
    <row r="31" spans="1:8" x14ac:dyDescent="0.25">
      <c r="A31" s="16" t="s">
        <v>56</v>
      </c>
      <c r="B31" s="17" t="s">
        <v>57</v>
      </c>
      <c r="C31" s="16"/>
      <c r="D31" s="16"/>
      <c r="E31" s="18">
        <v>25938917302</v>
      </c>
      <c r="F31" s="18">
        <v>14697529145</v>
      </c>
      <c r="G31" s="18">
        <f>G29-G30</f>
        <v>10053366077</v>
      </c>
      <c r="H31" s="18">
        <f>H29-H30</f>
        <v>28780066424</v>
      </c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946311609</v>
      </c>
      <c r="F32" s="13">
        <v>730996422</v>
      </c>
      <c r="G32" s="13">
        <v>314812926</v>
      </c>
      <c r="H32" s="13">
        <v>72368279</v>
      </c>
    </row>
    <row r="33" spans="1:8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21">
        <v>17173414283</v>
      </c>
      <c r="F33" s="21">
        <v>14478657436</v>
      </c>
      <c r="G33" s="21">
        <v>12170310936</v>
      </c>
      <c r="H33" s="21">
        <v>10708013209</v>
      </c>
    </row>
    <row r="34" spans="1:8" x14ac:dyDescent="0.25">
      <c r="A34" s="16" t="s">
        <v>63</v>
      </c>
      <c r="B34" s="17" t="s">
        <v>64</v>
      </c>
      <c r="C34" s="16"/>
      <c r="D34" s="16"/>
      <c r="E34" s="18">
        <v>9711814628</v>
      </c>
      <c r="F34" s="18">
        <v>949868131</v>
      </c>
      <c r="G34" s="18">
        <f>G31+G32-G33</f>
        <v>-1802131933</v>
      </c>
      <c r="H34" s="18">
        <f>H31+H32-H33</f>
        <v>18144421494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1711973396</v>
      </c>
      <c r="F35" s="13">
        <v>1220856</v>
      </c>
      <c r="G35" s="13">
        <v>111713634</v>
      </c>
      <c r="H35" s="13">
        <v>107334723</v>
      </c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>
        <v>45000000</v>
      </c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2651284570</v>
      </c>
      <c r="F38" s="13">
        <v>2071381762</v>
      </c>
      <c r="G38" s="13">
        <v>3016282289</v>
      </c>
      <c r="H38" s="13">
        <v>2250160921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202824610</v>
      </c>
      <c r="F39" s="13">
        <v>198870629</v>
      </c>
      <c r="G39" s="13">
        <v>174970510</v>
      </c>
      <c r="H39" s="13">
        <v>208506055</v>
      </c>
    </row>
    <row r="40" spans="1:8" x14ac:dyDescent="0.25">
      <c r="A40" s="16" t="s">
        <v>75</v>
      </c>
      <c r="B40" s="17" t="s">
        <v>76</v>
      </c>
      <c r="C40" s="16"/>
      <c r="D40" s="16"/>
      <c r="E40" s="18">
        <v>-1142135784</v>
      </c>
      <c r="F40" s="18">
        <v>-2269031535</v>
      </c>
      <c r="G40" s="18">
        <f>G35+G36+G37-G38-G39</f>
        <v>-3079539165</v>
      </c>
      <c r="H40" s="18">
        <f>H35+H36+H37-H38-H39</f>
        <v>-2306332253</v>
      </c>
    </row>
    <row r="41" spans="1:8" x14ac:dyDescent="0.25">
      <c r="A41" s="22" t="s">
        <v>77</v>
      </c>
      <c r="B41" s="23" t="s">
        <v>78</v>
      </c>
      <c r="C41" s="22"/>
      <c r="D41" s="22"/>
      <c r="E41" s="24">
        <v>8569678844</v>
      </c>
      <c r="F41" s="24">
        <v>-1319163404</v>
      </c>
      <c r="G41" s="24">
        <f>G34+G40</f>
        <v>-4881671098</v>
      </c>
      <c r="H41" s="24">
        <f>H34+H40</f>
        <v>15838089241</v>
      </c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25535496000</v>
      </c>
      <c r="F42" s="13"/>
      <c r="G42" s="13"/>
      <c r="H42" s="13">
        <v>60000</v>
      </c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  <c r="G43" s="13"/>
      <c r="H43" s="13"/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3758447033</v>
      </c>
      <c r="F44" s="13"/>
      <c r="G44" s="13"/>
      <c r="H44" s="13">
        <v>4720068</v>
      </c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12823647730</v>
      </c>
      <c r="F45" s="13">
        <v>779697573</v>
      </c>
      <c r="G45" s="13">
        <v>1212888860</v>
      </c>
      <c r="H45" s="13">
        <v>978741990</v>
      </c>
    </row>
    <row r="46" spans="1:8" x14ac:dyDescent="0.25">
      <c r="A46" s="22" t="s">
        <v>88</v>
      </c>
      <c r="B46" s="23" t="s">
        <v>89</v>
      </c>
      <c r="C46" s="22"/>
      <c r="D46" s="22"/>
      <c r="E46" s="24">
        <v>8953401237</v>
      </c>
      <c r="F46" s="24">
        <v>-779697573</v>
      </c>
      <c r="G46" s="24">
        <f>G42+G43-G44-G45</f>
        <v>-1212888860</v>
      </c>
      <c r="H46" s="24">
        <f>H42+H43-H44-H45</f>
        <v>-983402058</v>
      </c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13"/>
      <c r="F48" s="13"/>
      <c r="G48" s="13">
        <v>-2497318846</v>
      </c>
      <c r="H48" s="13">
        <v>2497318846</v>
      </c>
    </row>
    <row r="49" spans="1:8" x14ac:dyDescent="0.25">
      <c r="A49" s="16" t="s">
        <v>94</v>
      </c>
      <c r="B49" s="17" t="s">
        <v>95</v>
      </c>
      <c r="C49" s="16"/>
      <c r="D49" s="16"/>
      <c r="E49" s="18">
        <v>17523080081</v>
      </c>
      <c r="F49" s="18">
        <v>-2098860977</v>
      </c>
      <c r="G49" s="18">
        <f>G41+G46+G47-G48</f>
        <v>-3597241112</v>
      </c>
      <c r="H49" s="18">
        <f>H41+H46+H47-H48</f>
        <v>12357368337</v>
      </c>
    </row>
    <row r="53" spans="1:8" x14ac:dyDescent="0.25">
      <c r="B53" s="29"/>
      <c r="C53" s="29"/>
    </row>
    <row r="54" spans="1:8" x14ac:dyDescent="0.25">
      <c r="B54" s="29"/>
      <c r="C54" s="29"/>
    </row>
    <row r="55" spans="1:8" x14ac:dyDescent="0.25">
      <c r="B55" s="29"/>
      <c r="C55" s="29"/>
    </row>
    <row r="58" spans="1:8" x14ac:dyDescent="0.25">
      <c r="B58" s="29"/>
      <c r="C58" s="29"/>
    </row>
    <row r="59" spans="1:8" x14ac:dyDescent="0.25">
      <c r="B59" s="29"/>
      <c r="C59" s="29"/>
    </row>
    <row r="62" spans="1:8" x14ac:dyDescent="0.25">
      <c r="G62" s="30"/>
      <c r="H62" s="30"/>
    </row>
    <row r="63" spans="1:8" x14ac:dyDescent="0.25">
      <c r="G63" s="30"/>
      <c r="H63" s="30"/>
    </row>
    <row r="64" spans="1:8" x14ac:dyDescent="0.25">
      <c r="G64" s="30"/>
      <c r="H64" s="30"/>
    </row>
    <row r="65" spans="7:8" x14ac:dyDescent="0.25">
      <c r="G65" s="30"/>
      <c r="H65" s="30"/>
    </row>
    <row r="66" spans="7:8" x14ac:dyDescent="0.25">
      <c r="G66" s="30"/>
      <c r="H66" s="30"/>
    </row>
    <row r="67" spans="7:8" x14ac:dyDescent="0.25">
      <c r="G67" s="30"/>
      <c r="H67" s="30"/>
    </row>
    <row r="68" spans="7:8" x14ac:dyDescent="0.25">
      <c r="G68" s="30"/>
      <c r="H68" s="30"/>
    </row>
    <row r="69" spans="7:8" x14ac:dyDescent="0.25">
      <c r="G69" s="30"/>
      <c r="H69" s="30"/>
    </row>
    <row r="70" spans="7:8" x14ac:dyDescent="0.25">
      <c r="G70" s="30"/>
      <c r="H70" s="30"/>
    </row>
    <row r="71" spans="7:8" x14ac:dyDescent="0.25">
      <c r="G71" s="30"/>
      <c r="H71" s="30"/>
    </row>
    <row r="72" spans="7:8" x14ac:dyDescent="0.25">
      <c r="G72" s="30"/>
      <c r="H72" s="30"/>
    </row>
    <row r="73" spans="7:8" x14ac:dyDescent="0.25">
      <c r="G73" s="30"/>
      <c r="H73" s="30"/>
    </row>
    <row r="74" spans="7:8" x14ac:dyDescent="0.25">
      <c r="G74" s="30"/>
      <c r="H74" s="30"/>
    </row>
    <row r="75" spans="7:8" x14ac:dyDescent="0.25">
      <c r="G75" s="30"/>
      <c r="H75" s="30"/>
    </row>
    <row r="76" spans="7:8" x14ac:dyDescent="0.25">
      <c r="G76" s="30"/>
      <c r="H76" s="30"/>
    </row>
    <row r="77" spans="7:8" x14ac:dyDescent="0.25">
      <c r="G77" s="30"/>
      <c r="H77" s="30"/>
    </row>
    <row r="78" spans="7:8" x14ac:dyDescent="0.25">
      <c r="G78" s="30"/>
      <c r="H78" s="30"/>
    </row>
    <row r="79" spans="7:8" x14ac:dyDescent="0.25">
      <c r="G79" s="30"/>
      <c r="H79" s="30"/>
    </row>
    <row r="80" spans="7:8" x14ac:dyDescent="0.25">
      <c r="G80" s="30"/>
      <c r="H80" s="30"/>
    </row>
    <row r="81" spans="7:8" x14ac:dyDescent="0.25">
      <c r="G81" s="30"/>
      <c r="H81" s="30"/>
    </row>
    <row r="82" spans="7:8" x14ac:dyDescent="0.25">
      <c r="G82" s="30"/>
      <c r="H82" s="30"/>
    </row>
    <row r="83" spans="7:8" x14ac:dyDescent="0.25">
      <c r="G83" s="30"/>
      <c r="H83" s="30"/>
    </row>
    <row r="84" spans="7:8" x14ac:dyDescent="0.25">
      <c r="G84" s="30"/>
      <c r="H84" s="30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E8:H49" xr:uid="{13F6993E-99F3-4E06-9FF6-716974F2D9BF}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D1A8-A5A5-41D8-A53B-C14ACFCD1793}">
  <sheetPr codeName="Feuil26">
    <tabColor rgb="FF00B050"/>
  </sheetPr>
  <dimension ref="A1:J84"/>
  <sheetViews>
    <sheetView topLeftCell="B1" workbookViewId="0">
      <selection sqref="A1:H1"/>
    </sheetView>
  </sheetViews>
  <sheetFormatPr baseColWidth="10" defaultColWidth="10.28515625" defaultRowHeight="12.7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23.85546875" style="28" bestFit="1" customWidth="1" collapsed="1"/>
    <col min="9" max="9" width="20" style="106" bestFit="1" customWidth="1" collapsed="1"/>
    <col min="10" max="10" width="16.28515625" style="27" bestFit="1" customWidth="1" collapsed="1"/>
    <col min="11" max="16384" width="10.28515625" style="27" collapsed="1"/>
  </cols>
  <sheetData>
    <row r="1" spans="1:10" s="1" customFormat="1" ht="24.6" customHeight="1" x14ac:dyDescent="0.2">
      <c r="A1" s="133" t="s">
        <v>0</v>
      </c>
      <c r="B1" s="133"/>
      <c r="C1" s="133"/>
      <c r="D1" s="133"/>
      <c r="E1" s="133"/>
      <c r="F1" s="133"/>
      <c r="G1" s="133"/>
      <c r="H1" s="133"/>
      <c r="I1" s="104"/>
    </row>
    <row r="2" spans="1:10" s="1" customFormat="1" ht="8.1" customHeight="1" x14ac:dyDescent="0.2">
      <c r="C2" s="2"/>
      <c r="I2" s="104"/>
    </row>
    <row r="3" spans="1:10" s="1" customFormat="1" ht="25.5" customHeight="1" x14ac:dyDescent="0.2">
      <c r="A3" s="134" t="s">
        <v>96</v>
      </c>
      <c r="B3" s="134"/>
      <c r="C3" s="134"/>
      <c r="D3" s="1" t="s">
        <v>1</v>
      </c>
      <c r="G3" s="135">
        <f>+'[4]Fiche de renseignement R1'!$V$10</f>
        <v>45657</v>
      </c>
      <c r="H3" s="136"/>
      <c r="I3" s="104"/>
    </row>
    <row r="4" spans="1:10" s="1" customFormat="1" ht="15" customHeight="1" x14ac:dyDescent="0.2">
      <c r="A4" s="136" t="s">
        <v>118</v>
      </c>
      <c r="B4" s="136"/>
      <c r="C4" s="136"/>
      <c r="D4" s="137" t="s">
        <v>2</v>
      </c>
      <c r="E4" s="25"/>
      <c r="F4" s="25"/>
      <c r="G4" s="138">
        <f>+'[4]Fiche de renseignement R1'!$AH$10</f>
        <v>12</v>
      </c>
      <c r="H4" s="138"/>
      <c r="I4" s="104"/>
    </row>
    <row r="5" spans="1:10" s="1" customFormat="1" ht="30.95" customHeight="1" x14ac:dyDescent="0.2">
      <c r="A5" s="4" t="s">
        <v>3</v>
      </c>
      <c r="B5" s="139" t="str">
        <f>+'[4]Fiche de renseignement R1'!$J$10</f>
        <v>000325995</v>
      </c>
      <c r="C5" s="139"/>
      <c r="D5" s="137"/>
      <c r="E5" s="25"/>
      <c r="F5" s="25"/>
      <c r="G5" s="136"/>
      <c r="H5" s="136"/>
      <c r="I5" s="104"/>
    </row>
    <row r="6" spans="1:10" s="1" customFormat="1" ht="8.1" customHeight="1" x14ac:dyDescent="0.2">
      <c r="C6" s="2"/>
      <c r="I6" s="104"/>
    </row>
    <row r="7" spans="1:10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  <c r="I7" s="62">
        <v>2020</v>
      </c>
    </row>
    <row r="8" spans="1:10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</row>
    <row r="9" spans="1:10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</row>
    <row r="10" spans="1:10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</row>
    <row r="11" spans="1:10" ht="18" customHeight="1" x14ac:dyDescent="0.25">
      <c r="A11" s="16" t="s">
        <v>16</v>
      </c>
      <c r="B11" s="17" t="s">
        <v>17</v>
      </c>
      <c r="C11" s="16"/>
      <c r="D11" s="16"/>
      <c r="E11" s="109">
        <v>0</v>
      </c>
      <c r="F11" s="109">
        <v>0</v>
      </c>
      <c r="G11" s="109">
        <v>0</v>
      </c>
      <c r="H11" s="109">
        <v>0</v>
      </c>
      <c r="I11" s="109">
        <v>0</v>
      </c>
    </row>
    <row r="12" spans="1:10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08">
        <v>207547001732</v>
      </c>
      <c r="F12" s="108">
        <v>207243747372</v>
      </c>
      <c r="G12" s="108">
        <v>163509154430</v>
      </c>
      <c r="H12" s="108">
        <v>125183908080</v>
      </c>
      <c r="I12" s="108">
        <v>110619481326</v>
      </c>
    </row>
    <row r="13" spans="1:10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08">
        <v>592000000</v>
      </c>
      <c r="F13" s="108">
        <v>686050000</v>
      </c>
      <c r="G13" s="108">
        <v>253425000</v>
      </c>
      <c r="H13" s="108">
        <v>654050000</v>
      </c>
      <c r="I13" s="108">
        <v>643500000</v>
      </c>
    </row>
    <row r="14" spans="1:10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08">
        <v>136365083</v>
      </c>
      <c r="F14" s="108">
        <v>109600847</v>
      </c>
      <c r="G14" s="108">
        <v>101913137</v>
      </c>
      <c r="H14" s="108">
        <v>100743814</v>
      </c>
      <c r="I14" s="108">
        <v>2034522559</v>
      </c>
    </row>
    <row r="15" spans="1:10" ht="18" customHeight="1" x14ac:dyDescent="0.25">
      <c r="A15" s="16" t="s">
        <v>24</v>
      </c>
      <c r="B15" s="17" t="s">
        <v>25</v>
      </c>
      <c r="C15" s="16"/>
      <c r="D15" s="16"/>
      <c r="E15" s="109">
        <v>208275366815</v>
      </c>
      <c r="F15" s="109">
        <v>208039398219</v>
      </c>
      <c r="G15" s="109">
        <v>163864492567</v>
      </c>
      <c r="H15" s="109">
        <v>125938701894</v>
      </c>
      <c r="I15" s="109">
        <v>113297503885</v>
      </c>
      <c r="J15" s="112">
        <f>SUM(I12:I14)</f>
        <v>113297503885</v>
      </c>
    </row>
    <row r="16" spans="1:10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08">
        <v>3545112826</v>
      </c>
      <c r="F16" s="108">
        <v>11812400926</v>
      </c>
      <c r="G16" s="108">
        <v>2297580460</v>
      </c>
      <c r="H16" s="108">
        <v>-498542192</v>
      </c>
      <c r="I16" s="108">
        <v>702855570</v>
      </c>
    </row>
    <row r="17" spans="1:9" ht="18" customHeight="1" x14ac:dyDescent="0.25">
      <c r="A17" s="11" t="s">
        <v>28</v>
      </c>
      <c r="B17" s="12" t="s">
        <v>29</v>
      </c>
      <c r="C17" s="11"/>
      <c r="D17" s="11">
        <v>21</v>
      </c>
      <c r="E17" s="108">
        <v>177305220</v>
      </c>
      <c r="F17" s="108">
        <v>11961348468</v>
      </c>
      <c r="G17" s="108">
        <v>11005564502</v>
      </c>
      <c r="H17" s="108">
        <v>1918417390</v>
      </c>
      <c r="I17" s="108">
        <v>16795000</v>
      </c>
    </row>
    <row r="18" spans="1:9" ht="18" customHeight="1" x14ac:dyDescent="0.25">
      <c r="A18" s="11" t="s">
        <v>30</v>
      </c>
      <c r="B18" s="12" t="s">
        <v>31</v>
      </c>
      <c r="C18" s="11"/>
      <c r="D18" s="11">
        <v>21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</row>
    <row r="19" spans="1:9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08">
        <v>688692277</v>
      </c>
      <c r="F19" s="108">
        <v>2804887253</v>
      </c>
      <c r="G19" s="108">
        <v>13649782188</v>
      </c>
      <c r="H19" s="108">
        <v>9263913896</v>
      </c>
      <c r="I19" s="108">
        <v>4947763993</v>
      </c>
    </row>
    <row r="20" spans="1:9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10">
        <v>33542700</v>
      </c>
      <c r="F20" s="110">
        <v>37623600</v>
      </c>
      <c r="G20" s="110">
        <v>39915400</v>
      </c>
      <c r="H20" s="110">
        <v>39767700</v>
      </c>
      <c r="I20" s="110">
        <v>36782500</v>
      </c>
    </row>
    <row r="21" spans="1:9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08">
        <v>-19844851391</v>
      </c>
      <c r="F21" s="108">
        <v>-67048251533</v>
      </c>
      <c r="G21" s="108">
        <v>-111080892177</v>
      </c>
      <c r="H21" s="108">
        <v>-80415871801</v>
      </c>
      <c r="I21" s="108">
        <v>-38910216094</v>
      </c>
    </row>
    <row r="22" spans="1:9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08">
        <v>-32957639797</v>
      </c>
      <c r="F22" s="108">
        <v>-9599169737</v>
      </c>
      <c r="G22" s="108">
        <v>18260947670</v>
      </c>
      <c r="H22" s="108">
        <v>27716583325</v>
      </c>
      <c r="I22" s="108">
        <v>685246825</v>
      </c>
    </row>
    <row r="23" spans="1:9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08">
        <v>-64806794459</v>
      </c>
      <c r="F23" s="108">
        <v>-67638918522</v>
      </c>
      <c r="G23" s="108">
        <v>-47553956537</v>
      </c>
      <c r="H23" s="108">
        <v>-33354097300</v>
      </c>
      <c r="I23" s="108">
        <v>-25379794312</v>
      </c>
    </row>
    <row r="24" spans="1:9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08">
        <v>973832774</v>
      </c>
      <c r="F24" s="108">
        <v>764816058</v>
      </c>
      <c r="G24" s="108">
        <v>4516615023</v>
      </c>
      <c r="H24" s="108">
        <v>4579046188</v>
      </c>
      <c r="I24" s="108">
        <v>-238989637</v>
      </c>
    </row>
    <row r="25" spans="1:9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08">
        <v>-168885017</v>
      </c>
      <c r="F25" s="108">
        <v>-174097196</v>
      </c>
      <c r="G25" s="108">
        <v>-482701476</v>
      </c>
      <c r="H25" s="108">
        <v>-811559750</v>
      </c>
      <c r="I25" s="108">
        <v>-654562467</v>
      </c>
    </row>
    <row r="26" spans="1:9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08">
        <v>-11992899283</v>
      </c>
      <c r="F26" s="108">
        <v>-10332744644</v>
      </c>
      <c r="G26" s="108">
        <v>-9003917867</v>
      </c>
      <c r="H26" s="108">
        <v>-8533631969</v>
      </c>
      <c r="I26" s="108">
        <v>-4724071391</v>
      </c>
    </row>
    <row r="27" spans="1:9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08">
        <v>-556452057</v>
      </c>
      <c r="F27" s="108">
        <v>-1353529227</v>
      </c>
      <c r="G27" s="108">
        <v>-2767921517</v>
      </c>
      <c r="H27" s="108">
        <v>-2719205249</v>
      </c>
      <c r="I27" s="108">
        <v>-229092237</v>
      </c>
    </row>
    <row r="28" spans="1:9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08">
        <v>-814318090</v>
      </c>
      <c r="F28" s="108">
        <v>-1833563157</v>
      </c>
      <c r="G28" s="108">
        <v>-1835858175</v>
      </c>
      <c r="H28" s="108">
        <v>-969486697</v>
      </c>
      <c r="I28" s="108">
        <v>-1009819421</v>
      </c>
    </row>
    <row r="29" spans="1:9" ht="18" customHeight="1" x14ac:dyDescent="0.25">
      <c r="A29" s="16" t="s">
        <v>52</v>
      </c>
      <c r="B29" s="17" t="s">
        <v>53</v>
      </c>
      <c r="C29" s="16"/>
      <c r="D29" s="16"/>
      <c r="E29" s="109">
        <v>82552012518</v>
      </c>
      <c r="F29" s="109">
        <v>77440200508</v>
      </c>
      <c r="G29" s="109">
        <v>40909650061</v>
      </c>
      <c r="H29" s="109">
        <v>42154035435</v>
      </c>
      <c r="I29" s="109">
        <v>48691002214</v>
      </c>
    </row>
    <row r="30" spans="1:9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08">
        <v>-11881745987</v>
      </c>
      <c r="F30" s="108">
        <v>-10286901744</v>
      </c>
      <c r="G30" s="108">
        <v>-8721539807</v>
      </c>
      <c r="H30" s="108">
        <v>-7860542932</v>
      </c>
      <c r="I30" s="108">
        <v>-7183907727</v>
      </c>
    </row>
    <row r="31" spans="1:9" ht="18" customHeight="1" x14ac:dyDescent="0.25">
      <c r="A31" s="16" t="s">
        <v>56</v>
      </c>
      <c r="B31" s="17" t="s">
        <v>57</v>
      </c>
      <c r="C31" s="16"/>
      <c r="D31" s="16"/>
      <c r="E31" s="109">
        <v>70670266531</v>
      </c>
      <c r="F31" s="109">
        <v>67153298764</v>
      </c>
      <c r="G31" s="109">
        <v>32188110254</v>
      </c>
      <c r="H31" s="109">
        <v>34293492503</v>
      </c>
      <c r="I31" s="109">
        <v>41507094487</v>
      </c>
    </row>
    <row r="32" spans="1:9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08">
        <v>3283345022</v>
      </c>
      <c r="F32" s="108">
        <v>2789636865</v>
      </c>
      <c r="G32" s="108">
        <v>2370818729</v>
      </c>
      <c r="H32" s="108">
        <v>2088198775</v>
      </c>
      <c r="I32" s="108">
        <v>1768943393</v>
      </c>
    </row>
    <row r="33" spans="1:10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10">
        <v>-24382888917</v>
      </c>
      <c r="F33" s="110">
        <v>-12739344773</v>
      </c>
      <c r="G33" s="110">
        <v>-12995071965</v>
      </c>
      <c r="H33" s="110">
        <v>-13073885128</v>
      </c>
      <c r="I33" s="110">
        <v>-13068065829</v>
      </c>
    </row>
    <row r="34" spans="1:10" ht="18" customHeight="1" x14ac:dyDescent="0.25">
      <c r="A34" s="16" t="s">
        <v>63</v>
      </c>
      <c r="B34" s="17" t="s">
        <v>64</v>
      </c>
      <c r="C34" s="16"/>
      <c r="D34" s="16"/>
      <c r="E34" s="109">
        <v>49570722636</v>
      </c>
      <c r="F34" s="109">
        <v>57203590856</v>
      </c>
      <c r="G34" s="109">
        <v>21563857018</v>
      </c>
      <c r="H34" s="109">
        <v>23307806150</v>
      </c>
      <c r="I34" s="109">
        <v>30207972051</v>
      </c>
    </row>
    <row r="35" spans="1:10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08">
        <v>10326419277</v>
      </c>
      <c r="F35" s="108">
        <v>7604382953</v>
      </c>
      <c r="G35" s="108">
        <v>5465327978</v>
      </c>
      <c r="H35" s="108">
        <v>6328503690</v>
      </c>
      <c r="I35" s="108">
        <v>6442053110</v>
      </c>
    </row>
    <row r="36" spans="1:10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</row>
    <row r="37" spans="1:10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</row>
    <row r="38" spans="1:10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08">
        <v>-19791441524</v>
      </c>
      <c r="F38" s="108">
        <v>-19437299011</v>
      </c>
      <c r="G38" s="108">
        <v>-17552912915</v>
      </c>
      <c r="H38" s="108">
        <v>-2639573602</v>
      </c>
      <c r="I38" s="108">
        <v>-2850670303</v>
      </c>
    </row>
    <row r="39" spans="1:10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</row>
    <row r="40" spans="1:10" ht="18" customHeight="1" x14ac:dyDescent="0.25">
      <c r="A40" s="16" t="s">
        <v>75</v>
      </c>
      <c r="B40" s="17" t="s">
        <v>76</v>
      </c>
      <c r="C40" s="16"/>
      <c r="D40" s="16"/>
      <c r="E40" s="109">
        <v>-9465022247</v>
      </c>
      <c r="F40" s="109">
        <v>-11832916058</v>
      </c>
      <c r="G40" s="109">
        <v>-12087584937</v>
      </c>
      <c r="H40" s="109">
        <v>3688930088</v>
      </c>
      <c r="I40" s="109">
        <v>3591382807</v>
      </c>
    </row>
    <row r="41" spans="1:10" ht="18" customHeight="1" x14ac:dyDescent="0.25">
      <c r="A41" s="22" t="s">
        <v>77</v>
      </c>
      <c r="B41" s="23" t="s">
        <v>78</v>
      </c>
      <c r="C41" s="22"/>
      <c r="D41" s="22"/>
      <c r="E41" s="111">
        <v>40105700389</v>
      </c>
      <c r="F41" s="111">
        <v>45370674798</v>
      </c>
      <c r="G41" s="111">
        <v>9476272081</v>
      </c>
      <c r="H41" s="111">
        <v>26996736238</v>
      </c>
      <c r="I41" s="111">
        <v>33799354858</v>
      </c>
      <c r="J41" s="112">
        <f>I40+I34</f>
        <v>33799354858</v>
      </c>
    </row>
    <row r="42" spans="1:10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08">
        <v>45423730</v>
      </c>
      <c r="F42" s="108">
        <v>9322035</v>
      </c>
      <c r="G42" s="108">
        <v>18347458</v>
      </c>
      <c r="H42" s="108">
        <v>13711866</v>
      </c>
      <c r="I42" s="108">
        <v>20762712</v>
      </c>
    </row>
    <row r="43" spans="1:10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</row>
    <row r="44" spans="1:10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</row>
    <row r="45" spans="1:10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08">
        <v>0</v>
      </c>
      <c r="F45" s="108">
        <v>0</v>
      </c>
      <c r="G45" s="108">
        <v>-20852792</v>
      </c>
      <c r="H45" s="108">
        <v>-12216971</v>
      </c>
      <c r="I45" s="108">
        <v>-14537557</v>
      </c>
    </row>
    <row r="46" spans="1:10" ht="18" customHeight="1" x14ac:dyDescent="0.25">
      <c r="A46" s="22" t="s">
        <v>88</v>
      </c>
      <c r="B46" s="23" t="s">
        <v>89</v>
      </c>
      <c r="C46" s="22"/>
      <c r="D46" s="22"/>
      <c r="E46" s="111">
        <v>45423730</v>
      </c>
      <c r="F46" s="111">
        <v>9322035</v>
      </c>
      <c r="G46" s="111">
        <v>-2505334</v>
      </c>
      <c r="H46" s="111">
        <v>1494895</v>
      </c>
      <c r="I46" s="111">
        <v>6225155</v>
      </c>
    </row>
    <row r="47" spans="1:10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</row>
    <row r="48" spans="1:10" ht="18" customHeight="1" x14ac:dyDescent="0.25">
      <c r="A48" s="11" t="s">
        <v>92</v>
      </c>
      <c r="B48" s="12" t="s">
        <v>93</v>
      </c>
      <c r="C48" s="11" t="s">
        <v>12</v>
      </c>
      <c r="D48" s="11"/>
      <c r="E48" s="108">
        <v>0</v>
      </c>
      <c r="F48" s="108">
        <v>0</v>
      </c>
      <c r="G48" s="108">
        <v>0</v>
      </c>
      <c r="H48" s="108">
        <v>0</v>
      </c>
      <c r="I48" s="108">
        <v>0</v>
      </c>
    </row>
    <row r="49" spans="1:10" ht="18" customHeight="1" x14ac:dyDescent="0.25">
      <c r="A49" s="16" t="s">
        <v>94</v>
      </c>
      <c r="B49" s="17" t="s">
        <v>95</v>
      </c>
      <c r="C49" s="16"/>
      <c r="D49" s="16"/>
      <c r="E49" s="109">
        <v>40151124119</v>
      </c>
      <c r="F49" s="109">
        <v>45379996833</v>
      </c>
      <c r="G49" s="109">
        <v>9473766747</v>
      </c>
      <c r="H49" s="109">
        <v>26998231133</v>
      </c>
      <c r="I49" s="109">
        <v>33805580013</v>
      </c>
      <c r="J49" s="112">
        <f>I46+I41+I47+I48</f>
        <v>33805580013</v>
      </c>
    </row>
    <row r="50" spans="1:10" x14ac:dyDescent="0.25">
      <c r="I50" s="105"/>
    </row>
    <row r="53" spans="1:10" ht="12.75" customHeight="1" x14ac:dyDescent="0.25">
      <c r="B53" s="29"/>
      <c r="C53" s="29"/>
    </row>
    <row r="54" spans="1:10" ht="12.75" customHeight="1" x14ac:dyDescent="0.25">
      <c r="B54" s="29"/>
      <c r="C54" s="29"/>
    </row>
    <row r="55" spans="1:10" ht="12.75" customHeight="1" x14ac:dyDescent="0.25">
      <c r="B55" s="29"/>
      <c r="C55" s="29"/>
    </row>
    <row r="58" spans="1:10" ht="12.75" customHeight="1" x14ac:dyDescent="0.25">
      <c r="B58" s="29"/>
      <c r="C58" s="29"/>
    </row>
    <row r="59" spans="1:10" ht="12.75" customHeight="1" x14ac:dyDescent="0.25">
      <c r="B59" s="29"/>
      <c r="C59" s="29"/>
    </row>
    <row r="62" spans="1:10" ht="12.75" customHeight="1" x14ac:dyDescent="0.25">
      <c r="G62" s="30"/>
      <c r="H62" s="30"/>
    </row>
    <row r="63" spans="1:10" ht="12.75" customHeight="1" x14ac:dyDescent="0.25">
      <c r="G63" s="30"/>
      <c r="H63" s="30"/>
    </row>
    <row r="64" spans="1:10" ht="12.75" customHeight="1" x14ac:dyDescent="0.25">
      <c r="G64" s="30"/>
      <c r="H64" s="30"/>
    </row>
    <row r="65" spans="7:8" ht="12.75" customHeight="1" x14ac:dyDescent="0.25">
      <c r="G65" s="30"/>
      <c r="H65" s="30"/>
    </row>
    <row r="66" spans="7:8" ht="12.75" customHeight="1" x14ac:dyDescent="0.25">
      <c r="G66" s="30"/>
      <c r="H66" s="30"/>
    </row>
    <row r="67" spans="7:8" ht="12.75" customHeight="1" x14ac:dyDescent="0.25">
      <c r="G67" s="30"/>
      <c r="H67" s="30"/>
    </row>
    <row r="68" spans="7:8" ht="12.75" customHeight="1" x14ac:dyDescent="0.25">
      <c r="G68" s="30"/>
      <c r="H68" s="30"/>
    </row>
    <row r="69" spans="7:8" ht="12.75" customHeight="1" x14ac:dyDescent="0.25">
      <c r="G69" s="30"/>
      <c r="H69" s="30"/>
    </row>
    <row r="70" spans="7:8" ht="12.75" customHeight="1" x14ac:dyDescent="0.25">
      <c r="G70" s="30"/>
      <c r="H70" s="30"/>
    </row>
    <row r="71" spans="7:8" ht="12.75" customHeight="1" x14ac:dyDescent="0.25">
      <c r="G71" s="30"/>
      <c r="H71" s="30"/>
    </row>
    <row r="72" spans="7:8" ht="12.75" customHeight="1" x14ac:dyDescent="0.25">
      <c r="G72" s="30"/>
      <c r="H72" s="30"/>
    </row>
    <row r="73" spans="7:8" ht="12.75" customHeight="1" x14ac:dyDescent="0.25">
      <c r="G73" s="30"/>
      <c r="H73" s="30"/>
    </row>
    <row r="74" spans="7:8" ht="12.75" customHeight="1" x14ac:dyDescent="0.25">
      <c r="G74" s="30"/>
      <c r="H74" s="30"/>
    </row>
    <row r="75" spans="7:8" ht="12.75" customHeight="1" x14ac:dyDescent="0.25">
      <c r="G75" s="30"/>
      <c r="H75" s="30"/>
    </row>
    <row r="76" spans="7:8" ht="12.75" customHeight="1" x14ac:dyDescent="0.25">
      <c r="G76" s="30"/>
      <c r="H76" s="30"/>
    </row>
    <row r="77" spans="7:8" ht="12.75" customHeight="1" x14ac:dyDescent="0.25">
      <c r="G77" s="30"/>
      <c r="H77" s="30"/>
    </row>
    <row r="78" spans="7:8" ht="12.75" customHeight="1" x14ac:dyDescent="0.25">
      <c r="G78" s="30"/>
      <c r="H78" s="30"/>
    </row>
    <row r="79" spans="7:8" ht="12.75" customHeight="1" x14ac:dyDescent="0.25">
      <c r="G79" s="30"/>
      <c r="H79" s="30"/>
    </row>
    <row r="80" spans="7:8" ht="12.75" customHeight="1" x14ac:dyDescent="0.25">
      <c r="G80" s="30"/>
      <c r="H80" s="30"/>
    </row>
    <row r="81" spans="7:8" ht="12.75" customHeight="1" x14ac:dyDescent="0.25">
      <c r="G81" s="30"/>
      <c r="H81" s="30"/>
    </row>
    <row r="82" spans="7:8" ht="12.75" customHeight="1" x14ac:dyDescent="0.25">
      <c r="G82" s="30"/>
      <c r="H82" s="30"/>
    </row>
    <row r="83" spans="7:8" ht="12.75" customHeight="1" x14ac:dyDescent="0.25">
      <c r="G83" s="30"/>
      <c r="H83" s="30"/>
    </row>
    <row r="84" spans="7:8" ht="12.75" customHeight="1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71634869-2C04-4691-9FD8-7B49A3C3EBAA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DA584E3E-86C6-4806-8F9D-EC5695ADFA60}"/>
    <dataValidation allowBlank="1" showInputMessage="1" showErrorMessage="1" errorTitle="Erreur de saisie" error="La cellule ne peut prendre que du numérique." promptTitle="Information" prompt="Cette cellule ne peut prendre que du numérique," sqref="E8:I49" xr:uid="{131ABD15-A68D-48EA-9AA0-DDBB76A25EBA}"/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A3B51-D314-4C1B-8F66-F85DEC73C3B1}">
  <sheetPr codeName="Feuil29">
    <tabColor rgb="FF00B050"/>
  </sheetPr>
  <dimension ref="A1:H84"/>
  <sheetViews>
    <sheetView topLeftCell="C3" workbookViewId="0">
      <selection sqref="A1:H1"/>
    </sheetView>
  </sheetViews>
  <sheetFormatPr baseColWidth="10" defaultColWidth="10.28515625" defaultRowHeight="12.75" x14ac:dyDescent="0.2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5.7109375" style="28" customWidth="1" collapsed="1"/>
    <col min="6" max="7" width="15.7109375" style="28" customWidth="1"/>
    <col min="8" max="8" width="15.7109375" style="28" customWidth="1" collapsed="1"/>
    <col min="9" max="16384" width="10.28515625" style="27" collapsed="1"/>
  </cols>
  <sheetData>
    <row r="1" spans="1:8" s="1" customFormat="1" ht="24.4" customHeight="1" x14ac:dyDescent="0.2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s="1" customFormat="1" ht="8.1" customHeight="1" x14ac:dyDescent="0.2">
      <c r="C2" s="2"/>
    </row>
    <row r="3" spans="1:8" s="1" customFormat="1" ht="25.5" customHeight="1" x14ac:dyDescent="0.2">
      <c r="A3" s="134" t="s">
        <v>96</v>
      </c>
      <c r="B3" s="134"/>
      <c r="C3" s="134"/>
      <c r="D3" s="1" t="s">
        <v>1</v>
      </c>
      <c r="E3" s="135">
        <f>+'[5]Fiche de renseignement R1'!$V$10</f>
        <v>45657</v>
      </c>
      <c r="F3" s="135"/>
      <c r="G3" s="135"/>
      <c r="H3" s="136"/>
    </row>
    <row r="4" spans="1:8" s="1" customFormat="1" ht="15" customHeight="1" x14ac:dyDescent="0.2">
      <c r="A4" s="136" t="s">
        <v>117</v>
      </c>
      <c r="B4" s="136"/>
      <c r="C4" s="136"/>
      <c r="D4" s="137" t="s">
        <v>2</v>
      </c>
      <c r="E4" s="138">
        <f>+'[5]Fiche de renseignement R1'!$AH$10</f>
        <v>12</v>
      </c>
      <c r="F4" s="138"/>
      <c r="G4" s="138"/>
      <c r="H4" s="138"/>
    </row>
    <row r="5" spans="1:8" s="1" customFormat="1" ht="31.15" customHeight="1" x14ac:dyDescent="0.2">
      <c r="A5" s="4" t="s">
        <v>3</v>
      </c>
      <c r="B5" s="139" t="str">
        <f>+'[5]Fiche de renseignement R1'!$J$10</f>
        <v xml:space="preserve">000028797 </v>
      </c>
      <c r="C5" s="139"/>
      <c r="D5" s="137"/>
      <c r="E5" s="136"/>
      <c r="F5" s="136"/>
      <c r="G5" s="136"/>
      <c r="H5" s="136"/>
    </row>
    <row r="6" spans="1:8" s="1" customFormat="1" ht="8.1" customHeight="1" x14ac:dyDescent="0.2">
      <c r="C6" s="2"/>
    </row>
    <row r="7" spans="1:8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4872000</v>
      </c>
      <c r="F8" s="10">
        <v>55042000</v>
      </c>
      <c r="G8" s="10">
        <v>9591209</v>
      </c>
      <c r="H8" s="10">
        <v>32567814</v>
      </c>
    </row>
    <row r="9" spans="1:8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-9782220</v>
      </c>
      <c r="F9" s="13">
        <v>-26550000</v>
      </c>
      <c r="G9" s="13">
        <v>-14060620</v>
      </c>
      <c r="H9" s="13"/>
    </row>
    <row r="10" spans="1:8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9126340</v>
      </c>
      <c r="F10" s="13">
        <v>0</v>
      </c>
      <c r="G10" s="13">
        <v>0</v>
      </c>
      <c r="H10" s="13">
        <v>-18948000</v>
      </c>
    </row>
    <row r="11" spans="1:8" ht="18" customHeight="1" x14ac:dyDescent="0.25">
      <c r="A11" s="16" t="s">
        <v>16</v>
      </c>
      <c r="B11" s="17" t="s">
        <v>17</v>
      </c>
      <c r="C11" s="16"/>
      <c r="D11" s="16"/>
      <c r="E11" s="18">
        <v>4216120</v>
      </c>
      <c r="F11" s="18">
        <v>28492000</v>
      </c>
      <c r="G11" s="18">
        <v>-4469411</v>
      </c>
      <c r="H11" s="18">
        <v>13619814</v>
      </c>
    </row>
    <row r="12" spans="1:8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4369859187</v>
      </c>
      <c r="F12" s="13">
        <v>4677813303</v>
      </c>
      <c r="G12" s="13">
        <v>3562453679</v>
      </c>
      <c r="H12" s="13">
        <v>7547834379</v>
      </c>
    </row>
    <row r="13" spans="1:8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510698706</v>
      </c>
      <c r="F13" s="13">
        <v>561153717</v>
      </c>
      <c r="G13" s="13">
        <v>402106207</v>
      </c>
      <c r="H13" s="13">
        <v>529360936</v>
      </c>
    </row>
    <row r="14" spans="1:8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27593244</v>
      </c>
      <c r="F14" s="13">
        <v>27593244</v>
      </c>
      <c r="G14" s="13">
        <v>28135344</v>
      </c>
      <c r="H14" s="13">
        <v>30324205</v>
      </c>
    </row>
    <row r="15" spans="1:8" ht="18" customHeight="1" x14ac:dyDescent="0.25">
      <c r="A15" s="16" t="s">
        <v>24</v>
      </c>
      <c r="B15" s="17" t="s">
        <v>25</v>
      </c>
      <c r="C15" s="16"/>
      <c r="D15" s="16"/>
      <c r="E15" s="18">
        <v>4913023137</v>
      </c>
      <c r="F15" s="18">
        <v>5321602264</v>
      </c>
      <c r="G15" s="18">
        <v>4002286439</v>
      </c>
      <c r="H15" s="18">
        <v>8140087334</v>
      </c>
    </row>
    <row r="16" spans="1:8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-49063489</v>
      </c>
      <c r="F16" s="13">
        <v>330326749</v>
      </c>
      <c r="G16" s="13">
        <v>123654048</v>
      </c>
      <c r="H16" s="13">
        <v>76516869</v>
      </c>
    </row>
    <row r="17" spans="1:8" ht="18" customHeight="1" x14ac:dyDescent="0.25">
      <c r="A17" s="11" t="s">
        <v>28</v>
      </c>
      <c r="B17" s="12" t="s">
        <v>29</v>
      </c>
      <c r="C17" s="11"/>
      <c r="D17" s="11">
        <v>21</v>
      </c>
      <c r="E17" s="13"/>
      <c r="F17" s="13"/>
      <c r="G17" s="13"/>
      <c r="H17" s="13"/>
    </row>
    <row r="18" spans="1:8" ht="18" customHeight="1" x14ac:dyDescent="0.25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15959905</v>
      </c>
      <c r="F19" s="13">
        <v>9948633</v>
      </c>
      <c r="G19" s="13">
        <v>7540599</v>
      </c>
      <c r="H19" s="13">
        <v>10691787</v>
      </c>
    </row>
    <row r="20" spans="1:8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  <c r="G20" s="21"/>
      <c r="H20" s="21"/>
    </row>
    <row r="21" spans="1:8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  <c r="G21" s="13"/>
      <c r="H21" s="13"/>
    </row>
    <row r="22" spans="1:8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79176380</v>
      </c>
      <c r="F22" s="13">
        <v>18904523</v>
      </c>
      <c r="G22" s="13">
        <v>-266861481</v>
      </c>
      <c r="H22" s="13">
        <v>-158293378</v>
      </c>
    </row>
    <row r="23" spans="1:8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-803996681</v>
      </c>
      <c r="F23" s="13">
        <v>-663898559</v>
      </c>
      <c r="G23" s="13">
        <v>-602490841</v>
      </c>
      <c r="H23" s="13">
        <v>-605407530</v>
      </c>
    </row>
    <row r="24" spans="1:8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25813098</v>
      </c>
      <c r="F24" s="13">
        <v>-47184027</v>
      </c>
      <c r="G24" s="13">
        <v>-8249672</v>
      </c>
      <c r="H24" s="13">
        <v>-612780865</v>
      </c>
    </row>
    <row r="25" spans="1:8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-406810833</v>
      </c>
      <c r="F25" s="13">
        <v>-654738151</v>
      </c>
      <c r="G25" s="13">
        <v>-669264084</v>
      </c>
      <c r="H25" s="13">
        <v>-4785670942</v>
      </c>
    </row>
    <row r="26" spans="1:8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-2525092868</v>
      </c>
      <c r="F26" s="13">
        <v>-2813981324</v>
      </c>
      <c r="G26" s="13">
        <v>-1872046375</v>
      </c>
      <c r="H26" s="13">
        <v>-1815474056</v>
      </c>
    </row>
    <row r="27" spans="1:8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-158771053</v>
      </c>
      <c r="F27" s="13">
        <v>-356592941</v>
      </c>
      <c r="G27" s="13">
        <v>-96948384</v>
      </c>
      <c r="H27" s="13">
        <v>-75322543</v>
      </c>
    </row>
    <row r="28" spans="1:8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-31353273</v>
      </c>
      <c r="F28" s="13">
        <v>-21273378</v>
      </c>
      <c r="G28" s="13">
        <v>-23453336</v>
      </c>
      <c r="H28" s="13">
        <v>-164083387</v>
      </c>
    </row>
    <row r="29" spans="1:8" ht="18" customHeight="1" x14ac:dyDescent="0.25">
      <c r="A29" s="16" t="s">
        <v>52</v>
      </c>
      <c r="B29" s="17" t="s">
        <v>53</v>
      </c>
      <c r="C29" s="16"/>
      <c r="D29" s="16"/>
      <c r="E29" s="18">
        <v>1058228443</v>
      </c>
      <c r="F29" s="18">
        <v>1096563789</v>
      </c>
      <c r="G29" s="18">
        <v>580106293</v>
      </c>
      <c r="H29" s="18">
        <v>-8684711</v>
      </c>
    </row>
    <row r="30" spans="1:8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-1041608527</v>
      </c>
      <c r="F30" s="13">
        <v>-1016390100</v>
      </c>
      <c r="G30" s="13">
        <v>-771443937</v>
      </c>
      <c r="H30" s="13">
        <v>-819664250</v>
      </c>
    </row>
    <row r="31" spans="1:8" ht="18" customHeight="1" x14ac:dyDescent="0.25">
      <c r="A31" s="16" t="s">
        <v>56</v>
      </c>
      <c r="B31" s="17" t="s">
        <v>57</v>
      </c>
      <c r="C31" s="16"/>
      <c r="D31" s="16"/>
      <c r="E31" s="18">
        <v>16619916</v>
      </c>
      <c r="F31" s="18">
        <v>80173689</v>
      </c>
      <c r="G31" s="18">
        <v>-191337644</v>
      </c>
      <c r="H31" s="18">
        <v>-828348961</v>
      </c>
    </row>
    <row r="32" spans="1:8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27893265</v>
      </c>
      <c r="F32" s="13">
        <v>31340056</v>
      </c>
      <c r="G32" s="13">
        <v>28437869</v>
      </c>
      <c r="H32" s="13">
        <v>651046672</v>
      </c>
    </row>
    <row r="33" spans="1:8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-257573898</v>
      </c>
      <c r="F33" s="21">
        <v>-245699707</v>
      </c>
      <c r="G33" s="21">
        <v>-234417091</v>
      </c>
      <c r="H33" s="21">
        <v>-250327809</v>
      </c>
    </row>
    <row r="34" spans="1:8" ht="18" customHeight="1" x14ac:dyDescent="0.25">
      <c r="A34" s="16" t="s">
        <v>63</v>
      </c>
      <c r="B34" s="17" t="s">
        <v>64</v>
      </c>
      <c r="C34" s="16"/>
      <c r="D34" s="16"/>
      <c r="E34" s="18">
        <v>-213060717</v>
      </c>
      <c r="F34" s="18">
        <v>-134185962</v>
      </c>
      <c r="G34" s="18">
        <v>-397316866</v>
      </c>
      <c r="H34" s="18">
        <v>-427630098</v>
      </c>
    </row>
    <row r="35" spans="1:8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1017644</v>
      </c>
      <c r="F35" s="13">
        <v>10545146</v>
      </c>
      <c r="G35" s="13">
        <v>29816161</v>
      </c>
      <c r="H35" s="13">
        <v>31169444</v>
      </c>
    </row>
    <row r="36" spans="1:8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/>
    </row>
    <row r="37" spans="1:8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-41799017</v>
      </c>
      <c r="F38" s="13">
        <v>-39624830</v>
      </c>
      <c r="G38" s="13">
        <v>-36639607</v>
      </c>
      <c r="H38" s="13">
        <v>-24340182</v>
      </c>
    </row>
    <row r="39" spans="1:8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>
        <v>0</v>
      </c>
      <c r="G39" s="13">
        <v>0</v>
      </c>
      <c r="H39" s="13">
        <v>0</v>
      </c>
    </row>
    <row r="40" spans="1:8" ht="18" customHeight="1" x14ac:dyDescent="0.25">
      <c r="A40" s="16" t="s">
        <v>75</v>
      </c>
      <c r="B40" s="17" t="s">
        <v>76</v>
      </c>
      <c r="C40" s="16"/>
      <c r="D40" s="16"/>
      <c r="E40" s="18">
        <v>-40781373</v>
      </c>
      <c r="F40" s="18">
        <v>-29079684</v>
      </c>
      <c r="G40" s="18">
        <v>-6823446</v>
      </c>
      <c r="H40" s="18">
        <v>6829262</v>
      </c>
    </row>
    <row r="41" spans="1:8" ht="18" customHeight="1" x14ac:dyDescent="0.25">
      <c r="A41" s="22" t="s">
        <v>77</v>
      </c>
      <c r="B41" s="23" t="s">
        <v>78</v>
      </c>
      <c r="C41" s="22"/>
      <c r="D41" s="22"/>
      <c r="E41" s="24">
        <v>-253842090</v>
      </c>
      <c r="F41" s="24">
        <v>-163265646</v>
      </c>
      <c r="G41" s="24">
        <v>-404140312</v>
      </c>
      <c r="H41" s="24">
        <v>-420800836</v>
      </c>
    </row>
    <row r="42" spans="1:8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>
        <v>4000000</v>
      </c>
      <c r="G42" s="13">
        <v>1092741400</v>
      </c>
      <c r="H42" s="13">
        <v>142810271</v>
      </c>
    </row>
    <row r="43" spans="1:8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1590930</v>
      </c>
      <c r="F43" s="13">
        <v>16662088</v>
      </c>
      <c r="G43" s="13">
        <v>1000000</v>
      </c>
      <c r="H43" s="13">
        <v>12715983</v>
      </c>
    </row>
    <row r="44" spans="1:8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-3729900</v>
      </c>
      <c r="F44" s="13">
        <v>-2000000</v>
      </c>
      <c r="G44" s="13">
        <v>-14706952</v>
      </c>
      <c r="H44" s="13"/>
    </row>
    <row r="45" spans="1:8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-22259400</v>
      </c>
      <c r="F45" s="13">
        <v>-1344999</v>
      </c>
      <c r="G45" s="13">
        <v>0</v>
      </c>
      <c r="H45" s="13">
        <v>-4309849</v>
      </c>
    </row>
    <row r="46" spans="1:8" ht="18" customHeight="1" x14ac:dyDescent="0.25">
      <c r="A46" s="22" t="s">
        <v>88</v>
      </c>
      <c r="B46" s="23" t="s">
        <v>89</v>
      </c>
      <c r="C46" s="22"/>
      <c r="D46" s="22"/>
      <c r="E46" s="24">
        <v>-24398370</v>
      </c>
      <c r="F46" s="24">
        <v>17317089</v>
      </c>
      <c r="G46" s="24">
        <v>1079034448</v>
      </c>
      <c r="H46" s="24">
        <v>151216405</v>
      </c>
    </row>
    <row r="47" spans="1:8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ht="18" customHeight="1" x14ac:dyDescent="0.25">
      <c r="A48" s="11" t="s">
        <v>92</v>
      </c>
      <c r="B48" s="12" t="s">
        <v>93</v>
      </c>
      <c r="C48" s="11" t="s">
        <v>12</v>
      </c>
      <c r="D48" s="11"/>
      <c r="E48" s="13">
        <v>-5000000</v>
      </c>
      <c r="F48" s="13">
        <v>-5000000</v>
      </c>
      <c r="G48" s="13">
        <v>-319089854</v>
      </c>
      <c r="H48" s="13">
        <v>-5000000</v>
      </c>
    </row>
    <row r="49" spans="1:8" ht="18" customHeight="1" x14ac:dyDescent="0.25">
      <c r="A49" s="16" t="s">
        <v>94</v>
      </c>
      <c r="B49" s="17" t="s">
        <v>95</v>
      </c>
      <c r="C49" s="16"/>
      <c r="D49" s="16"/>
      <c r="E49" s="18">
        <v>-283240460</v>
      </c>
      <c r="F49" s="18">
        <v>-150948557</v>
      </c>
      <c r="G49" s="18">
        <v>355804282</v>
      </c>
      <c r="H49" s="18">
        <v>-274584431</v>
      </c>
    </row>
    <row r="53" spans="1:8" ht="12.75" customHeight="1" x14ac:dyDescent="0.25">
      <c r="B53" s="29"/>
      <c r="C53" s="29"/>
    </row>
    <row r="54" spans="1:8" ht="12.75" customHeight="1" x14ac:dyDescent="0.25">
      <c r="B54" s="29"/>
      <c r="C54" s="29"/>
    </row>
    <row r="55" spans="1:8" ht="12.75" customHeight="1" x14ac:dyDescent="0.25">
      <c r="B55" s="29"/>
      <c r="C55" s="29"/>
    </row>
    <row r="58" spans="1:8" ht="12.75" customHeight="1" x14ac:dyDescent="0.25">
      <c r="B58" s="29"/>
      <c r="C58" s="29"/>
    </row>
    <row r="59" spans="1:8" ht="12.75" customHeight="1" x14ac:dyDescent="0.25">
      <c r="B59" s="29"/>
      <c r="C59" s="29"/>
    </row>
    <row r="62" spans="1:8" ht="12.75" customHeight="1" x14ac:dyDescent="0.25">
      <c r="E62" s="30"/>
      <c r="F62" s="30"/>
      <c r="G62" s="30"/>
      <c r="H62" s="30"/>
    </row>
    <row r="63" spans="1:8" ht="12.75" customHeight="1" x14ac:dyDescent="0.25">
      <c r="E63" s="30"/>
      <c r="F63" s="30"/>
      <c r="G63" s="30"/>
      <c r="H63" s="30"/>
    </row>
    <row r="64" spans="1:8" ht="12.75" customHeight="1" x14ac:dyDescent="0.25">
      <c r="E64" s="30"/>
      <c r="F64" s="30"/>
      <c r="G64" s="30"/>
      <c r="H64" s="30"/>
    </row>
    <row r="65" spans="5:8" ht="12.75" customHeight="1" x14ac:dyDescent="0.25">
      <c r="E65" s="30"/>
      <c r="F65" s="30"/>
      <c r="G65" s="30"/>
      <c r="H65" s="30"/>
    </row>
    <row r="66" spans="5:8" ht="12.75" customHeight="1" x14ac:dyDescent="0.25">
      <c r="E66" s="30"/>
      <c r="F66" s="30"/>
      <c r="G66" s="30"/>
      <c r="H66" s="30"/>
    </row>
    <row r="67" spans="5:8" ht="12.75" customHeight="1" x14ac:dyDescent="0.25">
      <c r="E67" s="30"/>
      <c r="F67" s="30"/>
      <c r="G67" s="30"/>
      <c r="H67" s="30"/>
    </row>
    <row r="68" spans="5:8" ht="12.75" customHeight="1" x14ac:dyDescent="0.25">
      <c r="E68" s="30"/>
      <c r="F68" s="30"/>
      <c r="G68" s="30"/>
      <c r="H68" s="30"/>
    </row>
    <row r="69" spans="5:8" ht="12.75" customHeight="1" x14ac:dyDescent="0.25">
      <c r="E69" s="30"/>
      <c r="F69" s="30"/>
      <c r="G69" s="30"/>
      <c r="H69" s="30"/>
    </row>
    <row r="70" spans="5:8" ht="12.75" customHeight="1" x14ac:dyDescent="0.25">
      <c r="E70" s="30"/>
      <c r="F70" s="30"/>
      <c r="G70" s="30"/>
      <c r="H70" s="30"/>
    </row>
    <row r="71" spans="5:8" ht="12.75" customHeight="1" x14ac:dyDescent="0.25">
      <c r="E71" s="30"/>
      <c r="F71" s="30"/>
      <c r="G71" s="30"/>
      <c r="H71" s="30"/>
    </row>
    <row r="72" spans="5:8" ht="12.75" customHeight="1" x14ac:dyDescent="0.25">
      <c r="E72" s="30"/>
      <c r="F72" s="30"/>
      <c r="G72" s="30"/>
      <c r="H72" s="30"/>
    </row>
    <row r="73" spans="5:8" ht="12.75" customHeight="1" x14ac:dyDescent="0.25">
      <c r="E73" s="30"/>
      <c r="F73" s="30"/>
      <c r="G73" s="30"/>
      <c r="H73" s="30"/>
    </row>
    <row r="74" spans="5:8" ht="12.75" customHeight="1" x14ac:dyDescent="0.25">
      <c r="E74" s="30"/>
      <c r="F74" s="30"/>
      <c r="G74" s="30"/>
      <c r="H74" s="30"/>
    </row>
    <row r="75" spans="5:8" ht="12.75" customHeight="1" x14ac:dyDescent="0.25">
      <c r="E75" s="30"/>
      <c r="F75" s="30"/>
      <c r="G75" s="30"/>
      <c r="H75" s="30"/>
    </row>
    <row r="76" spans="5:8" ht="12.75" customHeight="1" x14ac:dyDescent="0.25">
      <c r="E76" s="30"/>
      <c r="F76" s="30"/>
      <c r="G76" s="30"/>
      <c r="H76" s="30"/>
    </row>
    <row r="77" spans="5:8" ht="12.75" customHeight="1" x14ac:dyDescent="0.25">
      <c r="E77" s="30"/>
      <c r="F77" s="30"/>
      <c r="G77" s="30"/>
      <c r="H77" s="30"/>
    </row>
    <row r="78" spans="5:8" ht="12.75" customHeight="1" x14ac:dyDescent="0.25">
      <c r="E78" s="30"/>
      <c r="F78" s="30"/>
      <c r="G78" s="30"/>
      <c r="H78" s="30"/>
    </row>
    <row r="79" spans="5:8" ht="12.75" customHeight="1" x14ac:dyDescent="0.25">
      <c r="E79" s="30"/>
      <c r="F79" s="30"/>
      <c r="G79" s="30"/>
      <c r="H79" s="30"/>
    </row>
    <row r="80" spans="5:8" ht="12.75" customHeight="1" x14ac:dyDescent="0.25">
      <c r="E80" s="30"/>
      <c r="F80" s="30"/>
      <c r="G80" s="30"/>
      <c r="H80" s="30"/>
    </row>
    <row r="81" spans="5:8" ht="12.75" customHeight="1" x14ac:dyDescent="0.25">
      <c r="E81" s="30"/>
      <c r="F81" s="30"/>
      <c r="G81" s="30"/>
      <c r="H81" s="30"/>
    </row>
    <row r="82" spans="5:8" ht="12.75" customHeight="1" x14ac:dyDescent="0.25">
      <c r="E82" s="30"/>
      <c r="F82" s="30"/>
      <c r="G82" s="30"/>
      <c r="H82" s="30"/>
    </row>
    <row r="83" spans="5:8" ht="12.75" customHeight="1" x14ac:dyDescent="0.25">
      <c r="E83" s="30"/>
      <c r="F83" s="30"/>
      <c r="G83" s="30"/>
      <c r="H83" s="30"/>
    </row>
    <row r="84" spans="5:8" ht="12.75" customHeight="1" x14ac:dyDescent="0.25">
      <c r="E84" s="30"/>
      <c r="F84" s="30"/>
      <c r="G84" s="30"/>
      <c r="H84" s="30"/>
    </row>
  </sheetData>
  <mergeCells count="7">
    <mergeCell ref="A1:H1"/>
    <mergeCell ref="A3:C3"/>
    <mergeCell ref="E3:H3"/>
    <mergeCell ref="A4:C4"/>
    <mergeCell ref="D4:D5"/>
    <mergeCell ref="E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5227D69-27BF-4214-9DDA-3A0D47EFA2DA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4675D168-4D25-45EF-A777-D8EC4A1F4D59}"/>
    <dataValidation allowBlank="1" showInputMessage="1" showErrorMessage="1" errorTitle="Erreur de saisie" error="La cellule ne peut prendre que du numérique." promptTitle="Information" prompt="Cette cellule ne peut prendre que du numérique," sqref="E8:H49" xr:uid="{D9F1FC45-CE9F-4307-B3C2-0054FD8D830E}"/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9">
    <tabColor theme="8"/>
  </sheetPr>
  <dimension ref="A7:H49"/>
  <sheetViews>
    <sheetView topLeftCell="B1" zoomScale="84" workbookViewId="0">
      <selection activeCell="E1" sqref="E1:E1048576"/>
    </sheetView>
  </sheetViews>
  <sheetFormatPr baseColWidth="10" defaultColWidth="9.140625" defaultRowHeight="15" x14ac:dyDescent="0.25"/>
  <cols>
    <col min="1" max="1" width="9" bestFit="1" customWidth="1"/>
    <col min="2" max="2" width="24" customWidth="1"/>
    <col min="5" max="6" width="17.28515625" bestFit="1" customWidth="1"/>
    <col min="7" max="8" width="16.7109375" customWidth="1"/>
  </cols>
  <sheetData>
    <row r="7" spans="1:8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  <c r="G8" s="10"/>
      <c r="H8" s="10"/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  <c r="G9" s="13"/>
      <c r="H9" s="13"/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  <c r="G10" s="13"/>
      <c r="H10" s="13"/>
    </row>
    <row r="11" spans="1:8" x14ac:dyDescent="0.25">
      <c r="A11" s="16" t="s">
        <v>16</v>
      </c>
      <c r="B11" s="17" t="s">
        <v>17</v>
      </c>
      <c r="C11" s="16"/>
      <c r="D11" s="16"/>
      <c r="E11" s="18"/>
      <c r="F11" s="18"/>
      <c r="G11" s="18"/>
      <c r="H11" s="18"/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  <c r="G12" s="13"/>
      <c r="H12" s="13"/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  <c r="G13" s="13"/>
      <c r="H13" s="13"/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/>
      <c r="G14" s="13"/>
      <c r="H14" s="13"/>
    </row>
    <row r="15" spans="1:8" x14ac:dyDescent="0.25">
      <c r="A15" s="16" t="s">
        <v>24</v>
      </c>
      <c r="B15" s="17" t="s">
        <v>25</v>
      </c>
      <c r="C15" s="16"/>
      <c r="D15" s="16"/>
      <c r="E15" s="18"/>
      <c r="F15" s="18"/>
      <c r="G15" s="18"/>
      <c r="H15" s="18"/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  <c r="G16" s="13"/>
      <c r="H16" s="13"/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3"/>
      <c r="F17" s="13"/>
      <c r="G17" s="13"/>
      <c r="H17" s="13"/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65622333340</v>
      </c>
      <c r="F19" s="13">
        <v>29451422956</v>
      </c>
      <c r="G19" s="13"/>
      <c r="H19" s="13"/>
    </row>
    <row r="20" spans="1:8" x14ac:dyDescent="0.25">
      <c r="A20" s="19" t="s">
        <v>34</v>
      </c>
      <c r="B20" s="20" t="s">
        <v>35</v>
      </c>
      <c r="C20" s="19" t="s">
        <v>9</v>
      </c>
      <c r="D20" s="19">
        <v>12</v>
      </c>
      <c r="E20" s="21">
        <v>330683633109</v>
      </c>
      <c r="F20" s="21">
        <v>227337887846</v>
      </c>
      <c r="G20" s="21"/>
      <c r="H20" s="21"/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/>
      <c r="G21" s="13"/>
      <c r="H21" s="13"/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/>
      <c r="G22" s="13"/>
      <c r="H22" s="13"/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-87568982052</v>
      </c>
      <c r="F23" s="13">
        <v>-3526394713</v>
      </c>
      <c r="G23" s="13"/>
      <c r="H23" s="13"/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/>
      <c r="G24" s="13"/>
      <c r="H24" s="13"/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-2165578529</v>
      </c>
      <c r="F25" s="13">
        <v>-1230374694</v>
      </c>
      <c r="G25" s="13"/>
      <c r="H25" s="13"/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-297596047735</v>
      </c>
      <c r="F26" s="13">
        <v>-243636854441</v>
      </c>
      <c r="G26" s="13"/>
      <c r="H26" s="13"/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-2917019660</v>
      </c>
      <c r="F27" s="13">
        <v>-997401988</v>
      </c>
      <c r="G27" s="13"/>
      <c r="H27" s="13"/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-2938842171</v>
      </c>
      <c r="F28" s="13">
        <v>-1464607258</v>
      </c>
      <c r="G28" s="13"/>
      <c r="H28" s="13"/>
    </row>
    <row r="29" spans="1:8" x14ac:dyDescent="0.25">
      <c r="A29" s="16" t="s">
        <v>52</v>
      </c>
      <c r="B29" s="17" t="s">
        <v>53</v>
      </c>
      <c r="C29" s="16"/>
      <c r="D29" s="16"/>
      <c r="E29" s="18">
        <f>SUM(E16:E28)</f>
        <v>3119496302</v>
      </c>
      <c r="F29" s="18">
        <f>SUM(F16:F28)</f>
        <v>5933677708</v>
      </c>
      <c r="G29" s="18"/>
      <c r="H29" s="18"/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-36970372772</v>
      </c>
      <c r="F30" s="13">
        <v>-20776813944</v>
      </c>
      <c r="G30" s="13"/>
      <c r="H30" s="13"/>
    </row>
    <row r="31" spans="1:8" x14ac:dyDescent="0.25">
      <c r="A31" s="16" t="s">
        <v>56</v>
      </c>
      <c r="B31" s="17" t="s">
        <v>57</v>
      </c>
      <c r="C31" s="16"/>
      <c r="D31" s="16"/>
      <c r="E31" s="18">
        <f>+E29+E30</f>
        <v>-33850876470</v>
      </c>
      <c r="F31" s="18">
        <f>+F29+F30</f>
        <v>-14843136236</v>
      </c>
      <c r="G31" s="18"/>
      <c r="H31" s="18"/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/>
      <c r="F32" s="13"/>
      <c r="G32" s="13"/>
      <c r="H32" s="13"/>
    </row>
    <row r="33" spans="1:8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-406497759063</v>
      </c>
      <c r="F33" s="21">
        <v>-329782576463</v>
      </c>
      <c r="G33" s="21"/>
      <c r="H33" s="21"/>
    </row>
    <row r="34" spans="1:8" x14ac:dyDescent="0.25">
      <c r="A34" s="16" t="s">
        <v>63</v>
      </c>
      <c r="B34" s="17" t="s">
        <v>64</v>
      </c>
      <c r="C34" s="16"/>
      <c r="D34" s="16"/>
      <c r="E34" s="18">
        <f>+E31+E32+E33</f>
        <v>-440348635533</v>
      </c>
      <c r="F34" s="18">
        <f>+F31+F32+F33</f>
        <v>-344625712699</v>
      </c>
      <c r="G34" s="18"/>
      <c r="H34" s="18"/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1369726877</v>
      </c>
      <c r="F35" s="13">
        <v>1304961305</v>
      </c>
      <c r="G35" s="13"/>
      <c r="H35" s="13"/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/>
      <c r="G36" s="13"/>
      <c r="H36" s="13"/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/>
      <c r="G37" s="13"/>
      <c r="H37" s="13"/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-87159583259</v>
      </c>
      <c r="F38" s="13">
        <v>-53027838152</v>
      </c>
      <c r="G38" s="13"/>
      <c r="H38" s="13"/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/>
      <c r="G39" s="13"/>
      <c r="H39" s="13"/>
    </row>
    <row r="40" spans="1:8" x14ac:dyDescent="0.25">
      <c r="A40" s="16" t="s">
        <v>75</v>
      </c>
      <c r="B40" s="17" t="s">
        <v>76</v>
      </c>
      <c r="C40" s="16"/>
      <c r="D40" s="16"/>
      <c r="E40" s="18">
        <f>SUM(E35:E39)</f>
        <v>-85789856382</v>
      </c>
      <c r="F40" s="18">
        <f>SUM(F35:F39)</f>
        <v>-51722876847</v>
      </c>
      <c r="G40" s="18"/>
      <c r="H40" s="18"/>
    </row>
    <row r="41" spans="1:8" x14ac:dyDescent="0.25">
      <c r="A41" s="22" t="s">
        <v>77</v>
      </c>
      <c r="B41" s="23" t="s">
        <v>78</v>
      </c>
      <c r="C41" s="22"/>
      <c r="D41" s="22"/>
      <c r="E41" s="24">
        <f>+E34+E40</f>
        <v>-526138491915</v>
      </c>
      <c r="F41" s="24">
        <f>+F34+F40</f>
        <v>-396348589546</v>
      </c>
      <c r="G41" s="24"/>
      <c r="H41" s="24"/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  <c r="G42" s="13"/>
      <c r="H42" s="13"/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453476563</v>
      </c>
      <c r="F43" s="13">
        <v>16394527194</v>
      </c>
      <c r="G43" s="13"/>
      <c r="H43" s="13"/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42850163</v>
      </c>
      <c r="F44" s="13">
        <v>-203497705675</v>
      </c>
      <c r="G44" s="13"/>
      <c r="H44" s="13"/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  <c r="G45" s="13"/>
      <c r="H45" s="13"/>
    </row>
    <row r="46" spans="1:8" x14ac:dyDescent="0.25">
      <c r="A46" s="22" t="s">
        <v>88</v>
      </c>
      <c r="B46" s="23" t="s">
        <v>89</v>
      </c>
      <c r="C46" s="22"/>
      <c r="D46" s="22"/>
      <c r="E46" s="24">
        <f>SUM(E42:E45)</f>
        <v>496326726</v>
      </c>
      <c r="F46" s="24">
        <f>SUM(F42:F45)</f>
        <v>-187103178481</v>
      </c>
      <c r="G46" s="24"/>
      <c r="H46" s="24"/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13"/>
      <c r="F48" s="13"/>
      <c r="G48" s="13"/>
      <c r="H48" s="13"/>
    </row>
    <row r="49" spans="1:8" x14ac:dyDescent="0.25">
      <c r="A49" s="16" t="s">
        <v>94</v>
      </c>
      <c r="B49" s="17" t="s">
        <v>95</v>
      </c>
      <c r="C49" s="16"/>
      <c r="D49" s="16"/>
      <c r="E49" s="18">
        <f>+E41+E46</f>
        <v>-525642165189</v>
      </c>
      <c r="F49" s="18">
        <f>+F41+F46</f>
        <v>-583451768027</v>
      </c>
      <c r="G49" s="18"/>
      <c r="H49" s="18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E8:H49" xr:uid="{DFD4204E-9473-4E4F-97DA-8A39FA7843FA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D9-3C6C-4946-8A53-9A7AC5718306}">
  <sheetPr codeName="Feuil20">
    <tabColor theme="7"/>
  </sheetPr>
  <dimension ref="A1:I84"/>
  <sheetViews>
    <sheetView topLeftCell="C1" workbookViewId="0">
      <selection sqref="A1:H1"/>
    </sheetView>
  </sheetViews>
  <sheetFormatPr baseColWidth="10" defaultRowHeight="1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9.140625" style="28" customWidth="1" collapsed="1"/>
    <col min="9" max="9" width="19.140625" style="122" customWidth="1"/>
  </cols>
  <sheetData>
    <row r="1" spans="1:9" ht="18.75" x14ac:dyDescent="0.25">
      <c r="A1" s="133" t="s">
        <v>0</v>
      </c>
      <c r="B1" s="133"/>
      <c r="C1" s="133"/>
      <c r="D1" s="133"/>
      <c r="E1" s="133"/>
      <c r="F1" s="133"/>
      <c r="G1" s="133"/>
      <c r="H1" s="133"/>
      <c r="I1" s="113"/>
    </row>
    <row r="2" spans="1:9" x14ac:dyDescent="0.25">
      <c r="A2" s="1"/>
      <c r="B2" s="1"/>
      <c r="C2" s="2"/>
      <c r="D2" s="1"/>
      <c r="E2" s="1"/>
      <c r="F2" s="1"/>
      <c r="G2" s="1"/>
      <c r="H2" s="1"/>
      <c r="I2" s="114"/>
    </row>
    <row r="3" spans="1:9" x14ac:dyDescent="0.25">
      <c r="A3" s="134" t="s">
        <v>96</v>
      </c>
      <c r="B3" s="134"/>
      <c r="C3" s="134"/>
      <c r="D3" s="1" t="s">
        <v>1</v>
      </c>
      <c r="E3" s="1"/>
      <c r="F3" s="1"/>
      <c r="G3" s="135">
        <f>+'[6]Fiche de renseignement R1'!$V$10</f>
        <v>44926</v>
      </c>
      <c r="H3" s="136"/>
      <c r="I3" s="115"/>
    </row>
    <row r="4" spans="1:9" x14ac:dyDescent="0.25">
      <c r="A4" s="136" t="s">
        <v>116</v>
      </c>
      <c r="B4" s="136"/>
      <c r="C4" s="136"/>
      <c r="D4" s="137" t="s">
        <v>2</v>
      </c>
      <c r="E4" s="25"/>
      <c r="F4" s="25"/>
      <c r="G4" s="138">
        <f>+'[6]Fiche de renseignement R1'!$AH$10</f>
        <v>12</v>
      </c>
      <c r="H4" s="138"/>
      <c r="I4" s="115"/>
    </row>
    <row r="5" spans="1:9" ht="38.25" x14ac:dyDescent="0.25">
      <c r="A5" s="4" t="s">
        <v>3</v>
      </c>
      <c r="B5" s="139" t="str">
        <f>+'[6]Fiche de renseignement R1'!$J$10</f>
        <v xml:space="preserve">000022955  </v>
      </c>
      <c r="C5" s="139"/>
      <c r="D5" s="137"/>
      <c r="E5" s="25"/>
      <c r="F5" s="25"/>
      <c r="G5" s="136"/>
      <c r="H5" s="136"/>
      <c r="I5" s="115"/>
    </row>
    <row r="6" spans="1:9" x14ac:dyDescent="0.25">
      <c r="A6" s="1"/>
      <c r="B6" s="1"/>
      <c r="C6" s="2"/>
      <c r="D6" s="1"/>
      <c r="E6" s="1"/>
      <c r="F6" s="1"/>
      <c r="G6" s="1"/>
      <c r="H6" s="1"/>
      <c r="I6" s="114"/>
    </row>
    <row r="7" spans="1:9" x14ac:dyDescent="0.2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  <c r="I7" s="116">
        <v>2020</v>
      </c>
    </row>
    <row r="8" spans="1:9" x14ac:dyDescent="0.25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>
        <v>0</v>
      </c>
      <c r="H8" s="10">
        <v>0</v>
      </c>
      <c r="I8" s="117">
        <v>0</v>
      </c>
    </row>
    <row r="9" spans="1:9" x14ac:dyDescent="0.25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>
        <v>0</v>
      </c>
      <c r="H9" s="13">
        <v>0</v>
      </c>
      <c r="I9" s="117">
        <v>0</v>
      </c>
    </row>
    <row r="10" spans="1:9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>
        <v>0</v>
      </c>
      <c r="H10" s="13">
        <v>0</v>
      </c>
      <c r="I10" s="117">
        <v>0</v>
      </c>
    </row>
    <row r="11" spans="1:9" x14ac:dyDescent="0.25">
      <c r="A11" s="16" t="s">
        <v>16</v>
      </c>
      <c r="B11" s="17" t="s">
        <v>17</v>
      </c>
      <c r="C11" s="16"/>
      <c r="D11" s="16"/>
      <c r="E11" s="16"/>
      <c r="F11" s="16"/>
      <c r="G11" s="18">
        <v>0</v>
      </c>
      <c r="H11" s="18">
        <v>0</v>
      </c>
      <c r="I11" s="118">
        <v>0</v>
      </c>
    </row>
    <row r="12" spans="1:9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565991767063</v>
      </c>
      <c r="H12" s="13">
        <v>344468573096</v>
      </c>
      <c r="I12" s="117">
        <v>201824831417</v>
      </c>
    </row>
    <row r="13" spans="1:9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>
        <v>0</v>
      </c>
      <c r="H13" s="13">
        <v>0</v>
      </c>
      <c r="I13" s="117"/>
    </row>
    <row r="14" spans="1:9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432086528</v>
      </c>
      <c r="H14" s="13">
        <v>74540525</v>
      </c>
      <c r="I14" s="117">
        <v>97713308</v>
      </c>
    </row>
    <row r="15" spans="1:9" x14ac:dyDescent="0.25">
      <c r="A15" s="16" t="s">
        <v>24</v>
      </c>
      <c r="B15" s="17" t="s">
        <v>25</v>
      </c>
      <c r="C15" s="16"/>
      <c r="D15" s="16"/>
      <c r="E15" s="16"/>
      <c r="F15" s="16"/>
      <c r="G15" s="18">
        <v>566423853591</v>
      </c>
      <c r="H15" s="18">
        <v>344543113621</v>
      </c>
      <c r="I15" s="118">
        <v>201922549725</v>
      </c>
    </row>
    <row r="16" spans="1:9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-295903902</v>
      </c>
      <c r="H16" s="13">
        <v>-336865235</v>
      </c>
      <c r="I16" s="117">
        <v>8271452313</v>
      </c>
    </row>
    <row r="17" spans="1:9" x14ac:dyDescent="0.25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1393112827</v>
      </c>
      <c r="H17" s="13">
        <v>0</v>
      </c>
      <c r="I17" s="117">
        <v>0</v>
      </c>
    </row>
    <row r="18" spans="1:9" x14ac:dyDescent="0.25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  <c r="I18" s="117">
        <v>0</v>
      </c>
    </row>
    <row r="19" spans="1:9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12331907205</v>
      </c>
      <c r="H19" s="13">
        <v>7117754297</v>
      </c>
      <c r="I19" s="119">
        <v>15483081213</v>
      </c>
    </row>
    <row r="20" spans="1:9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0</v>
      </c>
      <c r="H20" s="21">
        <v>0</v>
      </c>
      <c r="I20" s="119">
        <v>0</v>
      </c>
    </row>
    <row r="21" spans="1:9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-183666041764</v>
      </c>
      <c r="H21" s="13">
        <v>-88126293352</v>
      </c>
      <c r="I21" s="119">
        <v>45254397182</v>
      </c>
    </row>
    <row r="22" spans="1:9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17997737628</v>
      </c>
      <c r="H22" s="13">
        <v>13528958997</v>
      </c>
      <c r="I22" s="119">
        <v>3687986380</v>
      </c>
    </row>
    <row r="23" spans="1:9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-36386157972</v>
      </c>
      <c r="H23" s="13">
        <v>-47686624680</v>
      </c>
      <c r="I23" s="119">
        <v>50415648486</v>
      </c>
    </row>
    <row r="24" spans="1:9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-10350489934</v>
      </c>
      <c r="H24" s="13">
        <v>2065610698</v>
      </c>
      <c r="I24" s="119">
        <v>7781490770</v>
      </c>
    </row>
    <row r="25" spans="1:9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-44154305841</v>
      </c>
      <c r="H25" s="13">
        <v>-26221136206</v>
      </c>
      <c r="I25" s="119">
        <v>21950993830</v>
      </c>
    </row>
    <row r="26" spans="1:9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-37398422238</v>
      </c>
      <c r="H26" s="13">
        <v>-33209329411</v>
      </c>
      <c r="I26" s="119">
        <v>23375012747</v>
      </c>
    </row>
    <row r="27" spans="1:9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-10000000</v>
      </c>
      <c r="H27" s="13">
        <v>-2000</v>
      </c>
      <c r="I27" s="117">
        <v>0</v>
      </c>
    </row>
    <row r="28" spans="1:9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-14765231537</v>
      </c>
      <c r="H28" s="13">
        <v>-9123819784</v>
      </c>
      <c r="I28" s="117">
        <v>9189515965</v>
      </c>
    </row>
    <row r="29" spans="1:9" x14ac:dyDescent="0.25">
      <c r="A29" s="16" t="s">
        <v>52</v>
      </c>
      <c r="B29" s="17" t="s">
        <v>53</v>
      </c>
      <c r="C29" s="16"/>
      <c r="D29" s="16"/>
      <c r="E29" s="16"/>
      <c r="F29" s="16"/>
      <c r="G29" s="18">
        <v>271120058063</v>
      </c>
      <c r="H29" s="18">
        <v>162551366945</v>
      </c>
      <c r="I29" s="118">
        <v>79585020441</v>
      </c>
    </row>
    <row r="30" spans="1:9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-23662306388</v>
      </c>
      <c r="H30" s="13">
        <v>-22579538003</v>
      </c>
      <c r="I30" s="117">
        <v>20924645699</v>
      </c>
    </row>
    <row r="31" spans="1:9" x14ac:dyDescent="0.25">
      <c r="A31" s="16" t="s">
        <v>56</v>
      </c>
      <c r="B31" s="17" t="s">
        <v>57</v>
      </c>
      <c r="C31" s="16"/>
      <c r="D31" s="16"/>
      <c r="E31" s="16"/>
      <c r="F31" s="16"/>
      <c r="G31" s="18">
        <v>247457751675</v>
      </c>
      <c r="H31" s="18">
        <v>139971828942</v>
      </c>
      <c r="I31" s="118">
        <v>58660374742</v>
      </c>
    </row>
    <row r="32" spans="1:9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12664863</v>
      </c>
      <c r="H32" s="13">
        <v>448119705</v>
      </c>
      <c r="I32" s="117">
        <v>118531758</v>
      </c>
    </row>
    <row r="33" spans="1:9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-16651221407</v>
      </c>
      <c r="H33" s="21">
        <v>-14385896175</v>
      </c>
      <c r="I33" s="120">
        <v>13779173687</v>
      </c>
    </row>
    <row r="34" spans="1:9" x14ac:dyDescent="0.25">
      <c r="A34" s="16" t="s">
        <v>63</v>
      </c>
      <c r="B34" s="17" t="s">
        <v>64</v>
      </c>
      <c r="C34" s="16"/>
      <c r="D34" s="16"/>
      <c r="E34" s="16"/>
      <c r="F34" s="16"/>
      <c r="G34" s="18">
        <v>230819195131</v>
      </c>
      <c r="H34" s="18">
        <v>126034052472</v>
      </c>
      <c r="I34" s="118">
        <v>44999732813</v>
      </c>
    </row>
    <row r="35" spans="1:9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2966186103</v>
      </c>
      <c r="H35" s="13">
        <v>1330500750</v>
      </c>
      <c r="I35" s="119">
        <v>665525283</v>
      </c>
    </row>
    <row r="36" spans="1:9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  <c r="I36" s="117">
        <v>0</v>
      </c>
    </row>
    <row r="37" spans="1:9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  <c r="I37" s="119">
        <v>7093783024</v>
      </c>
    </row>
    <row r="38" spans="1:9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-5106640154</v>
      </c>
      <c r="H38" s="13">
        <v>-5139291894</v>
      </c>
      <c r="I38" s="117"/>
    </row>
    <row r="39" spans="1:9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0</v>
      </c>
      <c r="H39" s="13">
        <v>0</v>
      </c>
      <c r="I39" s="119">
        <v>6433262741</v>
      </c>
    </row>
    <row r="40" spans="1:9" x14ac:dyDescent="0.25">
      <c r="A40" s="16" t="s">
        <v>75</v>
      </c>
      <c r="B40" s="17" t="s">
        <v>76</v>
      </c>
      <c r="C40" s="16"/>
      <c r="D40" s="16"/>
      <c r="E40" s="16"/>
      <c r="F40" s="16"/>
      <c r="G40" s="18">
        <v>-2140454051</v>
      </c>
      <c r="H40" s="18">
        <v>-3808791144</v>
      </c>
      <c r="I40" s="118"/>
    </row>
    <row r="41" spans="1:9" x14ac:dyDescent="0.25">
      <c r="A41" s="22" t="s">
        <v>77</v>
      </c>
      <c r="B41" s="23" t="s">
        <v>78</v>
      </c>
      <c r="C41" s="22"/>
      <c r="D41" s="22"/>
      <c r="E41" s="22"/>
      <c r="F41" s="22"/>
      <c r="G41" s="24">
        <v>228678741080</v>
      </c>
      <c r="H41" s="24">
        <v>122225261328</v>
      </c>
      <c r="I41" s="121">
        <v>38566470072</v>
      </c>
    </row>
    <row r="42" spans="1:9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0</v>
      </c>
      <c r="H42" s="13">
        <v>0</v>
      </c>
      <c r="I42" s="117">
        <v>658475</v>
      </c>
    </row>
    <row r="43" spans="1:9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>
        <v>1574661046</v>
      </c>
      <c r="H43" s="13">
        <v>255088018</v>
      </c>
      <c r="I43" s="117">
        <v>6489408</v>
      </c>
    </row>
    <row r="44" spans="1:9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>
        <v>-88081849</v>
      </c>
      <c r="H44" s="13">
        <v>0</v>
      </c>
      <c r="I44" s="117">
        <v>587983419</v>
      </c>
    </row>
    <row r="45" spans="1:9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>
        <v>0</v>
      </c>
      <c r="H45" s="13">
        <v>-5002699789</v>
      </c>
      <c r="I45" s="117"/>
    </row>
    <row r="46" spans="1:9" x14ac:dyDescent="0.25">
      <c r="A46" s="22" t="s">
        <v>88</v>
      </c>
      <c r="B46" s="23" t="s">
        <v>89</v>
      </c>
      <c r="C46" s="22"/>
      <c r="D46" s="22"/>
      <c r="E46" s="22"/>
      <c r="F46" s="22"/>
      <c r="G46" s="24">
        <v>1486579197</v>
      </c>
      <c r="H46" s="24">
        <v>-4747611771</v>
      </c>
      <c r="I46" s="121">
        <v>580835536</v>
      </c>
    </row>
    <row r="47" spans="1:9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>
        <v>0</v>
      </c>
      <c r="H47" s="13">
        <v>0</v>
      </c>
      <c r="I47" s="117">
        <v>580835536</v>
      </c>
    </row>
    <row r="48" spans="1:9" x14ac:dyDescent="0.25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0</v>
      </c>
      <c r="H48" s="13">
        <v>0</v>
      </c>
      <c r="I48" s="117">
        <v>0</v>
      </c>
    </row>
    <row r="49" spans="1:9" x14ac:dyDescent="0.25">
      <c r="A49" s="16" t="s">
        <v>94</v>
      </c>
      <c r="B49" s="17" t="s">
        <v>95</v>
      </c>
      <c r="C49" s="16"/>
      <c r="D49" s="16"/>
      <c r="E49" s="16"/>
      <c r="F49" s="16"/>
      <c r="G49" s="18">
        <v>230165320277</v>
      </c>
      <c r="H49" s="18">
        <v>117477649557</v>
      </c>
      <c r="I49" s="118">
        <v>37985634536</v>
      </c>
    </row>
    <row r="53" spans="1:9" x14ac:dyDescent="0.25">
      <c r="B53" s="29"/>
      <c r="C53" s="29"/>
    </row>
    <row r="54" spans="1:9" x14ac:dyDescent="0.25">
      <c r="B54" s="29"/>
      <c r="C54" s="29"/>
    </row>
    <row r="55" spans="1:9" x14ac:dyDescent="0.25">
      <c r="B55" s="29"/>
      <c r="C55" s="29"/>
    </row>
    <row r="58" spans="1:9" x14ac:dyDescent="0.25">
      <c r="B58" s="29"/>
      <c r="C58" s="29"/>
    </row>
    <row r="59" spans="1:9" x14ac:dyDescent="0.25">
      <c r="B59" s="29"/>
      <c r="C59" s="29"/>
    </row>
    <row r="62" spans="1:9" x14ac:dyDescent="0.25">
      <c r="G62" s="30"/>
      <c r="H62" s="30"/>
      <c r="I62" s="123"/>
    </row>
    <row r="63" spans="1:9" x14ac:dyDescent="0.25">
      <c r="G63" s="30"/>
      <c r="H63" s="30"/>
      <c r="I63" s="123"/>
    </row>
    <row r="64" spans="1:9" x14ac:dyDescent="0.25">
      <c r="G64" s="30"/>
      <c r="H64" s="30"/>
      <c r="I64" s="123"/>
    </row>
    <row r="65" spans="7:9" x14ac:dyDescent="0.25">
      <c r="G65" s="30"/>
      <c r="H65" s="30"/>
      <c r="I65" s="123"/>
    </row>
    <row r="66" spans="7:9" x14ac:dyDescent="0.25">
      <c r="G66" s="30"/>
      <c r="H66" s="30"/>
      <c r="I66" s="123"/>
    </row>
    <row r="67" spans="7:9" x14ac:dyDescent="0.25">
      <c r="G67" s="30"/>
      <c r="H67" s="30"/>
      <c r="I67" s="123"/>
    </row>
    <row r="68" spans="7:9" x14ac:dyDescent="0.25">
      <c r="G68" s="30"/>
      <c r="H68" s="30"/>
      <c r="I68" s="123"/>
    </row>
    <row r="69" spans="7:9" x14ac:dyDescent="0.25">
      <c r="G69" s="30"/>
      <c r="H69" s="30"/>
      <c r="I69" s="123"/>
    </row>
    <row r="70" spans="7:9" x14ac:dyDescent="0.25">
      <c r="G70" s="30"/>
      <c r="H70" s="30"/>
      <c r="I70" s="123"/>
    </row>
    <row r="71" spans="7:9" x14ac:dyDescent="0.25">
      <c r="G71" s="30"/>
      <c r="H71" s="30"/>
      <c r="I71" s="123"/>
    </row>
    <row r="72" spans="7:9" x14ac:dyDescent="0.25">
      <c r="G72" s="30"/>
      <c r="H72" s="30"/>
      <c r="I72" s="123"/>
    </row>
    <row r="73" spans="7:9" x14ac:dyDescent="0.25">
      <c r="G73" s="30"/>
      <c r="H73" s="30"/>
      <c r="I73" s="123"/>
    </row>
    <row r="74" spans="7:9" x14ac:dyDescent="0.25">
      <c r="G74" s="30"/>
      <c r="H74" s="30"/>
      <c r="I74" s="123"/>
    </row>
    <row r="75" spans="7:9" x14ac:dyDescent="0.25">
      <c r="G75" s="30"/>
      <c r="H75" s="30"/>
      <c r="I75" s="123"/>
    </row>
    <row r="76" spans="7:9" x14ac:dyDescent="0.25">
      <c r="G76" s="30"/>
      <c r="H76" s="30"/>
      <c r="I76" s="123"/>
    </row>
    <row r="77" spans="7:9" x14ac:dyDescent="0.25">
      <c r="G77" s="30"/>
      <c r="H77" s="30"/>
      <c r="I77" s="123"/>
    </row>
    <row r="78" spans="7:9" x14ac:dyDescent="0.25">
      <c r="G78" s="30"/>
      <c r="H78" s="30"/>
      <c r="I78" s="123"/>
    </row>
    <row r="79" spans="7:9" x14ac:dyDescent="0.25">
      <c r="G79" s="30"/>
      <c r="H79" s="30"/>
      <c r="I79" s="123"/>
    </row>
    <row r="80" spans="7:9" x14ac:dyDescent="0.25">
      <c r="G80" s="30"/>
      <c r="H80" s="30"/>
      <c r="I80" s="123"/>
    </row>
    <row r="81" spans="7:9" x14ac:dyDescent="0.25">
      <c r="G81" s="30"/>
      <c r="H81" s="30"/>
      <c r="I81" s="123"/>
    </row>
    <row r="82" spans="7:9" x14ac:dyDescent="0.25">
      <c r="G82" s="30"/>
      <c r="H82" s="30"/>
      <c r="I82" s="123"/>
    </row>
    <row r="83" spans="7:9" x14ac:dyDescent="0.25">
      <c r="G83" s="30"/>
      <c r="H83" s="30"/>
      <c r="I83" s="123"/>
    </row>
    <row r="84" spans="7:9" x14ac:dyDescent="0.25">
      <c r="G84" s="30"/>
      <c r="H84" s="30"/>
      <c r="I84" s="123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CE6B9A60-7611-4FB5-AB81-47AC6BC2EE89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I6" xr:uid="{A368E756-07F3-41AB-900D-EF9B239102A4}"/>
    <dataValidation allowBlank="1" showInputMessage="1" showErrorMessage="1" errorTitle="Erreur de saisie" error="La cellule ne peut prendre que du numérique." promptTitle="Information" prompt="Cette cellule ne peut prendre que du numérique," sqref="G8:H49 I8:I18 I40:I49 I38 I27:I34 I36" xr:uid="{9F4B32F8-929E-4FA9-B0C5-3212B138F21D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31BC-83BE-4A02-9B53-A48883D7CAEA}">
  <sheetPr codeName="Feuil22">
    <tabColor rgb="FFFFC000"/>
  </sheetPr>
  <dimension ref="A7:H84"/>
  <sheetViews>
    <sheetView workbookViewId="0"/>
  </sheetViews>
  <sheetFormatPr baseColWidth="10" defaultRowHeight="15" x14ac:dyDescent="0.25"/>
  <cols>
    <col min="1" max="1" width="4.140625" style="26" customWidth="1" collapsed="1"/>
    <col min="2" max="2" width="56" style="27" bestFit="1" customWidth="1" collapsed="1"/>
    <col min="3" max="3" width="3.140625" style="27" bestFit="1" customWidth="1" collapsed="1"/>
    <col min="4" max="4" width="8.28515625" style="27" bestFit="1" customWidth="1" collapsed="1"/>
    <col min="5" max="6" width="8.28515625" style="27" customWidth="1"/>
    <col min="7" max="8" width="15.7109375" style="28" customWidth="1" collapsed="1"/>
  </cols>
  <sheetData>
    <row r="7" spans="1:8" ht="25.5" x14ac:dyDescent="0.2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/>
      <c r="H8" s="10"/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/>
      <c r="H9" s="13"/>
    </row>
    <row r="10" spans="1:8" x14ac:dyDescent="0.25">
      <c r="A10" s="11" t="s">
        <v>13</v>
      </c>
      <c r="B10" s="14" t="s">
        <v>98</v>
      </c>
      <c r="C10" s="15" t="s">
        <v>15</v>
      </c>
      <c r="D10" s="15">
        <v>6</v>
      </c>
      <c r="E10" s="15"/>
      <c r="F10" s="15"/>
      <c r="G10" s="13"/>
      <c r="H10" s="13"/>
    </row>
    <row r="11" spans="1:8" x14ac:dyDescent="0.25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/>
      <c r="H12" s="13"/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/>
      <c r="H13" s="13"/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/>
      <c r="H14" s="13"/>
    </row>
    <row r="15" spans="1:8" x14ac:dyDescent="0.25">
      <c r="A15" s="16" t="s">
        <v>24</v>
      </c>
      <c r="B15" s="17" t="s">
        <v>25</v>
      </c>
      <c r="C15" s="16"/>
      <c r="D15" s="16"/>
      <c r="E15" s="16"/>
      <c r="F15" s="16"/>
      <c r="G15" s="18">
        <v>0</v>
      </c>
      <c r="H15" s="18"/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/>
      <c r="H16" s="13"/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9236283675</v>
      </c>
      <c r="H17" s="13">
        <v>9652980330</v>
      </c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2861563</v>
      </c>
      <c r="H19" s="13">
        <v>4846702</v>
      </c>
    </row>
    <row r="20" spans="1:8" x14ac:dyDescent="0.25">
      <c r="A20" s="56" t="s">
        <v>34</v>
      </c>
      <c r="B20" s="57" t="s">
        <v>99</v>
      </c>
      <c r="C20" s="56" t="s">
        <v>9</v>
      </c>
      <c r="D20" s="56">
        <v>12</v>
      </c>
      <c r="E20" s="56"/>
      <c r="F20" s="56"/>
      <c r="G20" s="21">
        <v>46112334</v>
      </c>
      <c r="H20" s="21">
        <v>137671940</v>
      </c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0</v>
      </c>
      <c r="H21" s="13">
        <v>0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0</v>
      </c>
      <c r="H22" s="13">
        <v>0</v>
      </c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349152470</v>
      </c>
      <c r="H23" s="13">
        <v>713609614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-20674821</v>
      </c>
      <c r="H24" s="13">
        <v>-14631508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146271853</v>
      </c>
      <c r="H25" s="13">
        <v>185281834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3536776621</v>
      </c>
      <c r="H26" s="13">
        <v>6829030561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13207676</v>
      </c>
      <c r="H27" s="13">
        <v>9661831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786944946</v>
      </c>
      <c r="H28" s="13">
        <v>518558600</v>
      </c>
    </row>
    <row r="29" spans="1:8" x14ac:dyDescent="0.25">
      <c r="A29" s="16" t="s">
        <v>52</v>
      </c>
      <c r="B29" s="17" t="s">
        <v>53</v>
      </c>
      <c r="C29" s="16"/>
      <c r="D29" s="16"/>
      <c r="E29" s="16"/>
      <c r="F29" s="16"/>
      <c r="G29" s="18">
        <v>4473578827</v>
      </c>
      <c r="H29" s="18">
        <v>1553988040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1138660841</v>
      </c>
      <c r="H30" s="13">
        <v>1434746792</v>
      </c>
    </row>
    <row r="31" spans="1:8" x14ac:dyDescent="0.25">
      <c r="A31" s="16" t="s">
        <v>56</v>
      </c>
      <c r="B31" s="17" t="s">
        <v>57</v>
      </c>
      <c r="C31" s="16"/>
      <c r="D31" s="16"/>
      <c r="E31" s="16"/>
      <c r="F31" s="16"/>
      <c r="G31" s="18">
        <v>3334917986</v>
      </c>
      <c r="H31" s="18">
        <v>119241248</v>
      </c>
    </row>
    <row r="32" spans="1:8" x14ac:dyDescent="0.25">
      <c r="A32" s="11" t="s">
        <v>58</v>
      </c>
      <c r="B32" s="12" t="s">
        <v>100</v>
      </c>
      <c r="C32" s="11" t="s">
        <v>9</v>
      </c>
      <c r="D32" s="11">
        <v>28</v>
      </c>
      <c r="E32" s="11"/>
      <c r="F32" s="11"/>
      <c r="G32" s="13">
        <v>0</v>
      </c>
      <c r="H32" s="13">
        <v>0</v>
      </c>
    </row>
    <row r="33" spans="1:8" x14ac:dyDescent="0.25">
      <c r="A33" s="56" t="s">
        <v>60</v>
      </c>
      <c r="B33" s="57" t="s">
        <v>61</v>
      </c>
      <c r="C33" s="56" t="s">
        <v>12</v>
      </c>
      <c r="D33" s="56" t="s">
        <v>62</v>
      </c>
      <c r="E33" s="56"/>
      <c r="F33" s="56"/>
      <c r="G33" s="21">
        <v>174654368</v>
      </c>
      <c r="H33" s="21">
        <v>142175480</v>
      </c>
    </row>
    <row r="34" spans="1:8" x14ac:dyDescent="0.25">
      <c r="A34" s="16" t="s">
        <v>63</v>
      </c>
      <c r="B34" s="17" t="s">
        <v>64</v>
      </c>
      <c r="C34" s="16"/>
      <c r="D34" s="16"/>
      <c r="E34" s="16"/>
      <c r="F34" s="16"/>
      <c r="G34" s="18">
        <v>3160263618</v>
      </c>
      <c r="H34" s="18">
        <v>-22934232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9643057</v>
      </c>
      <c r="H35" s="13">
        <v>30480926</v>
      </c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</row>
    <row r="37" spans="1:8" x14ac:dyDescent="0.25">
      <c r="A37" s="11" t="s">
        <v>69</v>
      </c>
      <c r="B37" s="12" t="s">
        <v>101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300108253</v>
      </c>
      <c r="H38" s="13">
        <v>7546694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2869798422</v>
      </c>
      <c r="H39" s="13">
        <v>0</v>
      </c>
    </row>
    <row r="40" spans="1:8" x14ac:dyDescent="0.25">
      <c r="A40" s="16" t="s">
        <v>75</v>
      </c>
      <c r="B40" s="17" t="s">
        <v>76</v>
      </c>
      <c r="C40" s="16"/>
      <c r="D40" s="16"/>
      <c r="E40" s="16"/>
      <c r="F40" s="16"/>
      <c r="G40" s="18">
        <v>-3160263618</v>
      </c>
      <c r="H40" s="18">
        <v>22934232</v>
      </c>
    </row>
    <row r="41" spans="1:8" x14ac:dyDescent="0.25">
      <c r="A41" s="22" t="s">
        <v>77</v>
      </c>
      <c r="B41" s="23" t="s">
        <v>78</v>
      </c>
      <c r="C41" s="22"/>
      <c r="D41" s="22"/>
      <c r="E41" s="22"/>
      <c r="F41" s="22"/>
      <c r="G41" s="24"/>
      <c r="H41" s="24"/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/>
      <c r="H42" s="13"/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/>
    </row>
    <row r="45" spans="1:8" x14ac:dyDescent="0.25">
      <c r="A45" s="11" t="s">
        <v>86</v>
      </c>
      <c r="B45" s="12" t="s">
        <v>102</v>
      </c>
      <c r="C45" s="11" t="s">
        <v>12</v>
      </c>
      <c r="D45" s="11">
        <v>30</v>
      </c>
      <c r="E45" s="11"/>
      <c r="F45" s="11"/>
      <c r="G45" s="13"/>
      <c r="H45" s="13"/>
    </row>
    <row r="46" spans="1:8" x14ac:dyDescent="0.25">
      <c r="A46" s="22" t="s">
        <v>88</v>
      </c>
      <c r="B46" s="23" t="s">
        <v>89</v>
      </c>
      <c r="C46" s="22"/>
      <c r="D46" s="22"/>
      <c r="E46" s="22"/>
      <c r="F46" s="22"/>
      <c r="G46" s="24"/>
      <c r="H46" s="24"/>
    </row>
    <row r="47" spans="1:8" x14ac:dyDescent="0.25">
      <c r="A47" s="11" t="s">
        <v>90</v>
      </c>
      <c r="B47" s="12" t="s">
        <v>103</v>
      </c>
      <c r="C47" s="11" t="s">
        <v>12</v>
      </c>
      <c r="D47" s="11">
        <v>30</v>
      </c>
      <c r="E47" s="11"/>
      <c r="F47" s="11"/>
      <c r="G47" s="13"/>
      <c r="H47" s="13"/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/>
      <c r="H48" s="13"/>
    </row>
    <row r="49" spans="1:8" x14ac:dyDescent="0.25">
      <c r="A49" s="16" t="s">
        <v>94</v>
      </c>
      <c r="B49" s="17" t="s">
        <v>95</v>
      </c>
      <c r="C49" s="16"/>
      <c r="D49" s="16"/>
      <c r="E49" s="16"/>
      <c r="F49" s="16"/>
      <c r="G49" s="18">
        <v>0</v>
      </c>
      <c r="H49" s="18">
        <v>0</v>
      </c>
    </row>
    <row r="53" spans="1:8" x14ac:dyDescent="0.25">
      <c r="B53" s="29"/>
      <c r="C53" s="29"/>
    </row>
    <row r="54" spans="1:8" x14ac:dyDescent="0.25">
      <c r="B54" s="29"/>
      <c r="C54" s="29"/>
    </row>
    <row r="55" spans="1:8" x14ac:dyDescent="0.25">
      <c r="B55" s="29"/>
      <c r="C55" s="29"/>
    </row>
    <row r="58" spans="1:8" x14ac:dyDescent="0.25">
      <c r="B58" s="29"/>
      <c r="C58" s="29"/>
    </row>
    <row r="59" spans="1:8" x14ac:dyDescent="0.25">
      <c r="B59" s="29"/>
      <c r="C59" s="29"/>
    </row>
    <row r="62" spans="1:8" x14ac:dyDescent="0.25">
      <c r="G62" s="30"/>
      <c r="H62" s="30"/>
    </row>
    <row r="63" spans="1:8" x14ac:dyDescent="0.25">
      <c r="G63" s="30"/>
      <c r="H63" s="30"/>
    </row>
    <row r="64" spans="1:8" x14ac:dyDescent="0.25">
      <c r="G64" s="30"/>
      <c r="H64" s="30"/>
    </row>
    <row r="65" spans="7:8" x14ac:dyDescent="0.25">
      <c r="G65" s="30"/>
      <c r="H65" s="30"/>
    </row>
    <row r="66" spans="7:8" x14ac:dyDescent="0.25">
      <c r="G66" s="30"/>
      <c r="H66" s="30"/>
    </row>
    <row r="67" spans="7:8" x14ac:dyDescent="0.25">
      <c r="G67" s="30"/>
      <c r="H67" s="30"/>
    </row>
    <row r="68" spans="7:8" x14ac:dyDescent="0.25">
      <c r="G68" s="30"/>
      <c r="H68" s="30"/>
    </row>
    <row r="69" spans="7:8" x14ac:dyDescent="0.25">
      <c r="G69" s="30"/>
      <c r="H69" s="30"/>
    </row>
    <row r="70" spans="7:8" x14ac:dyDescent="0.25">
      <c r="G70" s="30"/>
      <c r="H70" s="30"/>
    </row>
    <row r="71" spans="7:8" x14ac:dyDescent="0.25">
      <c r="G71" s="30"/>
      <c r="H71" s="30"/>
    </row>
    <row r="72" spans="7:8" x14ac:dyDescent="0.25">
      <c r="G72" s="30"/>
      <c r="H72" s="30"/>
    </row>
    <row r="73" spans="7:8" x14ac:dyDescent="0.25">
      <c r="G73" s="30"/>
      <c r="H73" s="30"/>
    </row>
    <row r="74" spans="7:8" x14ac:dyDescent="0.25">
      <c r="G74" s="30"/>
      <c r="H74" s="30"/>
    </row>
    <row r="75" spans="7:8" x14ac:dyDescent="0.25">
      <c r="G75" s="30"/>
      <c r="H75" s="30"/>
    </row>
    <row r="76" spans="7:8" x14ac:dyDescent="0.25">
      <c r="G76" s="30"/>
      <c r="H76" s="30"/>
    </row>
    <row r="77" spans="7:8" x14ac:dyDescent="0.25">
      <c r="G77" s="30"/>
      <c r="H77" s="30"/>
    </row>
    <row r="78" spans="7:8" x14ac:dyDescent="0.25">
      <c r="G78" s="30"/>
      <c r="H78" s="30"/>
    </row>
    <row r="79" spans="7:8" x14ac:dyDescent="0.25">
      <c r="G79" s="30"/>
      <c r="H79" s="30"/>
    </row>
    <row r="80" spans="7:8" x14ac:dyDescent="0.25">
      <c r="G80" s="30"/>
      <c r="H80" s="30"/>
    </row>
    <row r="81" spans="7:8" x14ac:dyDescent="0.25">
      <c r="G81" s="30"/>
      <c r="H81" s="30"/>
    </row>
    <row r="82" spans="7:8" x14ac:dyDescent="0.25">
      <c r="G82" s="30"/>
      <c r="H82" s="30"/>
    </row>
    <row r="83" spans="7:8" x14ac:dyDescent="0.25">
      <c r="G83" s="30"/>
      <c r="H83" s="30"/>
    </row>
    <row r="84" spans="7:8" x14ac:dyDescent="0.25">
      <c r="G84" s="30"/>
      <c r="H84" s="30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G8:H49" xr:uid="{FE39B66A-07F5-4CCD-9122-23E0D80F4946}"/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FE66-1B3C-4C0D-B2A9-DCFC23F83C8D}">
  <sheetPr codeName="Feuil24"/>
  <dimension ref="A1:H84"/>
  <sheetViews>
    <sheetView topLeftCell="B1" workbookViewId="0">
      <selection sqref="A1:F1"/>
    </sheetView>
  </sheetViews>
  <sheetFormatPr baseColWidth="10" defaultColWidth="10.28515625" defaultRowHeight="12.7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42578125" style="27" customWidth="1" collapsed="1"/>
    <col min="5" max="5" width="19.140625" style="28" customWidth="1" collapsed="1"/>
    <col min="6" max="6" width="15.7109375" style="28" customWidth="1" collapsed="1"/>
    <col min="7" max="7" width="13" style="27" bestFit="1" customWidth="1" collapsed="1"/>
    <col min="8" max="8" width="10.28515625" style="27"/>
    <col min="9" max="16384" width="10.28515625" style="27" collapsed="1"/>
  </cols>
  <sheetData>
    <row r="1" spans="1:7" s="1" customFormat="1" ht="24.6" customHeight="1" x14ac:dyDescent="0.2">
      <c r="A1" s="133" t="s">
        <v>0</v>
      </c>
      <c r="B1" s="133"/>
      <c r="C1" s="133"/>
      <c r="D1" s="133"/>
      <c r="E1" s="133"/>
      <c r="F1" s="133"/>
    </row>
    <row r="2" spans="1:7" s="1" customFormat="1" ht="8.1" customHeight="1" x14ac:dyDescent="0.2">
      <c r="C2" s="2"/>
    </row>
    <row r="3" spans="1:7" s="1" customFormat="1" ht="25.5" customHeight="1" x14ac:dyDescent="0.2">
      <c r="A3" s="134" t="s">
        <v>96</v>
      </c>
      <c r="B3" s="134"/>
      <c r="C3" s="134"/>
      <c r="D3" s="1" t="s">
        <v>1</v>
      </c>
      <c r="E3" s="135" t="s">
        <v>111</v>
      </c>
      <c r="F3" s="136"/>
    </row>
    <row r="4" spans="1:7" s="1" customFormat="1" ht="15" customHeight="1" x14ac:dyDescent="0.2">
      <c r="A4" s="140" t="s">
        <v>119</v>
      </c>
      <c r="B4" s="136"/>
      <c r="C4" s="136"/>
      <c r="D4" s="137" t="s">
        <v>2</v>
      </c>
      <c r="E4" s="138">
        <v>12</v>
      </c>
      <c r="F4" s="138"/>
    </row>
    <row r="5" spans="1:7" s="1" customFormat="1" ht="31.15" customHeight="1" x14ac:dyDescent="0.2">
      <c r="A5" s="4" t="s">
        <v>3</v>
      </c>
      <c r="B5" s="139" t="s">
        <v>120</v>
      </c>
      <c r="C5" s="139"/>
      <c r="D5" s="137"/>
      <c r="E5" s="136"/>
      <c r="F5" s="136"/>
    </row>
    <row r="6" spans="1:7" s="1" customFormat="1" ht="8.1" customHeight="1" x14ac:dyDescent="0.2">
      <c r="C6" s="2"/>
    </row>
    <row r="7" spans="1:7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</row>
    <row r="8" spans="1:7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27">
        <v>0</v>
      </c>
    </row>
    <row r="9" spans="1:7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89" t="s">
        <v>144</v>
      </c>
    </row>
    <row r="10" spans="1:7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89">
        <v>0</v>
      </c>
    </row>
    <row r="11" spans="1:7" ht="18" customHeight="1" x14ac:dyDescent="0.25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90">
        <v>-253738</v>
      </c>
    </row>
    <row r="12" spans="1:7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10396105687</v>
      </c>
      <c r="F12" s="13">
        <v>7699622013</v>
      </c>
      <c r="G12" s="89" t="s">
        <v>122</v>
      </c>
    </row>
    <row r="13" spans="1:7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89">
        <v>0</v>
      </c>
    </row>
    <row r="14" spans="1:7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5348061</v>
      </c>
      <c r="F14" s="13">
        <v>0</v>
      </c>
      <c r="G14" s="27">
        <v>0</v>
      </c>
    </row>
    <row r="15" spans="1:7" ht="18" customHeight="1" x14ac:dyDescent="0.25">
      <c r="A15" s="16" t="s">
        <v>24</v>
      </c>
      <c r="B15" s="17" t="s">
        <v>25</v>
      </c>
      <c r="C15" s="16"/>
      <c r="D15" s="16"/>
      <c r="E15" s="18">
        <v>10401453748</v>
      </c>
      <c r="F15" s="18">
        <v>7699622013</v>
      </c>
      <c r="G15" s="91" t="s">
        <v>122</v>
      </c>
    </row>
    <row r="16" spans="1:7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1426802404</v>
      </c>
      <c r="F16" s="13">
        <v>287662967</v>
      </c>
      <c r="G16" s="89" t="s">
        <v>123</v>
      </c>
    </row>
    <row r="17" spans="1:7" ht="18" customHeight="1" x14ac:dyDescent="0.25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89">
        <v>0</v>
      </c>
    </row>
    <row r="18" spans="1:7" ht="18" customHeight="1" x14ac:dyDescent="0.25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89">
        <v>0</v>
      </c>
    </row>
    <row r="19" spans="1:7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248591373</v>
      </c>
      <c r="F19" s="13">
        <v>0</v>
      </c>
      <c r="G19" s="27">
        <v>0</v>
      </c>
    </row>
    <row r="20" spans="1:7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3">
        <v>6752645930</v>
      </c>
      <c r="F20" s="13">
        <v>4394455177</v>
      </c>
      <c r="G20" s="89" t="s">
        <v>124</v>
      </c>
    </row>
    <row r="21" spans="1:7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-17251821</v>
      </c>
      <c r="F21" s="13">
        <v>-19141426</v>
      </c>
      <c r="G21" s="27">
        <v>0</v>
      </c>
    </row>
    <row r="22" spans="1:7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27">
        <v>0</v>
      </c>
    </row>
    <row r="23" spans="1:7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-4102711643</v>
      </c>
      <c r="F23" s="13">
        <v>-4664850884</v>
      </c>
      <c r="G23" s="89" t="s">
        <v>125</v>
      </c>
    </row>
    <row r="24" spans="1:7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2550841612</v>
      </c>
      <c r="F24" s="13">
        <v>2599029108</v>
      </c>
      <c r="G24" s="89" t="s">
        <v>126</v>
      </c>
    </row>
    <row r="25" spans="1:7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-1413808349</v>
      </c>
      <c r="F25" s="13">
        <v>-1038771829</v>
      </c>
      <c r="G25" s="89" t="s">
        <v>127</v>
      </c>
    </row>
    <row r="26" spans="1:7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-10736266641</v>
      </c>
      <c r="F26" s="13">
        <v>-7458908641</v>
      </c>
      <c r="G26" s="89" t="s">
        <v>128</v>
      </c>
    </row>
    <row r="27" spans="1:7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-1856255814</v>
      </c>
      <c r="F27" s="13">
        <v>-35593220</v>
      </c>
      <c r="G27" s="89" t="s">
        <v>129</v>
      </c>
    </row>
    <row r="28" spans="1:7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-1596419589</v>
      </c>
      <c r="F28" s="13">
        <v>-637586536</v>
      </c>
      <c r="G28" s="89" t="s">
        <v>130</v>
      </c>
    </row>
    <row r="29" spans="1:7" ht="18" customHeight="1" x14ac:dyDescent="0.25">
      <c r="A29" s="16" t="s">
        <v>52</v>
      </c>
      <c r="B29" s="17" t="s">
        <v>53</v>
      </c>
      <c r="C29" s="16"/>
      <c r="D29" s="16"/>
      <c r="E29" s="18">
        <v>1657621210</v>
      </c>
      <c r="F29" s="18">
        <v>1125916729</v>
      </c>
      <c r="G29" s="91" t="s">
        <v>131</v>
      </c>
    </row>
    <row r="30" spans="1:7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-1879445709</v>
      </c>
      <c r="F30" s="13">
        <v>-1568478109</v>
      </c>
      <c r="G30" s="89" t="s">
        <v>132</v>
      </c>
    </row>
    <row r="31" spans="1:7" ht="18" customHeight="1" x14ac:dyDescent="0.25">
      <c r="A31" s="16" t="s">
        <v>56</v>
      </c>
      <c r="B31" s="17" t="s">
        <v>57</v>
      </c>
      <c r="C31" s="16"/>
      <c r="D31" s="16"/>
      <c r="E31" s="18">
        <v>-221824499</v>
      </c>
      <c r="F31" s="18">
        <v>-442561380</v>
      </c>
      <c r="G31" s="91" t="s">
        <v>133</v>
      </c>
    </row>
    <row r="32" spans="1:7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349</v>
      </c>
      <c r="F32" s="13">
        <v>2077</v>
      </c>
      <c r="G32" s="89">
        <v>0</v>
      </c>
    </row>
    <row r="33" spans="1:7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-7048054854</v>
      </c>
      <c r="F33" s="13">
        <v>-3071403855</v>
      </c>
      <c r="G33" s="89" t="s">
        <v>134</v>
      </c>
    </row>
    <row r="34" spans="1:7" ht="18" customHeight="1" x14ac:dyDescent="0.25">
      <c r="A34" s="16" t="s">
        <v>63</v>
      </c>
      <c r="B34" s="17" t="s">
        <v>64</v>
      </c>
      <c r="C34" s="16"/>
      <c r="D34" s="16"/>
      <c r="E34" s="18">
        <v>-7269879004</v>
      </c>
      <c r="F34" s="18">
        <v>-3513963158</v>
      </c>
      <c r="G34" s="91" t="s">
        <v>135</v>
      </c>
    </row>
    <row r="35" spans="1:7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367617159</v>
      </c>
      <c r="F35" s="13">
        <v>325409696</v>
      </c>
      <c r="G35" s="89" t="s">
        <v>136</v>
      </c>
    </row>
    <row r="36" spans="1:7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190981253</v>
      </c>
      <c r="F36" s="13">
        <v>0</v>
      </c>
      <c r="G36" s="89">
        <v>0</v>
      </c>
    </row>
    <row r="37" spans="1:7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27">
        <v>0</v>
      </c>
    </row>
    <row r="38" spans="1:7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-1014809544</v>
      </c>
      <c r="F38" s="13">
        <v>-786583030</v>
      </c>
      <c r="G38" s="89" t="s">
        <v>137</v>
      </c>
    </row>
    <row r="39" spans="1:7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89">
        <v>0</v>
      </c>
    </row>
    <row r="40" spans="1:7" ht="18" customHeight="1" x14ac:dyDescent="0.25">
      <c r="A40" s="16" t="s">
        <v>75</v>
      </c>
      <c r="B40" s="17" t="s">
        <v>76</v>
      </c>
      <c r="C40" s="16"/>
      <c r="D40" s="16"/>
      <c r="E40" s="18">
        <v>-456211132</v>
      </c>
      <c r="F40" s="18">
        <v>-461173334</v>
      </c>
      <c r="G40" s="91" t="s">
        <v>138</v>
      </c>
    </row>
    <row r="41" spans="1:7" ht="18" customHeight="1" x14ac:dyDescent="0.25">
      <c r="A41" s="22" t="s">
        <v>77</v>
      </c>
      <c r="B41" s="23" t="s">
        <v>78</v>
      </c>
      <c r="C41" s="22"/>
      <c r="D41" s="22"/>
      <c r="E41" s="24">
        <v>-7726090136</v>
      </c>
      <c r="F41" s="24">
        <v>-3975136492</v>
      </c>
      <c r="G41" s="92" t="s">
        <v>139</v>
      </c>
    </row>
    <row r="42" spans="1:7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89">
        <v>0</v>
      </c>
    </row>
    <row r="43" spans="1:7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89" t="s">
        <v>140</v>
      </c>
    </row>
    <row r="44" spans="1:7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  <c r="G44" s="89">
        <v>0</v>
      </c>
    </row>
    <row r="45" spans="1:7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89" t="s">
        <v>141</v>
      </c>
    </row>
    <row r="46" spans="1:7" ht="18" customHeight="1" x14ac:dyDescent="0.25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  <c r="G46" s="92" t="s">
        <v>142</v>
      </c>
    </row>
    <row r="47" spans="1:7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27">
        <v>0</v>
      </c>
    </row>
    <row r="48" spans="1:7" ht="18" customHeight="1" x14ac:dyDescent="0.25">
      <c r="A48" s="11" t="s">
        <v>92</v>
      </c>
      <c r="B48" s="12" t="s">
        <v>93</v>
      </c>
      <c r="C48" s="11" t="s">
        <v>12</v>
      </c>
      <c r="D48" s="11"/>
      <c r="E48" s="13">
        <v>0</v>
      </c>
      <c r="F48" s="13">
        <v>0</v>
      </c>
      <c r="G48" s="27">
        <v>0</v>
      </c>
    </row>
    <row r="49" spans="1:7" ht="18" customHeight="1" x14ac:dyDescent="0.25">
      <c r="A49" s="16" t="s">
        <v>94</v>
      </c>
      <c r="B49" s="17" t="s">
        <v>95</v>
      </c>
      <c r="C49" s="16"/>
      <c r="D49" s="16"/>
      <c r="E49" s="18">
        <v>-7726090136</v>
      </c>
      <c r="F49" s="18">
        <v>-3975136492</v>
      </c>
      <c r="G49" s="91" t="s">
        <v>143</v>
      </c>
    </row>
    <row r="53" spans="1:7" ht="12.75" customHeight="1" x14ac:dyDescent="0.25">
      <c r="B53" s="29"/>
      <c r="C53" s="29"/>
    </row>
    <row r="54" spans="1:7" ht="12.75" customHeight="1" x14ac:dyDescent="0.25">
      <c r="B54" s="29"/>
      <c r="C54" s="29"/>
    </row>
    <row r="55" spans="1:7" ht="12.75" customHeight="1" x14ac:dyDescent="0.25">
      <c r="B55" s="29"/>
      <c r="C55" s="29"/>
    </row>
    <row r="58" spans="1:7" ht="12.75" customHeight="1" x14ac:dyDescent="0.25">
      <c r="B58" s="29"/>
      <c r="C58" s="29"/>
    </row>
    <row r="59" spans="1:7" ht="12.75" customHeight="1" x14ac:dyDescent="0.25">
      <c r="B59" s="29"/>
      <c r="C59" s="29"/>
    </row>
    <row r="62" spans="1:7" ht="12.75" customHeight="1" x14ac:dyDescent="0.25">
      <c r="E62" s="30"/>
      <c r="F62" s="30"/>
    </row>
    <row r="63" spans="1:7" ht="12.75" customHeight="1" x14ac:dyDescent="0.25">
      <c r="E63" s="30"/>
      <c r="F63" s="30"/>
    </row>
    <row r="64" spans="1:7" ht="12.75" customHeight="1" x14ac:dyDescent="0.25">
      <c r="E64" s="30"/>
      <c r="F64" s="30"/>
    </row>
    <row r="65" spans="5:6" ht="12.75" customHeight="1" x14ac:dyDescent="0.25">
      <c r="E65" s="30"/>
      <c r="F65" s="30"/>
    </row>
    <row r="66" spans="5:6" ht="12.75" customHeight="1" x14ac:dyDescent="0.25">
      <c r="E66" s="30"/>
      <c r="F66" s="30"/>
    </row>
    <row r="67" spans="5:6" ht="12.75" customHeight="1" x14ac:dyDescent="0.25">
      <c r="E67" s="30"/>
      <c r="F67" s="30"/>
    </row>
    <row r="68" spans="5:6" ht="12.75" customHeight="1" x14ac:dyDescent="0.25">
      <c r="E68" s="30"/>
      <c r="F68" s="30"/>
    </row>
    <row r="69" spans="5:6" ht="12.75" customHeight="1" x14ac:dyDescent="0.25">
      <c r="E69" s="30"/>
      <c r="F69" s="30"/>
    </row>
    <row r="70" spans="5:6" ht="12.75" customHeight="1" x14ac:dyDescent="0.25">
      <c r="E70" s="30"/>
      <c r="F70" s="30"/>
    </row>
    <row r="71" spans="5:6" ht="12.75" customHeight="1" x14ac:dyDescent="0.25">
      <c r="E71" s="30"/>
      <c r="F71" s="30"/>
    </row>
    <row r="72" spans="5:6" ht="12.75" customHeight="1" x14ac:dyDescent="0.25">
      <c r="E72" s="30"/>
      <c r="F72" s="30"/>
    </row>
    <row r="73" spans="5:6" ht="12.75" customHeight="1" x14ac:dyDescent="0.25">
      <c r="E73" s="30"/>
      <c r="F73" s="30"/>
    </row>
    <row r="74" spans="5:6" ht="12.75" customHeight="1" x14ac:dyDescent="0.25">
      <c r="E74" s="30"/>
      <c r="F74" s="30"/>
    </row>
    <row r="75" spans="5:6" ht="12.75" customHeight="1" x14ac:dyDescent="0.25">
      <c r="E75" s="30"/>
      <c r="F75" s="30"/>
    </row>
    <row r="76" spans="5:6" ht="12.75" customHeight="1" x14ac:dyDescent="0.25">
      <c r="E76" s="30"/>
      <c r="F76" s="30"/>
    </row>
    <row r="77" spans="5:6" ht="12.75" customHeight="1" x14ac:dyDescent="0.25">
      <c r="E77" s="30"/>
      <c r="F77" s="30"/>
    </row>
    <row r="78" spans="5:6" ht="12.75" customHeight="1" x14ac:dyDescent="0.25">
      <c r="E78" s="30"/>
      <c r="F78" s="30"/>
    </row>
    <row r="79" spans="5:6" ht="12.75" customHeight="1" x14ac:dyDescent="0.25">
      <c r="E79" s="30"/>
      <c r="F79" s="30"/>
    </row>
    <row r="80" spans="5:6" ht="12.75" customHeight="1" x14ac:dyDescent="0.25">
      <c r="E80" s="30"/>
      <c r="F80" s="30"/>
    </row>
    <row r="81" spans="5:6" ht="12.75" customHeight="1" x14ac:dyDescent="0.25">
      <c r="E81" s="30"/>
      <c r="F81" s="30"/>
    </row>
    <row r="82" spans="5:6" ht="12.75" customHeight="1" x14ac:dyDescent="0.25">
      <c r="E82" s="30"/>
      <c r="F82" s="30"/>
    </row>
    <row r="83" spans="5:6" ht="12.75" customHeight="1" x14ac:dyDescent="0.25">
      <c r="E83" s="30"/>
      <c r="F83" s="30"/>
    </row>
    <row r="84" spans="5:6" ht="12.75" customHeight="1" x14ac:dyDescent="0.25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phoneticPr fontId="20" type="noConversion"/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BA6B9B98-0DC4-4865-8F76-67D5E7229F30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0A473BE3-7AA4-423E-81F9-30333957449E}"/>
    <dataValidation allowBlank="1" showInputMessage="1" showErrorMessage="1" errorTitle="Erreur de saisie" error="La cellule ne peut prendre que du numérique." promptTitle="Information" prompt="Cette cellule ne peut prendre que du numérique," sqref="E8:F49" xr:uid="{B044111B-6B5B-4F0D-899F-3A3AF1DFB2C6}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93F5A-1941-43AF-AE70-486E320468EE}">
  <sheetPr codeName="Feuil25"/>
  <dimension ref="A7:J84"/>
  <sheetViews>
    <sheetView workbookViewId="0"/>
  </sheetViews>
  <sheetFormatPr baseColWidth="10" defaultRowHeight="1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3.5703125" style="27" customWidth="1"/>
    <col min="6" max="6" width="19.5703125" style="27" bestFit="1" customWidth="1"/>
    <col min="7" max="7" width="17" style="28" customWidth="1" collapsed="1"/>
    <col min="8" max="8" width="17.85546875" style="28" bestFit="1" customWidth="1" collapsed="1"/>
    <col min="9" max="9" width="17.85546875" style="28" customWidth="1"/>
    <col min="10" max="10" width="22.7109375" style="94" bestFit="1" customWidth="1"/>
  </cols>
  <sheetData>
    <row r="7" spans="1:10" x14ac:dyDescent="0.2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  <c r="I7" s="96">
        <v>2020</v>
      </c>
    </row>
    <row r="8" spans="1:10" x14ac:dyDescent="0.25">
      <c r="A8" s="8" t="s">
        <v>7</v>
      </c>
      <c r="B8" s="9" t="s">
        <v>8</v>
      </c>
      <c r="C8" s="8" t="s">
        <v>9</v>
      </c>
      <c r="D8" s="8">
        <v>21</v>
      </c>
      <c r="E8" s="8"/>
      <c r="F8" s="8">
        <v>0</v>
      </c>
      <c r="G8" s="10"/>
      <c r="H8" s="10"/>
      <c r="I8" s="97">
        <v>0</v>
      </c>
    </row>
    <row r="9" spans="1:10" x14ac:dyDescent="0.25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>
        <v>0</v>
      </c>
      <c r="G9" s="13"/>
      <c r="H9" s="13"/>
      <c r="I9" s="97">
        <v>0</v>
      </c>
    </row>
    <row r="10" spans="1:10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>
        <v>0</v>
      </c>
      <c r="G10" s="13"/>
      <c r="H10" s="13"/>
      <c r="I10" s="97">
        <v>0</v>
      </c>
    </row>
    <row r="11" spans="1:10" x14ac:dyDescent="0.25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  <c r="I11" s="98">
        <v>0</v>
      </c>
      <c r="J11" s="94">
        <f>SUM(I8:I10)</f>
        <v>0</v>
      </c>
    </row>
    <row r="12" spans="1:10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 t="s">
        <v>145</v>
      </c>
      <c r="G12" s="13">
        <v>48587145691</v>
      </c>
      <c r="H12" s="13">
        <v>68181456700</v>
      </c>
      <c r="I12">
        <v>68279703383</v>
      </c>
    </row>
    <row r="13" spans="1:10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 t="s">
        <v>146</v>
      </c>
      <c r="G13" s="13">
        <v>983167064</v>
      </c>
      <c r="H13" s="13">
        <v>1369606092</v>
      </c>
      <c r="I13" s="101">
        <v>1378690553</v>
      </c>
    </row>
    <row r="14" spans="1:10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 t="s">
        <v>147</v>
      </c>
      <c r="G14" s="13">
        <v>10967626</v>
      </c>
      <c r="H14" s="13">
        <v>22428118</v>
      </c>
      <c r="I14" s="101">
        <v>25370769</v>
      </c>
    </row>
    <row r="15" spans="1:10" x14ac:dyDescent="0.25">
      <c r="A15" s="16" t="s">
        <v>24</v>
      </c>
      <c r="B15" s="17" t="s">
        <v>25</v>
      </c>
      <c r="C15" s="16"/>
      <c r="D15" s="16"/>
      <c r="E15" s="16"/>
      <c r="F15" s="16" t="s">
        <v>148</v>
      </c>
      <c r="G15" s="18">
        <v>49581280381</v>
      </c>
      <c r="H15" s="18">
        <v>69573490910</v>
      </c>
      <c r="I15" s="102">
        <v>69683764705</v>
      </c>
      <c r="J15" s="94">
        <f>SUM(I12:I14)</f>
        <v>69683764705</v>
      </c>
    </row>
    <row r="16" spans="1:10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 t="s">
        <v>149</v>
      </c>
      <c r="G16" s="13">
        <v>4340729600</v>
      </c>
      <c r="H16" s="13">
        <v>-46890788</v>
      </c>
      <c r="I16" s="101">
        <v>422377498</v>
      </c>
    </row>
    <row r="17" spans="1:10" x14ac:dyDescent="0.25">
      <c r="A17" s="11" t="s">
        <v>28</v>
      </c>
      <c r="B17" s="12" t="s">
        <v>29</v>
      </c>
      <c r="C17" s="11"/>
      <c r="D17" s="11">
        <v>21</v>
      </c>
      <c r="E17" s="11"/>
      <c r="F17" s="11">
        <v>0</v>
      </c>
      <c r="G17" s="13"/>
      <c r="H17" s="13"/>
      <c r="I17" s="97">
        <v>0</v>
      </c>
    </row>
    <row r="18" spans="1:10" x14ac:dyDescent="0.25">
      <c r="A18" s="11" t="s">
        <v>30</v>
      </c>
      <c r="B18" s="12" t="s">
        <v>31</v>
      </c>
      <c r="C18" s="11"/>
      <c r="D18" s="11">
        <v>21</v>
      </c>
      <c r="E18" s="11"/>
      <c r="F18" s="11">
        <v>0</v>
      </c>
      <c r="G18" s="13"/>
      <c r="H18" s="13"/>
      <c r="I18" s="97">
        <v>0</v>
      </c>
    </row>
    <row r="19" spans="1:10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89" t="s">
        <v>150</v>
      </c>
      <c r="G19" s="13">
        <v>35782237</v>
      </c>
      <c r="H19" s="13">
        <v>59900721</v>
      </c>
      <c r="I19" s="97">
        <v>68670460</v>
      </c>
    </row>
    <row r="20" spans="1:10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>
        <v>0</v>
      </c>
      <c r="G20" s="21"/>
      <c r="H20" s="21"/>
      <c r="I20" s="99">
        <v>0</v>
      </c>
    </row>
    <row r="21" spans="1:10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 t="s">
        <v>151</v>
      </c>
      <c r="G21" s="13">
        <v>-21683166404</v>
      </c>
      <c r="H21" s="13">
        <v>-18764821809</v>
      </c>
      <c r="I21" s="97">
        <v>-13967363347</v>
      </c>
    </row>
    <row r="22" spans="1:10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 t="s">
        <v>152</v>
      </c>
      <c r="G22" s="13">
        <v>-2733636833</v>
      </c>
      <c r="H22" s="13">
        <v>1480632591</v>
      </c>
      <c r="I22" s="97">
        <v>-1662533988</v>
      </c>
    </row>
    <row r="23" spans="1:10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 t="s">
        <v>153</v>
      </c>
      <c r="G23" s="13">
        <v>-17803787497</v>
      </c>
      <c r="H23" s="13">
        <v>-14964846928</v>
      </c>
      <c r="I23" s="97">
        <v>-15259141508</v>
      </c>
    </row>
    <row r="24" spans="1:10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 t="s">
        <v>154</v>
      </c>
      <c r="G24" s="13">
        <v>6690760593</v>
      </c>
      <c r="H24" s="13">
        <v>3019572696</v>
      </c>
      <c r="I24" s="97">
        <v>3258541393</v>
      </c>
    </row>
    <row r="25" spans="1:10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 t="s">
        <v>155</v>
      </c>
      <c r="G25" s="13">
        <v>-240428829</v>
      </c>
      <c r="H25" s="13">
        <v>-173097122</v>
      </c>
      <c r="I25" s="97">
        <v>-187449895</v>
      </c>
    </row>
    <row r="26" spans="1:10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 t="s">
        <v>156</v>
      </c>
      <c r="G26" s="13">
        <v>-3801006633</v>
      </c>
      <c r="H26" s="13">
        <v>-3490699178</v>
      </c>
      <c r="I26" s="97">
        <v>-3833937795</v>
      </c>
    </row>
    <row r="27" spans="1:10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 t="s">
        <v>157</v>
      </c>
      <c r="G27" s="13">
        <v>-135265500</v>
      </c>
      <c r="H27" s="13">
        <v>-211881042</v>
      </c>
      <c r="I27" s="97">
        <v>-881687748</v>
      </c>
    </row>
    <row r="28" spans="1:10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 t="s">
        <v>158</v>
      </c>
      <c r="G28" s="13">
        <v>-144717646</v>
      </c>
      <c r="H28" s="13">
        <v>-231705416</v>
      </c>
      <c r="I28" s="97">
        <v>-235615000</v>
      </c>
    </row>
    <row r="29" spans="1:10" x14ac:dyDescent="0.25">
      <c r="A29" s="16" t="s">
        <v>52</v>
      </c>
      <c r="B29" s="17" t="s">
        <v>53</v>
      </c>
      <c r="C29" s="16"/>
      <c r="D29" s="16"/>
      <c r="E29" s="16"/>
      <c r="F29" s="16" t="s">
        <v>159</v>
      </c>
      <c r="G29" s="18">
        <v>14106543469</v>
      </c>
      <c r="H29" s="18">
        <v>36249654635</v>
      </c>
      <c r="I29" s="98">
        <v>37405624775</v>
      </c>
      <c r="J29" s="94">
        <f>SUM(I15:I28)</f>
        <v>37405624775</v>
      </c>
    </row>
    <row r="30" spans="1:10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 t="s">
        <v>160</v>
      </c>
      <c r="G30" s="13">
        <v>-7202239681</v>
      </c>
      <c r="H30" s="13">
        <v>-7262670027</v>
      </c>
      <c r="I30" s="97">
        <v>-6738195125</v>
      </c>
    </row>
    <row r="31" spans="1:10" x14ac:dyDescent="0.25">
      <c r="A31" s="16" t="s">
        <v>56</v>
      </c>
      <c r="B31" s="17" t="s">
        <v>57</v>
      </c>
      <c r="C31" s="16"/>
      <c r="D31" s="16"/>
      <c r="E31" s="16"/>
      <c r="F31" s="16" t="s">
        <v>161</v>
      </c>
      <c r="G31" s="18">
        <v>6904303788</v>
      </c>
      <c r="H31" s="18">
        <v>28986984608</v>
      </c>
      <c r="I31" s="98">
        <v>30667429650</v>
      </c>
      <c r="J31" s="94">
        <f>SUM(I29:I30)</f>
        <v>30667429650</v>
      </c>
    </row>
    <row r="32" spans="1:10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>
        <v>0</v>
      </c>
      <c r="G32" s="13"/>
      <c r="H32" s="13">
        <v>205735863</v>
      </c>
      <c r="I32" s="97">
        <v>461641435</v>
      </c>
    </row>
    <row r="33" spans="1:10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93">
        <v>-7963649694</v>
      </c>
      <c r="G33" s="21">
        <v>-7518012048</v>
      </c>
      <c r="H33" s="21">
        <v>-7526360310</v>
      </c>
      <c r="I33" s="99">
        <v>-7768914890</v>
      </c>
    </row>
    <row r="34" spans="1:10" x14ac:dyDescent="0.25">
      <c r="A34" s="16" t="s">
        <v>63</v>
      </c>
      <c r="B34" s="17" t="s">
        <v>64</v>
      </c>
      <c r="C34" s="16"/>
      <c r="D34" s="16"/>
      <c r="E34" s="16"/>
      <c r="F34" s="16" t="s">
        <v>168</v>
      </c>
      <c r="G34" s="18">
        <v>-613708260</v>
      </c>
      <c r="H34" s="18">
        <v>21666360161</v>
      </c>
      <c r="I34" s="98">
        <v>23360156195</v>
      </c>
      <c r="J34" s="94">
        <f>SUM(I31:I33)</f>
        <v>23360156195</v>
      </c>
    </row>
    <row r="35" spans="1:10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 t="s">
        <v>162</v>
      </c>
      <c r="G35" s="13">
        <v>506680688</v>
      </c>
      <c r="H35" s="13">
        <v>157539010</v>
      </c>
      <c r="I35" s="97">
        <v>133753227</v>
      </c>
    </row>
    <row r="36" spans="1:10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 t="s">
        <v>163</v>
      </c>
      <c r="G36" s="13">
        <v>8120422322</v>
      </c>
      <c r="H36" s="13">
        <v>5403061010</v>
      </c>
      <c r="I36" s="97">
        <v>12851657279</v>
      </c>
    </row>
    <row r="37" spans="1:10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>
        <v>0</v>
      </c>
      <c r="G37" s="13"/>
      <c r="H37" s="13"/>
      <c r="I37" s="97">
        <v>0</v>
      </c>
    </row>
    <row r="38" spans="1:10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 t="s">
        <v>164</v>
      </c>
      <c r="G38" s="13">
        <v>-9196818729</v>
      </c>
      <c r="H38" s="13">
        <v>-2424173740</v>
      </c>
      <c r="I38" s="97">
        <v>-3688397459</v>
      </c>
    </row>
    <row r="39" spans="1:10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 t="s">
        <v>165</v>
      </c>
      <c r="G39" s="13">
        <v>-5455153284</v>
      </c>
      <c r="H39" s="13">
        <v>-8132838440</v>
      </c>
      <c r="I39" s="97">
        <v>-5423582337</v>
      </c>
    </row>
    <row r="40" spans="1:10" x14ac:dyDescent="0.25">
      <c r="A40" s="16" t="s">
        <v>75</v>
      </c>
      <c r="B40" s="17" t="s">
        <v>76</v>
      </c>
      <c r="C40" s="16"/>
      <c r="D40" s="16"/>
      <c r="E40" s="16"/>
      <c r="F40" s="16" t="s">
        <v>166</v>
      </c>
      <c r="G40" s="18">
        <v>-6024869003</v>
      </c>
      <c r="H40" s="18">
        <v>-4996412160</v>
      </c>
      <c r="I40" s="98">
        <v>3873430710</v>
      </c>
      <c r="J40" s="94">
        <f>SUM(I35:I39)</f>
        <v>3873430710</v>
      </c>
    </row>
    <row r="41" spans="1:10" x14ac:dyDescent="0.25">
      <c r="A41" s="22" t="s">
        <v>77</v>
      </c>
      <c r="B41" s="23" t="s">
        <v>78</v>
      </c>
      <c r="C41" s="22"/>
      <c r="D41" s="22"/>
      <c r="E41" s="22"/>
      <c r="F41" s="22" t="s">
        <v>167</v>
      </c>
      <c r="G41" s="24">
        <v>-6638577263</v>
      </c>
      <c r="H41" s="24">
        <v>16669948001</v>
      </c>
      <c r="I41" s="100">
        <v>27233586905</v>
      </c>
      <c r="J41" s="94">
        <f>SUM(J34+J40)</f>
        <v>27233586905</v>
      </c>
    </row>
    <row r="42" spans="1:10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29928392</v>
      </c>
      <c r="H42" s="13">
        <v>26360999</v>
      </c>
      <c r="I42" s="97">
        <v>10139396</v>
      </c>
    </row>
    <row r="43" spans="1:10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  <c r="I43" s="97">
        <v>0</v>
      </c>
    </row>
    <row r="44" spans="1:10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>
        <v>-1521365</v>
      </c>
      <c r="I44" s="97">
        <v>-251793264</v>
      </c>
    </row>
    <row r="45" spans="1:10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/>
      <c r="H45" s="13"/>
      <c r="I45" s="97">
        <v>0</v>
      </c>
    </row>
    <row r="46" spans="1:10" x14ac:dyDescent="0.25">
      <c r="A46" s="22" t="s">
        <v>88</v>
      </c>
      <c r="B46" s="23" t="s">
        <v>89</v>
      </c>
      <c r="C46" s="22"/>
      <c r="D46" s="22"/>
      <c r="E46" s="22"/>
      <c r="F46" s="22"/>
      <c r="G46" s="24">
        <v>29928392</v>
      </c>
      <c r="H46" s="24">
        <v>24839634</v>
      </c>
      <c r="I46" s="100">
        <v>-241653868</v>
      </c>
    </row>
    <row r="47" spans="1:10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/>
      <c r="H47" s="13"/>
      <c r="I47" s="97">
        <v>0</v>
      </c>
    </row>
    <row r="48" spans="1:10" x14ac:dyDescent="0.25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/>
      <c r="H48" s="13"/>
      <c r="I48" s="97">
        <v>0</v>
      </c>
    </row>
    <row r="49" spans="1:10" x14ac:dyDescent="0.25">
      <c r="A49" s="16" t="s">
        <v>94</v>
      </c>
      <c r="B49" s="17" t="s">
        <v>95</v>
      </c>
      <c r="C49" s="16"/>
      <c r="D49" s="16"/>
      <c r="E49" s="16"/>
      <c r="F49" s="16" t="s">
        <v>167</v>
      </c>
      <c r="G49" s="18">
        <v>-6608648871</v>
      </c>
      <c r="H49" s="18">
        <v>16694787635</v>
      </c>
      <c r="I49" s="98">
        <v>26991933037</v>
      </c>
      <c r="J49" s="94">
        <f>I46+I41</f>
        <v>26991933037</v>
      </c>
    </row>
    <row r="53" spans="1:10" x14ac:dyDescent="0.25">
      <c r="B53" s="29"/>
      <c r="C53" s="29"/>
    </row>
    <row r="54" spans="1:10" x14ac:dyDescent="0.25">
      <c r="B54" s="29"/>
      <c r="C54" s="29"/>
    </row>
    <row r="55" spans="1:10" x14ac:dyDescent="0.25">
      <c r="B55" s="29"/>
      <c r="C55" s="29"/>
    </row>
    <row r="58" spans="1:10" x14ac:dyDescent="0.25">
      <c r="B58" s="29"/>
      <c r="C58" s="29"/>
    </row>
    <row r="59" spans="1:10" x14ac:dyDescent="0.25">
      <c r="B59" s="29"/>
      <c r="C59" s="29"/>
    </row>
    <row r="62" spans="1:10" x14ac:dyDescent="0.25">
      <c r="G62" s="30"/>
      <c r="H62" s="30"/>
      <c r="I62" s="30"/>
    </row>
    <row r="63" spans="1:10" x14ac:dyDescent="0.25">
      <c r="G63" s="30"/>
      <c r="H63" s="30"/>
      <c r="I63" s="30"/>
    </row>
    <row r="64" spans="1:10" x14ac:dyDescent="0.25">
      <c r="G64" s="30"/>
      <c r="H64" s="30"/>
      <c r="I64" s="30"/>
    </row>
    <row r="65" spans="7:9" x14ac:dyDescent="0.25">
      <c r="G65" s="30"/>
      <c r="H65" s="30"/>
      <c r="I65" s="30"/>
    </row>
    <row r="66" spans="7:9" x14ac:dyDescent="0.25">
      <c r="G66" s="30"/>
      <c r="H66" s="30"/>
      <c r="I66" s="30"/>
    </row>
    <row r="67" spans="7:9" x14ac:dyDescent="0.25">
      <c r="G67" s="30"/>
      <c r="H67" s="30"/>
      <c r="I67" s="30"/>
    </row>
    <row r="68" spans="7:9" x14ac:dyDescent="0.25">
      <c r="G68" s="30"/>
      <c r="H68" s="30"/>
      <c r="I68" s="30"/>
    </row>
    <row r="69" spans="7:9" x14ac:dyDescent="0.25">
      <c r="G69" s="30"/>
      <c r="H69" s="30"/>
      <c r="I69" s="30"/>
    </row>
    <row r="70" spans="7:9" x14ac:dyDescent="0.25">
      <c r="G70" s="30"/>
      <c r="H70" s="30"/>
      <c r="I70" s="30"/>
    </row>
    <row r="71" spans="7:9" x14ac:dyDescent="0.25">
      <c r="G71" s="30"/>
      <c r="H71" s="30"/>
      <c r="I71" s="30"/>
    </row>
    <row r="72" spans="7:9" x14ac:dyDescent="0.25">
      <c r="G72" s="30"/>
      <c r="H72" s="30"/>
      <c r="I72" s="30"/>
    </row>
    <row r="73" spans="7:9" x14ac:dyDescent="0.25">
      <c r="G73" s="30"/>
      <c r="H73" s="30"/>
      <c r="I73" s="30"/>
    </row>
    <row r="74" spans="7:9" x14ac:dyDescent="0.25">
      <c r="G74" s="30"/>
      <c r="H74" s="30"/>
      <c r="I74" s="30"/>
    </row>
    <row r="75" spans="7:9" x14ac:dyDescent="0.25">
      <c r="G75" s="30"/>
      <c r="H75" s="30"/>
      <c r="I75" s="30"/>
    </row>
    <row r="76" spans="7:9" x14ac:dyDescent="0.25">
      <c r="G76" s="30"/>
      <c r="H76" s="30"/>
      <c r="I76" s="30"/>
    </row>
    <row r="77" spans="7:9" x14ac:dyDescent="0.25">
      <c r="G77" s="30"/>
      <c r="H77" s="30"/>
      <c r="I77" s="30"/>
    </row>
    <row r="78" spans="7:9" x14ac:dyDescent="0.25">
      <c r="G78" s="30"/>
      <c r="H78" s="30"/>
      <c r="I78" s="30"/>
    </row>
    <row r="79" spans="7:9" x14ac:dyDescent="0.25">
      <c r="G79" s="30"/>
      <c r="H79" s="30"/>
      <c r="I79" s="30"/>
    </row>
    <row r="80" spans="7:9" x14ac:dyDescent="0.25">
      <c r="G80" s="30"/>
      <c r="H80" s="30"/>
      <c r="I80" s="30"/>
    </row>
    <row r="81" spans="7:9" x14ac:dyDescent="0.25">
      <c r="G81" s="30"/>
      <c r="H81" s="30"/>
      <c r="I81" s="30"/>
    </row>
    <row r="82" spans="7:9" x14ac:dyDescent="0.25">
      <c r="G82" s="30"/>
      <c r="H82" s="30"/>
      <c r="I82" s="30"/>
    </row>
    <row r="83" spans="7:9" x14ac:dyDescent="0.25">
      <c r="G83" s="30"/>
      <c r="H83" s="30"/>
      <c r="I83" s="30"/>
    </row>
    <row r="84" spans="7:9" x14ac:dyDescent="0.25">
      <c r="G84" s="30"/>
      <c r="H84" s="30"/>
      <c r="I84" s="30"/>
    </row>
  </sheetData>
  <dataValidations xWindow="316" yWindow="358" count="1">
    <dataValidation allowBlank="1" showInputMessage="1" showErrorMessage="1" errorTitle="Erreur de saisie" error="La cellule ne peut prendre que du numérique." promptTitle="Information" prompt="Cette cellule ne peut prendre que du numérique," sqref="G8:H49 I8:I11 I13:I49" xr:uid="{EF54C8B3-542B-46FB-A656-7DB2E1BECB17}"/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8454-4F49-441B-AE95-E4FDEE442E64}">
  <sheetPr codeName="Feuil30"/>
  <dimension ref="A1:H84"/>
  <sheetViews>
    <sheetView workbookViewId="0">
      <selection sqref="A1:H1"/>
    </sheetView>
  </sheetViews>
  <sheetFormatPr baseColWidth="10" defaultColWidth="10.28515625" defaultRowHeight="12.75" x14ac:dyDescent="0.2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  <col min="9" max="16384" width="10.28515625" style="27" collapsed="1"/>
  </cols>
  <sheetData>
    <row r="1" spans="1:8" s="1" customFormat="1" ht="24.4" customHeight="1" x14ac:dyDescent="0.2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s="1" customFormat="1" ht="8.1" customHeight="1" x14ac:dyDescent="0.2">
      <c r="C2" s="2"/>
    </row>
    <row r="3" spans="1:8" s="1" customFormat="1" ht="25.5" customHeight="1" x14ac:dyDescent="0.2">
      <c r="A3" s="134" t="s">
        <v>121</v>
      </c>
      <c r="B3" s="134"/>
      <c r="C3" s="134"/>
      <c r="D3" s="1" t="s">
        <v>1</v>
      </c>
      <c r="G3" s="135">
        <f>+'[7]Fiche de renseignement R1'!$V$10</f>
        <v>44926</v>
      </c>
      <c r="H3" s="136"/>
    </row>
    <row r="4" spans="1:8" s="1" customFormat="1" ht="15" customHeight="1" x14ac:dyDescent="0.2">
      <c r="A4" s="136"/>
      <c r="B4" s="136"/>
      <c r="C4" s="136"/>
      <c r="D4" s="137" t="s">
        <v>2</v>
      </c>
      <c r="E4" s="25"/>
      <c r="F4" s="25"/>
      <c r="G4" s="138">
        <f>+'[7]Fiche de renseignement R1'!$AH$10</f>
        <v>12</v>
      </c>
      <c r="H4" s="138"/>
    </row>
    <row r="5" spans="1:8" s="1" customFormat="1" ht="31.15" customHeight="1" x14ac:dyDescent="0.2">
      <c r="A5" s="4" t="s">
        <v>3</v>
      </c>
      <c r="B5" s="139" t="str">
        <f>+'[7]Fiche de renseignement R1'!$J$10</f>
        <v>004151750</v>
      </c>
      <c r="C5" s="139"/>
      <c r="D5" s="137"/>
      <c r="E5" s="25"/>
      <c r="F5" s="25"/>
      <c r="G5" s="136"/>
      <c r="H5" s="136"/>
    </row>
    <row r="6" spans="1:8" s="1" customFormat="1" ht="8.1" customHeight="1" x14ac:dyDescent="0.2">
      <c r="C6" s="2"/>
    </row>
    <row r="7" spans="1:8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>
        <v>0</v>
      </c>
      <c r="H8" s="10">
        <v>0</v>
      </c>
    </row>
    <row r="9" spans="1:8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>
        <v>0</v>
      </c>
      <c r="H9" s="13">
        <v>0</v>
      </c>
    </row>
    <row r="10" spans="1:8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>
        <v>0</v>
      </c>
      <c r="H10" s="13">
        <v>0</v>
      </c>
    </row>
    <row r="11" spans="1:8" ht="18" customHeight="1" x14ac:dyDescent="0.25">
      <c r="A11" s="16" t="s">
        <v>16</v>
      </c>
      <c r="B11" s="17" t="s">
        <v>17</v>
      </c>
      <c r="C11" s="16"/>
      <c r="D11" s="16"/>
      <c r="E11" s="16"/>
      <c r="F11" s="16"/>
      <c r="G11" s="18">
        <v>0</v>
      </c>
      <c r="H11" s="18">
        <v>0</v>
      </c>
    </row>
    <row r="12" spans="1:8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0</v>
      </c>
      <c r="H12" s="13">
        <v>0</v>
      </c>
    </row>
    <row r="13" spans="1:8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>
        <v>0</v>
      </c>
      <c r="H13" s="13">
        <v>0</v>
      </c>
    </row>
    <row r="14" spans="1:8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0</v>
      </c>
      <c r="H14" s="13">
        <v>0</v>
      </c>
    </row>
    <row r="15" spans="1:8" ht="18" customHeight="1" x14ac:dyDescent="0.25">
      <c r="A15" s="16" t="s">
        <v>24</v>
      </c>
      <c r="B15" s="17" t="s">
        <v>25</v>
      </c>
      <c r="C15" s="16"/>
      <c r="D15" s="16"/>
      <c r="E15" s="16"/>
      <c r="F15" s="16"/>
      <c r="G15" s="18">
        <v>0</v>
      </c>
      <c r="H15" s="18">
        <v>0</v>
      </c>
    </row>
    <row r="16" spans="1:8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0</v>
      </c>
      <c r="H16" s="13">
        <v>0</v>
      </c>
    </row>
    <row r="17" spans="1:8" ht="18" customHeight="1" x14ac:dyDescent="0.25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0</v>
      </c>
      <c r="H17" s="13">
        <v>0</v>
      </c>
    </row>
    <row r="18" spans="1:8" ht="18" customHeight="1" x14ac:dyDescent="0.25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</row>
    <row r="19" spans="1:8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44028458545</v>
      </c>
      <c r="H19" s="13">
        <v>1481140435</v>
      </c>
    </row>
    <row r="20" spans="1:8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2061426599</v>
      </c>
      <c r="H20" s="21">
        <v>1817403075</v>
      </c>
    </row>
    <row r="21" spans="1:8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0</v>
      </c>
      <c r="H21" s="13">
        <v>0</v>
      </c>
    </row>
    <row r="22" spans="1:8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0</v>
      </c>
      <c r="H22" s="13">
        <v>0</v>
      </c>
    </row>
    <row r="23" spans="1:8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165566822</v>
      </c>
      <c r="H23" s="13">
        <v>238822752</v>
      </c>
    </row>
    <row r="24" spans="1:8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0</v>
      </c>
      <c r="H24" s="13">
        <v>0</v>
      </c>
    </row>
    <row r="25" spans="1:8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61471674</v>
      </c>
      <c r="H25" s="13">
        <v>50566947</v>
      </c>
    </row>
    <row r="26" spans="1:8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400445924</v>
      </c>
      <c r="H26" s="13">
        <v>321697063</v>
      </c>
    </row>
    <row r="27" spans="1:8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3419691</v>
      </c>
      <c r="H27" s="13">
        <v>4322386</v>
      </c>
    </row>
    <row r="28" spans="1:8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44103492263</v>
      </c>
      <c r="H28" s="13">
        <v>1204382196</v>
      </c>
    </row>
    <row r="29" spans="1:8" ht="18" customHeight="1" x14ac:dyDescent="0.25">
      <c r="A29" s="16" t="s">
        <v>52</v>
      </c>
      <c r="B29" s="17" t="s">
        <v>53</v>
      </c>
      <c r="C29" s="16"/>
      <c r="D29" s="16"/>
      <c r="E29" s="16"/>
      <c r="F29" s="16"/>
      <c r="G29" s="18">
        <v>1355488770</v>
      </c>
      <c r="H29" s="18">
        <v>1478752166</v>
      </c>
    </row>
    <row r="30" spans="1:8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1343359100</v>
      </c>
      <c r="H30" s="13">
        <v>1244035072</v>
      </c>
    </row>
    <row r="31" spans="1:8" ht="18" customHeight="1" x14ac:dyDescent="0.25">
      <c r="A31" s="16" t="s">
        <v>56</v>
      </c>
      <c r="B31" s="17" t="s">
        <v>57</v>
      </c>
      <c r="C31" s="16"/>
      <c r="D31" s="16"/>
      <c r="E31" s="16"/>
      <c r="F31" s="16"/>
      <c r="G31" s="18">
        <v>12129670</v>
      </c>
      <c r="H31" s="18">
        <v>234717094</v>
      </c>
    </row>
    <row r="32" spans="1:8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60033092</v>
      </c>
      <c r="H32" s="13">
        <v>0</v>
      </c>
    </row>
    <row r="33" spans="1:8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73502626</v>
      </c>
      <c r="H33" s="21">
        <v>234980579</v>
      </c>
    </row>
    <row r="34" spans="1:8" ht="18" customHeight="1" x14ac:dyDescent="0.25">
      <c r="A34" s="16" t="s">
        <v>63</v>
      </c>
      <c r="B34" s="17" t="s">
        <v>64</v>
      </c>
      <c r="C34" s="16"/>
      <c r="D34" s="16"/>
      <c r="E34" s="16"/>
      <c r="F34" s="16"/>
      <c r="G34" s="18">
        <v>-1339864</v>
      </c>
      <c r="H34" s="18">
        <v>-263485</v>
      </c>
    </row>
    <row r="35" spans="1:8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1607257</v>
      </c>
      <c r="H35" s="13">
        <v>522169</v>
      </c>
    </row>
    <row r="36" spans="1:8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</row>
    <row r="37" spans="1:8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</row>
    <row r="38" spans="1:8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267393</v>
      </c>
      <c r="H38" s="13">
        <v>258684</v>
      </c>
    </row>
    <row r="39" spans="1:8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0</v>
      </c>
      <c r="H39" s="13">
        <v>0</v>
      </c>
    </row>
    <row r="40" spans="1:8" ht="18" customHeight="1" x14ac:dyDescent="0.25">
      <c r="A40" s="16" t="s">
        <v>75</v>
      </c>
      <c r="B40" s="17" t="s">
        <v>76</v>
      </c>
      <c r="C40" s="16"/>
      <c r="D40" s="16"/>
      <c r="E40" s="16"/>
      <c r="F40" s="16"/>
      <c r="G40" s="18">
        <v>1339864</v>
      </c>
      <c r="H40" s="18">
        <v>263485</v>
      </c>
    </row>
    <row r="41" spans="1:8" ht="18" customHeight="1" x14ac:dyDescent="0.25">
      <c r="A41" s="22" t="s">
        <v>77</v>
      </c>
      <c r="B41" s="23" t="s">
        <v>78</v>
      </c>
      <c r="C41" s="22"/>
      <c r="D41" s="22"/>
      <c r="E41" s="22"/>
      <c r="F41" s="22"/>
      <c r="G41" s="24">
        <v>0</v>
      </c>
      <c r="H41" s="24">
        <v>0</v>
      </c>
    </row>
    <row r="42" spans="1:8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0</v>
      </c>
      <c r="H42" s="13">
        <v>0</v>
      </c>
    </row>
    <row r="43" spans="1:8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>
        <v>0</v>
      </c>
      <c r="H43" s="13">
        <v>0</v>
      </c>
    </row>
    <row r="44" spans="1:8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>
        <v>0</v>
      </c>
      <c r="H44" s="13">
        <v>0</v>
      </c>
    </row>
    <row r="45" spans="1:8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>
        <v>0</v>
      </c>
      <c r="H45" s="13">
        <v>0</v>
      </c>
    </row>
    <row r="46" spans="1:8" ht="18" customHeight="1" x14ac:dyDescent="0.25">
      <c r="A46" s="22" t="s">
        <v>88</v>
      </c>
      <c r="B46" s="23" t="s">
        <v>89</v>
      </c>
      <c r="C46" s="22"/>
      <c r="D46" s="22"/>
      <c r="E46" s="22"/>
      <c r="F46" s="22"/>
      <c r="G46" s="24">
        <v>0</v>
      </c>
      <c r="H46" s="24">
        <v>0</v>
      </c>
    </row>
    <row r="47" spans="1:8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>
        <v>0</v>
      </c>
      <c r="H47" s="13">
        <v>0</v>
      </c>
    </row>
    <row r="48" spans="1:8" ht="18" customHeight="1" x14ac:dyDescent="0.25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0</v>
      </c>
      <c r="H48" s="13">
        <v>0</v>
      </c>
    </row>
    <row r="49" spans="1:8" ht="18" customHeight="1" x14ac:dyDescent="0.25">
      <c r="A49" s="16" t="s">
        <v>94</v>
      </c>
      <c r="B49" s="17" t="s">
        <v>95</v>
      </c>
      <c r="C49" s="16"/>
      <c r="D49" s="16"/>
      <c r="E49" s="16"/>
      <c r="F49" s="16"/>
      <c r="G49" s="18">
        <v>0</v>
      </c>
      <c r="H49" s="18">
        <v>0</v>
      </c>
    </row>
    <row r="53" spans="1:8" ht="12.75" customHeight="1" x14ac:dyDescent="0.25">
      <c r="B53" s="29"/>
      <c r="C53" s="29"/>
    </row>
    <row r="54" spans="1:8" ht="12.75" customHeight="1" x14ac:dyDescent="0.25">
      <c r="B54" s="29"/>
      <c r="C54" s="29"/>
    </row>
    <row r="55" spans="1:8" ht="12.75" customHeight="1" x14ac:dyDescent="0.25">
      <c r="B55" s="29"/>
      <c r="C55" s="29"/>
    </row>
    <row r="58" spans="1:8" ht="12.75" customHeight="1" x14ac:dyDescent="0.25">
      <c r="B58" s="29"/>
      <c r="C58" s="29"/>
    </row>
    <row r="59" spans="1:8" ht="12.75" customHeight="1" x14ac:dyDescent="0.25">
      <c r="B59" s="29"/>
      <c r="C59" s="29"/>
    </row>
    <row r="62" spans="1:8" ht="12.75" customHeight="1" x14ac:dyDescent="0.25">
      <c r="G62" s="30"/>
      <c r="H62" s="30"/>
    </row>
    <row r="63" spans="1:8" ht="12.75" customHeight="1" x14ac:dyDescent="0.25">
      <c r="G63" s="30"/>
      <c r="H63" s="30"/>
    </row>
    <row r="64" spans="1:8" ht="12.75" customHeight="1" x14ac:dyDescent="0.25">
      <c r="G64" s="30"/>
      <c r="H64" s="30"/>
    </row>
    <row r="65" spans="7:8" ht="12.75" customHeight="1" x14ac:dyDescent="0.25">
      <c r="G65" s="30"/>
      <c r="H65" s="30"/>
    </row>
    <row r="66" spans="7:8" ht="12.75" customHeight="1" x14ac:dyDescent="0.25">
      <c r="G66" s="30"/>
      <c r="H66" s="30"/>
    </row>
    <row r="67" spans="7:8" ht="12.75" customHeight="1" x14ac:dyDescent="0.25">
      <c r="G67" s="30"/>
      <c r="H67" s="30"/>
    </row>
    <row r="68" spans="7:8" ht="12.75" customHeight="1" x14ac:dyDescent="0.25">
      <c r="G68" s="30"/>
      <c r="H68" s="30"/>
    </row>
    <row r="69" spans="7:8" ht="12.75" customHeight="1" x14ac:dyDescent="0.25">
      <c r="G69" s="30"/>
      <c r="H69" s="30"/>
    </row>
    <row r="70" spans="7:8" ht="12.75" customHeight="1" x14ac:dyDescent="0.25">
      <c r="G70" s="30"/>
      <c r="H70" s="30"/>
    </row>
    <row r="71" spans="7:8" ht="12.75" customHeight="1" x14ac:dyDescent="0.25">
      <c r="G71" s="30"/>
      <c r="H71" s="30"/>
    </row>
    <row r="72" spans="7:8" ht="12.75" customHeight="1" x14ac:dyDescent="0.25">
      <c r="G72" s="30"/>
      <c r="H72" s="30"/>
    </row>
    <row r="73" spans="7:8" ht="12.75" customHeight="1" x14ac:dyDescent="0.25">
      <c r="G73" s="30"/>
      <c r="H73" s="30"/>
    </row>
    <row r="74" spans="7:8" ht="12.75" customHeight="1" x14ac:dyDescent="0.25">
      <c r="G74" s="30"/>
      <c r="H74" s="30"/>
    </row>
    <row r="75" spans="7:8" ht="12.75" customHeight="1" x14ac:dyDescent="0.25">
      <c r="G75" s="30"/>
      <c r="H75" s="30"/>
    </row>
    <row r="76" spans="7:8" ht="12.75" customHeight="1" x14ac:dyDescent="0.25">
      <c r="G76" s="30"/>
      <c r="H76" s="30"/>
    </row>
    <row r="77" spans="7:8" ht="12.75" customHeight="1" x14ac:dyDescent="0.25">
      <c r="G77" s="30"/>
      <c r="H77" s="30"/>
    </row>
    <row r="78" spans="7:8" ht="12.75" customHeight="1" x14ac:dyDescent="0.25">
      <c r="G78" s="30"/>
      <c r="H78" s="30"/>
    </row>
    <row r="79" spans="7:8" ht="12.75" customHeight="1" x14ac:dyDescent="0.25">
      <c r="G79" s="30"/>
      <c r="H79" s="30"/>
    </row>
    <row r="80" spans="7:8" ht="12.75" customHeight="1" x14ac:dyDescent="0.25">
      <c r="G80" s="30"/>
      <c r="H80" s="30"/>
    </row>
    <row r="81" spans="7:8" ht="12.75" customHeight="1" x14ac:dyDescent="0.25">
      <c r="G81" s="30"/>
      <c r="H81" s="30"/>
    </row>
    <row r="82" spans="7:8" ht="12.75" customHeight="1" x14ac:dyDescent="0.25">
      <c r="G82" s="30"/>
      <c r="H82" s="30"/>
    </row>
    <row r="83" spans="7:8" ht="12.75" customHeight="1" x14ac:dyDescent="0.25">
      <c r="G83" s="30"/>
      <c r="H83" s="30"/>
    </row>
    <row r="84" spans="7:8" ht="12.75" customHeight="1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1F7AAD4-0750-4D15-9D2F-7C4854B235F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84C3F4E6-A354-4EA2-9063-5DFA01A3CED7}"/>
    <dataValidation allowBlank="1" showInputMessage="1" showErrorMessage="1" errorTitle="Erreur de saisie" error="La cellule ne peut prendre que du numérique." promptTitle="Information" prompt="Cette cellule ne peut prendre que du numérique," sqref="G8:H49" xr:uid="{1ECE9232-6A78-4B2E-8E4A-A9CF0F7F3310}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D9EB-F64C-46AB-A6E2-1073F0DFE314}">
  <sheetPr codeName="Feuil31"/>
  <dimension ref="A7:H49"/>
  <sheetViews>
    <sheetView workbookViewId="0"/>
  </sheetViews>
  <sheetFormatPr baseColWidth="10" defaultRowHeight="15" x14ac:dyDescent="0.25"/>
  <sheetData>
    <row r="7" spans="1:8" x14ac:dyDescent="0.25">
      <c r="A7" s="70" t="s">
        <v>4</v>
      </c>
      <c r="B7" s="71" t="s">
        <v>5</v>
      </c>
      <c r="C7" s="70"/>
      <c r="D7" s="70" t="s">
        <v>6</v>
      </c>
      <c r="E7" s="70" t="s">
        <v>107</v>
      </c>
      <c r="F7" s="70" t="s">
        <v>108</v>
      </c>
      <c r="G7" s="70" t="s">
        <v>109</v>
      </c>
      <c r="H7" s="70" t="s">
        <v>110</v>
      </c>
    </row>
    <row r="8" spans="1:8" x14ac:dyDescent="0.25">
      <c r="A8" s="72" t="s">
        <v>7</v>
      </c>
      <c r="B8" s="73" t="s">
        <v>8</v>
      </c>
      <c r="C8" s="72" t="s">
        <v>9</v>
      </c>
      <c r="D8" s="72">
        <v>21</v>
      </c>
      <c r="E8" s="72"/>
      <c r="F8" s="72"/>
      <c r="G8" s="10">
        <v>0</v>
      </c>
      <c r="H8" s="10">
        <v>0</v>
      </c>
    </row>
    <row r="9" spans="1:8" x14ac:dyDescent="0.25">
      <c r="A9" s="74" t="s">
        <v>10</v>
      </c>
      <c r="B9" s="75" t="s">
        <v>11</v>
      </c>
      <c r="C9" s="74" t="s">
        <v>12</v>
      </c>
      <c r="D9" s="74">
        <v>22</v>
      </c>
      <c r="E9" s="74"/>
      <c r="F9" s="74"/>
      <c r="G9" s="13">
        <v>0</v>
      </c>
      <c r="H9" s="13">
        <v>0</v>
      </c>
    </row>
    <row r="10" spans="1:8" x14ac:dyDescent="0.25">
      <c r="A10" s="74" t="s">
        <v>13</v>
      </c>
      <c r="B10" s="76" t="s">
        <v>98</v>
      </c>
      <c r="C10" s="77" t="s">
        <v>15</v>
      </c>
      <c r="D10" s="77">
        <v>6</v>
      </c>
      <c r="E10" s="77"/>
      <c r="F10" s="77"/>
      <c r="G10" s="13">
        <v>0</v>
      </c>
      <c r="H10" s="13">
        <v>0</v>
      </c>
    </row>
    <row r="11" spans="1:8" x14ac:dyDescent="0.25">
      <c r="A11" s="78" t="s">
        <v>16</v>
      </c>
      <c r="B11" s="79" t="s">
        <v>17</v>
      </c>
      <c r="C11" s="78"/>
      <c r="D11" s="78"/>
      <c r="E11" s="78"/>
      <c r="F11" s="78"/>
      <c r="G11" s="18">
        <v>0</v>
      </c>
      <c r="H11" s="18">
        <v>0</v>
      </c>
    </row>
    <row r="12" spans="1:8" x14ac:dyDescent="0.25">
      <c r="A12" s="74" t="s">
        <v>18</v>
      </c>
      <c r="B12" s="75" t="s">
        <v>19</v>
      </c>
      <c r="C12" s="74" t="s">
        <v>9</v>
      </c>
      <c r="D12" s="74">
        <v>21</v>
      </c>
      <c r="E12" s="74"/>
      <c r="F12" s="74"/>
      <c r="G12" s="13">
        <v>16418122419</v>
      </c>
      <c r="H12" s="13">
        <v>13438954975</v>
      </c>
    </row>
    <row r="13" spans="1:8" x14ac:dyDescent="0.25">
      <c r="A13" s="74" t="s">
        <v>20</v>
      </c>
      <c r="B13" s="75" t="s">
        <v>21</v>
      </c>
      <c r="C13" s="74" t="s">
        <v>9</v>
      </c>
      <c r="D13" s="74">
        <v>21</v>
      </c>
      <c r="E13" s="74"/>
      <c r="F13" s="74"/>
      <c r="G13" s="13">
        <v>8550951451</v>
      </c>
      <c r="H13" s="13">
        <v>9627770206</v>
      </c>
    </row>
    <row r="14" spans="1:8" x14ac:dyDescent="0.25">
      <c r="A14" s="74" t="s">
        <v>22</v>
      </c>
      <c r="B14" s="75" t="s">
        <v>23</v>
      </c>
      <c r="C14" s="74" t="s">
        <v>9</v>
      </c>
      <c r="D14" s="74">
        <v>21</v>
      </c>
      <c r="E14" s="74"/>
      <c r="F14" s="74"/>
      <c r="G14" s="13">
        <v>0</v>
      </c>
      <c r="H14" s="13">
        <v>0</v>
      </c>
    </row>
    <row r="15" spans="1:8" x14ac:dyDescent="0.25">
      <c r="A15" s="78" t="s">
        <v>24</v>
      </c>
      <c r="B15" s="79" t="s">
        <v>25</v>
      </c>
      <c r="C15" s="78"/>
      <c r="D15" s="78"/>
      <c r="E15" s="78"/>
      <c r="F15" s="78"/>
      <c r="G15" s="18">
        <v>24969073870</v>
      </c>
      <c r="H15" s="18">
        <v>23066725181</v>
      </c>
    </row>
    <row r="16" spans="1:8" x14ac:dyDescent="0.25">
      <c r="A16" s="74" t="s">
        <v>26</v>
      </c>
      <c r="B16" s="75" t="s">
        <v>27</v>
      </c>
      <c r="C16" s="77" t="s">
        <v>15</v>
      </c>
      <c r="D16" s="74">
        <v>6</v>
      </c>
      <c r="E16" s="74"/>
      <c r="F16" s="74"/>
      <c r="G16" s="13">
        <v>27460400</v>
      </c>
      <c r="H16" s="13">
        <v>1228892600</v>
      </c>
    </row>
    <row r="17" spans="1:8" x14ac:dyDescent="0.25">
      <c r="A17" s="74" t="s">
        <v>28</v>
      </c>
      <c r="B17" s="75" t="s">
        <v>29</v>
      </c>
      <c r="C17" s="74"/>
      <c r="D17" s="74">
        <v>21</v>
      </c>
      <c r="E17" s="74"/>
      <c r="F17" s="74"/>
      <c r="G17" s="13">
        <v>11961797</v>
      </c>
      <c r="H17" s="13">
        <v>6296167</v>
      </c>
    </row>
    <row r="18" spans="1:8" x14ac:dyDescent="0.25">
      <c r="A18" s="74" t="s">
        <v>30</v>
      </c>
      <c r="B18" s="75" t="s">
        <v>31</v>
      </c>
      <c r="C18" s="74"/>
      <c r="D18" s="74">
        <v>21</v>
      </c>
      <c r="E18" s="74"/>
      <c r="F18" s="74"/>
      <c r="G18" s="13">
        <v>0</v>
      </c>
      <c r="H18" s="13">
        <v>0</v>
      </c>
    </row>
    <row r="19" spans="1:8" x14ac:dyDescent="0.25">
      <c r="A19" s="74" t="s">
        <v>32</v>
      </c>
      <c r="B19" s="75" t="s">
        <v>33</v>
      </c>
      <c r="C19" s="74" t="s">
        <v>9</v>
      </c>
      <c r="D19" s="74">
        <v>21</v>
      </c>
      <c r="E19" s="74"/>
      <c r="F19" s="74"/>
      <c r="G19" s="13">
        <v>70996151</v>
      </c>
      <c r="H19" s="13">
        <v>192236063</v>
      </c>
    </row>
    <row r="20" spans="1:8" x14ac:dyDescent="0.25">
      <c r="A20" s="80" t="s">
        <v>34</v>
      </c>
      <c r="B20" s="81" t="s">
        <v>99</v>
      </c>
      <c r="C20" s="80" t="s">
        <v>9</v>
      </c>
      <c r="D20" s="80">
        <v>12</v>
      </c>
      <c r="E20" s="80"/>
      <c r="F20" s="80"/>
      <c r="G20" s="21">
        <v>15319330</v>
      </c>
      <c r="H20" s="21">
        <v>1806860</v>
      </c>
    </row>
    <row r="21" spans="1:8" x14ac:dyDescent="0.25">
      <c r="A21" s="74" t="s">
        <v>36</v>
      </c>
      <c r="B21" s="75" t="s">
        <v>37</v>
      </c>
      <c r="C21" s="74" t="s">
        <v>12</v>
      </c>
      <c r="D21" s="74">
        <v>22</v>
      </c>
      <c r="E21" s="74"/>
      <c r="F21" s="74"/>
      <c r="G21" s="13">
        <v>-5097151430</v>
      </c>
      <c r="H21" s="13">
        <v>-4450139106</v>
      </c>
    </row>
    <row r="22" spans="1:8" x14ac:dyDescent="0.25">
      <c r="A22" s="74" t="s">
        <v>38</v>
      </c>
      <c r="B22" s="76" t="s">
        <v>39</v>
      </c>
      <c r="C22" s="77" t="s">
        <v>15</v>
      </c>
      <c r="D22" s="74">
        <v>6</v>
      </c>
      <c r="E22" s="74"/>
      <c r="F22" s="74"/>
      <c r="G22" s="13">
        <v>0</v>
      </c>
      <c r="H22" s="13">
        <v>-8610000</v>
      </c>
    </row>
    <row r="23" spans="1:8" x14ac:dyDescent="0.25">
      <c r="A23" s="74" t="s">
        <v>40</v>
      </c>
      <c r="B23" s="75" t="s">
        <v>41</v>
      </c>
      <c r="C23" s="74" t="s">
        <v>12</v>
      </c>
      <c r="D23" s="74">
        <v>22</v>
      </c>
      <c r="E23" s="74"/>
      <c r="F23" s="74"/>
      <c r="G23" s="13">
        <v>-7232398426</v>
      </c>
      <c r="H23" s="13">
        <v>-6315420633</v>
      </c>
    </row>
    <row r="24" spans="1:8" x14ac:dyDescent="0.25">
      <c r="A24" s="74" t="s">
        <v>42</v>
      </c>
      <c r="B24" s="76" t="s">
        <v>43</v>
      </c>
      <c r="C24" s="77" t="s">
        <v>15</v>
      </c>
      <c r="D24" s="74">
        <v>6</v>
      </c>
      <c r="E24" s="74"/>
      <c r="F24" s="74"/>
      <c r="G24" s="13">
        <v>-8229126</v>
      </c>
      <c r="H24" s="13">
        <v>102181528</v>
      </c>
    </row>
    <row r="25" spans="1:8" x14ac:dyDescent="0.25">
      <c r="A25" s="74" t="s">
        <v>44</v>
      </c>
      <c r="B25" s="75" t="s">
        <v>45</v>
      </c>
      <c r="C25" s="74" t="s">
        <v>12</v>
      </c>
      <c r="D25" s="74">
        <v>23</v>
      </c>
      <c r="E25" s="74"/>
      <c r="F25" s="74"/>
      <c r="G25" s="13">
        <v>-3121374560</v>
      </c>
      <c r="H25" s="13">
        <v>-2632450877</v>
      </c>
    </row>
    <row r="26" spans="1:8" x14ac:dyDescent="0.25">
      <c r="A26" s="74" t="s">
        <v>46</v>
      </c>
      <c r="B26" s="75" t="s">
        <v>47</v>
      </c>
      <c r="C26" s="74" t="s">
        <v>12</v>
      </c>
      <c r="D26" s="74">
        <v>24</v>
      </c>
      <c r="E26" s="74"/>
      <c r="F26" s="74"/>
      <c r="G26" s="13">
        <v>-1562924499</v>
      </c>
      <c r="H26" s="13">
        <v>-1348306300</v>
      </c>
    </row>
    <row r="27" spans="1:8" x14ac:dyDescent="0.25">
      <c r="A27" s="74" t="s">
        <v>48</v>
      </c>
      <c r="B27" s="75" t="s">
        <v>49</v>
      </c>
      <c r="C27" s="74" t="s">
        <v>12</v>
      </c>
      <c r="D27" s="74">
        <v>25</v>
      </c>
      <c r="E27" s="74"/>
      <c r="F27" s="74"/>
      <c r="G27" s="13">
        <v>-895577720</v>
      </c>
      <c r="H27" s="13">
        <v>-830763590</v>
      </c>
    </row>
    <row r="28" spans="1:8" x14ac:dyDescent="0.25">
      <c r="A28" s="74" t="s">
        <v>50</v>
      </c>
      <c r="B28" s="75" t="s">
        <v>51</v>
      </c>
      <c r="C28" s="74" t="s">
        <v>12</v>
      </c>
      <c r="D28" s="74">
        <v>26</v>
      </c>
      <c r="E28" s="74"/>
      <c r="F28" s="74"/>
      <c r="G28" s="13">
        <v>-19074494</v>
      </c>
      <c r="H28" s="13">
        <v>-91026851</v>
      </c>
    </row>
    <row r="29" spans="1:8" x14ac:dyDescent="0.25">
      <c r="A29" s="78" t="s">
        <v>52</v>
      </c>
      <c r="B29" s="79" t="s">
        <v>53</v>
      </c>
      <c r="C29" s="78"/>
      <c r="D29" s="78"/>
      <c r="E29" s="78"/>
      <c r="F29" s="78"/>
      <c r="G29" s="18">
        <v>7158081293</v>
      </c>
      <c r="H29" s="18">
        <v>8921421042</v>
      </c>
    </row>
    <row r="30" spans="1:8" x14ac:dyDescent="0.25">
      <c r="A30" s="74" t="s">
        <v>54</v>
      </c>
      <c r="B30" s="75" t="s">
        <v>55</v>
      </c>
      <c r="C30" s="74" t="s">
        <v>12</v>
      </c>
      <c r="D30" s="74">
        <v>27</v>
      </c>
      <c r="E30" s="74"/>
      <c r="F30" s="74"/>
      <c r="G30" s="13">
        <v>-2297980457</v>
      </c>
      <c r="H30" s="13">
        <v>-2177889334</v>
      </c>
    </row>
    <row r="31" spans="1:8" x14ac:dyDescent="0.25">
      <c r="A31" s="78" t="s">
        <v>56</v>
      </c>
      <c r="B31" s="79" t="s">
        <v>57</v>
      </c>
      <c r="C31" s="78"/>
      <c r="D31" s="78"/>
      <c r="E31" s="78"/>
      <c r="F31" s="78"/>
      <c r="G31" s="18">
        <v>4860100836</v>
      </c>
      <c r="H31" s="18">
        <v>6743531708</v>
      </c>
    </row>
    <row r="32" spans="1:8" x14ac:dyDescent="0.25">
      <c r="A32" s="74" t="s">
        <v>58</v>
      </c>
      <c r="B32" s="75" t="s">
        <v>100</v>
      </c>
      <c r="C32" s="74" t="s">
        <v>9</v>
      </c>
      <c r="D32" s="74">
        <v>28</v>
      </c>
      <c r="E32" s="74"/>
      <c r="F32" s="74"/>
      <c r="G32" s="13">
        <v>289859990</v>
      </c>
      <c r="H32" s="13">
        <v>274469796</v>
      </c>
    </row>
    <row r="33" spans="1:8" x14ac:dyDescent="0.25">
      <c r="A33" s="80" t="s">
        <v>60</v>
      </c>
      <c r="B33" s="81" t="s">
        <v>61</v>
      </c>
      <c r="C33" s="80" t="s">
        <v>12</v>
      </c>
      <c r="D33" s="80" t="s">
        <v>62</v>
      </c>
      <c r="E33" s="80"/>
      <c r="F33" s="80"/>
      <c r="G33" s="21">
        <v>-3555464692</v>
      </c>
      <c r="H33" s="21">
        <v>-2750711428</v>
      </c>
    </row>
    <row r="34" spans="1:8" x14ac:dyDescent="0.25">
      <c r="A34" s="78" t="s">
        <v>63</v>
      </c>
      <c r="B34" s="79" t="s">
        <v>64</v>
      </c>
      <c r="C34" s="78"/>
      <c r="D34" s="78"/>
      <c r="E34" s="78"/>
      <c r="F34" s="78"/>
      <c r="G34" s="18">
        <v>1594496134</v>
      </c>
      <c r="H34" s="18">
        <v>4267290076</v>
      </c>
    </row>
    <row r="35" spans="1:8" x14ac:dyDescent="0.25">
      <c r="A35" s="74" t="s">
        <v>65</v>
      </c>
      <c r="B35" s="75" t="s">
        <v>66</v>
      </c>
      <c r="C35" s="74" t="s">
        <v>9</v>
      </c>
      <c r="D35" s="74">
        <v>29</v>
      </c>
      <c r="E35" s="74"/>
      <c r="F35" s="74"/>
      <c r="G35" s="13">
        <v>585332749</v>
      </c>
      <c r="H35" s="13">
        <v>539393218</v>
      </c>
    </row>
    <row r="36" spans="1:8" x14ac:dyDescent="0.25">
      <c r="A36" s="74" t="s">
        <v>67</v>
      </c>
      <c r="B36" s="75" t="s">
        <v>68</v>
      </c>
      <c r="C36" s="74" t="s">
        <v>9</v>
      </c>
      <c r="D36" s="74">
        <v>28</v>
      </c>
      <c r="E36" s="74"/>
      <c r="F36" s="74"/>
      <c r="G36" s="13">
        <v>0</v>
      </c>
      <c r="H36" s="13">
        <v>0</v>
      </c>
    </row>
    <row r="37" spans="1:8" x14ac:dyDescent="0.25">
      <c r="A37" s="74" t="s">
        <v>69</v>
      </c>
      <c r="B37" s="75" t="s">
        <v>101</v>
      </c>
      <c r="C37" s="74" t="s">
        <v>9</v>
      </c>
      <c r="D37" s="74">
        <v>12</v>
      </c>
      <c r="E37" s="74"/>
      <c r="F37" s="74"/>
      <c r="G37" s="13">
        <v>0</v>
      </c>
      <c r="H37" s="13">
        <v>0</v>
      </c>
    </row>
    <row r="38" spans="1:8" x14ac:dyDescent="0.25">
      <c r="A38" s="74" t="s">
        <v>71</v>
      </c>
      <c r="B38" s="75" t="s">
        <v>72</v>
      </c>
      <c r="C38" s="74" t="s">
        <v>12</v>
      </c>
      <c r="D38" s="74">
        <v>29</v>
      </c>
      <c r="E38" s="74"/>
      <c r="F38" s="74"/>
      <c r="G38" s="13">
        <v>-202321906</v>
      </c>
      <c r="H38" s="13">
        <v>-23696980</v>
      </c>
    </row>
    <row r="39" spans="1:8" x14ac:dyDescent="0.25">
      <c r="A39" s="74" t="s">
        <v>73</v>
      </c>
      <c r="B39" s="75" t="s">
        <v>74</v>
      </c>
      <c r="C39" s="74" t="s">
        <v>12</v>
      </c>
      <c r="D39" s="74" t="s">
        <v>62</v>
      </c>
      <c r="E39" s="74"/>
      <c r="F39" s="74"/>
      <c r="G39" s="13">
        <v>0</v>
      </c>
      <c r="H39" s="13">
        <v>0</v>
      </c>
    </row>
    <row r="40" spans="1:8" x14ac:dyDescent="0.25">
      <c r="A40" s="78" t="s">
        <v>75</v>
      </c>
      <c r="B40" s="79" t="s">
        <v>76</v>
      </c>
      <c r="C40" s="78"/>
      <c r="D40" s="78"/>
      <c r="E40" s="78"/>
      <c r="F40" s="78"/>
      <c r="G40" s="18">
        <v>383010843</v>
      </c>
      <c r="H40" s="18">
        <v>515696238</v>
      </c>
    </row>
    <row r="41" spans="1:8" x14ac:dyDescent="0.25">
      <c r="A41" s="82" t="s">
        <v>77</v>
      </c>
      <c r="B41" s="83" t="s">
        <v>78</v>
      </c>
      <c r="C41" s="82"/>
      <c r="D41" s="82"/>
      <c r="E41" s="82"/>
      <c r="F41" s="82"/>
      <c r="G41" s="24">
        <v>1977506977</v>
      </c>
      <c r="H41" s="24">
        <v>4782986314</v>
      </c>
    </row>
    <row r="42" spans="1:8" x14ac:dyDescent="0.25">
      <c r="A42" s="74" t="s">
        <v>79</v>
      </c>
      <c r="B42" s="75" t="s">
        <v>80</v>
      </c>
      <c r="C42" s="74" t="s">
        <v>9</v>
      </c>
      <c r="D42" s="74" t="s">
        <v>81</v>
      </c>
      <c r="E42" s="74"/>
      <c r="F42" s="74"/>
      <c r="G42" s="13">
        <v>6500000</v>
      </c>
      <c r="H42" s="13">
        <v>500000</v>
      </c>
    </row>
    <row r="43" spans="1:8" x14ac:dyDescent="0.25">
      <c r="A43" s="74" t="s">
        <v>82</v>
      </c>
      <c r="B43" s="75" t="s">
        <v>83</v>
      </c>
      <c r="C43" s="74" t="s">
        <v>9</v>
      </c>
      <c r="D43" s="74">
        <v>30</v>
      </c>
      <c r="E43" s="74"/>
      <c r="F43" s="74"/>
      <c r="G43" s="13">
        <v>0</v>
      </c>
      <c r="H43" s="13">
        <v>0</v>
      </c>
    </row>
    <row r="44" spans="1:8" x14ac:dyDescent="0.25">
      <c r="A44" s="74" t="s">
        <v>84</v>
      </c>
      <c r="B44" s="75" t="s">
        <v>85</v>
      </c>
      <c r="C44" s="74" t="s">
        <v>12</v>
      </c>
      <c r="D44" s="74" t="s">
        <v>81</v>
      </c>
      <c r="E44" s="74"/>
      <c r="F44" s="74"/>
      <c r="G44" s="13">
        <v>0</v>
      </c>
      <c r="H44" s="13">
        <v>0</v>
      </c>
    </row>
    <row r="45" spans="1:8" x14ac:dyDescent="0.25">
      <c r="A45" s="74" t="s">
        <v>86</v>
      </c>
      <c r="B45" s="75" t="s">
        <v>102</v>
      </c>
      <c r="C45" s="74" t="s">
        <v>12</v>
      </c>
      <c r="D45" s="74">
        <v>30</v>
      </c>
      <c r="E45" s="74"/>
      <c r="F45" s="74"/>
      <c r="G45" s="13">
        <v>0</v>
      </c>
      <c r="H45" s="13">
        <v>0</v>
      </c>
    </row>
    <row r="46" spans="1:8" x14ac:dyDescent="0.25">
      <c r="A46" s="82" t="s">
        <v>88</v>
      </c>
      <c r="B46" s="83" t="s">
        <v>89</v>
      </c>
      <c r="C46" s="82"/>
      <c r="D46" s="82"/>
      <c r="E46" s="82"/>
      <c r="F46" s="82"/>
      <c r="G46" s="24">
        <v>6500000</v>
      </c>
      <c r="H46" s="24">
        <v>500000</v>
      </c>
    </row>
    <row r="47" spans="1:8" x14ac:dyDescent="0.25">
      <c r="A47" s="74" t="s">
        <v>90</v>
      </c>
      <c r="B47" s="75" t="s">
        <v>103</v>
      </c>
      <c r="C47" s="74" t="s">
        <v>12</v>
      </c>
      <c r="D47" s="74">
        <v>30</v>
      </c>
      <c r="E47" s="74"/>
      <c r="F47" s="74"/>
      <c r="G47" s="13">
        <v>0</v>
      </c>
      <c r="H47" s="13">
        <v>0</v>
      </c>
    </row>
    <row r="48" spans="1:8" x14ac:dyDescent="0.25">
      <c r="A48" s="74" t="s">
        <v>92</v>
      </c>
      <c r="B48" s="75" t="s">
        <v>93</v>
      </c>
      <c r="C48" s="74" t="s">
        <v>12</v>
      </c>
      <c r="D48" s="74"/>
      <c r="E48" s="74"/>
      <c r="F48" s="74"/>
      <c r="G48" s="13">
        <v>-623022900</v>
      </c>
      <c r="H48" s="13">
        <v>-1474105800</v>
      </c>
    </row>
    <row r="49" spans="1:8" x14ac:dyDescent="0.25">
      <c r="A49" s="78" t="s">
        <v>94</v>
      </c>
      <c r="B49" s="79" t="s">
        <v>95</v>
      </c>
      <c r="C49" s="78"/>
      <c r="D49" s="78"/>
      <c r="E49" s="78"/>
      <c r="F49" s="78"/>
      <c r="G49" s="18">
        <v>1360984077</v>
      </c>
      <c r="H49" s="18">
        <v>3309380514</v>
      </c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G8:H49" xr:uid="{4F4C483D-E863-4655-80E3-834DAB4AE76B}"/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FFFF7-39E6-4F3D-8C42-4815C25FF430}">
  <sheetPr codeName="Feuil32"/>
  <dimension ref="A1:H84"/>
  <sheetViews>
    <sheetView workbookViewId="0">
      <selection sqref="A1:H1"/>
    </sheetView>
  </sheetViews>
  <sheetFormatPr baseColWidth="10" defaultColWidth="10.28515625" defaultRowHeight="12.7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4.85546875" style="27" bestFit="1" customWidth="1"/>
    <col min="6" max="6" width="13.5703125" style="27" customWidth="1"/>
    <col min="7" max="8" width="15.7109375" style="28" customWidth="1" collapsed="1"/>
    <col min="9" max="16384" width="10.28515625" style="27" collapsed="1"/>
  </cols>
  <sheetData>
    <row r="1" spans="1:8" s="1" customFormat="1" ht="24.6" customHeight="1" x14ac:dyDescent="0.2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s="1" customFormat="1" ht="8.1" customHeight="1" x14ac:dyDescent="0.2">
      <c r="C2" s="2"/>
    </row>
    <row r="3" spans="1:8" s="1" customFormat="1" ht="25.5" customHeight="1" x14ac:dyDescent="0.2">
      <c r="A3" s="134" t="s">
        <v>96</v>
      </c>
      <c r="B3" s="134"/>
      <c r="C3" s="134"/>
      <c r="D3" s="1" t="s">
        <v>1</v>
      </c>
      <c r="G3" s="135" t="s">
        <v>111</v>
      </c>
      <c r="H3" s="136"/>
    </row>
    <row r="4" spans="1:8" s="1" customFormat="1" ht="15" customHeight="1" x14ac:dyDescent="0.2">
      <c r="A4" s="140" t="s">
        <v>112</v>
      </c>
      <c r="B4" s="136"/>
      <c r="C4" s="136"/>
      <c r="D4" s="137" t="s">
        <v>2</v>
      </c>
      <c r="E4" s="25"/>
      <c r="F4" s="25"/>
      <c r="G4" s="138">
        <v>12</v>
      </c>
      <c r="H4" s="138"/>
    </row>
    <row r="5" spans="1:8" s="1" customFormat="1" ht="30.95" customHeight="1" x14ac:dyDescent="0.2">
      <c r="A5" s="4" t="s">
        <v>3</v>
      </c>
      <c r="B5" s="139" t="s">
        <v>113</v>
      </c>
      <c r="C5" s="139"/>
      <c r="D5" s="137"/>
      <c r="E5" s="25"/>
      <c r="F5" s="25"/>
      <c r="G5" s="136"/>
      <c r="H5" s="136"/>
    </row>
    <row r="6" spans="1:8" s="1" customFormat="1" ht="8.1" customHeight="1" x14ac:dyDescent="0.2">
      <c r="C6" s="2"/>
    </row>
    <row r="7" spans="1:8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8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/>
      <c r="H9" s="13"/>
    </row>
    <row r="10" spans="1:8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/>
      <c r="H10" s="13"/>
    </row>
    <row r="11" spans="1:8" ht="18" customHeight="1" x14ac:dyDescent="0.25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/>
      <c r="H11" s="18"/>
    </row>
    <row r="12" spans="1:8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13061875796</v>
      </c>
      <c r="F12" s="13">
        <v>9549548473</v>
      </c>
      <c r="G12" s="13"/>
      <c r="H12" s="13"/>
    </row>
    <row r="13" spans="1:8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16517800</v>
      </c>
      <c r="F13" s="13">
        <v>8284586</v>
      </c>
      <c r="G13" s="13"/>
      <c r="H13" s="13"/>
    </row>
    <row r="14" spans="1:8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10919677</v>
      </c>
      <c r="F14" s="13">
        <v>401700</v>
      </c>
      <c r="G14" s="13"/>
      <c r="H14" s="13"/>
    </row>
    <row r="15" spans="1:8" ht="18" customHeight="1" x14ac:dyDescent="0.25">
      <c r="A15" s="16" t="s">
        <v>24</v>
      </c>
      <c r="B15" s="17" t="s">
        <v>25</v>
      </c>
      <c r="C15" s="16"/>
      <c r="D15" s="16"/>
      <c r="E15" s="18">
        <v>13089313273</v>
      </c>
      <c r="F15" s="18">
        <v>9558234759</v>
      </c>
      <c r="G15" s="18"/>
      <c r="H15" s="18"/>
    </row>
    <row r="16" spans="1:8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-1509456595</v>
      </c>
      <c r="F16" s="13">
        <v>444198418</v>
      </c>
      <c r="G16" s="13"/>
      <c r="H16" s="13"/>
    </row>
    <row r="17" spans="1:8" ht="18" customHeight="1" x14ac:dyDescent="0.25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8" ht="18" customHeight="1" x14ac:dyDescent="0.25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8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155734639</v>
      </c>
      <c r="F19" s="13">
        <v>384450</v>
      </c>
      <c r="G19" s="13"/>
      <c r="H19" s="13"/>
    </row>
    <row r="20" spans="1:8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  <c r="G20" s="13"/>
      <c r="H20" s="13"/>
    </row>
    <row r="21" spans="1:8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/>
      <c r="H21" s="13"/>
    </row>
    <row r="22" spans="1:8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/>
      <c r="H22" s="13"/>
    </row>
    <row r="23" spans="1:8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-1894411194</v>
      </c>
      <c r="F23" s="13">
        <v>-2125748108</v>
      </c>
      <c r="G23" s="13"/>
      <c r="H23" s="13"/>
    </row>
    <row r="24" spans="1:8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10951538</v>
      </c>
      <c r="F24" s="13">
        <v>-49744773</v>
      </c>
      <c r="G24" s="13"/>
      <c r="H24" s="13"/>
    </row>
    <row r="25" spans="1:8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-3558226855</v>
      </c>
      <c r="F25" s="13">
        <v>-3222130130</v>
      </c>
      <c r="G25" s="13"/>
      <c r="H25" s="13"/>
    </row>
    <row r="26" spans="1:8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-2420263113</v>
      </c>
      <c r="F26" s="13">
        <v>-1832925195</v>
      </c>
      <c r="G26" s="13"/>
      <c r="H26" s="13"/>
    </row>
    <row r="27" spans="1:8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-391328986</v>
      </c>
      <c r="F27" s="13">
        <v>-226883226</v>
      </c>
      <c r="G27" s="13"/>
      <c r="H27" s="13"/>
    </row>
    <row r="28" spans="1:8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-50033133</v>
      </c>
      <c r="F28" s="13">
        <v>-139082886</v>
      </c>
      <c r="G28" s="13"/>
      <c r="H28" s="13"/>
    </row>
    <row r="29" spans="1:8" ht="18" customHeight="1" x14ac:dyDescent="0.25">
      <c r="A29" s="16" t="s">
        <v>52</v>
      </c>
      <c r="B29" s="17" t="s">
        <v>53</v>
      </c>
      <c r="C29" s="16"/>
      <c r="D29" s="16"/>
      <c r="E29" s="18">
        <v>3432279574</v>
      </c>
      <c r="F29" s="18">
        <v>2406303309</v>
      </c>
      <c r="G29" s="18"/>
      <c r="H29" s="18"/>
    </row>
    <row r="30" spans="1:8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-1461378819</v>
      </c>
      <c r="F30" s="13">
        <v>-1184605387</v>
      </c>
      <c r="G30" s="13"/>
      <c r="H30" s="13"/>
    </row>
    <row r="31" spans="1:8" ht="18" customHeight="1" x14ac:dyDescent="0.25">
      <c r="A31" s="16" t="s">
        <v>56</v>
      </c>
      <c r="B31" s="17" t="s">
        <v>57</v>
      </c>
      <c r="C31" s="16"/>
      <c r="D31" s="16"/>
      <c r="E31" s="18">
        <v>1970900755</v>
      </c>
      <c r="F31" s="18">
        <v>1221697922</v>
      </c>
      <c r="G31" s="18"/>
      <c r="H31" s="18"/>
    </row>
    <row r="32" spans="1:8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110591477</v>
      </c>
      <c r="F32" s="13">
        <v>69191800</v>
      </c>
      <c r="G32" s="13"/>
      <c r="H32" s="13"/>
    </row>
    <row r="33" spans="1:8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-238726000</v>
      </c>
      <c r="F33" s="13">
        <v>-181103543</v>
      </c>
      <c r="G33" s="13"/>
      <c r="H33" s="13"/>
    </row>
    <row r="34" spans="1:8" ht="18" customHeight="1" x14ac:dyDescent="0.25">
      <c r="A34" s="16" t="s">
        <v>63</v>
      </c>
      <c r="B34" s="17" t="s">
        <v>64</v>
      </c>
      <c r="C34" s="16"/>
      <c r="D34" s="16"/>
      <c r="E34" s="18">
        <v>1842766232</v>
      </c>
      <c r="F34" s="18">
        <v>1109786179</v>
      </c>
      <c r="G34" s="18"/>
      <c r="H34" s="18"/>
    </row>
    <row r="35" spans="1:8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266059061</v>
      </c>
      <c r="F35" s="13">
        <v>215705618</v>
      </c>
      <c r="G35" s="13"/>
      <c r="H35" s="13"/>
    </row>
    <row r="36" spans="1:8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/>
      <c r="H36" s="13"/>
    </row>
    <row r="37" spans="1:8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/>
      <c r="H37" s="13"/>
    </row>
    <row r="38" spans="1:8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-115436232</v>
      </c>
      <c r="F38" s="13">
        <v>-92694642</v>
      </c>
      <c r="G38" s="13"/>
      <c r="H38" s="13"/>
    </row>
    <row r="39" spans="1:8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/>
      <c r="H39" s="13"/>
    </row>
    <row r="40" spans="1:8" ht="18" customHeight="1" x14ac:dyDescent="0.25">
      <c r="A40" s="16" t="s">
        <v>75</v>
      </c>
      <c r="B40" s="17" t="s">
        <v>76</v>
      </c>
      <c r="C40" s="16"/>
      <c r="D40" s="16"/>
      <c r="E40" s="18">
        <v>150622829</v>
      </c>
      <c r="F40" s="18">
        <v>123010976</v>
      </c>
      <c r="G40" s="18"/>
      <c r="H40" s="18"/>
    </row>
    <row r="41" spans="1:8" ht="18" customHeight="1" x14ac:dyDescent="0.25">
      <c r="A41" s="22" t="s">
        <v>77</v>
      </c>
      <c r="B41" s="23" t="s">
        <v>78</v>
      </c>
      <c r="C41" s="22"/>
      <c r="D41" s="22"/>
      <c r="E41" s="24">
        <v>1993389061</v>
      </c>
      <c r="F41" s="24">
        <v>1232797155</v>
      </c>
      <c r="G41" s="24"/>
      <c r="H41" s="24"/>
    </row>
    <row r="42" spans="1:8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48000000</v>
      </c>
      <c r="F42" s="13">
        <v>0</v>
      </c>
      <c r="G42" s="13"/>
      <c r="H42" s="13"/>
    </row>
    <row r="43" spans="1:8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/>
      <c r="H43" s="13"/>
    </row>
    <row r="44" spans="1:8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-41656500</v>
      </c>
      <c r="F44" s="13">
        <v>0</v>
      </c>
      <c r="G44" s="13"/>
      <c r="H44" s="13"/>
    </row>
    <row r="45" spans="1:8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/>
      <c r="H45" s="13"/>
    </row>
    <row r="46" spans="1:8" ht="18" customHeight="1" x14ac:dyDescent="0.25">
      <c r="A46" s="22" t="s">
        <v>88</v>
      </c>
      <c r="B46" s="23" t="s">
        <v>89</v>
      </c>
      <c r="C46" s="22"/>
      <c r="D46" s="22"/>
      <c r="E46" s="24">
        <v>6343500</v>
      </c>
      <c r="F46" s="24">
        <v>0</v>
      </c>
      <c r="G46" s="24"/>
      <c r="H46" s="24"/>
    </row>
    <row r="47" spans="1:8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8" ht="18" customHeight="1" x14ac:dyDescent="0.25">
      <c r="A48" s="11" t="s">
        <v>92</v>
      </c>
      <c r="B48" s="12" t="s">
        <v>93</v>
      </c>
      <c r="C48" s="11" t="s">
        <v>12</v>
      </c>
      <c r="D48" s="11"/>
      <c r="E48" s="13">
        <v>-335876791</v>
      </c>
      <c r="F48" s="13">
        <v>-199311661</v>
      </c>
      <c r="G48" s="13"/>
      <c r="H48" s="13"/>
    </row>
    <row r="49" spans="1:8" ht="18" customHeight="1" x14ac:dyDescent="0.25">
      <c r="A49" s="16" t="s">
        <v>94</v>
      </c>
      <c r="B49" s="17" t="s">
        <v>95</v>
      </c>
      <c r="C49" s="16"/>
      <c r="D49" s="16"/>
      <c r="E49" s="18">
        <v>1663855770</v>
      </c>
      <c r="F49" s="18">
        <v>1033485494</v>
      </c>
      <c r="G49" s="18"/>
      <c r="H49" s="18"/>
    </row>
    <row r="53" spans="1:8" ht="12.75" customHeight="1" x14ac:dyDescent="0.25">
      <c r="B53" s="29"/>
      <c r="C53" s="29"/>
    </row>
    <row r="54" spans="1:8" ht="12.75" customHeight="1" x14ac:dyDescent="0.25">
      <c r="B54" s="29"/>
      <c r="C54" s="29"/>
    </row>
    <row r="55" spans="1:8" ht="12.75" customHeight="1" x14ac:dyDescent="0.25">
      <c r="B55" s="29"/>
      <c r="C55" s="29"/>
    </row>
    <row r="58" spans="1:8" ht="12.75" customHeight="1" x14ac:dyDescent="0.25">
      <c r="B58" s="29"/>
      <c r="C58" s="29"/>
    </row>
    <row r="59" spans="1:8" ht="12.75" customHeight="1" x14ac:dyDescent="0.25">
      <c r="B59" s="29"/>
      <c r="C59" s="29"/>
    </row>
    <row r="62" spans="1:8" ht="12.75" customHeight="1" x14ac:dyDescent="0.25">
      <c r="G62" s="30"/>
      <c r="H62" s="30"/>
    </row>
    <row r="63" spans="1:8" ht="12.75" customHeight="1" x14ac:dyDescent="0.25">
      <c r="G63" s="30"/>
      <c r="H63" s="30"/>
    </row>
    <row r="64" spans="1:8" ht="12.75" customHeight="1" x14ac:dyDescent="0.25">
      <c r="G64" s="30"/>
      <c r="H64" s="30"/>
    </row>
    <row r="65" spans="7:8" ht="12.75" customHeight="1" x14ac:dyDescent="0.25">
      <c r="G65" s="30"/>
      <c r="H65" s="30"/>
    </row>
    <row r="66" spans="7:8" ht="12.75" customHeight="1" x14ac:dyDescent="0.25">
      <c r="G66" s="30"/>
      <c r="H66" s="30"/>
    </row>
    <row r="67" spans="7:8" ht="12.75" customHeight="1" x14ac:dyDescent="0.25">
      <c r="G67" s="30"/>
      <c r="H67" s="30"/>
    </row>
    <row r="68" spans="7:8" ht="12.75" customHeight="1" x14ac:dyDescent="0.25">
      <c r="G68" s="30"/>
      <c r="H68" s="30"/>
    </row>
    <row r="69" spans="7:8" ht="12.75" customHeight="1" x14ac:dyDescent="0.25">
      <c r="G69" s="30"/>
      <c r="H69" s="30"/>
    </row>
    <row r="70" spans="7:8" ht="12.75" customHeight="1" x14ac:dyDescent="0.25">
      <c r="G70" s="30"/>
      <c r="H70" s="30"/>
    </row>
    <row r="71" spans="7:8" ht="12.75" customHeight="1" x14ac:dyDescent="0.25">
      <c r="G71" s="30"/>
      <c r="H71" s="30"/>
    </row>
    <row r="72" spans="7:8" ht="12.75" customHeight="1" x14ac:dyDescent="0.25">
      <c r="G72" s="30"/>
      <c r="H72" s="30"/>
    </row>
    <row r="73" spans="7:8" ht="12.75" customHeight="1" x14ac:dyDescent="0.25">
      <c r="G73" s="30"/>
      <c r="H73" s="30"/>
    </row>
    <row r="74" spans="7:8" ht="12.75" customHeight="1" x14ac:dyDescent="0.25">
      <c r="G74" s="30"/>
      <c r="H74" s="30"/>
    </row>
    <row r="75" spans="7:8" ht="12.75" customHeight="1" x14ac:dyDescent="0.25">
      <c r="G75" s="30"/>
      <c r="H75" s="30"/>
    </row>
    <row r="76" spans="7:8" ht="12.75" customHeight="1" x14ac:dyDescent="0.25">
      <c r="G76" s="30"/>
      <c r="H76" s="30"/>
    </row>
    <row r="77" spans="7:8" ht="12.75" customHeight="1" x14ac:dyDescent="0.25">
      <c r="G77" s="30"/>
      <c r="H77" s="30"/>
    </row>
    <row r="78" spans="7:8" ht="12.75" customHeight="1" x14ac:dyDescent="0.25">
      <c r="G78" s="30"/>
      <c r="H78" s="30"/>
    </row>
    <row r="79" spans="7:8" ht="12.75" customHeight="1" x14ac:dyDescent="0.25">
      <c r="G79" s="30"/>
      <c r="H79" s="30"/>
    </row>
    <row r="80" spans="7:8" ht="12.75" customHeight="1" x14ac:dyDescent="0.25">
      <c r="G80" s="30"/>
      <c r="H80" s="30"/>
    </row>
    <row r="81" spans="7:8" ht="12.75" customHeight="1" x14ac:dyDescent="0.25">
      <c r="G81" s="30"/>
      <c r="H81" s="30"/>
    </row>
    <row r="82" spans="7:8" ht="12.75" customHeight="1" x14ac:dyDescent="0.25">
      <c r="G82" s="30"/>
      <c r="H82" s="30"/>
    </row>
    <row r="83" spans="7:8" ht="12.75" customHeight="1" x14ac:dyDescent="0.25">
      <c r="G83" s="30"/>
      <c r="H83" s="30"/>
    </row>
    <row r="84" spans="7:8" ht="12.75" customHeight="1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H49" xr:uid="{7B893A61-C6B1-485F-A00D-93DF328A67BB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B38073E9-D51A-4776-8008-A7819010EDB1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DE6115C7-1EA7-45A3-AAED-57694928C514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1C22-E69D-4223-B1AC-B077BD7BDCCB}">
  <sheetPr codeName="Feuil33"/>
  <dimension ref="A1:L84"/>
  <sheetViews>
    <sheetView topLeftCell="D1" workbookViewId="0">
      <selection sqref="A1:H1"/>
    </sheetView>
  </sheetViews>
  <sheetFormatPr baseColWidth="10" defaultColWidth="10.28515625" defaultRowHeight="12.75" x14ac:dyDescent="0.25"/>
  <cols>
    <col min="1" max="1" width="11.7109375" style="49" customWidth="1" collapsed="1"/>
    <col min="2" max="2" width="56" style="50" bestFit="1" customWidth="1" collapsed="1"/>
    <col min="3" max="3" width="3.140625" style="50" bestFit="1" customWidth="1" collapsed="1"/>
    <col min="4" max="4" width="13.5703125" style="50" customWidth="1" collapsed="1"/>
    <col min="5" max="8" width="13.5703125" style="50" customWidth="1"/>
    <col min="9" max="10" width="10.28515625" style="50" collapsed="1"/>
    <col min="11" max="12" width="10.28515625" style="50"/>
    <col min="13" max="16384" width="10.28515625" style="50" collapsed="1"/>
  </cols>
  <sheetData>
    <row r="1" spans="1:8" s="84" customFormat="1" ht="24.6" customHeight="1" x14ac:dyDescent="0.2">
      <c r="A1" s="141" t="s">
        <v>0</v>
      </c>
      <c r="B1" s="141"/>
      <c r="C1" s="141"/>
      <c r="D1" s="141"/>
      <c r="E1" s="141"/>
      <c r="F1" s="141"/>
      <c r="G1" s="141"/>
      <c r="H1" s="141"/>
    </row>
    <row r="2" spans="1:8" s="84" customFormat="1" ht="8.1" customHeight="1" x14ac:dyDescent="0.2">
      <c r="C2" s="85"/>
    </row>
    <row r="3" spans="1:8" s="84" customFormat="1" ht="25.5" customHeight="1" x14ac:dyDescent="0.2">
      <c r="A3" s="142" t="s">
        <v>96</v>
      </c>
      <c r="B3" s="142"/>
      <c r="C3" s="142"/>
      <c r="D3" s="84" t="s">
        <v>1</v>
      </c>
      <c r="G3" s="143">
        <v>45657</v>
      </c>
      <c r="H3" s="144"/>
    </row>
    <row r="4" spans="1:8" s="84" customFormat="1" ht="15" customHeight="1" x14ac:dyDescent="0.2">
      <c r="A4" s="145" t="s">
        <v>114</v>
      </c>
      <c r="B4" s="144"/>
      <c r="C4" s="144"/>
      <c r="D4" s="146" t="s">
        <v>2</v>
      </c>
      <c r="E4" s="87"/>
      <c r="F4" s="87"/>
      <c r="G4" s="147"/>
      <c r="H4" s="147"/>
    </row>
    <row r="5" spans="1:8" s="84" customFormat="1" ht="30.95" customHeight="1" x14ac:dyDescent="0.2">
      <c r="A5" s="86" t="s">
        <v>3</v>
      </c>
      <c r="B5" s="148" t="s">
        <v>115</v>
      </c>
      <c r="C5" s="149"/>
      <c r="D5" s="146"/>
      <c r="E5" s="87"/>
      <c r="F5" s="87"/>
      <c r="G5" s="145">
        <v>12</v>
      </c>
      <c r="H5" s="144"/>
    </row>
    <row r="6" spans="1:8" s="84" customFormat="1" ht="8.1" customHeight="1" x14ac:dyDescent="0.2">
      <c r="C6" s="85"/>
    </row>
    <row r="7" spans="1:8" ht="18" customHeight="1" x14ac:dyDescent="0.25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  <c r="G7" s="34">
        <v>2022</v>
      </c>
      <c r="H7" s="34">
        <v>2021</v>
      </c>
    </row>
    <row r="8" spans="1:8" ht="18" customHeight="1" x14ac:dyDescent="0.25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  <c r="G8" s="37"/>
      <c r="H8" s="37"/>
    </row>
    <row r="9" spans="1:8" ht="18" customHeight="1" x14ac:dyDescent="0.25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  <c r="G9" s="37"/>
      <c r="H9" s="37"/>
    </row>
    <row r="10" spans="1:8" ht="18" customHeight="1" x14ac:dyDescent="0.25">
      <c r="A10" s="38" t="s">
        <v>13</v>
      </c>
      <c r="B10" s="40" t="s">
        <v>14</v>
      </c>
      <c r="C10" s="41" t="s">
        <v>15</v>
      </c>
      <c r="D10" s="41">
        <v>6</v>
      </c>
      <c r="E10" s="63">
        <v>0</v>
      </c>
      <c r="F10" s="63">
        <v>0</v>
      </c>
      <c r="G10" s="63"/>
      <c r="H10" s="63"/>
    </row>
    <row r="11" spans="1:8" ht="18" customHeight="1" x14ac:dyDescent="0.25">
      <c r="A11" s="42" t="s">
        <v>16</v>
      </c>
      <c r="B11" s="43" t="s">
        <v>17</v>
      </c>
      <c r="C11" s="42"/>
      <c r="D11" s="42"/>
      <c r="E11" s="64">
        <v>0</v>
      </c>
      <c r="F11" s="64">
        <v>0</v>
      </c>
      <c r="G11" s="64"/>
      <c r="H11" s="64"/>
    </row>
    <row r="12" spans="1:8" ht="18" customHeight="1" x14ac:dyDescent="0.25">
      <c r="A12" s="38" t="s">
        <v>18</v>
      </c>
      <c r="B12" s="39" t="s">
        <v>19</v>
      </c>
      <c r="C12" s="38" t="s">
        <v>9</v>
      </c>
      <c r="D12" s="38">
        <v>21</v>
      </c>
      <c r="E12" s="63">
        <v>0</v>
      </c>
      <c r="F12" s="63">
        <v>0</v>
      </c>
      <c r="G12" s="63"/>
      <c r="H12" s="63"/>
    </row>
    <row r="13" spans="1:8" ht="18" customHeight="1" x14ac:dyDescent="0.25">
      <c r="A13" s="38" t="s">
        <v>20</v>
      </c>
      <c r="B13" s="39" t="s">
        <v>21</v>
      </c>
      <c r="C13" s="38" t="s">
        <v>9</v>
      </c>
      <c r="D13" s="38">
        <v>21</v>
      </c>
      <c r="E13" s="63">
        <v>2756043638</v>
      </c>
      <c r="F13" s="63">
        <v>903294089</v>
      </c>
      <c r="G13" s="63"/>
      <c r="H13" s="63"/>
    </row>
    <row r="14" spans="1:8" ht="18" customHeight="1" x14ac:dyDescent="0.25">
      <c r="A14" s="38" t="s">
        <v>22</v>
      </c>
      <c r="B14" s="39" t="s">
        <v>23</v>
      </c>
      <c r="C14" s="38" t="s">
        <v>9</v>
      </c>
      <c r="D14" s="38">
        <v>21</v>
      </c>
      <c r="E14" s="63">
        <v>0</v>
      </c>
      <c r="F14" s="63">
        <v>0</v>
      </c>
      <c r="G14" s="63"/>
      <c r="H14" s="63"/>
    </row>
    <row r="15" spans="1:8" ht="18" customHeight="1" x14ac:dyDescent="0.25">
      <c r="A15" s="42" t="s">
        <v>24</v>
      </c>
      <c r="B15" s="43" t="s">
        <v>25</v>
      </c>
      <c r="C15" s="42"/>
      <c r="D15" s="42"/>
      <c r="E15" s="64">
        <v>2756043638</v>
      </c>
      <c r="F15" s="64">
        <v>903294089</v>
      </c>
      <c r="G15" s="64"/>
      <c r="H15" s="64"/>
    </row>
    <row r="16" spans="1:8" ht="18" customHeight="1" x14ac:dyDescent="0.25">
      <c r="A16" s="38" t="s">
        <v>26</v>
      </c>
      <c r="B16" s="39" t="s">
        <v>27</v>
      </c>
      <c r="C16" s="41" t="s">
        <v>15</v>
      </c>
      <c r="D16" s="38">
        <v>6</v>
      </c>
      <c r="E16" s="63">
        <v>0</v>
      </c>
      <c r="F16" s="63">
        <v>0</v>
      </c>
      <c r="G16" s="63"/>
      <c r="H16" s="63"/>
    </row>
    <row r="17" spans="1:8" ht="18" customHeight="1" x14ac:dyDescent="0.25">
      <c r="A17" s="38" t="s">
        <v>28</v>
      </c>
      <c r="B17" s="39" t="s">
        <v>29</v>
      </c>
      <c r="C17" s="38"/>
      <c r="D17" s="38">
        <v>21</v>
      </c>
      <c r="E17" s="63">
        <v>0</v>
      </c>
      <c r="F17" s="63">
        <v>0</v>
      </c>
      <c r="G17" s="63"/>
      <c r="H17" s="63"/>
    </row>
    <row r="18" spans="1:8" ht="18" customHeight="1" x14ac:dyDescent="0.25">
      <c r="A18" s="38" t="s">
        <v>30</v>
      </c>
      <c r="B18" s="39" t="s">
        <v>31</v>
      </c>
      <c r="C18" s="38"/>
      <c r="D18" s="38">
        <v>21</v>
      </c>
      <c r="E18" s="63">
        <v>0</v>
      </c>
      <c r="F18" s="63">
        <v>1400000</v>
      </c>
      <c r="G18" s="63"/>
      <c r="H18" s="63"/>
    </row>
    <row r="19" spans="1:8" ht="18" customHeight="1" x14ac:dyDescent="0.25">
      <c r="A19" s="38" t="s">
        <v>32</v>
      </c>
      <c r="B19" s="39" t="s">
        <v>33</v>
      </c>
      <c r="C19" s="38" t="s">
        <v>9</v>
      </c>
      <c r="D19" s="38">
        <v>21</v>
      </c>
      <c r="E19" s="63">
        <v>936876563</v>
      </c>
      <c r="F19" s="63">
        <v>760451571</v>
      </c>
      <c r="G19" s="63"/>
      <c r="H19" s="63"/>
    </row>
    <row r="20" spans="1:8" ht="18" customHeight="1" x14ac:dyDescent="0.25">
      <c r="A20" s="65" t="s">
        <v>34</v>
      </c>
      <c r="B20" s="66" t="s">
        <v>35</v>
      </c>
      <c r="C20" s="65" t="s">
        <v>9</v>
      </c>
      <c r="D20" s="65">
        <v>12</v>
      </c>
      <c r="E20" s="67">
        <v>0</v>
      </c>
      <c r="F20" s="67">
        <v>0</v>
      </c>
      <c r="G20" s="67"/>
      <c r="H20" s="67"/>
    </row>
    <row r="21" spans="1:8" ht="18" customHeight="1" x14ac:dyDescent="0.25">
      <c r="A21" s="38" t="s">
        <v>36</v>
      </c>
      <c r="B21" s="39" t="s">
        <v>37</v>
      </c>
      <c r="C21" s="38" t="s">
        <v>12</v>
      </c>
      <c r="D21" s="38">
        <v>22</v>
      </c>
      <c r="E21" s="63">
        <v>0</v>
      </c>
      <c r="F21" s="63">
        <v>0</v>
      </c>
      <c r="G21" s="63"/>
      <c r="H21" s="63"/>
    </row>
    <row r="22" spans="1:8" ht="18" customHeight="1" x14ac:dyDescent="0.25">
      <c r="A22" s="38" t="s">
        <v>38</v>
      </c>
      <c r="B22" s="40" t="s">
        <v>39</v>
      </c>
      <c r="C22" s="41" t="s">
        <v>15</v>
      </c>
      <c r="D22" s="38">
        <v>6</v>
      </c>
      <c r="E22" s="63">
        <v>-879810</v>
      </c>
      <c r="F22" s="63">
        <v>0</v>
      </c>
      <c r="G22" s="63"/>
      <c r="H22" s="63"/>
    </row>
    <row r="23" spans="1:8" ht="18" customHeight="1" x14ac:dyDescent="0.25">
      <c r="A23" s="38" t="s">
        <v>40</v>
      </c>
      <c r="B23" s="39" t="s">
        <v>41</v>
      </c>
      <c r="C23" s="38" t="s">
        <v>12</v>
      </c>
      <c r="D23" s="38">
        <v>22</v>
      </c>
      <c r="E23" s="63">
        <v>86080379</v>
      </c>
      <c r="F23" s="63">
        <v>41780502</v>
      </c>
      <c r="G23" s="63"/>
      <c r="H23" s="63"/>
    </row>
    <row r="24" spans="1:8" ht="18" customHeight="1" x14ac:dyDescent="0.25">
      <c r="A24" s="38" t="s">
        <v>42</v>
      </c>
      <c r="B24" s="40" t="s">
        <v>43</v>
      </c>
      <c r="C24" s="41" t="s">
        <v>15</v>
      </c>
      <c r="D24" s="38">
        <v>6</v>
      </c>
      <c r="E24" s="63">
        <v>-18016072</v>
      </c>
      <c r="F24" s="63">
        <v>1525672</v>
      </c>
      <c r="G24" s="63"/>
      <c r="H24" s="63"/>
    </row>
    <row r="25" spans="1:8" ht="18" customHeight="1" x14ac:dyDescent="0.25">
      <c r="A25" s="38" t="s">
        <v>44</v>
      </c>
      <c r="B25" s="39" t="s">
        <v>45</v>
      </c>
      <c r="C25" s="38" t="s">
        <v>12</v>
      </c>
      <c r="D25" s="38">
        <v>23</v>
      </c>
      <c r="E25" s="63">
        <v>55203526</v>
      </c>
      <c r="F25" s="63">
        <v>17700455</v>
      </c>
      <c r="G25" s="63"/>
      <c r="H25" s="63"/>
    </row>
    <row r="26" spans="1:8" ht="18" customHeight="1" x14ac:dyDescent="0.25">
      <c r="A26" s="38" t="s">
        <v>46</v>
      </c>
      <c r="B26" s="39" t="s">
        <v>47</v>
      </c>
      <c r="C26" s="38" t="s">
        <v>12</v>
      </c>
      <c r="D26" s="38">
        <v>24</v>
      </c>
      <c r="E26" s="63">
        <v>406951844</v>
      </c>
      <c r="F26" s="63">
        <v>507125523</v>
      </c>
      <c r="G26" s="63"/>
      <c r="H26" s="63"/>
    </row>
    <row r="27" spans="1:8" ht="18" customHeight="1" x14ac:dyDescent="0.25">
      <c r="A27" s="38" t="s">
        <v>48</v>
      </c>
      <c r="B27" s="39" t="s">
        <v>49</v>
      </c>
      <c r="C27" s="38" t="s">
        <v>12</v>
      </c>
      <c r="D27" s="38">
        <v>25</v>
      </c>
      <c r="E27" s="63">
        <v>77330476</v>
      </c>
      <c r="F27" s="63">
        <v>99088185</v>
      </c>
      <c r="G27" s="63"/>
      <c r="H27" s="63"/>
    </row>
    <row r="28" spans="1:8" ht="18" customHeight="1" x14ac:dyDescent="0.25">
      <c r="A28" s="38" t="s">
        <v>50</v>
      </c>
      <c r="B28" s="39" t="s">
        <v>51</v>
      </c>
      <c r="C28" s="38" t="s">
        <v>12</v>
      </c>
      <c r="D28" s="38">
        <v>26</v>
      </c>
      <c r="E28" s="63">
        <v>44571436</v>
      </c>
      <c r="F28" s="63">
        <v>37759937</v>
      </c>
      <c r="G28" s="63"/>
      <c r="H28" s="63"/>
    </row>
    <row r="29" spans="1:8" ht="18" customHeight="1" x14ac:dyDescent="0.25">
      <c r="A29" s="42" t="s">
        <v>52</v>
      </c>
      <c r="B29" s="43" t="s">
        <v>53</v>
      </c>
      <c r="C29" s="42"/>
      <c r="D29" s="42"/>
      <c r="E29" s="64">
        <v>3041678422</v>
      </c>
      <c r="F29" s="64">
        <v>960165386</v>
      </c>
      <c r="G29" s="64"/>
      <c r="H29" s="64"/>
    </row>
    <row r="30" spans="1:8" ht="18" customHeight="1" x14ac:dyDescent="0.25">
      <c r="A30" s="38" t="s">
        <v>54</v>
      </c>
      <c r="B30" s="39" t="s">
        <v>55</v>
      </c>
      <c r="C30" s="38" t="s">
        <v>12</v>
      </c>
      <c r="D30" s="38">
        <v>27</v>
      </c>
      <c r="E30" s="63">
        <v>2212722482</v>
      </c>
      <c r="F30" s="63">
        <v>2088756356</v>
      </c>
      <c r="G30" s="63"/>
      <c r="H30" s="63"/>
    </row>
    <row r="31" spans="1:8" ht="18" customHeight="1" x14ac:dyDescent="0.25">
      <c r="A31" s="42" t="s">
        <v>56</v>
      </c>
      <c r="B31" s="43" t="s">
        <v>57</v>
      </c>
      <c r="C31" s="42"/>
      <c r="D31" s="42"/>
      <c r="E31" s="64">
        <f>+E29-E30</f>
        <v>828955940</v>
      </c>
      <c r="F31" s="64">
        <v>-1128590970</v>
      </c>
      <c r="G31" s="64"/>
      <c r="H31" s="64"/>
    </row>
    <row r="32" spans="1:8" ht="18" customHeight="1" x14ac:dyDescent="0.25">
      <c r="A32" s="38" t="s">
        <v>58</v>
      </c>
      <c r="B32" s="39" t="s">
        <v>59</v>
      </c>
      <c r="C32" s="38" t="s">
        <v>9</v>
      </c>
      <c r="D32" s="38">
        <v>28</v>
      </c>
      <c r="E32" s="63">
        <v>16579730</v>
      </c>
      <c r="F32" s="63">
        <v>9265021</v>
      </c>
      <c r="G32" s="63"/>
      <c r="H32" s="63"/>
    </row>
    <row r="33" spans="1:8" ht="18" customHeight="1" x14ac:dyDescent="0.25">
      <c r="A33" s="65" t="s">
        <v>60</v>
      </c>
      <c r="B33" s="66" t="s">
        <v>61</v>
      </c>
      <c r="C33" s="65" t="s">
        <v>12</v>
      </c>
      <c r="D33" s="65" t="s">
        <v>62</v>
      </c>
      <c r="E33" s="67">
        <v>50152728</v>
      </c>
      <c r="F33" s="67">
        <v>148714789</v>
      </c>
      <c r="G33" s="67"/>
      <c r="H33" s="67"/>
    </row>
    <row r="34" spans="1:8" ht="18" customHeight="1" x14ac:dyDescent="0.25">
      <c r="A34" s="42" t="s">
        <v>63</v>
      </c>
      <c r="B34" s="43" t="s">
        <v>64</v>
      </c>
      <c r="C34" s="42"/>
      <c r="D34" s="42"/>
      <c r="E34" s="64">
        <f>+E31+E32-E33</f>
        <v>795382942</v>
      </c>
      <c r="F34" s="64">
        <v>-1268040738</v>
      </c>
      <c r="G34" s="64"/>
      <c r="H34" s="64"/>
    </row>
    <row r="35" spans="1:8" ht="18" customHeight="1" x14ac:dyDescent="0.25">
      <c r="A35" s="38" t="s">
        <v>65</v>
      </c>
      <c r="B35" s="39" t="s">
        <v>66</v>
      </c>
      <c r="C35" s="38" t="s">
        <v>9</v>
      </c>
      <c r="D35" s="38">
        <v>29</v>
      </c>
      <c r="E35" s="63">
        <v>101421</v>
      </c>
      <c r="F35" s="63">
        <v>10582835</v>
      </c>
      <c r="G35" s="63"/>
      <c r="H35" s="63"/>
    </row>
    <row r="36" spans="1:8" ht="18" customHeight="1" x14ac:dyDescent="0.25">
      <c r="A36" s="38" t="s">
        <v>67</v>
      </c>
      <c r="B36" s="39" t="s">
        <v>68</v>
      </c>
      <c r="C36" s="38" t="s">
        <v>9</v>
      </c>
      <c r="D36" s="38">
        <v>28</v>
      </c>
      <c r="E36" s="63">
        <v>38475</v>
      </c>
      <c r="F36" s="63">
        <v>0</v>
      </c>
      <c r="G36" s="63"/>
      <c r="H36" s="63"/>
    </row>
    <row r="37" spans="1:8" ht="18" customHeight="1" x14ac:dyDescent="0.25">
      <c r="A37" s="38" t="s">
        <v>69</v>
      </c>
      <c r="B37" s="39" t="s">
        <v>70</v>
      </c>
      <c r="C37" s="38" t="s">
        <v>9</v>
      </c>
      <c r="D37" s="38">
        <v>12</v>
      </c>
      <c r="E37" s="63">
        <v>0</v>
      </c>
      <c r="F37" s="63">
        <v>0</v>
      </c>
      <c r="G37" s="63"/>
      <c r="H37" s="63"/>
    </row>
    <row r="38" spans="1:8" ht="18" customHeight="1" x14ac:dyDescent="0.25">
      <c r="A38" s="38" t="s">
        <v>71</v>
      </c>
      <c r="B38" s="39" t="s">
        <v>72</v>
      </c>
      <c r="C38" s="38" t="s">
        <v>12</v>
      </c>
      <c r="D38" s="38">
        <v>29</v>
      </c>
      <c r="E38" s="63">
        <v>17947603</v>
      </c>
      <c r="F38" s="63">
        <v>8193682</v>
      </c>
      <c r="G38" s="63"/>
      <c r="H38" s="63"/>
    </row>
    <row r="39" spans="1:8" ht="18" customHeight="1" x14ac:dyDescent="0.25">
      <c r="A39" s="38" t="s">
        <v>73</v>
      </c>
      <c r="B39" s="39" t="s">
        <v>74</v>
      </c>
      <c r="C39" s="38" t="s">
        <v>12</v>
      </c>
      <c r="D39" s="38" t="s">
        <v>62</v>
      </c>
      <c r="E39" s="63">
        <v>0</v>
      </c>
      <c r="F39" s="63">
        <v>0</v>
      </c>
      <c r="G39" s="63"/>
      <c r="H39" s="63"/>
    </row>
    <row r="40" spans="1:8" ht="18" customHeight="1" x14ac:dyDescent="0.25">
      <c r="A40" s="42" t="s">
        <v>75</v>
      </c>
      <c r="B40" s="43" t="s">
        <v>76</v>
      </c>
      <c r="C40" s="42"/>
      <c r="D40" s="42"/>
      <c r="E40" s="64">
        <v>-17807707</v>
      </c>
      <c r="F40" s="64">
        <v>2389153</v>
      </c>
      <c r="G40" s="64"/>
      <c r="H40" s="64"/>
    </row>
    <row r="41" spans="1:8" ht="18" customHeight="1" x14ac:dyDescent="0.25">
      <c r="A41" s="46" t="s">
        <v>77</v>
      </c>
      <c r="B41" s="47" t="s">
        <v>78</v>
      </c>
      <c r="C41" s="46"/>
      <c r="D41" s="46"/>
      <c r="E41" s="68">
        <f>+E34+E40</f>
        <v>777575235</v>
      </c>
      <c r="F41" s="68">
        <v>-1265651585</v>
      </c>
      <c r="G41" s="68"/>
      <c r="H41" s="68"/>
    </row>
    <row r="42" spans="1:8" ht="18" customHeight="1" x14ac:dyDescent="0.25">
      <c r="A42" s="38" t="s">
        <v>79</v>
      </c>
      <c r="B42" s="39" t="s">
        <v>80</v>
      </c>
      <c r="C42" s="38" t="s">
        <v>9</v>
      </c>
      <c r="D42" s="38" t="s">
        <v>81</v>
      </c>
      <c r="E42" s="63">
        <v>561761630</v>
      </c>
      <c r="F42" s="63">
        <v>0</v>
      </c>
      <c r="G42" s="63"/>
      <c r="H42" s="63"/>
    </row>
    <row r="43" spans="1:8" ht="18" customHeight="1" x14ac:dyDescent="0.25">
      <c r="A43" s="38" t="s">
        <v>82</v>
      </c>
      <c r="B43" s="39" t="s">
        <v>83</v>
      </c>
      <c r="C43" s="38" t="s">
        <v>9</v>
      </c>
      <c r="D43" s="38">
        <v>30</v>
      </c>
      <c r="E43" s="63">
        <v>0</v>
      </c>
      <c r="F43" s="63">
        <v>0</v>
      </c>
      <c r="G43" s="63"/>
      <c r="H43" s="63"/>
    </row>
    <row r="44" spans="1:8" ht="18" customHeight="1" x14ac:dyDescent="0.25">
      <c r="A44" s="38" t="s">
        <v>84</v>
      </c>
      <c r="B44" s="39" t="s">
        <v>85</v>
      </c>
      <c r="C44" s="38" t="s">
        <v>12</v>
      </c>
      <c r="D44" s="38" t="s">
        <v>81</v>
      </c>
      <c r="E44" s="63">
        <v>116548056</v>
      </c>
      <c r="F44" s="63">
        <v>0</v>
      </c>
      <c r="G44" s="63"/>
      <c r="H44" s="63"/>
    </row>
    <row r="45" spans="1:8" ht="18" customHeight="1" x14ac:dyDescent="0.25">
      <c r="A45" s="38" t="s">
        <v>86</v>
      </c>
      <c r="B45" s="39" t="s">
        <v>87</v>
      </c>
      <c r="C45" s="38" t="s">
        <v>12</v>
      </c>
      <c r="D45" s="38">
        <v>30</v>
      </c>
      <c r="E45" s="63">
        <v>0</v>
      </c>
      <c r="F45" s="63">
        <v>0</v>
      </c>
      <c r="G45" s="63"/>
      <c r="H45" s="63"/>
    </row>
    <row r="46" spans="1:8" ht="18" customHeight="1" x14ac:dyDescent="0.25">
      <c r="A46" s="46" t="s">
        <v>88</v>
      </c>
      <c r="B46" s="47" t="s">
        <v>89</v>
      </c>
      <c r="C46" s="46"/>
      <c r="D46" s="46"/>
      <c r="E46" s="68">
        <v>445213574</v>
      </c>
      <c r="F46" s="68">
        <v>0</v>
      </c>
      <c r="G46" s="68"/>
      <c r="H46" s="68"/>
    </row>
    <row r="47" spans="1:8" ht="18" customHeight="1" x14ac:dyDescent="0.25">
      <c r="A47" s="38" t="s">
        <v>90</v>
      </c>
      <c r="B47" s="39" t="s">
        <v>91</v>
      </c>
      <c r="C47" s="38" t="s">
        <v>12</v>
      </c>
      <c r="D47" s="38">
        <v>30</v>
      </c>
      <c r="E47" s="63">
        <v>0</v>
      </c>
      <c r="F47" s="63">
        <v>0</v>
      </c>
      <c r="G47" s="63"/>
      <c r="H47" s="63"/>
    </row>
    <row r="48" spans="1:8" ht="18" customHeight="1" x14ac:dyDescent="0.25">
      <c r="A48" s="38" t="s">
        <v>92</v>
      </c>
      <c r="B48" s="39" t="s">
        <v>93</v>
      </c>
      <c r="C48" s="38" t="s">
        <v>12</v>
      </c>
      <c r="D48" s="38"/>
      <c r="E48" s="63">
        <v>5000000</v>
      </c>
      <c r="F48" s="63">
        <v>5000000</v>
      </c>
      <c r="G48" s="63"/>
      <c r="H48" s="63"/>
    </row>
    <row r="49" spans="1:8" ht="18" customHeight="1" x14ac:dyDescent="0.25">
      <c r="A49" s="42" t="s">
        <v>94</v>
      </c>
      <c r="B49" s="43" t="s">
        <v>95</v>
      </c>
      <c r="C49" s="42"/>
      <c r="D49" s="42"/>
      <c r="E49" s="64">
        <f>+E41+E46+E47-E48</f>
        <v>1217788809</v>
      </c>
      <c r="F49" s="64">
        <v>-1270651585</v>
      </c>
      <c r="G49" s="64"/>
      <c r="H49" s="64"/>
    </row>
    <row r="53" spans="1:8" ht="12.75" customHeight="1" x14ac:dyDescent="0.25">
      <c r="B53" s="52"/>
      <c r="C53" s="52"/>
    </row>
    <row r="54" spans="1:8" ht="12.75" customHeight="1" x14ac:dyDescent="0.25">
      <c r="B54" s="52"/>
      <c r="C54" s="52"/>
    </row>
    <row r="55" spans="1:8" ht="12.75" customHeight="1" x14ac:dyDescent="0.25">
      <c r="B55" s="52"/>
      <c r="C55" s="52"/>
    </row>
    <row r="58" spans="1:8" ht="12.75" customHeight="1" x14ac:dyDescent="0.25">
      <c r="B58" s="52"/>
      <c r="C58" s="52"/>
    </row>
    <row r="59" spans="1:8" ht="12.75" customHeight="1" x14ac:dyDescent="0.25">
      <c r="B59" s="52"/>
      <c r="C59" s="52"/>
    </row>
    <row r="62" spans="1:8" ht="12.75" customHeight="1" x14ac:dyDescent="0.25"/>
    <row r="63" spans="1:8" ht="12.75" customHeight="1" x14ac:dyDescent="0.25"/>
    <row r="64" spans="1:8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H49" xr:uid="{E32902F0-F986-40F1-B1ED-84761C03406F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A9C5831-47F8-4C1A-B84E-FAE6FB99618F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9180B8D6-6C98-45A1-9509-7830DEB5BB69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C3B0-92C6-41FB-9254-13D09703C9C2}">
  <sheetPr codeName="Feuil34"/>
  <dimension ref="A1:H84"/>
  <sheetViews>
    <sheetView workbookViewId="0">
      <selection sqref="A1:H1"/>
    </sheetView>
  </sheetViews>
  <sheetFormatPr baseColWidth="10" defaultRowHeight="15" x14ac:dyDescent="0.2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7" width="20.85546875" style="28" customWidth="1" collapsed="1"/>
    <col min="8" max="8" width="24" style="28" customWidth="1" collapsed="1"/>
  </cols>
  <sheetData>
    <row r="1" spans="1:8" ht="18.75" x14ac:dyDescent="0.25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x14ac:dyDescent="0.25">
      <c r="A2" s="1"/>
      <c r="B2" s="1"/>
      <c r="C2" s="2"/>
      <c r="D2" s="1"/>
      <c r="E2" s="1"/>
      <c r="F2" s="1"/>
      <c r="G2" s="1"/>
      <c r="H2" s="1"/>
    </row>
    <row r="3" spans="1:8" x14ac:dyDescent="0.25">
      <c r="A3" s="134" t="s">
        <v>96</v>
      </c>
      <c r="B3" s="134"/>
      <c r="C3" s="134"/>
      <c r="D3" s="1" t="s">
        <v>1</v>
      </c>
      <c r="E3" s="1"/>
      <c r="F3" s="1"/>
      <c r="G3" s="135">
        <f>+'[8]Fiche de renseignement R1'!$V$10</f>
        <v>44926</v>
      </c>
      <c r="H3" s="136"/>
    </row>
    <row r="4" spans="1:8" x14ac:dyDescent="0.25">
      <c r="A4" s="136"/>
      <c r="B4" s="136"/>
      <c r="C4" s="136"/>
      <c r="D4" s="137" t="s">
        <v>2</v>
      </c>
      <c r="E4" s="25"/>
      <c r="F4" s="25"/>
      <c r="G4" s="138">
        <f>+'[8]Fiche de renseignement R1'!$AH$10</f>
        <v>12</v>
      </c>
      <c r="H4" s="138"/>
    </row>
    <row r="5" spans="1:8" ht="38.25" x14ac:dyDescent="0.25">
      <c r="A5" s="4" t="s">
        <v>3</v>
      </c>
      <c r="B5" s="139" t="str">
        <f>+'[8]Fiche de renseignement R1'!$J$10</f>
        <v>002236190</v>
      </c>
      <c r="C5" s="139"/>
      <c r="D5" s="137"/>
      <c r="E5" s="25"/>
      <c r="F5" s="25"/>
      <c r="G5" s="136"/>
      <c r="H5" s="136"/>
    </row>
    <row r="6" spans="1:8" x14ac:dyDescent="0.25">
      <c r="A6" s="1"/>
      <c r="B6" s="1"/>
      <c r="C6" s="2"/>
      <c r="D6" s="1"/>
      <c r="E6" s="1"/>
      <c r="F6" s="1"/>
      <c r="G6" s="1"/>
      <c r="H6" s="1"/>
    </row>
    <row r="7" spans="1:8" x14ac:dyDescent="0.2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 x14ac:dyDescent="0.25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/>
      <c r="H8" s="10"/>
    </row>
    <row r="9" spans="1:8" x14ac:dyDescent="0.25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/>
      <c r="H9" s="13"/>
    </row>
    <row r="10" spans="1:8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/>
      <c r="H10" s="13"/>
    </row>
    <row r="11" spans="1:8" x14ac:dyDescent="0.25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</row>
    <row r="12" spans="1:8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1851563752</v>
      </c>
      <c r="H12" s="13">
        <v>2150541340</v>
      </c>
    </row>
    <row r="13" spans="1:8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/>
      <c r="H13" s="13"/>
    </row>
    <row r="14" spans="1:8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8302309</v>
      </c>
      <c r="H14" s="13">
        <v>14465924</v>
      </c>
    </row>
    <row r="15" spans="1:8" x14ac:dyDescent="0.25">
      <c r="A15" s="16" t="s">
        <v>24</v>
      </c>
      <c r="B15" s="17" t="s">
        <v>25</v>
      </c>
      <c r="C15" s="16"/>
      <c r="D15" s="16"/>
      <c r="E15" s="16"/>
      <c r="F15" s="16"/>
      <c r="G15" s="18">
        <v>1859866061</v>
      </c>
      <c r="H15" s="18">
        <v>2165007264</v>
      </c>
    </row>
    <row r="16" spans="1:8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20212275</v>
      </c>
      <c r="H16" s="13">
        <v>70892766</v>
      </c>
    </row>
    <row r="17" spans="1:8" x14ac:dyDescent="0.25">
      <c r="A17" s="11" t="s">
        <v>28</v>
      </c>
      <c r="B17" s="12" t="s">
        <v>29</v>
      </c>
      <c r="C17" s="11"/>
      <c r="D17" s="11">
        <v>21</v>
      </c>
      <c r="E17" s="11"/>
      <c r="F17" s="11"/>
      <c r="G17" s="13"/>
      <c r="H17" s="13"/>
    </row>
    <row r="18" spans="1:8" x14ac:dyDescent="0.25">
      <c r="A18" s="11" t="s">
        <v>30</v>
      </c>
      <c r="B18" s="12" t="s">
        <v>31</v>
      </c>
      <c r="C18" s="11"/>
      <c r="D18" s="11">
        <v>21</v>
      </c>
      <c r="E18" s="11"/>
      <c r="F18" s="11"/>
      <c r="G18" s="13"/>
      <c r="H18" s="13"/>
    </row>
    <row r="19" spans="1:8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/>
      <c r="H19" s="13"/>
    </row>
    <row r="20" spans="1:8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3345355</v>
      </c>
      <c r="H20" s="21"/>
    </row>
    <row r="21" spans="1:8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-1250</v>
      </c>
      <c r="H21" s="13">
        <v>-840074</v>
      </c>
    </row>
    <row r="22" spans="1:8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/>
      <c r="H22" s="13"/>
    </row>
    <row r="23" spans="1:8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-675098791</v>
      </c>
      <c r="H23" s="13">
        <v>-1297454890</v>
      </c>
    </row>
    <row r="24" spans="1:8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2389092</v>
      </c>
      <c r="H24" s="13">
        <v>1329415</v>
      </c>
    </row>
    <row r="25" spans="1:8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-1211834</v>
      </c>
      <c r="H25" s="13">
        <v>-5710333</v>
      </c>
    </row>
    <row r="26" spans="1:8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-189507978</v>
      </c>
      <c r="H26" s="13">
        <v>-246937130</v>
      </c>
    </row>
    <row r="27" spans="1:8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-140801033</v>
      </c>
      <c r="H27" s="13">
        <v>-89630586</v>
      </c>
    </row>
    <row r="28" spans="1:8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-2218256</v>
      </c>
      <c r="H28" s="13">
        <v>-53934422</v>
      </c>
    </row>
    <row r="29" spans="1:8" x14ac:dyDescent="0.25">
      <c r="A29" s="16" t="s">
        <v>52</v>
      </c>
      <c r="B29" s="17" t="s">
        <v>53</v>
      </c>
      <c r="C29" s="16"/>
      <c r="D29" s="16"/>
      <c r="E29" s="16"/>
      <c r="F29" s="16"/>
      <c r="G29" s="18">
        <v>912973641</v>
      </c>
      <c r="H29" s="18">
        <v>542722010</v>
      </c>
    </row>
    <row r="30" spans="1:8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-306882712</v>
      </c>
      <c r="H30" s="13">
        <v>-282216132</v>
      </c>
    </row>
    <row r="31" spans="1:8" x14ac:dyDescent="0.25">
      <c r="A31" s="16" t="s">
        <v>56</v>
      </c>
      <c r="B31" s="17" t="s">
        <v>57</v>
      </c>
      <c r="C31" s="16"/>
      <c r="D31" s="16"/>
      <c r="E31" s="16"/>
      <c r="F31" s="16"/>
      <c r="G31" s="18">
        <v>606090929</v>
      </c>
      <c r="H31" s="18">
        <v>260505878</v>
      </c>
    </row>
    <row r="32" spans="1:8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19908401</v>
      </c>
      <c r="H32" s="13">
        <v>16432030</v>
      </c>
    </row>
    <row r="33" spans="1:8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-462851446</v>
      </c>
      <c r="H33" s="21">
        <v>-214543548</v>
      </c>
    </row>
    <row r="34" spans="1:8" x14ac:dyDescent="0.25">
      <c r="A34" s="16" t="s">
        <v>63</v>
      </c>
      <c r="B34" s="17" t="s">
        <v>64</v>
      </c>
      <c r="C34" s="16"/>
      <c r="D34" s="16"/>
      <c r="E34" s="16"/>
      <c r="F34" s="16"/>
      <c r="G34" s="18">
        <v>163147884</v>
      </c>
      <c r="H34" s="18">
        <v>62394360</v>
      </c>
    </row>
    <row r="35" spans="1:8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14815535</v>
      </c>
      <c r="H35" s="13"/>
    </row>
    <row r="36" spans="1:8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/>
      <c r="H36" s="13"/>
    </row>
    <row r="37" spans="1:8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/>
      <c r="H37" s="13"/>
    </row>
    <row r="38" spans="1:8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-115193531</v>
      </c>
      <c r="H38" s="13">
        <v>-35246174</v>
      </c>
    </row>
    <row r="39" spans="1:8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/>
      <c r="H39" s="13"/>
    </row>
    <row r="40" spans="1:8" x14ac:dyDescent="0.25">
      <c r="A40" s="16" t="s">
        <v>75</v>
      </c>
      <c r="B40" s="17" t="s">
        <v>76</v>
      </c>
      <c r="C40" s="16"/>
      <c r="D40" s="16"/>
      <c r="E40" s="16"/>
      <c r="F40" s="16"/>
      <c r="G40" s="18">
        <v>-100377996</v>
      </c>
      <c r="H40" s="18">
        <v>-35246174</v>
      </c>
    </row>
    <row r="41" spans="1:8" x14ac:dyDescent="0.25">
      <c r="A41" s="22" t="s">
        <v>77</v>
      </c>
      <c r="B41" s="23" t="s">
        <v>78</v>
      </c>
      <c r="C41" s="22"/>
      <c r="D41" s="22"/>
      <c r="E41" s="22"/>
      <c r="F41" s="22"/>
      <c r="G41" s="24">
        <v>62769888</v>
      </c>
      <c r="H41" s="24">
        <v>27148186</v>
      </c>
    </row>
    <row r="42" spans="1:8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/>
      <c r="H42" s="13"/>
    </row>
    <row r="43" spans="1:8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</row>
    <row r="44" spans="1:8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/>
    </row>
    <row r="45" spans="1:8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/>
      <c r="H45" s="13"/>
    </row>
    <row r="46" spans="1:8" x14ac:dyDescent="0.25">
      <c r="A46" s="22" t="s">
        <v>88</v>
      </c>
      <c r="B46" s="23" t="s">
        <v>89</v>
      </c>
      <c r="C46" s="22"/>
      <c r="D46" s="22"/>
      <c r="E46" s="22"/>
      <c r="F46" s="22"/>
      <c r="G46" s="24"/>
      <c r="H46" s="24"/>
    </row>
    <row r="47" spans="1:8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/>
      <c r="H47" s="13"/>
    </row>
    <row r="48" spans="1:8" x14ac:dyDescent="0.25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-19895735</v>
      </c>
      <c r="H48" s="13">
        <v>-19989212</v>
      </c>
    </row>
    <row r="49" spans="1:8" x14ac:dyDescent="0.25">
      <c r="A49" s="16" t="s">
        <v>94</v>
      </c>
      <c r="B49" s="17" t="s">
        <v>95</v>
      </c>
      <c r="C49" s="16"/>
      <c r="D49" s="16"/>
      <c r="E49" s="16"/>
      <c r="F49" s="16"/>
      <c r="G49" s="18">
        <v>42874153</v>
      </c>
      <c r="H49" s="18">
        <v>7158974</v>
      </c>
    </row>
    <row r="53" spans="1:8" x14ac:dyDescent="0.25">
      <c r="B53" s="29"/>
      <c r="C53" s="29"/>
    </row>
    <row r="54" spans="1:8" x14ac:dyDescent="0.25">
      <c r="B54" s="29"/>
      <c r="C54" s="29"/>
    </row>
    <row r="55" spans="1:8" x14ac:dyDescent="0.25">
      <c r="B55" s="29"/>
      <c r="C55" s="29"/>
    </row>
    <row r="58" spans="1:8" x14ac:dyDescent="0.25">
      <c r="B58" s="29"/>
      <c r="C58" s="29"/>
    </row>
    <row r="59" spans="1:8" x14ac:dyDescent="0.25">
      <c r="B59" s="29"/>
      <c r="C59" s="29"/>
    </row>
    <row r="62" spans="1:8" x14ac:dyDescent="0.25">
      <c r="G62" s="30"/>
      <c r="H62" s="30"/>
    </row>
    <row r="63" spans="1:8" x14ac:dyDescent="0.25">
      <c r="G63" s="30"/>
      <c r="H63" s="30"/>
    </row>
    <row r="64" spans="1:8" x14ac:dyDescent="0.25">
      <c r="G64" s="30"/>
      <c r="H64" s="30"/>
    </row>
    <row r="65" spans="7:8" x14ac:dyDescent="0.25">
      <c r="G65" s="30"/>
      <c r="H65" s="30"/>
    </row>
    <row r="66" spans="7:8" x14ac:dyDescent="0.25">
      <c r="G66" s="30"/>
      <c r="H66" s="30"/>
    </row>
    <row r="67" spans="7:8" x14ac:dyDescent="0.25">
      <c r="G67" s="30"/>
      <c r="H67" s="30"/>
    </row>
    <row r="68" spans="7:8" x14ac:dyDescent="0.25">
      <c r="G68" s="30"/>
      <c r="H68" s="30"/>
    </row>
    <row r="69" spans="7:8" x14ac:dyDescent="0.25">
      <c r="G69" s="30"/>
      <c r="H69" s="30"/>
    </row>
    <row r="70" spans="7:8" x14ac:dyDescent="0.25">
      <c r="G70" s="30"/>
      <c r="H70" s="30"/>
    </row>
    <row r="71" spans="7:8" x14ac:dyDescent="0.25">
      <c r="G71" s="30"/>
      <c r="H71" s="30"/>
    </row>
    <row r="72" spans="7:8" x14ac:dyDescent="0.25">
      <c r="G72" s="30"/>
      <c r="H72" s="30"/>
    </row>
    <row r="73" spans="7:8" x14ac:dyDescent="0.25">
      <c r="G73" s="30"/>
      <c r="H73" s="30"/>
    </row>
    <row r="74" spans="7:8" x14ac:dyDescent="0.25">
      <c r="G74" s="30"/>
      <c r="H74" s="30"/>
    </row>
    <row r="75" spans="7:8" x14ac:dyDescent="0.25">
      <c r="G75" s="30"/>
      <c r="H75" s="30"/>
    </row>
    <row r="76" spans="7:8" x14ac:dyDescent="0.25">
      <c r="G76" s="30"/>
      <c r="H76" s="30"/>
    </row>
    <row r="77" spans="7:8" x14ac:dyDescent="0.25">
      <c r="G77" s="30"/>
      <c r="H77" s="30"/>
    </row>
    <row r="78" spans="7:8" x14ac:dyDescent="0.25">
      <c r="G78" s="30"/>
      <c r="H78" s="30"/>
    </row>
    <row r="79" spans="7:8" x14ac:dyDescent="0.25">
      <c r="G79" s="30"/>
      <c r="H79" s="30"/>
    </row>
    <row r="80" spans="7:8" x14ac:dyDescent="0.25">
      <c r="G80" s="30"/>
      <c r="H80" s="30"/>
    </row>
    <row r="81" spans="7:8" x14ac:dyDescent="0.25">
      <c r="G81" s="30"/>
      <c r="H81" s="30"/>
    </row>
    <row r="82" spans="7:8" x14ac:dyDescent="0.25">
      <c r="G82" s="30"/>
      <c r="H82" s="30"/>
    </row>
    <row r="83" spans="7:8" x14ac:dyDescent="0.25">
      <c r="G83" s="30"/>
      <c r="H83" s="30"/>
    </row>
    <row r="84" spans="7:8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3A27353-7CEC-4155-9F82-07B767BCEB8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E2B6E2BE-3907-450D-AC8D-3E09E07C3A51}"/>
    <dataValidation allowBlank="1" showInputMessage="1" showErrorMessage="1" errorTitle="Erreur de saisie" error="La cellule ne peut prendre que du numérique." promptTitle="Information" prompt="Cette cellule ne peut prendre que du numérique," sqref="G8:H49" xr:uid="{312E5426-5F6C-49E4-8D17-68ABFEF6C029}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55DA-E6CE-471D-B1B1-AEDD6ECC4133}">
  <sheetPr codeName="Feuil35"/>
  <dimension ref="A1:H84"/>
  <sheetViews>
    <sheetView workbookViewId="0">
      <selection sqref="A1:H1"/>
    </sheetView>
  </sheetViews>
  <sheetFormatPr baseColWidth="10" defaultColWidth="10.28515625" defaultRowHeight="12.75" x14ac:dyDescent="0.2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7.7109375" style="28" bestFit="1" customWidth="1" collapsed="1"/>
    <col min="9" max="16384" width="10.28515625" style="27" collapsed="1"/>
  </cols>
  <sheetData>
    <row r="1" spans="1:8" s="1" customFormat="1" ht="24.6" customHeight="1" x14ac:dyDescent="0.2">
      <c r="A1" s="133" t="s">
        <v>0</v>
      </c>
      <c r="B1" s="133"/>
      <c r="C1" s="133"/>
      <c r="D1" s="133"/>
      <c r="E1" s="133"/>
      <c r="F1" s="133"/>
      <c r="G1" s="133"/>
      <c r="H1" s="133"/>
    </row>
    <row r="2" spans="1:8" s="1" customFormat="1" ht="8.1" customHeight="1" x14ac:dyDescent="0.2">
      <c r="C2" s="2"/>
    </row>
    <row r="3" spans="1:8" s="1" customFormat="1" ht="25.5" customHeight="1" x14ac:dyDescent="0.2">
      <c r="A3" s="134" t="s">
        <v>96</v>
      </c>
      <c r="B3" s="134"/>
      <c r="C3" s="134"/>
      <c r="D3" s="1" t="s">
        <v>1</v>
      </c>
      <c r="G3" s="135">
        <f>+'[9]Fiche de renseignement R1'!$V$10</f>
        <v>45657</v>
      </c>
      <c r="H3" s="136"/>
    </row>
    <row r="4" spans="1:8" s="1" customFormat="1" ht="15" customHeight="1" x14ac:dyDescent="0.2">
      <c r="A4" s="136"/>
      <c r="B4" s="136"/>
      <c r="C4" s="136"/>
      <c r="D4" s="137" t="s">
        <v>2</v>
      </c>
      <c r="E4" s="25"/>
      <c r="F4" s="25"/>
      <c r="G4" s="138">
        <f>+'[9]Fiche de renseignement R1'!$AH$10</f>
        <v>12</v>
      </c>
      <c r="H4" s="138"/>
    </row>
    <row r="5" spans="1:8" s="1" customFormat="1" ht="30.95" customHeight="1" x14ac:dyDescent="0.2">
      <c r="A5" s="4" t="s">
        <v>3</v>
      </c>
      <c r="B5" s="139" t="str">
        <f>+'[9]Fiche de renseignement R1'!$J$10</f>
        <v>002292168</v>
      </c>
      <c r="C5" s="139"/>
      <c r="D5" s="137"/>
      <c r="E5" s="25"/>
      <c r="F5" s="25"/>
      <c r="G5" s="136"/>
      <c r="H5" s="136"/>
    </row>
    <row r="6" spans="1:8" s="1" customFormat="1" ht="8.1" customHeight="1" x14ac:dyDescent="0.2">
      <c r="C6" s="2"/>
    </row>
    <row r="7" spans="1:8" ht="18" customHeight="1" x14ac:dyDescent="0.25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 x14ac:dyDescent="0.25">
      <c r="A8" s="8" t="s">
        <v>7</v>
      </c>
      <c r="B8" s="9" t="s">
        <v>8</v>
      </c>
      <c r="C8" s="8" t="s">
        <v>9</v>
      </c>
      <c r="D8" s="8">
        <v>21</v>
      </c>
      <c r="E8" s="10">
        <v>107325314</v>
      </c>
      <c r="F8" s="10">
        <v>9021476</v>
      </c>
      <c r="G8" s="10">
        <v>-23728387</v>
      </c>
      <c r="H8" s="10">
        <v>-36887028</v>
      </c>
    </row>
    <row r="9" spans="1:8" ht="18" customHeight="1" x14ac:dyDescent="0.25">
      <c r="A9" s="11" t="s">
        <v>10</v>
      </c>
      <c r="B9" s="12" t="s">
        <v>11</v>
      </c>
      <c r="C9" s="11" t="s">
        <v>12</v>
      </c>
      <c r="D9" s="11">
        <v>22</v>
      </c>
      <c r="E9" s="13">
        <v>-95482513</v>
      </c>
      <c r="F9" s="13">
        <v>-14169082</v>
      </c>
      <c r="G9" s="13">
        <v>-4330935</v>
      </c>
      <c r="H9" s="13">
        <v>0</v>
      </c>
    </row>
    <row r="10" spans="1:8" ht="18" customHeight="1" x14ac:dyDescent="0.25">
      <c r="A10" s="11" t="s">
        <v>13</v>
      </c>
      <c r="B10" s="14" t="s">
        <v>14</v>
      </c>
      <c r="C10" s="15" t="s">
        <v>15</v>
      </c>
      <c r="D10" s="15">
        <v>6</v>
      </c>
      <c r="E10" s="13">
        <v>-11989211</v>
      </c>
      <c r="F10" s="13">
        <v>8355291</v>
      </c>
      <c r="G10" s="13">
        <v>3633920</v>
      </c>
      <c r="H10" s="13">
        <v>0</v>
      </c>
    </row>
    <row r="11" spans="1:8" ht="18" customHeight="1" x14ac:dyDescent="0.25">
      <c r="A11" s="16" t="s">
        <v>16</v>
      </c>
      <c r="B11" s="17" t="s">
        <v>17</v>
      </c>
      <c r="C11" s="16"/>
      <c r="D11" s="16"/>
      <c r="E11" s="18">
        <v>-146410</v>
      </c>
      <c r="F11" s="18">
        <v>3207685</v>
      </c>
      <c r="G11" s="18">
        <v>-24425402</v>
      </c>
      <c r="H11" s="18">
        <v>-36887028</v>
      </c>
    </row>
    <row r="12" spans="1:8" ht="18" customHeight="1" x14ac:dyDescent="0.25">
      <c r="A12" s="11" t="s">
        <v>18</v>
      </c>
      <c r="B12" s="12" t="s">
        <v>19</v>
      </c>
      <c r="C12" s="11" t="s">
        <v>9</v>
      </c>
      <c r="D12" s="11">
        <v>21</v>
      </c>
      <c r="E12" s="13">
        <v>20776004902</v>
      </c>
      <c r="F12" s="13">
        <v>21081304182</v>
      </c>
      <c r="G12" s="13">
        <v>19510547154.849998</v>
      </c>
      <c r="H12" s="13">
        <v>15809290551</v>
      </c>
    </row>
    <row r="13" spans="1:8" ht="18" customHeight="1" x14ac:dyDescent="0.25">
      <c r="A13" s="11" t="s">
        <v>20</v>
      </c>
      <c r="B13" s="12" t="s">
        <v>21</v>
      </c>
      <c r="C13" s="11" t="s">
        <v>9</v>
      </c>
      <c r="D13" s="11">
        <v>21</v>
      </c>
      <c r="E13" s="13">
        <v>8134740262</v>
      </c>
      <c r="F13" s="13">
        <v>7753345282</v>
      </c>
      <c r="G13" s="13">
        <v>5426086397.6000004</v>
      </c>
      <c r="H13" s="13">
        <v>3638048131</v>
      </c>
    </row>
    <row r="14" spans="1:8" ht="18" customHeight="1" x14ac:dyDescent="0.25">
      <c r="A14" s="11" t="s">
        <v>22</v>
      </c>
      <c r="B14" s="12" t="s">
        <v>23</v>
      </c>
      <c r="C14" s="11" t="s">
        <v>9</v>
      </c>
      <c r="D14" s="11">
        <v>21</v>
      </c>
      <c r="E14" s="13">
        <v>1653455290</v>
      </c>
      <c r="F14" s="13">
        <v>1479976381</v>
      </c>
      <c r="G14" s="13">
        <v>1056924090.5085001</v>
      </c>
      <c r="H14" s="13">
        <v>1089198935</v>
      </c>
    </row>
    <row r="15" spans="1:8" ht="18" customHeight="1" x14ac:dyDescent="0.25">
      <c r="A15" s="16" t="s">
        <v>24</v>
      </c>
      <c r="B15" s="17" t="s">
        <v>25</v>
      </c>
      <c r="C15" s="16"/>
      <c r="D15" s="16"/>
      <c r="E15" s="18">
        <v>30671525768</v>
      </c>
      <c r="F15" s="18">
        <v>30323647321</v>
      </c>
      <c r="G15" s="18">
        <v>25969829256</v>
      </c>
      <c r="H15" s="18">
        <v>20499650589</v>
      </c>
    </row>
    <row r="16" spans="1:8" ht="18" customHeight="1" x14ac:dyDescent="0.25">
      <c r="A16" s="11" t="s">
        <v>26</v>
      </c>
      <c r="B16" s="12" t="s">
        <v>27</v>
      </c>
      <c r="C16" s="15" t="s">
        <v>15</v>
      </c>
      <c r="D16" s="11">
        <v>6</v>
      </c>
      <c r="E16" s="13">
        <v>705462611</v>
      </c>
      <c r="F16" s="13">
        <v>-1170969346.4158001</v>
      </c>
      <c r="G16" s="13">
        <v>-865211736.28851604</v>
      </c>
      <c r="H16" s="13">
        <v>680953831</v>
      </c>
    </row>
    <row r="17" spans="1:8" ht="18" customHeight="1" x14ac:dyDescent="0.25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>
        <v>0</v>
      </c>
      <c r="H17" s="13">
        <v>0</v>
      </c>
    </row>
    <row r="18" spans="1:8" ht="18" customHeight="1" x14ac:dyDescent="0.25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>
        <v>0</v>
      </c>
      <c r="H18" s="13">
        <v>0</v>
      </c>
    </row>
    <row r="19" spans="1:8" ht="18" customHeight="1" x14ac:dyDescent="0.25">
      <c r="A19" s="11" t="s">
        <v>32</v>
      </c>
      <c r="B19" s="12" t="s">
        <v>33</v>
      </c>
      <c r="C19" s="11" t="s">
        <v>9</v>
      </c>
      <c r="D19" s="11">
        <v>21</v>
      </c>
      <c r="E19" s="13">
        <v>675434602</v>
      </c>
      <c r="F19" s="13">
        <v>626676244.86886001</v>
      </c>
      <c r="G19" s="13">
        <v>594851797.98000002</v>
      </c>
      <c r="H19" s="13">
        <v>87870551</v>
      </c>
    </row>
    <row r="20" spans="1:8" ht="18" customHeight="1" x14ac:dyDescent="0.25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  <c r="G20" s="13">
        <v>0</v>
      </c>
      <c r="H20" s="13">
        <v>0</v>
      </c>
    </row>
    <row r="21" spans="1:8" ht="18" customHeight="1" x14ac:dyDescent="0.25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0</v>
      </c>
    </row>
    <row r="22" spans="1:8" ht="18" customHeight="1" x14ac:dyDescent="0.25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>
        <v>0</v>
      </c>
    </row>
    <row r="23" spans="1:8" ht="18" customHeight="1" x14ac:dyDescent="0.25">
      <c r="A23" s="11" t="s">
        <v>40</v>
      </c>
      <c r="B23" s="12" t="s">
        <v>41</v>
      </c>
      <c r="C23" s="11" t="s">
        <v>12</v>
      </c>
      <c r="D23" s="11">
        <v>22</v>
      </c>
      <c r="E23" s="13">
        <v>-9380976729</v>
      </c>
      <c r="F23" s="13">
        <v>-9186338958</v>
      </c>
      <c r="G23" s="13">
        <v>-7968541790.7787399</v>
      </c>
      <c r="H23" s="13">
        <v>-6252712903</v>
      </c>
    </row>
    <row r="24" spans="1:8" ht="18" customHeight="1" x14ac:dyDescent="0.25">
      <c r="A24" s="11" t="s">
        <v>42</v>
      </c>
      <c r="B24" s="14" t="s">
        <v>43</v>
      </c>
      <c r="C24" s="15" t="s">
        <v>15</v>
      </c>
      <c r="D24" s="11">
        <v>6</v>
      </c>
      <c r="E24" s="13">
        <v>1070776975</v>
      </c>
      <c r="F24" s="13">
        <v>827382535</v>
      </c>
      <c r="G24" s="13">
        <v>935086303.6983912</v>
      </c>
      <c r="H24" s="13">
        <v>559150741</v>
      </c>
    </row>
    <row r="25" spans="1:8" ht="18" customHeight="1" x14ac:dyDescent="0.25">
      <c r="A25" s="11" t="s">
        <v>44</v>
      </c>
      <c r="B25" s="12" t="s">
        <v>45</v>
      </c>
      <c r="C25" s="11" t="s">
        <v>12</v>
      </c>
      <c r="D25" s="11">
        <v>23</v>
      </c>
      <c r="E25" s="13">
        <v>-8050366317</v>
      </c>
      <c r="F25" s="13">
        <v>-7350182670</v>
      </c>
      <c r="G25" s="13">
        <v>-5644798258.3898306</v>
      </c>
      <c r="H25" s="13">
        <v>-3793251986</v>
      </c>
    </row>
    <row r="26" spans="1:8" ht="18" customHeight="1" x14ac:dyDescent="0.25">
      <c r="A26" s="11" t="s">
        <v>46</v>
      </c>
      <c r="B26" s="12" t="s">
        <v>47</v>
      </c>
      <c r="C26" s="11" t="s">
        <v>12</v>
      </c>
      <c r="D26" s="11">
        <v>24</v>
      </c>
      <c r="E26" s="13">
        <v>-3834089935</v>
      </c>
      <c r="F26" s="13">
        <v>-3247770635</v>
      </c>
      <c r="G26" s="13">
        <v>-3146647050.4237204</v>
      </c>
      <c r="H26" s="13">
        <v>-3605111979</v>
      </c>
    </row>
    <row r="27" spans="1:8" ht="18" customHeight="1" x14ac:dyDescent="0.25">
      <c r="A27" s="11" t="s">
        <v>48</v>
      </c>
      <c r="B27" s="12" t="s">
        <v>49</v>
      </c>
      <c r="C27" s="11" t="s">
        <v>12</v>
      </c>
      <c r="D27" s="11">
        <v>25</v>
      </c>
      <c r="E27" s="13">
        <v>-1658436373</v>
      </c>
      <c r="F27" s="13">
        <v>-1491632220</v>
      </c>
      <c r="G27" s="13">
        <v>-1260666970.9152501</v>
      </c>
      <c r="H27" s="13">
        <v>-1088965308</v>
      </c>
    </row>
    <row r="28" spans="1:8" ht="18" customHeight="1" x14ac:dyDescent="0.25">
      <c r="A28" s="11" t="s">
        <v>50</v>
      </c>
      <c r="B28" s="12" t="s">
        <v>51</v>
      </c>
      <c r="C28" s="11" t="s">
        <v>12</v>
      </c>
      <c r="D28" s="11">
        <v>26</v>
      </c>
      <c r="E28" s="13">
        <v>-580002531</v>
      </c>
      <c r="F28" s="13">
        <v>-1040111371.9725599</v>
      </c>
      <c r="G28" s="13">
        <v>-664639862.07999992</v>
      </c>
      <c r="H28" s="13">
        <v>-968287142</v>
      </c>
    </row>
    <row r="29" spans="1:8" ht="18" customHeight="1" x14ac:dyDescent="0.25">
      <c r="A29" s="16" t="s">
        <v>52</v>
      </c>
      <c r="B29" s="17" t="s">
        <v>53</v>
      </c>
      <c r="C29" s="16"/>
      <c r="D29" s="16"/>
      <c r="E29" s="18">
        <v>9511856347</v>
      </c>
      <c r="F29" s="18">
        <v>8284887108.4804993</v>
      </c>
      <c r="G29" s="18">
        <v>7948564673.7608337</v>
      </c>
      <c r="H29" s="18">
        <v>6119296394</v>
      </c>
    </row>
    <row r="30" spans="1:8" ht="18" customHeight="1" x14ac:dyDescent="0.25">
      <c r="A30" s="11" t="s">
        <v>54</v>
      </c>
      <c r="B30" s="12" t="s">
        <v>55</v>
      </c>
      <c r="C30" s="11" t="s">
        <v>12</v>
      </c>
      <c r="D30" s="11">
        <v>27</v>
      </c>
      <c r="E30" s="13">
        <v>-2989400362</v>
      </c>
      <c r="F30" s="13">
        <v>-2645377206</v>
      </c>
      <c r="G30" s="13">
        <v>-2043278180</v>
      </c>
      <c r="H30" s="13">
        <v>-1793376457</v>
      </c>
    </row>
    <row r="31" spans="1:8" ht="18" customHeight="1" x14ac:dyDescent="0.25">
      <c r="A31" s="16" t="s">
        <v>56</v>
      </c>
      <c r="B31" s="17" t="s">
        <v>57</v>
      </c>
      <c r="C31" s="16"/>
      <c r="D31" s="16"/>
      <c r="E31" s="18">
        <v>6522455985</v>
      </c>
      <c r="F31" s="18">
        <v>5639509902.4804993</v>
      </c>
      <c r="G31" s="18">
        <v>5905286493.7608337</v>
      </c>
      <c r="H31" s="18">
        <v>4325919937</v>
      </c>
    </row>
    <row r="32" spans="1:8" ht="18" customHeight="1" x14ac:dyDescent="0.25">
      <c r="A32" s="11" t="s">
        <v>58</v>
      </c>
      <c r="B32" s="12" t="s">
        <v>59</v>
      </c>
      <c r="C32" s="11" t="s">
        <v>9</v>
      </c>
      <c r="D32" s="11">
        <v>28</v>
      </c>
      <c r="E32" s="13">
        <v>10976020</v>
      </c>
      <c r="F32" s="13">
        <v>27819000</v>
      </c>
      <c r="G32" s="13">
        <v>23488960</v>
      </c>
      <c r="H32" s="13">
        <v>775897602</v>
      </c>
    </row>
    <row r="33" spans="1:8" ht="18" customHeight="1" x14ac:dyDescent="0.25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-2586057624.7399998</v>
      </c>
      <c r="F33" s="13">
        <v>-2299870472</v>
      </c>
      <c r="G33" s="13">
        <v>-2389187584.2600002</v>
      </c>
      <c r="H33" s="13">
        <v>-2331347430</v>
      </c>
    </row>
    <row r="34" spans="1:8" ht="18" customHeight="1" x14ac:dyDescent="0.25">
      <c r="A34" s="16" t="s">
        <v>63</v>
      </c>
      <c r="B34" s="17" t="s">
        <v>64</v>
      </c>
      <c r="C34" s="16"/>
      <c r="D34" s="16"/>
      <c r="E34" s="18">
        <v>3947374380.2600002</v>
      </c>
      <c r="F34" s="18">
        <v>3367458430.4804993</v>
      </c>
      <c r="G34" s="18">
        <v>3539587869.5008335</v>
      </c>
      <c r="H34" s="18">
        <v>2770470109</v>
      </c>
    </row>
    <row r="35" spans="1:8" ht="18" customHeight="1" x14ac:dyDescent="0.25">
      <c r="A35" s="11" t="s">
        <v>65</v>
      </c>
      <c r="B35" s="12" t="s">
        <v>66</v>
      </c>
      <c r="C35" s="11" t="s">
        <v>9</v>
      </c>
      <c r="D35" s="11">
        <v>29</v>
      </c>
      <c r="E35" s="13">
        <v>4423</v>
      </c>
      <c r="F35" s="13">
        <v>404</v>
      </c>
      <c r="G35" s="13">
        <v>0</v>
      </c>
      <c r="H35" s="13">
        <v>0</v>
      </c>
    </row>
    <row r="36" spans="1:8" ht="18" customHeight="1" x14ac:dyDescent="0.25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>
        <v>0</v>
      </c>
      <c r="H36" s="13">
        <v>0</v>
      </c>
    </row>
    <row r="37" spans="1:8" ht="18" customHeight="1" x14ac:dyDescent="0.25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>
        <v>0</v>
      </c>
    </row>
    <row r="38" spans="1:8" ht="18" customHeight="1" x14ac:dyDescent="0.25">
      <c r="A38" s="11" t="s">
        <v>71</v>
      </c>
      <c r="B38" s="12" t="s">
        <v>72</v>
      </c>
      <c r="C38" s="11" t="s">
        <v>12</v>
      </c>
      <c r="D38" s="11">
        <v>29</v>
      </c>
      <c r="E38" s="13">
        <v>-777809479</v>
      </c>
      <c r="F38" s="13">
        <v>-652866538.65038002</v>
      </c>
      <c r="G38" s="13">
        <v>-634303538</v>
      </c>
      <c r="H38" s="13">
        <v>-811378748</v>
      </c>
    </row>
    <row r="39" spans="1:8" ht="18" customHeight="1" x14ac:dyDescent="0.25">
      <c r="A39" s="11" t="s">
        <v>73</v>
      </c>
      <c r="B39" s="12" t="s">
        <v>74</v>
      </c>
      <c r="C39" s="11" t="s">
        <v>12</v>
      </c>
      <c r="D39" s="11" t="s">
        <v>62</v>
      </c>
      <c r="E39" s="13">
        <v>-54152171</v>
      </c>
      <c r="F39" s="13">
        <v>-25488572</v>
      </c>
      <c r="G39" s="13">
        <v>-21703996</v>
      </c>
      <c r="H39" s="13">
        <v>-45233372</v>
      </c>
    </row>
    <row r="40" spans="1:8" ht="18" customHeight="1" x14ac:dyDescent="0.25">
      <c r="A40" s="16" t="s">
        <v>75</v>
      </c>
      <c r="B40" s="17" t="s">
        <v>76</v>
      </c>
      <c r="C40" s="16"/>
      <c r="D40" s="16"/>
      <c r="E40" s="18">
        <v>-831957227</v>
      </c>
      <c r="F40" s="18">
        <v>-678354706.65038002</v>
      </c>
      <c r="G40" s="18">
        <v>-656007534</v>
      </c>
      <c r="H40" s="18">
        <v>-856612120</v>
      </c>
    </row>
    <row r="41" spans="1:8" ht="18" customHeight="1" x14ac:dyDescent="0.25">
      <c r="A41" s="22" t="s">
        <v>77</v>
      </c>
      <c r="B41" s="23" t="s">
        <v>78</v>
      </c>
      <c r="C41" s="22"/>
      <c r="D41" s="22"/>
      <c r="E41" s="24">
        <v>3115417153.2600002</v>
      </c>
      <c r="F41" s="24">
        <v>2689103723.8301191</v>
      </c>
      <c r="G41" s="24">
        <v>2883580335.5008335</v>
      </c>
      <c r="H41" s="24">
        <v>1913857989</v>
      </c>
    </row>
    <row r="42" spans="1:8" ht="18" customHeight="1" x14ac:dyDescent="0.25">
      <c r="A42" s="11" t="s">
        <v>79</v>
      </c>
      <c r="B42" s="12" t="s">
        <v>80</v>
      </c>
      <c r="C42" s="11" t="s">
        <v>9</v>
      </c>
      <c r="D42" s="11" t="s">
        <v>81</v>
      </c>
      <c r="E42" s="13">
        <v>67023728</v>
      </c>
      <c r="F42" s="13">
        <v>9322034</v>
      </c>
      <c r="G42" s="13">
        <v>0</v>
      </c>
      <c r="H42" s="13">
        <v>0</v>
      </c>
    </row>
    <row r="43" spans="1:8" ht="18" customHeight="1" x14ac:dyDescent="0.25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>
        <v>0</v>
      </c>
      <c r="H43" s="13">
        <v>341164468</v>
      </c>
    </row>
    <row r="44" spans="1:8" ht="18" customHeight="1" x14ac:dyDescent="0.25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-12842070</v>
      </c>
      <c r="F44" s="13">
        <v>0</v>
      </c>
      <c r="G44" s="13">
        <v>0</v>
      </c>
      <c r="H44" s="13">
        <v>0</v>
      </c>
    </row>
    <row r="45" spans="1:8" ht="18" customHeight="1" x14ac:dyDescent="0.25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>
        <v>0</v>
      </c>
      <c r="H45" s="13">
        <v>-114441168</v>
      </c>
    </row>
    <row r="46" spans="1:8" ht="18" customHeight="1" x14ac:dyDescent="0.25">
      <c r="A46" s="22" t="s">
        <v>88</v>
      </c>
      <c r="B46" s="23" t="s">
        <v>89</v>
      </c>
      <c r="C46" s="22"/>
      <c r="D46" s="22"/>
      <c r="E46" s="24">
        <v>54181658</v>
      </c>
      <c r="F46" s="24">
        <v>9322034</v>
      </c>
      <c r="G46" s="24">
        <v>0</v>
      </c>
      <c r="H46" s="24">
        <v>226723300</v>
      </c>
    </row>
    <row r="47" spans="1:8" ht="18" customHeight="1" x14ac:dyDescent="0.25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>
        <v>0</v>
      </c>
      <c r="H47" s="13">
        <v>0</v>
      </c>
    </row>
    <row r="48" spans="1:8" ht="18" customHeight="1" x14ac:dyDescent="0.25">
      <c r="A48" s="11" t="s">
        <v>92</v>
      </c>
      <c r="B48" s="12" t="s">
        <v>93</v>
      </c>
      <c r="C48" s="11" t="s">
        <v>12</v>
      </c>
      <c r="D48" s="11"/>
      <c r="E48" s="13">
        <v>-1172240100</v>
      </c>
      <c r="F48" s="13">
        <v>-966556200</v>
      </c>
      <c r="G48" s="13">
        <v>-1071376500</v>
      </c>
      <c r="H48" s="13">
        <v>-813610826</v>
      </c>
    </row>
    <row r="49" spans="1:8" ht="18" customHeight="1" x14ac:dyDescent="0.25">
      <c r="A49" s="16" t="s">
        <v>94</v>
      </c>
      <c r="B49" s="17" t="s">
        <v>95</v>
      </c>
      <c r="C49" s="16"/>
      <c r="D49" s="16"/>
      <c r="E49" s="18">
        <v>1997358711</v>
      </c>
      <c r="F49" s="18">
        <v>1731869558</v>
      </c>
      <c r="G49" s="18">
        <v>1812203836</v>
      </c>
      <c r="H49" s="18">
        <v>1326970463</v>
      </c>
    </row>
    <row r="50" spans="1:8" x14ac:dyDescent="0.25">
      <c r="E50" s="28"/>
      <c r="F50" s="28"/>
    </row>
    <row r="51" spans="1:8" x14ac:dyDescent="0.25">
      <c r="E51" s="28"/>
      <c r="F51" s="28"/>
    </row>
    <row r="52" spans="1:8" x14ac:dyDescent="0.25">
      <c r="E52" s="28"/>
      <c r="F52" s="28"/>
    </row>
    <row r="53" spans="1:8" ht="12.75" customHeight="1" x14ac:dyDescent="0.25">
      <c r="B53" s="29"/>
      <c r="C53" s="29"/>
      <c r="E53" s="28"/>
      <c r="F53" s="28"/>
    </row>
    <row r="54" spans="1:8" ht="12.75" customHeight="1" x14ac:dyDescent="0.25">
      <c r="B54" s="29"/>
      <c r="C54" s="29"/>
      <c r="E54" s="28"/>
      <c r="F54" s="28"/>
    </row>
    <row r="55" spans="1:8" ht="12.75" customHeight="1" x14ac:dyDescent="0.25">
      <c r="B55" s="29"/>
      <c r="C55" s="29"/>
      <c r="E55" s="28"/>
      <c r="F55" s="28"/>
    </row>
    <row r="56" spans="1:8" x14ac:dyDescent="0.25">
      <c r="E56" s="28"/>
      <c r="F56" s="28"/>
    </row>
    <row r="57" spans="1:8" x14ac:dyDescent="0.25">
      <c r="E57" s="28"/>
      <c r="F57" s="28"/>
    </row>
    <row r="58" spans="1:8" ht="12.75" customHeight="1" x14ac:dyDescent="0.25">
      <c r="B58" s="29"/>
      <c r="C58" s="29"/>
    </row>
    <row r="59" spans="1:8" ht="12.75" customHeight="1" x14ac:dyDescent="0.25">
      <c r="B59" s="29"/>
      <c r="C59" s="29"/>
    </row>
    <row r="62" spans="1:8" ht="12.75" customHeight="1" x14ac:dyDescent="0.25">
      <c r="G62" s="30"/>
      <c r="H62" s="30"/>
    </row>
    <row r="63" spans="1:8" ht="12.75" customHeight="1" x14ac:dyDescent="0.25">
      <c r="G63" s="30"/>
      <c r="H63" s="30"/>
    </row>
    <row r="64" spans="1:8" ht="12.75" customHeight="1" x14ac:dyDescent="0.25">
      <c r="G64" s="30"/>
      <c r="H64" s="30"/>
    </row>
    <row r="65" spans="7:8" ht="12.75" customHeight="1" x14ac:dyDescent="0.25">
      <c r="G65" s="30"/>
      <c r="H65" s="30"/>
    </row>
    <row r="66" spans="7:8" ht="12.75" customHeight="1" x14ac:dyDescent="0.25">
      <c r="G66" s="30"/>
      <c r="H66" s="30"/>
    </row>
    <row r="67" spans="7:8" ht="12.75" customHeight="1" x14ac:dyDescent="0.25">
      <c r="G67" s="30"/>
      <c r="H67" s="30"/>
    </row>
    <row r="68" spans="7:8" ht="12.75" customHeight="1" x14ac:dyDescent="0.25">
      <c r="G68" s="30"/>
      <c r="H68" s="30"/>
    </row>
    <row r="69" spans="7:8" ht="12.75" customHeight="1" x14ac:dyDescent="0.25">
      <c r="G69" s="30"/>
      <c r="H69" s="30"/>
    </row>
    <row r="70" spans="7:8" ht="12.75" customHeight="1" x14ac:dyDescent="0.25">
      <c r="G70" s="30"/>
      <c r="H70" s="30"/>
    </row>
    <row r="71" spans="7:8" ht="12.75" customHeight="1" x14ac:dyDescent="0.25">
      <c r="G71" s="30"/>
      <c r="H71" s="30"/>
    </row>
    <row r="72" spans="7:8" ht="12.75" customHeight="1" x14ac:dyDescent="0.25">
      <c r="G72" s="30"/>
      <c r="H72" s="30"/>
    </row>
    <row r="73" spans="7:8" ht="12.75" customHeight="1" x14ac:dyDescent="0.25">
      <c r="G73" s="30"/>
      <c r="H73" s="30"/>
    </row>
    <row r="74" spans="7:8" ht="12.75" customHeight="1" x14ac:dyDescent="0.25">
      <c r="G74" s="30"/>
      <c r="H74" s="30"/>
    </row>
    <row r="75" spans="7:8" ht="12.75" customHeight="1" x14ac:dyDescent="0.25">
      <c r="G75" s="30"/>
      <c r="H75" s="30"/>
    </row>
    <row r="76" spans="7:8" ht="12.75" customHeight="1" x14ac:dyDescent="0.25">
      <c r="G76" s="30"/>
      <c r="H76" s="30"/>
    </row>
    <row r="77" spans="7:8" ht="12.75" customHeight="1" x14ac:dyDescent="0.25">
      <c r="G77" s="30"/>
      <c r="H77" s="30"/>
    </row>
    <row r="78" spans="7:8" ht="12.75" customHeight="1" x14ac:dyDescent="0.25">
      <c r="G78" s="30"/>
      <c r="H78" s="30"/>
    </row>
    <row r="79" spans="7:8" ht="12.75" customHeight="1" x14ac:dyDescent="0.25">
      <c r="G79" s="30"/>
      <c r="H79" s="30"/>
    </row>
    <row r="80" spans="7:8" ht="12.75" customHeight="1" x14ac:dyDescent="0.25">
      <c r="G80" s="30"/>
      <c r="H80" s="30"/>
    </row>
    <row r="81" spans="7:8" ht="12.75" customHeight="1" x14ac:dyDescent="0.25">
      <c r="G81" s="30"/>
      <c r="H81" s="30"/>
    </row>
    <row r="82" spans="7:8" ht="12.75" customHeight="1" x14ac:dyDescent="0.25">
      <c r="G82" s="30"/>
      <c r="H82" s="30"/>
    </row>
    <row r="83" spans="7:8" ht="12.75" customHeight="1" x14ac:dyDescent="0.25">
      <c r="G83" s="30"/>
      <c r="H83" s="30"/>
    </row>
    <row r="84" spans="7:8" ht="12.75" customHeight="1" x14ac:dyDescent="0.25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89F5E80-3EC4-4580-A26E-705542ECB7B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9D54C583-7DA0-420A-A65C-F9EF806CA25C}"/>
    <dataValidation allowBlank="1" showInputMessage="1" showErrorMessage="1" errorTitle="Erreur de saisie" error="La cellule ne peut prendre que du numérique." promptTitle="Information" prompt="Cette cellule ne peut prendre que du numérique," sqref="E8:H49" xr:uid="{ED466D52-DAB6-4E1D-8619-AE02BF0DCA35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CB787-DA47-48A9-BC41-FA337D95F781}">
  <sheetPr codeName="Feuil37"/>
  <dimension ref="A7:F84"/>
  <sheetViews>
    <sheetView workbookViewId="0"/>
  </sheetViews>
  <sheetFormatPr baseColWidth="10" defaultRowHeight="15" x14ac:dyDescent="0.25"/>
  <cols>
    <col min="1" max="1" width="11.7109375" style="49" customWidth="1" collapsed="1"/>
    <col min="2" max="2" width="56" style="50" bestFit="1" customWidth="1" collapsed="1"/>
    <col min="3" max="3" width="3.140625" style="50" bestFit="1" customWidth="1" collapsed="1"/>
    <col min="4" max="4" width="13.5703125" style="50" customWidth="1" collapsed="1"/>
    <col min="5" max="6" width="15.7109375" style="51" customWidth="1" collapsed="1"/>
  </cols>
  <sheetData>
    <row r="7" spans="1:6" x14ac:dyDescent="0.25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</row>
    <row r="8" spans="1:6" x14ac:dyDescent="0.25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</row>
    <row r="9" spans="1:6" x14ac:dyDescent="0.25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</row>
    <row r="10" spans="1:6" x14ac:dyDescent="0.25">
      <c r="A10" s="38" t="s">
        <v>13</v>
      </c>
      <c r="B10" s="40" t="s">
        <v>14</v>
      </c>
      <c r="C10" s="41" t="s">
        <v>15</v>
      </c>
      <c r="D10" s="41">
        <v>6</v>
      </c>
      <c r="E10" s="37">
        <v>0</v>
      </c>
      <c r="F10" s="37">
        <v>0</v>
      </c>
    </row>
    <row r="11" spans="1:6" x14ac:dyDescent="0.25">
      <c r="A11" s="42" t="s">
        <v>16</v>
      </c>
      <c r="B11" s="43" t="s">
        <v>17</v>
      </c>
      <c r="C11" s="42"/>
      <c r="D11" s="42"/>
      <c r="E11" s="54">
        <v>0</v>
      </c>
      <c r="F11" s="54">
        <v>0</v>
      </c>
    </row>
    <row r="12" spans="1:6" x14ac:dyDescent="0.25">
      <c r="A12" s="38" t="s">
        <v>18</v>
      </c>
      <c r="B12" s="39" t="s">
        <v>19</v>
      </c>
      <c r="C12" s="38" t="s">
        <v>9</v>
      </c>
      <c r="D12" s="38">
        <v>21</v>
      </c>
      <c r="E12" s="37">
        <v>0</v>
      </c>
      <c r="F12" s="37">
        <v>0</v>
      </c>
    </row>
    <row r="13" spans="1:6" x14ac:dyDescent="0.25">
      <c r="A13" s="38" t="s">
        <v>20</v>
      </c>
      <c r="B13" s="39" t="s">
        <v>21</v>
      </c>
      <c r="C13" s="38" t="s">
        <v>9</v>
      </c>
      <c r="D13" s="38">
        <v>21</v>
      </c>
      <c r="E13" s="37">
        <v>0</v>
      </c>
      <c r="F13" s="37">
        <v>0</v>
      </c>
    </row>
    <row r="14" spans="1:6" x14ac:dyDescent="0.25">
      <c r="A14" s="38" t="s">
        <v>22</v>
      </c>
      <c r="B14" s="39" t="s">
        <v>23</v>
      </c>
      <c r="C14" s="38" t="s">
        <v>9</v>
      </c>
      <c r="D14" s="38">
        <v>21</v>
      </c>
      <c r="E14" s="37">
        <v>0</v>
      </c>
      <c r="F14" s="37">
        <v>0</v>
      </c>
    </row>
    <row r="15" spans="1:6" x14ac:dyDescent="0.25">
      <c r="A15" s="42" t="s">
        <v>24</v>
      </c>
      <c r="B15" s="43" t="s">
        <v>25</v>
      </c>
      <c r="C15" s="42"/>
      <c r="D15" s="42"/>
      <c r="E15" s="54">
        <v>0</v>
      </c>
      <c r="F15" s="54">
        <v>0</v>
      </c>
    </row>
    <row r="16" spans="1:6" x14ac:dyDescent="0.25">
      <c r="A16" s="38" t="s">
        <v>26</v>
      </c>
      <c r="B16" s="39" t="s">
        <v>27</v>
      </c>
      <c r="C16" s="41" t="s">
        <v>15</v>
      </c>
      <c r="D16" s="38">
        <v>6</v>
      </c>
      <c r="E16" s="37">
        <v>0</v>
      </c>
      <c r="F16" s="37">
        <v>0</v>
      </c>
    </row>
    <row r="17" spans="1:6" x14ac:dyDescent="0.25">
      <c r="A17" s="38" t="s">
        <v>28</v>
      </c>
      <c r="B17" s="39" t="s">
        <v>29</v>
      </c>
      <c r="C17" s="38"/>
      <c r="D17" s="38">
        <v>21</v>
      </c>
      <c r="E17" s="37">
        <v>0</v>
      </c>
      <c r="F17" s="37">
        <v>0</v>
      </c>
    </row>
    <row r="18" spans="1:6" x14ac:dyDescent="0.25">
      <c r="A18" s="38" t="s">
        <v>30</v>
      </c>
      <c r="B18" s="39" t="s">
        <v>31</v>
      </c>
      <c r="C18" s="38"/>
      <c r="D18" s="38">
        <v>21</v>
      </c>
      <c r="E18" s="37">
        <v>0</v>
      </c>
      <c r="F18" s="37">
        <v>0</v>
      </c>
    </row>
    <row r="19" spans="1:6" x14ac:dyDescent="0.25">
      <c r="A19" s="38" t="s">
        <v>32</v>
      </c>
      <c r="B19" s="39" t="s">
        <v>33</v>
      </c>
      <c r="C19" s="38" t="s">
        <v>9</v>
      </c>
      <c r="D19" s="38">
        <v>21</v>
      </c>
      <c r="E19" s="37">
        <v>0</v>
      </c>
      <c r="F19" s="37">
        <v>0</v>
      </c>
    </row>
    <row r="20" spans="1:6" x14ac:dyDescent="0.25">
      <c r="A20" s="65" t="s">
        <v>34</v>
      </c>
      <c r="B20" s="66" t="s">
        <v>35</v>
      </c>
      <c r="C20" s="65" t="s">
        <v>9</v>
      </c>
      <c r="D20" s="65">
        <v>12</v>
      </c>
      <c r="E20" s="69">
        <v>0</v>
      </c>
      <c r="F20" s="69">
        <v>0</v>
      </c>
    </row>
    <row r="21" spans="1:6" x14ac:dyDescent="0.25">
      <c r="A21" s="38" t="s">
        <v>36</v>
      </c>
      <c r="B21" s="39" t="s">
        <v>37</v>
      </c>
      <c r="C21" s="38" t="s">
        <v>12</v>
      </c>
      <c r="D21" s="38">
        <v>22</v>
      </c>
      <c r="E21" s="37">
        <v>0</v>
      </c>
      <c r="F21" s="37">
        <v>0</v>
      </c>
    </row>
    <row r="22" spans="1:6" x14ac:dyDescent="0.25">
      <c r="A22" s="38" t="s">
        <v>38</v>
      </c>
      <c r="B22" s="40" t="s">
        <v>39</v>
      </c>
      <c r="C22" s="41" t="s">
        <v>15</v>
      </c>
      <c r="D22" s="38">
        <v>6</v>
      </c>
      <c r="E22" s="37">
        <v>0</v>
      </c>
      <c r="F22" s="37">
        <v>0</v>
      </c>
    </row>
    <row r="23" spans="1:6" x14ac:dyDescent="0.25">
      <c r="A23" s="38" t="s">
        <v>40</v>
      </c>
      <c r="B23" s="39" t="s">
        <v>41</v>
      </c>
      <c r="C23" s="38" t="s">
        <v>12</v>
      </c>
      <c r="D23" s="38">
        <v>22</v>
      </c>
      <c r="E23" s="37">
        <v>0</v>
      </c>
      <c r="F23" s="37">
        <v>0</v>
      </c>
    </row>
    <row r="24" spans="1:6" x14ac:dyDescent="0.25">
      <c r="A24" s="38" t="s">
        <v>42</v>
      </c>
      <c r="B24" s="40" t="s">
        <v>43</v>
      </c>
      <c r="C24" s="41" t="s">
        <v>15</v>
      </c>
      <c r="D24" s="38">
        <v>6</v>
      </c>
      <c r="E24" s="37">
        <v>0</v>
      </c>
      <c r="F24" s="37">
        <v>0</v>
      </c>
    </row>
    <row r="25" spans="1:6" x14ac:dyDescent="0.25">
      <c r="A25" s="38" t="s">
        <v>44</v>
      </c>
      <c r="B25" s="39" t="s">
        <v>45</v>
      </c>
      <c r="C25" s="38" t="s">
        <v>12</v>
      </c>
      <c r="D25" s="38">
        <v>23</v>
      </c>
      <c r="E25" s="37">
        <v>0</v>
      </c>
      <c r="F25" s="37">
        <v>0</v>
      </c>
    </row>
    <row r="26" spans="1:6" x14ac:dyDescent="0.25">
      <c r="A26" s="38" t="s">
        <v>46</v>
      </c>
      <c r="B26" s="39" t="s">
        <v>47</v>
      </c>
      <c r="C26" s="38" t="s">
        <v>12</v>
      </c>
      <c r="D26" s="38">
        <v>24</v>
      </c>
      <c r="E26" s="37">
        <v>0</v>
      </c>
      <c r="F26" s="37">
        <v>0</v>
      </c>
    </row>
    <row r="27" spans="1:6" x14ac:dyDescent="0.25">
      <c r="A27" s="38" t="s">
        <v>48</v>
      </c>
      <c r="B27" s="39" t="s">
        <v>49</v>
      </c>
      <c r="C27" s="38" t="s">
        <v>12</v>
      </c>
      <c r="D27" s="38">
        <v>25</v>
      </c>
      <c r="E27" s="37">
        <v>0</v>
      </c>
      <c r="F27" s="37">
        <v>0</v>
      </c>
    </row>
    <row r="28" spans="1:6" x14ac:dyDescent="0.25">
      <c r="A28" s="38" t="s">
        <v>50</v>
      </c>
      <c r="B28" s="39" t="s">
        <v>51</v>
      </c>
      <c r="C28" s="38" t="s">
        <v>12</v>
      </c>
      <c r="D28" s="38">
        <v>26</v>
      </c>
      <c r="E28" s="37">
        <v>0</v>
      </c>
      <c r="F28" s="37">
        <v>0</v>
      </c>
    </row>
    <row r="29" spans="1:6" x14ac:dyDescent="0.25">
      <c r="A29" s="42" t="s">
        <v>52</v>
      </c>
      <c r="B29" s="43" t="s">
        <v>53</v>
      </c>
      <c r="C29" s="42"/>
      <c r="D29" s="42"/>
      <c r="E29" s="54">
        <v>0</v>
      </c>
      <c r="F29" s="54">
        <v>0</v>
      </c>
    </row>
    <row r="30" spans="1:6" x14ac:dyDescent="0.25">
      <c r="A30" s="38" t="s">
        <v>54</v>
      </c>
      <c r="B30" s="39" t="s">
        <v>55</v>
      </c>
      <c r="C30" s="38" t="s">
        <v>12</v>
      </c>
      <c r="D30" s="38">
        <v>27</v>
      </c>
      <c r="E30" s="37">
        <v>0</v>
      </c>
      <c r="F30" s="37">
        <v>0</v>
      </c>
    </row>
    <row r="31" spans="1:6" x14ac:dyDescent="0.25">
      <c r="A31" s="42" t="s">
        <v>56</v>
      </c>
      <c r="B31" s="43" t="s">
        <v>57</v>
      </c>
      <c r="C31" s="42"/>
      <c r="D31" s="42"/>
      <c r="E31" s="54">
        <v>0</v>
      </c>
      <c r="F31" s="54">
        <v>0</v>
      </c>
    </row>
    <row r="32" spans="1:6" x14ac:dyDescent="0.25">
      <c r="A32" s="38" t="s">
        <v>58</v>
      </c>
      <c r="B32" s="39" t="s">
        <v>59</v>
      </c>
      <c r="C32" s="38" t="s">
        <v>9</v>
      </c>
      <c r="D32" s="38">
        <v>28</v>
      </c>
      <c r="E32" s="37">
        <v>0</v>
      </c>
      <c r="F32" s="37">
        <v>0</v>
      </c>
    </row>
    <row r="33" spans="1:6" x14ac:dyDescent="0.25">
      <c r="A33" s="65" t="s">
        <v>60</v>
      </c>
      <c r="B33" s="66" t="s">
        <v>61</v>
      </c>
      <c r="C33" s="65" t="s">
        <v>12</v>
      </c>
      <c r="D33" s="65" t="s">
        <v>62</v>
      </c>
      <c r="E33" s="69">
        <v>0</v>
      </c>
      <c r="F33" s="69">
        <v>0</v>
      </c>
    </row>
    <row r="34" spans="1:6" x14ac:dyDescent="0.25">
      <c r="A34" s="42" t="s">
        <v>63</v>
      </c>
      <c r="B34" s="43" t="s">
        <v>64</v>
      </c>
      <c r="C34" s="42"/>
      <c r="D34" s="42"/>
      <c r="E34" s="54">
        <v>0</v>
      </c>
      <c r="F34" s="54">
        <v>0</v>
      </c>
    </row>
    <row r="35" spans="1:6" x14ac:dyDescent="0.25">
      <c r="A35" s="38" t="s">
        <v>65</v>
      </c>
      <c r="B35" s="39" t="s">
        <v>66</v>
      </c>
      <c r="C35" s="38" t="s">
        <v>9</v>
      </c>
      <c r="D35" s="38">
        <v>29</v>
      </c>
      <c r="E35" s="37">
        <v>0</v>
      </c>
      <c r="F35" s="37">
        <v>0</v>
      </c>
    </row>
    <row r="36" spans="1:6" x14ac:dyDescent="0.25">
      <c r="A36" s="38" t="s">
        <v>67</v>
      </c>
      <c r="B36" s="39" t="s">
        <v>68</v>
      </c>
      <c r="C36" s="38" t="s">
        <v>9</v>
      </c>
      <c r="D36" s="38">
        <v>28</v>
      </c>
      <c r="E36" s="37">
        <v>0</v>
      </c>
      <c r="F36" s="37">
        <v>0</v>
      </c>
    </row>
    <row r="37" spans="1:6" x14ac:dyDescent="0.25">
      <c r="A37" s="38" t="s">
        <v>69</v>
      </c>
      <c r="B37" s="39" t="s">
        <v>70</v>
      </c>
      <c r="C37" s="38" t="s">
        <v>9</v>
      </c>
      <c r="D37" s="38">
        <v>12</v>
      </c>
      <c r="E37" s="37">
        <v>0</v>
      </c>
      <c r="F37" s="37">
        <v>0</v>
      </c>
    </row>
    <row r="38" spans="1:6" x14ac:dyDescent="0.25">
      <c r="A38" s="38" t="s">
        <v>71</v>
      </c>
      <c r="B38" s="39" t="s">
        <v>72</v>
      </c>
      <c r="C38" s="38" t="s">
        <v>12</v>
      </c>
      <c r="D38" s="38">
        <v>29</v>
      </c>
      <c r="E38" s="37">
        <v>0</v>
      </c>
      <c r="F38" s="37">
        <v>0</v>
      </c>
    </row>
    <row r="39" spans="1:6" x14ac:dyDescent="0.25">
      <c r="A39" s="38" t="s">
        <v>73</v>
      </c>
      <c r="B39" s="39" t="s">
        <v>74</v>
      </c>
      <c r="C39" s="38" t="s">
        <v>12</v>
      </c>
      <c r="D39" s="38" t="s">
        <v>62</v>
      </c>
      <c r="E39" s="37">
        <v>0</v>
      </c>
      <c r="F39" s="37">
        <v>0</v>
      </c>
    </row>
    <row r="40" spans="1:6" x14ac:dyDescent="0.25">
      <c r="A40" s="42" t="s">
        <v>75</v>
      </c>
      <c r="B40" s="43" t="s">
        <v>76</v>
      </c>
      <c r="C40" s="42"/>
      <c r="D40" s="42"/>
      <c r="E40" s="54">
        <v>0</v>
      </c>
      <c r="F40" s="54">
        <v>0</v>
      </c>
    </row>
    <row r="41" spans="1:6" x14ac:dyDescent="0.25">
      <c r="A41" s="46" t="s">
        <v>77</v>
      </c>
      <c r="B41" s="47" t="s">
        <v>78</v>
      </c>
      <c r="C41" s="46"/>
      <c r="D41" s="46"/>
      <c r="E41" s="55">
        <v>0</v>
      </c>
      <c r="F41" s="55">
        <v>0</v>
      </c>
    </row>
    <row r="42" spans="1:6" x14ac:dyDescent="0.25">
      <c r="A42" s="38" t="s">
        <v>79</v>
      </c>
      <c r="B42" s="39" t="s">
        <v>80</v>
      </c>
      <c r="C42" s="38" t="s">
        <v>9</v>
      </c>
      <c r="D42" s="38" t="s">
        <v>81</v>
      </c>
      <c r="E42" s="37">
        <v>0</v>
      </c>
      <c r="F42" s="37">
        <v>0</v>
      </c>
    </row>
    <row r="43" spans="1:6" x14ac:dyDescent="0.25">
      <c r="A43" s="38" t="s">
        <v>82</v>
      </c>
      <c r="B43" s="39" t="s">
        <v>83</v>
      </c>
      <c r="C43" s="38" t="s">
        <v>9</v>
      </c>
      <c r="D43" s="38">
        <v>30</v>
      </c>
      <c r="E43" s="37">
        <v>0</v>
      </c>
      <c r="F43" s="37">
        <v>0</v>
      </c>
    </row>
    <row r="44" spans="1:6" x14ac:dyDescent="0.25">
      <c r="A44" s="38" t="s">
        <v>84</v>
      </c>
      <c r="B44" s="39" t="s">
        <v>85</v>
      </c>
      <c r="C44" s="38" t="s">
        <v>12</v>
      </c>
      <c r="D44" s="38" t="s">
        <v>81</v>
      </c>
      <c r="E44" s="37">
        <v>0</v>
      </c>
      <c r="F44" s="37">
        <v>0</v>
      </c>
    </row>
    <row r="45" spans="1:6" x14ac:dyDescent="0.25">
      <c r="A45" s="38" t="s">
        <v>86</v>
      </c>
      <c r="B45" s="39" t="s">
        <v>87</v>
      </c>
      <c r="C45" s="38" t="s">
        <v>12</v>
      </c>
      <c r="D45" s="38">
        <v>30</v>
      </c>
      <c r="E45" s="37">
        <v>0</v>
      </c>
      <c r="F45" s="37">
        <v>0</v>
      </c>
    </row>
    <row r="46" spans="1:6" x14ac:dyDescent="0.25">
      <c r="A46" s="46" t="s">
        <v>88</v>
      </c>
      <c r="B46" s="47" t="s">
        <v>89</v>
      </c>
      <c r="C46" s="46"/>
      <c r="D46" s="46"/>
      <c r="E46" s="55">
        <v>0</v>
      </c>
      <c r="F46" s="55">
        <v>0</v>
      </c>
    </row>
    <row r="47" spans="1:6" x14ac:dyDescent="0.25">
      <c r="A47" s="38" t="s">
        <v>90</v>
      </c>
      <c r="B47" s="39" t="s">
        <v>91</v>
      </c>
      <c r="C47" s="38" t="s">
        <v>12</v>
      </c>
      <c r="D47" s="38">
        <v>30</v>
      </c>
      <c r="E47" s="37">
        <v>0</v>
      </c>
      <c r="F47" s="37">
        <v>0</v>
      </c>
    </row>
    <row r="48" spans="1:6" x14ac:dyDescent="0.25">
      <c r="A48" s="38" t="s">
        <v>92</v>
      </c>
      <c r="B48" s="39" t="s">
        <v>93</v>
      </c>
      <c r="C48" s="38" t="s">
        <v>12</v>
      </c>
      <c r="D48" s="38"/>
      <c r="E48" s="37">
        <v>0</v>
      </c>
      <c r="F48" s="37">
        <v>0</v>
      </c>
    </row>
    <row r="49" spans="1:6" x14ac:dyDescent="0.25">
      <c r="A49" s="42" t="s">
        <v>94</v>
      </c>
      <c r="B49" s="43" t="s">
        <v>95</v>
      </c>
      <c r="C49" s="42"/>
      <c r="D49" s="42"/>
      <c r="E49" s="54">
        <v>0</v>
      </c>
      <c r="F49" s="54">
        <v>0</v>
      </c>
    </row>
    <row r="53" spans="1:6" x14ac:dyDescent="0.25">
      <c r="B53" s="52"/>
      <c r="C53" s="52"/>
    </row>
    <row r="54" spans="1:6" x14ac:dyDescent="0.25">
      <c r="B54" s="52"/>
      <c r="C54" s="52"/>
    </row>
    <row r="55" spans="1:6" x14ac:dyDescent="0.25">
      <c r="B55" s="52"/>
      <c r="C55" s="52"/>
    </row>
    <row r="58" spans="1:6" x14ac:dyDescent="0.25">
      <c r="B58" s="52"/>
      <c r="C58" s="52"/>
    </row>
    <row r="59" spans="1:6" x14ac:dyDescent="0.25">
      <c r="B59" s="52"/>
      <c r="C59" s="52"/>
    </row>
    <row r="62" spans="1:6" x14ac:dyDescent="0.25">
      <c r="E62" s="53"/>
      <c r="F62" s="53"/>
    </row>
    <row r="63" spans="1:6" x14ac:dyDescent="0.25">
      <c r="E63" s="53"/>
      <c r="F63" s="53"/>
    </row>
    <row r="64" spans="1:6" x14ac:dyDescent="0.25">
      <c r="E64" s="53"/>
      <c r="F64" s="53"/>
    </row>
    <row r="65" spans="5:6" x14ac:dyDescent="0.25">
      <c r="E65" s="53"/>
      <c r="F65" s="53"/>
    </row>
    <row r="66" spans="5:6" x14ac:dyDescent="0.25">
      <c r="E66" s="53"/>
      <c r="F66" s="53"/>
    </row>
    <row r="67" spans="5:6" x14ac:dyDescent="0.25">
      <c r="E67" s="53"/>
      <c r="F67" s="53"/>
    </row>
    <row r="68" spans="5:6" x14ac:dyDescent="0.25">
      <c r="E68" s="53"/>
      <c r="F68" s="53"/>
    </row>
    <row r="69" spans="5:6" x14ac:dyDescent="0.25">
      <c r="E69" s="53"/>
      <c r="F69" s="53"/>
    </row>
    <row r="70" spans="5:6" x14ac:dyDescent="0.25">
      <c r="E70" s="53"/>
      <c r="F70" s="53"/>
    </row>
    <row r="71" spans="5:6" x14ac:dyDescent="0.25">
      <c r="E71" s="53"/>
      <c r="F71" s="53"/>
    </row>
    <row r="72" spans="5:6" x14ac:dyDescent="0.25">
      <c r="E72" s="53"/>
      <c r="F72" s="53"/>
    </row>
    <row r="73" spans="5:6" x14ac:dyDescent="0.25">
      <c r="E73" s="53"/>
      <c r="F73" s="53"/>
    </row>
    <row r="74" spans="5:6" x14ac:dyDescent="0.25">
      <c r="E74" s="53"/>
      <c r="F74" s="53"/>
    </row>
    <row r="75" spans="5:6" x14ac:dyDescent="0.25">
      <c r="E75" s="53"/>
      <c r="F75" s="53"/>
    </row>
    <row r="76" spans="5:6" x14ac:dyDescent="0.25">
      <c r="E76" s="53"/>
      <c r="F76" s="53"/>
    </row>
    <row r="77" spans="5:6" x14ac:dyDescent="0.25">
      <c r="E77" s="53"/>
      <c r="F77" s="53"/>
    </row>
    <row r="78" spans="5:6" x14ac:dyDescent="0.25">
      <c r="E78" s="53"/>
      <c r="F78" s="53"/>
    </row>
    <row r="79" spans="5:6" x14ac:dyDescent="0.25">
      <c r="E79" s="53"/>
      <c r="F79" s="53"/>
    </row>
    <row r="80" spans="5:6" x14ac:dyDescent="0.25">
      <c r="E80" s="53"/>
      <c r="F80" s="53"/>
    </row>
    <row r="81" spans="5:6" x14ac:dyDescent="0.25">
      <c r="E81" s="53"/>
      <c r="F81" s="53"/>
    </row>
    <row r="82" spans="5:6" x14ac:dyDescent="0.25">
      <c r="E82" s="53"/>
      <c r="F82" s="53"/>
    </row>
    <row r="83" spans="5:6" x14ac:dyDescent="0.25">
      <c r="E83" s="53"/>
      <c r="F83" s="53"/>
    </row>
    <row r="84" spans="5:6" x14ac:dyDescent="0.25">
      <c r="E84" s="53"/>
      <c r="F84" s="53"/>
    </row>
  </sheetData>
  <dataValidations disablePrompts="1" count="1">
    <dataValidation allowBlank="1" showInputMessage="1" showErrorMessage="1" errorTitle="Erreur de saisie" error="La cellule ne peut prendre que du numérique." promptTitle="Information" prompt="Cette cellule ne peut prendre que du numérique," sqref="E8:F49" xr:uid="{04402914-A969-4917-9D27-4585702F813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A231F-A574-41A9-87D1-6B1D69E1F659}">
  <sheetPr codeName="Feuil47"/>
  <dimension ref="A1:L6"/>
  <sheetViews>
    <sheetView workbookViewId="0"/>
  </sheetViews>
  <sheetFormatPr baseColWidth="10" defaultRowHeight="15" x14ac:dyDescent="0.25"/>
  <cols>
    <col min="1" max="10" width="25.42578125" bestFit="1" customWidth="1"/>
    <col min="11" max="11" width="23.42578125" bestFit="1" customWidth="1"/>
    <col min="12" max="12" width="18.42578125" bestFit="1" customWidth="1"/>
  </cols>
  <sheetData>
    <row r="1" spans="1:12" x14ac:dyDescent="0.25">
      <c r="A1" s="129" t="s">
        <v>200</v>
      </c>
      <c r="B1" s="125" t="s">
        <v>181</v>
      </c>
    </row>
    <row r="3" spans="1:12" s="94" customFormat="1" x14ac:dyDescent="0.25">
      <c r="A3" s="131" t="s">
        <v>205</v>
      </c>
    </row>
    <row r="4" spans="1:12" s="94" customFormat="1" x14ac:dyDescent="0.25">
      <c r="A4" s="94">
        <v>2020</v>
      </c>
      <c r="C4" s="94">
        <v>2021</v>
      </c>
      <c r="E4" s="94">
        <v>2022</v>
      </c>
      <c r="G4" s="94">
        <v>2023</v>
      </c>
      <c r="I4" s="94">
        <v>2024</v>
      </c>
      <c r="K4" s="94" t="s">
        <v>207</v>
      </c>
      <c r="L4" s="94" t="s">
        <v>209</v>
      </c>
    </row>
    <row r="5" spans="1:12" s="94" customFormat="1" x14ac:dyDescent="0.25">
      <c r="A5" s="94" t="s">
        <v>208</v>
      </c>
      <c r="B5" s="94" t="s">
        <v>210</v>
      </c>
      <c r="C5" s="94" t="s">
        <v>208</v>
      </c>
      <c r="D5" s="94" t="s">
        <v>210</v>
      </c>
      <c r="E5" s="94" t="s">
        <v>208</v>
      </c>
      <c r="F5" s="94" t="s">
        <v>210</v>
      </c>
      <c r="G5" s="94" t="s">
        <v>208</v>
      </c>
      <c r="H5" s="94" t="s">
        <v>210</v>
      </c>
      <c r="I5" s="94" t="s">
        <v>208</v>
      </c>
      <c r="J5" s="94" t="s">
        <v>210</v>
      </c>
    </row>
    <row r="6" spans="1:12" s="94" customFormat="1" x14ac:dyDescent="0.25">
      <c r="A6" s="94">
        <v>157009696804</v>
      </c>
      <c r="B6" s="94">
        <v>49090566419</v>
      </c>
      <c r="C6" s="94">
        <v>123502918007</v>
      </c>
      <c r="D6" s="94">
        <v>31337723864</v>
      </c>
      <c r="E6" s="94">
        <v>147862815768</v>
      </c>
      <c r="F6" s="94">
        <v>22855910095</v>
      </c>
      <c r="G6" s="94">
        <v>138230031552</v>
      </c>
      <c r="H6" s="94">
        <v>22694238966</v>
      </c>
      <c r="I6" s="94">
        <v>175133858574</v>
      </c>
      <c r="J6" s="94">
        <v>36396157176</v>
      </c>
      <c r="K6" s="94">
        <v>741739320705</v>
      </c>
      <c r="L6" s="94">
        <v>162374596520</v>
      </c>
    </row>
  </sheetData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8024-0BBE-4125-8F32-F7065A3675F0}">
  <sheetPr codeName="Feuil1"/>
  <dimension ref="A1:BM9"/>
  <sheetViews>
    <sheetView workbookViewId="0"/>
  </sheetViews>
  <sheetFormatPr baseColWidth="10" defaultRowHeight="15" x14ac:dyDescent="0.25"/>
  <cols>
    <col min="1" max="1" width="22.42578125" style="94" bestFit="1" customWidth="1"/>
    <col min="2" max="2" width="25.28515625" style="94" bestFit="1" customWidth="1"/>
    <col min="3" max="3" width="5.7109375" style="94" bestFit="1" customWidth="1"/>
    <col min="4" max="4" width="15.42578125" style="94" bestFit="1" customWidth="1"/>
    <col min="5" max="5" width="14.7109375" style="94" bestFit="1" customWidth="1"/>
    <col min="6" max="6" width="17.28515625" style="94" bestFit="1" customWidth="1"/>
    <col min="7" max="7" width="12.85546875" style="94" bestFit="1" customWidth="1"/>
    <col min="8" max="8" width="15.7109375" style="94" bestFit="1" customWidth="1"/>
    <col min="9" max="10" width="13.7109375" style="94" bestFit="1" customWidth="1"/>
    <col min="11" max="11" width="14.7109375" style="94" bestFit="1" customWidth="1"/>
    <col min="12" max="12" width="10.28515625" style="94" bestFit="1" customWidth="1"/>
    <col min="13" max="13" width="15.7109375" style="94" bestFit="1" customWidth="1"/>
    <col min="14" max="14" width="13.7109375" style="94" bestFit="1" customWidth="1"/>
    <col min="15" max="15" width="12.28515625" style="94" bestFit="1" customWidth="1"/>
    <col min="16" max="16" width="11.140625" style="94" bestFit="1" customWidth="1"/>
    <col min="17" max="17" width="15.7109375" style="94" bestFit="1" customWidth="1"/>
    <col min="18" max="18" width="10.28515625" style="94" bestFit="1" customWidth="1"/>
    <col min="19" max="19" width="10.42578125" style="94" bestFit="1" customWidth="1"/>
    <col min="20" max="20" width="10.140625" style="94" bestFit="1" customWidth="1"/>
    <col min="21" max="21" width="13.7109375" style="94" bestFit="1" customWidth="1"/>
    <col min="22" max="22" width="15.7109375" style="94" bestFit="1" customWidth="1"/>
    <col min="23" max="23" width="13.7109375" style="94" bestFit="1" customWidth="1"/>
    <col min="24" max="24" width="15.7109375" style="94" bestFit="1" customWidth="1"/>
    <col min="25" max="25" width="6.42578125" style="94" bestFit="1" customWidth="1"/>
    <col min="26" max="26" width="14.7109375" style="94" bestFit="1" customWidth="1"/>
    <col min="27" max="27" width="9.85546875" style="94" bestFit="1" customWidth="1"/>
    <col min="28" max="28" width="8.28515625" style="94" bestFit="1" customWidth="1"/>
    <col min="29" max="29" width="12.28515625" style="94" bestFit="1" customWidth="1"/>
    <col min="30" max="30" width="13.5703125" style="94" bestFit="1" customWidth="1"/>
    <col min="31" max="31" width="12.140625" style="94" bestFit="1" customWidth="1"/>
    <col min="32" max="32" width="12.42578125" style="94" bestFit="1" customWidth="1"/>
    <col min="33" max="33" width="15.7109375" style="94" bestFit="1" customWidth="1"/>
    <col min="34" max="34" width="17.5703125" style="94" bestFit="1" customWidth="1"/>
    <col min="35" max="35" width="15.42578125" style="94" bestFit="1" customWidth="1"/>
    <col min="36" max="36" width="17.5703125" style="94" bestFit="1" customWidth="1"/>
    <col min="37" max="37" width="15.42578125" style="94" bestFit="1" customWidth="1"/>
    <col min="38" max="38" width="17.5703125" style="94" bestFit="1" customWidth="1"/>
    <col min="39" max="39" width="15.42578125" style="94" bestFit="1" customWidth="1"/>
    <col min="40" max="40" width="17.5703125" style="94" bestFit="1" customWidth="1"/>
    <col min="41" max="41" width="15.42578125" style="94" bestFit="1" customWidth="1"/>
    <col min="42" max="42" width="17.5703125" style="94" bestFit="1" customWidth="1"/>
    <col min="43" max="43" width="15.42578125" style="94" bestFit="1" customWidth="1"/>
    <col min="44" max="44" width="17.5703125" style="94" bestFit="1" customWidth="1"/>
    <col min="45" max="45" width="15.42578125" style="94" bestFit="1" customWidth="1"/>
    <col min="46" max="46" width="17.5703125" style="94" bestFit="1" customWidth="1"/>
    <col min="47" max="47" width="15.42578125" style="94" bestFit="1" customWidth="1"/>
    <col min="48" max="48" width="17.5703125" style="94" bestFit="1" customWidth="1"/>
    <col min="49" max="49" width="15.42578125" style="94" bestFit="1" customWidth="1"/>
    <col min="50" max="50" width="17.5703125" style="94" bestFit="1" customWidth="1"/>
    <col min="51" max="51" width="15.42578125" style="94" bestFit="1" customWidth="1"/>
    <col min="52" max="52" width="17.5703125" style="94" bestFit="1" customWidth="1"/>
    <col min="53" max="53" width="15.42578125" style="94" bestFit="1" customWidth="1"/>
    <col min="54" max="54" width="17.5703125" style="94" bestFit="1" customWidth="1"/>
    <col min="55" max="55" width="15.42578125" style="94" bestFit="1" customWidth="1"/>
    <col min="56" max="56" width="17.5703125" style="94" bestFit="1" customWidth="1"/>
    <col min="57" max="57" width="15.42578125" style="94" bestFit="1" customWidth="1"/>
    <col min="58" max="58" width="17.5703125" style="94" bestFit="1" customWidth="1"/>
    <col min="59" max="59" width="15.42578125" style="94" bestFit="1" customWidth="1"/>
    <col min="60" max="60" width="17.5703125" style="94" bestFit="1" customWidth="1"/>
    <col min="61" max="61" width="15.42578125" style="94" bestFit="1" customWidth="1"/>
    <col min="62" max="62" width="17.5703125" style="94" bestFit="1" customWidth="1"/>
    <col min="63" max="63" width="15.42578125" style="94" bestFit="1" customWidth="1"/>
    <col min="64" max="64" width="22.5703125" style="94" bestFit="1" customWidth="1"/>
    <col min="65" max="65" width="20.42578125" style="94" bestFit="1" customWidth="1"/>
    <col min="66" max="16384" width="11.42578125" style="94"/>
  </cols>
  <sheetData>
    <row r="1" spans="1:65" x14ac:dyDescent="0.25">
      <c r="A1" s="129" t="s">
        <v>212</v>
      </c>
      <c r="B1" s="129" t="s">
        <v>205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</row>
    <row r="2" spans="1:65" x14ac:dyDescent="0.25">
      <c r="A2" s="129" t="s">
        <v>203</v>
      </c>
      <c r="B2" s="125" t="s">
        <v>193</v>
      </c>
      <c r="C2" s="125" t="s">
        <v>175</v>
      </c>
      <c r="D2" s="125" t="s">
        <v>173</v>
      </c>
      <c r="E2" s="125" t="s">
        <v>189</v>
      </c>
      <c r="F2" s="125" t="s">
        <v>186</v>
      </c>
      <c r="G2" s="125" t="s">
        <v>177</v>
      </c>
      <c r="H2" s="125" t="s">
        <v>191</v>
      </c>
      <c r="I2" s="125" t="s">
        <v>194</v>
      </c>
      <c r="J2" s="125" t="s">
        <v>184</v>
      </c>
      <c r="K2" s="125" t="s">
        <v>190</v>
      </c>
      <c r="L2" s="125" t="s">
        <v>199</v>
      </c>
      <c r="M2" s="125" t="s">
        <v>182</v>
      </c>
      <c r="N2" s="125" t="s">
        <v>198</v>
      </c>
      <c r="O2" s="125" t="s">
        <v>183</v>
      </c>
      <c r="P2" s="125" t="s">
        <v>188</v>
      </c>
      <c r="Q2" s="125" t="s">
        <v>187</v>
      </c>
      <c r="R2" s="125" t="s">
        <v>171</v>
      </c>
      <c r="S2" s="125" t="s">
        <v>178</v>
      </c>
      <c r="T2" s="125" t="s">
        <v>179</v>
      </c>
      <c r="U2" s="125" t="s">
        <v>196</v>
      </c>
      <c r="V2" s="125" t="s">
        <v>181</v>
      </c>
      <c r="W2" s="125" t="s">
        <v>195</v>
      </c>
      <c r="X2" s="125" t="s">
        <v>180</v>
      </c>
      <c r="Y2" s="125" t="s">
        <v>174</v>
      </c>
      <c r="Z2" s="125" t="s">
        <v>185</v>
      </c>
      <c r="AA2" s="125" t="s">
        <v>172</v>
      </c>
      <c r="AB2" s="125" t="s">
        <v>176</v>
      </c>
      <c r="AC2" s="125" t="s">
        <v>192</v>
      </c>
      <c r="AD2" s="125" t="s">
        <v>197</v>
      </c>
      <c r="AE2" s="125" t="s">
        <v>170</v>
      </c>
      <c r="AF2" s="125" t="s">
        <v>169</v>
      </c>
      <c r="AG2" s="125" t="s">
        <v>204</v>
      </c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</row>
    <row r="3" spans="1:65" x14ac:dyDescent="0.25">
      <c r="A3" s="130">
        <v>2020</v>
      </c>
      <c r="B3" s="125"/>
      <c r="C3" s="125"/>
      <c r="D3" s="125"/>
      <c r="E3" s="125"/>
      <c r="F3" s="125"/>
      <c r="G3" s="125"/>
      <c r="H3" s="125">
        <v>33805580013</v>
      </c>
      <c r="I3" s="125"/>
      <c r="J3" s="125"/>
      <c r="K3" s="125">
        <v>26991933037</v>
      </c>
      <c r="L3" s="125"/>
      <c r="M3" s="125">
        <v>53061400347</v>
      </c>
      <c r="N3" s="125"/>
      <c r="O3" s="125"/>
      <c r="P3" s="125"/>
      <c r="Q3" s="125">
        <v>37985634536</v>
      </c>
      <c r="R3" s="125"/>
      <c r="S3" s="125"/>
      <c r="T3" s="125"/>
      <c r="U3" s="125"/>
      <c r="V3" s="125">
        <v>49090566419</v>
      </c>
      <c r="W3" s="125">
        <v>-766531809</v>
      </c>
      <c r="X3" s="125"/>
      <c r="Y3" s="125"/>
      <c r="Z3" s="125"/>
      <c r="AA3" s="125"/>
      <c r="AB3" s="125"/>
      <c r="AC3" s="125">
        <v>971677713</v>
      </c>
      <c r="AD3" s="125"/>
      <c r="AE3" s="125"/>
      <c r="AF3" s="125"/>
      <c r="AG3" s="125">
        <v>201140260256</v>
      </c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</row>
    <row r="4" spans="1:65" x14ac:dyDescent="0.25">
      <c r="A4" s="130">
        <v>2021</v>
      </c>
      <c r="B4" s="125">
        <v>0</v>
      </c>
      <c r="C4" s="125"/>
      <c r="D4" s="125"/>
      <c r="E4" s="125"/>
      <c r="F4" s="125"/>
      <c r="G4" s="125"/>
      <c r="H4" s="125">
        <v>26998231133</v>
      </c>
      <c r="I4" s="125">
        <v>3309380514</v>
      </c>
      <c r="J4" s="125">
        <v>515575109</v>
      </c>
      <c r="K4" s="125">
        <v>16694787635</v>
      </c>
      <c r="L4" s="125"/>
      <c r="M4" s="125">
        <v>13254337442.02</v>
      </c>
      <c r="N4" s="125">
        <v>1326970463</v>
      </c>
      <c r="O4" s="125">
        <v>-52436153</v>
      </c>
      <c r="P4" s="125">
        <v>0</v>
      </c>
      <c r="Q4" s="125">
        <v>117477649557</v>
      </c>
      <c r="R4" s="125"/>
      <c r="S4" s="125"/>
      <c r="T4" s="125"/>
      <c r="U4" s="125"/>
      <c r="V4" s="125">
        <v>31337723864</v>
      </c>
      <c r="W4" s="125"/>
      <c r="X4" s="125">
        <v>26718633081</v>
      </c>
      <c r="Y4" s="125"/>
      <c r="Z4" s="125">
        <v>12357368337</v>
      </c>
      <c r="AA4" s="125"/>
      <c r="AB4" s="125"/>
      <c r="AC4" s="125">
        <v>-274584431</v>
      </c>
      <c r="AD4" s="125">
        <v>7158974</v>
      </c>
      <c r="AE4" s="125"/>
      <c r="AF4" s="125"/>
      <c r="AG4" s="125">
        <v>249670795525.02002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 x14ac:dyDescent="0.25">
      <c r="A5" s="130">
        <v>2022</v>
      </c>
      <c r="B5" s="125">
        <v>0</v>
      </c>
      <c r="C5" s="125"/>
      <c r="D5" s="125"/>
      <c r="E5" s="125">
        <v>0</v>
      </c>
      <c r="F5" s="125">
        <v>-583451768027</v>
      </c>
      <c r="G5" s="125"/>
      <c r="H5" s="125">
        <v>9473766747</v>
      </c>
      <c r="I5" s="125">
        <v>1360984077</v>
      </c>
      <c r="J5" s="125">
        <v>609301525</v>
      </c>
      <c r="K5" s="125">
        <v>-6608648871</v>
      </c>
      <c r="L5" s="125"/>
      <c r="M5" s="125">
        <v>57698846122</v>
      </c>
      <c r="N5" s="125">
        <v>1812203836</v>
      </c>
      <c r="O5" s="125">
        <v>-25741181</v>
      </c>
      <c r="P5" s="125">
        <v>0</v>
      </c>
      <c r="Q5" s="125">
        <v>230165320277</v>
      </c>
      <c r="R5" s="125"/>
      <c r="S5" s="125"/>
      <c r="T5" s="125"/>
      <c r="U5" s="125"/>
      <c r="V5" s="125">
        <v>22855910095</v>
      </c>
      <c r="W5" s="125"/>
      <c r="X5" s="125">
        <v>143556313105</v>
      </c>
      <c r="Y5" s="125"/>
      <c r="Z5" s="125">
        <v>-3597241112</v>
      </c>
      <c r="AA5" s="125"/>
      <c r="AB5" s="125"/>
      <c r="AC5" s="125">
        <v>355804282</v>
      </c>
      <c r="AD5" s="125">
        <v>42874153</v>
      </c>
      <c r="AE5" s="125"/>
      <c r="AF5" s="125"/>
      <c r="AG5" s="125">
        <v>-125752074972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5" x14ac:dyDescent="0.25">
      <c r="A6" s="130">
        <v>2023</v>
      </c>
      <c r="B6" s="125"/>
      <c r="C6" s="125"/>
      <c r="D6" s="125"/>
      <c r="E6" s="125">
        <v>-3975136492</v>
      </c>
      <c r="F6" s="125">
        <v>-525642165189</v>
      </c>
      <c r="G6" s="125"/>
      <c r="H6" s="125">
        <v>45379996833</v>
      </c>
      <c r="I6" s="125"/>
      <c r="J6" s="125">
        <v>935630309</v>
      </c>
      <c r="K6" s="125">
        <v>0</v>
      </c>
      <c r="L6" s="125">
        <v>0</v>
      </c>
      <c r="M6" s="125">
        <v>21709050224</v>
      </c>
      <c r="N6" s="125">
        <v>1731869558</v>
      </c>
      <c r="O6" s="125">
        <v>-130773503</v>
      </c>
      <c r="P6" s="125"/>
      <c r="Q6" s="125"/>
      <c r="R6" s="125"/>
      <c r="S6" s="125"/>
      <c r="T6" s="125"/>
      <c r="U6" s="125">
        <v>-1270651585</v>
      </c>
      <c r="V6" s="125">
        <v>22694238966</v>
      </c>
      <c r="W6" s="125">
        <v>1033485494</v>
      </c>
      <c r="X6" s="125">
        <v>137096340502.89597</v>
      </c>
      <c r="Y6" s="125"/>
      <c r="Z6" s="125">
        <v>-2098860977</v>
      </c>
      <c r="AA6" s="125"/>
      <c r="AB6" s="125"/>
      <c r="AC6" s="125">
        <v>-150948557</v>
      </c>
      <c r="AD6" s="125"/>
      <c r="AE6" s="125"/>
      <c r="AF6" s="125"/>
      <c r="AG6" s="125">
        <v>-302687924416.104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5" x14ac:dyDescent="0.25">
      <c r="A7" s="130">
        <v>2024</v>
      </c>
      <c r="B7" s="125"/>
      <c r="C7" s="125"/>
      <c r="D7" s="125"/>
      <c r="E7" s="125">
        <v>-7726090136</v>
      </c>
      <c r="F7" s="125"/>
      <c r="G7" s="125"/>
      <c r="H7" s="125">
        <v>40151124119</v>
      </c>
      <c r="I7" s="125"/>
      <c r="J7" s="125">
        <v>538338515</v>
      </c>
      <c r="K7" s="125"/>
      <c r="L7" s="125">
        <v>0</v>
      </c>
      <c r="M7" s="125">
        <v>14423265142</v>
      </c>
      <c r="N7" s="125">
        <v>1997358711</v>
      </c>
      <c r="O7" s="125">
        <v>-326048897</v>
      </c>
      <c r="P7" s="125"/>
      <c r="Q7" s="125"/>
      <c r="R7" s="125"/>
      <c r="S7" s="125"/>
      <c r="T7" s="125"/>
      <c r="U7" s="125">
        <v>1217788809</v>
      </c>
      <c r="V7" s="125">
        <v>36396157176</v>
      </c>
      <c r="W7" s="125">
        <v>1663855770</v>
      </c>
      <c r="X7" s="125">
        <v>57851662541</v>
      </c>
      <c r="Y7" s="125"/>
      <c r="Z7" s="125">
        <v>17523080081</v>
      </c>
      <c r="AA7" s="125"/>
      <c r="AB7" s="125"/>
      <c r="AC7" s="125">
        <v>-283240460</v>
      </c>
      <c r="AD7" s="125"/>
      <c r="AE7" s="125"/>
      <c r="AF7" s="125"/>
      <c r="AG7" s="125">
        <v>163427251371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5" x14ac:dyDescent="0.25">
      <c r="A8" s="130" t="s">
        <v>204</v>
      </c>
      <c r="B8" s="125">
        <v>0</v>
      </c>
      <c r="C8" s="125"/>
      <c r="D8" s="125"/>
      <c r="E8" s="125">
        <v>-11701226628</v>
      </c>
      <c r="F8" s="125">
        <v>-1109093933216</v>
      </c>
      <c r="G8" s="125"/>
      <c r="H8" s="125">
        <v>155808698845</v>
      </c>
      <c r="I8" s="125">
        <v>4670364591</v>
      </c>
      <c r="J8" s="125">
        <v>2598845458</v>
      </c>
      <c r="K8" s="125">
        <v>37078071801</v>
      </c>
      <c r="L8" s="125">
        <v>0</v>
      </c>
      <c r="M8" s="125">
        <v>160146899277.02002</v>
      </c>
      <c r="N8" s="125">
        <v>6868402568</v>
      </c>
      <c r="O8" s="125">
        <v>-534999734</v>
      </c>
      <c r="P8" s="125">
        <v>0</v>
      </c>
      <c r="Q8" s="125">
        <v>385628604370</v>
      </c>
      <c r="R8" s="125"/>
      <c r="S8" s="125"/>
      <c r="T8" s="125"/>
      <c r="U8" s="125">
        <v>-52862776</v>
      </c>
      <c r="V8" s="125">
        <v>162374596520</v>
      </c>
      <c r="W8" s="125">
        <v>1930809455</v>
      </c>
      <c r="X8" s="125">
        <v>365222949229.896</v>
      </c>
      <c r="Y8" s="125"/>
      <c r="Z8" s="125">
        <v>24184346329</v>
      </c>
      <c r="AA8" s="125"/>
      <c r="AB8" s="125"/>
      <c r="AC8" s="125">
        <v>618708547</v>
      </c>
      <c r="AD8" s="125">
        <v>50033127</v>
      </c>
      <c r="AE8" s="125"/>
      <c r="AF8" s="125"/>
      <c r="AG8" s="125">
        <v>185798307763.91602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</sheetData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FAE65-75A2-43DA-8CD5-C70FF50E09DD}">
  <sheetPr codeName="Feuil21"/>
  <dimension ref="A1:AG8"/>
  <sheetViews>
    <sheetView workbookViewId="0"/>
  </sheetViews>
  <sheetFormatPr baseColWidth="10" defaultRowHeight="15" x14ac:dyDescent="0.25"/>
  <cols>
    <col min="1" max="1" width="21.140625" style="94" bestFit="1" customWidth="1"/>
    <col min="2" max="2" width="24" style="94" bestFit="1" customWidth="1"/>
    <col min="3" max="3" width="4.28515625" style="94" bestFit="1" customWidth="1"/>
    <col min="4" max="4" width="14" style="94" bestFit="1" customWidth="1"/>
    <col min="5" max="5" width="17.42578125" style="94" bestFit="1" customWidth="1"/>
    <col min="6" max="6" width="11.7109375" style="94" bestFit="1" customWidth="1"/>
    <col min="7" max="7" width="11.42578125" style="94" bestFit="1"/>
    <col min="8" max="8" width="18.42578125" style="94" bestFit="1" customWidth="1"/>
    <col min="9" max="10" width="17.42578125" style="94" bestFit="1" customWidth="1"/>
    <col min="11" max="11" width="18.42578125" style="94" bestFit="1" customWidth="1"/>
    <col min="12" max="12" width="9" style="94" bestFit="1" customWidth="1"/>
    <col min="13" max="14" width="18.42578125" style="94" bestFit="1" customWidth="1"/>
    <col min="15" max="15" width="16.42578125" style="94" bestFit="1" customWidth="1"/>
    <col min="16" max="16" width="9.85546875" style="94" bestFit="1" customWidth="1"/>
    <col min="17" max="17" width="19.85546875" style="94" bestFit="1" customWidth="1"/>
    <col min="18" max="18" width="8.85546875" style="94" bestFit="1" customWidth="1"/>
    <col min="19" max="19" width="9" style="94" bestFit="1" customWidth="1"/>
    <col min="20" max="20" width="8.7109375" style="94" bestFit="1" customWidth="1"/>
    <col min="21" max="21" width="16.42578125" style="94" bestFit="1" customWidth="1"/>
    <col min="22" max="22" width="18.42578125" style="94" bestFit="1" customWidth="1"/>
    <col min="23" max="23" width="17.42578125" style="94" bestFit="1" customWidth="1"/>
    <col min="24" max="24" width="19.85546875" style="94" bestFit="1" customWidth="1"/>
    <col min="25" max="25" width="5" style="94" bestFit="1" customWidth="1"/>
    <col min="26" max="26" width="18.42578125" style="94" bestFit="1" customWidth="1"/>
    <col min="27" max="27" width="8.42578125" style="94" bestFit="1" customWidth="1"/>
    <col min="28" max="28" width="6.85546875" style="94" bestFit="1" customWidth="1"/>
    <col min="29" max="29" width="17.42578125" style="94" bestFit="1" customWidth="1"/>
    <col min="30" max="30" width="16.42578125" style="94" bestFit="1" customWidth="1"/>
    <col min="31" max="31" width="10.7109375" style="94" bestFit="1" customWidth="1"/>
    <col min="32" max="32" width="11" style="94" bestFit="1" customWidth="1"/>
    <col min="33" max="33" width="19.85546875" style="94" bestFit="1" customWidth="1"/>
    <col min="34" max="34" width="16.140625" style="94" bestFit="1" customWidth="1"/>
    <col min="35" max="35" width="11.7109375" style="94" bestFit="1" customWidth="1"/>
    <col min="36" max="36" width="16.140625" style="94" bestFit="1" customWidth="1"/>
    <col min="37" max="37" width="11.7109375" style="94" bestFit="1" customWidth="1"/>
    <col min="38" max="38" width="16.140625" style="94" bestFit="1" customWidth="1"/>
    <col min="39" max="39" width="11.7109375" style="94" bestFit="1" customWidth="1"/>
    <col min="40" max="40" width="16.140625" style="94" bestFit="1" customWidth="1"/>
    <col min="41" max="41" width="11.7109375" style="94" bestFit="1" customWidth="1"/>
    <col min="42" max="42" width="16.140625" style="94" bestFit="1" customWidth="1"/>
    <col min="43" max="43" width="12" style="94" bestFit="1" customWidth="1"/>
    <col min="44" max="44" width="16.140625" style="94" bestFit="1" customWidth="1"/>
    <col min="45" max="45" width="11.7109375" style="94" bestFit="1" customWidth="1"/>
    <col min="46" max="46" width="16.140625" style="94" bestFit="1" customWidth="1"/>
    <col min="47" max="47" width="12" style="94" bestFit="1" customWidth="1"/>
    <col min="48" max="48" width="16.140625" style="94" bestFit="1" customWidth="1"/>
    <col min="49" max="49" width="11.7109375" style="94" bestFit="1" customWidth="1"/>
    <col min="50" max="50" width="16.140625" style="94" bestFit="1" customWidth="1"/>
    <col min="51" max="51" width="12" style="94" bestFit="1" customWidth="1"/>
    <col min="52" max="52" width="16.140625" style="94" bestFit="1" customWidth="1"/>
    <col min="53" max="53" width="11.7109375" style="94" bestFit="1" customWidth="1"/>
    <col min="54" max="54" width="16.140625" style="94" bestFit="1" customWidth="1"/>
    <col min="55" max="55" width="11.7109375" style="94" bestFit="1" customWidth="1"/>
    <col min="56" max="56" width="16.140625" style="94" bestFit="1" customWidth="1"/>
    <col min="57" max="57" width="11.7109375" style="94" bestFit="1" customWidth="1"/>
    <col min="58" max="58" width="16.140625" style="94" bestFit="1" customWidth="1"/>
    <col min="59" max="59" width="11.7109375" style="94" bestFit="1" customWidth="1"/>
    <col min="60" max="60" width="16.140625" style="94" bestFit="1" customWidth="1"/>
    <col min="61" max="61" width="11.7109375" style="94" bestFit="1" customWidth="1"/>
    <col min="62" max="62" width="16.140625" style="94" bestFit="1" customWidth="1"/>
    <col min="63" max="63" width="11.7109375" style="94" bestFit="1" customWidth="1"/>
    <col min="64" max="64" width="21" style="94" bestFit="1" customWidth="1"/>
    <col min="65" max="65" width="16.7109375" style="94" bestFit="1" customWidth="1"/>
    <col min="66" max="16384" width="11.42578125" style="94"/>
  </cols>
  <sheetData>
    <row r="1" spans="1:33" x14ac:dyDescent="0.25">
      <c r="A1" s="131" t="s">
        <v>211</v>
      </c>
      <c r="B1" s="131" t="s">
        <v>205</v>
      </c>
    </row>
    <row r="2" spans="1:33" x14ac:dyDescent="0.25">
      <c r="A2" s="131" t="s">
        <v>203</v>
      </c>
      <c r="B2" s="94" t="s">
        <v>193</v>
      </c>
      <c r="C2" s="94" t="s">
        <v>175</v>
      </c>
      <c r="D2" s="94" t="s">
        <v>173</v>
      </c>
      <c r="E2" s="94" t="s">
        <v>189</v>
      </c>
      <c r="F2" s="94" t="s">
        <v>186</v>
      </c>
      <c r="G2" s="94" t="s">
        <v>177</v>
      </c>
      <c r="H2" s="94" t="s">
        <v>191</v>
      </c>
      <c r="I2" s="94" t="s">
        <v>194</v>
      </c>
      <c r="J2" s="94" t="s">
        <v>184</v>
      </c>
      <c r="K2" s="94" t="s">
        <v>190</v>
      </c>
      <c r="L2" s="94" t="s">
        <v>199</v>
      </c>
      <c r="M2" s="94" t="s">
        <v>182</v>
      </c>
      <c r="N2" s="94" t="s">
        <v>198</v>
      </c>
      <c r="O2" s="94" t="s">
        <v>183</v>
      </c>
      <c r="P2" s="94" t="s">
        <v>188</v>
      </c>
      <c r="Q2" s="94" t="s">
        <v>187</v>
      </c>
      <c r="R2" s="94" t="s">
        <v>171</v>
      </c>
      <c r="S2" s="94" t="s">
        <v>178</v>
      </c>
      <c r="T2" s="94" t="s">
        <v>179</v>
      </c>
      <c r="U2" s="94" t="s">
        <v>196</v>
      </c>
      <c r="V2" s="94" t="s">
        <v>181</v>
      </c>
      <c r="W2" s="94" t="s">
        <v>195</v>
      </c>
      <c r="X2" s="94" t="s">
        <v>180</v>
      </c>
      <c r="Y2" s="94" t="s">
        <v>174</v>
      </c>
      <c r="Z2" s="94" t="s">
        <v>185</v>
      </c>
      <c r="AA2" s="94" t="s">
        <v>172</v>
      </c>
      <c r="AB2" s="94" t="s">
        <v>176</v>
      </c>
      <c r="AC2" s="94" t="s">
        <v>192</v>
      </c>
      <c r="AD2" s="94" t="s">
        <v>197</v>
      </c>
      <c r="AE2" s="94" t="s">
        <v>170</v>
      </c>
      <c r="AF2" s="94" t="s">
        <v>169</v>
      </c>
      <c r="AG2" s="94" t="s">
        <v>204</v>
      </c>
    </row>
    <row r="3" spans="1:33" x14ac:dyDescent="0.25">
      <c r="A3" s="132">
        <v>2020</v>
      </c>
      <c r="H3" s="94">
        <v>113297503885</v>
      </c>
      <c r="K3" s="94">
        <v>69683764705</v>
      </c>
      <c r="M3" s="94">
        <v>115974923177</v>
      </c>
      <c r="Q3" s="94">
        <v>201922549725</v>
      </c>
      <c r="V3" s="94">
        <v>157009696804</v>
      </c>
      <c r="W3" s="94">
        <v>1618558530</v>
      </c>
      <c r="AC3" s="94">
        <v>8952032192</v>
      </c>
      <c r="AG3" s="94">
        <v>668459029018</v>
      </c>
    </row>
    <row r="4" spans="1:33" x14ac:dyDescent="0.25">
      <c r="A4" s="132">
        <v>2021</v>
      </c>
      <c r="B4" s="94">
        <v>0</v>
      </c>
      <c r="H4" s="94">
        <v>125938701894</v>
      </c>
      <c r="I4" s="94">
        <v>23066725181</v>
      </c>
      <c r="J4" s="94">
        <v>12244307867</v>
      </c>
      <c r="K4" s="94">
        <v>69573490910</v>
      </c>
      <c r="M4" s="94">
        <v>148257573911.29999</v>
      </c>
      <c r="N4" s="94">
        <v>20499650589</v>
      </c>
      <c r="O4" s="94">
        <v>0</v>
      </c>
      <c r="Q4" s="94">
        <v>344543113621</v>
      </c>
      <c r="V4" s="94">
        <v>123502918007</v>
      </c>
      <c r="X4" s="94">
        <v>459975250746</v>
      </c>
      <c r="Z4" s="94">
        <v>157773737762</v>
      </c>
      <c r="AC4" s="94">
        <v>8140087334</v>
      </c>
      <c r="AD4" s="94">
        <v>2165007264</v>
      </c>
      <c r="AG4" s="94">
        <v>1495680565086.3</v>
      </c>
    </row>
    <row r="5" spans="1:33" x14ac:dyDescent="0.25">
      <c r="A5" s="132">
        <v>2022</v>
      </c>
      <c r="B5" s="94">
        <v>0</v>
      </c>
      <c r="E5" s="94">
        <v>0</v>
      </c>
      <c r="H5" s="94">
        <v>163864492567</v>
      </c>
      <c r="I5" s="94">
        <v>24969073870</v>
      </c>
      <c r="J5" s="94">
        <v>15759900201</v>
      </c>
      <c r="K5" s="94">
        <v>49581280381</v>
      </c>
      <c r="M5" s="94">
        <v>208567180824</v>
      </c>
      <c r="N5" s="94">
        <v>25969829256</v>
      </c>
      <c r="O5" s="94">
        <v>357766575</v>
      </c>
      <c r="P5" s="94">
        <v>0</v>
      </c>
      <c r="Q5" s="94">
        <v>566423853591</v>
      </c>
      <c r="V5" s="94">
        <v>147862815768</v>
      </c>
      <c r="X5" s="94">
        <v>392961612956</v>
      </c>
      <c r="Z5" s="94">
        <v>161020148826</v>
      </c>
      <c r="AC5" s="94">
        <v>4002286439</v>
      </c>
      <c r="AD5" s="94">
        <v>1859866061</v>
      </c>
      <c r="AG5" s="94">
        <v>1763200107315</v>
      </c>
    </row>
    <row r="6" spans="1:33" x14ac:dyDescent="0.25">
      <c r="A6" s="132">
        <v>2023</v>
      </c>
      <c r="E6" s="94">
        <v>7699622013</v>
      </c>
      <c r="H6" s="94">
        <v>208039398219</v>
      </c>
      <c r="J6" s="94">
        <v>19848701001</v>
      </c>
      <c r="K6" s="94">
        <v>0</v>
      </c>
      <c r="L6" s="94">
        <v>0</v>
      </c>
      <c r="M6" s="94">
        <v>141064555704</v>
      </c>
      <c r="N6" s="94">
        <v>30323647321</v>
      </c>
      <c r="O6" s="94">
        <v>590714400</v>
      </c>
      <c r="U6" s="94">
        <v>903294089</v>
      </c>
      <c r="V6" s="94">
        <v>138230031552</v>
      </c>
      <c r="W6" s="94">
        <v>9558234759</v>
      </c>
      <c r="X6" s="94">
        <v>354075329142.07953</v>
      </c>
      <c r="Z6" s="94">
        <v>167004925900</v>
      </c>
      <c r="AC6" s="94">
        <v>5321602264</v>
      </c>
      <c r="AG6" s="94">
        <v>1082660056364.0796</v>
      </c>
    </row>
    <row r="7" spans="1:33" x14ac:dyDescent="0.25">
      <c r="A7" s="132">
        <v>2024</v>
      </c>
      <c r="E7" s="94">
        <v>10401453748</v>
      </c>
      <c r="H7" s="94">
        <v>208275366815</v>
      </c>
      <c r="J7" s="94">
        <v>17890982807</v>
      </c>
      <c r="L7" s="94">
        <v>0</v>
      </c>
      <c r="M7" s="94">
        <v>171081298200</v>
      </c>
      <c r="N7" s="94">
        <v>30671525768</v>
      </c>
      <c r="O7" s="94">
        <v>339990650</v>
      </c>
      <c r="U7" s="94">
        <v>2756043638</v>
      </c>
      <c r="V7" s="94">
        <v>175133858574</v>
      </c>
      <c r="W7" s="94">
        <v>13089313273</v>
      </c>
      <c r="X7" s="94">
        <v>337162693235</v>
      </c>
      <c r="Z7" s="94">
        <v>162510769325</v>
      </c>
      <c r="AC7" s="94">
        <v>4913023137</v>
      </c>
      <c r="AG7" s="94">
        <v>1134226319170</v>
      </c>
    </row>
    <row r="8" spans="1:33" x14ac:dyDescent="0.25">
      <c r="A8" s="132" t="s">
        <v>204</v>
      </c>
      <c r="B8" s="94">
        <v>0</v>
      </c>
      <c r="E8" s="94">
        <v>18101075761</v>
      </c>
      <c r="H8" s="94">
        <v>819415463380</v>
      </c>
      <c r="I8" s="94">
        <v>48035799051</v>
      </c>
      <c r="J8" s="94">
        <v>65743891876</v>
      </c>
      <c r="K8" s="94">
        <v>188838535996</v>
      </c>
      <c r="L8" s="94">
        <v>0</v>
      </c>
      <c r="M8" s="94">
        <v>784945531816.30005</v>
      </c>
      <c r="N8" s="94">
        <v>107464652934</v>
      </c>
      <c r="O8" s="94">
        <v>1288471625</v>
      </c>
      <c r="P8" s="94">
        <v>0</v>
      </c>
      <c r="Q8" s="94">
        <v>1112889516937</v>
      </c>
      <c r="U8" s="94">
        <v>3659337727</v>
      </c>
      <c r="V8" s="94">
        <v>741739320705</v>
      </c>
      <c r="W8" s="94">
        <v>24266106562</v>
      </c>
      <c r="X8" s="94">
        <v>1544174886079.0796</v>
      </c>
      <c r="Z8" s="94">
        <v>648309581813</v>
      </c>
      <c r="AC8" s="94">
        <v>31329031366</v>
      </c>
      <c r="AD8" s="94">
        <v>4024873325</v>
      </c>
      <c r="AG8" s="94">
        <v>6144226076953.3789</v>
      </c>
    </row>
  </sheetData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5B04C-6FE6-4510-A237-53485C26589E}">
  <sheetPr codeName="Feuil39"/>
  <dimension ref="A1:AB156"/>
  <sheetViews>
    <sheetView tabSelected="1" zoomScale="96" workbookViewId="0">
      <pane ySplit="1" topLeftCell="A26" activePane="bottomLeft" state="frozen"/>
      <selection pane="bottomLeft" sqref="A1:XFD1048576"/>
    </sheetView>
  </sheetViews>
  <sheetFormatPr baseColWidth="10" defaultRowHeight="15" x14ac:dyDescent="0.25"/>
  <cols>
    <col min="1" max="1" width="17.28515625" customWidth="1"/>
    <col min="2" max="2" width="12.28515625" bestFit="1" customWidth="1"/>
    <col min="3" max="3" width="14.7109375" customWidth="1"/>
    <col min="4" max="4" width="15.42578125" bestFit="1" customWidth="1"/>
    <col min="6" max="6" width="13.28515625" bestFit="1" customWidth="1"/>
    <col min="7" max="7" width="17" bestFit="1" customWidth="1"/>
    <col min="8" max="8" width="23.85546875" bestFit="1" customWidth="1"/>
    <col min="9" max="9" width="4.28515625" bestFit="1" customWidth="1"/>
    <col min="10" max="10" width="14" bestFit="1" customWidth="1"/>
    <col min="11" max="11" width="6.28515625" bestFit="1" customWidth="1"/>
    <col min="12" max="12" width="11.7109375" bestFit="1" customWidth="1"/>
    <col min="13" max="13" width="11.42578125" bestFit="1" customWidth="1"/>
    <col min="14" max="14" width="18.42578125" bestFit="1" customWidth="1"/>
    <col min="15" max="15" width="8.42578125" bestFit="1" customWidth="1"/>
    <col min="16" max="16" width="4.140625" bestFit="1" customWidth="1"/>
    <col min="17" max="17" width="17.42578125" bestFit="1" customWidth="1"/>
    <col min="18" max="18" width="8.85546875" bestFit="1" customWidth="1"/>
    <col min="19" max="19" width="21" bestFit="1" customWidth="1"/>
    <col min="20" max="20" width="23.85546875" bestFit="1" customWidth="1"/>
    <col min="21" max="24" width="12.42578125" bestFit="1" customWidth="1"/>
    <col min="25" max="26" width="12.5703125" bestFit="1" customWidth="1"/>
    <col min="27" max="27" width="10.140625" bestFit="1" customWidth="1"/>
    <col min="28" max="28" width="18.42578125" bestFit="1" customWidth="1"/>
    <col min="29" max="29" width="16.42578125" bestFit="1" customWidth="1"/>
    <col min="30" max="30" width="4.85546875" bestFit="1" customWidth="1"/>
    <col min="31" max="31" width="5" bestFit="1" customWidth="1"/>
    <col min="32" max="32" width="9.5703125" bestFit="1" customWidth="1"/>
    <col min="33" max="33" width="8.42578125" bestFit="1" customWidth="1"/>
    <col min="34" max="34" width="6.85546875" bestFit="1" customWidth="1"/>
    <col min="35" max="35" width="16.42578125" bestFit="1" customWidth="1"/>
    <col min="36" max="36" width="12.140625" bestFit="1" customWidth="1"/>
    <col min="37" max="37" width="10.7109375" bestFit="1" customWidth="1"/>
    <col min="38" max="38" width="11" bestFit="1" customWidth="1"/>
    <col min="39" max="39" width="18.42578125" bestFit="1" customWidth="1"/>
    <col min="40" max="40" width="6.85546875" bestFit="1" customWidth="1"/>
    <col min="41" max="41" width="4.28515625" bestFit="1" customWidth="1"/>
    <col min="42" max="42" width="14" bestFit="1" customWidth="1"/>
    <col min="43" max="43" width="6.28515625" bestFit="1" customWidth="1"/>
    <col min="44" max="44" width="11.7109375" bestFit="1" customWidth="1"/>
    <col min="46" max="49" width="12" bestFit="1" customWidth="1"/>
    <col min="50" max="50" width="8.85546875" bestFit="1" customWidth="1"/>
    <col min="51" max="52" width="12" bestFit="1" customWidth="1"/>
    <col min="53" max="53" width="7.28515625" bestFit="1" customWidth="1"/>
    <col min="54" max="54" width="9.7109375" bestFit="1" customWidth="1"/>
    <col min="55" max="55" width="12" bestFit="1" customWidth="1"/>
    <col min="56" max="56" width="8.85546875" bestFit="1" customWidth="1"/>
    <col min="57" max="57" width="9" bestFit="1" customWidth="1"/>
    <col min="58" max="58" width="8.7109375" bestFit="1" customWidth="1"/>
    <col min="59" max="59" width="10.140625" bestFit="1" customWidth="1"/>
    <col min="60" max="60" width="12" bestFit="1" customWidth="1"/>
    <col min="61" max="61" width="7.85546875" bestFit="1" customWidth="1"/>
    <col min="62" max="62" width="12" bestFit="1" customWidth="1"/>
    <col min="63" max="63" width="5" bestFit="1" customWidth="1"/>
    <col min="64" max="64" width="12" bestFit="1" customWidth="1"/>
    <col min="65" max="65" width="8.42578125" bestFit="1" customWidth="1"/>
    <col min="66" max="66" width="6.85546875" bestFit="1" customWidth="1"/>
    <col min="67" max="67" width="11" bestFit="1" customWidth="1"/>
    <col min="68" max="68" width="12.140625" bestFit="1" customWidth="1"/>
    <col min="69" max="69" width="10.7109375" bestFit="1" customWidth="1"/>
    <col min="70" max="70" width="11" bestFit="1" customWidth="1"/>
    <col min="71" max="71" width="12" bestFit="1" customWidth="1"/>
    <col min="72" max="72" width="6.85546875" bestFit="1" customWidth="1"/>
    <col min="73" max="73" width="4.28515625" bestFit="1" customWidth="1"/>
    <col min="74" max="74" width="14" bestFit="1" customWidth="1"/>
    <col min="75" max="75" width="6.28515625" bestFit="1" customWidth="1"/>
    <col min="76" max="76" width="11.7109375" bestFit="1" customWidth="1"/>
    <col min="78" max="81" width="12" bestFit="1" customWidth="1"/>
    <col min="82" max="82" width="8.85546875" bestFit="1" customWidth="1"/>
    <col min="83" max="84" width="12" bestFit="1" customWidth="1"/>
    <col min="85" max="85" width="10" bestFit="1" customWidth="1"/>
    <col min="86" max="86" width="9.7109375" bestFit="1" customWidth="1"/>
    <col min="87" max="87" width="12" bestFit="1" customWidth="1"/>
    <col min="88" max="88" width="8.85546875" bestFit="1" customWidth="1"/>
    <col min="89" max="89" width="9" bestFit="1" customWidth="1"/>
    <col min="90" max="90" width="8.7109375" bestFit="1" customWidth="1"/>
    <col min="91" max="91" width="10.140625" bestFit="1" customWidth="1"/>
    <col min="92" max="92" width="12" bestFit="1" customWidth="1"/>
    <col min="93" max="93" width="7.85546875" bestFit="1" customWidth="1"/>
    <col min="94" max="94" width="12" bestFit="1" customWidth="1"/>
    <col min="95" max="95" width="5" bestFit="1" customWidth="1"/>
    <col min="96" max="96" width="11" bestFit="1" customWidth="1"/>
    <col min="97" max="97" width="8.42578125" bestFit="1" customWidth="1"/>
    <col min="98" max="98" width="6.85546875" bestFit="1" customWidth="1"/>
    <col min="99" max="99" width="11" bestFit="1" customWidth="1"/>
    <col min="100" max="100" width="12.140625" bestFit="1" customWidth="1"/>
    <col min="101" max="101" width="10.7109375" bestFit="1" customWidth="1"/>
    <col min="102" max="103" width="11" bestFit="1" customWidth="1"/>
    <col min="104" max="104" width="6.85546875" bestFit="1" customWidth="1"/>
    <col min="105" max="105" width="4.28515625" bestFit="1" customWidth="1"/>
    <col min="106" max="106" width="14" bestFit="1" customWidth="1"/>
    <col min="107" max="107" width="11" bestFit="1" customWidth="1"/>
    <col min="108" max="108" width="11.7109375" bestFit="1" customWidth="1"/>
    <col min="110" max="110" width="12" bestFit="1" customWidth="1"/>
    <col min="111" max="111" width="8.42578125" bestFit="1" customWidth="1"/>
    <col min="112" max="112" width="12" bestFit="1" customWidth="1"/>
    <col min="113" max="113" width="9.85546875" bestFit="1" customWidth="1"/>
    <col min="114" max="114" width="8.85546875" bestFit="1" customWidth="1"/>
    <col min="115" max="116" width="12" bestFit="1" customWidth="1"/>
    <col min="117" max="117" width="10" bestFit="1" customWidth="1"/>
    <col min="118" max="118" width="9.7109375" bestFit="1" customWidth="1"/>
    <col min="119" max="119" width="3.7109375" bestFit="1" customWidth="1"/>
    <col min="120" max="120" width="8.85546875" bestFit="1" customWidth="1"/>
    <col min="121" max="121" width="9" bestFit="1" customWidth="1"/>
    <col min="122" max="122" width="8.7109375" bestFit="1" customWidth="1"/>
    <col min="123" max="123" width="10.140625" bestFit="1" customWidth="1"/>
    <col min="124" max="125" width="11" bestFit="1" customWidth="1"/>
    <col min="126" max="126" width="12" bestFit="1" customWidth="1"/>
    <col min="127" max="127" width="5" bestFit="1" customWidth="1"/>
    <col min="128" max="128" width="12" bestFit="1" customWidth="1"/>
    <col min="129" max="129" width="8.42578125" bestFit="1" customWidth="1"/>
    <col min="130" max="130" width="6.85546875" bestFit="1" customWidth="1"/>
    <col min="131" max="131" width="11" bestFit="1" customWidth="1"/>
    <col min="132" max="132" width="12.140625" bestFit="1" customWidth="1"/>
    <col min="133" max="133" width="10.7109375" bestFit="1" customWidth="1"/>
    <col min="134" max="134" width="11" bestFit="1" customWidth="1"/>
    <col min="135" max="135" width="12" bestFit="1" customWidth="1"/>
    <col min="136" max="136" width="6.85546875" bestFit="1" customWidth="1"/>
    <col min="137" max="137" width="4.28515625" bestFit="1" customWidth="1"/>
    <col min="138" max="138" width="14" bestFit="1" customWidth="1"/>
    <col min="139" max="139" width="12" bestFit="1" customWidth="1"/>
    <col min="140" max="140" width="11.7109375" bestFit="1" customWidth="1"/>
    <col min="142" max="142" width="12" bestFit="1" customWidth="1"/>
    <col min="143" max="143" width="8.42578125" bestFit="1" customWidth="1"/>
    <col min="144" max="144" width="12" bestFit="1" customWidth="1"/>
    <col min="145" max="145" width="9.85546875" bestFit="1" customWidth="1"/>
    <col min="146" max="146" width="8.85546875" bestFit="1" customWidth="1"/>
    <col min="147" max="148" width="12" bestFit="1" customWidth="1"/>
    <col min="149" max="149" width="10" bestFit="1" customWidth="1"/>
    <col min="150" max="150" width="9.7109375" bestFit="1" customWidth="1"/>
    <col min="151" max="151" width="3.7109375" bestFit="1" customWidth="1"/>
    <col min="152" max="152" width="8.85546875" bestFit="1" customWidth="1"/>
    <col min="153" max="153" width="9" bestFit="1" customWidth="1"/>
    <col min="154" max="154" width="8.7109375" bestFit="1" customWidth="1"/>
    <col min="155" max="155" width="11" bestFit="1" customWidth="1"/>
    <col min="156" max="158" width="12" bestFit="1" customWidth="1"/>
    <col min="159" max="159" width="5" bestFit="1" customWidth="1"/>
    <col min="160" max="160" width="12" bestFit="1" customWidth="1"/>
    <col min="161" max="161" width="8.42578125" bestFit="1" customWidth="1"/>
    <col min="162" max="162" width="6.85546875" bestFit="1" customWidth="1"/>
    <col min="163" max="163" width="11" bestFit="1" customWidth="1"/>
    <col min="164" max="164" width="12.140625" bestFit="1" customWidth="1"/>
    <col min="165" max="165" width="10.7109375" bestFit="1" customWidth="1"/>
    <col min="166" max="166" width="11" bestFit="1" customWidth="1"/>
    <col min="167" max="167" width="12" bestFit="1" customWidth="1"/>
    <col min="168" max="168" width="12.5703125" bestFit="1" customWidth="1"/>
  </cols>
  <sheetData>
    <row r="1" spans="1:28" x14ac:dyDescent="0.25">
      <c r="A1" s="126" t="s">
        <v>200</v>
      </c>
      <c r="B1" s="126" t="s">
        <v>202</v>
      </c>
      <c r="C1" s="126" t="s">
        <v>201</v>
      </c>
      <c r="D1" s="126" t="s">
        <v>73</v>
      </c>
      <c r="AA1" s="154"/>
      <c r="AB1" s="154"/>
    </row>
    <row r="2" spans="1:28" x14ac:dyDescent="0.25">
      <c r="A2" s="95" t="s">
        <v>169</v>
      </c>
      <c r="B2" s="127">
        <v>2020</v>
      </c>
      <c r="C2" s="128">
        <v>0</v>
      </c>
      <c r="D2" s="128">
        <v>-126007918698</v>
      </c>
      <c r="AA2" s="152"/>
      <c r="AB2" s="152"/>
    </row>
    <row r="3" spans="1:28" x14ac:dyDescent="0.25">
      <c r="A3" s="95" t="s">
        <v>169</v>
      </c>
      <c r="B3" s="127">
        <v>2021</v>
      </c>
      <c r="C3" s="128">
        <v>0</v>
      </c>
      <c r="D3" s="128">
        <v>0</v>
      </c>
      <c r="AA3" s="152"/>
      <c r="AB3" s="152"/>
    </row>
    <row r="4" spans="1:28" x14ac:dyDescent="0.25">
      <c r="A4" s="95" t="s">
        <v>169</v>
      </c>
      <c r="B4" s="127">
        <v>2022</v>
      </c>
      <c r="C4" s="128">
        <v>0</v>
      </c>
      <c r="D4" s="128">
        <v>0</v>
      </c>
      <c r="AA4" s="152"/>
      <c r="AB4" s="152"/>
    </row>
    <row r="5" spans="1:28" x14ac:dyDescent="0.25">
      <c r="A5" s="95" t="s">
        <v>169</v>
      </c>
      <c r="B5" s="127">
        <v>2023</v>
      </c>
      <c r="C5" s="128">
        <v>0</v>
      </c>
      <c r="D5" s="128">
        <v>0</v>
      </c>
      <c r="AA5" s="152"/>
      <c r="AB5" s="152"/>
    </row>
    <row r="6" spans="1:28" x14ac:dyDescent="0.25">
      <c r="A6" s="95" t="s">
        <v>169</v>
      </c>
      <c r="B6" s="127">
        <v>2024</v>
      </c>
      <c r="C6" s="128"/>
      <c r="D6" s="128"/>
      <c r="AA6" s="152"/>
      <c r="AB6" s="152"/>
    </row>
    <row r="7" spans="1:28" x14ac:dyDescent="0.25">
      <c r="A7" s="95" t="s">
        <v>170</v>
      </c>
      <c r="B7" s="127">
        <v>2020</v>
      </c>
      <c r="C7" s="128"/>
      <c r="D7" s="128"/>
      <c r="AA7" s="152"/>
      <c r="AB7" s="152"/>
    </row>
    <row r="8" spans="1:28" x14ac:dyDescent="0.25">
      <c r="A8" s="95" t="s">
        <v>170</v>
      </c>
      <c r="B8" s="127">
        <v>2021</v>
      </c>
      <c r="C8" s="128"/>
      <c r="D8" s="128"/>
      <c r="AA8" s="152"/>
      <c r="AB8" s="152"/>
    </row>
    <row r="9" spans="1:28" x14ac:dyDescent="0.25">
      <c r="A9" s="95" t="s">
        <v>170</v>
      </c>
      <c r="B9" s="127">
        <v>2022</v>
      </c>
      <c r="C9" s="128"/>
      <c r="D9" s="128"/>
      <c r="AA9" s="152"/>
      <c r="AB9" s="152"/>
    </row>
    <row r="10" spans="1:28" x14ac:dyDescent="0.25">
      <c r="A10" s="95" t="s">
        <v>170</v>
      </c>
      <c r="B10" s="127">
        <v>2023</v>
      </c>
      <c r="C10" s="128"/>
      <c r="D10" s="128"/>
      <c r="AA10" s="152"/>
      <c r="AB10" s="152"/>
    </row>
    <row r="11" spans="1:28" x14ac:dyDescent="0.25">
      <c r="A11" s="95" t="s">
        <v>170</v>
      </c>
      <c r="B11" s="127">
        <v>2024</v>
      </c>
      <c r="C11" s="128"/>
      <c r="D11" s="128"/>
      <c r="AA11" s="152"/>
      <c r="AB11" s="152"/>
    </row>
    <row r="12" spans="1:28" x14ac:dyDescent="0.25">
      <c r="A12" s="95" t="s">
        <v>171</v>
      </c>
      <c r="B12" s="127">
        <v>2020</v>
      </c>
      <c r="C12" s="128">
        <v>0</v>
      </c>
      <c r="D12" s="128">
        <v>0</v>
      </c>
      <c r="AA12" s="152"/>
      <c r="AB12" s="152"/>
    </row>
    <row r="13" spans="1:28" x14ac:dyDescent="0.25">
      <c r="A13" s="95" t="s">
        <v>171</v>
      </c>
      <c r="B13" s="127">
        <v>2021</v>
      </c>
      <c r="C13" s="128">
        <v>0</v>
      </c>
      <c r="D13" s="128">
        <v>0</v>
      </c>
      <c r="S13" s="124" t="s">
        <v>219</v>
      </c>
      <c r="T13" s="124" t="s">
        <v>205</v>
      </c>
      <c r="AA13" s="152"/>
      <c r="AB13" s="152"/>
    </row>
    <row r="14" spans="1:28" x14ac:dyDescent="0.25">
      <c r="A14" s="95" t="s">
        <v>171</v>
      </c>
      <c r="B14" s="127">
        <v>2022</v>
      </c>
      <c r="C14" s="128">
        <v>0</v>
      </c>
      <c r="D14" s="128">
        <v>0</v>
      </c>
      <c r="S14" s="124" t="s">
        <v>203</v>
      </c>
      <c r="T14">
        <v>2020</v>
      </c>
      <c r="U14">
        <v>2021</v>
      </c>
      <c r="V14">
        <v>2022</v>
      </c>
      <c r="W14">
        <v>2023</v>
      </c>
      <c r="X14">
        <v>2024</v>
      </c>
      <c r="Y14" t="s">
        <v>204</v>
      </c>
      <c r="AA14" s="152"/>
      <c r="AB14" s="152"/>
    </row>
    <row r="15" spans="1:28" ht="15.75" thickBot="1" x14ac:dyDescent="0.3">
      <c r="A15" s="95" t="s">
        <v>171</v>
      </c>
      <c r="B15" s="127">
        <v>2023</v>
      </c>
      <c r="C15" s="128">
        <v>0</v>
      </c>
      <c r="D15" s="128">
        <v>0</v>
      </c>
      <c r="S15" s="95" t="s">
        <v>193</v>
      </c>
      <c r="T15" s="151"/>
      <c r="U15" s="151">
        <v>0</v>
      </c>
      <c r="V15" s="151">
        <v>0</v>
      </c>
      <c r="W15" s="151"/>
      <c r="X15" s="151"/>
      <c r="Y15" s="151">
        <v>0</v>
      </c>
      <c r="AA15" s="153"/>
      <c r="AB15" s="153"/>
    </row>
    <row r="16" spans="1:28" x14ac:dyDescent="0.25">
      <c r="A16" s="95" t="s">
        <v>171</v>
      </c>
      <c r="B16" s="127">
        <v>2024</v>
      </c>
      <c r="C16" s="128"/>
      <c r="D16" s="128"/>
      <c r="S16" s="95" t="s">
        <v>175</v>
      </c>
      <c r="T16" s="151"/>
      <c r="U16" s="151"/>
      <c r="V16" s="151"/>
      <c r="W16" s="151"/>
      <c r="X16" s="151"/>
      <c r="Y16" s="151"/>
    </row>
    <row r="17" spans="1:25" x14ac:dyDescent="0.25">
      <c r="A17" s="95" t="s">
        <v>172</v>
      </c>
      <c r="B17" s="127">
        <v>2020</v>
      </c>
      <c r="C17" s="128">
        <v>14680550364</v>
      </c>
      <c r="D17" s="128">
        <v>191487008</v>
      </c>
      <c r="S17" s="95" t="s">
        <v>173</v>
      </c>
      <c r="T17" s="151"/>
      <c r="U17" s="151"/>
      <c r="V17" s="151"/>
      <c r="W17" s="151"/>
      <c r="X17" s="151"/>
      <c r="Y17" s="151"/>
    </row>
    <row r="18" spans="1:25" x14ac:dyDescent="0.25">
      <c r="A18" s="95" t="s">
        <v>172</v>
      </c>
      <c r="B18" s="127">
        <v>2021</v>
      </c>
      <c r="C18" s="128">
        <v>23769685980</v>
      </c>
      <c r="D18" s="128">
        <v>-2572669647</v>
      </c>
      <c r="S18" s="95" t="s">
        <v>189</v>
      </c>
      <c r="T18" s="151">
        <v>75000</v>
      </c>
      <c r="U18" s="151">
        <v>1603367320</v>
      </c>
      <c r="V18" s="151">
        <v>2632606203</v>
      </c>
      <c r="W18" s="151">
        <v>7699622013</v>
      </c>
      <c r="X18" s="151">
        <v>10401453748</v>
      </c>
      <c r="Y18" s="151">
        <v>22337124284</v>
      </c>
    </row>
    <row r="19" spans="1:25" x14ac:dyDescent="0.25">
      <c r="A19" s="95" t="s">
        <v>172</v>
      </c>
      <c r="B19" s="127">
        <v>2022</v>
      </c>
      <c r="C19" s="128">
        <v>56483995960</v>
      </c>
      <c r="D19" s="128">
        <v>18988336191</v>
      </c>
      <c r="S19" s="95" t="s">
        <v>186</v>
      </c>
      <c r="T19" s="151">
        <v>0</v>
      </c>
      <c r="U19" s="151">
        <v>0</v>
      </c>
      <c r="V19" s="151">
        <v>0</v>
      </c>
      <c r="W19" s="151">
        <v>0</v>
      </c>
      <c r="X19" s="151">
        <v>0</v>
      </c>
      <c r="Y19" s="151">
        <v>0</v>
      </c>
    </row>
    <row r="20" spans="1:25" x14ac:dyDescent="0.25">
      <c r="A20" s="95" t="s">
        <v>172</v>
      </c>
      <c r="B20" s="127">
        <v>2023</v>
      </c>
      <c r="C20" s="128">
        <v>35871351795</v>
      </c>
      <c r="D20" s="128">
        <v>555936599</v>
      </c>
      <c r="S20" s="95" t="s">
        <v>177</v>
      </c>
      <c r="T20" s="151">
        <v>0</v>
      </c>
      <c r="U20" s="151">
        <v>0</v>
      </c>
      <c r="V20" s="151">
        <v>0</v>
      </c>
      <c r="W20" s="151"/>
      <c r="X20" s="151"/>
      <c r="Y20" s="151">
        <v>0</v>
      </c>
    </row>
    <row r="21" spans="1:25" x14ac:dyDescent="0.25">
      <c r="A21" s="95" t="s">
        <v>172</v>
      </c>
      <c r="B21" s="127">
        <v>2024</v>
      </c>
      <c r="C21" s="128"/>
      <c r="D21" s="128"/>
      <c r="S21" s="95" t="s">
        <v>191</v>
      </c>
      <c r="T21" s="151">
        <v>113297503885</v>
      </c>
      <c r="U21" s="151">
        <v>125938701894</v>
      </c>
      <c r="V21" s="151">
        <v>163864492567</v>
      </c>
      <c r="W21" s="151">
        <v>208039398219</v>
      </c>
      <c r="X21" s="151">
        <v>208275366815</v>
      </c>
      <c r="Y21" s="151">
        <v>819415463380</v>
      </c>
    </row>
    <row r="22" spans="1:25" x14ac:dyDescent="0.25">
      <c r="A22" s="95" t="s">
        <v>173</v>
      </c>
      <c r="B22" s="127">
        <v>2020</v>
      </c>
      <c r="C22" s="128"/>
      <c r="D22" s="128"/>
      <c r="S22" s="95" t="s">
        <v>194</v>
      </c>
      <c r="T22" s="151"/>
      <c r="U22" s="151">
        <v>23066725181</v>
      </c>
      <c r="V22" s="151">
        <v>24969073870</v>
      </c>
      <c r="W22" s="151"/>
      <c r="X22" s="151"/>
      <c r="Y22" s="151">
        <v>48035799051</v>
      </c>
    </row>
    <row r="23" spans="1:25" x14ac:dyDescent="0.25">
      <c r="A23" s="95" t="s">
        <v>173</v>
      </c>
      <c r="B23" s="127">
        <v>2021</v>
      </c>
      <c r="C23" s="128"/>
      <c r="D23" s="128"/>
      <c r="S23" s="95" t="s">
        <v>184</v>
      </c>
      <c r="T23" s="151"/>
      <c r="U23" s="151">
        <v>12244307867</v>
      </c>
      <c r="V23" s="151">
        <v>15759900201</v>
      </c>
      <c r="W23" s="151">
        <v>19848701001</v>
      </c>
      <c r="X23" s="151">
        <v>17890982807</v>
      </c>
      <c r="Y23" s="151">
        <v>65743891876</v>
      </c>
    </row>
    <row r="24" spans="1:25" x14ac:dyDescent="0.25">
      <c r="A24" s="95" t="s">
        <v>173</v>
      </c>
      <c r="B24" s="127">
        <v>2022</v>
      </c>
      <c r="C24" s="128"/>
      <c r="D24" s="128"/>
      <c r="S24" s="95" t="s">
        <v>190</v>
      </c>
      <c r="T24" s="151">
        <v>69683764705</v>
      </c>
      <c r="U24" s="151">
        <v>69573490910</v>
      </c>
      <c r="V24" s="151">
        <v>49581280381</v>
      </c>
      <c r="W24" s="151">
        <v>82980455719</v>
      </c>
      <c r="X24" s="151"/>
      <c r="Y24" s="151">
        <v>271818991715</v>
      </c>
    </row>
    <row r="25" spans="1:25" x14ac:dyDescent="0.25">
      <c r="A25" s="95" t="s">
        <v>173</v>
      </c>
      <c r="B25" s="127">
        <v>2023</v>
      </c>
      <c r="C25" s="128"/>
      <c r="D25" s="128"/>
      <c r="S25" s="95" t="s">
        <v>199</v>
      </c>
      <c r="T25" s="151"/>
      <c r="U25" s="151"/>
      <c r="V25" s="151"/>
      <c r="W25" s="151">
        <v>0</v>
      </c>
      <c r="X25" s="151">
        <v>0</v>
      </c>
      <c r="Y25" s="151">
        <v>0</v>
      </c>
    </row>
    <row r="26" spans="1:25" x14ac:dyDescent="0.25">
      <c r="A26" s="95" t="s">
        <v>173</v>
      </c>
      <c r="B26" s="127">
        <v>2024</v>
      </c>
      <c r="C26" s="128"/>
      <c r="D26" s="128"/>
      <c r="S26" s="95" t="s">
        <v>182</v>
      </c>
      <c r="T26" s="151">
        <v>115974923177</v>
      </c>
      <c r="U26" s="151">
        <v>148257573911.29999</v>
      </c>
      <c r="V26" s="151">
        <v>208567180824</v>
      </c>
      <c r="W26" s="151">
        <v>141064555704</v>
      </c>
      <c r="X26" s="151">
        <v>171081298200</v>
      </c>
      <c r="Y26" s="151">
        <v>784945531816.30005</v>
      </c>
    </row>
    <row r="27" spans="1:25" x14ac:dyDescent="0.25">
      <c r="A27" s="95" t="s">
        <v>174</v>
      </c>
      <c r="B27" s="127">
        <v>2020</v>
      </c>
      <c r="C27" s="128"/>
      <c r="D27" s="128"/>
      <c r="S27" s="95" t="s">
        <v>198</v>
      </c>
      <c r="T27" s="151"/>
      <c r="U27" s="151">
        <v>20499650589</v>
      </c>
      <c r="V27" s="151">
        <v>25969829256</v>
      </c>
      <c r="W27" s="151">
        <v>30323647321</v>
      </c>
      <c r="X27" s="151">
        <v>30671525768</v>
      </c>
      <c r="Y27" s="151">
        <v>107464652934</v>
      </c>
    </row>
    <row r="28" spans="1:25" x14ac:dyDescent="0.25">
      <c r="A28" s="95" t="s">
        <v>174</v>
      </c>
      <c r="B28" s="127">
        <v>2021</v>
      </c>
      <c r="C28" s="128"/>
      <c r="D28" s="128"/>
      <c r="S28" s="95" t="s">
        <v>183</v>
      </c>
      <c r="T28" s="151"/>
      <c r="U28" s="151">
        <v>0</v>
      </c>
      <c r="V28" s="151">
        <v>357766575</v>
      </c>
      <c r="W28" s="151">
        <v>590714400</v>
      </c>
      <c r="X28" s="151">
        <v>339990650</v>
      </c>
      <c r="Y28" s="151">
        <v>1288471625</v>
      </c>
    </row>
    <row r="29" spans="1:25" x14ac:dyDescent="0.25">
      <c r="A29" s="95" t="s">
        <v>174</v>
      </c>
      <c r="B29" s="127">
        <v>2022</v>
      </c>
      <c r="C29" s="128"/>
      <c r="D29" s="128"/>
      <c r="S29" s="95" t="s">
        <v>188</v>
      </c>
      <c r="T29" s="151"/>
      <c r="U29" s="151"/>
      <c r="V29" s="151">
        <v>0</v>
      </c>
      <c r="W29" s="151"/>
      <c r="X29" s="151"/>
      <c r="Y29" s="151">
        <v>0</v>
      </c>
    </row>
    <row r="30" spans="1:25" x14ac:dyDescent="0.25">
      <c r="A30" s="95" t="s">
        <v>174</v>
      </c>
      <c r="B30" s="127">
        <v>2023</v>
      </c>
      <c r="C30" s="128"/>
      <c r="D30" s="128"/>
      <c r="S30" s="95" t="s">
        <v>187</v>
      </c>
      <c r="T30" s="151">
        <v>201922549725</v>
      </c>
      <c r="U30" s="151">
        <v>344543113621</v>
      </c>
      <c r="V30" s="151">
        <v>566423853591</v>
      </c>
      <c r="W30" s="151">
        <v>347503271938</v>
      </c>
      <c r="X30" s="151"/>
      <c r="Y30" s="151">
        <v>1460392788875</v>
      </c>
    </row>
    <row r="31" spans="1:25" x14ac:dyDescent="0.25">
      <c r="A31" s="95" t="s">
        <v>174</v>
      </c>
      <c r="B31" s="127">
        <v>2024</v>
      </c>
      <c r="C31" s="128"/>
      <c r="D31" s="128"/>
      <c r="S31" s="95" t="s">
        <v>171</v>
      </c>
      <c r="T31" s="151">
        <v>0</v>
      </c>
      <c r="U31" s="151">
        <v>0</v>
      </c>
      <c r="V31" s="151">
        <v>0</v>
      </c>
      <c r="W31" s="151">
        <v>0</v>
      </c>
      <c r="X31" s="151"/>
      <c r="Y31" s="151">
        <v>0</v>
      </c>
    </row>
    <row r="32" spans="1:25" x14ac:dyDescent="0.25">
      <c r="A32" s="95" t="s">
        <v>175</v>
      </c>
      <c r="B32" s="127">
        <v>2020</v>
      </c>
      <c r="C32" s="128"/>
      <c r="D32" s="128"/>
      <c r="S32" s="95" t="s">
        <v>178</v>
      </c>
      <c r="T32" s="151"/>
      <c r="U32" s="151"/>
      <c r="V32" s="151"/>
      <c r="W32" s="151"/>
      <c r="X32" s="151"/>
      <c r="Y32" s="151"/>
    </row>
    <row r="33" spans="1:25" x14ac:dyDescent="0.25">
      <c r="A33" s="95" t="s">
        <v>175</v>
      </c>
      <c r="B33" s="127">
        <v>2021</v>
      </c>
      <c r="C33" s="128"/>
      <c r="D33" s="128"/>
      <c r="S33" s="95" t="s">
        <v>179</v>
      </c>
      <c r="T33" s="151"/>
      <c r="U33" s="151"/>
      <c r="V33" s="151"/>
      <c r="W33" s="151"/>
      <c r="X33" s="151"/>
      <c r="Y33" s="151"/>
    </row>
    <row r="34" spans="1:25" x14ac:dyDescent="0.25">
      <c r="A34" s="95" t="s">
        <v>175</v>
      </c>
      <c r="B34" s="127">
        <v>2022</v>
      </c>
      <c r="C34" s="128"/>
      <c r="D34" s="128"/>
      <c r="S34" s="95" t="s">
        <v>196</v>
      </c>
      <c r="T34" s="151"/>
      <c r="U34" s="151"/>
      <c r="V34" s="151"/>
      <c r="W34" s="151">
        <v>903294089</v>
      </c>
      <c r="X34" s="151">
        <v>2756043638</v>
      </c>
      <c r="Y34" s="151">
        <v>3659337727</v>
      </c>
    </row>
    <row r="35" spans="1:25" x14ac:dyDescent="0.25">
      <c r="A35" s="95" t="s">
        <v>175</v>
      </c>
      <c r="B35" s="127">
        <v>2023</v>
      </c>
      <c r="C35" s="128"/>
      <c r="D35" s="128"/>
      <c r="S35" s="95" t="s">
        <v>181</v>
      </c>
      <c r="T35" s="151">
        <v>157009696804</v>
      </c>
      <c r="U35" s="151">
        <v>123502918007</v>
      </c>
      <c r="V35" s="151">
        <v>147862815768</v>
      </c>
      <c r="W35" s="151">
        <v>138230031552</v>
      </c>
      <c r="X35" s="151">
        <v>175133858574</v>
      </c>
      <c r="Y35" s="151">
        <v>741739320705</v>
      </c>
    </row>
    <row r="36" spans="1:25" x14ac:dyDescent="0.25">
      <c r="A36" s="95" t="s">
        <v>175</v>
      </c>
      <c r="B36" s="127">
        <v>2024</v>
      </c>
      <c r="C36" s="128"/>
      <c r="D36" s="128"/>
      <c r="S36" s="95" t="s">
        <v>195</v>
      </c>
      <c r="T36" s="151">
        <v>1618558530</v>
      </c>
      <c r="U36" s="151"/>
      <c r="V36" s="151"/>
      <c r="W36" s="151">
        <v>9558234759</v>
      </c>
      <c r="X36" s="151">
        <v>13089313273</v>
      </c>
      <c r="Y36" s="151">
        <v>24266106562</v>
      </c>
    </row>
    <row r="37" spans="1:25" x14ac:dyDescent="0.25">
      <c r="A37" s="95" t="s">
        <v>176</v>
      </c>
      <c r="B37" s="127">
        <v>2020</v>
      </c>
      <c r="C37" s="128"/>
      <c r="D37" s="128"/>
      <c r="S37" s="95" t="s">
        <v>180</v>
      </c>
      <c r="T37" s="151"/>
      <c r="U37" s="151">
        <v>459975250746</v>
      </c>
      <c r="V37" s="151">
        <v>392961612956</v>
      </c>
      <c r="W37" s="151">
        <v>354075329142.07953</v>
      </c>
      <c r="X37" s="151">
        <v>337162693235</v>
      </c>
      <c r="Y37" s="151">
        <v>1544174886079.0796</v>
      </c>
    </row>
    <row r="38" spans="1:25" x14ac:dyDescent="0.25">
      <c r="A38" s="95" t="s">
        <v>176</v>
      </c>
      <c r="B38" s="127">
        <v>2021</v>
      </c>
      <c r="C38" s="128">
        <v>1325725445</v>
      </c>
      <c r="D38" s="128">
        <v>0</v>
      </c>
      <c r="S38" s="95" t="s">
        <v>174</v>
      </c>
      <c r="T38" s="151"/>
      <c r="U38" s="151"/>
      <c r="V38" s="151"/>
      <c r="W38" s="151"/>
      <c r="X38" s="151"/>
      <c r="Y38" s="151"/>
    </row>
    <row r="39" spans="1:25" x14ac:dyDescent="0.25">
      <c r="A39" s="95" t="s">
        <v>176</v>
      </c>
      <c r="B39" s="127">
        <v>2022</v>
      </c>
      <c r="C39" s="128">
        <v>1219355818</v>
      </c>
      <c r="D39" s="128">
        <v>0</v>
      </c>
      <c r="S39" s="95" t="s">
        <v>185</v>
      </c>
      <c r="T39" s="151"/>
      <c r="U39" s="151">
        <v>157773737762</v>
      </c>
      <c r="V39" s="151">
        <v>161020148826</v>
      </c>
      <c r="W39" s="151">
        <v>167004925900</v>
      </c>
      <c r="X39" s="151">
        <v>162510769325</v>
      </c>
      <c r="Y39" s="151">
        <v>648309581813</v>
      </c>
    </row>
    <row r="40" spans="1:25" x14ac:dyDescent="0.25">
      <c r="A40" s="95" t="s">
        <v>176</v>
      </c>
      <c r="B40" s="127">
        <v>2023</v>
      </c>
      <c r="C40" s="128">
        <v>1821112229</v>
      </c>
      <c r="D40" s="128">
        <v>0</v>
      </c>
      <c r="S40" s="95" t="s">
        <v>172</v>
      </c>
      <c r="T40" s="151">
        <v>14680550364</v>
      </c>
      <c r="U40" s="151">
        <v>23769685980</v>
      </c>
      <c r="V40" s="151">
        <v>56483995960</v>
      </c>
      <c r="W40" s="151">
        <v>35871351795</v>
      </c>
      <c r="X40" s="151"/>
      <c r="Y40" s="151">
        <v>130805584099</v>
      </c>
    </row>
    <row r="41" spans="1:25" x14ac:dyDescent="0.25">
      <c r="A41" s="95" t="s">
        <v>176</v>
      </c>
      <c r="B41" s="127">
        <v>2024</v>
      </c>
      <c r="C41" s="128"/>
      <c r="D41" s="128"/>
      <c r="S41" s="95" t="s">
        <v>176</v>
      </c>
      <c r="T41" s="151"/>
      <c r="U41" s="151">
        <v>1325725445</v>
      </c>
      <c r="V41" s="151">
        <v>1219355818</v>
      </c>
      <c r="W41" s="151">
        <v>1821112229</v>
      </c>
      <c r="X41" s="151"/>
      <c r="Y41" s="151">
        <v>4366193492</v>
      </c>
    </row>
    <row r="42" spans="1:25" x14ac:dyDescent="0.25">
      <c r="A42" s="95" t="s">
        <v>177</v>
      </c>
      <c r="B42" s="127">
        <v>2020</v>
      </c>
      <c r="C42" s="128">
        <v>0</v>
      </c>
      <c r="D42" s="128">
        <v>-162984447797</v>
      </c>
      <c r="S42" s="95" t="s">
        <v>192</v>
      </c>
      <c r="T42" s="151">
        <v>8952032192</v>
      </c>
      <c r="U42" s="151">
        <v>8140087334</v>
      </c>
      <c r="V42" s="151">
        <v>4002286439</v>
      </c>
      <c r="W42" s="151">
        <v>5321602264</v>
      </c>
      <c r="X42" s="151">
        <v>4913023137</v>
      </c>
      <c r="Y42" s="151">
        <v>31329031366</v>
      </c>
    </row>
    <row r="43" spans="1:25" x14ac:dyDescent="0.25">
      <c r="A43" s="95" t="s">
        <v>177</v>
      </c>
      <c r="B43" s="127">
        <v>2021</v>
      </c>
      <c r="C43" s="128">
        <v>0</v>
      </c>
      <c r="D43" s="128">
        <v>-109755076</v>
      </c>
      <c r="S43" s="95" t="s">
        <v>197</v>
      </c>
      <c r="T43" s="151"/>
      <c r="U43" s="151">
        <v>2165007264</v>
      </c>
      <c r="V43" s="151">
        <v>1859866061</v>
      </c>
      <c r="W43" s="151"/>
      <c r="X43" s="151"/>
      <c r="Y43" s="151">
        <v>4024873325</v>
      </c>
    </row>
    <row r="44" spans="1:25" x14ac:dyDescent="0.25">
      <c r="A44" s="95" t="s">
        <v>177</v>
      </c>
      <c r="B44" s="127">
        <v>2022</v>
      </c>
      <c r="C44" s="128">
        <v>0</v>
      </c>
      <c r="D44" s="128">
        <v>-25582355</v>
      </c>
      <c r="S44" s="95" t="s">
        <v>170</v>
      </c>
      <c r="T44" s="151"/>
      <c r="U44" s="151"/>
      <c r="V44" s="151"/>
      <c r="W44" s="151"/>
      <c r="X44" s="151"/>
      <c r="Y44" s="151"/>
    </row>
    <row r="45" spans="1:25" x14ac:dyDescent="0.25">
      <c r="A45" s="95" t="s">
        <v>177</v>
      </c>
      <c r="B45" s="127">
        <v>2023</v>
      </c>
      <c r="C45" s="128"/>
      <c r="D45" s="128"/>
      <c r="S45" s="95" t="s">
        <v>169</v>
      </c>
      <c r="T45" s="151">
        <v>0</v>
      </c>
      <c r="U45" s="151">
        <v>0</v>
      </c>
      <c r="V45" s="151">
        <v>0</v>
      </c>
      <c r="W45" s="151">
        <v>0</v>
      </c>
      <c r="X45" s="151"/>
      <c r="Y45" s="151">
        <v>0</v>
      </c>
    </row>
    <row r="46" spans="1:25" x14ac:dyDescent="0.25">
      <c r="A46" s="95" t="s">
        <v>177</v>
      </c>
      <c r="B46" s="127">
        <v>2024</v>
      </c>
      <c r="C46" s="128"/>
      <c r="D46" s="128"/>
      <c r="S46" s="95" t="s">
        <v>204</v>
      </c>
      <c r="T46" s="151">
        <v>683139654382</v>
      </c>
      <c r="U46" s="151">
        <v>1522379343831.3</v>
      </c>
      <c r="V46" s="151">
        <v>1823536065296</v>
      </c>
      <c r="W46" s="151">
        <v>1550836248045.0796</v>
      </c>
      <c r="X46" s="151">
        <v>1134226319170</v>
      </c>
      <c r="Y46" s="151">
        <v>6714117630724.3789</v>
      </c>
    </row>
    <row r="47" spans="1:25" x14ac:dyDescent="0.25">
      <c r="A47" s="95" t="s">
        <v>178</v>
      </c>
      <c r="B47" s="127">
        <v>2020</v>
      </c>
      <c r="C47" s="128"/>
      <c r="D47" s="128"/>
    </row>
    <row r="48" spans="1:25" x14ac:dyDescent="0.25">
      <c r="A48" s="95" t="s">
        <v>178</v>
      </c>
      <c r="B48" s="127">
        <v>2021</v>
      </c>
      <c r="C48" s="128"/>
      <c r="D48" s="128"/>
    </row>
    <row r="49" spans="1:4" x14ac:dyDescent="0.25">
      <c r="A49" s="95" t="s">
        <v>178</v>
      </c>
      <c r="B49" s="127">
        <v>2022</v>
      </c>
      <c r="C49" s="128"/>
      <c r="D49" s="128"/>
    </row>
    <row r="50" spans="1:4" x14ac:dyDescent="0.25">
      <c r="A50" s="95" t="s">
        <v>178</v>
      </c>
      <c r="B50" s="127">
        <v>2023</v>
      </c>
      <c r="C50" s="128"/>
      <c r="D50" s="128"/>
    </row>
    <row r="51" spans="1:4" x14ac:dyDescent="0.25">
      <c r="A51" s="95" t="s">
        <v>178</v>
      </c>
      <c r="B51" s="127">
        <v>2024</v>
      </c>
      <c r="C51" s="128"/>
      <c r="D51" s="128"/>
    </row>
    <row r="52" spans="1:4" x14ac:dyDescent="0.25">
      <c r="A52" s="95" t="s">
        <v>179</v>
      </c>
      <c r="B52" s="127">
        <v>2020</v>
      </c>
      <c r="C52" s="128"/>
      <c r="D52" s="128"/>
    </row>
    <row r="53" spans="1:4" x14ac:dyDescent="0.25">
      <c r="A53" s="95" t="s">
        <v>179</v>
      </c>
      <c r="B53" s="127">
        <v>2021</v>
      </c>
      <c r="C53" s="128"/>
      <c r="D53" s="128"/>
    </row>
    <row r="54" spans="1:4" x14ac:dyDescent="0.25">
      <c r="A54" s="95" t="s">
        <v>179</v>
      </c>
      <c r="B54" s="127">
        <v>2022</v>
      </c>
      <c r="C54" s="128"/>
      <c r="D54" s="128"/>
    </row>
    <row r="55" spans="1:4" x14ac:dyDescent="0.25">
      <c r="A55" s="95" t="s">
        <v>179</v>
      </c>
      <c r="B55" s="127">
        <v>2023</v>
      </c>
      <c r="C55" s="128"/>
      <c r="D55" s="128"/>
    </row>
    <row r="56" spans="1:4" x14ac:dyDescent="0.25">
      <c r="A56" s="95" t="s">
        <v>179</v>
      </c>
      <c r="B56" s="127">
        <v>2024</v>
      </c>
      <c r="C56" s="128"/>
      <c r="D56" s="128"/>
    </row>
    <row r="57" spans="1:4" x14ac:dyDescent="0.25">
      <c r="A57" s="95" t="s">
        <v>180</v>
      </c>
      <c r="B57" s="127">
        <v>2020</v>
      </c>
      <c r="C57" s="128"/>
      <c r="D57" s="128"/>
    </row>
    <row r="58" spans="1:4" x14ac:dyDescent="0.25">
      <c r="A58" s="95" t="s">
        <v>180</v>
      </c>
      <c r="B58" s="127">
        <v>2021</v>
      </c>
      <c r="C58" s="128">
        <v>459975250746</v>
      </c>
      <c r="D58" s="128">
        <v>26718633081</v>
      </c>
    </row>
    <row r="59" spans="1:4" x14ac:dyDescent="0.25">
      <c r="A59" s="95" t="s">
        <v>180</v>
      </c>
      <c r="B59" s="127">
        <v>2022</v>
      </c>
      <c r="C59" s="128">
        <v>392961612956</v>
      </c>
      <c r="D59" s="128">
        <v>143556313105</v>
      </c>
    </row>
    <row r="60" spans="1:4" x14ac:dyDescent="0.25">
      <c r="A60" s="95" t="s">
        <v>180</v>
      </c>
      <c r="B60" s="127">
        <v>2023</v>
      </c>
      <c r="C60" s="128">
        <v>354075329142.07953</v>
      </c>
      <c r="D60" s="128">
        <v>137096340502.89597</v>
      </c>
    </row>
    <row r="61" spans="1:4" x14ac:dyDescent="0.25">
      <c r="A61" s="95" t="s">
        <v>180</v>
      </c>
      <c r="B61" s="127">
        <v>2024</v>
      </c>
      <c r="C61" s="128">
        <v>337162693235</v>
      </c>
      <c r="D61" s="128">
        <v>57851662541</v>
      </c>
    </row>
    <row r="62" spans="1:4" x14ac:dyDescent="0.25">
      <c r="A62" s="95" t="s">
        <v>181</v>
      </c>
      <c r="B62" s="127">
        <v>2020</v>
      </c>
      <c r="C62" s="128">
        <v>157009696804</v>
      </c>
      <c r="D62" s="128">
        <v>49090566419</v>
      </c>
    </row>
    <row r="63" spans="1:4" x14ac:dyDescent="0.25">
      <c r="A63" s="95" t="s">
        <v>181</v>
      </c>
      <c r="B63" s="127">
        <v>2021</v>
      </c>
      <c r="C63" s="128">
        <v>123502918007</v>
      </c>
      <c r="D63" s="128">
        <v>31337723864</v>
      </c>
    </row>
    <row r="64" spans="1:4" x14ac:dyDescent="0.25">
      <c r="A64" s="95" t="s">
        <v>181</v>
      </c>
      <c r="B64" s="127">
        <v>2022</v>
      </c>
      <c r="C64" s="128">
        <v>147862815768</v>
      </c>
      <c r="D64" s="128">
        <v>22855910095</v>
      </c>
    </row>
    <row r="65" spans="1:4" x14ac:dyDescent="0.25">
      <c r="A65" s="95" t="s">
        <v>181</v>
      </c>
      <c r="B65" s="127">
        <v>2023</v>
      </c>
      <c r="C65" s="128">
        <v>138230031552</v>
      </c>
      <c r="D65" s="128">
        <v>22694238966</v>
      </c>
    </row>
    <row r="66" spans="1:4" x14ac:dyDescent="0.25">
      <c r="A66" s="95" t="s">
        <v>181</v>
      </c>
      <c r="B66" s="127">
        <v>2024</v>
      </c>
      <c r="C66" s="128">
        <v>175133858574</v>
      </c>
      <c r="D66" s="128">
        <v>36396157176</v>
      </c>
    </row>
    <row r="67" spans="1:4" x14ac:dyDescent="0.25">
      <c r="A67" s="95" t="s">
        <v>182</v>
      </c>
      <c r="B67" s="127">
        <v>2020</v>
      </c>
      <c r="C67" s="128">
        <v>115974923177</v>
      </c>
      <c r="D67" s="128">
        <v>53061400347</v>
      </c>
    </row>
    <row r="68" spans="1:4" x14ac:dyDescent="0.25">
      <c r="A68" s="95" t="s">
        <v>182</v>
      </c>
      <c r="B68" s="127">
        <v>2021</v>
      </c>
      <c r="C68" s="128">
        <v>148257573911.29999</v>
      </c>
      <c r="D68" s="128">
        <v>13254337442.02</v>
      </c>
    </row>
    <row r="69" spans="1:4" x14ac:dyDescent="0.25">
      <c r="A69" s="95" t="s">
        <v>182</v>
      </c>
      <c r="B69" s="127">
        <v>2022</v>
      </c>
      <c r="C69" s="128">
        <v>208567180824</v>
      </c>
      <c r="D69" s="128">
        <v>57698846122</v>
      </c>
    </row>
    <row r="70" spans="1:4" x14ac:dyDescent="0.25">
      <c r="A70" s="95" t="s">
        <v>182</v>
      </c>
      <c r="B70" s="127">
        <v>2023</v>
      </c>
      <c r="C70" s="128">
        <v>141064555704</v>
      </c>
      <c r="D70" s="128">
        <v>21709050224</v>
      </c>
    </row>
    <row r="71" spans="1:4" x14ac:dyDescent="0.25">
      <c r="A71" s="95" t="s">
        <v>182</v>
      </c>
      <c r="B71" s="127">
        <v>2024</v>
      </c>
      <c r="C71" s="128">
        <v>171081298200</v>
      </c>
      <c r="D71" s="128">
        <v>14423265142</v>
      </c>
    </row>
    <row r="72" spans="1:4" x14ac:dyDescent="0.25">
      <c r="A72" s="95" t="s">
        <v>183</v>
      </c>
      <c r="B72" s="127">
        <v>2020</v>
      </c>
      <c r="C72" s="128"/>
      <c r="D72" s="128"/>
    </row>
    <row r="73" spans="1:4" x14ac:dyDescent="0.25">
      <c r="A73" s="95" t="s">
        <v>183</v>
      </c>
      <c r="B73" s="127">
        <v>2021</v>
      </c>
      <c r="C73" s="128">
        <v>0</v>
      </c>
      <c r="D73" s="128">
        <v>-52436153</v>
      </c>
    </row>
    <row r="74" spans="1:4" x14ac:dyDescent="0.25">
      <c r="A74" s="95" t="s">
        <v>183</v>
      </c>
      <c r="B74" s="127">
        <v>2022</v>
      </c>
      <c r="C74" s="128">
        <v>357766575</v>
      </c>
      <c r="D74" s="128">
        <v>-25741181</v>
      </c>
    </row>
    <row r="75" spans="1:4" x14ac:dyDescent="0.25">
      <c r="A75" s="95" t="s">
        <v>183</v>
      </c>
      <c r="B75" s="127">
        <v>2023</v>
      </c>
      <c r="C75" s="128">
        <v>590714400</v>
      </c>
      <c r="D75" s="128">
        <v>-130773503</v>
      </c>
    </row>
    <row r="76" spans="1:4" x14ac:dyDescent="0.25">
      <c r="A76" s="95" t="s">
        <v>183</v>
      </c>
      <c r="B76" s="127">
        <v>2024</v>
      </c>
      <c r="C76" s="128">
        <v>339990650</v>
      </c>
      <c r="D76" s="128">
        <v>-326048897</v>
      </c>
    </row>
    <row r="77" spans="1:4" x14ac:dyDescent="0.25">
      <c r="A77" s="95" t="s">
        <v>184</v>
      </c>
      <c r="B77" s="127">
        <v>2020</v>
      </c>
      <c r="C77" s="128"/>
      <c r="D77" s="128"/>
    </row>
    <row r="78" spans="1:4" x14ac:dyDescent="0.25">
      <c r="A78" s="95" t="s">
        <v>184</v>
      </c>
      <c r="B78" s="127">
        <v>2021</v>
      </c>
      <c r="C78" s="128">
        <v>12244307867</v>
      </c>
      <c r="D78" s="128">
        <v>515575109</v>
      </c>
    </row>
    <row r="79" spans="1:4" x14ac:dyDescent="0.25">
      <c r="A79" s="95" t="s">
        <v>184</v>
      </c>
      <c r="B79" s="127">
        <v>2022</v>
      </c>
      <c r="C79" s="128">
        <v>15759900201</v>
      </c>
      <c r="D79" s="128">
        <v>609301525</v>
      </c>
    </row>
    <row r="80" spans="1:4" x14ac:dyDescent="0.25">
      <c r="A80" s="95" t="s">
        <v>184</v>
      </c>
      <c r="B80" s="127">
        <v>2023</v>
      </c>
      <c r="C80" s="128">
        <v>19848701001</v>
      </c>
      <c r="D80" s="128">
        <v>935630309</v>
      </c>
    </row>
    <row r="81" spans="1:4" x14ac:dyDescent="0.25">
      <c r="A81" s="95" t="s">
        <v>184</v>
      </c>
      <c r="B81" s="127">
        <v>2024</v>
      </c>
      <c r="C81" s="128">
        <v>17890982807</v>
      </c>
      <c r="D81" s="128">
        <v>538338515</v>
      </c>
    </row>
    <row r="82" spans="1:4" x14ac:dyDescent="0.25">
      <c r="A82" s="95" t="s">
        <v>185</v>
      </c>
      <c r="B82" s="127">
        <v>2020</v>
      </c>
      <c r="C82" s="128"/>
      <c r="D82" s="128"/>
    </row>
    <row r="83" spans="1:4" x14ac:dyDescent="0.25">
      <c r="A83" s="95" t="s">
        <v>185</v>
      </c>
      <c r="B83" s="127">
        <v>2021</v>
      </c>
      <c r="C83" s="128">
        <v>157773737762</v>
      </c>
      <c r="D83" s="128">
        <v>12357368337</v>
      </c>
    </row>
    <row r="84" spans="1:4" x14ac:dyDescent="0.25">
      <c r="A84" s="95" t="s">
        <v>185</v>
      </c>
      <c r="B84" s="127">
        <v>2022</v>
      </c>
      <c r="C84" s="128">
        <v>161020148826</v>
      </c>
      <c r="D84" s="128">
        <v>-3597241112</v>
      </c>
    </row>
    <row r="85" spans="1:4" x14ac:dyDescent="0.25">
      <c r="A85" s="95" t="s">
        <v>185</v>
      </c>
      <c r="B85" s="127">
        <v>2023</v>
      </c>
      <c r="C85" s="128">
        <v>167004925900</v>
      </c>
      <c r="D85" s="128">
        <v>-2098860977</v>
      </c>
    </row>
    <row r="86" spans="1:4" x14ac:dyDescent="0.25">
      <c r="A86" s="95" t="s">
        <v>185</v>
      </c>
      <c r="B86" s="127">
        <v>2024</v>
      </c>
      <c r="C86" s="128">
        <v>162510769325</v>
      </c>
      <c r="D86" s="128">
        <v>17523080081</v>
      </c>
    </row>
    <row r="87" spans="1:4" x14ac:dyDescent="0.25">
      <c r="A87" s="95" t="s">
        <v>191</v>
      </c>
      <c r="B87" s="127">
        <v>2020</v>
      </c>
      <c r="C87" s="128">
        <v>113297503885</v>
      </c>
      <c r="D87" s="128">
        <v>33805580013</v>
      </c>
    </row>
    <row r="88" spans="1:4" x14ac:dyDescent="0.25">
      <c r="A88" s="95" t="s">
        <v>191</v>
      </c>
      <c r="B88" s="127">
        <v>2021</v>
      </c>
      <c r="C88" s="128">
        <v>125938701894</v>
      </c>
      <c r="D88" s="128">
        <v>26998231133</v>
      </c>
    </row>
    <row r="89" spans="1:4" x14ac:dyDescent="0.25">
      <c r="A89" s="95" t="s">
        <v>191</v>
      </c>
      <c r="B89" s="127">
        <v>2022</v>
      </c>
      <c r="C89" s="128">
        <v>163864492567</v>
      </c>
      <c r="D89" s="128">
        <v>9473766747</v>
      </c>
    </row>
    <row r="90" spans="1:4" x14ac:dyDescent="0.25">
      <c r="A90" s="95" t="s">
        <v>191</v>
      </c>
      <c r="B90" s="127">
        <v>2023</v>
      </c>
      <c r="C90" s="128">
        <v>208039398219</v>
      </c>
      <c r="D90" s="128">
        <v>45379996833</v>
      </c>
    </row>
    <row r="91" spans="1:4" x14ac:dyDescent="0.25">
      <c r="A91" s="95" t="s">
        <v>191</v>
      </c>
      <c r="B91" s="127">
        <v>2024</v>
      </c>
      <c r="C91" s="128">
        <v>208275366815</v>
      </c>
      <c r="D91" s="128">
        <v>40151124119</v>
      </c>
    </row>
    <row r="92" spans="1:4" x14ac:dyDescent="0.25">
      <c r="A92" s="95" t="s">
        <v>192</v>
      </c>
      <c r="B92" s="127">
        <v>2020</v>
      </c>
      <c r="C92" s="128">
        <v>8952032192</v>
      </c>
      <c r="D92" s="128">
        <v>971677713</v>
      </c>
    </row>
    <row r="93" spans="1:4" x14ac:dyDescent="0.25">
      <c r="A93" s="95" t="s">
        <v>192</v>
      </c>
      <c r="B93" s="127">
        <v>2021</v>
      </c>
      <c r="C93" s="128">
        <v>8140087334</v>
      </c>
      <c r="D93" s="128">
        <v>-274584431</v>
      </c>
    </row>
    <row r="94" spans="1:4" x14ac:dyDescent="0.25">
      <c r="A94" s="95" t="s">
        <v>192</v>
      </c>
      <c r="B94" s="127">
        <v>2022</v>
      </c>
      <c r="C94" s="128">
        <v>4002286439</v>
      </c>
      <c r="D94" s="128">
        <v>355804282</v>
      </c>
    </row>
    <row r="95" spans="1:4" x14ac:dyDescent="0.25">
      <c r="A95" s="95" t="s">
        <v>192</v>
      </c>
      <c r="B95" s="127">
        <v>2023</v>
      </c>
      <c r="C95" s="128">
        <v>5321602264</v>
      </c>
      <c r="D95" s="128">
        <v>-150948557</v>
      </c>
    </row>
    <row r="96" spans="1:4" x14ac:dyDescent="0.25">
      <c r="A96" s="95" t="s">
        <v>192</v>
      </c>
      <c r="B96" s="127">
        <v>2024</v>
      </c>
      <c r="C96" s="128">
        <v>4913023137</v>
      </c>
      <c r="D96" s="128">
        <v>-283240460</v>
      </c>
    </row>
    <row r="97" spans="1:4" x14ac:dyDescent="0.25">
      <c r="A97" s="95" t="s">
        <v>186</v>
      </c>
      <c r="B97" s="127">
        <v>2020</v>
      </c>
      <c r="C97" s="128">
        <v>0</v>
      </c>
      <c r="D97" s="128">
        <v>-662893412476</v>
      </c>
    </row>
    <row r="98" spans="1:4" x14ac:dyDescent="0.25">
      <c r="A98" s="95" t="s">
        <v>186</v>
      </c>
      <c r="B98" s="127">
        <v>2021</v>
      </c>
      <c r="C98" s="128">
        <v>0</v>
      </c>
      <c r="D98" s="128">
        <v>-4294967298</v>
      </c>
    </row>
    <row r="99" spans="1:4" x14ac:dyDescent="0.25">
      <c r="A99" s="95" t="s">
        <v>186</v>
      </c>
      <c r="B99" s="127">
        <v>2022</v>
      </c>
      <c r="C99" s="128">
        <v>0</v>
      </c>
      <c r="D99" s="128">
        <v>-4294967298</v>
      </c>
    </row>
    <row r="100" spans="1:4" x14ac:dyDescent="0.25">
      <c r="A100" s="95" t="s">
        <v>186</v>
      </c>
      <c r="B100" s="127">
        <v>2023</v>
      </c>
      <c r="C100" s="128">
        <v>0</v>
      </c>
      <c r="D100" s="128">
        <v>-583451768027</v>
      </c>
    </row>
    <row r="101" spans="1:4" x14ac:dyDescent="0.25">
      <c r="A101" s="95" t="s">
        <v>186</v>
      </c>
      <c r="B101" s="127">
        <v>2024</v>
      </c>
      <c r="C101" s="128">
        <v>0</v>
      </c>
      <c r="D101" s="128">
        <v>-525642165189</v>
      </c>
    </row>
    <row r="102" spans="1:4" x14ac:dyDescent="0.25">
      <c r="A102" s="95" t="s">
        <v>187</v>
      </c>
      <c r="B102" s="127">
        <v>2020</v>
      </c>
      <c r="C102" s="128">
        <v>201922549725</v>
      </c>
      <c r="D102" s="128">
        <v>37985634536</v>
      </c>
    </row>
    <row r="103" spans="1:4" x14ac:dyDescent="0.25">
      <c r="A103" s="95" t="s">
        <v>187</v>
      </c>
      <c r="B103" s="127">
        <v>2021</v>
      </c>
      <c r="C103" s="128">
        <v>344543113621</v>
      </c>
      <c r="D103" s="128">
        <v>117477649557</v>
      </c>
    </row>
    <row r="104" spans="1:4" x14ac:dyDescent="0.25">
      <c r="A104" s="95" t="s">
        <v>187</v>
      </c>
      <c r="B104" s="127">
        <v>2022</v>
      </c>
      <c r="C104" s="128">
        <v>566423853591</v>
      </c>
      <c r="D104" s="128">
        <v>230165320277</v>
      </c>
    </row>
    <row r="105" spans="1:4" x14ac:dyDescent="0.25">
      <c r="A105" s="95" t="s">
        <v>187</v>
      </c>
      <c r="B105" s="127">
        <v>2023</v>
      </c>
      <c r="C105" s="128">
        <v>347503271938</v>
      </c>
      <c r="D105" s="128">
        <v>79843566179</v>
      </c>
    </row>
    <row r="106" spans="1:4" x14ac:dyDescent="0.25">
      <c r="A106" s="95" t="s">
        <v>187</v>
      </c>
      <c r="B106" s="127">
        <v>2024</v>
      </c>
      <c r="C106" s="128"/>
      <c r="D106" s="128"/>
    </row>
    <row r="107" spans="1:4" x14ac:dyDescent="0.25">
      <c r="A107" s="95" t="s">
        <v>188</v>
      </c>
      <c r="B107" s="127">
        <v>2020</v>
      </c>
      <c r="C107" s="128"/>
      <c r="D107" s="128"/>
    </row>
    <row r="108" spans="1:4" x14ac:dyDescent="0.25">
      <c r="A108" s="95" t="s">
        <v>188</v>
      </c>
      <c r="B108" s="127">
        <v>2021</v>
      </c>
      <c r="C108" s="128"/>
      <c r="D108" s="128">
        <v>0</v>
      </c>
    </row>
    <row r="109" spans="1:4" x14ac:dyDescent="0.25">
      <c r="A109" s="95" t="s">
        <v>188</v>
      </c>
      <c r="B109" s="127">
        <v>2022</v>
      </c>
      <c r="C109" s="128">
        <v>0</v>
      </c>
      <c r="D109" s="128">
        <v>0</v>
      </c>
    </row>
    <row r="110" spans="1:4" x14ac:dyDescent="0.25">
      <c r="A110" s="95" t="s">
        <v>188</v>
      </c>
      <c r="B110" s="127">
        <v>2023</v>
      </c>
      <c r="C110" s="128"/>
      <c r="D110" s="128"/>
    </row>
    <row r="111" spans="1:4" x14ac:dyDescent="0.25">
      <c r="A111" s="95" t="s">
        <v>188</v>
      </c>
      <c r="B111" s="127">
        <v>2024</v>
      </c>
      <c r="C111" s="128"/>
      <c r="D111" s="128"/>
    </row>
    <row r="112" spans="1:4" x14ac:dyDescent="0.25">
      <c r="A112" s="95" t="s">
        <v>189</v>
      </c>
      <c r="B112" s="127">
        <v>2020</v>
      </c>
      <c r="C112" s="128">
        <v>75000</v>
      </c>
      <c r="D112" s="128">
        <v>-282791098</v>
      </c>
    </row>
    <row r="113" spans="1:4" x14ac:dyDescent="0.25">
      <c r="A113" s="95" t="s">
        <v>189</v>
      </c>
      <c r="B113" s="127">
        <v>2021</v>
      </c>
      <c r="C113" s="128">
        <v>1603367320</v>
      </c>
      <c r="D113" s="128">
        <v>-2538298985</v>
      </c>
    </row>
    <row r="114" spans="1:4" x14ac:dyDescent="0.25">
      <c r="A114" s="95" t="s">
        <v>189</v>
      </c>
      <c r="B114" s="127">
        <v>2022</v>
      </c>
      <c r="C114" s="128">
        <v>2632606203</v>
      </c>
      <c r="D114" s="128">
        <v>-4142212315</v>
      </c>
    </row>
    <row r="115" spans="1:4" x14ac:dyDescent="0.25">
      <c r="A115" s="95" t="s">
        <v>189</v>
      </c>
      <c r="B115" s="127">
        <v>2023</v>
      </c>
      <c r="C115" s="128">
        <v>7699622013</v>
      </c>
      <c r="D115" s="128">
        <v>-3975136492</v>
      </c>
    </row>
    <row r="116" spans="1:4" x14ac:dyDescent="0.25">
      <c r="A116" s="95" t="s">
        <v>189</v>
      </c>
      <c r="B116" s="127">
        <v>2024</v>
      </c>
      <c r="C116" s="128">
        <v>10401453748</v>
      </c>
      <c r="D116" s="128">
        <v>-7726090136</v>
      </c>
    </row>
    <row r="117" spans="1:4" x14ac:dyDescent="0.25">
      <c r="A117" s="95" t="s">
        <v>190</v>
      </c>
      <c r="B117" s="127">
        <v>2020</v>
      </c>
      <c r="C117" s="128">
        <v>69683764705</v>
      </c>
      <c r="D117" s="128">
        <v>26991933037</v>
      </c>
    </row>
    <row r="118" spans="1:4" x14ac:dyDescent="0.25">
      <c r="A118" s="95" t="s">
        <v>190</v>
      </c>
      <c r="B118" s="127">
        <v>2021</v>
      </c>
      <c r="C118" s="128">
        <v>69573490910</v>
      </c>
      <c r="D118" s="128">
        <v>16694787635</v>
      </c>
    </row>
    <row r="119" spans="1:4" x14ac:dyDescent="0.25">
      <c r="A119" s="95" t="s">
        <v>190</v>
      </c>
      <c r="B119" s="127">
        <v>2022</v>
      </c>
      <c r="C119" s="128">
        <v>49581280381</v>
      </c>
      <c r="D119" s="128">
        <v>-6608648871</v>
      </c>
    </row>
    <row r="120" spans="1:4" x14ac:dyDescent="0.25">
      <c r="A120" s="95" t="s">
        <v>190</v>
      </c>
      <c r="B120" s="127">
        <v>2023</v>
      </c>
      <c r="C120" s="128">
        <v>82980455719</v>
      </c>
      <c r="D120" s="128">
        <v>14713048916</v>
      </c>
    </row>
    <row r="121" spans="1:4" x14ac:dyDescent="0.25">
      <c r="A121" s="95" t="s">
        <v>190</v>
      </c>
      <c r="B121" s="127">
        <v>2024</v>
      </c>
      <c r="C121" s="128"/>
      <c r="D121" s="128"/>
    </row>
    <row r="122" spans="1:4" x14ac:dyDescent="0.25">
      <c r="A122" s="95" t="s">
        <v>193</v>
      </c>
      <c r="B122" s="127">
        <v>2020</v>
      </c>
      <c r="C122" s="128"/>
      <c r="D122" s="128"/>
    </row>
    <row r="123" spans="1:4" x14ac:dyDescent="0.25">
      <c r="A123" s="95" t="s">
        <v>193</v>
      </c>
      <c r="B123" s="127">
        <v>2021</v>
      </c>
      <c r="C123" s="128">
        <v>0</v>
      </c>
      <c r="D123" s="128">
        <v>0</v>
      </c>
    </row>
    <row r="124" spans="1:4" x14ac:dyDescent="0.25">
      <c r="A124" s="95" t="s">
        <v>193</v>
      </c>
      <c r="B124" s="127">
        <v>2022</v>
      </c>
      <c r="C124" s="128">
        <v>0</v>
      </c>
      <c r="D124" s="128">
        <v>0</v>
      </c>
    </row>
    <row r="125" spans="1:4" x14ac:dyDescent="0.25">
      <c r="A125" s="95" t="s">
        <v>193</v>
      </c>
      <c r="B125" s="127">
        <v>2023</v>
      </c>
      <c r="C125" s="128"/>
      <c r="D125" s="128"/>
    </row>
    <row r="126" spans="1:4" x14ac:dyDescent="0.25">
      <c r="A126" s="95" t="s">
        <v>193</v>
      </c>
      <c r="B126" s="127">
        <v>2024</v>
      </c>
      <c r="C126" s="128"/>
      <c r="D126" s="128"/>
    </row>
    <row r="127" spans="1:4" x14ac:dyDescent="0.25">
      <c r="A127" s="95" t="s">
        <v>194</v>
      </c>
      <c r="B127" s="127">
        <v>2020</v>
      </c>
      <c r="C127" s="128"/>
      <c r="D127" s="128"/>
    </row>
    <row r="128" spans="1:4" x14ac:dyDescent="0.25">
      <c r="A128" s="95" t="s">
        <v>194</v>
      </c>
      <c r="B128" s="127">
        <v>2021</v>
      </c>
      <c r="C128" s="128">
        <v>23066725181</v>
      </c>
      <c r="D128" s="128">
        <v>3309380514</v>
      </c>
    </row>
    <row r="129" spans="1:4" x14ac:dyDescent="0.25">
      <c r="A129" s="95" t="s">
        <v>194</v>
      </c>
      <c r="B129" s="127">
        <v>2022</v>
      </c>
      <c r="C129" s="128">
        <v>24969073870</v>
      </c>
      <c r="D129" s="128">
        <v>1360984077</v>
      </c>
    </row>
    <row r="130" spans="1:4" x14ac:dyDescent="0.25">
      <c r="A130" s="95" t="s">
        <v>194</v>
      </c>
      <c r="B130" s="127">
        <v>2023</v>
      </c>
      <c r="C130" s="128"/>
      <c r="D130" s="128"/>
    </row>
    <row r="131" spans="1:4" x14ac:dyDescent="0.25">
      <c r="A131" s="95" t="s">
        <v>194</v>
      </c>
      <c r="B131" s="127">
        <v>2024</v>
      </c>
      <c r="C131" s="128"/>
      <c r="D131" s="128"/>
    </row>
    <row r="132" spans="1:4" x14ac:dyDescent="0.25">
      <c r="A132" s="95" t="s">
        <v>195</v>
      </c>
      <c r="B132" s="127">
        <v>2020</v>
      </c>
      <c r="C132" s="128">
        <v>1618558530</v>
      </c>
      <c r="D132" s="128">
        <v>-766531809</v>
      </c>
    </row>
    <row r="133" spans="1:4" x14ac:dyDescent="0.25">
      <c r="A133" s="95" t="s">
        <v>195</v>
      </c>
      <c r="B133" s="127">
        <v>2021</v>
      </c>
      <c r="C133" s="128"/>
      <c r="D133" s="128"/>
    </row>
    <row r="134" spans="1:4" x14ac:dyDescent="0.25">
      <c r="A134" s="95" t="s">
        <v>195</v>
      </c>
      <c r="B134" s="127">
        <v>2022</v>
      </c>
      <c r="C134" s="128"/>
      <c r="D134" s="128"/>
    </row>
    <row r="135" spans="1:4" x14ac:dyDescent="0.25">
      <c r="A135" s="95" t="s">
        <v>195</v>
      </c>
      <c r="B135" s="127">
        <v>2023</v>
      </c>
      <c r="C135" s="128">
        <v>9558234759</v>
      </c>
      <c r="D135" s="128">
        <v>1033485494</v>
      </c>
    </row>
    <row r="136" spans="1:4" x14ac:dyDescent="0.25">
      <c r="A136" s="95" t="s">
        <v>195</v>
      </c>
      <c r="B136" s="127">
        <v>2024</v>
      </c>
      <c r="C136" s="128">
        <v>13089313273</v>
      </c>
      <c r="D136" s="128">
        <v>1663855770</v>
      </c>
    </row>
    <row r="137" spans="1:4" x14ac:dyDescent="0.25">
      <c r="A137" s="95" t="s">
        <v>196</v>
      </c>
      <c r="B137" s="127">
        <v>2020</v>
      </c>
      <c r="C137" s="128"/>
      <c r="D137" s="128"/>
    </row>
    <row r="138" spans="1:4" x14ac:dyDescent="0.25">
      <c r="A138" s="95" t="s">
        <v>196</v>
      </c>
      <c r="B138" s="127">
        <v>2021</v>
      </c>
      <c r="C138" s="128"/>
      <c r="D138" s="128"/>
    </row>
    <row r="139" spans="1:4" x14ac:dyDescent="0.25">
      <c r="A139" s="95" t="s">
        <v>196</v>
      </c>
      <c r="B139" s="127">
        <v>2022</v>
      </c>
      <c r="C139" s="128"/>
      <c r="D139" s="128"/>
    </row>
    <row r="140" spans="1:4" x14ac:dyDescent="0.25">
      <c r="A140" s="95" t="s">
        <v>196</v>
      </c>
      <c r="B140" s="127">
        <v>2023</v>
      </c>
      <c r="C140" s="128">
        <v>903294089</v>
      </c>
      <c r="D140" s="128">
        <v>-1270651585</v>
      </c>
    </row>
    <row r="141" spans="1:4" x14ac:dyDescent="0.25">
      <c r="A141" s="95" t="s">
        <v>196</v>
      </c>
      <c r="B141" s="127">
        <v>2024</v>
      </c>
      <c r="C141" s="128">
        <v>2756043638</v>
      </c>
      <c r="D141" s="128">
        <v>1217788809</v>
      </c>
    </row>
    <row r="142" spans="1:4" x14ac:dyDescent="0.25">
      <c r="A142" s="95" t="s">
        <v>197</v>
      </c>
      <c r="B142" s="127">
        <v>2020</v>
      </c>
      <c r="C142" s="128"/>
      <c r="D142" s="128"/>
    </row>
    <row r="143" spans="1:4" x14ac:dyDescent="0.25">
      <c r="A143" s="95" t="s">
        <v>197</v>
      </c>
      <c r="B143" s="127">
        <v>2021</v>
      </c>
      <c r="C143" s="128">
        <v>2165007264</v>
      </c>
      <c r="D143" s="128">
        <v>7158974</v>
      </c>
    </row>
    <row r="144" spans="1:4" x14ac:dyDescent="0.25">
      <c r="A144" s="95" t="s">
        <v>197</v>
      </c>
      <c r="B144" s="127">
        <v>2022</v>
      </c>
      <c r="C144" s="128">
        <v>1859866061</v>
      </c>
      <c r="D144" s="128">
        <v>42874153</v>
      </c>
    </row>
    <row r="145" spans="1:4" x14ac:dyDescent="0.25">
      <c r="A145" s="95" t="s">
        <v>197</v>
      </c>
      <c r="B145" s="127">
        <v>2023</v>
      </c>
      <c r="C145" s="128"/>
      <c r="D145" s="128"/>
    </row>
    <row r="146" spans="1:4" x14ac:dyDescent="0.25">
      <c r="A146" s="95" t="s">
        <v>197</v>
      </c>
      <c r="B146" s="127">
        <v>2024</v>
      </c>
      <c r="C146" s="128"/>
      <c r="D146" s="128"/>
    </row>
    <row r="147" spans="1:4" x14ac:dyDescent="0.25">
      <c r="A147" s="95" t="s">
        <v>198</v>
      </c>
      <c r="B147" s="127">
        <v>2020</v>
      </c>
      <c r="C147" s="128"/>
      <c r="D147" s="128"/>
    </row>
    <row r="148" spans="1:4" x14ac:dyDescent="0.25">
      <c r="A148" s="95" t="s">
        <v>198</v>
      </c>
      <c r="B148" s="127">
        <v>2021</v>
      </c>
      <c r="C148" s="128">
        <v>20499650589</v>
      </c>
      <c r="D148" s="128">
        <v>1326970463</v>
      </c>
    </row>
    <row r="149" spans="1:4" x14ac:dyDescent="0.25">
      <c r="A149" s="95" t="s">
        <v>198</v>
      </c>
      <c r="B149" s="127">
        <v>2022</v>
      </c>
      <c r="C149" s="128">
        <v>25969829256</v>
      </c>
      <c r="D149" s="128">
        <v>1812203836</v>
      </c>
    </row>
    <row r="150" spans="1:4" x14ac:dyDescent="0.25">
      <c r="A150" s="95" t="s">
        <v>198</v>
      </c>
      <c r="B150" s="127">
        <v>2023</v>
      </c>
      <c r="C150" s="128">
        <v>30323647321</v>
      </c>
      <c r="D150" s="128">
        <v>1731869558</v>
      </c>
    </row>
    <row r="151" spans="1:4" x14ac:dyDescent="0.25">
      <c r="A151" s="95" t="s">
        <v>198</v>
      </c>
      <c r="B151" s="127">
        <v>2024</v>
      </c>
      <c r="C151" s="128">
        <v>30671525768</v>
      </c>
      <c r="D151" s="128">
        <v>1997358711</v>
      </c>
    </row>
    <row r="152" spans="1:4" x14ac:dyDescent="0.25">
      <c r="A152" s="95" t="s">
        <v>199</v>
      </c>
      <c r="B152" s="127">
        <v>2020</v>
      </c>
      <c r="C152" s="128"/>
      <c r="D152" s="128"/>
    </row>
    <row r="153" spans="1:4" x14ac:dyDescent="0.25">
      <c r="A153" s="95" t="s">
        <v>199</v>
      </c>
      <c r="B153" s="127">
        <v>2021</v>
      </c>
      <c r="C153" s="128"/>
      <c r="D153" s="128"/>
    </row>
    <row r="154" spans="1:4" x14ac:dyDescent="0.25">
      <c r="A154" s="95" t="s">
        <v>199</v>
      </c>
      <c r="B154" s="127">
        <v>2022</v>
      </c>
      <c r="C154" s="128"/>
      <c r="D154" s="128"/>
    </row>
    <row r="155" spans="1:4" x14ac:dyDescent="0.25">
      <c r="A155" s="95" t="s">
        <v>199</v>
      </c>
      <c r="B155" s="127">
        <v>2023</v>
      </c>
      <c r="C155" s="128">
        <v>0</v>
      </c>
      <c r="D155" s="128">
        <v>0</v>
      </c>
    </row>
    <row r="156" spans="1:4" x14ac:dyDescent="0.25">
      <c r="A156" s="95" t="s">
        <v>199</v>
      </c>
      <c r="B156" s="127">
        <v>2024</v>
      </c>
      <c r="C156" s="128">
        <v>0</v>
      </c>
      <c r="D156" s="128">
        <v>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AE40-90C2-4F16-86C9-BA5BE8DA7161}">
  <sheetPr codeName="Feuil42"/>
  <dimension ref="A3:AG10"/>
  <sheetViews>
    <sheetView workbookViewId="0"/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4.28515625" bestFit="1" customWidth="1"/>
    <col min="4" max="4" width="14" bestFit="1" customWidth="1"/>
    <col min="5" max="5" width="13.28515625" bestFit="1" customWidth="1"/>
    <col min="6" max="6" width="11.7109375" bestFit="1" customWidth="1"/>
    <col min="8" max="8" width="14.28515625" bestFit="1" customWidth="1"/>
    <col min="9" max="10" width="13.28515625" bestFit="1" customWidth="1"/>
    <col min="11" max="11" width="14.28515625" bestFit="1" customWidth="1"/>
    <col min="12" max="12" width="8.85546875" bestFit="1" customWidth="1"/>
    <col min="13" max="14" width="14.28515625" bestFit="1" customWidth="1"/>
    <col min="15" max="15" width="12.28515625" bestFit="1" customWidth="1"/>
    <col min="16" max="16" width="9.7109375" bestFit="1" customWidth="1"/>
    <col min="17" max="17" width="15.7109375" bestFit="1" customWidth="1"/>
    <col min="18" max="18" width="8.85546875" bestFit="1" customWidth="1"/>
    <col min="19" max="19" width="9" bestFit="1" customWidth="1"/>
    <col min="20" max="20" width="8.7109375" bestFit="1" customWidth="1"/>
    <col min="21" max="21" width="12.28515625" bestFit="1" customWidth="1"/>
    <col min="22" max="22" width="14.28515625" bestFit="1" customWidth="1"/>
    <col min="23" max="23" width="13.28515625" bestFit="1" customWidth="1"/>
    <col min="24" max="24" width="15.7109375" bestFit="1" customWidth="1"/>
    <col min="25" max="25" width="5" bestFit="1" customWidth="1"/>
    <col min="26" max="26" width="14.28515625" bestFit="1" customWidth="1"/>
    <col min="27" max="27" width="8.42578125" bestFit="1" customWidth="1"/>
    <col min="28" max="28" width="6.85546875" bestFit="1" customWidth="1"/>
    <col min="29" max="29" width="13.28515625" bestFit="1" customWidth="1"/>
    <col min="30" max="30" width="12.28515625" bestFit="1" customWidth="1"/>
    <col min="31" max="31" width="10.7109375" bestFit="1" customWidth="1"/>
    <col min="32" max="32" width="11" bestFit="1" customWidth="1"/>
    <col min="33" max="33" width="15.7109375" bestFit="1" customWidth="1"/>
  </cols>
  <sheetData>
    <row r="3" spans="1:33" x14ac:dyDescent="0.25">
      <c r="A3" s="124" t="s">
        <v>206</v>
      </c>
      <c r="B3" s="124" t="s">
        <v>205</v>
      </c>
    </row>
    <row r="4" spans="1:33" x14ac:dyDescent="0.25">
      <c r="A4" s="124" t="s">
        <v>203</v>
      </c>
      <c r="B4" t="s">
        <v>193</v>
      </c>
      <c r="C4" t="s">
        <v>175</v>
      </c>
      <c r="D4" t="s">
        <v>173</v>
      </c>
      <c r="E4" t="s">
        <v>189</v>
      </c>
      <c r="F4" t="s">
        <v>186</v>
      </c>
      <c r="G4" t="s">
        <v>177</v>
      </c>
      <c r="H4" t="s">
        <v>191</v>
      </c>
      <c r="I4" t="s">
        <v>194</v>
      </c>
      <c r="J4" t="s">
        <v>184</v>
      </c>
      <c r="K4" t="s">
        <v>190</v>
      </c>
      <c r="L4" t="s">
        <v>199</v>
      </c>
      <c r="M4" t="s">
        <v>182</v>
      </c>
      <c r="N4" t="s">
        <v>198</v>
      </c>
      <c r="O4" t="s">
        <v>183</v>
      </c>
      <c r="P4" t="s">
        <v>188</v>
      </c>
      <c r="Q4" t="s">
        <v>187</v>
      </c>
      <c r="R4" t="s">
        <v>171</v>
      </c>
      <c r="S4" t="s">
        <v>178</v>
      </c>
      <c r="T4" t="s">
        <v>179</v>
      </c>
      <c r="U4" t="s">
        <v>196</v>
      </c>
      <c r="V4" t="s">
        <v>181</v>
      </c>
      <c r="W4" t="s">
        <v>195</v>
      </c>
      <c r="X4" t="s">
        <v>180</v>
      </c>
      <c r="Y4" t="s">
        <v>174</v>
      </c>
      <c r="Z4" t="s">
        <v>185</v>
      </c>
      <c r="AA4" t="s">
        <v>172</v>
      </c>
      <c r="AB4" t="s">
        <v>176</v>
      </c>
      <c r="AC4" t="s">
        <v>192</v>
      </c>
      <c r="AD4" t="s">
        <v>197</v>
      </c>
      <c r="AE4" t="s">
        <v>170</v>
      </c>
      <c r="AF4" t="s">
        <v>169</v>
      </c>
      <c r="AG4" t="s">
        <v>204</v>
      </c>
    </row>
    <row r="5" spans="1:33" x14ac:dyDescent="0.25">
      <c r="A5" s="95">
        <v>2020</v>
      </c>
      <c r="B5" s="103">
        <v>0</v>
      </c>
      <c r="C5" s="103">
        <v>0</v>
      </c>
      <c r="D5" s="103">
        <v>0</v>
      </c>
      <c r="E5" s="103">
        <v>0</v>
      </c>
      <c r="F5" s="103">
        <v>0</v>
      </c>
      <c r="G5" s="103">
        <v>0</v>
      </c>
      <c r="H5" s="103">
        <v>113297503885</v>
      </c>
      <c r="I5" s="103">
        <v>0</v>
      </c>
      <c r="J5" s="103">
        <v>0</v>
      </c>
      <c r="K5" s="103">
        <v>69683764705</v>
      </c>
      <c r="L5" s="103">
        <v>0</v>
      </c>
      <c r="M5" s="103">
        <v>115974923177</v>
      </c>
      <c r="N5" s="103">
        <v>0</v>
      </c>
      <c r="O5" s="103">
        <v>0</v>
      </c>
      <c r="P5" s="103">
        <v>0</v>
      </c>
      <c r="Q5" s="103">
        <v>201922549725</v>
      </c>
      <c r="R5" s="103">
        <v>0</v>
      </c>
      <c r="S5" s="103">
        <v>0</v>
      </c>
      <c r="T5" s="103">
        <v>0</v>
      </c>
      <c r="U5" s="103">
        <v>0</v>
      </c>
      <c r="V5" s="103">
        <v>157009696804</v>
      </c>
      <c r="W5" s="103">
        <v>1618558530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8952032192</v>
      </c>
      <c r="AD5" s="103">
        <v>0</v>
      </c>
      <c r="AE5" s="103">
        <v>0</v>
      </c>
      <c r="AF5" s="103">
        <v>0</v>
      </c>
      <c r="AG5" s="103">
        <v>668459029018</v>
      </c>
    </row>
    <row r="6" spans="1:33" x14ac:dyDescent="0.25">
      <c r="A6" s="95">
        <v>2021</v>
      </c>
      <c r="B6" s="103">
        <v>0</v>
      </c>
      <c r="C6" s="103">
        <v>0</v>
      </c>
      <c r="D6" s="103">
        <v>0</v>
      </c>
      <c r="E6" s="103">
        <v>0</v>
      </c>
      <c r="F6" s="103">
        <v>0</v>
      </c>
      <c r="G6" s="103">
        <v>0</v>
      </c>
      <c r="H6" s="103">
        <v>125938701894</v>
      </c>
      <c r="I6" s="103">
        <v>23066725181</v>
      </c>
      <c r="J6" s="103">
        <v>12244307867</v>
      </c>
      <c r="K6" s="103">
        <v>69573490910</v>
      </c>
      <c r="L6" s="103">
        <v>0</v>
      </c>
      <c r="M6" s="103">
        <v>148257573911.29999</v>
      </c>
      <c r="N6" s="103">
        <v>20499650589</v>
      </c>
      <c r="O6" s="103">
        <v>0</v>
      </c>
      <c r="P6" s="103">
        <v>0</v>
      </c>
      <c r="Q6" s="103">
        <v>344543113621</v>
      </c>
      <c r="R6" s="103">
        <v>0</v>
      </c>
      <c r="S6" s="103">
        <v>0</v>
      </c>
      <c r="T6" s="103">
        <v>0</v>
      </c>
      <c r="U6" s="103">
        <v>0</v>
      </c>
      <c r="V6" s="103">
        <v>123502918007</v>
      </c>
      <c r="W6" s="103">
        <v>0</v>
      </c>
      <c r="X6" s="103">
        <v>459975250746</v>
      </c>
      <c r="Y6" s="103">
        <v>0</v>
      </c>
      <c r="Z6" s="103">
        <v>157773737762</v>
      </c>
      <c r="AA6" s="103">
        <v>0</v>
      </c>
      <c r="AB6" s="103">
        <v>0</v>
      </c>
      <c r="AC6" s="103">
        <v>8140087334</v>
      </c>
      <c r="AD6" s="103">
        <v>2165007264</v>
      </c>
      <c r="AE6" s="103">
        <v>0</v>
      </c>
      <c r="AF6" s="103">
        <v>0</v>
      </c>
      <c r="AG6" s="103">
        <v>1495680565086.3</v>
      </c>
    </row>
    <row r="7" spans="1:33" x14ac:dyDescent="0.25">
      <c r="A7" s="95">
        <v>2022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163864492567</v>
      </c>
      <c r="I7" s="103">
        <v>24969073870</v>
      </c>
      <c r="J7" s="103">
        <v>15759900201</v>
      </c>
      <c r="K7" s="103">
        <v>49581280381</v>
      </c>
      <c r="L7" s="103">
        <v>0</v>
      </c>
      <c r="M7" s="103">
        <v>208567180824</v>
      </c>
      <c r="N7" s="103">
        <v>25969829256</v>
      </c>
      <c r="O7" s="103">
        <v>357766575</v>
      </c>
      <c r="P7" s="103">
        <v>0</v>
      </c>
      <c r="Q7" s="103">
        <v>566423853591</v>
      </c>
      <c r="R7" s="103">
        <v>0</v>
      </c>
      <c r="S7" s="103">
        <v>0</v>
      </c>
      <c r="T7" s="103">
        <v>0</v>
      </c>
      <c r="U7" s="103">
        <v>0</v>
      </c>
      <c r="V7" s="103">
        <v>147862815768</v>
      </c>
      <c r="W7" s="103">
        <v>0</v>
      </c>
      <c r="X7" s="103">
        <v>392961612956</v>
      </c>
      <c r="Y7" s="103">
        <v>0</v>
      </c>
      <c r="Z7" s="103">
        <v>161020148826</v>
      </c>
      <c r="AA7" s="103">
        <v>0</v>
      </c>
      <c r="AB7" s="103">
        <v>0</v>
      </c>
      <c r="AC7" s="103">
        <v>4002286439</v>
      </c>
      <c r="AD7" s="103">
        <v>1859866061</v>
      </c>
      <c r="AE7" s="103">
        <v>0</v>
      </c>
      <c r="AF7" s="103">
        <v>0</v>
      </c>
      <c r="AG7" s="103">
        <v>1763200107315</v>
      </c>
    </row>
    <row r="8" spans="1:33" x14ac:dyDescent="0.25">
      <c r="A8" s="95">
        <v>2023</v>
      </c>
      <c r="B8" s="103">
        <v>0</v>
      </c>
      <c r="C8" s="103">
        <v>0</v>
      </c>
      <c r="D8" s="103">
        <v>0</v>
      </c>
      <c r="E8" s="103">
        <v>7699622013</v>
      </c>
      <c r="F8" s="103">
        <v>0</v>
      </c>
      <c r="G8" s="103">
        <v>0</v>
      </c>
      <c r="H8" s="103">
        <v>208039398219</v>
      </c>
      <c r="I8" s="103">
        <v>0</v>
      </c>
      <c r="J8" s="103">
        <v>19848701001</v>
      </c>
      <c r="K8" s="103">
        <v>0</v>
      </c>
      <c r="L8" s="103">
        <v>0</v>
      </c>
      <c r="M8" s="103">
        <v>141064555704</v>
      </c>
      <c r="N8" s="103">
        <v>30323647321</v>
      </c>
      <c r="O8" s="103">
        <v>590714400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903294089</v>
      </c>
      <c r="V8" s="103">
        <v>138230031552</v>
      </c>
      <c r="W8" s="103">
        <v>9558234759</v>
      </c>
      <c r="X8" s="103">
        <v>354075329142.07953</v>
      </c>
      <c r="Y8" s="103">
        <v>0</v>
      </c>
      <c r="Z8" s="103">
        <v>167004925900</v>
      </c>
      <c r="AA8" s="103">
        <v>0</v>
      </c>
      <c r="AB8" s="103">
        <v>0</v>
      </c>
      <c r="AC8" s="103">
        <v>5321602264</v>
      </c>
      <c r="AD8" s="103">
        <v>0</v>
      </c>
      <c r="AE8" s="103">
        <v>0</v>
      </c>
      <c r="AF8" s="103">
        <v>0</v>
      </c>
      <c r="AG8" s="103">
        <v>1082660056364.0796</v>
      </c>
    </row>
    <row r="9" spans="1:33" x14ac:dyDescent="0.25">
      <c r="A9" s="95">
        <v>2024</v>
      </c>
      <c r="B9" s="103">
        <v>0</v>
      </c>
      <c r="C9" s="103">
        <v>0</v>
      </c>
      <c r="D9" s="103">
        <v>0</v>
      </c>
      <c r="E9" s="103">
        <v>10401453748</v>
      </c>
      <c r="F9" s="103">
        <v>0</v>
      </c>
      <c r="G9" s="103">
        <v>0</v>
      </c>
      <c r="H9" s="103">
        <v>208275366815</v>
      </c>
      <c r="I9" s="103">
        <v>0</v>
      </c>
      <c r="J9" s="103">
        <v>17890982807</v>
      </c>
      <c r="K9" s="103">
        <v>0</v>
      </c>
      <c r="L9" s="103">
        <v>0</v>
      </c>
      <c r="M9" s="103">
        <v>171081298200</v>
      </c>
      <c r="N9" s="103">
        <v>30671525768</v>
      </c>
      <c r="O9" s="103">
        <v>339990650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2756043638</v>
      </c>
      <c r="V9" s="103">
        <v>175133858574</v>
      </c>
      <c r="W9" s="103">
        <v>13089313273</v>
      </c>
      <c r="X9" s="103">
        <v>337162693235</v>
      </c>
      <c r="Y9" s="103">
        <v>0</v>
      </c>
      <c r="Z9" s="103">
        <v>162510769325</v>
      </c>
      <c r="AA9" s="103">
        <v>0</v>
      </c>
      <c r="AB9" s="103">
        <v>0</v>
      </c>
      <c r="AC9" s="103">
        <v>4913023137</v>
      </c>
      <c r="AD9" s="103">
        <v>0</v>
      </c>
      <c r="AE9" s="103">
        <v>0</v>
      </c>
      <c r="AF9" s="103">
        <v>0</v>
      </c>
      <c r="AG9" s="103">
        <v>1134226319170</v>
      </c>
    </row>
    <row r="10" spans="1:33" x14ac:dyDescent="0.25">
      <c r="A10" s="95" t="s">
        <v>204</v>
      </c>
      <c r="B10" s="103">
        <v>0</v>
      </c>
      <c r="C10" s="103">
        <v>0</v>
      </c>
      <c r="D10" s="103">
        <v>0</v>
      </c>
      <c r="E10" s="103">
        <v>18101075761</v>
      </c>
      <c r="F10" s="103">
        <v>0</v>
      </c>
      <c r="G10" s="103">
        <v>0</v>
      </c>
      <c r="H10" s="103">
        <v>819415463380</v>
      </c>
      <c r="I10" s="103">
        <v>48035799051</v>
      </c>
      <c r="J10" s="103">
        <v>65743891876</v>
      </c>
      <c r="K10" s="103">
        <v>188838535996</v>
      </c>
      <c r="L10" s="103">
        <v>0</v>
      </c>
      <c r="M10" s="103">
        <v>784945531816.30005</v>
      </c>
      <c r="N10" s="103">
        <v>107464652934</v>
      </c>
      <c r="O10" s="103">
        <v>1288471625</v>
      </c>
      <c r="P10" s="103">
        <v>0</v>
      </c>
      <c r="Q10" s="103">
        <v>1112889516937</v>
      </c>
      <c r="R10" s="103">
        <v>0</v>
      </c>
      <c r="S10" s="103">
        <v>0</v>
      </c>
      <c r="T10" s="103">
        <v>0</v>
      </c>
      <c r="U10" s="103">
        <v>3659337727</v>
      </c>
      <c r="V10" s="103">
        <v>741739320705</v>
      </c>
      <c r="W10" s="103">
        <v>24266106562</v>
      </c>
      <c r="X10" s="103">
        <v>1544174886079.0796</v>
      </c>
      <c r="Y10" s="103">
        <v>0</v>
      </c>
      <c r="Z10" s="103">
        <v>648309581813</v>
      </c>
      <c r="AA10" s="103">
        <v>0</v>
      </c>
      <c r="AB10" s="103">
        <v>0</v>
      </c>
      <c r="AC10" s="103">
        <v>31329031366</v>
      </c>
      <c r="AD10" s="103">
        <v>4024873325</v>
      </c>
      <c r="AE10" s="103">
        <v>0</v>
      </c>
      <c r="AF10" s="103">
        <v>0</v>
      </c>
      <c r="AG10" s="103">
        <v>6144226076953.3789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3AAA7-A1C0-4B1D-B45E-6E6AA755734F}">
  <sheetPr codeName="Feuil23"/>
  <dimension ref="A1:K33"/>
  <sheetViews>
    <sheetView zoomScale="51" zoomScaleNormal="55" workbookViewId="0">
      <selection activeCell="D23" sqref="D23"/>
    </sheetView>
  </sheetViews>
  <sheetFormatPr baseColWidth="10" defaultRowHeight="15" x14ac:dyDescent="0.25"/>
  <cols>
    <col min="1" max="1" width="18.7109375" style="94" bestFit="1" customWidth="1"/>
    <col min="2" max="2" width="18.85546875" style="94" bestFit="1" customWidth="1"/>
    <col min="3" max="3" width="19.5703125" style="94" bestFit="1" customWidth="1"/>
    <col min="4" max="4" width="19.28515625" style="94" bestFit="1" customWidth="1"/>
    <col min="5" max="5" width="18.5703125" style="94" bestFit="1" customWidth="1"/>
    <col min="6" max="10" width="18.85546875" style="94" bestFit="1" customWidth="1"/>
    <col min="11" max="11" width="18.5703125" style="94" bestFit="1" customWidth="1"/>
    <col min="12" max="16384" width="11.42578125" style="94"/>
  </cols>
  <sheetData>
    <row r="1" spans="1:11" x14ac:dyDescent="0.25">
      <c r="A1" s="94" t="s">
        <v>200</v>
      </c>
      <c r="B1" s="94">
        <v>2020</v>
      </c>
      <c r="D1" s="94">
        <v>2021</v>
      </c>
      <c r="F1" s="94">
        <v>2022</v>
      </c>
      <c r="H1" s="94">
        <v>2023</v>
      </c>
      <c r="J1" s="94">
        <v>2024</v>
      </c>
    </row>
    <row r="2" spans="1:11" x14ac:dyDescent="0.25">
      <c r="B2" s="94" t="s">
        <v>201</v>
      </c>
      <c r="C2" s="94" t="s">
        <v>73</v>
      </c>
      <c r="D2" s="94" t="s">
        <v>201</v>
      </c>
      <c r="E2" s="94" t="s">
        <v>73</v>
      </c>
      <c r="F2" s="94" t="s">
        <v>201</v>
      </c>
      <c r="G2" s="94" t="s">
        <v>73</v>
      </c>
      <c r="H2" s="94" t="s">
        <v>201</v>
      </c>
      <c r="I2" s="94" t="s">
        <v>73</v>
      </c>
      <c r="J2" s="94" t="s">
        <v>201</v>
      </c>
      <c r="K2" s="94" t="s">
        <v>73</v>
      </c>
    </row>
    <row r="3" spans="1:11" x14ac:dyDescent="0.25">
      <c r="A3" s="94" t="s">
        <v>169</v>
      </c>
      <c r="B3" s="94">
        <v>0</v>
      </c>
      <c r="C3" s="94">
        <v>-126007918698</v>
      </c>
      <c r="D3" s="94">
        <v>0</v>
      </c>
      <c r="E3" s="94">
        <v>0</v>
      </c>
      <c r="F3" s="94">
        <v>0</v>
      </c>
      <c r="G3" s="94">
        <v>0</v>
      </c>
      <c r="H3" s="94">
        <v>0</v>
      </c>
      <c r="I3" s="94">
        <v>0</v>
      </c>
    </row>
    <row r="4" spans="1:11" x14ac:dyDescent="0.25">
      <c r="A4" s="94" t="s">
        <v>170</v>
      </c>
    </row>
    <row r="5" spans="1:11" x14ac:dyDescent="0.25">
      <c r="A5" s="94" t="s">
        <v>171</v>
      </c>
      <c r="B5" s="94">
        <v>0</v>
      </c>
      <c r="C5" s="94">
        <v>0</v>
      </c>
      <c r="D5" s="94">
        <v>0</v>
      </c>
      <c r="E5" s="94">
        <v>0</v>
      </c>
      <c r="F5" s="94">
        <v>0</v>
      </c>
      <c r="G5" s="94">
        <v>0</v>
      </c>
      <c r="H5" s="94">
        <v>0</v>
      </c>
      <c r="I5" s="94">
        <v>0</v>
      </c>
    </row>
    <row r="6" spans="1:11" x14ac:dyDescent="0.25">
      <c r="A6" s="94" t="s">
        <v>172</v>
      </c>
      <c r="B6" s="94">
        <v>14680550364</v>
      </c>
      <c r="C6" s="94">
        <v>191487008</v>
      </c>
      <c r="D6" s="94">
        <v>23769685980</v>
      </c>
      <c r="E6" s="94">
        <v>-2572669647</v>
      </c>
      <c r="F6" s="94">
        <v>56483995960</v>
      </c>
      <c r="G6" s="94">
        <v>18988336191</v>
      </c>
      <c r="H6" s="94">
        <v>35871351795</v>
      </c>
      <c r="I6" s="94">
        <v>555936599</v>
      </c>
    </row>
    <row r="7" spans="1:11" x14ac:dyDescent="0.25">
      <c r="A7" s="94" t="s">
        <v>173</v>
      </c>
    </row>
    <row r="8" spans="1:11" x14ac:dyDescent="0.25">
      <c r="A8" s="94" t="s">
        <v>174</v>
      </c>
    </row>
    <row r="9" spans="1:11" x14ac:dyDescent="0.25">
      <c r="A9" s="94" t="s">
        <v>175</v>
      </c>
    </row>
    <row r="10" spans="1:11" x14ac:dyDescent="0.25">
      <c r="A10" s="94" t="s">
        <v>176</v>
      </c>
      <c r="D10" s="94">
        <v>1325725445</v>
      </c>
      <c r="E10" s="94">
        <v>0</v>
      </c>
      <c r="F10" s="94">
        <v>1219355818</v>
      </c>
      <c r="G10" s="94">
        <v>0</v>
      </c>
      <c r="H10" s="94">
        <v>1821112229</v>
      </c>
      <c r="I10" s="94">
        <v>0</v>
      </c>
    </row>
    <row r="11" spans="1:11" x14ac:dyDescent="0.25">
      <c r="A11" s="94" t="s">
        <v>177</v>
      </c>
      <c r="B11" s="94">
        <v>0</v>
      </c>
      <c r="C11" s="94">
        <v>-162984447797</v>
      </c>
      <c r="D11" s="94">
        <v>0</v>
      </c>
      <c r="E11" s="94">
        <v>-109755076</v>
      </c>
      <c r="F11" s="94">
        <v>0</v>
      </c>
      <c r="G11" s="94">
        <v>-25582355</v>
      </c>
    </row>
    <row r="12" spans="1:11" x14ac:dyDescent="0.25">
      <c r="A12" s="94" t="s">
        <v>178</v>
      </c>
    </row>
    <row r="13" spans="1:11" x14ac:dyDescent="0.25">
      <c r="A13" s="94" t="s">
        <v>179</v>
      </c>
    </row>
    <row r="14" spans="1:11" x14ac:dyDescent="0.25">
      <c r="A14" s="94" t="s">
        <v>180</v>
      </c>
      <c r="D14" s="94">
        <v>459975250746</v>
      </c>
      <c r="E14" s="94">
        <v>26718633081</v>
      </c>
      <c r="F14" s="94">
        <v>392961612956</v>
      </c>
      <c r="G14" s="94">
        <v>143556313105</v>
      </c>
      <c r="H14" s="94">
        <v>354075329142.07953</v>
      </c>
      <c r="I14" s="94">
        <v>137096340502.89597</v>
      </c>
      <c r="J14" s="94">
        <v>337162693235</v>
      </c>
      <c r="K14" s="94">
        <v>57851662541</v>
      </c>
    </row>
    <row r="15" spans="1:11" s="150" customFormat="1" x14ac:dyDescent="0.25">
      <c r="A15" s="150" t="s">
        <v>181</v>
      </c>
      <c r="B15" s="150">
        <v>157009696804</v>
      </c>
      <c r="C15" s="150">
        <v>49090566419</v>
      </c>
      <c r="D15" s="150">
        <v>123502918007</v>
      </c>
      <c r="E15" s="150">
        <v>31337723864</v>
      </c>
      <c r="F15" s="150">
        <v>147862815768</v>
      </c>
      <c r="G15" s="150">
        <v>22855910095</v>
      </c>
      <c r="H15" s="150">
        <v>138230031552</v>
      </c>
      <c r="I15" s="150">
        <v>22694238966</v>
      </c>
      <c r="J15" s="150">
        <v>175133858574</v>
      </c>
      <c r="K15" s="150">
        <v>36396157176</v>
      </c>
    </row>
    <row r="16" spans="1:11" s="150" customFormat="1" x14ac:dyDescent="0.25">
      <c r="A16" s="150" t="s">
        <v>182</v>
      </c>
      <c r="B16" s="150">
        <v>115974923177</v>
      </c>
      <c r="C16" s="150">
        <v>53061400347</v>
      </c>
      <c r="D16" s="150">
        <v>148257573911.29999</v>
      </c>
      <c r="E16" s="150">
        <v>13254337442.02</v>
      </c>
      <c r="F16" s="150">
        <v>208567180824</v>
      </c>
      <c r="G16" s="150">
        <v>57698846122</v>
      </c>
      <c r="H16" s="150">
        <v>141064555704</v>
      </c>
      <c r="I16" s="150">
        <v>21709050224</v>
      </c>
      <c r="J16" s="150">
        <v>171081298200</v>
      </c>
      <c r="K16" s="150">
        <v>14423265142</v>
      </c>
    </row>
    <row r="17" spans="1:11" x14ac:dyDescent="0.25">
      <c r="A17" s="94" t="s">
        <v>183</v>
      </c>
      <c r="D17" s="94">
        <v>0</v>
      </c>
      <c r="E17" s="94">
        <v>-52436153</v>
      </c>
      <c r="F17" s="94">
        <v>357766575</v>
      </c>
      <c r="G17" s="94">
        <v>-25741181</v>
      </c>
      <c r="H17" s="94">
        <v>590714400</v>
      </c>
      <c r="I17" s="94">
        <v>-130773503</v>
      </c>
      <c r="J17" s="94">
        <v>339990650</v>
      </c>
      <c r="K17" s="94">
        <v>-326048897</v>
      </c>
    </row>
    <row r="18" spans="1:11" x14ac:dyDescent="0.25">
      <c r="A18" s="94" t="s">
        <v>184</v>
      </c>
      <c r="D18" s="94">
        <v>12244307867</v>
      </c>
      <c r="E18" s="94">
        <v>515575109</v>
      </c>
      <c r="F18" s="94">
        <v>15759900201</v>
      </c>
      <c r="G18" s="94">
        <v>609301525</v>
      </c>
      <c r="H18" s="94">
        <v>19848701001</v>
      </c>
      <c r="I18" s="94">
        <v>935630309</v>
      </c>
      <c r="J18" s="94">
        <v>17890982807</v>
      </c>
      <c r="K18" s="94">
        <v>538338515</v>
      </c>
    </row>
    <row r="19" spans="1:11" x14ac:dyDescent="0.25">
      <c r="A19" s="94" t="s">
        <v>185</v>
      </c>
      <c r="D19" s="94">
        <v>157773737762</v>
      </c>
      <c r="E19" s="94">
        <v>12357368337</v>
      </c>
      <c r="F19" s="94">
        <v>161020148826</v>
      </c>
      <c r="G19" s="94">
        <v>-3597241112</v>
      </c>
      <c r="H19" s="94">
        <v>167004925900</v>
      </c>
      <c r="I19" s="94">
        <v>-2098860977</v>
      </c>
      <c r="J19" s="94">
        <v>162510769325</v>
      </c>
      <c r="K19" s="94">
        <v>17523080081</v>
      </c>
    </row>
    <row r="20" spans="1:11" s="150" customFormat="1" x14ac:dyDescent="0.25">
      <c r="A20" s="150" t="s">
        <v>191</v>
      </c>
      <c r="B20" s="150">
        <v>113297503885</v>
      </c>
      <c r="C20" s="150">
        <v>33805580013</v>
      </c>
      <c r="D20" s="150">
        <v>125938701894</v>
      </c>
      <c r="E20" s="150">
        <v>26998231133</v>
      </c>
      <c r="F20" s="150">
        <v>163864492567</v>
      </c>
      <c r="G20" s="150">
        <v>9473766747</v>
      </c>
      <c r="H20" s="150">
        <v>208039398219</v>
      </c>
      <c r="I20" s="150">
        <v>45379996833</v>
      </c>
      <c r="J20" s="150">
        <v>208275366815</v>
      </c>
      <c r="K20" s="150">
        <v>40151124119</v>
      </c>
    </row>
    <row r="21" spans="1:11" s="150" customFormat="1" x14ac:dyDescent="0.25">
      <c r="A21" s="150" t="s">
        <v>192</v>
      </c>
      <c r="B21" s="150">
        <v>8952032192</v>
      </c>
      <c r="C21" s="150">
        <v>971677713</v>
      </c>
      <c r="D21" s="150">
        <v>8140087334</v>
      </c>
      <c r="E21" s="150">
        <v>-274584431</v>
      </c>
      <c r="F21" s="150">
        <v>4002286439</v>
      </c>
      <c r="G21" s="150">
        <v>355804282</v>
      </c>
      <c r="H21" s="150">
        <v>5321602264</v>
      </c>
      <c r="I21" s="150">
        <v>-150948557</v>
      </c>
      <c r="J21" s="150">
        <v>4913023137</v>
      </c>
      <c r="K21" s="150">
        <v>-283240460</v>
      </c>
    </row>
    <row r="22" spans="1:11" s="150" customFormat="1" x14ac:dyDescent="0.25">
      <c r="A22" s="150" t="s">
        <v>186</v>
      </c>
      <c r="B22" s="150">
        <v>0</v>
      </c>
      <c r="C22" s="150">
        <v>-662893412476</v>
      </c>
      <c r="D22" s="150">
        <v>0</v>
      </c>
      <c r="E22" s="150">
        <v>-4294967298</v>
      </c>
      <c r="F22" s="150">
        <v>0</v>
      </c>
      <c r="G22" s="150">
        <v>-4294967298</v>
      </c>
      <c r="H22" s="150">
        <v>0</v>
      </c>
      <c r="I22" s="150">
        <v>-583451768027</v>
      </c>
      <c r="J22" s="150">
        <v>0</v>
      </c>
      <c r="K22" s="150">
        <v>-525642165189</v>
      </c>
    </row>
    <row r="23" spans="1:11" x14ac:dyDescent="0.25">
      <c r="A23" s="94" t="s">
        <v>187</v>
      </c>
      <c r="B23" s="94">
        <v>201922549725</v>
      </c>
      <c r="C23" s="94">
        <v>37985634536</v>
      </c>
      <c r="D23" s="94">
        <v>344543113621</v>
      </c>
      <c r="E23" s="94">
        <v>117477649557</v>
      </c>
      <c r="F23" s="94">
        <v>566423853591</v>
      </c>
      <c r="G23" s="94">
        <v>230165320277</v>
      </c>
      <c r="H23" s="94">
        <v>347503271938</v>
      </c>
      <c r="I23" s="94">
        <v>79843566179</v>
      </c>
    </row>
    <row r="24" spans="1:11" x14ac:dyDescent="0.25">
      <c r="A24" s="94" t="s">
        <v>188</v>
      </c>
      <c r="E24" s="94">
        <v>0</v>
      </c>
      <c r="F24" s="94">
        <v>0</v>
      </c>
      <c r="G24" s="94">
        <v>0</v>
      </c>
    </row>
    <row r="25" spans="1:11" s="150" customFormat="1" x14ac:dyDescent="0.25">
      <c r="A25" s="150" t="s">
        <v>189</v>
      </c>
      <c r="B25" s="150">
        <v>75000</v>
      </c>
      <c r="C25" s="150">
        <v>-282791098</v>
      </c>
      <c r="D25" s="150">
        <v>1603367320</v>
      </c>
      <c r="E25" s="150">
        <v>-2538298985</v>
      </c>
      <c r="F25" s="150">
        <v>2632606203</v>
      </c>
      <c r="G25" s="150">
        <v>-4142212315</v>
      </c>
      <c r="H25" s="150">
        <v>7699622013</v>
      </c>
      <c r="I25" s="150">
        <v>-3975136492</v>
      </c>
      <c r="J25" s="150">
        <v>10401453748</v>
      </c>
      <c r="K25" s="150">
        <v>-7726090136</v>
      </c>
    </row>
    <row r="26" spans="1:11" x14ac:dyDescent="0.25">
      <c r="A26" s="94" t="s">
        <v>190</v>
      </c>
      <c r="B26" s="94">
        <v>69683764705</v>
      </c>
      <c r="C26" s="94">
        <v>26991933037</v>
      </c>
      <c r="D26" s="94">
        <v>69573490910</v>
      </c>
      <c r="E26" s="94">
        <v>16694787635</v>
      </c>
      <c r="F26" s="94">
        <v>49581280381</v>
      </c>
      <c r="G26" s="94">
        <v>-6608648871</v>
      </c>
      <c r="H26" s="94">
        <v>82980455719</v>
      </c>
      <c r="I26" s="94">
        <v>14713048916</v>
      </c>
    </row>
    <row r="27" spans="1:11" x14ac:dyDescent="0.25">
      <c r="A27" s="94" t="s">
        <v>193</v>
      </c>
      <c r="D27" s="94">
        <v>0</v>
      </c>
      <c r="E27" s="94">
        <v>0</v>
      </c>
      <c r="F27" s="94">
        <v>0</v>
      </c>
      <c r="G27" s="94">
        <v>0</v>
      </c>
    </row>
    <row r="28" spans="1:11" x14ac:dyDescent="0.25">
      <c r="A28" s="94" t="s">
        <v>194</v>
      </c>
      <c r="D28" s="94">
        <v>23066725181</v>
      </c>
      <c r="E28" s="94">
        <v>3309380514</v>
      </c>
      <c r="F28" s="94">
        <v>24969073870</v>
      </c>
      <c r="G28" s="94">
        <v>1360984077</v>
      </c>
    </row>
    <row r="29" spans="1:11" x14ac:dyDescent="0.25">
      <c r="A29" s="94" t="s">
        <v>195</v>
      </c>
      <c r="B29" s="94">
        <v>1618558530</v>
      </c>
      <c r="C29" s="94">
        <v>-766531809</v>
      </c>
      <c r="H29" s="94">
        <v>9558234759</v>
      </c>
      <c r="I29" s="94">
        <v>1033485494</v>
      </c>
      <c r="J29" s="94">
        <v>13089313273</v>
      </c>
      <c r="K29" s="94">
        <v>1663855770</v>
      </c>
    </row>
    <row r="30" spans="1:11" x14ac:dyDescent="0.25">
      <c r="A30" s="94" t="s">
        <v>196</v>
      </c>
      <c r="H30" s="94">
        <v>903294089</v>
      </c>
      <c r="I30" s="94">
        <v>-1270651585</v>
      </c>
      <c r="J30" s="94">
        <v>2756043638</v>
      </c>
      <c r="K30" s="94">
        <v>1217788809</v>
      </c>
    </row>
    <row r="31" spans="1:11" x14ac:dyDescent="0.25">
      <c r="A31" s="94" t="s">
        <v>197</v>
      </c>
      <c r="D31" s="94">
        <v>2165007264</v>
      </c>
      <c r="E31" s="94">
        <v>7158974</v>
      </c>
      <c r="F31" s="94">
        <v>1859866061</v>
      </c>
      <c r="G31" s="94">
        <v>42874153</v>
      </c>
    </row>
    <row r="32" spans="1:11" x14ac:dyDescent="0.25">
      <c r="A32" s="94" t="s">
        <v>198</v>
      </c>
      <c r="D32" s="94">
        <v>20499650589</v>
      </c>
      <c r="E32" s="94">
        <v>1326970463</v>
      </c>
      <c r="F32" s="94">
        <v>25969829256</v>
      </c>
      <c r="G32" s="94">
        <v>1812203836</v>
      </c>
      <c r="H32" s="94">
        <v>30323647321</v>
      </c>
      <c r="I32" s="94">
        <v>1731869558</v>
      </c>
      <c r="J32" s="94">
        <v>30671525768</v>
      </c>
      <c r="K32" s="94">
        <v>1997358711</v>
      </c>
    </row>
    <row r="33" spans="1:11" x14ac:dyDescent="0.25">
      <c r="A33" s="94" t="s">
        <v>199</v>
      </c>
      <c r="H33" s="94">
        <v>0</v>
      </c>
      <c r="I33" s="94">
        <v>0</v>
      </c>
      <c r="J33" s="94">
        <v>0</v>
      </c>
      <c r="K33" s="9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4394D-90CB-4818-867E-318CA40302C1}">
  <sheetPr codeName="Feuil28"/>
  <dimension ref="A1:K39"/>
  <sheetViews>
    <sheetView topLeftCell="E1" zoomScale="55" workbookViewId="0">
      <selection activeCell="H22" sqref="H22:K22"/>
    </sheetView>
  </sheetViews>
  <sheetFormatPr baseColWidth="10" defaultRowHeight="15" x14ac:dyDescent="0.25"/>
  <cols>
    <col min="1" max="2" width="19.140625" style="94" bestFit="1" customWidth="1"/>
    <col min="3" max="3" width="18.28515625" style="94" bestFit="1" customWidth="1"/>
    <col min="4" max="4" width="19.140625" style="94" bestFit="1" customWidth="1"/>
    <col min="5" max="5" width="18" style="94" bestFit="1" customWidth="1"/>
    <col min="6" max="6" width="19.42578125" style="94" bestFit="1" customWidth="1"/>
    <col min="7" max="7" width="19.140625" style="94" bestFit="1" customWidth="1"/>
    <col min="8" max="8" width="19.85546875" style="94" bestFit="1" customWidth="1"/>
    <col min="9" max="10" width="19.42578125" style="94" bestFit="1" customWidth="1"/>
    <col min="11" max="11" width="17.85546875" style="94" bestFit="1" customWidth="1"/>
    <col min="12" max="16384" width="11.42578125" style="94"/>
  </cols>
  <sheetData>
    <row r="1" spans="1:11" x14ac:dyDescent="0.25">
      <c r="B1" s="94">
        <v>2020</v>
      </c>
      <c r="D1" s="94">
        <v>2021</v>
      </c>
      <c r="F1" s="94">
        <v>2022</v>
      </c>
      <c r="H1" s="94">
        <v>2023</v>
      </c>
      <c r="J1" s="94">
        <v>2024</v>
      </c>
    </row>
    <row r="2" spans="1:11" x14ac:dyDescent="0.25">
      <c r="A2" s="94" t="s">
        <v>200</v>
      </c>
      <c r="B2" s="94" t="s">
        <v>201</v>
      </c>
      <c r="C2" s="94" t="s">
        <v>73</v>
      </c>
      <c r="D2" s="94" t="s">
        <v>201</v>
      </c>
      <c r="E2" s="94" t="s">
        <v>73</v>
      </c>
      <c r="F2" s="94" t="s">
        <v>201</v>
      </c>
      <c r="G2" s="94" t="s">
        <v>73</v>
      </c>
      <c r="H2" s="94" t="s">
        <v>201</v>
      </c>
      <c r="I2" s="94" t="s">
        <v>73</v>
      </c>
      <c r="J2" s="94" t="s">
        <v>201</v>
      </c>
      <c r="K2" s="94" t="s">
        <v>73</v>
      </c>
    </row>
    <row r="3" spans="1:11" x14ac:dyDescent="0.25">
      <c r="A3" s="94" t="s">
        <v>169</v>
      </c>
    </row>
    <row r="4" spans="1:11" x14ac:dyDescent="0.25">
      <c r="A4" s="94" t="s">
        <v>170</v>
      </c>
    </row>
    <row r="5" spans="1:11" x14ac:dyDescent="0.25">
      <c r="A5" s="94" t="s">
        <v>171</v>
      </c>
    </row>
    <row r="6" spans="1:11" x14ac:dyDescent="0.25">
      <c r="A6" s="94" t="s">
        <v>172</v>
      </c>
    </row>
    <row r="7" spans="1:11" x14ac:dyDescent="0.25">
      <c r="A7" s="94" t="s">
        <v>173</v>
      </c>
    </row>
    <row r="8" spans="1:11" x14ac:dyDescent="0.25">
      <c r="A8" s="94" t="s">
        <v>174</v>
      </c>
    </row>
    <row r="9" spans="1:11" x14ac:dyDescent="0.25">
      <c r="A9" s="94" t="s">
        <v>175</v>
      </c>
    </row>
    <row r="10" spans="1:11" x14ac:dyDescent="0.25">
      <c r="A10" s="94" t="s">
        <v>176</v>
      </c>
    </row>
    <row r="11" spans="1:11" x14ac:dyDescent="0.25">
      <c r="A11" s="94" t="s">
        <v>177</v>
      </c>
    </row>
    <row r="12" spans="1:11" x14ac:dyDescent="0.25">
      <c r="A12" s="94" t="s">
        <v>178</v>
      </c>
    </row>
    <row r="13" spans="1:11" x14ac:dyDescent="0.25">
      <c r="A13" s="94" t="s">
        <v>179</v>
      </c>
    </row>
    <row r="14" spans="1:11" x14ac:dyDescent="0.25">
      <c r="A14" s="94" t="s">
        <v>180</v>
      </c>
      <c r="D14" s="94">
        <v>459975250746</v>
      </c>
      <c r="E14" s="94">
        <v>26718633081</v>
      </c>
      <c r="F14" s="94">
        <v>392961612956</v>
      </c>
      <c r="G14" s="94">
        <v>143556313105</v>
      </c>
      <c r="H14" s="94">
        <v>354075329142.07953</v>
      </c>
      <c r="I14" s="94">
        <v>137096340502.89597</v>
      </c>
      <c r="J14" s="94">
        <v>337162693235</v>
      </c>
      <c r="K14" s="94">
        <v>57851662541</v>
      </c>
    </row>
    <row r="15" spans="1:11" x14ac:dyDescent="0.25">
      <c r="A15" s="94" t="s">
        <v>181</v>
      </c>
      <c r="D15" s="94">
        <v>123502918007</v>
      </c>
      <c r="E15" s="94">
        <v>31337723864</v>
      </c>
      <c r="F15" s="94">
        <v>147862815768</v>
      </c>
      <c r="G15" s="94">
        <v>22855910095</v>
      </c>
      <c r="H15" s="94">
        <v>138230031552</v>
      </c>
      <c r="I15" s="94">
        <v>22694238966</v>
      </c>
      <c r="J15" s="94">
        <v>175133858574</v>
      </c>
      <c r="K15" s="94">
        <v>36396157176</v>
      </c>
    </row>
    <row r="16" spans="1:11" x14ac:dyDescent="0.25">
      <c r="A16" s="94" t="s">
        <v>182</v>
      </c>
      <c r="B16" s="94">
        <v>115974923177</v>
      </c>
      <c r="C16" s="94">
        <v>53061400347</v>
      </c>
      <c r="D16" s="94">
        <v>148257573911.29999</v>
      </c>
      <c r="E16" s="94">
        <v>13254337442.02</v>
      </c>
      <c r="F16" s="94">
        <v>208567180824</v>
      </c>
      <c r="G16" s="94">
        <v>57698846122</v>
      </c>
      <c r="H16" s="94">
        <v>141064555704</v>
      </c>
      <c r="I16" s="94">
        <v>21709050224</v>
      </c>
      <c r="J16" s="94">
        <v>171081298200</v>
      </c>
      <c r="K16" s="94">
        <v>14423265142</v>
      </c>
    </row>
    <row r="17" spans="1:11" x14ac:dyDescent="0.25">
      <c r="A17" s="94" t="s">
        <v>183</v>
      </c>
      <c r="D17" s="94">
        <v>0</v>
      </c>
      <c r="E17" s="94">
        <v>-52436153</v>
      </c>
      <c r="F17" s="94">
        <v>357766575</v>
      </c>
      <c r="G17" s="94">
        <v>-25741181</v>
      </c>
      <c r="H17" s="94">
        <v>590714400</v>
      </c>
      <c r="I17" s="94">
        <v>-130773503</v>
      </c>
      <c r="J17" s="94">
        <v>339990650</v>
      </c>
      <c r="K17" s="94">
        <v>-326048897</v>
      </c>
    </row>
    <row r="18" spans="1:11" x14ac:dyDescent="0.25">
      <c r="A18" s="94" t="s">
        <v>184</v>
      </c>
      <c r="D18" s="94">
        <v>12244307867</v>
      </c>
      <c r="E18" s="94">
        <v>515575109</v>
      </c>
      <c r="F18" s="94">
        <v>15759900201</v>
      </c>
      <c r="G18" s="94">
        <v>609301525</v>
      </c>
      <c r="H18" s="94">
        <v>19848701001</v>
      </c>
      <c r="I18" s="94">
        <v>935630309</v>
      </c>
      <c r="J18" s="94">
        <v>17890982807</v>
      </c>
      <c r="K18" s="94">
        <v>538338515</v>
      </c>
    </row>
    <row r="19" spans="1:11" x14ac:dyDescent="0.25">
      <c r="A19" s="94" t="s">
        <v>185</v>
      </c>
      <c r="D19" s="94">
        <v>157773737762</v>
      </c>
      <c r="E19" s="94">
        <v>12357368337</v>
      </c>
      <c r="F19" s="94">
        <v>161020148826</v>
      </c>
      <c r="G19" s="94">
        <v>-3597241112</v>
      </c>
      <c r="H19" s="94">
        <v>167004925900</v>
      </c>
      <c r="I19" s="94">
        <v>-2098860977</v>
      </c>
      <c r="J19" s="94">
        <v>162510769325</v>
      </c>
      <c r="K19" s="94">
        <v>17523080081</v>
      </c>
    </row>
    <row r="20" spans="1:11" x14ac:dyDescent="0.25">
      <c r="A20" s="94" t="s">
        <v>191</v>
      </c>
      <c r="B20" s="94">
        <v>113297503885</v>
      </c>
      <c r="C20" s="94">
        <v>33805580013</v>
      </c>
      <c r="D20" s="94">
        <v>125938701894</v>
      </c>
      <c r="E20" s="94">
        <v>26998231133</v>
      </c>
      <c r="F20" s="94">
        <v>163864492567</v>
      </c>
      <c r="G20" s="94">
        <v>9473766747</v>
      </c>
      <c r="H20" s="94">
        <v>208039398219</v>
      </c>
      <c r="I20" s="94">
        <v>45379996833</v>
      </c>
      <c r="J20" s="94">
        <v>208275366815</v>
      </c>
      <c r="K20" s="94">
        <v>40151124119</v>
      </c>
    </row>
    <row r="21" spans="1:11" x14ac:dyDescent="0.25">
      <c r="A21" s="94" t="s">
        <v>192</v>
      </c>
      <c r="D21" s="94">
        <v>8140087334</v>
      </c>
      <c r="E21" s="94">
        <v>-274584431</v>
      </c>
      <c r="F21" s="94">
        <v>4002286439</v>
      </c>
      <c r="G21" s="94">
        <v>355804282</v>
      </c>
      <c r="H21" s="94">
        <v>5321602264</v>
      </c>
      <c r="I21" s="94">
        <v>-150948557</v>
      </c>
      <c r="J21" s="94">
        <v>4913023137</v>
      </c>
      <c r="K21" s="94">
        <v>-283240460</v>
      </c>
    </row>
    <row r="22" spans="1:11" x14ac:dyDescent="0.25">
      <c r="A22" s="94" t="s">
        <v>186</v>
      </c>
      <c r="I22" s="94">
        <v>-583451768027</v>
      </c>
      <c r="K22" s="94">
        <v>-525642165189</v>
      </c>
    </row>
    <row r="23" spans="1:11" x14ac:dyDescent="0.25">
      <c r="A23" s="94" t="s">
        <v>187</v>
      </c>
      <c r="B23" s="94">
        <v>201922549725</v>
      </c>
      <c r="C23" s="94">
        <v>37985634536</v>
      </c>
      <c r="D23" s="94">
        <v>344543113621</v>
      </c>
      <c r="E23" s="94">
        <v>117477649557</v>
      </c>
      <c r="F23" s="94">
        <v>566423853591</v>
      </c>
      <c r="G23" s="94">
        <v>230165320277</v>
      </c>
    </row>
    <row r="24" spans="1:11" x14ac:dyDescent="0.25">
      <c r="A24" s="94" t="s">
        <v>188</v>
      </c>
      <c r="E24" s="94">
        <v>0</v>
      </c>
      <c r="F24" s="94">
        <v>0</v>
      </c>
      <c r="G24" s="94">
        <v>0</v>
      </c>
    </row>
    <row r="25" spans="1:11" x14ac:dyDescent="0.25">
      <c r="A25" s="94" t="s">
        <v>189</v>
      </c>
      <c r="F25" s="94" t="s">
        <v>122</v>
      </c>
      <c r="G25" s="94" t="s">
        <v>143</v>
      </c>
      <c r="H25" s="94">
        <v>7699622013</v>
      </c>
      <c r="I25" s="94">
        <v>-3975136492</v>
      </c>
      <c r="J25" s="94">
        <v>10401453748</v>
      </c>
      <c r="K25" s="94">
        <v>-7726090136</v>
      </c>
    </row>
    <row r="26" spans="1:11" x14ac:dyDescent="0.25">
      <c r="A26" s="94" t="s">
        <v>190</v>
      </c>
      <c r="B26" s="94">
        <v>69683764705</v>
      </c>
      <c r="C26" s="94">
        <v>26991933037</v>
      </c>
      <c r="D26" s="94">
        <v>69573490910</v>
      </c>
      <c r="E26" s="94">
        <v>16694787635</v>
      </c>
      <c r="F26" s="94">
        <v>49581280381</v>
      </c>
      <c r="G26" s="94">
        <v>-6608648871</v>
      </c>
      <c r="H26" s="94" t="s">
        <v>148</v>
      </c>
      <c r="I26" s="94" t="s">
        <v>167</v>
      </c>
    </row>
    <row r="27" spans="1:11" x14ac:dyDescent="0.25">
      <c r="A27" s="94" t="s">
        <v>193</v>
      </c>
      <c r="D27" s="94">
        <v>0</v>
      </c>
      <c r="E27" s="94">
        <v>0</v>
      </c>
      <c r="F27" s="94">
        <v>0</v>
      </c>
      <c r="G27" s="94">
        <v>0</v>
      </c>
    </row>
    <row r="28" spans="1:11" x14ac:dyDescent="0.25">
      <c r="A28" s="94" t="s">
        <v>194</v>
      </c>
      <c r="D28" s="94">
        <v>23066725181</v>
      </c>
      <c r="E28" s="94">
        <v>3309380514</v>
      </c>
      <c r="F28" s="94">
        <v>24969073870</v>
      </c>
      <c r="G28" s="94">
        <v>1360984077</v>
      </c>
    </row>
    <row r="29" spans="1:11" x14ac:dyDescent="0.25">
      <c r="A29" s="94" t="s">
        <v>195</v>
      </c>
      <c r="H29" s="94">
        <v>9558234759</v>
      </c>
      <c r="I29" s="94">
        <v>1033485494</v>
      </c>
      <c r="J29" s="94">
        <v>13089313273</v>
      </c>
      <c r="K29" s="94">
        <v>1663855770</v>
      </c>
    </row>
    <row r="30" spans="1:11" x14ac:dyDescent="0.25">
      <c r="A30" s="94" t="s">
        <v>196</v>
      </c>
      <c r="H30" s="94">
        <v>903294089</v>
      </c>
      <c r="I30" s="94">
        <v>-1270651585</v>
      </c>
      <c r="J30" s="94">
        <v>2756043638</v>
      </c>
      <c r="K30" s="94">
        <v>1217788809</v>
      </c>
    </row>
    <row r="31" spans="1:11" x14ac:dyDescent="0.25">
      <c r="A31" s="94" t="s">
        <v>197</v>
      </c>
      <c r="D31" s="94">
        <v>2165007264</v>
      </c>
      <c r="E31" s="94">
        <v>7158974</v>
      </c>
      <c r="F31" s="94">
        <v>1859866061</v>
      </c>
      <c r="G31" s="94">
        <v>42874153</v>
      </c>
    </row>
    <row r="32" spans="1:11" x14ac:dyDescent="0.25">
      <c r="A32" s="94" t="s">
        <v>198</v>
      </c>
      <c r="D32" s="94">
        <v>20499650589</v>
      </c>
      <c r="E32" s="94">
        <v>1326970463</v>
      </c>
      <c r="F32" s="94">
        <v>25969829256</v>
      </c>
      <c r="G32" s="94">
        <v>1812203836</v>
      </c>
      <c r="H32" s="94">
        <v>30323647321</v>
      </c>
      <c r="I32" s="94">
        <v>1731869558</v>
      </c>
      <c r="J32" s="94">
        <v>30671525768</v>
      </c>
      <c r="K32" s="94">
        <v>1997358711</v>
      </c>
    </row>
    <row r="33" spans="1:11" x14ac:dyDescent="0.25">
      <c r="A33" s="94" t="s">
        <v>199</v>
      </c>
      <c r="H33" s="94">
        <v>0</v>
      </c>
      <c r="I33" s="94">
        <v>0</v>
      </c>
      <c r="J33" s="94">
        <v>0</v>
      </c>
      <c r="K33" s="94">
        <v>0</v>
      </c>
    </row>
    <row r="34" spans="1:11" x14ac:dyDescent="0.25">
      <c r="A34" s="94" t="s">
        <v>213</v>
      </c>
    </row>
    <row r="35" spans="1:11" x14ac:dyDescent="0.25">
      <c r="A35" s="94" t="s">
        <v>214</v>
      </c>
    </row>
    <row r="36" spans="1:11" x14ac:dyDescent="0.25">
      <c r="A36" s="94" t="s">
        <v>215</v>
      </c>
    </row>
    <row r="37" spans="1:11" x14ac:dyDescent="0.25">
      <c r="A37" s="94" t="s">
        <v>216</v>
      </c>
    </row>
    <row r="38" spans="1:11" x14ac:dyDescent="0.25">
      <c r="A38" s="94" t="s">
        <v>217</v>
      </c>
    </row>
    <row r="39" spans="1:11" x14ac:dyDescent="0.25">
      <c r="A39" s="94" t="s">
        <v>218</v>
      </c>
      <c r="B39" s="94">
        <v>22694238966</v>
      </c>
      <c r="D39" s="94">
        <v>138230031552</v>
      </c>
      <c r="F39" s="94">
        <v>22855910095</v>
      </c>
      <c r="H39" s="94">
        <v>147862815768</v>
      </c>
      <c r="J39" s="94">
        <v>31337723864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37</vt:i4>
      </vt:variant>
    </vt:vector>
  </HeadingPairs>
  <TitlesOfParts>
    <vt:vector size="37" baseType="lpstr">
      <vt:lpstr>WOODSIDE</vt:lpstr>
      <vt:lpstr>TOTAL E&amp;P</vt:lpstr>
      <vt:lpstr>KOSMOS</vt:lpstr>
      <vt:lpstr>SOMIVA</vt:lpstr>
      <vt:lpstr>BARRICK GOLD</vt:lpstr>
      <vt:lpstr>SMC</vt:lpstr>
      <vt:lpstr>AIG</vt:lpstr>
      <vt:lpstr>SORED</vt:lpstr>
      <vt:lpstr>CAPRICORN</vt:lpstr>
      <vt:lpstr>MIFERSO</vt:lpstr>
      <vt:lpstr>ORANTO</vt:lpstr>
      <vt:lpstr>SGO</vt:lpstr>
      <vt:lpstr>PMC</vt:lpstr>
      <vt:lpstr>GCO</vt:lpstr>
      <vt:lpstr>GPHOS</vt:lpstr>
      <vt:lpstr>CSE</vt:lpstr>
      <vt:lpstr>SOCOCIM</vt:lpstr>
      <vt:lpstr>CDS</vt:lpstr>
      <vt:lpstr>SSPT</vt:lpstr>
      <vt:lpstr>BP SENEGAL</vt:lpstr>
      <vt:lpstr>ICS</vt:lpstr>
      <vt:lpstr>IAMGOLD</vt:lpstr>
      <vt:lpstr>BMCC</vt:lpstr>
      <vt:lpstr>DANGOTE</vt:lpstr>
      <vt:lpstr>AGEM</vt:lpstr>
      <vt:lpstr>COGECA</vt:lpstr>
      <vt:lpstr>SEPHOS</vt:lpstr>
      <vt:lpstr>PETROSEN</vt:lpstr>
      <vt:lpstr>TALIX MINES</vt:lpstr>
      <vt:lpstr>GECAMINES</vt:lpstr>
      <vt:lpstr>FORTESA</vt:lpstr>
      <vt:lpstr>Feuil16</vt:lpstr>
      <vt:lpstr>Feuil1</vt:lpstr>
      <vt:lpstr>Feuil2</vt:lpstr>
      <vt:lpstr>BASE</vt:lpstr>
      <vt:lpstr>Feuil</vt:lpstr>
      <vt:lpstr>RAPPORT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 rachid traore</dc:creator>
  <cp:lastModifiedBy>sie rachid traore</cp:lastModifiedBy>
  <dcterms:created xsi:type="dcterms:W3CDTF">2015-06-05T18:19:34Z</dcterms:created>
  <dcterms:modified xsi:type="dcterms:W3CDTF">2026-05-11T11:33:30Z</dcterms:modified>
</cp:coreProperties>
</file>