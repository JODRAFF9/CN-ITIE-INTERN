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0" yWindow="0" windowWidth="28800" windowHeight="10725" tabRatio="904"/>
  </bookViews>
  <sheets>
    <sheet name="Page de garde" sheetId="56" r:id="rId1"/>
    <sheet name="Fiche de renseignement R1" sheetId="62" r:id="rId2"/>
    <sheet name="Activités de l'entreprise R2" sheetId="3" r:id="rId3"/>
    <sheet name="Dirigeants R3" sheetId="4" r:id="rId4"/>
    <sheet name="Tableau des Notes R4" sheetId="5" r:id="rId5"/>
    <sheet name="BILAN PAYSAGE" sheetId="73" r:id="rId6"/>
    <sheet name="COMPTE DE RESULTAT" sheetId="60" r:id="rId7"/>
    <sheet name="FLUX DE TRESORERIE" sheetId="61" r:id="rId8"/>
    <sheet name="Note 1" sheetId="71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70" r:id="rId17"/>
    <sheet name="Note 6" sheetId="18" r:id="rId18"/>
    <sheet name="Note 7" sheetId="19" r:id="rId19"/>
    <sheet name="Note 8" sheetId="63" r:id="rId20"/>
    <sheet name="Note 8A" sheetId="64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65" r:id="rId27"/>
    <sheet name="Note 15A" sheetId="28" r:id="rId28"/>
    <sheet name="Note 15B" sheetId="29" r:id="rId29"/>
    <sheet name="Note 16A" sheetId="66" r:id="rId30"/>
    <sheet name="Note 16B" sheetId="31" r:id="rId31"/>
    <sheet name="Note 16B bis" sheetId="32" r:id="rId32"/>
    <sheet name="Note 16C" sheetId="33" r:id="rId33"/>
    <sheet name="Note 17" sheetId="67" r:id="rId34"/>
    <sheet name="Note 18" sheetId="68" r:id="rId35"/>
    <sheet name="Note 19" sheetId="69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definedNames>
    <definedName name="_xlnm.Print_Area" localSheetId="2">'Activités de l''entreprise R2'!$A$4:$T$64</definedName>
    <definedName name="_xlnm.Print_Area" localSheetId="54">'Codes activités'!$A$1:$C$86</definedName>
    <definedName name="_xlnm.Print_Area" localSheetId="6">'COMPTE DE RESULTAT'!$A$7:$F$49</definedName>
    <definedName name="_xlnm.Print_Area" localSheetId="1">'Fiche de renseignement R1'!$A$1:$AM$83</definedName>
    <definedName name="_xlnm.Print_Area" localSheetId="7">'FLUX DE TRESORERIE'!$A$7:$F$37</definedName>
    <definedName name="_xlnm.Print_Area" localSheetId="8">'Note 1'!$A$1:$F$47</definedName>
    <definedName name="_xlnm.Print_Area" localSheetId="22">'Note 10'!$A$1:$D$23</definedName>
    <definedName name="_xlnm.Print_Area" localSheetId="23">'Note 11'!$A$1:$D$30</definedName>
    <definedName name="_xlnm.Print_Area" localSheetId="24">'Note 12'!$A$1:$G$38</definedName>
    <definedName name="_xlnm.Print_Area" localSheetId="25">'Note 13'!$A$1:$G$25</definedName>
    <definedName name="_xlnm.Print_Area" localSheetId="26">'Note 14'!$A$1:$G$30</definedName>
    <definedName name="_xlnm.Print_Area" localSheetId="27">'Note 15A'!$A$1:$H$30</definedName>
    <definedName name="_xlnm.Print_Area" localSheetId="28">'Note 15B'!$A$1:$G$25</definedName>
    <definedName name="_xlnm.Print_Area" localSheetId="29">'Note 16A'!$A$1:$H$46</definedName>
    <definedName name="_xlnm.Print_Area" localSheetId="30">'Note 16B'!$A$1:$F$42</definedName>
    <definedName name="_xlnm.Print_Area" localSheetId="31">'Note 16B bis'!$A$1:$E$28</definedName>
    <definedName name="_xlnm.Print_Area" localSheetId="32">'Note 16C'!$A$1:$D$20</definedName>
    <definedName name="_xlnm.Print_Area" localSheetId="33">'Note 17'!$A$1:$G$21</definedName>
    <definedName name="_xlnm.Print_Area" localSheetId="34">'Note 18'!$A$1:$H$29</definedName>
    <definedName name="_xlnm.Print_Area" localSheetId="35">'Note 19'!$A$1:$H$34</definedName>
    <definedName name="_xlnm.Print_Area" localSheetId="9">'Note 2'!$A$1:$D$14</definedName>
    <definedName name="_xlnm.Print_Area" localSheetId="36">'Note 20'!$A$1:$D$26</definedName>
    <definedName name="_xlnm.Print_Area" localSheetId="37">'Note 21'!$A$1:$D$41</definedName>
    <definedName name="_xlnm.Print_Area" localSheetId="38">'Note 22'!$A$1:$D$38</definedName>
    <definedName name="_xlnm.Print_Area" localSheetId="39">'Note 23'!$A$1:$D$19</definedName>
    <definedName name="_xlnm.Print_Area" localSheetId="40">'Note 24'!$A$1:$D$29</definedName>
    <definedName name="_xlnm.Print_Area" localSheetId="41">'Note 25'!$A$1:$D$20</definedName>
    <definedName name="_xlnm.Print_Area" localSheetId="42">'Note 26'!$A$1:$D$23</definedName>
    <definedName name="_xlnm.Print_Area" localSheetId="43">'Note 27A'!$A$1:$D$21</definedName>
    <definedName name="_xlnm.Print_Area" localSheetId="44">'Note 27B'!$A$1:$P$35</definedName>
    <definedName name="_xlnm.Print_Area" localSheetId="45">'Note 28'!$A$1:$I$33</definedName>
    <definedName name="_xlnm.Print_Area" localSheetId="46">'Note 29'!$A$1:$D$37</definedName>
    <definedName name="_xlnm.Print_Area" localSheetId="47">'Note 30'!$A$1:$D$35</definedName>
    <definedName name="_xlnm.Print_Area" localSheetId="48">'Note 31'!$A$1:$F$36</definedName>
    <definedName name="_xlnm.Print_Area" localSheetId="49">'Note 32'!$A$1:$N$26</definedName>
    <definedName name="_xlnm.Print_Area" localSheetId="50">'Note 33'!$A$1:$I$28</definedName>
    <definedName name="_xlnm.Print_Area" localSheetId="51">'Note 34'!$A$1:$D$66</definedName>
    <definedName name="_xlnm.Print_Area" localSheetId="52">'Note 35'!$A$1:$D$25</definedName>
    <definedName name="_xlnm.Print_Area" localSheetId="53">'Note 36'!$A$1:$N$37</definedName>
    <definedName name="_xlnm.Print_Area" localSheetId="10">'Note 3A'!$A$1:$H$37</definedName>
    <definedName name="_xlnm.Print_Area" localSheetId="11">'Note 3B'!$A$1:$I$26</definedName>
    <definedName name="_xlnm.Print_Area" localSheetId="12">'Note 3C'!$A$1:$E$29</definedName>
    <definedName name="_xlnm.Print_Area" localSheetId="13">'Note 3D'!$A$1:$F$30</definedName>
    <definedName name="_xlnm.Print_Area" localSheetId="14">'Note 3E'!$A$1:$C$25</definedName>
    <definedName name="_xlnm.Print_Area" localSheetId="15">'Note 4'!$A$1:$G$36</definedName>
    <definedName name="_xlnm.Print_Area" localSheetId="16">'Note 5'!$A$1:$G$34</definedName>
    <definedName name="_xlnm.Print_Area" localSheetId="17">'Note 6'!$A$1:$D$28</definedName>
    <definedName name="_xlnm.Print_Area" localSheetId="18">'Note 7'!$A$1:$G$29</definedName>
    <definedName name="_xlnm.Print_Area" localSheetId="19">'Note 8'!$A$1:$G$27</definedName>
    <definedName name="_xlnm.Print_Area" localSheetId="20">'Note 8A'!$A$1:$G$22</definedName>
    <definedName name="_xlnm.Print_Area" localSheetId="21">'Note 9'!$A$1:$D$25</definedName>
    <definedName name="_xlnm.Print_Area" localSheetId="0">'Page de garde'!$A$1:$AM$75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45" l="1"/>
  <c r="E30" i="45"/>
  <c r="F30" i="45"/>
  <c r="G30" i="45"/>
  <c r="H30" i="45"/>
  <c r="D24" i="45"/>
  <c r="E24" i="45"/>
  <c r="F24" i="45"/>
  <c r="G24" i="45"/>
  <c r="H24" i="45"/>
  <c r="I24" i="45"/>
  <c r="C24" i="45"/>
  <c r="D25" i="45"/>
  <c r="E25" i="45"/>
  <c r="F25" i="45"/>
  <c r="G25" i="45"/>
  <c r="H25" i="45"/>
  <c r="C25" i="45"/>
  <c r="C30" i="45" s="1"/>
  <c r="J30" i="45"/>
  <c r="C14" i="45"/>
  <c r="C5" i="53" l="1"/>
  <c r="A4" i="53"/>
  <c r="D4" i="52"/>
  <c r="A4" i="52"/>
  <c r="H4" i="51"/>
  <c r="A4" i="51"/>
  <c r="L4" i="50"/>
  <c r="A4" i="50"/>
  <c r="E4" i="49"/>
  <c r="A4" i="49"/>
  <c r="D4" i="48"/>
  <c r="A4" i="48"/>
  <c r="D4" i="47"/>
  <c r="A4" i="47"/>
  <c r="H4" i="46"/>
  <c r="A4" i="46"/>
  <c r="M5" i="45"/>
  <c r="B4" i="45"/>
  <c r="D4" i="44"/>
  <c r="A4" i="44"/>
  <c r="D4" i="43"/>
  <c r="A4" i="43"/>
  <c r="D4" i="42"/>
  <c r="A4" i="42"/>
  <c r="D4" i="41"/>
  <c r="A4" i="41"/>
  <c r="D4" i="40"/>
  <c r="A4" i="40"/>
  <c r="D4" i="39"/>
  <c r="A4" i="39"/>
  <c r="D4" i="38"/>
  <c r="A4" i="38"/>
  <c r="D4" i="37"/>
  <c r="A4" i="37"/>
  <c r="G4" i="69"/>
  <c r="A4" i="69"/>
  <c r="G4" i="68"/>
  <c r="A4" i="68"/>
  <c r="F4" i="67"/>
  <c r="A4" i="67"/>
  <c r="D4" i="33"/>
  <c r="A4" i="33"/>
  <c r="E4" i="32"/>
  <c r="A4" i="32"/>
  <c r="E4" i="31"/>
  <c r="A4" i="31"/>
  <c r="F4" i="66"/>
  <c r="A4" i="66"/>
  <c r="F4" i="29"/>
  <c r="A4" i="29"/>
  <c r="F4" i="28"/>
  <c r="A4" i="28"/>
  <c r="F4" i="65"/>
  <c r="A4" i="65"/>
  <c r="F4" i="26"/>
  <c r="A4" i="26"/>
  <c r="F4" i="25"/>
  <c r="A4" i="25"/>
  <c r="D4" i="24"/>
  <c r="A4" i="24"/>
  <c r="D4" i="23"/>
  <c r="A4" i="23"/>
  <c r="D4" i="22"/>
  <c r="A4" i="22"/>
  <c r="F4" i="64"/>
  <c r="A4" i="64"/>
  <c r="F4" i="63"/>
  <c r="A4" i="63"/>
  <c r="F4" i="19"/>
  <c r="A4" i="19"/>
  <c r="D4" i="18"/>
  <c r="A4" i="18"/>
  <c r="F4" i="70"/>
  <c r="A4" i="70"/>
  <c r="F4" i="16"/>
  <c r="A4" i="16"/>
  <c r="D4" i="15"/>
  <c r="A4" i="15"/>
  <c r="E4" i="14"/>
  <c r="A4" i="14"/>
  <c r="A4" i="13"/>
  <c r="H4" i="12"/>
  <c r="A4" i="12"/>
  <c r="F4" i="11"/>
  <c r="A4" i="11"/>
  <c r="D4" i="10"/>
  <c r="A4" i="10"/>
  <c r="F43" i="71"/>
  <c r="E43" i="71"/>
  <c r="E4" i="71"/>
  <c r="A4" i="71"/>
  <c r="E4" i="61"/>
  <c r="A4" i="61"/>
  <c r="E4" i="60"/>
  <c r="A4" i="60"/>
  <c r="J4" i="73"/>
  <c r="A4" i="73"/>
  <c r="E3" i="5"/>
  <c r="A3" i="5"/>
  <c r="F5" i="4"/>
  <c r="E4" i="4"/>
  <c r="B4" i="4"/>
  <c r="B3" i="4"/>
  <c r="M59" i="3"/>
  <c r="L59" i="3"/>
  <c r="M54" i="3"/>
  <c r="M51" i="3"/>
  <c r="M48" i="3"/>
  <c r="M45" i="3"/>
  <c r="M42" i="3"/>
  <c r="M39" i="3"/>
  <c r="M36" i="3"/>
  <c r="M33" i="3"/>
  <c r="N8" i="3"/>
  <c r="M6" i="3"/>
  <c r="B6" i="3"/>
  <c r="C4" i="3"/>
  <c r="V10" i="62"/>
  <c r="H3" i="12" s="1"/>
  <c r="J10" i="62"/>
  <c r="B5" i="49" s="1"/>
  <c r="AD7" i="62"/>
  <c r="J7" i="62"/>
  <c r="J4" i="62"/>
  <c r="B5" i="14" l="1"/>
  <c r="B5" i="63"/>
  <c r="B5" i="10"/>
  <c r="B5" i="18"/>
  <c r="B5" i="16"/>
  <c r="B4" i="5"/>
  <c r="B5" i="60"/>
  <c r="B5" i="71"/>
  <c r="C5" i="45"/>
  <c r="B5" i="15"/>
  <c r="B5" i="70"/>
  <c r="B5" i="64"/>
  <c r="B5" i="23"/>
  <c r="B5" i="25"/>
  <c r="B5" i="65"/>
  <c r="B5" i="31"/>
  <c r="B5" i="33"/>
  <c r="B5" i="68"/>
  <c r="B5" i="37"/>
  <c r="B5" i="39"/>
  <c r="B5" i="41"/>
  <c r="B5" i="43"/>
  <c r="B5" i="47"/>
  <c r="B5" i="51"/>
  <c r="A6" i="53"/>
  <c r="B5" i="4"/>
  <c r="B5" i="11"/>
  <c r="D5" i="73"/>
  <c r="B5" i="61"/>
  <c r="B5" i="22"/>
  <c r="B5" i="24"/>
  <c r="B5" i="26"/>
  <c r="B5" i="28"/>
  <c r="B5" i="66"/>
  <c r="B5" i="32"/>
  <c r="B5" i="67"/>
  <c r="B5" i="69"/>
  <c r="B5" i="38"/>
  <c r="B5" i="40"/>
  <c r="B5" i="42"/>
  <c r="B5" i="44"/>
  <c r="B5" i="46"/>
  <c r="B5" i="48"/>
  <c r="B5" i="50"/>
  <c r="B5" i="52"/>
  <c r="B8" i="3"/>
  <c r="B5" i="12"/>
  <c r="B5" i="13"/>
  <c r="B5" i="19"/>
  <c r="B5" i="29"/>
  <c r="C3" i="52"/>
  <c r="E3" i="71"/>
  <c r="D3" i="47"/>
  <c r="H3" i="46"/>
  <c r="D3" i="48"/>
  <c r="L3" i="50"/>
  <c r="E2" i="5"/>
  <c r="E3" i="60"/>
  <c r="D3" i="15"/>
  <c r="F3" i="19"/>
  <c r="D3" i="23"/>
  <c r="F3" i="65"/>
  <c r="F3" i="29"/>
  <c r="D3" i="33"/>
  <c r="G3" i="68"/>
  <c r="D3" i="39"/>
  <c r="D3" i="41"/>
  <c r="D3" i="43"/>
  <c r="N3" i="45"/>
  <c r="F3" i="70"/>
  <c r="F3" i="64"/>
  <c r="F3" i="25"/>
  <c r="E3" i="31"/>
  <c r="D3" i="37"/>
  <c r="F3" i="11"/>
  <c r="E3" i="13"/>
  <c r="C3" i="53"/>
  <c r="E3" i="61"/>
  <c r="D3" i="44"/>
  <c r="E3" i="49"/>
  <c r="H3" i="51"/>
  <c r="J3" i="73"/>
  <c r="E3" i="14"/>
  <c r="F3" i="16"/>
  <c r="D3" i="18"/>
  <c r="F3" i="63"/>
  <c r="D3" i="22"/>
  <c r="D3" i="24"/>
  <c r="F3" i="26"/>
  <c r="F3" i="28"/>
  <c r="F3" i="66"/>
  <c r="E3" i="32"/>
  <c r="F3" i="67"/>
  <c r="G3" i="69"/>
  <c r="D3" i="38"/>
  <c r="D3" i="40"/>
  <c r="D3" i="42"/>
  <c r="L8" i="3"/>
  <c r="D5" i="4"/>
  <c r="D3" i="10"/>
</calcChain>
</file>

<file path=xl/sharedStrings.xml><?xml version="1.0" encoding="utf-8"?>
<sst xmlns="http://schemas.openxmlformats.org/spreadsheetml/2006/main" count="2255" uniqueCount="1498">
  <si>
    <t xml:space="preserve">REPUBLIQUE </t>
  </si>
  <si>
    <t>MINISTERE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</si>
  <si>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</si>
  <si>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</si>
  <si>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</si>
  <si>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</si>
  <si>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</si>
  <si>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</si>
  <si>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</si>
  <si>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</si>
  <si>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</si>
  <si>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</si>
  <si>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</si>
  <si>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</si>
  <si>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</si>
  <si>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</si>
  <si>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</si>
  <si>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</si>
  <si>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</si>
  <si>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financier des ressources et emplois</t>
  </si>
  <si>
    <t>Etat supplémentaire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</si>
  <si>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</si>
  <si>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</si>
  <si>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</si>
  <si>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</si>
  <si>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</si>
  <si>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</si>
  <si>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</si>
  <si>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</si>
  <si>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</si>
  <si>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</si>
  <si>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</si>
  <si>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</si>
  <si>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</si>
  <si>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</si>
  <si>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</si>
  <si>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</si>
  <si>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</si>
  <si>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</si>
  <si>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</si>
  <si>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</si>
  <si>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</si>
  <si>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</si>
  <si>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</si>
  <si>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</si>
  <si>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</si>
  <si>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</si>
  <si>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</si>
  <si>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</si>
  <si>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</si>
  <si>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</si>
  <si>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</si>
  <si>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</si>
  <si>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</si>
  <si>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</si>
  <si>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</si>
  <si>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</si>
  <si>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</si>
  <si>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</si>
  <si>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</si>
  <si>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</si>
  <si>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</si>
  <si>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</si>
  <si>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</si>
  <si>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</si>
  <si>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</si>
  <si>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</si>
  <si>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</si>
  <si>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</si>
  <si>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</si>
  <si>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</si>
  <si>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</si>
  <si>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</si>
  <si>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</si>
  <si>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</si>
  <si>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</si>
  <si>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</si>
  <si>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</si>
  <si>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</si>
  <si>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</si>
  <si>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</si>
  <si>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</si>
  <si>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</si>
  <si>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</si>
  <si>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</si>
  <si>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</si>
  <si>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</si>
  <si>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</si>
  <si>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</si>
  <si>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</si>
  <si>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</si>
  <si>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</si>
  <si>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</si>
  <si>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</si>
  <si>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</si>
  <si>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</si>
  <si>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</si>
  <si>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</si>
  <si>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</si>
  <si>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</si>
  <si>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</si>
  <si>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</si>
  <si>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</si>
  <si>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</si>
  <si>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</si>
  <si>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</si>
  <si>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</si>
  <si>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</si>
  <si>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</si>
  <si>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</si>
  <si>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</si>
  <si>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</si>
  <si>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</si>
  <si>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IMMOBILISATIONS FINANCIERES</t>
  </si>
  <si>
    <t>STOCKS ET ENCOURS</t>
  </si>
  <si>
    <t>REF</t>
  </si>
  <si>
    <t>Note</t>
  </si>
  <si>
    <t>IMMOBILISATIONS INCORPORELLES</t>
  </si>
  <si>
    <t>Frais de développement et de prospection</t>
  </si>
  <si>
    <t>Brevets, licences, logiciels et droits similaires</t>
  </si>
  <si>
    <t>Fonds commercial et droit au bail</t>
  </si>
  <si>
    <t>Autres immobilisations incorporelles</t>
  </si>
  <si>
    <t>IMMOBILISATIONS CORPORELLES</t>
  </si>
  <si>
    <t>Réserves libres</t>
  </si>
  <si>
    <t>Aménagements, agencements et installations</t>
  </si>
  <si>
    <t>Matériel, mobilier et actifs biologiques</t>
  </si>
  <si>
    <t>Matériel de transport</t>
  </si>
  <si>
    <t>Titres de participation</t>
  </si>
  <si>
    <t>Autres immobilisations financières</t>
  </si>
  <si>
    <t>Clients</t>
  </si>
  <si>
    <t>TOTAL GENERAL</t>
  </si>
  <si>
    <t>LIBELLES</t>
  </si>
  <si>
    <t>NOTE</t>
  </si>
  <si>
    <t>31/12/N</t>
  </si>
  <si>
    <t>31/12/N-1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</si>
  <si>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</si>
  <si>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</si>
  <si>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</si>
  <si>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</si>
  <si>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</si>
  <si>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</si>
  <si>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</si>
  <si>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</si>
  <si>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</si>
  <si>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</si>
  <si>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</si>
  <si>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</si>
  <si>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</si>
  <si>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</si>
  <si>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</si>
  <si>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</si>
  <si>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</si>
  <si>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</si>
  <si>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</si>
  <si>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</si>
  <si>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</si>
  <si>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</si>
  <si>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</si>
  <si>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</si>
  <si>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</si>
  <si>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</si>
  <si>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</si>
  <si>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</si>
  <si>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</si>
  <si>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</si>
  <si>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</si>
  <si>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</si>
  <si>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</si>
  <si>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</si>
  <si>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</si>
  <si>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</si>
  <si>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</si>
  <si>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</si>
  <si>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</si>
  <si>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</si>
  <si>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</si>
  <si>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</si>
  <si>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</si>
  <si>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</si>
  <si>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</si>
  <si>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</si>
  <si>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</si>
  <si>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</si>
  <si>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</si>
  <si>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</si>
  <si>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</si>
  <si>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</si>
  <si>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</si>
  <si>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</si>
  <si>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</si>
  <si>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</si>
  <si>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</si>
  <si>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</si>
  <si>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</si>
  <si>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</si>
  <si>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</si>
  <si>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</si>
  <si>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</si>
  <si>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</si>
  <si>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</si>
  <si>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</si>
  <si>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</si>
  <si>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</si>
  <si>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</si>
  <si>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</si>
  <si>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</si>
  <si>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</si>
  <si>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</si>
  <si>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</si>
  <si>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</si>
  <si>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</si>
  <si>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</si>
  <si>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</si>
  <si>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</si>
  <si>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</si>
  <si>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</si>
  <si>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</si>
  <si>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</si>
  <si>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</si>
  <si>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</si>
  <si>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</si>
  <si>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</si>
  <si>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</si>
  <si>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</si>
  <si>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</si>
  <si>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</si>
  <si>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</si>
  <si>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</si>
  <si>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</si>
  <si>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</si>
  <si>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</si>
  <si>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</si>
  <si>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</si>
  <si>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</si>
  <si>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</si>
  <si>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</si>
  <si>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</si>
  <si>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</si>
  <si>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</si>
  <si>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</si>
  <si>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</si>
  <si>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</si>
  <si>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</si>
  <si>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</si>
  <si>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</si>
  <si>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</si>
  <si>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</si>
  <si>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</si>
  <si>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</si>
  <si>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</si>
  <si>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</si>
  <si>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</si>
  <si>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</si>
  <si>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</si>
  <si>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</si>
  <si>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</si>
  <si>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</si>
  <si>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</si>
  <si>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</si>
  <si>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</si>
  <si>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</si>
  <si>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</si>
  <si>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</si>
  <si>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F</t>
  </si>
  <si>
    <t>VARIATION DE LA TRESORERIE NETTE DE LA PERIODE (B + C + F)</t>
  </si>
  <si>
    <t>Trésorerie nette au 31 décembre (G + A)
Contrôle : Trésorerie actif N - Trésorerie passif N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</si>
  <si>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</si>
  <si>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</si>
  <si>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</si>
  <si>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</si>
  <si>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</si>
  <si>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</si>
  <si>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</si>
  <si>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</si>
  <si>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</si>
  <si>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</si>
  <si>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</si>
  <si>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</si>
  <si>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</si>
  <si>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</si>
  <si>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</si>
  <si>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</si>
  <si>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</si>
  <si>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</si>
  <si>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</si>
  <si>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</si>
  <si>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</si>
  <si>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</si>
  <si>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</si>
  <si>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</si>
  <si>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</si>
  <si>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</si>
  <si>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</si>
  <si>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</si>
  <si>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</si>
  <si>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</si>
  <si>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</si>
  <si>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</si>
  <si>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</si>
  <si>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</si>
  <si>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</si>
  <si>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</si>
  <si>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</si>
  <si>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</si>
  <si>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</si>
  <si>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</si>
  <si>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</si>
  <si>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</si>
  <si>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</si>
  <si>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</si>
  <si>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</si>
  <si>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</si>
  <si>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</si>
  <si>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</si>
  <si>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</si>
  <si>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</si>
  <si>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</si>
  <si>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</si>
  <si>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</si>
  <si>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</si>
  <si>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</si>
  <si>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</si>
  <si>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</si>
  <si>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</si>
  <si>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</si>
  <si>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</si>
  <si>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</si>
  <si>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</si>
  <si>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</si>
  <si>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</si>
  <si>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</si>
  <si>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</si>
  <si>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</si>
  <si>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</si>
  <si>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</si>
  <si>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</si>
  <si>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</si>
  <si>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</si>
  <si>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</si>
  <si>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</si>
  <si>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</si>
  <si>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</si>
  <si>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</si>
  <si>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</si>
  <si>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</si>
  <si>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</si>
  <si>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</si>
  <si>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</si>
  <si>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</si>
  <si>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</si>
  <si>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</si>
  <si>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</si>
  <si>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</si>
  <si>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</si>
  <si>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</si>
  <si>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</si>
  <si>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</si>
  <si>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</si>
  <si>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</si>
  <si>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</si>
  <si>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</si>
  <si>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</si>
  <si>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</si>
  <si>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</si>
  <si>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</si>
  <si>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</si>
  <si>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</si>
  <si>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</si>
  <si>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</si>
  <si>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</si>
  <si>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</si>
  <si>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</si>
  <si>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</si>
  <si>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</si>
  <si>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</si>
  <si>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</si>
  <si>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</si>
  <si>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</si>
  <si>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</si>
  <si>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</si>
  <si>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</si>
  <si>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</si>
  <si>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</si>
  <si>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</si>
  <si>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</si>
  <si>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</si>
  <si>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</si>
  <si>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</si>
  <si>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</si>
  <si>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</si>
  <si>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</si>
  <si>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</si>
  <si>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</si>
  <si>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</si>
  <si>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</si>
  <si>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</si>
  <si>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</si>
  <si>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</si>
  <si>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</si>
  <si>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</si>
  <si>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</si>
  <si>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</si>
  <si>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</si>
  <si>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</si>
  <si>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</si>
  <si>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</si>
  <si>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</si>
  <si>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</si>
  <si>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</si>
  <si>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</si>
  <si>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</si>
  <si>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</si>
  <si>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</si>
  <si>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</si>
  <si>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</si>
  <si>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</si>
  <si>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</si>
  <si>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</si>
  <si>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Compte transitoire ajustement spécial lié à la révision du SYSCOHADA</t>
  </si>
  <si>
    <t>Comptes permanents non bloqués des établissements et des succursales</t>
  </si>
  <si>
    <t>Comptes de liaison charges et produits</t>
  </si>
  <si>
    <t>Comptes de liaison des sociétés en participation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</si>
  <si>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</si>
  <si>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</si>
  <si>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</si>
  <si>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</si>
  <si>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</si>
  <si>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</si>
  <si>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</si>
  <si>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</si>
  <si>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</si>
  <si>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</si>
  <si>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</si>
  <si>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</si>
  <si>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</si>
  <si>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</si>
  <si>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</si>
  <si>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</si>
  <si>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</si>
  <si>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</si>
  <si>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</si>
  <si>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</si>
  <si>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</si>
  <si>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</si>
  <si>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</si>
  <si>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</si>
  <si>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</si>
  <si>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</si>
  <si>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</si>
  <si>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</si>
  <si>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</si>
  <si>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</si>
  <si>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</si>
  <si>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</si>
  <si>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</si>
  <si>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</si>
  <si>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</si>
  <si>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</si>
  <si>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</si>
  <si>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</si>
  <si>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</si>
  <si>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</si>
  <si>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</si>
  <si>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</si>
  <si>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</si>
  <si>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</si>
  <si>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</si>
  <si>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</si>
  <si>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</si>
  <si>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</si>
  <si>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</si>
  <si>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</si>
  <si>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</si>
  <si>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</si>
  <si>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</si>
  <si>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</si>
  <si>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</si>
  <si>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</si>
  <si>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</si>
  <si>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</si>
  <si>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</si>
  <si>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</si>
  <si>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</si>
  <si>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</si>
  <si>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</si>
  <si>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</si>
  <si>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</si>
  <si>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</si>
  <si>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</si>
  <si>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</si>
  <si>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</si>
  <si>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</si>
  <si>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</si>
  <si>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</si>
  <si>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</si>
  <si>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</si>
  <si>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</si>
  <si>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</si>
  <si>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</si>
  <si>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</si>
  <si>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</si>
  <si>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</si>
  <si>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</si>
  <si>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</si>
  <si>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</si>
  <si>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</si>
  <si>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</si>
  <si>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</si>
  <si>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</si>
  <si>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</si>
  <si>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</si>
  <si>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</si>
  <si>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</si>
  <si>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</si>
  <si>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</si>
  <si>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</si>
  <si>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</si>
  <si>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</si>
  <si>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</si>
  <si>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</si>
  <si>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</si>
  <si>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</si>
  <si>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</si>
  <si>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</si>
  <si>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</si>
  <si>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</si>
  <si>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</si>
  <si>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</si>
  <si>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</si>
  <si>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</si>
  <si>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ACTIF EVENTUEL</t>
  </si>
  <si>
    <t>Litiges</t>
  </si>
  <si>
    <t>…………………………..</t>
  </si>
  <si>
    <t>PASSIF EVENTUEL</t>
  </si>
  <si>
    <t>NOTE 16C : ACTIFS ET PASSIFS EVENTUELS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</si>
  <si>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</si>
  <si>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</si>
  <si>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</si>
  <si>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</si>
  <si>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</si>
  <si>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</si>
  <si>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</si>
  <si>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</si>
  <si>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</si>
  <si>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</si>
  <si>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</si>
  <si>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</si>
  <si>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</si>
  <si>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</si>
  <si>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</si>
  <si>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</si>
  <si>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</si>
  <si>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</si>
  <si>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</si>
  <si>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</si>
  <si>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</si>
  <si>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</si>
  <si>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</si>
  <si>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</si>
  <si>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</si>
  <si>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</si>
  <si>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</si>
  <si>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</si>
  <si>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</si>
  <si>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</si>
  <si>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</si>
  <si>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</si>
  <si>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</si>
  <si>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</si>
  <si>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</si>
  <si>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</si>
  <si>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</si>
  <si>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</si>
  <si>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</si>
  <si>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</si>
  <si>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</si>
  <si>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</si>
  <si>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</si>
  <si>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</si>
  <si>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</si>
  <si>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</si>
  <si>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</si>
  <si>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</si>
  <si>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</si>
  <si>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</si>
  <si>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</si>
  <si>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</si>
  <si>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</si>
  <si>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</si>
  <si>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</si>
  <si>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</si>
  <si>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</si>
  <si>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</si>
  <si>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</si>
  <si>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</si>
  <si>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</si>
  <si>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</si>
  <si>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</si>
  <si>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</si>
  <si>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</si>
  <si>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</si>
  <si>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</si>
  <si>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</si>
  <si>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</si>
  <si>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</si>
  <si>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</si>
  <si>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</si>
  <si>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</si>
  <si>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</si>
  <si>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</si>
  <si>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</si>
  <si>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</si>
  <si>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</si>
  <si>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</si>
  <si>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</si>
  <si>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</si>
  <si>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</si>
  <si>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</si>
  <si>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</si>
  <si>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</si>
  <si>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</si>
  <si>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</si>
  <si>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</si>
  <si>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</si>
  <si>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</si>
  <si>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</si>
  <si>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</si>
  <si>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</si>
  <si>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</si>
  <si>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</si>
  <si>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</si>
  <si>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</si>
  <si>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</si>
  <si>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</si>
  <si>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</si>
  <si>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</si>
  <si>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</si>
  <si>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</si>
  <si>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</si>
  <si>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</si>
  <si>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</si>
  <si>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</si>
  <si>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</si>
  <si>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</si>
  <si>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</si>
  <si>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</si>
  <si>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</si>
  <si>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</si>
  <si>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</si>
  <si>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</si>
  <si>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</si>
  <si>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</si>
  <si>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</si>
  <si>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</si>
  <si>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</si>
  <si>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</si>
  <si>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</si>
  <si>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</si>
  <si>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</si>
  <si>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</si>
  <si>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</si>
  <si>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</si>
  <si>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</si>
  <si>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</si>
  <si>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</si>
  <si>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</si>
  <si>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</si>
  <si>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</si>
  <si>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</si>
  <si>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</si>
  <si>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</si>
  <si>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</si>
  <si>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</si>
  <si>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</si>
  <si>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</si>
  <si>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</si>
  <si>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</si>
  <si>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</si>
  <si>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</si>
  <si>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</si>
  <si>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</si>
  <si>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</si>
  <si>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</si>
  <si>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</si>
  <si>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</si>
  <si>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</si>
  <si>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</si>
  <si>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</si>
  <si>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</si>
  <si>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</si>
  <si>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</si>
  <si>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</si>
  <si>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</si>
  <si>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</si>
  <si>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</si>
  <si>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</si>
  <si>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</si>
  <si>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</si>
  <si>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</si>
  <si>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</si>
  <si>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</si>
  <si>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</si>
  <si>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</si>
  <si>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</si>
  <si>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</si>
  <si>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NOTE 31 : REPARTITION DU RESULTAT ET AUTRES ELEMENTS CARACTERISTIQUES DES CINQ DERNIERS EXERCICES</t>
  </si>
  <si>
    <t>N</t>
  </si>
  <si>
    <t>N - 1</t>
  </si>
  <si>
    <t>N - 2</t>
  </si>
  <si>
    <t>N - 3</t>
  </si>
  <si>
    <t>N - 4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</si>
  <si>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</si>
  <si>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</si>
  <si>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</si>
  <si>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</si>
  <si>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</si>
  <si>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</si>
  <si>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</si>
  <si>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</si>
  <si>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</si>
  <si>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</si>
  <si>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</si>
  <si>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</si>
  <si>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PERSONNEL ET POLITIQUES SALARIALE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</si>
  <si>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</si>
  <si>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</si>
  <si>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</si>
  <si>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</si>
  <si>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</si>
  <si>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</si>
  <si>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</si>
  <si>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</si>
  <si>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</si>
  <si>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</si>
  <si>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</si>
  <si>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</si>
  <si>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</si>
  <si>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</si>
  <si>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</si>
  <si>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</si>
  <si>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</si>
  <si>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</si>
  <si>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</si>
  <si>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</si>
  <si>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</si>
  <si>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</si>
  <si>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</si>
  <si>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</si>
  <si>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</si>
  <si>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</si>
  <si>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</si>
  <si>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</si>
  <si>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</si>
  <si>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</si>
  <si>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</si>
  <si>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</si>
  <si>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</si>
  <si>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</si>
  <si>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</si>
  <si>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</si>
  <si>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</si>
  <si>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</si>
  <si>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</si>
  <si>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</si>
  <si>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</si>
  <si>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</si>
  <si>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</si>
  <si>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</si>
  <si>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</si>
  <si>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</si>
  <si>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</si>
  <si>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</si>
  <si>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</si>
  <si>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</si>
  <si>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</si>
  <si>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</si>
  <si>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</si>
  <si>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</si>
  <si>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</si>
  <si>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</si>
  <si>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</si>
  <si>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</si>
  <si>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</si>
  <si>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NOTE 34 : FICHE DE SYNTHESE DES PRINCIPAUX INDICATEURS FINANCIERS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</si>
  <si>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</si>
  <si>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</si>
  <si>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</si>
  <si>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</si>
  <si>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</si>
  <si>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</si>
  <si>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</si>
  <si>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</si>
  <si>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</si>
  <si>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</si>
  <si>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</si>
  <si>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</si>
  <si>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</si>
  <si>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</si>
  <si>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</si>
  <si>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</si>
  <si>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</si>
  <si>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</si>
  <si>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</si>
  <si>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</si>
  <si>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</si>
  <si>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</si>
  <si>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</si>
  <si>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</si>
  <si>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</si>
  <si>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</si>
  <si>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0</t>
  </si>
  <si>
    <r>
      <t xml:space="preserve">Forme juridique </t>
    </r>
    <r>
      <rPr>
        <sz val="10"/>
        <color rgb="FF548235"/>
        <rFont val="Cambria"/>
        <charset val="1"/>
      </rPr>
      <t>(1)</t>
    </r>
  </si>
  <si>
    <r>
      <t>Régime fiscal</t>
    </r>
    <r>
      <rPr>
        <sz val="10"/>
        <color rgb="FF548235"/>
        <rFont val="Cambria"/>
        <charset val="1"/>
      </rPr>
      <t xml:space="preserve">  (1)</t>
    </r>
  </si>
  <si>
    <r>
      <t xml:space="preserve">Pays du siège social </t>
    </r>
    <r>
      <rPr>
        <sz val="10"/>
        <color rgb="FF548235"/>
        <rFont val="Cambria"/>
        <charset val="1"/>
      </rPr>
      <t>(1)</t>
    </r>
  </si>
  <si>
    <r>
      <t xml:space="preserve">DESIGNATION DE L'ACTIVITE </t>
    </r>
    <r>
      <rPr>
        <b/>
        <sz val="10"/>
        <color rgb="FF548235"/>
        <rFont val="Cambria"/>
        <charset val="1"/>
      </rPr>
      <t>(2)</t>
    </r>
  </si>
  <si>
    <r>
      <t xml:space="preserve">Code nomenclature d'activité </t>
    </r>
    <r>
      <rPr>
        <b/>
        <sz val="10"/>
        <color rgb="FF548235"/>
        <rFont val="Cambria"/>
        <charset val="1"/>
      </rPr>
      <t>(1)</t>
    </r>
  </si>
  <si>
    <t>DIRIGEANTS (1)</t>
  </si>
  <si>
    <t>Gages/Autres</t>
  </si>
  <si>
    <r>
      <t>NOTE 6 : STOCKS ET ENCOURS</t>
    </r>
    <r>
      <rPr>
        <b/>
        <sz val="14"/>
        <color theme="0"/>
        <rFont val="Calibri"/>
        <charset val="1"/>
      </rPr>
      <t>(1)</t>
    </r>
  </si>
  <si>
    <t>- Variation de l'actif circulant HAO (1)</t>
  </si>
  <si>
    <t>+ Variation du passif circulant (1)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</si>
  <si>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</si>
  <si>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</si>
  <si>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</si>
  <si>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</si>
  <si>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r>
      <t xml:space="preserve">EXERCICES CONCERNES </t>
    </r>
    <r>
      <rPr>
        <b/>
        <sz val="10"/>
        <color theme="0"/>
        <rFont val="Calibri"/>
        <charset val="1"/>
      </rPr>
      <t>(1)</t>
    </r>
  </si>
  <si>
    <r>
      <t xml:space="preserve">STRUCTURE DU CAPITAL A LA CLOTURE DE L'EXERCICE </t>
    </r>
    <r>
      <rPr>
        <b/>
        <sz val="10"/>
        <rFont val="Calibri"/>
        <charset val="1"/>
      </rPr>
      <t>(2)</t>
    </r>
  </si>
  <si>
    <r>
      <t xml:space="preserve">OPERATIONS ET RESULTATS DE L'EXERCICE </t>
    </r>
    <r>
      <rPr>
        <b/>
        <sz val="10"/>
        <rFont val="Calibri"/>
        <charset val="1"/>
      </rPr>
      <t>(3)</t>
    </r>
  </si>
  <si>
    <r>
      <t xml:space="preserve">Résultat net </t>
    </r>
    <r>
      <rPr>
        <sz val="9"/>
        <rFont val="Calibri"/>
        <charset val="1"/>
      </rPr>
      <t>(4)</t>
    </r>
  </si>
  <si>
    <r>
      <t>Résultat distribué</t>
    </r>
    <r>
      <rPr>
        <sz val="10"/>
        <rFont val="Calibri"/>
        <charset val="1"/>
      </rPr>
      <t xml:space="preserve"> (5)</t>
    </r>
  </si>
  <si>
    <r>
      <t xml:space="preserve">Effectif moyen des travailleurs au cours de l'exercice </t>
    </r>
    <r>
      <rPr>
        <sz val="10"/>
        <rFont val="Calibri"/>
        <charset val="1"/>
      </rPr>
      <t>(6)</t>
    </r>
  </si>
  <si>
    <r>
      <t xml:space="preserve">Masse salariale distribuée au cours de l'exercice </t>
    </r>
    <r>
      <rPr>
        <sz val="10"/>
        <rFont val="Calibri"/>
        <charset val="1"/>
      </rPr>
      <t>(7)</t>
    </r>
  </si>
  <si>
    <r>
      <t xml:space="preserve">Avantages sociaux versés au cours de l'exercice </t>
    </r>
    <r>
      <rPr>
        <sz val="10"/>
        <rFont val="Calibri"/>
        <charset val="1"/>
      </rPr>
      <t>(8)</t>
    </r>
    <r>
      <rPr>
        <sz val="10"/>
        <rFont val="Calibri"/>
        <charset val="1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</si>
  <si>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charset val="1"/>
      </rPr>
      <t>(9)</t>
    </r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</si>
  <si>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</si>
  <si>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</si>
  <si>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</si>
  <si>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</si>
  <si>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charset val="1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</si>
  <si>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charset val="1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</si>
  <si>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charset val="1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</si>
  <si>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charset val="1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</si>
  <si>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charset val="1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</si>
  <si>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</si>
  <si>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charset val="1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</si>
  <si>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charset val="1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</si>
  <si>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charset val="1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</si>
  <si>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charset val="1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</si>
  <si>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charset val="1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</si>
  <si>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</si>
  <si>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charset val="1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</si>
  <si>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charset val="1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</si>
  <si>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charset val="1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</si>
  <si>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</si>
  <si>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charset val="1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</si>
  <si>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</si>
  <si>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</si>
  <si>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charset val="1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</si>
  <si>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</si>
  <si>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</si>
  <si>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</si>
  <si>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</si>
  <si>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</si>
  <si>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</si>
  <si>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</si>
  <si>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</si>
  <si>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</si>
  <si>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</si>
  <si>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</si>
  <si>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</si>
  <si>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</si>
  <si>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</si>
  <si>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</si>
  <si>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</si>
  <si>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</si>
  <si>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</si>
  <si>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</si>
  <si>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</si>
  <si>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</si>
  <si>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</si>
  <si>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</si>
  <si>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</si>
  <si>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r>
      <t xml:space="preserve">Ecarts de conversion actif :
</t>
    </r>
    <r>
      <rPr>
        <i/>
        <sz val="10"/>
        <color theme="1"/>
        <rFont val="Calibri"/>
        <charset val="1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</si>
  <si>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charset val="1"/>
      </rPr>
      <t>Détailler les créances et dettes concernées</t>
    </r>
  </si>
  <si>
    <r>
      <t xml:space="preserve">Transferts de charges d'exploitation :
</t>
    </r>
    <r>
      <rPr>
        <i/>
        <sz val="10"/>
        <color theme="1"/>
        <rFont val="Calibri"/>
        <charset val="1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</si>
  <si>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charset val="1"/>
      </rPr>
      <t>Détailler la nature des charges transférées</t>
    </r>
  </si>
  <si>
    <r>
      <t>NOTE 15B : AUTRES FONDS PROPRES</t>
    </r>
    <r>
      <rPr>
        <b/>
        <sz val="14"/>
        <color theme="0"/>
        <rFont val="Calibri"/>
        <charset val="1"/>
      </rPr>
      <t>(1)</t>
    </r>
  </si>
  <si>
    <t>NOTE 3A : IMMOBILISATION BRUTE</t>
  </si>
  <si>
    <t>Fournisseurs et comptes rattachés</t>
  </si>
  <si>
    <t>Associés et groupe</t>
  </si>
  <si>
    <t xml:space="preserve">Excercice clos le :  </t>
  </si>
  <si>
    <t xml:space="preserve">Durée en mois : </t>
  </si>
  <si>
    <t>E</t>
  </si>
  <si>
    <t>G</t>
  </si>
  <si>
    <t>H</t>
  </si>
  <si>
    <t>Dons et libéralités accordés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</si>
  <si>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</si>
  <si>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</si>
  <si>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</si>
  <si>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</si>
  <si>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</si>
  <si>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</si>
  <si>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</si>
  <si>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</si>
  <si>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</si>
  <si>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</si>
  <si>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Variations en valeurs absolues</t>
  </si>
  <si>
    <t>+Transferts de charges HAO</t>
  </si>
  <si>
    <t>Personnel congés à payer</t>
  </si>
  <si>
    <t>Intérêts dans loyers de location-financement</t>
  </si>
  <si>
    <t xml:space="preserve"> </t>
  </si>
  <si>
    <t>Caisse électronique mobile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</si>
  <si>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</si>
  <si>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</si>
  <si>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</si>
  <si>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</si>
  <si>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</si>
  <si>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</si>
  <si>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</si>
  <si>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</si>
  <si>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</si>
  <si>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</si>
  <si>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</si>
  <si>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</si>
  <si>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</si>
  <si>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</si>
  <si>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</si>
  <si>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</si>
  <si>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</si>
  <si>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</si>
  <si>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</si>
  <si>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</si>
  <si>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</si>
  <si>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</si>
  <si>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</si>
  <si>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</si>
  <si>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</si>
  <si>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</si>
  <si>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</si>
  <si>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</si>
  <si>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</si>
  <si>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</si>
  <si>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</si>
  <si>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</si>
  <si>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</si>
  <si>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</si>
  <si>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</si>
  <si>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</si>
  <si>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</si>
  <si>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</si>
  <si>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</si>
  <si>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</si>
  <si>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</si>
  <si>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</si>
  <si>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</si>
  <si>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</si>
  <si>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</si>
  <si>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</si>
  <si>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</si>
  <si>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</si>
  <si>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</si>
  <si>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</si>
  <si>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</si>
  <si>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</si>
  <si>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</si>
  <si>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</si>
  <si>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</si>
  <si>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</si>
  <si>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</si>
  <si>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</si>
  <si>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</si>
  <si>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</si>
  <si>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</si>
  <si>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</si>
  <si>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</si>
  <si>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</si>
  <si>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</si>
  <si>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</si>
  <si>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</si>
  <si>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</si>
  <si>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</si>
  <si>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</si>
  <si>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</si>
  <si>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</si>
  <si>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</si>
  <si>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</si>
  <si>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</si>
  <si>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</si>
  <si>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</si>
  <si>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</si>
  <si>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</si>
  <si>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</si>
  <si>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</si>
  <si>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</si>
  <si>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</si>
  <si>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</si>
  <si>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</si>
  <si>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</si>
  <si>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</si>
  <si>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</si>
  <si>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</si>
  <si>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</si>
  <si>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</si>
  <si>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</si>
  <si>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</si>
  <si>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</si>
  <si>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</si>
  <si>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</si>
  <si>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</si>
  <si>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</si>
  <si>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</si>
  <si>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</si>
  <si>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</si>
  <si>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</si>
  <si>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</si>
  <si>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</si>
  <si>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</si>
  <si>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</si>
  <si>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</si>
  <si>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</si>
  <si>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</si>
  <si>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</si>
  <si>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</si>
  <si>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</si>
  <si>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</si>
  <si>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</si>
  <si>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</si>
  <si>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</si>
  <si>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</si>
  <si>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</si>
  <si>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</si>
  <si>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</si>
  <si>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</si>
  <si>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</si>
  <si>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</si>
  <si>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</si>
  <si>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</si>
  <si>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</si>
  <si>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</si>
  <si>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</si>
  <si>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</si>
  <si>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</si>
  <si>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</si>
  <si>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</si>
  <si>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</si>
  <si>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</si>
  <si>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</si>
  <si>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</si>
  <si>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</si>
  <si>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</si>
  <si>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</si>
  <si>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</si>
  <si>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</si>
  <si>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</si>
  <si>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</si>
  <si>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</si>
  <si>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</si>
  <si>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</si>
  <si>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</si>
  <si>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</si>
  <si>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</si>
  <si>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</si>
  <si>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</si>
  <si>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</si>
  <si>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</si>
  <si>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</si>
  <si>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</si>
  <si>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</si>
  <si>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</si>
  <si>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</si>
  <si>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</si>
  <si>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</si>
  <si>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</si>
  <si>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</si>
  <si>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</si>
  <si>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</si>
  <si>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</si>
  <si>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</si>
  <si>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TOTAL DETTES SOCIALES</t>
  </si>
  <si>
    <t>Achats Groupe</t>
  </si>
  <si>
    <t>Achats hors région</t>
  </si>
  <si>
    <t>COMPTE DE RESULTAT</t>
  </si>
  <si>
    <t>FLUX DE TRESORERIE</t>
  </si>
  <si>
    <t>Clients effets à recevoir avec réserves de propriété</t>
  </si>
  <si>
    <t xml:space="preserve">NOTE 13 : CAPITAL </t>
  </si>
  <si>
    <t>Titres  participatifs</t>
  </si>
  <si>
    <t>TOTAL AUTRES FONDS PROPRES</t>
  </si>
  <si>
    <t>Fournisseurs dettes en compte (hors groupe)</t>
  </si>
  <si>
    <t>Fournisseurs, dettes et effets à payer (groupe)</t>
  </si>
  <si>
    <t>Personnel rémunérations dues</t>
  </si>
  <si>
    <t>Ventes dans la région</t>
  </si>
  <si>
    <t>Achats dans la région</t>
  </si>
  <si>
    <t>Autres transports</t>
  </si>
  <si>
    <t>Permanents</t>
  </si>
  <si>
    <t>Saisonniers</t>
  </si>
  <si>
    <t>EBE</t>
  </si>
  <si>
    <t>- Charges HAO</t>
  </si>
  <si>
    <t xml:space="preserve">Total net de dépréciation </t>
  </si>
  <si>
    <t>NOTE 7 : CLIENTS</t>
  </si>
  <si>
    <r>
      <t>(1)</t>
    </r>
    <r>
      <rPr>
        <sz val="10"/>
        <rFont val="Calibri"/>
        <charset val="1"/>
      </rPr>
      <t xml:space="preserve"> Remplacer le premier 0 par 1 si l'entité bénéficie d'un agrément prioritaire</t>
    </r>
  </si>
  <si>
    <r>
      <t>(2)</t>
    </r>
    <r>
      <rPr>
        <sz val="10"/>
        <rFont val="Calibri"/>
        <charset val="1"/>
      </rPr>
      <t xml:space="preserve"> Bénin = 01; Burkina = 02; Côte d'Ivoire = 03; Guinée Bissau = 04; Mali = 05; Niger = 06; Sénégal = 07; Togo = 08</t>
    </r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</si>
  <si>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</si>
  <si>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</si>
  <si>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</si>
  <si>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</si>
  <si>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</si>
  <si>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</si>
  <si>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</si>
  <si>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</si>
  <si>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BILAN PAYSAGE</t>
  </si>
  <si>
    <t>ACTIF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</si>
  <si>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</si>
  <si>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</si>
  <si>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</si>
  <si>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</si>
  <si>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</si>
  <si>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</si>
  <si>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</si>
  <si>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CA</t>
  </si>
  <si>
    <t>CAPITAL</t>
  </si>
  <si>
    <t>AE</t>
  </si>
  <si>
    <t>CB</t>
  </si>
  <si>
    <t>Apporteurs capital non appelé</t>
  </si>
  <si>
    <t>AF</t>
  </si>
  <si>
    <t>CD</t>
  </si>
  <si>
    <t>Primes liées au capital social</t>
  </si>
  <si>
    <t>AG</t>
  </si>
  <si>
    <t>CE</t>
  </si>
  <si>
    <t>Ecarts de réévaluation</t>
  </si>
  <si>
    <t>3e</t>
  </si>
  <si>
    <t>AH</t>
  </si>
  <si>
    <t>CF</t>
  </si>
  <si>
    <t>Réserves indisponibles</t>
  </si>
  <si>
    <t>AI</t>
  </si>
  <si>
    <t>CG</t>
  </si>
  <si>
    <t>AJ</t>
  </si>
  <si>
    <t xml:space="preserve">Terrains (1)
(1) dont placement en net   ………../………… </t>
  </si>
  <si>
    <t>CH</t>
  </si>
  <si>
    <t>AK</t>
  </si>
  <si>
    <t xml:space="preserve">Bâtiments
(1) dont placement en net   ………../………… </t>
  </si>
  <si>
    <t>CJ</t>
  </si>
  <si>
    <t>Résutat net de l'exercice (bénéfice + ou perte -)</t>
  </si>
  <si>
    <t>AL</t>
  </si>
  <si>
    <t>CL</t>
  </si>
  <si>
    <t>Subventions d'investissement</t>
  </si>
  <si>
    <t>AM</t>
  </si>
  <si>
    <t>CM</t>
  </si>
  <si>
    <t>Provisions réglementées et fonds assimilés</t>
  </si>
  <si>
    <t>AN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</si>
  <si>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</si>
  <si>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</si>
  <si>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</si>
  <si>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</si>
  <si>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</si>
  <si>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</si>
  <si>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</si>
  <si>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</si>
  <si>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</si>
  <si>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</si>
  <si>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DC</t>
  </si>
  <si>
    <t>Provisions pour risques et charges</t>
  </si>
  <si>
    <t>AS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</si>
  <si>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</si>
  <si>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</si>
  <si>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</si>
  <si>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</si>
  <si>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</si>
  <si>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</si>
  <si>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</si>
  <si>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</si>
  <si>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</si>
  <si>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</si>
  <si>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</si>
  <si>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</si>
  <si>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</si>
  <si>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</si>
  <si>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</si>
  <si>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</si>
  <si>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</si>
  <si>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</si>
  <si>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</si>
  <si>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</si>
  <si>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</si>
  <si>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</si>
  <si>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</si>
  <si>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</si>
  <si>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</si>
  <si>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</si>
  <si>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</si>
  <si>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</si>
  <si>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</si>
  <si>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</si>
  <si>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</si>
  <si>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</si>
  <si>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</si>
  <si>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</si>
  <si>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</si>
  <si>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</si>
  <si>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</si>
  <si>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</si>
  <si>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</si>
  <si>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</si>
  <si>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</si>
  <si>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</si>
  <si>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</si>
  <si>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</si>
  <si>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</si>
  <si>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</si>
  <si>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</si>
  <si>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</si>
  <si>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</si>
  <si>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</si>
  <si>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DZ</t>
  </si>
  <si>
    <t>ETATS FINANCIERS NORMALISES</t>
  </si>
  <si>
    <t>SYSTÈME COMPTABLE (SYSCOHADA)</t>
  </si>
  <si>
    <t>Dénomination sociale de l'entreprise</t>
  </si>
  <si>
    <t>N° de caisse sociale</t>
  </si>
  <si>
    <t>N° Code Importateur</t>
  </si>
  <si>
    <t>email</t>
  </si>
  <si>
    <t>Report à nouveau (+ ou -)</t>
  </si>
  <si>
    <t>Retenue à durée d'étalement</t>
  </si>
  <si>
    <t>Commenter toute variation significative.</t>
  </si>
  <si>
    <t>Pour les provisions réglementées, indiquer le texte de référence, les obligations.</t>
  </si>
  <si>
    <t>Achats d'études, prestations de services, de travaux matériels et équipements</t>
  </si>
  <si>
    <t>Transports du personnel</t>
  </si>
  <si>
    <t>Transports de plis</t>
  </si>
  <si>
    <t>OBLIGATION AU TITRE DES ENGAGEMENTS DE RETRAITE A LA CLOTURE</t>
  </si>
  <si>
    <t>(1) : Le cas échéant, une rubrique "Autres fonds propres" (montant des émissions de titres participatifs,</t>
  </si>
  <si>
    <t xml:space="preserve">NOTE 8A : TABLEAU D'ETALEMENT DES CHARGES IMMOBILISEES  </t>
  </si>
  <si>
    <t>Emprunts et dettes des établissements de crédit</t>
  </si>
  <si>
    <t>Banques, crédits d'escompte</t>
  </si>
  <si>
    <t>TOTAL BRUT TITRES</t>
  </si>
  <si>
    <t xml:space="preserve">TOTAL </t>
  </si>
  <si>
    <t>Désignation de l'entrepriseé :</t>
  </si>
  <si>
    <t>Désignation de l'entreprise:</t>
  </si>
  <si>
    <t>Désignation de l'entreprise :</t>
  </si>
  <si>
    <t>Variation de stocks de marchandises</t>
  </si>
  <si>
    <t>Transferts de charges d'exploitation</t>
  </si>
  <si>
    <t>Flux  de trésorerie provenant des capitaux étrangers activités de financement (D + E)</t>
  </si>
  <si>
    <t xml:space="preserve"> TOTAL DETTES SOCIALES ET FISCALES</t>
  </si>
  <si>
    <t>TOTAL DETTES FISCALES</t>
  </si>
  <si>
    <t>REPUBLIQUE DU SENEGAL</t>
  </si>
  <si>
    <t>MANDINGA RESSOURCES SARL</t>
  </si>
  <si>
    <t>MANDINGA</t>
  </si>
  <si>
    <t>4296 Pt E Dakar</t>
  </si>
  <si>
    <t>SNDKR2016B14310</t>
  </si>
  <si>
    <t>+221775397159</t>
  </si>
  <si>
    <t>DAKAR</t>
  </si>
  <si>
    <t>4296 Pt E Dakar,</t>
  </si>
  <si>
    <t>Prospection minière</t>
  </si>
  <si>
    <t>ORABANK</t>
  </si>
  <si>
    <t xml:space="preserve"> 044621600201</t>
  </si>
  <si>
    <t xml:space="preserve"> 0</t>
  </si>
  <si>
    <t>8</t>
  </si>
  <si>
    <t>6</t>
  </si>
  <si>
    <t>2</t>
  </si>
  <si>
    <t>KAISIN</t>
  </si>
  <si>
    <t>Jean</t>
  </si>
  <si>
    <t>GERANT</t>
  </si>
  <si>
    <t>NEANT</t>
  </si>
  <si>
    <t>NOTE 1</t>
  </si>
  <si>
    <t>DETTES GARANTIES PAR DES SURETES REELLES</t>
  </si>
  <si>
    <t>x</t>
  </si>
  <si>
    <t>NOTE 2</t>
  </si>
  <si>
    <t xml:space="preserve">INFORMATIONS OBLIGATOIRES </t>
  </si>
  <si>
    <t>NOTE 3A</t>
  </si>
  <si>
    <t>IMMOBILISATION BRUTE</t>
  </si>
  <si>
    <t>NOTE 3B</t>
  </si>
  <si>
    <t>BIENS PRIS EN LOCATION ACQUISITION</t>
  </si>
  <si>
    <t>NOTE 3C</t>
  </si>
  <si>
    <t xml:space="preserve">IMMOBILISATIONS : AMORTISSEMENTS </t>
  </si>
  <si>
    <t>NOTE 3D</t>
  </si>
  <si>
    <t>IMMOBILISATIONS : PLUS -VALUES ET MOINS VALUE DE CESSION</t>
  </si>
  <si>
    <t>NOTE 3E</t>
  </si>
  <si>
    <t>INFORMATION SUR LES REEVALUATIONS EFFECTUEES PAR L'ENTITE</t>
  </si>
  <si>
    <t>NOTE 4</t>
  </si>
  <si>
    <t xml:space="preserve">IMMOBILISATIONS FINANCIERES </t>
  </si>
  <si>
    <t>NOTE 5</t>
  </si>
  <si>
    <t xml:space="preserve">ACTIF CIRCULANT ET DETTES CIRCULANTES HAO </t>
  </si>
  <si>
    <t>NOTE 6</t>
  </si>
  <si>
    <t xml:space="preserve">STOCKS ET ENCOURS </t>
  </si>
  <si>
    <t>NOTE 7</t>
  </si>
  <si>
    <t xml:space="preserve">CLIENTS PRODUITS A RECEVOIR </t>
  </si>
  <si>
    <t>NOTE 8</t>
  </si>
  <si>
    <t xml:space="preserve">AUTRES CREANCES </t>
  </si>
  <si>
    <t>NOTE 8A</t>
  </si>
  <si>
    <t>TABLEAU D’ETALEMENT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</si>
  <si>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</si>
  <si>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</si>
  <si>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</si>
  <si>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</si>
  <si>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</si>
  <si>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</si>
  <si>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</si>
  <si>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 ET TRANSFERTS DE CHARGES</t>
  </si>
  <si>
    <t>NOTE 13</t>
  </si>
  <si>
    <t xml:space="preserve">CAPITAL: VALEUR NOMINALE DES ACTIONS OU PARTS </t>
  </si>
  <si>
    <t>NOTE 14</t>
  </si>
  <si>
    <t xml:space="preserve">PRIMES ET RESERVES </t>
  </si>
  <si>
    <t>NOTE 15A</t>
  </si>
  <si>
    <t>SUBVENTIONS ET PROVISIONS REGLEMENTEES</t>
  </si>
  <si>
    <t>NOTE 15B</t>
  </si>
  <si>
    <t>AUTRES FONDS PROPRES</t>
  </si>
  <si>
    <t>NOTE 16A</t>
  </si>
  <si>
    <t xml:space="preserve">DETTES FINANCIERES ET RESSOURCES ASSIMILEES </t>
  </si>
  <si>
    <t>NOTE 16B</t>
  </si>
  <si>
    <t xml:space="preserve">ENGAGEMENTS DE RETRAITE ET AVANTAGES ASSIMILES ( METHODE ACTUARIELLE ) </t>
  </si>
  <si>
    <t>NOTE 16B bis</t>
  </si>
  <si>
    <t>NOTE 16C</t>
  </si>
  <si>
    <t xml:space="preserve">ACTIFS ET PASSIFS EVENTUELS </t>
  </si>
  <si>
    <t>NOTE 17</t>
  </si>
  <si>
    <t xml:space="preserve">FOURNISSEURS D'EXPLOITATION </t>
  </si>
  <si>
    <t>NOTE 18</t>
  </si>
  <si>
    <t>DETTES FISCALES ET SOCIALES</t>
  </si>
  <si>
    <t>NOTE 19</t>
  </si>
  <si>
    <t>AUTRES DETTES ET PROVISIONS POUR RISQUES A COURT TERME</t>
  </si>
  <si>
    <t>NOTE 20</t>
  </si>
  <si>
    <t>BANQUES , CREDITS D'ESCOMPTE ET DE TRESORERIE</t>
  </si>
  <si>
    <t>NOTE 21</t>
  </si>
  <si>
    <t>CHIFFRES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</si>
  <si>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</si>
  <si>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</si>
  <si>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</si>
  <si>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</si>
  <si>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</si>
  <si>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</si>
  <si>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</si>
  <si>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</si>
  <si>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</si>
  <si>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 xml:space="preserve">AUTRES CHARGES </t>
  </si>
  <si>
    <t>NOTE 27A</t>
  </si>
  <si>
    <t>CHARGES DE PERSONNEL</t>
  </si>
  <si>
    <t>NOTE 27B</t>
  </si>
  <si>
    <t>EFFECTIFS 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</si>
  <si>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</si>
  <si>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</si>
  <si>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</si>
  <si>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</si>
  <si>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</si>
  <si>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 xml:space="preserve">AUTRES CHARGES ET PRODUITS HAO </t>
  </si>
  <si>
    <t>NOTE 31</t>
  </si>
  <si>
    <t xml:space="preserve">REPARTITION DU RESULTAT ET AUTRES ELEMENTS CARACTERISTIQUES DES CINQ DERNIERS EXCERCICES </t>
  </si>
  <si>
    <t>NOTE 32</t>
  </si>
  <si>
    <t>PRODUCTION DE L'EXERCICE</t>
  </si>
  <si>
    <t>NOTE 33</t>
  </si>
  <si>
    <t xml:space="preserve">ACHATS DESTINES A LA PRODUCTION </t>
  </si>
  <si>
    <t>NOTE 34</t>
  </si>
  <si>
    <t xml:space="preserve">FICHE DE SYNTHESE DES PRINCIPAUX INDICATEURS FINANCIERS </t>
  </si>
  <si>
    <t>NOTE 35</t>
  </si>
  <si>
    <t>LISTE DES INFORMATIONS SOCIALES , ENVIRONNEMENTALES ET SOCIETALES A FOURNIR</t>
  </si>
  <si>
    <t>NOTE 36</t>
  </si>
  <si>
    <t>TABLES DES CODES</t>
  </si>
  <si>
    <t>Les états financiers sont établis en conformité avec le Système comptable OHADA et l'acte uniforme relatif au droit comptable  et à l'information financière</t>
  </si>
  <si>
    <t>Les états financiers ont été confectionnés dans le respect desconventions, des postulats et des régles d'évaluation édictés par le SYSOHADA et l'acte uniforme</t>
  </si>
  <si>
    <t>Respect de tous les postulats et conventions comptables sans aucune dérogation</t>
  </si>
  <si>
    <t>Pas d'informations complémentaires relatives aux autres états financiers</t>
  </si>
  <si>
    <t>Les immobilisations sont amortis suivant le système linéaire
La durée de vie des immobilisations est la suivanye :
6 ans 8 mois sur le mobilier et matériel de bureau
5 ans sur le matériel roulant</t>
  </si>
  <si>
    <t>Organismes sociaux</t>
  </si>
  <si>
    <t>État et Collectivités publiques</t>
  </si>
  <si>
    <t>Apporteurs, associés et groupe</t>
  </si>
  <si>
    <t>-71 %</t>
  </si>
  <si>
    <t>Autres débiteurs divers</t>
  </si>
  <si>
    <t>TOTAL BRUT AUTRES CREANCES</t>
  </si>
  <si>
    <t>Dépréciations des autres créances</t>
  </si>
  <si>
    <t>-99 %</t>
  </si>
  <si>
    <t>-100 %</t>
  </si>
  <si>
    <t>Haranga ltd</t>
  </si>
  <si>
    <t>Allemande</t>
  </si>
  <si>
    <t>Mohamed NIARE</t>
  </si>
  <si>
    <t>Malienne</t>
  </si>
  <si>
    <t xml:space="preserve"> Martin Joachim  PAWLITSCHEK</t>
  </si>
  <si>
    <t xml:space="preserve"> Dusko  LJUBOJEVIC</t>
  </si>
  <si>
    <t>CROATE</t>
  </si>
  <si>
    <t>Papa Macoumba DIO¨P</t>
  </si>
  <si>
    <t>SENEGALAISE</t>
  </si>
  <si>
    <t>BLUE  OLIVE</t>
  </si>
  <si>
    <t>AUSTRALIENNE</t>
  </si>
  <si>
    <t>George Nicholas  MICHAELIDES</t>
  </si>
  <si>
    <t>SUD AFRICAINE</t>
  </si>
  <si>
    <t>Primes d'apport</t>
  </si>
  <si>
    <t>Primes d'émission</t>
  </si>
  <si>
    <t>Primes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</si>
  <si>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</si>
  <si>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</si>
  <si>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</si>
  <si>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</si>
  <si>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</si>
  <si>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</si>
  <si>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</si>
  <si>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</si>
  <si>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</si>
  <si>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</si>
  <si>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t>Emprunts obligataires</t>
  </si>
  <si>
    <t xml:space="preserve">Emprunts et dettes auprès des établissements de crédit </t>
  </si>
  <si>
    <t>Avances reçues de l'Etat</t>
  </si>
  <si>
    <t>Avances reçues et comptes courants bloqués</t>
  </si>
  <si>
    <t xml:space="preserve">Dépôts et cautionnement reçus </t>
  </si>
  <si>
    <t>Avances assorties de conditions particulières</t>
  </si>
  <si>
    <t xml:space="preserve">Autres emprunts et dettes </t>
  </si>
  <si>
    <t xml:space="preserve">Dettes liées à  des participations </t>
  </si>
  <si>
    <t xml:space="preserve">Comptes permanents bloqués des établissements et succursales </t>
  </si>
  <si>
    <t xml:space="preserve">TOTAL EMPRUNTS ET DETTES FINANCIERES </t>
  </si>
  <si>
    <t xml:space="preserve">Crédit bail immobilier </t>
  </si>
  <si>
    <t xml:space="preserve">Crédit bail mobilier </t>
  </si>
  <si>
    <t xml:space="preserve">Autres locations acquisitions </t>
  </si>
  <si>
    <t xml:space="preserve">Location vente </t>
  </si>
  <si>
    <t>TOTAL DETTES DE LOCATION ACQUISITION</t>
  </si>
  <si>
    <t xml:space="preserve">Provisions pour litiges </t>
  </si>
  <si>
    <t xml:space="preserve">Provisions pour garantie données aux clients </t>
  </si>
  <si>
    <t>Provisions pour pertes sur marchés à  achèvement futur</t>
  </si>
  <si>
    <t xml:space="preserve">Provisions pour perte de change </t>
  </si>
  <si>
    <t xml:space="preserve">Provisions pour impôts </t>
  </si>
  <si>
    <t xml:space="preserve">Provisions pour pensions et obligations assimilées </t>
  </si>
  <si>
    <t xml:space="preserve">Actif du régime de retraite </t>
  </si>
  <si>
    <t>Provisions pour amendes et pénalités</t>
  </si>
  <si>
    <t>Provisions de propre assureur</t>
  </si>
  <si>
    <t>Provisions pour démantèlement et remise en état</t>
  </si>
  <si>
    <t xml:space="preserve">Autres provisions </t>
  </si>
  <si>
    <t>Provisions pour restructuration</t>
  </si>
  <si>
    <t>Provisions de droits à déduction</t>
  </si>
  <si>
    <t>TOTAL PROVISIONS FINANCIERES POUR RISQUES ET CHARGES</t>
  </si>
  <si>
    <t>178 %</t>
  </si>
  <si>
    <t>166 %</t>
  </si>
  <si>
    <t>-49 %</t>
  </si>
  <si>
    <t>45 %</t>
  </si>
  <si>
    <t>Escomptes de crédit de campagne</t>
  </si>
  <si>
    <t>Escomptes de crédit ordinaires</t>
  </si>
  <si>
    <t>TOTAL : BANQUES, CREDITS D'ESCOMPTE ET DE TRESORERIE</t>
  </si>
  <si>
    <t>Autres Banques</t>
  </si>
  <si>
    <t>Banques intérêts courus</t>
  </si>
  <si>
    <t>Crédit de trésorerie</t>
  </si>
  <si>
    <t>TOTAL BANQUES, CREDITS DE TRESORERIE</t>
  </si>
  <si>
    <t>-98 %</t>
  </si>
  <si>
    <t>1395 %</t>
  </si>
  <si>
    <t>-33 %</t>
  </si>
  <si>
    <t>291 %</t>
  </si>
  <si>
    <t>216 %</t>
  </si>
  <si>
    <t>-1 %</t>
  </si>
  <si>
    <t>273 %</t>
  </si>
  <si>
    <t>68 %</t>
  </si>
  <si>
    <t>107 %</t>
  </si>
  <si>
    <t>7 %</t>
  </si>
  <si>
    <t>-17 %</t>
  </si>
  <si>
    <t>281 %</t>
  </si>
  <si>
    <t>-25 %</t>
  </si>
  <si>
    <t>-68 %</t>
  </si>
  <si>
    <t>20 %</t>
  </si>
  <si>
    <t>-95 %</t>
  </si>
  <si>
    <t>14164 %</t>
  </si>
  <si>
    <t>-78 %</t>
  </si>
  <si>
    <t>-73 %</t>
  </si>
  <si>
    <t>-89 %</t>
  </si>
  <si>
    <t>-8 %</t>
  </si>
  <si>
    <t>1. Provisions réglementées</t>
  </si>
  <si>
    <t>2. Provisions financières pour risques et charges</t>
  </si>
  <si>
    <t>3. Dépréciations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</si>
  <si>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</si>
  <si>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</si>
  <si>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</si>
  <si>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</si>
  <si>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clients</t>
  </si>
  <si>
    <t>8. 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</si>
  <si>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</si>
  <si>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</si>
  <si>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</si>
  <si>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termes exploitation</t>
  </si>
  <si>
    <t>13. Dépréciations et provisions pour risques à court termes à caractére financier</t>
  </si>
  <si>
    <t>TOTAL: CHARGE POUR DEPRECIATIONS ET PROVISIONS A COURT TERME</t>
  </si>
  <si>
    <t>TOTAL PROVISIONS ET DEPRECIATIONS</t>
  </si>
  <si>
    <t>Charges HAO constatées (1) à détailler</t>
  </si>
  <si>
    <t>(1) ...........................................................</t>
  </si>
  <si>
    <t>Pertes sur créances HAO</t>
  </si>
  <si>
    <t>Abandons de créances consentis</t>
  </si>
  <si>
    <t>Charges provisionnées HAO</t>
  </si>
  <si>
    <t>Dotation hors activités ordinaires</t>
  </si>
  <si>
    <t>Participation des travailleurs</t>
  </si>
  <si>
    <t>SOUS TOTAL: AUTRES CHARGES HAO</t>
  </si>
  <si>
    <t>Produits HAO constatés (1) à détailler</t>
  </si>
  <si>
    <t>Dons et libéralités obtenus</t>
  </si>
  <si>
    <t>Abandons de créances obtenus</t>
  </si>
  <si>
    <t>Transferts de charges HAO</t>
  </si>
  <si>
    <t>Reprises des charges pour dépréciations et provisions à court terme HAO</t>
  </si>
  <si>
    <t>Reprises hors activités ordinaires</t>
  </si>
  <si>
    <t>Subventions d'équilibre</t>
  </si>
  <si>
    <t>SOUS TOTAL AUTRES PRODUITS HAO</t>
  </si>
  <si>
    <t>5 %</t>
  </si>
  <si>
    <t>67 %</t>
  </si>
  <si>
    <t>11458 %</t>
  </si>
  <si>
    <t>44 %</t>
  </si>
  <si>
    <t>52 %</t>
  </si>
  <si>
    <t>49 %</t>
  </si>
  <si>
    <t>ERIC FEIDT</t>
  </si>
  <si>
    <t>ERIC FEID</t>
  </si>
  <si>
    <t>4296 POINT E</t>
  </si>
  <si>
    <t>CENTRE DE DEPÔT: DGE</t>
  </si>
  <si>
    <t>006495693</t>
  </si>
  <si>
    <t>Ordinaires</t>
  </si>
  <si>
    <t>240520I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</si>
</sst>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_-* #,##0\ _F_-;\-* #,##0\ _F_-;_-* &quot;-&quot;??\ _F_-;_-@_-"/>
    <numFmt numFmtId="165" formatCode="#,##0_ ;\-#,##0\ "/>
    <numFmt numFmtId="166" formatCode="#,##0\ _F"/>
    <numFmt numFmtId="167" formatCode="_-* #,##0\ _C_F_A_-;\-* #,##0\ _C_F_A_-;_-* &quot;-&quot;??\ _C_F_A_-;_-@_-"/>
  </numFmts>
  <fonts count="138"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8"/>
      <color theme="3"/>
      <name val="Calibri Light"/>
      <charset val="1"/>
    </font>
    <font>
      <b/>
      <sz val="15"/>
      <color theme="3"/>
      <name val="Calibri"/>
      <charset val="1"/>
    </font>
    <font>
      <b/>
      <sz val="13"/>
      <color theme="3"/>
      <name val="Calibri"/>
      <charset val="1"/>
    </font>
    <font>
      <b/>
      <sz val="11"/>
      <color theme="3"/>
      <name val="Calibri"/>
      <charset val="1"/>
    </font>
    <font>
      <sz val="11"/>
      <color rgb="FF006100"/>
      <name val="Calibri"/>
      <charset val="1"/>
    </font>
    <font>
      <sz val="11"/>
      <color rgb="FF9C0006"/>
      <name val="Calibri"/>
      <charset val="1"/>
    </font>
    <font>
      <sz val="11"/>
      <color rgb="FF9C6500"/>
      <name val="Calibri"/>
      <charset val="1"/>
    </font>
    <font>
      <sz val="11"/>
      <color rgb="FF3F3F76"/>
      <name val="Calibri"/>
      <charset val="1"/>
    </font>
    <font>
      <b/>
      <sz val="11"/>
      <color rgb="FF3F3F3F"/>
      <name val="Calibri"/>
      <charset val="1"/>
    </font>
    <font>
      <b/>
      <sz val="11"/>
      <color rgb="FFFA7D00"/>
      <name val="Calibri"/>
      <charset val="1"/>
    </font>
    <font>
      <sz val="11"/>
      <color rgb="FFFA7D00"/>
      <name val="Calibri"/>
      <charset val="1"/>
    </font>
    <font>
      <b/>
      <sz val="11"/>
      <color theme="0"/>
      <name val="Calibri"/>
      <charset val="1"/>
    </font>
    <font>
      <sz val="11"/>
      <color rgb="FFFF0000"/>
      <name val="Calibri"/>
      <charset val="1"/>
    </font>
    <font>
      <i/>
      <sz val="11"/>
      <color rgb="FF7F7F7F"/>
      <name val="Calibri"/>
      <charset val="1"/>
    </font>
    <font>
      <b/>
      <sz val="11"/>
      <color theme="1"/>
      <name val="Calibri"/>
      <charset val="1"/>
    </font>
    <font>
      <sz val="11"/>
      <color theme="0"/>
      <name val="Calibri"/>
      <charset val="1"/>
    </font>
    <font>
      <sz val="10"/>
      <color theme="1"/>
      <name val="Calibri"/>
      <charset val="1"/>
    </font>
    <font>
      <b/>
      <sz val="14"/>
      <color theme="0"/>
      <name val="Calibri"/>
      <charset val="1"/>
    </font>
    <font>
      <sz val="11"/>
      <color theme="1"/>
      <name val="Cambria"/>
      <charset val="1"/>
    </font>
    <font>
      <b/>
      <sz val="12"/>
      <color theme="1"/>
      <name val="Cambria"/>
      <charset val="1"/>
    </font>
    <font>
      <sz val="10"/>
      <color theme="1"/>
      <name val="Cambria"/>
      <charset val="1"/>
    </font>
    <font>
      <sz val="8"/>
      <color theme="1"/>
      <name val="Cambria"/>
      <charset val="1"/>
    </font>
    <font>
      <sz val="10"/>
      <color rgb="FF548235"/>
      <name val="Cambria"/>
      <charset val="1"/>
    </font>
    <font>
      <b/>
      <sz val="10"/>
      <color rgb="FF548235"/>
      <name val="Cambria"/>
      <charset val="1"/>
    </font>
    <font>
      <b/>
      <sz val="10"/>
      <color theme="1"/>
      <name val="Cambria"/>
      <charset val="1"/>
    </font>
    <font>
      <b/>
      <sz val="9"/>
      <color theme="1"/>
      <name val="Cambria"/>
      <charset val="1"/>
    </font>
    <font>
      <b/>
      <sz val="8"/>
      <color theme="1"/>
      <name val="Cambria"/>
      <charset val="1"/>
    </font>
    <font>
      <b/>
      <sz val="11"/>
      <color theme="0"/>
      <name val="Cambria"/>
      <charset val="1"/>
    </font>
    <font>
      <b/>
      <sz val="14"/>
      <color theme="0"/>
      <name val="Calibri"/>
      <charset val="1"/>
    </font>
    <font>
      <b/>
      <sz val="10"/>
      <color theme="0"/>
      <name val="Calibri"/>
      <charset val="1"/>
    </font>
    <font>
      <sz val="10"/>
      <color theme="1"/>
      <name val="Calibri"/>
      <charset val="1"/>
    </font>
    <font>
      <sz val="10"/>
      <color theme="0"/>
      <name val="Calibri"/>
      <charset val="1"/>
    </font>
    <font>
      <b/>
      <sz val="10"/>
      <color theme="1"/>
      <name val="Calibri"/>
      <charset val="1"/>
    </font>
    <font>
      <b/>
      <sz val="9"/>
      <color theme="0"/>
      <name val="Calibri"/>
      <charset val="1"/>
    </font>
    <font>
      <b/>
      <sz val="8"/>
      <color theme="0"/>
      <name val="Calibri"/>
      <charset val="1"/>
    </font>
    <font>
      <b/>
      <sz val="10"/>
      <name val="Calibri"/>
      <charset val="1"/>
    </font>
    <font>
      <sz val="10"/>
      <color theme="1"/>
      <name val="Symbol"/>
      <charset val="2"/>
    </font>
    <font>
      <sz val="10"/>
      <name val="CG Times"/>
      <charset val="1"/>
    </font>
    <font>
      <sz val="10"/>
      <name val="Calibri"/>
      <charset val="1"/>
    </font>
    <font>
      <sz val="10"/>
      <name val="Arial"/>
      <charset val="1"/>
    </font>
    <font>
      <sz val="9"/>
      <name val="Calibri"/>
      <charset val="1"/>
    </font>
    <font>
      <b/>
      <sz val="8"/>
      <name val="Calibri"/>
      <charset val="1"/>
    </font>
    <font>
      <sz val="10"/>
      <name val="CG Times"/>
      <charset val="1"/>
    </font>
    <font>
      <sz val="6"/>
      <name val="Calibri"/>
      <charset val="1"/>
    </font>
    <font>
      <sz val="8"/>
      <name val="Calibri"/>
      <charset val="1"/>
    </font>
    <font>
      <sz val="8"/>
      <color theme="1"/>
      <name val="Calibri"/>
      <charset val="1"/>
    </font>
    <font>
      <b/>
      <sz val="12"/>
      <name val="Calibri"/>
      <charset val="1"/>
    </font>
    <font>
      <b/>
      <sz val="12"/>
      <color theme="1"/>
      <name val="Calibri"/>
      <charset val="1"/>
    </font>
    <font>
      <sz val="11"/>
      <color rgb="FF000000"/>
      <name val="Calibri"/>
      <charset val="1"/>
    </font>
    <font>
      <b/>
      <sz val="14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14"/>
      <name val="Calibri"/>
      <charset val="1"/>
    </font>
    <font>
      <i/>
      <sz val="10"/>
      <color theme="1"/>
      <name val="Calibri"/>
      <charset val="1"/>
    </font>
    <font>
      <b/>
      <sz val="14"/>
      <color theme="4" tint="0.39991454817346722"/>
      <name val="Calibri"/>
      <charset val="1"/>
    </font>
    <font>
      <b/>
      <sz val="12"/>
      <color theme="0"/>
      <name val="Calibri"/>
      <charset val="1"/>
    </font>
    <font>
      <sz val="9"/>
      <color theme="1"/>
      <name val="Calibri"/>
      <charset val="1"/>
    </font>
    <font>
      <b/>
      <u/>
      <sz val="12"/>
      <color theme="1"/>
      <name val="Cambria"/>
      <charset val="1"/>
    </font>
    <font>
      <b/>
      <sz val="8"/>
      <color theme="1"/>
      <name val="Cambria Math"/>
      <charset val="1"/>
    </font>
    <font>
      <b/>
      <sz val="12"/>
      <color indexed="0"/>
      <name val="Cambria"/>
      <charset val="1"/>
    </font>
    <font>
      <sz val="10"/>
      <color indexed="0"/>
      <name val="Cambria"/>
      <charset val="1"/>
    </font>
    <font>
      <sz val="11"/>
      <color indexed="0"/>
      <name val="Calibri"/>
      <charset val="1"/>
    </font>
    <font>
      <sz val="10"/>
      <color indexed="0"/>
      <name val="Calibri"/>
      <charset val="1"/>
    </font>
    <font>
      <b/>
      <sz val="10"/>
      <color indexed="0"/>
      <name val="Calibri"/>
      <charset val="1"/>
    </font>
    <font>
      <sz val="8"/>
      <color indexed="0"/>
      <name val="Calibri"/>
      <charset val="1"/>
    </font>
    <font>
      <b/>
      <sz val="8"/>
      <color indexed="0"/>
      <name val="Cambria Math"/>
      <charset val="1"/>
    </font>
    <font>
      <b/>
      <sz val="10"/>
      <color theme="1"/>
      <name val="Calibri"/>
      <charset val="1"/>
    </font>
    <font>
      <b/>
      <sz val="8"/>
      <color theme="1"/>
      <name val="Calibri"/>
      <charset val="1"/>
    </font>
    <font>
      <sz val="10"/>
      <color theme="1"/>
      <name val="Calibri"/>
      <charset val="1"/>
    </font>
    <font>
      <b/>
      <sz val="10"/>
      <color theme="0"/>
      <name val="Calibri"/>
      <charset val="1"/>
    </font>
    <font>
      <b/>
      <sz val="9"/>
      <color theme="0"/>
      <name val="Calibri"/>
      <charset val="1"/>
    </font>
    <font>
      <b/>
      <sz val="14"/>
      <color theme="0"/>
      <name val="Calibri"/>
      <charset val="1"/>
    </font>
    <font>
      <b/>
      <sz val="14"/>
      <color theme="0"/>
      <name val="Calibri"/>
      <charset val="1"/>
    </font>
    <font>
      <sz val="10"/>
      <color theme="1"/>
      <name val="Calibri"/>
      <charset val="1"/>
    </font>
    <font>
      <b/>
      <sz val="10"/>
      <color theme="1"/>
      <name val="Calibri"/>
      <charset val="1"/>
    </font>
    <font>
      <b/>
      <sz val="10"/>
      <color theme="0"/>
      <name val="Calibri"/>
      <charset val="1"/>
    </font>
    <font>
      <b/>
      <sz val="9"/>
      <color theme="0"/>
      <name val="Calibri"/>
      <charset val="1"/>
    </font>
    <font>
      <sz val="10"/>
      <color theme="1"/>
      <name val="Symbol"/>
      <charset val="2"/>
    </font>
    <font>
      <sz val="10"/>
      <color theme="1"/>
      <name val="Calibri"/>
      <charset val="1"/>
    </font>
    <font>
      <b/>
      <sz val="10"/>
      <color theme="1"/>
      <name val="Calibri"/>
      <charset val="1"/>
    </font>
    <font>
      <b/>
      <sz val="14"/>
      <color theme="0"/>
      <name val="Calibri"/>
      <charset val="1"/>
    </font>
    <font>
      <b/>
      <sz val="10"/>
      <color rgb="FFFF0000"/>
      <name val="Calibri"/>
      <charset val="1"/>
    </font>
    <font>
      <sz val="11"/>
      <color rgb="FF000000"/>
      <name val="Calibri"/>
      <charset val="204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sz val="10"/>
      <name val="Calibri"/>
      <charset val="1"/>
    </font>
    <font>
      <sz val="10"/>
      <color rgb="FFFF0000"/>
      <name val="Calibri"/>
      <charset val="1"/>
    </font>
    <font>
      <sz val="10"/>
      <name val="CG Times"/>
      <charset val="1"/>
    </font>
    <font>
      <sz val="10"/>
      <name val="Calibri"/>
      <charset val="1"/>
    </font>
    <font>
      <b/>
      <sz val="10"/>
      <name val="Calibri"/>
      <charset val="1"/>
    </font>
    <font>
      <sz val="12"/>
      <color rgb="FFC6E0B4"/>
      <name val="Verdana"/>
      <charset val="1"/>
    </font>
    <font>
      <b/>
      <sz val="12"/>
      <color theme="0"/>
      <name val="Cambria"/>
      <charset val="1"/>
    </font>
    <font>
      <sz val="12"/>
      <color rgb="FFC6E0B4"/>
      <name val="Cambria"/>
      <charset val="1"/>
    </font>
    <font>
      <sz val="10"/>
      <color rgb="FFC6E0B4"/>
      <name val="Cambria"/>
      <charset val="1"/>
    </font>
    <font>
      <b/>
      <sz val="10"/>
      <color theme="0"/>
      <name val="Cambria"/>
      <charset val="1"/>
    </font>
    <font>
      <b/>
      <sz val="10"/>
      <color rgb="FFC6E0B4"/>
      <name val="Cambria"/>
      <charset val="1"/>
    </font>
    <font>
      <sz val="11"/>
      <color theme="1" tint="0.14996795556505021"/>
      <name val="Cambria"/>
      <charset val="1"/>
    </font>
    <font>
      <b/>
      <sz val="11"/>
      <color theme="1" tint="0.14996795556505021"/>
      <name val="Cambria"/>
      <charset val="1"/>
    </font>
    <font>
      <sz val="11"/>
      <color theme="0"/>
      <name val="Cambria"/>
      <charset val="1"/>
    </font>
    <font>
      <b/>
      <sz val="11"/>
      <color theme="1"/>
      <name val="Cambria"/>
      <charset val="1"/>
    </font>
    <font>
      <b/>
      <sz val="14"/>
      <color theme="0"/>
      <name val="Cambria"/>
      <charset val="1"/>
    </font>
    <font>
      <b/>
      <sz val="12"/>
      <color indexed="0"/>
      <name val="Cambria"/>
    </font>
    <font>
      <sz val="11"/>
      <color indexed="0"/>
      <name val="Cambria"/>
    </font>
    <font>
      <sz val="11"/>
      <color indexed="0"/>
      <name val="Calibri"/>
    </font>
    <font>
      <sz val="10"/>
      <color indexed="0"/>
      <name val="Cambria"/>
    </font>
    <font>
      <b/>
      <sz val="10"/>
      <color indexed="0"/>
      <name val="Calibri"/>
    </font>
    <font>
      <b/>
      <sz val="11"/>
      <color rgb="FF262626"/>
      <name val="Cambria"/>
    </font>
    <font>
      <sz val="11"/>
      <color rgb="FF262626"/>
      <name val="Cambria"/>
    </font>
    <font>
      <sz val="10"/>
      <color indexed="2"/>
      <name val="Cambria"/>
    </font>
    <font>
      <sz val="10"/>
      <color indexed="1"/>
      <name val="Cambria"/>
    </font>
    <font>
      <sz val="10"/>
      <color indexed="0"/>
      <name val="Calibri"/>
    </font>
    <font>
      <b/>
      <sz val="10"/>
      <color indexed="1"/>
      <name val="Calibri"/>
    </font>
    <font>
      <b/>
      <sz val="8"/>
      <color indexed="0"/>
      <name val="Calibri"/>
    </font>
    <font>
      <sz val="10"/>
      <color indexed="2"/>
      <name val="Calibri"/>
    </font>
    <font>
      <sz val="8"/>
      <color indexed="0"/>
      <name val="Calibri"/>
    </font>
    <font>
      <b/>
      <sz val="12"/>
      <color indexed="0"/>
      <name val="Calibri"/>
    </font>
    <font>
      <b/>
      <sz val="9"/>
      <color indexed="0"/>
      <name val="Calibri"/>
    </font>
    <font>
      <b/>
      <sz val="12"/>
      <color indexed="0"/>
      <name val="Cambria"/>
      <family val="1"/>
    </font>
    <font>
      <sz val="10"/>
      <name val="CG Times"/>
      <family val="1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11"/>
      <name val="Calibri"/>
      <family val="2"/>
    </font>
    <font>
      <sz val="7"/>
      <name val="Cambria"/>
      <family val="1"/>
    </font>
    <font>
      <sz val="8"/>
      <name val="Cambria"/>
      <family val="1"/>
    </font>
    <font>
      <sz val="10"/>
      <name val="Calibri"/>
      <family val="2"/>
    </font>
    <font>
      <sz val="10"/>
      <color indexed="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145481734672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145481734672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145481734672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145481734672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1454817346722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rgb="FFA8D08D"/>
      </patternFill>
    </fill>
    <fill>
      <patternFill patternType="solid">
        <fgColor rgb="FF54813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5E0B3"/>
      </patternFill>
    </fill>
    <fill>
      <patternFill patternType="solid">
        <fgColor rgb="FF548135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C6E0B4"/>
      </patternFill>
    </fill>
    <fill>
      <patternFill patternType="solid">
        <fgColor indexed="1"/>
      </patternFill>
    </fill>
    <fill>
      <patternFill patternType="solid">
        <f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indexed="64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 applyAlignment="0" applyProtection="0"/>
    <xf numFmtId="0" fontId="4" fillId="0" borderId="0" applyAlignment="0" applyProtection="0"/>
    <xf numFmtId="0" fontId="5" fillId="0" borderId="1" applyAlignment="0" applyProtection="0"/>
    <xf numFmtId="0" fontId="6" fillId="0" borderId="2" applyAlignment="0" applyProtection="0"/>
    <xf numFmtId="0" fontId="7" fillId="0" borderId="3" applyAlignment="0" applyProtection="0"/>
    <xf numFmtId="0" fontId="7" fillId="0" borderId="0" applyAlignment="0" applyProtection="0"/>
    <xf numFmtId="0" fontId="8" fillId="2" borderId="0" applyAlignment="0" applyProtection="0"/>
    <xf numFmtId="0" fontId="9" fillId="3" borderId="0" applyAlignment="0" applyProtection="0"/>
    <xf numFmtId="0" fontId="10" fillId="4" borderId="0" applyAlignment="0" applyProtection="0"/>
    <xf numFmtId="0" fontId="11" fillId="5" borderId="4" applyAlignment="0" applyProtection="0"/>
    <xf numFmtId="0" fontId="12" fillId="6" borderId="5" applyAlignment="0" applyProtection="0"/>
    <xf numFmtId="0" fontId="13" fillId="6" borderId="4" applyAlignment="0" applyProtection="0"/>
    <xf numFmtId="0" fontId="14" fillId="0" borderId="6" applyAlignment="0" applyProtection="0"/>
    <xf numFmtId="0" fontId="15" fillId="7" borderId="7" applyAlignment="0" applyProtection="0"/>
    <xf numFmtId="0" fontId="16" fillId="0" borderId="0" applyAlignment="0" applyProtection="0"/>
    <xf numFmtId="0" fontId="3" fillId="8" borderId="8" applyAlignment="0" applyProtection="0"/>
    <xf numFmtId="0" fontId="17" fillId="0" borderId="0" applyAlignment="0" applyProtection="0"/>
    <xf numFmtId="0" fontId="18" fillId="0" borderId="9" applyAlignment="0" applyProtection="0"/>
    <xf numFmtId="0" fontId="19" fillId="9" borderId="0" applyAlignment="0" applyProtection="0"/>
    <xf numFmtId="0" fontId="3" fillId="10" borderId="0" applyAlignment="0" applyProtection="0"/>
    <xf numFmtId="0" fontId="3" fillId="11" borderId="0" applyAlignment="0" applyProtection="0"/>
    <xf numFmtId="0" fontId="19" fillId="12" borderId="0" applyAlignment="0" applyProtection="0"/>
    <xf numFmtId="0" fontId="19" fillId="13" borderId="0" applyAlignment="0" applyProtection="0"/>
    <xf numFmtId="0" fontId="3" fillId="14" borderId="0" applyAlignment="0" applyProtection="0"/>
    <xf numFmtId="0" fontId="3" fillId="15" borderId="0" applyAlignment="0" applyProtection="0"/>
    <xf numFmtId="0" fontId="19" fillId="16" borderId="0" applyAlignment="0" applyProtection="0"/>
    <xf numFmtId="0" fontId="19" fillId="17" borderId="0" applyAlignment="0" applyProtection="0"/>
    <xf numFmtId="0" fontId="3" fillId="18" borderId="0" applyAlignment="0" applyProtection="0"/>
    <xf numFmtId="0" fontId="3" fillId="19" borderId="0" applyAlignment="0" applyProtection="0"/>
    <xf numFmtId="0" fontId="19" fillId="20" borderId="0" applyAlignment="0" applyProtection="0"/>
    <xf numFmtId="0" fontId="19" fillId="21" borderId="0" applyAlignment="0" applyProtection="0"/>
    <xf numFmtId="0" fontId="3" fillId="22" borderId="0" applyAlignment="0" applyProtection="0"/>
    <xf numFmtId="0" fontId="3" fillId="23" borderId="0" applyAlignment="0" applyProtection="0"/>
    <xf numFmtId="0" fontId="19" fillId="24" borderId="0" applyAlignment="0" applyProtection="0"/>
    <xf numFmtId="0" fontId="19" fillId="25" borderId="0" applyAlignment="0" applyProtection="0"/>
    <xf numFmtId="0" fontId="3" fillId="26" borderId="0" applyAlignment="0" applyProtection="0"/>
    <xf numFmtId="0" fontId="3" fillId="27" borderId="0" applyAlignment="0" applyProtection="0"/>
    <xf numFmtId="0" fontId="19" fillId="28" borderId="0" applyAlignment="0" applyProtection="0"/>
    <xf numFmtId="0" fontId="19" fillId="29" borderId="0" applyAlignment="0" applyProtection="0"/>
    <xf numFmtId="0" fontId="3" fillId="30" borderId="0" applyAlignment="0" applyProtection="0"/>
    <xf numFmtId="0" fontId="3" fillId="31" borderId="0" applyAlignment="0" applyProtection="0"/>
    <xf numFmtId="0" fontId="19" fillId="32" borderId="0" applyAlignment="0" applyProtection="0"/>
    <xf numFmtId="0" fontId="3" fillId="0" borderId="0" applyAlignment="0" applyProtection="0"/>
    <xf numFmtId="43" fontId="3" fillId="0" borderId="0" applyAlignment="0" applyProtection="0"/>
    <xf numFmtId="0" fontId="43" fillId="0" borderId="0" applyAlignment="0" applyProtection="0"/>
    <xf numFmtId="0" fontId="46" fillId="0" borderId="0" applyAlignment="0" applyProtection="0"/>
    <xf numFmtId="0" fontId="52" fillId="0" borderId="0" applyAlignment="0" applyProtection="0"/>
    <xf numFmtId="0" fontId="2" fillId="0" borderId="0" applyAlignment="0" applyProtection="0"/>
    <xf numFmtId="0" fontId="1" fillId="0" borderId="0" applyAlignment="0" applyProtection="0"/>
    <xf numFmtId="0" fontId="87" fillId="0" borderId="0" applyAlignment="0" applyProtection="0"/>
    <xf numFmtId="43" fontId="1" fillId="0" borderId="0" applyFont="0" applyFill="0" applyBorder="0" applyAlignment="0" applyProtection="0"/>
    <xf numFmtId="0" fontId="92" fillId="0" borderId="0" applyAlignment="0" applyProtection="0"/>
    <xf numFmtId="0" fontId="95" fillId="0" borderId="0" applyNumberFormat="0" applyFill="0" applyBorder="0" applyAlignment="0" applyProtection="0"/>
    <xf numFmtId="43" fontId="123" fillId="0" borderId="0" applyFont="0" applyFill="0" applyBorder="0" applyAlignment="0" applyProtection="0"/>
  </cellStyleXfs>
  <cellXfs count="1045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4" fillId="0" borderId="16" xfId="0" applyFont="1" applyBorder="1"/>
    <xf numFmtId="0" fontId="24" fillId="0" borderId="23" xfId="0" applyFont="1" applyBorder="1"/>
    <xf numFmtId="0" fontId="24" fillId="0" borderId="17" xfId="0" applyFont="1" applyBorder="1"/>
    <xf numFmtId="0" fontId="24" fillId="0" borderId="18" xfId="0" applyFont="1" applyBorder="1"/>
    <xf numFmtId="0" fontId="30" fillId="0" borderId="10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4" xfId="0" applyFont="1" applyBorder="1"/>
    <xf numFmtId="0" fontId="24" fillId="0" borderId="24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14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23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2" fillId="0" borderId="0" xfId="0" applyFont="1" applyAlignment="1">
      <alignment wrapText="1"/>
    </xf>
    <xf numFmtId="0" fontId="34" fillId="0" borderId="0" xfId="0" applyFont="1"/>
    <xf numFmtId="0" fontId="34" fillId="0" borderId="10" xfId="0" applyFont="1" applyBorder="1"/>
    <xf numFmtId="0" fontId="34" fillId="0" borderId="10" xfId="0" applyFont="1" applyBorder="1" applyAlignment="1">
      <alignment vertical="center" wrapText="1"/>
    </xf>
    <xf numFmtId="0" fontId="33" fillId="34" borderId="25" xfId="0" applyFont="1" applyFill="1" applyBorder="1" applyAlignment="1">
      <alignment horizontal="center" vertical="center"/>
    </xf>
    <xf numFmtId="0" fontId="33" fillId="34" borderId="10" xfId="0" applyFont="1" applyFill="1" applyBorder="1" applyAlignment="1">
      <alignment horizontal="center" vertical="center"/>
    </xf>
    <xf numFmtId="0" fontId="33" fillId="34" borderId="24" xfId="0" applyFont="1" applyFill="1" applyBorder="1" applyAlignment="1">
      <alignment horizontal="center" vertical="center"/>
    </xf>
    <xf numFmtId="0" fontId="33" fillId="34" borderId="23" xfId="0" applyFont="1" applyFill="1" applyBorder="1" applyAlignment="1">
      <alignment horizontal="center" vertical="center"/>
    </xf>
    <xf numFmtId="0" fontId="34" fillId="35" borderId="10" xfId="0" applyFont="1" applyFill="1" applyBorder="1" applyAlignment="1">
      <alignment vertical="center" wrapText="1"/>
    </xf>
    <xf numFmtId="0" fontId="34" fillId="34" borderId="10" xfId="0" applyFont="1" applyFill="1" applyBorder="1" applyAlignment="1">
      <alignment vertical="center" wrapText="1"/>
    </xf>
    <xf numFmtId="0" fontId="33" fillId="34" borderId="10" xfId="0" applyFont="1" applyFill="1" applyBorder="1"/>
    <xf numFmtId="0" fontId="34" fillId="0" borderId="0" xfId="0" applyFont="1" applyAlignment="1">
      <alignment vertical="center"/>
    </xf>
    <xf numFmtId="0" fontId="36" fillId="35" borderId="10" xfId="0" applyFont="1" applyFill="1" applyBorder="1"/>
    <xf numFmtId="0" fontId="36" fillId="35" borderId="10" xfId="0" applyFont="1" applyFill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6" fillId="34" borderId="10" xfId="0" applyFont="1" applyFill="1" applyBorder="1"/>
    <xf numFmtId="0" fontId="36" fillId="34" borderId="10" xfId="0" applyFont="1" applyFill="1" applyBorder="1" applyAlignment="1">
      <alignment vertical="center"/>
    </xf>
    <xf numFmtId="0" fontId="36" fillId="35" borderId="10" xfId="0" applyFont="1" applyFill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wrapText="1"/>
    </xf>
    <xf numFmtId="0" fontId="33" fillId="34" borderId="13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vertical="center"/>
    </xf>
    <xf numFmtId="0" fontId="34" fillId="35" borderId="10" xfId="0" applyFont="1" applyFill="1" applyBorder="1" applyAlignment="1">
      <alignment wrapText="1"/>
    </xf>
    <xf numFmtId="0" fontId="34" fillId="34" borderId="10" xfId="0" applyFont="1" applyFill="1" applyBorder="1" applyAlignment="1">
      <alignment wrapText="1"/>
    </xf>
    <xf numFmtId="0" fontId="33" fillId="34" borderId="25" xfId="0" applyFont="1" applyFill="1" applyBorder="1" applyAlignment="1">
      <alignment horizontal="center" vertical="center" wrapText="1"/>
    </xf>
    <xf numFmtId="0" fontId="33" fillId="34" borderId="24" xfId="0" applyFont="1" applyFill="1" applyBorder="1" applyAlignment="1">
      <alignment horizontal="center" vertical="center" wrapText="1"/>
    </xf>
    <xf numFmtId="0" fontId="33" fillId="34" borderId="20" xfId="0" applyFont="1" applyFill="1" applyBorder="1" applyAlignment="1">
      <alignment vertical="center"/>
    </xf>
    <xf numFmtId="0" fontId="35" fillId="34" borderId="21" xfId="0" applyFont="1" applyFill="1" applyBorder="1" applyAlignment="1">
      <alignment vertical="center"/>
    </xf>
    <xf numFmtId="0" fontId="35" fillId="34" borderId="10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34" fillId="0" borderId="12" xfId="0" applyFont="1" applyBorder="1"/>
    <xf numFmtId="0" fontId="36" fillId="0" borderId="12" xfId="0" applyFont="1" applyBorder="1"/>
    <xf numFmtId="0" fontId="36" fillId="0" borderId="0" xfId="0" applyFont="1"/>
    <xf numFmtId="0" fontId="33" fillId="34" borderId="10" xfId="0" applyFont="1" applyFill="1" applyBorder="1" applyAlignment="1">
      <alignment horizontal="left" vertical="center"/>
    </xf>
    <xf numFmtId="0" fontId="39" fillId="35" borderId="10" xfId="0" applyFont="1" applyFill="1" applyBorder="1"/>
    <xf numFmtId="0" fontId="33" fillId="34" borderId="10" xfId="0" applyFont="1" applyFill="1" applyBorder="1" applyAlignment="1">
      <alignment vertical="center"/>
    </xf>
    <xf numFmtId="3" fontId="33" fillId="34" borderId="10" xfId="0" applyNumberFormat="1" applyFont="1" applyFill="1" applyBorder="1" applyAlignment="1">
      <alignment vertical="center"/>
    </xf>
    <xf numFmtId="0" fontId="36" fillId="35" borderId="1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34" borderId="10" xfId="0" applyFont="1" applyFill="1" applyBorder="1" applyAlignment="1">
      <alignment vertical="center" wrapText="1"/>
    </xf>
    <xf numFmtId="0" fontId="39" fillId="35" borderId="10" xfId="0" applyFont="1" applyFill="1" applyBorder="1" applyAlignment="1">
      <alignment horizontal="center" vertical="center"/>
    </xf>
    <xf numFmtId="0" fontId="39" fillId="35" borderId="10" xfId="0" applyFont="1" applyFill="1" applyBorder="1" applyAlignment="1">
      <alignment vertical="center" wrapText="1"/>
    </xf>
    <xf numFmtId="0" fontId="34" fillId="0" borderId="0" xfId="42" applyFont="1" applyProtection="1">
      <protection locked="0"/>
    </xf>
    <xf numFmtId="0" fontId="34" fillId="0" borderId="0" xfId="42" applyFont="1" applyAlignment="1" applyProtection="1">
      <alignment horizontal="right"/>
      <protection locked="0"/>
    </xf>
    <xf numFmtId="0" fontId="34" fillId="0" borderId="10" xfId="42" applyFont="1" applyBorder="1" applyAlignment="1" applyProtection="1">
      <alignment vertical="center" wrapText="1"/>
      <protection locked="0"/>
    </xf>
    <xf numFmtId="0" fontId="34" fillId="0" borderId="10" xfId="42" applyFont="1" applyBorder="1" applyAlignment="1" applyProtection="1">
      <alignment vertical="center"/>
      <protection locked="0"/>
    </xf>
    <xf numFmtId="0" fontId="36" fillId="37" borderId="10" xfId="42" applyFont="1" applyFill="1" applyBorder="1" applyAlignment="1" applyProtection="1">
      <alignment vertical="center" wrapText="1"/>
      <protection locked="0"/>
    </xf>
    <xf numFmtId="0" fontId="36" fillId="0" borderId="0" xfId="42" applyFont="1" applyProtection="1">
      <protection locked="0"/>
    </xf>
    <xf numFmtId="0" fontId="40" fillId="0" borderId="0" xfId="42" applyFont="1" applyAlignment="1" applyProtection="1">
      <alignment horizontal="left" vertical="center"/>
      <protection locked="0"/>
    </xf>
    <xf numFmtId="0" fontId="34" fillId="0" borderId="21" xfId="42" applyFont="1" applyBorder="1" applyAlignment="1" applyProtection="1">
      <alignment vertical="center"/>
      <protection locked="0"/>
    </xf>
    <xf numFmtId="0" fontId="34" fillId="0" borderId="0" xfId="42" applyFont="1" applyAlignment="1" applyProtection="1">
      <alignment horizontal="left"/>
      <protection locked="0"/>
    </xf>
    <xf numFmtId="0" fontId="34" fillId="0" borderId="0" xfId="42" applyFont="1" applyAlignment="1" applyProtection="1">
      <alignment horizontal="right" vertical="center"/>
      <protection locked="0"/>
    </xf>
    <xf numFmtId="0" fontId="36" fillId="36" borderId="10" xfId="42" applyFont="1" applyFill="1" applyBorder="1" applyAlignment="1" applyProtection="1">
      <alignment vertical="center"/>
      <protection locked="0"/>
    </xf>
    <xf numFmtId="3" fontId="34" fillId="0" borderId="10" xfId="42" applyNumberFormat="1" applyFont="1" applyBorder="1" applyAlignment="1" applyProtection="1">
      <alignment vertical="center"/>
      <protection locked="0"/>
    </xf>
    <xf numFmtId="0" fontId="34" fillId="0" borderId="10" xfId="42" applyFont="1" applyBorder="1" applyAlignment="1" applyProtection="1">
      <alignment horizontal="center" vertical="center"/>
      <protection locked="0"/>
    </xf>
    <xf numFmtId="0" fontId="34" fillId="37" borderId="20" xfId="42" applyFont="1" applyFill="1" applyBorder="1" applyAlignment="1" applyProtection="1">
      <alignment horizontal="center" vertical="center"/>
      <protection locked="0"/>
    </xf>
    <xf numFmtId="0" fontId="36" fillId="0" borderId="10" xfId="42" applyFont="1" applyBorder="1" applyAlignment="1" applyProtection="1">
      <alignment vertical="center" wrapText="1"/>
      <protection locked="0"/>
    </xf>
    <xf numFmtId="0" fontId="36" fillId="37" borderId="10" xfId="42" applyFont="1" applyFill="1" applyBorder="1" applyAlignment="1" applyProtection="1">
      <alignment vertical="center"/>
      <protection locked="0"/>
    </xf>
    <xf numFmtId="0" fontId="34" fillId="0" borderId="0" xfId="42" applyFont="1" applyAlignment="1" applyProtection="1">
      <alignment horizontal="center"/>
      <protection locked="0"/>
    </xf>
    <xf numFmtId="164" fontId="42" fillId="0" borderId="0" xfId="43" applyNumberFormat="1" applyFont="1" applyAlignment="1" applyProtection="1">
      <alignment vertical="center"/>
      <protection locked="0"/>
    </xf>
    <xf numFmtId="3" fontId="42" fillId="0" borderId="0" xfId="43" applyNumberFormat="1" applyFont="1" applyAlignment="1" applyProtection="1">
      <alignment vertical="center"/>
      <protection locked="0"/>
    </xf>
    <xf numFmtId="164" fontId="41" fillId="0" borderId="0" xfId="43" applyNumberFormat="1" applyFont="1" applyAlignment="1" applyProtection="1">
      <alignment vertical="center"/>
      <protection locked="0"/>
    </xf>
    <xf numFmtId="164" fontId="33" fillId="36" borderId="25" xfId="43" applyNumberFormat="1" applyFont="1" applyFill="1" applyBorder="1" applyAlignment="1" applyProtection="1">
      <alignment horizontal="right" vertical="center"/>
      <protection locked="0"/>
    </xf>
    <xf numFmtId="164" fontId="33" fillId="36" borderId="35" xfId="43" applyNumberFormat="1" applyFont="1" applyFill="1" applyBorder="1" applyAlignment="1" applyProtection="1">
      <alignment horizontal="center" vertical="center"/>
      <protection locked="0"/>
    </xf>
    <xf numFmtId="164" fontId="33" fillId="36" borderId="22" xfId="43" applyNumberFormat="1" applyFont="1" applyFill="1" applyBorder="1" applyAlignment="1" applyProtection="1">
      <alignment horizontal="center" vertical="center"/>
      <protection locked="0"/>
    </xf>
    <xf numFmtId="164" fontId="33" fillId="36" borderId="24" xfId="43" applyNumberFormat="1" applyFont="1" applyFill="1" applyBorder="1" applyAlignment="1" applyProtection="1">
      <alignment horizontal="right" vertical="center"/>
      <protection locked="0"/>
    </xf>
    <xf numFmtId="164" fontId="33" fillId="36" borderId="23" xfId="43" applyNumberFormat="1" applyFont="1" applyFill="1" applyBorder="1" applyAlignment="1" applyProtection="1">
      <alignment vertical="center"/>
      <protection locked="0"/>
    </xf>
    <xf numFmtId="164" fontId="35" fillId="36" borderId="36" xfId="43" applyNumberFormat="1" applyFont="1" applyFill="1" applyBorder="1" applyAlignment="1" applyProtection="1">
      <alignment horizontal="center" vertical="center" wrapText="1"/>
      <protection locked="0"/>
    </xf>
    <xf numFmtId="164" fontId="35" fillId="36" borderId="10" xfId="43" applyNumberFormat="1" applyFont="1" applyFill="1" applyBorder="1" applyAlignment="1" applyProtection="1">
      <alignment horizontal="center" vertical="center" wrapText="1"/>
      <protection locked="0"/>
    </xf>
    <xf numFmtId="164" fontId="35" fillId="36" borderId="35" xfId="43" applyNumberFormat="1" applyFont="1" applyFill="1" applyBorder="1" applyAlignment="1" applyProtection="1">
      <alignment horizontal="center" vertical="center" wrapText="1"/>
      <protection locked="0"/>
    </xf>
    <xf numFmtId="164" fontId="42" fillId="0" borderId="0" xfId="43" applyNumberFormat="1" applyFont="1" applyAlignment="1" applyProtection="1">
      <alignment vertical="center" wrapText="1"/>
      <protection locked="0"/>
    </xf>
    <xf numFmtId="0" fontId="33" fillId="36" borderId="10" xfId="42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Alignment="1" applyProtection="1">
      <alignment horizontal="center" vertical="center"/>
      <protection locked="0"/>
    </xf>
    <xf numFmtId="0" fontId="42" fillId="0" borderId="0" xfId="45" applyFont="1" applyAlignment="1" applyProtection="1">
      <alignment vertical="center"/>
      <protection locked="0"/>
    </xf>
    <xf numFmtId="0" fontId="39" fillId="37" borderId="20" xfId="45" applyFont="1" applyFill="1" applyBorder="1" applyAlignment="1" applyProtection="1">
      <alignment vertical="center" wrapText="1"/>
      <protection locked="0"/>
    </xf>
    <xf numFmtId="0" fontId="44" fillId="0" borderId="20" xfId="45" applyFont="1" applyBorder="1" applyAlignment="1" applyProtection="1">
      <alignment vertical="center" wrapText="1"/>
      <protection locked="0"/>
    </xf>
    <xf numFmtId="0" fontId="44" fillId="0" borderId="20" xfId="45" quotePrefix="1" applyFont="1" applyBorder="1" applyAlignment="1" applyProtection="1">
      <alignment horizontal="left" vertical="center" wrapText="1"/>
      <protection locked="0"/>
    </xf>
    <xf numFmtId="0" fontId="42" fillId="0" borderId="20" xfId="45" applyFont="1" applyBorder="1" applyAlignment="1" applyProtection="1">
      <alignment vertical="center" wrapText="1"/>
      <protection locked="0"/>
    </xf>
    <xf numFmtId="0" fontId="47" fillId="0" borderId="20" xfId="45" applyFont="1" applyBorder="1" applyAlignment="1" applyProtection="1">
      <alignment vertical="center"/>
      <protection locked="0"/>
    </xf>
    <xf numFmtId="0" fontId="42" fillId="0" borderId="22" xfId="45" applyFont="1" applyBorder="1" applyAlignment="1" applyProtection="1">
      <alignment vertical="center"/>
      <protection locked="0"/>
    </xf>
    <xf numFmtId="0" fontId="42" fillId="0" borderId="21" xfId="45" applyFont="1" applyBorder="1" applyAlignment="1" applyProtection="1">
      <alignment vertical="center"/>
      <protection locked="0"/>
    </xf>
    <xf numFmtId="0" fontId="42" fillId="0" borderId="20" xfId="45" applyFont="1" applyBorder="1" applyAlignment="1" applyProtection="1">
      <alignment vertical="center"/>
      <protection locked="0"/>
    </xf>
    <xf numFmtId="0" fontId="38" fillId="36" borderId="23" xfId="45" applyFont="1" applyFill="1" applyBorder="1" applyAlignment="1" applyProtection="1">
      <alignment horizontal="center" vertical="center"/>
      <protection locked="0"/>
    </xf>
    <xf numFmtId="0" fontId="34" fillId="0" borderId="0" xfId="42" applyFont="1" applyAlignment="1" applyProtection="1">
      <alignment vertical="center"/>
      <protection locked="0"/>
    </xf>
    <xf numFmtId="0" fontId="36" fillId="0" borderId="0" xfId="42" applyFont="1" applyAlignment="1" applyProtection="1">
      <alignment vertical="center"/>
      <protection locked="0"/>
    </xf>
    <xf numFmtId="0" fontId="39" fillId="38" borderId="10" xfId="42" applyFont="1" applyFill="1" applyBorder="1" applyAlignment="1" applyProtection="1">
      <alignment vertical="center"/>
      <protection locked="0"/>
    </xf>
    <xf numFmtId="0" fontId="34" fillId="37" borderId="10" xfId="42" applyFont="1" applyFill="1" applyBorder="1" applyAlignment="1" applyProtection="1">
      <alignment vertical="center"/>
      <protection locked="0"/>
    </xf>
    <xf numFmtId="0" fontId="36" fillId="37" borderId="10" xfId="42" quotePrefix="1" applyFont="1" applyFill="1" applyBorder="1" applyAlignment="1" applyProtection="1">
      <alignment horizontal="left" vertical="center" wrapText="1"/>
      <protection locked="0"/>
    </xf>
    <xf numFmtId="0" fontId="36" fillId="0" borderId="10" xfId="42" quotePrefix="1" applyFont="1" applyBorder="1" applyAlignment="1" applyProtection="1">
      <alignment horizontal="left" vertical="center" wrapText="1"/>
      <protection locked="0"/>
    </xf>
    <xf numFmtId="0" fontId="36" fillId="0" borderId="10" xfId="42" applyFont="1" applyBorder="1" applyAlignment="1" applyProtection="1">
      <alignment horizontal="left" vertical="center" wrapText="1"/>
      <protection locked="0"/>
    </xf>
    <xf numFmtId="0" fontId="51" fillId="36" borderId="10" xfId="42" quotePrefix="1" applyFont="1" applyFill="1" applyBorder="1" applyAlignment="1" applyProtection="1">
      <alignment horizontal="left" vertical="center"/>
      <protection locked="0"/>
    </xf>
    <xf numFmtId="0" fontId="34" fillId="36" borderId="10" xfId="42" applyFont="1" applyFill="1" applyBorder="1" applyAlignment="1" applyProtection="1">
      <alignment vertical="center"/>
      <protection locked="0"/>
    </xf>
    <xf numFmtId="0" fontId="53" fillId="36" borderId="37" xfId="46" applyFont="1" applyFill="1" applyBorder="1" applyAlignment="1" applyProtection="1">
      <alignment horizontal="center" vertical="top" wrapText="1"/>
      <protection locked="0"/>
    </xf>
    <xf numFmtId="0" fontId="54" fillId="0" borderId="0" xfId="46" applyFont="1" applyProtection="1">
      <protection locked="0"/>
    </xf>
    <xf numFmtId="0" fontId="54" fillId="0" borderId="38" xfId="46" applyFont="1" applyBorder="1" applyAlignment="1" applyProtection="1">
      <alignment vertical="top"/>
      <protection locked="0"/>
    </xf>
    <xf numFmtId="0" fontId="36" fillId="0" borderId="0" xfId="42" applyFont="1" applyAlignment="1" applyProtection="1">
      <alignment horizontal="left" vertical="center"/>
      <protection locked="0"/>
    </xf>
    <xf numFmtId="0" fontId="55" fillId="0" borderId="39" xfId="46" applyFont="1" applyBorder="1" applyAlignment="1" applyProtection="1">
      <alignment horizontal="center" vertical="top"/>
      <protection locked="0"/>
    </xf>
    <xf numFmtId="0" fontId="56" fillId="36" borderId="40" xfId="46" applyFont="1" applyFill="1" applyBorder="1" applyAlignment="1" applyProtection="1">
      <alignment horizontal="center" vertical="top"/>
      <protection locked="0"/>
    </xf>
    <xf numFmtId="0" fontId="55" fillId="37" borderId="40" xfId="46" applyFont="1" applyFill="1" applyBorder="1" applyAlignment="1" applyProtection="1">
      <alignment horizontal="center" vertical="top"/>
      <protection locked="0"/>
    </xf>
    <xf numFmtId="0" fontId="55" fillId="0" borderId="40" xfId="46" applyFont="1" applyBorder="1" applyAlignment="1" applyProtection="1">
      <alignment vertical="top" wrapText="1"/>
      <protection locked="0"/>
    </xf>
    <xf numFmtId="0" fontId="39" fillId="0" borderId="11" xfId="45" applyFont="1" applyBorder="1" applyAlignment="1" applyProtection="1">
      <alignment horizontal="centerContinuous" vertical="center"/>
      <protection locked="0"/>
    </xf>
    <xf numFmtId="0" fontId="39" fillId="0" borderId="12" xfId="45" applyFont="1" applyBorder="1" applyAlignment="1" applyProtection="1">
      <alignment horizontal="centerContinuous" vertical="center"/>
      <protection locked="0"/>
    </xf>
    <xf numFmtId="0" fontId="42" fillId="0" borderId="13" xfId="45" applyFont="1" applyBorder="1" applyAlignment="1" applyProtection="1">
      <alignment vertical="center"/>
      <protection locked="0"/>
    </xf>
    <xf numFmtId="0" fontId="42" fillId="0" borderId="12" xfId="45" applyFont="1" applyBorder="1" applyAlignment="1" applyProtection="1">
      <alignment vertical="center"/>
      <protection locked="0"/>
    </xf>
    <xf numFmtId="0" fontId="42" fillId="0" borderId="14" xfId="45" applyFont="1" applyBorder="1" applyAlignment="1" applyProtection="1">
      <alignment vertical="center"/>
      <protection locked="0"/>
    </xf>
    <xf numFmtId="0" fontId="42" fillId="0" borderId="15" xfId="45" applyFont="1" applyBorder="1" applyAlignment="1" applyProtection="1">
      <alignment vertical="center"/>
      <protection locked="0"/>
    </xf>
    <xf numFmtId="0" fontId="48" fillId="0" borderId="14" xfId="45" applyFont="1" applyBorder="1" applyAlignment="1" applyProtection="1">
      <alignment vertical="center"/>
      <protection locked="0"/>
    </xf>
    <xf numFmtId="0" fontId="39" fillId="0" borderId="0" xfId="45" applyFont="1" applyAlignment="1" applyProtection="1">
      <alignment horizontal="center" vertical="center"/>
      <protection locked="0"/>
    </xf>
    <xf numFmtId="0" fontId="39" fillId="0" borderId="14" xfId="45" applyFont="1" applyBorder="1" applyAlignment="1" applyProtection="1">
      <alignment vertical="center"/>
      <protection locked="0"/>
    </xf>
    <xf numFmtId="0" fontId="57" fillId="0" borderId="0" xfId="45" applyFont="1" applyAlignment="1" applyProtection="1">
      <alignment vertical="center"/>
      <protection locked="0"/>
    </xf>
    <xf numFmtId="0" fontId="57" fillId="0" borderId="15" xfId="45" applyFont="1" applyBorder="1" applyAlignment="1" applyProtection="1">
      <alignment vertical="center"/>
      <protection locked="0"/>
    </xf>
    <xf numFmtId="0" fontId="42" fillId="0" borderId="16" xfId="45" applyFont="1" applyBorder="1" applyAlignment="1" applyProtection="1">
      <alignment vertical="center"/>
      <protection locked="0"/>
    </xf>
    <xf numFmtId="0" fontId="42" fillId="0" borderId="17" xfId="45" applyFont="1" applyBorder="1" applyAlignment="1" applyProtection="1">
      <alignment vertical="center"/>
      <protection locked="0"/>
    </xf>
    <xf numFmtId="0" fontId="42" fillId="0" borderId="18" xfId="45" applyFont="1" applyBorder="1" applyAlignment="1" applyProtection="1">
      <alignment vertical="center"/>
      <protection locked="0"/>
    </xf>
    <xf numFmtId="0" fontId="34" fillId="0" borderId="20" xfId="42" applyFont="1" applyBorder="1" applyAlignment="1" applyProtection="1">
      <alignment vertical="center"/>
      <protection locked="0"/>
    </xf>
    <xf numFmtId="0" fontId="36" fillId="0" borderId="22" xfId="42" applyFont="1" applyBorder="1" applyAlignment="1" applyProtection="1">
      <alignment vertical="center"/>
      <protection locked="0"/>
    </xf>
    <xf numFmtId="0" fontId="34" fillId="37" borderId="22" xfId="42" applyFont="1" applyFill="1" applyBorder="1" applyAlignment="1" applyProtection="1">
      <alignment horizontal="center" vertical="center"/>
      <protection locked="0"/>
    </xf>
    <xf numFmtId="0" fontId="36" fillId="36" borderId="10" xfId="42" applyFont="1" applyFill="1" applyBorder="1" applyAlignment="1" applyProtection="1">
      <alignment vertical="center" wrapText="1"/>
      <protection locked="0"/>
    </xf>
    <xf numFmtId="0" fontId="32" fillId="0" borderId="0" xfId="42" applyFont="1" applyProtection="1">
      <protection locked="0"/>
    </xf>
    <xf numFmtId="0" fontId="60" fillId="36" borderId="20" xfId="42" applyFont="1" applyFill="1" applyBorder="1" applyAlignment="1" applyProtection="1">
      <alignment vertical="center"/>
      <protection locked="0"/>
    </xf>
    <xf numFmtId="0" fontId="33" fillId="36" borderId="21" xfId="42" applyFont="1" applyFill="1" applyBorder="1" applyAlignment="1" applyProtection="1">
      <alignment vertical="center" wrapText="1"/>
      <protection locked="0"/>
    </xf>
    <xf numFmtId="0" fontId="33" fillId="36" borderId="22" xfId="42" applyFont="1" applyFill="1" applyBorder="1" applyAlignment="1" applyProtection="1">
      <alignment vertical="center" wrapText="1"/>
      <protection locked="0"/>
    </xf>
    <xf numFmtId="0" fontId="37" fillId="0" borderId="14" xfId="42" applyFont="1" applyBorder="1" applyAlignment="1" applyProtection="1">
      <alignment vertical="center" wrapText="1"/>
      <protection locked="0"/>
    </xf>
    <xf numFmtId="0" fontId="37" fillId="0" borderId="0" xfId="42" applyFont="1" applyAlignment="1" applyProtection="1">
      <alignment vertical="center"/>
      <protection locked="0"/>
    </xf>
    <xf numFmtId="0" fontId="33" fillId="36" borderId="23" xfId="42" applyFont="1" applyFill="1" applyBorder="1" applyAlignment="1" applyProtection="1">
      <alignment vertical="center"/>
      <protection locked="0"/>
    </xf>
    <xf numFmtId="0" fontId="34" fillId="0" borderId="14" xfId="42" applyFont="1" applyBorder="1" applyAlignment="1" applyProtection="1">
      <alignment vertical="center"/>
      <protection locked="0"/>
    </xf>
    <xf numFmtId="0" fontId="34" fillId="0" borderId="14" xfId="42" applyFont="1" applyBorder="1" applyAlignment="1" applyProtection="1">
      <alignment horizontal="center" vertical="center"/>
      <protection locked="0"/>
    </xf>
    <xf numFmtId="0" fontId="37" fillId="0" borderId="14" xfId="42" applyFont="1" applyBorder="1" applyAlignment="1" applyProtection="1">
      <alignment vertical="center"/>
      <protection locked="0"/>
    </xf>
    <xf numFmtId="0" fontId="33" fillId="36" borderId="20" xfId="42" applyFont="1" applyFill="1" applyBorder="1" applyAlignment="1" applyProtection="1">
      <alignment vertical="center"/>
      <protection locked="0"/>
    </xf>
    <xf numFmtId="0" fontId="33" fillId="36" borderId="22" xfId="42" applyFont="1" applyFill="1" applyBorder="1" applyAlignment="1" applyProtection="1">
      <alignment vertical="center"/>
      <protection locked="0"/>
    </xf>
    <xf numFmtId="0" fontId="36" fillId="37" borderId="20" xfId="42" applyFont="1" applyFill="1" applyBorder="1" applyAlignment="1" applyProtection="1">
      <alignment vertical="center" wrapText="1"/>
      <protection locked="0"/>
    </xf>
    <xf numFmtId="0" fontId="36" fillId="37" borderId="22" xfId="42" applyFont="1" applyFill="1" applyBorder="1" applyAlignment="1" applyProtection="1">
      <alignment vertical="center" wrapText="1"/>
      <protection locked="0"/>
    </xf>
    <xf numFmtId="14" fontId="34" fillId="0" borderId="0" xfId="42" applyNumberFormat="1" applyFont="1" applyProtection="1">
      <protection locked="0"/>
    </xf>
    <xf numFmtId="0" fontId="33" fillId="36" borderId="22" xfId="42" applyFont="1" applyFill="1" applyBorder="1" applyAlignment="1" applyProtection="1">
      <alignment horizontal="center" vertical="center" wrapText="1"/>
      <protection locked="0"/>
    </xf>
    <xf numFmtId="0" fontId="33" fillId="36" borderId="20" xfId="42" applyFont="1" applyFill="1" applyBorder="1" applyAlignment="1" applyProtection="1">
      <alignment horizontal="center" vertical="center" wrapText="1"/>
      <protection locked="0"/>
    </xf>
    <xf numFmtId="0" fontId="34" fillId="37" borderId="10" xfId="42" applyFont="1" applyFill="1" applyBorder="1" applyAlignment="1" applyProtection="1">
      <alignment horizontal="center" vertical="center" wrapText="1"/>
      <protection locked="0"/>
    </xf>
    <xf numFmtId="0" fontId="34" fillId="0" borderId="20" xfId="42" applyFont="1" applyBorder="1" applyAlignment="1" applyProtection="1">
      <alignment vertical="center" wrapText="1"/>
      <protection locked="0"/>
    </xf>
    <xf numFmtId="3" fontId="34" fillId="37" borderId="10" xfId="42" applyNumberFormat="1" applyFont="1" applyFill="1" applyBorder="1" applyAlignment="1" applyProtection="1">
      <alignment vertical="center"/>
      <protection locked="0"/>
    </xf>
    <xf numFmtId="0" fontId="61" fillId="0" borderId="0" xfId="42" applyFont="1" applyProtection="1">
      <protection locked="0"/>
    </xf>
    <xf numFmtId="0" fontId="60" fillId="0" borderId="0" xfId="42" applyFont="1" applyAlignment="1" applyProtection="1">
      <alignment horizontal="center" vertical="center" wrapText="1"/>
      <protection locked="0"/>
    </xf>
    <xf numFmtId="0" fontId="33" fillId="0" borderId="14" xfId="42" applyFont="1" applyBorder="1" applyAlignment="1" applyProtection="1">
      <alignment horizontal="center" vertical="center" wrapText="1"/>
      <protection locked="0"/>
    </xf>
    <xf numFmtId="0" fontId="37" fillId="0" borderId="0" xfId="42" applyFont="1" applyAlignment="1" applyProtection="1">
      <alignment vertical="center" wrapText="1"/>
      <protection locked="0"/>
    </xf>
    <xf numFmtId="3" fontId="34" fillId="0" borderId="10" xfId="42" applyNumberFormat="1" applyFont="1" applyBorder="1" applyAlignment="1" applyProtection="1">
      <alignment horizontal="right" vertical="center"/>
      <protection locked="0"/>
    </xf>
    <xf numFmtId="0" fontId="34" fillId="0" borderId="0" xfId="42" applyFont="1" applyAlignment="1" applyProtection="1">
      <alignment horizontal="left" vertical="top" wrapText="1"/>
      <protection locked="0"/>
    </xf>
    <xf numFmtId="0" fontId="39" fillId="38" borderId="10" xfId="42" applyFont="1" applyFill="1" applyBorder="1" applyAlignment="1" applyProtection="1">
      <alignment horizontal="center" vertical="center"/>
      <protection locked="0"/>
    </xf>
    <xf numFmtId="0" fontId="39" fillId="38" borderId="20" xfId="42" applyFont="1" applyFill="1" applyBorder="1" applyAlignment="1" applyProtection="1">
      <alignment horizontal="center" vertical="center" wrapText="1"/>
      <protection locked="0"/>
    </xf>
    <xf numFmtId="0" fontId="39" fillId="38" borderId="10" xfId="42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/>
    </xf>
    <xf numFmtId="0" fontId="0" fillId="0" borderId="0" xfId="0" applyAlignment="1"/>
    <xf numFmtId="0" fontId="49" fillId="0" borderId="0" xfId="0" applyFont="1"/>
    <xf numFmtId="0" fontId="49" fillId="0" borderId="0" xfId="0" applyFont="1" applyAlignment="1">
      <alignment vertical="center"/>
    </xf>
    <xf numFmtId="0" fontId="42" fillId="0" borderId="10" xfId="0" applyFont="1" applyBorder="1" applyAlignment="1">
      <alignment vertical="center"/>
    </xf>
    <xf numFmtId="0" fontId="42" fillId="0" borderId="10" xfId="0" applyFont="1" applyBorder="1" applyAlignment="1">
      <alignment horizontal="center" vertical="center"/>
    </xf>
    <xf numFmtId="0" fontId="34" fillId="0" borderId="0" xfId="42" applyFont="1" applyAlignment="1" applyProtection="1">
      <protection locked="0"/>
    </xf>
    <xf numFmtId="0" fontId="49" fillId="0" borderId="0" xfId="42" applyFont="1" applyAlignment="1" applyProtection="1">
      <alignment horizontal="right" vertical="center"/>
      <protection locked="0"/>
    </xf>
    <xf numFmtId="14" fontId="24" fillId="0" borderId="0" xfId="0" applyNumberFormat="1" applyFont="1" applyAlignment="1">
      <alignment horizontal="center"/>
    </xf>
    <xf numFmtId="0" fontId="39" fillId="0" borderId="10" xfId="42" applyFont="1" applyBorder="1" applyAlignment="1" applyProtection="1">
      <alignment horizontal="left" vertical="top" wrapText="1"/>
      <protection locked="0"/>
    </xf>
    <xf numFmtId="0" fontId="36" fillId="0" borderId="0" xfId="42" applyFont="1" applyAlignment="1" applyProtection="1">
      <alignment horizontal="left"/>
      <protection locked="0"/>
    </xf>
    <xf numFmtId="0" fontId="63" fillId="0" borderId="0" xfId="0" applyFont="1"/>
    <xf numFmtId="4" fontId="34" fillId="0" borderId="0" xfId="42" applyNumberFormat="1" applyFont="1" applyProtection="1">
      <protection locked="0"/>
    </xf>
    <xf numFmtId="3" fontId="34" fillId="0" borderId="20" xfId="42" applyNumberFormat="1" applyFont="1" applyBorder="1" applyAlignment="1" applyProtection="1">
      <alignment horizontal="right" vertical="center"/>
      <protection locked="0"/>
    </xf>
    <xf numFmtId="0" fontId="66" fillId="0" borderId="0" xfId="0" applyFont="1" applyAlignment="1" applyProtection="1">
      <alignment horizontal="left"/>
      <protection locked="0"/>
    </xf>
    <xf numFmtId="0" fontId="65" fillId="0" borderId="0" xfId="0" applyFont="1" applyAlignment="1" applyProtection="1">
      <alignment horizontal="left"/>
      <protection locked="0"/>
    </xf>
    <xf numFmtId="3" fontId="67" fillId="0" borderId="0" xfId="0" applyNumberFormat="1" applyFont="1" applyAlignment="1" applyProtection="1">
      <alignment horizontal="right" vertical="center"/>
      <protection locked="0"/>
    </xf>
    <xf numFmtId="0" fontId="70" fillId="0" borderId="0" xfId="0" applyFont="1" applyAlignment="1" applyProtection="1">
      <alignment horizontal="left"/>
      <protection locked="0"/>
    </xf>
    <xf numFmtId="0" fontId="65" fillId="0" borderId="44" xfId="0" applyFont="1" applyBorder="1" applyAlignment="1" applyProtection="1">
      <alignment horizontal="left"/>
      <protection locked="0"/>
    </xf>
    <xf numFmtId="0" fontId="65" fillId="0" borderId="45" xfId="0" applyFont="1" applyBorder="1" applyAlignment="1" applyProtection="1">
      <alignment horizontal="left"/>
      <protection locked="0"/>
    </xf>
    <xf numFmtId="0" fontId="65" fillId="0" borderId="46" xfId="0" applyFont="1" applyBorder="1" applyAlignment="1" applyProtection="1">
      <alignment horizontal="left"/>
      <protection locked="0"/>
    </xf>
    <xf numFmtId="0" fontId="65" fillId="0" borderId="47" xfId="0" applyFont="1" applyBorder="1" applyAlignment="1" applyProtection="1">
      <alignment horizontal="left"/>
      <protection locked="0"/>
    </xf>
    <xf numFmtId="0" fontId="65" fillId="0" borderId="46" xfId="0" applyFont="1" applyBorder="1" applyAlignment="1" applyProtection="1">
      <alignment horizontal="left" vertical="center"/>
      <protection locked="0"/>
    </xf>
    <xf numFmtId="0" fontId="65" fillId="0" borderId="47" xfId="0" applyFont="1" applyBorder="1" applyAlignment="1" applyProtection="1">
      <alignment horizontal="center" vertical="center"/>
      <protection locked="0"/>
    </xf>
    <xf numFmtId="0" fontId="68" fillId="40" borderId="49" xfId="0" applyFont="1" applyFill="1" applyBorder="1" applyAlignment="1" applyProtection="1">
      <alignment horizontal="left" vertical="center"/>
      <protection locked="0"/>
    </xf>
    <xf numFmtId="0" fontId="20" fillId="0" borderId="0" xfId="42" applyFont="1" applyProtection="1">
      <protection locked="0"/>
    </xf>
    <xf numFmtId="0" fontId="73" fillId="0" borderId="0" xfId="0" applyFont="1"/>
    <xf numFmtId="0" fontId="78" fillId="0" borderId="0" xfId="42" applyFont="1" applyProtection="1">
      <protection locked="0"/>
    </xf>
    <xf numFmtId="0" fontId="78" fillId="0" borderId="0" xfId="42" applyFont="1" applyAlignment="1" applyProtection="1">
      <alignment horizontal="right"/>
      <protection locked="0"/>
    </xf>
    <xf numFmtId="0" fontId="78" fillId="0" borderId="10" xfId="42" applyFont="1" applyBorder="1" applyAlignment="1" applyProtection="1">
      <alignment vertical="center" wrapText="1"/>
      <protection locked="0"/>
    </xf>
    <xf numFmtId="0" fontId="79" fillId="36" borderId="10" xfId="42" applyFont="1" applyFill="1" applyBorder="1" applyAlignment="1" applyProtection="1">
      <alignment vertical="center"/>
      <protection locked="0"/>
    </xf>
    <xf numFmtId="0" fontId="78" fillId="36" borderId="20" xfId="42" applyFont="1" applyFill="1" applyBorder="1" applyAlignment="1" applyProtection="1">
      <alignment vertical="center"/>
      <protection locked="0"/>
    </xf>
    <xf numFmtId="3" fontId="78" fillId="36" borderId="22" xfId="42" applyNumberFormat="1" applyFont="1" applyFill="1" applyBorder="1" applyAlignment="1" applyProtection="1">
      <alignment vertical="center"/>
      <protection locked="0"/>
    </xf>
    <xf numFmtId="0" fontId="78" fillId="36" borderId="21" xfId="42" applyFont="1" applyFill="1" applyBorder="1" applyAlignment="1" applyProtection="1">
      <alignment vertical="center"/>
      <protection locked="0"/>
    </xf>
    <xf numFmtId="0" fontId="79" fillId="0" borderId="0" xfId="42" applyFont="1" applyProtection="1">
      <protection locked="0"/>
    </xf>
    <xf numFmtId="0" fontId="82" fillId="0" borderId="0" xfId="42" applyFont="1" applyAlignment="1" applyProtection="1">
      <alignment horizontal="left" vertical="center"/>
      <protection locked="0"/>
    </xf>
    <xf numFmtId="0" fontId="78" fillId="0" borderId="0" xfId="42" applyFont="1" applyAlignment="1" applyProtection="1">
      <alignment horizontal="left"/>
      <protection locked="0"/>
    </xf>
    <xf numFmtId="0" fontId="20" fillId="0" borderId="0" xfId="0" applyFont="1"/>
    <xf numFmtId="0" fontId="20" fillId="0" borderId="10" xfId="0" applyFont="1" applyBorder="1"/>
    <xf numFmtId="0" fontId="20" fillId="35" borderId="10" xfId="0" applyFont="1" applyFill="1" applyBorder="1"/>
    <xf numFmtId="0" fontId="20" fillId="0" borderId="10" xfId="0" applyFont="1" applyBorder="1" applyAlignment="1">
      <alignment wrapText="1"/>
    </xf>
    <xf numFmtId="0" fontId="73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/>
    <xf numFmtId="0" fontId="23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3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wrapText="1"/>
    </xf>
    <xf numFmtId="0" fontId="36" fillId="0" borderId="0" xfId="0" applyFont="1" applyAlignment="1">
      <alignment horizontal="center" vertical="center"/>
    </xf>
    <xf numFmtId="0" fontId="83" fillId="0" borderId="10" xfId="47" applyFont="1" applyBorder="1" applyAlignment="1" applyProtection="1">
      <alignment vertical="center" wrapText="1"/>
      <protection locked="0"/>
    </xf>
    <xf numFmtId="0" fontId="20" fillId="0" borderId="10" xfId="0" applyFont="1" applyBorder="1" applyAlignment="1">
      <alignment vertical="center"/>
    </xf>
    <xf numFmtId="0" fontId="42" fillId="0" borderId="10" xfId="0" applyFont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/>
    <xf numFmtId="0" fontId="20" fillId="33" borderId="10" xfId="0" applyFont="1" applyFill="1" applyBorder="1" applyAlignment="1"/>
    <xf numFmtId="0" fontId="20" fillId="0" borderId="10" xfId="42" applyFont="1" applyBorder="1" applyAlignment="1" applyProtection="1">
      <alignment vertical="center" wrapText="1"/>
      <protection locked="0"/>
    </xf>
    <xf numFmtId="0" fontId="88" fillId="0" borderId="0" xfId="49" applyFont="1" applyProtection="1">
      <protection locked="0"/>
    </xf>
    <xf numFmtId="0" fontId="89" fillId="0" borderId="39" xfId="49" applyFont="1" applyBorder="1" applyAlignment="1" applyProtection="1">
      <alignment vertical="top"/>
      <protection locked="0"/>
    </xf>
    <xf numFmtId="0" fontId="89" fillId="0" borderId="42" xfId="49" applyFont="1" applyBorder="1" applyAlignment="1" applyProtection="1">
      <alignment vertical="top"/>
      <protection locked="0"/>
    </xf>
    <xf numFmtId="0" fontId="88" fillId="0" borderId="47" xfId="49" applyFont="1" applyBorder="1" applyAlignment="1" applyProtection="1">
      <alignment vertical="top"/>
      <protection locked="0"/>
    </xf>
    <xf numFmtId="0" fontId="89" fillId="0" borderId="47" xfId="49" applyFont="1" applyBorder="1" applyAlignment="1" applyProtection="1">
      <alignment vertical="top"/>
      <protection locked="0"/>
    </xf>
    <xf numFmtId="0" fontId="88" fillId="0" borderId="50" xfId="49" applyFont="1" applyBorder="1" applyAlignment="1" applyProtection="1">
      <alignment horizontal="left" vertical="top"/>
      <protection locked="0"/>
    </xf>
    <xf numFmtId="0" fontId="89" fillId="0" borderId="43" xfId="49" applyFont="1" applyBorder="1" applyAlignment="1" applyProtection="1">
      <alignment vertical="top"/>
      <protection locked="0"/>
    </xf>
    <xf numFmtId="0" fontId="88" fillId="0" borderId="48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horizontal="left" vertical="top"/>
      <protection locked="0"/>
    </xf>
    <xf numFmtId="0" fontId="88" fillId="0" borderId="48" xfId="49" applyFont="1" applyBorder="1" applyAlignment="1" applyProtection="1">
      <alignment horizontal="left" vertical="top"/>
      <protection locked="0"/>
    </xf>
    <xf numFmtId="0" fontId="88" fillId="0" borderId="51" xfId="49" applyFont="1" applyBorder="1" applyAlignment="1" applyProtection="1">
      <alignment vertical="top"/>
      <protection locked="0"/>
    </xf>
    <xf numFmtId="0" fontId="42" fillId="0" borderId="10" xfId="0" applyFont="1" applyBorder="1"/>
    <xf numFmtId="0" fontId="42" fillId="0" borderId="10" xfId="0" applyFont="1" applyBorder="1" applyAlignment="1">
      <alignment vertical="center" wrapText="1"/>
    </xf>
    <xf numFmtId="0" fontId="90" fillId="0" borderId="10" xfId="47" applyFont="1" applyBorder="1" applyAlignment="1" applyProtection="1">
      <alignment vertical="center" wrapText="1"/>
      <protection locked="0"/>
    </xf>
    <xf numFmtId="0" fontId="39" fillId="37" borderId="10" xfId="42" applyFont="1" applyFill="1" applyBorder="1" applyAlignment="1" applyProtection="1">
      <alignment vertical="center" wrapText="1"/>
      <protection locked="0"/>
    </xf>
    <xf numFmtId="0" fontId="42" fillId="0" borderId="10" xfId="42" applyFont="1" applyBorder="1" applyAlignment="1" applyProtection="1">
      <alignment vertical="center" wrapText="1"/>
      <protection locked="0"/>
    </xf>
    <xf numFmtId="0" fontId="65" fillId="0" borderId="0" xfId="0" applyFont="1" applyAlignment="1" applyProtection="1">
      <alignment horizontal="right"/>
      <protection locked="0"/>
    </xf>
    <xf numFmtId="0" fontId="65" fillId="0" borderId="38" xfId="0" applyFont="1" applyBorder="1" applyAlignment="1" applyProtection="1">
      <alignment horizontal="right"/>
      <protection locked="0"/>
    </xf>
    <xf numFmtId="0" fontId="24" fillId="0" borderId="25" xfId="0" applyFont="1" applyBorder="1"/>
    <xf numFmtId="0" fontId="28" fillId="0" borderId="20" xfId="0" applyFont="1" applyBorder="1" applyAlignment="1">
      <alignment horizontal="center" vertical="center" wrapText="1"/>
    </xf>
    <xf numFmtId="0" fontId="65" fillId="0" borderId="14" xfId="0" applyFont="1" applyBorder="1" applyAlignment="1" applyProtection="1">
      <alignment horizontal="left"/>
      <protection locked="0"/>
    </xf>
    <xf numFmtId="0" fontId="34" fillId="0" borderId="22" xfId="42" applyFont="1" applyBorder="1" applyAlignment="1" applyProtection="1">
      <alignment horizontal="center" vertical="center"/>
      <protection locked="0"/>
    </xf>
    <xf numFmtId="3" fontId="34" fillId="0" borderId="22" xfId="42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42" borderId="10" xfId="0" applyFont="1" applyFill="1" applyBorder="1" applyAlignment="1">
      <alignment wrapText="1"/>
    </xf>
    <xf numFmtId="0" fontId="20" fillId="42" borderId="10" xfId="0" applyFont="1" applyFill="1" applyBorder="1"/>
    <xf numFmtId="0" fontId="20" fillId="42" borderId="0" xfId="0" applyFont="1" applyFill="1"/>
    <xf numFmtId="0" fontId="83" fillId="0" borderId="0" xfId="47" applyFont="1" applyProtection="1">
      <protection locked="0"/>
    </xf>
    <xf numFmtId="166" fontId="83" fillId="0" borderId="0" xfId="47" applyNumberFormat="1" applyFont="1" applyProtection="1">
      <protection locked="0"/>
    </xf>
    <xf numFmtId="0" fontId="83" fillId="0" borderId="0" xfId="47" applyFont="1" applyAlignment="1" applyProtection="1">
      <alignment vertical="center" wrapText="1"/>
      <protection locked="0"/>
    </xf>
    <xf numFmtId="0" fontId="83" fillId="0" borderId="0" xfId="47" applyFont="1" applyAlignment="1" applyProtection="1">
      <alignment vertical="center"/>
      <protection locked="0"/>
    </xf>
    <xf numFmtId="0" fontId="83" fillId="0" borderId="0" xfId="47" applyFont="1" applyAlignment="1" applyProtection="1">
      <alignment horizontal="left" vertical="center" wrapText="1"/>
      <protection locked="0"/>
    </xf>
    <xf numFmtId="3" fontId="20" fillId="42" borderId="0" xfId="0" applyNumberFormat="1" applyFont="1" applyFill="1" applyAlignment="1">
      <alignment horizontal="right" vertical="center"/>
    </xf>
    <xf numFmtId="0" fontId="36" fillId="42" borderId="10" xfId="42" applyFont="1" applyFill="1" applyBorder="1" applyAlignment="1" applyProtection="1">
      <alignment vertical="center" wrapText="1"/>
      <protection locked="0"/>
    </xf>
    <xf numFmtId="0" fontId="34" fillId="42" borderId="0" xfId="42" applyFont="1" applyFill="1" applyProtection="1">
      <protection locked="0"/>
    </xf>
    <xf numFmtId="0" fontId="36" fillId="42" borderId="0" xfId="42" applyFont="1" applyFill="1" applyAlignment="1" applyProtection="1">
      <alignment vertical="center" wrapText="1"/>
      <protection locked="0"/>
    </xf>
    <xf numFmtId="0" fontId="67" fillId="42" borderId="0" xfId="0" applyFont="1" applyFill="1" applyAlignment="1" applyProtection="1">
      <alignment horizontal="center" vertical="center"/>
      <protection locked="0"/>
    </xf>
    <xf numFmtId="3" fontId="67" fillId="42" borderId="0" xfId="0" applyNumberFormat="1" applyFont="1" applyFill="1" applyAlignment="1" applyProtection="1">
      <alignment horizontal="right" vertical="center"/>
      <protection locked="0"/>
    </xf>
    <xf numFmtId="0" fontId="67" fillId="42" borderId="0" xfId="0" applyFont="1" applyFill="1" applyAlignment="1" applyProtection="1">
      <alignment horizontal="right" vertical="center"/>
      <protection locked="0"/>
    </xf>
    <xf numFmtId="0" fontId="20" fillId="42" borderId="10" xfId="0" applyFont="1" applyFill="1" applyBorder="1" applyAlignment="1">
      <alignment vertical="center" wrapText="1"/>
    </xf>
    <xf numFmtId="0" fontId="20" fillId="42" borderId="0" xfId="0" applyFont="1" applyFill="1" applyAlignment="1">
      <alignment vertical="center" wrapText="1"/>
    </xf>
    <xf numFmtId="3" fontId="20" fillId="42" borderId="0" xfId="0" applyNumberFormat="1" applyFont="1" applyFill="1" applyAlignment="1">
      <alignment vertical="center"/>
    </xf>
    <xf numFmtId="0" fontId="20" fillId="42" borderId="0" xfId="0" applyFont="1" applyFill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34" fillId="0" borderId="0" xfId="42" applyFont="1" applyAlignment="1" applyProtection="1">
      <alignment vertical="center" wrapText="1"/>
      <protection locked="0"/>
    </xf>
    <xf numFmtId="3" fontId="34" fillId="0" borderId="0" xfId="42" applyNumberFormat="1" applyFont="1" applyAlignment="1" applyProtection="1">
      <alignment horizontal="right" vertical="center"/>
      <protection locked="0"/>
    </xf>
    <xf numFmtId="0" fontId="34" fillId="42" borderId="0" xfId="42" applyFont="1" applyFill="1" applyAlignment="1" applyProtection="1">
      <alignment horizontal="center" vertical="center"/>
      <protection locked="0"/>
    </xf>
    <xf numFmtId="3" fontId="67" fillId="42" borderId="0" xfId="0" applyNumberFormat="1" applyFont="1" applyFill="1" applyAlignment="1" applyProtection="1">
      <alignment horizontal="right" vertical="center" wrapText="1"/>
      <protection locked="0"/>
    </xf>
    <xf numFmtId="0" fontId="34" fillId="42" borderId="0" xfId="42" applyFont="1" applyFill="1" applyAlignment="1" applyProtection="1">
      <alignment vertical="center"/>
      <protection locked="0"/>
    </xf>
    <xf numFmtId="0" fontId="34" fillId="0" borderId="0" xfId="42" applyFont="1" applyAlignment="1" applyProtection="1">
      <alignment horizontal="left" vertical="center" wrapText="1"/>
      <protection locked="0"/>
    </xf>
    <xf numFmtId="0" fontId="20" fillId="42" borderId="10" xfId="0" applyFont="1" applyFill="1" applyBorder="1" applyAlignment="1">
      <alignment horizontal="left" vertical="center" wrapText="1"/>
    </xf>
    <xf numFmtId="0" fontId="20" fillId="42" borderId="0" xfId="0" applyFont="1" applyFill="1" applyAlignment="1">
      <alignment horizontal="left" vertical="center" wrapText="1"/>
    </xf>
    <xf numFmtId="3" fontId="20" fillId="42" borderId="0" xfId="0" applyNumberFormat="1" applyFont="1" applyFill="1" applyAlignment="1">
      <alignment horizontal="right" vertical="center" wrapText="1"/>
    </xf>
    <xf numFmtId="0" fontId="20" fillId="42" borderId="0" xfId="0" applyFont="1" applyFill="1" applyAlignment="1">
      <alignment horizontal="center" vertical="center" wrapText="1"/>
    </xf>
    <xf numFmtId="0" fontId="36" fillId="35" borderId="10" xfId="0" applyFont="1" applyFill="1" applyBorder="1" applyAlignment="1">
      <alignment horizontal="left" vertical="center" wrapText="1"/>
    </xf>
    <xf numFmtId="0" fontId="36" fillId="34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86" fillId="42" borderId="0" xfId="0" applyFont="1" applyFill="1" applyAlignment="1" applyProtection="1">
      <alignment horizontal="left" vertical="center"/>
      <protection locked="0"/>
    </xf>
    <xf numFmtId="3" fontId="91" fillId="42" borderId="0" xfId="0" applyNumberFormat="1" applyFont="1" applyFill="1" applyAlignment="1" applyProtection="1">
      <alignment horizontal="right" vertical="center"/>
      <protection locked="0"/>
    </xf>
    <xf numFmtId="0" fontId="91" fillId="42" borderId="0" xfId="0" applyFont="1" applyFill="1" applyAlignment="1" applyProtection="1">
      <alignment horizontal="center" vertical="center"/>
      <protection locked="0"/>
    </xf>
    <xf numFmtId="0" fontId="91" fillId="42" borderId="0" xfId="42" applyFont="1" applyFill="1" applyProtection="1">
      <protection locked="0"/>
    </xf>
    <xf numFmtId="0" fontId="91" fillId="0" borderId="0" xfId="42" applyFont="1" applyProtection="1">
      <protection locked="0"/>
    </xf>
    <xf numFmtId="0" fontId="36" fillId="42" borderId="0" xfId="42" applyFont="1" applyFill="1" applyAlignment="1" applyProtection="1">
      <alignment vertical="center"/>
      <protection locked="0"/>
    </xf>
    <xf numFmtId="0" fontId="36" fillId="42" borderId="10" xfId="42" applyFont="1" applyFill="1" applyBorder="1" applyAlignment="1" applyProtection="1">
      <alignment vertical="center"/>
      <protection locked="0"/>
    </xf>
    <xf numFmtId="0" fontId="84" fillId="42" borderId="0" xfId="47" applyFont="1" applyFill="1" applyAlignment="1" applyProtection="1">
      <alignment vertical="center"/>
      <protection locked="0"/>
    </xf>
    <xf numFmtId="3" fontId="39" fillId="42" borderId="0" xfId="43" applyNumberFormat="1" applyFont="1" applyFill="1" applyAlignment="1" applyProtection="1">
      <alignment horizontal="center" vertical="center"/>
      <protection locked="0"/>
    </xf>
    <xf numFmtId="0" fontId="39" fillId="42" borderId="0" xfId="43" applyNumberFormat="1" applyFont="1" applyFill="1" applyAlignment="1" applyProtection="1">
      <alignment horizontal="left" vertical="top"/>
      <protection locked="0"/>
    </xf>
    <xf numFmtId="165" fontId="68" fillId="42" borderId="0" xfId="0" applyNumberFormat="1" applyFont="1" applyFill="1" applyAlignment="1" applyProtection="1">
      <alignment horizontal="right" vertical="center"/>
      <protection locked="0"/>
    </xf>
    <xf numFmtId="164" fontId="67" fillId="42" borderId="0" xfId="0" applyNumberFormat="1" applyFont="1" applyFill="1" applyAlignment="1" applyProtection="1">
      <alignment horizontal="right" vertical="center"/>
      <protection locked="0"/>
    </xf>
    <xf numFmtId="3" fontId="42" fillId="42" borderId="0" xfId="43" applyNumberFormat="1" applyFont="1" applyFill="1" applyAlignment="1" applyProtection="1">
      <alignment vertical="center"/>
      <protection locked="0"/>
    </xf>
    <xf numFmtId="164" fontId="42" fillId="42" borderId="0" xfId="43" applyNumberFormat="1" applyFont="1" applyFill="1" applyAlignment="1" applyProtection="1">
      <alignment vertical="center"/>
      <protection locked="0"/>
    </xf>
    <xf numFmtId="164" fontId="42" fillId="42" borderId="0" xfId="43" applyNumberFormat="1" applyFont="1" applyFill="1" applyAlignment="1" applyProtection="1">
      <alignment vertical="center" wrapText="1"/>
      <protection locked="0"/>
    </xf>
    <xf numFmtId="0" fontId="68" fillId="42" borderId="0" xfId="0" applyFont="1" applyFill="1" applyAlignment="1" applyProtection="1">
      <alignment horizontal="left" vertical="center"/>
      <protection locked="0"/>
    </xf>
    <xf numFmtId="3" fontId="68" fillId="42" borderId="0" xfId="0" applyNumberFormat="1" applyFont="1" applyFill="1" applyAlignment="1" applyProtection="1">
      <alignment horizontal="right" vertical="center"/>
      <protection locked="0"/>
    </xf>
    <xf numFmtId="0" fontId="34" fillId="0" borderId="10" xfId="42" quotePrefix="1" applyFont="1" applyBorder="1" applyAlignment="1" applyProtection="1">
      <alignment horizontal="left" vertical="center" wrapText="1"/>
      <protection locked="0"/>
    </xf>
    <xf numFmtId="0" fontId="20" fillId="0" borderId="10" xfId="42" quotePrefix="1" applyFont="1" applyBorder="1" applyAlignment="1" applyProtection="1">
      <alignment horizontal="left" vertical="center" wrapText="1"/>
      <protection locked="0"/>
    </xf>
    <xf numFmtId="0" fontId="42" fillId="0" borderId="10" xfId="42" quotePrefix="1" applyFont="1" applyBorder="1" applyAlignment="1" applyProtection="1">
      <alignment horizontal="left" vertical="center" wrapText="1"/>
      <protection locked="0"/>
    </xf>
    <xf numFmtId="0" fontId="34" fillId="0" borderId="10" xfId="42" applyFont="1" applyBorder="1" applyAlignment="1" applyProtection="1">
      <alignment horizontal="left" vertical="center" wrapText="1"/>
      <protection locked="0"/>
    </xf>
    <xf numFmtId="0" fontId="36" fillId="42" borderId="10" xfId="42" quotePrefix="1" applyFont="1" applyFill="1" applyBorder="1" applyAlignment="1" applyProtection="1">
      <alignment horizontal="left" vertical="center" wrapText="1"/>
      <protection locked="0"/>
    </xf>
    <xf numFmtId="0" fontId="35" fillId="34" borderId="10" xfId="0" applyFont="1" applyFill="1" applyBorder="1"/>
    <xf numFmtId="0" fontId="35" fillId="0" borderId="0" xfId="0" applyFont="1"/>
    <xf numFmtId="0" fontId="67" fillId="42" borderId="0" xfId="0" applyFont="1" applyFill="1" applyAlignment="1" applyProtection="1">
      <alignment horizontal="left" vertical="center"/>
      <protection locked="0"/>
    </xf>
    <xf numFmtId="0" fontId="36" fillId="42" borderId="0" xfId="0" applyFont="1" applyFill="1" applyAlignment="1">
      <alignment vertical="center" wrapText="1"/>
    </xf>
    <xf numFmtId="3" fontId="36" fillId="42" borderId="0" xfId="0" applyNumberFormat="1" applyFont="1" applyFill="1" applyAlignment="1">
      <alignment vertical="center"/>
    </xf>
    <xf numFmtId="0" fontId="36" fillId="42" borderId="0" xfId="0" applyFont="1" applyFill="1" applyAlignment="1">
      <alignment horizontal="center" vertical="center"/>
    </xf>
    <xf numFmtId="0" fontId="36" fillId="42" borderId="0" xfId="0" applyFont="1" applyFill="1"/>
    <xf numFmtId="164" fontId="91" fillId="0" borderId="0" xfId="43" applyNumberFormat="1" applyFont="1" applyAlignment="1" applyProtection="1">
      <alignment vertical="center"/>
      <protection locked="0"/>
    </xf>
    <xf numFmtId="0" fontId="36" fillId="42" borderId="2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3" fillId="0" borderId="0" xfId="51" applyFont="1" applyAlignment="1" applyProtection="1">
      <alignment horizontal="left" vertical="center"/>
      <protection locked="0"/>
    </xf>
    <xf numFmtId="0" fontId="90" fillId="0" borderId="0" xfId="51" applyFont="1" applyAlignment="1" applyProtection="1">
      <alignment vertical="center"/>
      <protection locked="0"/>
    </xf>
    <xf numFmtId="0" fontId="94" fillId="0" borderId="0" xfId="51" applyFont="1" applyAlignment="1" applyProtection="1">
      <alignment horizontal="centerContinuous" vertical="center"/>
      <protection locked="0"/>
    </xf>
    <xf numFmtId="0" fontId="90" fillId="0" borderId="0" xfId="51" applyFont="1" applyAlignment="1" applyProtection="1">
      <alignment horizontal="left" vertical="center"/>
      <protection locked="0"/>
    </xf>
    <xf numFmtId="3" fontId="90" fillId="0" borderId="0" xfId="51" applyNumberFormat="1" applyFont="1" applyAlignment="1" applyProtection="1">
      <alignment vertical="center"/>
      <protection locked="0"/>
    </xf>
    <xf numFmtId="0" fontId="97" fillId="0" borderId="0" xfId="52" applyNumberFormat="1" applyFont="1" applyFill="1" applyBorder="1" applyAlignment="1" applyProtection="1">
      <protection locked="0"/>
    </xf>
    <xf numFmtId="0" fontId="97" fillId="0" borderId="0" xfId="52" applyNumberFormat="1" applyFont="1" applyFill="1" applyBorder="1" applyProtection="1">
      <protection locked="0"/>
    </xf>
    <xf numFmtId="0" fontId="96" fillId="42" borderId="0" xfId="52" applyNumberFormat="1" applyFont="1" applyFill="1" applyBorder="1" applyAlignment="1" applyProtection="1">
      <alignment horizontal="center" vertical="center"/>
      <protection locked="0"/>
    </xf>
    <xf numFmtId="0" fontId="97" fillId="42" borderId="0" xfId="52" applyNumberFormat="1" applyFont="1" applyFill="1" applyBorder="1" applyAlignment="1" applyProtection="1">
      <protection locked="0"/>
    </xf>
    <xf numFmtId="0" fontId="97" fillId="42" borderId="0" xfId="52" applyNumberFormat="1" applyFont="1" applyFill="1" applyBorder="1" applyProtection="1">
      <protection locked="0"/>
    </xf>
    <xf numFmtId="0" fontId="98" fillId="0" borderId="0" xfId="52" applyNumberFormat="1" applyFont="1" applyFill="1" applyBorder="1" applyAlignment="1" applyProtection="1"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/>
      <protection locked="0"/>
    </xf>
    <xf numFmtId="0" fontId="98" fillId="0" borderId="0" xfId="52" applyNumberFormat="1" applyFont="1" applyFill="1" applyBorder="1" applyProtection="1">
      <protection locked="0"/>
    </xf>
    <xf numFmtId="0" fontId="22" fillId="0" borderId="0" xfId="47" applyFont="1" applyAlignment="1" applyProtection="1">
      <alignment vertical="center"/>
      <protection locked="0"/>
    </xf>
    <xf numFmtId="0" fontId="101" fillId="0" borderId="0" xfId="47" applyFont="1" applyAlignment="1" applyProtection="1">
      <alignment vertical="center"/>
      <protection locked="0"/>
    </xf>
    <xf numFmtId="0" fontId="101" fillId="0" borderId="0" xfId="47" applyFont="1" applyAlignment="1" applyProtection="1">
      <alignment vertical="center" wrapText="1"/>
      <protection locked="0"/>
    </xf>
    <xf numFmtId="0" fontId="102" fillId="0" borderId="54" xfId="18" applyFont="1" applyFill="1" applyBorder="1" applyAlignment="1" applyProtection="1">
      <alignment vertical="center"/>
      <protection locked="0"/>
    </xf>
    <xf numFmtId="0" fontId="102" fillId="0" borderId="54" xfId="21" applyFont="1" applyFill="1" applyBorder="1" applyAlignment="1" applyProtection="1">
      <alignment horizontal="center" vertical="center" wrapText="1"/>
      <protection locked="0"/>
    </xf>
    <xf numFmtId="0" fontId="22" fillId="0" borderId="54" xfId="47" applyFont="1" applyBorder="1" applyAlignment="1" applyProtection="1">
      <alignment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101" fillId="0" borderId="0" xfId="47" applyFont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4" fontId="64" fillId="0" borderId="0" xfId="0" applyNumberFormat="1" applyFont="1" applyAlignment="1" applyProtection="1">
      <alignment horizontal="center" vertical="center"/>
      <protection locked="0"/>
    </xf>
    <xf numFmtId="14" fontId="23" fillId="0" borderId="0" xfId="0" applyNumberFormat="1" applyFont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31" fillId="36" borderId="20" xfId="0" applyFont="1" applyFill="1" applyBorder="1" applyAlignment="1">
      <alignment horizontal="center" vertical="center"/>
    </xf>
    <xf numFmtId="0" fontId="31" fillId="36" borderId="21" xfId="0" applyFont="1" applyFill="1" applyBorder="1" applyAlignment="1">
      <alignment horizontal="center" vertical="center" wrapText="1"/>
    </xf>
    <xf numFmtId="0" fontId="31" fillId="36" borderId="22" xfId="0" applyFont="1" applyFill="1" applyBorder="1" applyAlignment="1">
      <alignment horizontal="center" vertical="center"/>
    </xf>
    <xf numFmtId="0" fontId="31" fillId="36" borderId="0" xfId="0" applyFont="1" applyFill="1" applyAlignment="1">
      <alignment horizontal="center" vertical="center" wrapText="1"/>
    </xf>
    <xf numFmtId="0" fontId="31" fillId="36" borderId="55" xfId="0" applyFont="1" applyFill="1" applyBorder="1" applyAlignment="1">
      <alignment horizontal="center" vertical="center" wrapText="1"/>
    </xf>
    <xf numFmtId="0" fontId="31" fillId="36" borderId="55" xfId="0" applyFont="1" applyFill="1" applyBorder="1" applyAlignment="1">
      <alignment horizontal="center" vertical="center"/>
    </xf>
    <xf numFmtId="0" fontId="104" fillId="0" borderId="55" xfId="0" applyFont="1" applyBorder="1" applyAlignment="1">
      <alignment horizontal="center" vertical="center"/>
    </xf>
    <xf numFmtId="0" fontId="104" fillId="0" borderId="55" xfId="0" applyFont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22" fillId="0" borderId="55" xfId="0" applyFont="1" applyBorder="1" applyAlignment="1">
      <alignment vertical="center" wrapText="1"/>
    </xf>
    <xf numFmtId="0" fontId="22" fillId="0" borderId="55" xfId="0" applyFont="1" applyBorder="1" applyAlignment="1">
      <alignment horizontal="left" vertical="center" wrapText="1"/>
    </xf>
    <xf numFmtId="0" fontId="104" fillId="0" borderId="0" xfId="0" applyFont="1"/>
    <xf numFmtId="0" fontId="24" fillId="0" borderId="55" xfId="0" applyFont="1" applyBorder="1" applyAlignment="1">
      <alignment horizontal="center" vertical="center"/>
    </xf>
    <xf numFmtId="0" fontId="99" fillId="36" borderId="55" xfId="0" applyFont="1" applyFill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104" fillId="43" borderId="55" xfId="0" applyFont="1" applyFill="1" applyBorder="1" applyAlignment="1">
      <alignment horizontal="center" vertical="center"/>
    </xf>
    <xf numFmtId="0" fontId="28" fillId="43" borderId="55" xfId="0" applyFont="1" applyFill="1" applyBorder="1" applyAlignment="1">
      <alignment horizontal="center" vertical="center"/>
    </xf>
    <xf numFmtId="0" fontId="99" fillId="36" borderId="55" xfId="0" applyFont="1" applyFill="1" applyBorder="1" applyAlignment="1">
      <alignment vertical="center"/>
    </xf>
    <xf numFmtId="0" fontId="28" fillId="43" borderId="55" xfId="0" applyFont="1" applyFill="1" applyBorder="1" applyAlignment="1">
      <alignment vertical="center"/>
    </xf>
    <xf numFmtId="14" fontId="22" fillId="0" borderId="0" xfId="0" applyNumberFormat="1" applyFont="1"/>
    <xf numFmtId="0" fontId="20" fillId="0" borderId="0" xfId="47" applyFont="1" applyAlignment="1" applyProtection="1">
      <alignment horizontal="left" vertical="center"/>
      <protection locked="0"/>
    </xf>
    <xf numFmtId="0" fontId="40" fillId="0" borderId="0" xfId="47" applyFont="1" applyAlignment="1" applyProtection="1">
      <alignment horizontal="left" vertical="center"/>
      <protection locked="0"/>
    </xf>
    <xf numFmtId="0" fontId="106" fillId="0" borderId="0" xfId="0" applyFont="1" applyAlignment="1" applyProtection="1">
      <alignment horizontal="left" vertical="center"/>
    </xf>
    <xf numFmtId="0" fontId="108" fillId="0" borderId="0" xfId="0" applyFont="1" applyAlignment="1" applyProtection="1">
      <alignment horizontal="left"/>
    </xf>
    <xf numFmtId="14" fontId="109" fillId="0" borderId="61" xfId="0" applyNumberFormat="1" applyFont="1" applyBorder="1" applyAlignment="1" applyProtection="1">
      <alignment horizontal="center"/>
    </xf>
    <xf numFmtId="0" fontId="109" fillId="0" borderId="62" xfId="0" applyFont="1" applyBorder="1" applyAlignment="1" applyProtection="1">
      <alignment horizontal="left"/>
    </xf>
    <xf numFmtId="0" fontId="109" fillId="0" borderId="64" xfId="0" applyFont="1" applyBorder="1" applyAlignment="1" applyProtection="1">
      <alignment horizontal="left"/>
    </xf>
    <xf numFmtId="0" fontId="109" fillId="0" borderId="62" xfId="0" applyFont="1" applyBorder="1" applyAlignment="1" applyProtection="1">
      <alignment horizontal="right"/>
    </xf>
    <xf numFmtId="0" fontId="109" fillId="0" borderId="63" xfId="0" applyFont="1" applyBorder="1" applyAlignment="1" applyProtection="1">
      <alignment horizontal="left"/>
    </xf>
    <xf numFmtId="0" fontId="109" fillId="0" borderId="0" xfId="0" applyFont="1" applyAlignment="1" applyProtection="1">
      <alignment horizontal="right"/>
    </xf>
    <xf numFmtId="10" fontId="109" fillId="0" borderId="66" xfId="0" applyNumberFormat="1" applyFont="1" applyBorder="1" applyAlignment="1" applyProtection="1">
      <alignment horizontal="right"/>
    </xf>
    <xf numFmtId="0" fontId="109" fillId="0" borderId="61" xfId="0" applyFont="1" applyBorder="1" applyAlignment="1" applyProtection="1">
      <alignment horizontal="center"/>
    </xf>
    <xf numFmtId="0" fontId="109" fillId="0" borderId="66" xfId="0" applyFont="1" applyBorder="1" applyAlignment="1" applyProtection="1">
      <alignment horizontal="left" vertical="center"/>
    </xf>
    <xf numFmtId="0" fontId="109" fillId="0" borderId="63" xfId="0" applyFont="1" applyBorder="1" applyAlignment="1" applyProtection="1">
      <alignment horizontal="center" vertical="center"/>
    </xf>
    <xf numFmtId="0" fontId="109" fillId="0" borderId="66" xfId="0" applyFont="1" applyBorder="1" applyAlignment="1" applyProtection="1">
      <alignment horizontal="left"/>
    </xf>
    <xf numFmtId="14" fontId="110" fillId="0" borderId="61" xfId="0" applyNumberFormat="1" applyFont="1" applyBorder="1" applyAlignment="1" applyProtection="1">
      <alignment horizontal="center" vertical="center"/>
    </xf>
    <xf numFmtId="0" fontId="110" fillId="0" borderId="61" xfId="0" applyFont="1" applyBorder="1" applyAlignment="1" applyProtection="1">
      <alignment horizontal="center" vertical="center"/>
    </xf>
    <xf numFmtId="0" fontId="111" fillId="0" borderId="69" xfId="0" applyFont="1" applyBorder="1" applyAlignment="1" applyProtection="1">
      <alignment horizontal="left" vertical="center"/>
    </xf>
    <xf numFmtId="0" fontId="112" fillId="0" borderId="69" xfId="0" applyFont="1" applyBorder="1" applyAlignment="1" applyProtection="1">
      <alignment horizontal="left" vertical="center" wrapText="1"/>
    </xf>
    <xf numFmtId="0" fontId="107" fillId="0" borderId="69" xfId="0" applyFont="1" applyBorder="1" applyAlignment="1" applyProtection="1">
      <alignment horizontal="left" vertical="center"/>
    </xf>
    <xf numFmtId="0" fontId="107" fillId="0" borderId="0" xfId="0" applyFont="1" applyAlignment="1" applyProtection="1">
      <alignment horizontal="left"/>
    </xf>
    <xf numFmtId="3" fontId="109" fillId="44" borderId="69" xfId="0" applyNumberFormat="1" applyFont="1" applyFill="1" applyBorder="1" applyAlignment="1" applyProtection="1">
      <alignment horizontal="right" vertical="center"/>
    </xf>
    <xf numFmtId="3" fontId="109" fillId="0" borderId="69" xfId="0" applyNumberFormat="1" applyFont="1" applyBorder="1" applyAlignment="1" applyProtection="1">
      <alignment horizontal="right" vertical="center"/>
    </xf>
    <xf numFmtId="3" fontId="113" fillId="0" borderId="69" xfId="0" applyNumberFormat="1" applyFont="1" applyBorder="1" applyAlignment="1" applyProtection="1">
      <alignment horizontal="right" vertical="center"/>
    </xf>
    <xf numFmtId="3" fontId="114" fillId="45" borderId="69" xfId="0" applyNumberFormat="1" applyFont="1" applyFill="1" applyBorder="1" applyAlignment="1" applyProtection="1">
      <alignment horizontal="right" vertical="center"/>
    </xf>
    <xf numFmtId="3" fontId="115" fillId="0" borderId="69" xfId="0" applyNumberFormat="1" applyFont="1" applyBorder="1" applyAlignment="1" applyProtection="1">
      <alignment horizontal="right" vertical="center"/>
    </xf>
    <xf numFmtId="3" fontId="116" fillId="46" borderId="69" xfId="0" applyNumberFormat="1" applyFont="1" applyFill="1" applyBorder="1" applyAlignment="1" applyProtection="1">
      <alignment horizontal="right" vertical="center"/>
    </xf>
    <xf numFmtId="3" fontId="110" fillId="47" borderId="69" xfId="0" applyNumberFormat="1" applyFont="1" applyFill="1" applyBorder="1" applyAlignment="1" applyProtection="1">
      <alignment horizontal="right" vertical="center"/>
    </xf>
    <xf numFmtId="3" fontId="116" fillId="46" borderId="69" xfId="0" applyNumberFormat="1" applyFont="1" applyFill="1" applyBorder="1" applyAlignment="1" applyProtection="1">
      <alignment horizontal="right"/>
    </xf>
    <xf numFmtId="3" fontId="110" fillId="47" borderId="69" xfId="0" applyNumberFormat="1" applyFont="1" applyFill="1" applyBorder="1" applyAlignment="1" applyProtection="1">
      <alignment horizontal="right"/>
    </xf>
    <xf numFmtId="3" fontId="115" fillId="0" borderId="69" xfId="0" applyNumberFormat="1" applyFont="1" applyBorder="1" applyAlignment="1" applyProtection="1">
      <alignment horizontal="right"/>
    </xf>
    <xf numFmtId="0" fontId="115" fillId="48" borderId="69" xfId="0" applyFont="1" applyFill="1" applyBorder="1" applyAlignment="1" applyProtection="1">
      <alignment horizontal="left"/>
    </xf>
    <xf numFmtId="0" fontId="115" fillId="0" borderId="69" xfId="0" applyFont="1" applyBorder="1" applyAlignment="1" applyProtection="1">
      <alignment horizontal="right"/>
    </xf>
    <xf numFmtId="0" fontId="115" fillId="47" borderId="69" xfId="0" applyFont="1" applyFill="1" applyBorder="1" applyAlignment="1" applyProtection="1">
      <alignment horizontal="right"/>
    </xf>
    <xf numFmtId="0" fontId="115" fillId="49" borderId="69" xfId="0" applyFont="1" applyFill="1" applyBorder="1" applyAlignment="1" applyProtection="1">
      <alignment horizontal="left"/>
    </xf>
    <xf numFmtId="0" fontId="115" fillId="46" borderId="69" xfId="0" applyFont="1" applyFill="1" applyBorder="1" applyAlignment="1" applyProtection="1">
      <alignment horizontal="right"/>
    </xf>
    <xf numFmtId="0" fontId="115" fillId="49" borderId="0" xfId="0" applyFont="1" applyFill="1" applyAlignment="1" applyProtection="1">
      <alignment horizontal="left"/>
    </xf>
    <xf numFmtId="14" fontId="110" fillId="0" borderId="61" xfId="0" applyNumberFormat="1" applyFont="1" applyBorder="1" applyAlignment="1" applyProtection="1">
      <alignment horizontal="right"/>
    </xf>
    <xf numFmtId="14" fontId="110" fillId="0" borderId="61" xfId="0" applyNumberFormat="1" applyFont="1" applyBorder="1" applyAlignment="1" applyProtection="1">
      <alignment horizontal="right" vertical="center"/>
    </xf>
    <xf numFmtId="3" fontId="110" fillId="46" borderId="69" xfId="0" applyNumberFormat="1" applyFont="1" applyFill="1" applyBorder="1" applyAlignment="1" applyProtection="1">
      <alignment horizontal="right" vertical="center"/>
    </xf>
    <xf numFmtId="0" fontId="115" fillId="0" borderId="64" xfId="0" applyFont="1" applyBorder="1" applyAlignment="1" applyProtection="1">
      <alignment horizontal="right" vertical="center"/>
    </xf>
    <xf numFmtId="3" fontId="115" fillId="0" borderId="64" xfId="0" applyNumberFormat="1" applyFont="1" applyBorder="1" applyAlignment="1" applyProtection="1">
      <alignment horizontal="right" vertical="center"/>
    </xf>
    <xf numFmtId="0" fontId="115" fillId="0" borderId="69" xfId="0" applyFont="1" applyBorder="1" applyAlignment="1" applyProtection="1">
      <alignment horizontal="right" vertical="center"/>
    </xf>
    <xf numFmtId="0" fontId="115" fillId="47" borderId="69" xfId="0" applyFont="1" applyFill="1" applyBorder="1" applyAlignment="1" applyProtection="1">
      <alignment horizontal="right" vertical="center"/>
    </xf>
    <xf numFmtId="3" fontId="115" fillId="47" borderId="69" xfId="0" applyNumberFormat="1" applyFont="1" applyFill="1" applyBorder="1" applyAlignment="1" applyProtection="1">
      <alignment horizontal="right" vertical="center"/>
    </xf>
    <xf numFmtId="0" fontId="115" fillId="0" borderId="69" xfId="0" applyFont="1" applyBorder="1" applyAlignment="1" applyProtection="1">
      <alignment horizontal="left" vertical="center"/>
    </xf>
    <xf numFmtId="0" fontId="115" fillId="46" borderId="69" xfId="0" applyFont="1" applyFill="1" applyBorder="1" applyAlignment="1" applyProtection="1">
      <alignment horizontal="right" vertical="center"/>
    </xf>
    <xf numFmtId="3" fontId="115" fillId="46" borderId="69" xfId="0" applyNumberFormat="1" applyFont="1" applyFill="1" applyBorder="1" applyAlignment="1" applyProtection="1">
      <alignment horizontal="right" vertical="center"/>
    </xf>
    <xf numFmtId="3" fontId="115" fillId="47" borderId="69" xfId="0" applyNumberFormat="1" applyFont="1" applyFill="1" applyBorder="1" applyAlignment="1" applyProtection="1">
      <alignment horizontal="right"/>
    </xf>
    <xf numFmtId="3" fontId="115" fillId="46" borderId="69" xfId="0" applyNumberFormat="1" applyFont="1" applyFill="1" applyBorder="1" applyAlignment="1" applyProtection="1">
      <alignment horizontal="right"/>
    </xf>
    <xf numFmtId="0" fontId="115" fillId="0" borderId="69" xfId="0" applyFont="1" applyBorder="1" applyAlignment="1" applyProtection="1">
      <alignment horizontal="center"/>
    </xf>
    <xf numFmtId="0" fontId="110" fillId="47" borderId="69" xfId="0" applyFont="1" applyFill="1" applyBorder="1" applyAlignment="1" applyProtection="1">
      <alignment horizontal="center"/>
    </xf>
    <xf numFmtId="0" fontId="116" fillId="46" borderId="69" xfId="0" applyFont="1" applyFill="1" applyBorder="1" applyAlignment="1" applyProtection="1">
      <alignment horizontal="center" vertical="center"/>
    </xf>
    <xf numFmtId="0" fontId="115" fillId="0" borderId="69" xfId="0" applyFont="1" applyBorder="1" applyAlignment="1" applyProtection="1">
      <alignment horizontal="left"/>
    </xf>
    <xf numFmtId="0" fontId="115" fillId="47" borderId="69" xfId="0" applyFont="1" applyFill="1" applyBorder="1" applyAlignment="1" applyProtection="1">
      <alignment horizontal="left"/>
    </xf>
    <xf numFmtId="0" fontId="115" fillId="46" borderId="69" xfId="0" applyFont="1" applyFill="1" applyBorder="1" applyAlignment="1" applyProtection="1">
      <alignment horizontal="left"/>
    </xf>
    <xf numFmtId="0" fontId="115" fillId="0" borderId="0" xfId="0" applyFont="1" applyAlignment="1" applyProtection="1">
      <alignment horizontal="left"/>
    </xf>
    <xf numFmtId="0" fontId="115" fillId="0" borderId="69" xfId="0" applyFont="1" applyBorder="1" applyAlignment="1" applyProtection="1">
      <alignment horizontal="center" vertical="center"/>
    </xf>
    <xf numFmtId="0" fontId="110" fillId="47" borderId="69" xfId="0" applyFont="1" applyFill="1" applyBorder="1" applyAlignment="1" applyProtection="1">
      <alignment horizontal="center" vertical="center"/>
    </xf>
    <xf numFmtId="0" fontId="110" fillId="46" borderId="69" xfId="0" applyFont="1" applyFill="1" applyBorder="1" applyAlignment="1" applyProtection="1">
      <alignment horizontal="center" vertical="center"/>
    </xf>
    <xf numFmtId="0" fontId="115" fillId="47" borderId="69" xfId="0" applyFont="1" applyFill="1" applyBorder="1" applyAlignment="1" applyProtection="1">
      <alignment horizontal="center" vertical="center"/>
    </xf>
    <xf numFmtId="0" fontId="115" fillId="46" borderId="69" xfId="0" applyFont="1" applyFill="1" applyBorder="1" applyAlignment="1" applyProtection="1">
      <alignment horizontal="center" vertical="center"/>
    </xf>
    <xf numFmtId="0" fontId="115" fillId="0" borderId="69" xfId="0" applyFont="1" applyBorder="1" applyAlignment="1" applyProtection="1">
      <alignment horizontal="left" vertical="center" wrapText="1"/>
    </xf>
    <xf numFmtId="0" fontId="115" fillId="47" borderId="69" xfId="0" applyFont="1" applyFill="1" applyBorder="1" applyAlignment="1" applyProtection="1">
      <alignment horizontal="left" vertical="center" wrapText="1"/>
    </xf>
    <xf numFmtId="0" fontId="115" fillId="46" borderId="69" xfId="0" applyFont="1" applyFill="1" applyBorder="1" applyAlignment="1" applyProtection="1">
      <alignment horizontal="left" vertical="center" wrapText="1"/>
    </xf>
    <xf numFmtId="14" fontId="110" fillId="0" borderId="61" xfId="0" applyNumberFormat="1" applyFont="1" applyBorder="1" applyAlignment="1" applyProtection="1">
      <alignment horizontal="center"/>
    </xf>
    <xf numFmtId="0" fontId="110" fillId="0" borderId="68" xfId="0" applyFont="1" applyBorder="1" applyAlignment="1" applyProtection="1">
      <alignment horizontal="left"/>
    </xf>
    <xf numFmtId="0" fontId="118" fillId="0" borderId="69" xfId="0" applyFont="1" applyBorder="1" applyAlignment="1" applyProtection="1">
      <alignment horizontal="left" vertical="center"/>
    </xf>
    <xf numFmtId="0" fontId="115" fillId="0" borderId="65" xfId="0" applyFont="1" applyBorder="1" applyAlignment="1" applyProtection="1">
      <alignment horizontal="left" vertical="center"/>
    </xf>
    <xf numFmtId="3" fontId="115" fillId="0" borderId="70" xfId="0" applyNumberFormat="1" applyFont="1" applyBorder="1" applyAlignment="1" applyProtection="1">
      <alignment horizontal="right" vertical="center"/>
    </xf>
    <xf numFmtId="0" fontId="115" fillId="0" borderId="71" xfId="0" applyFont="1" applyBorder="1" applyAlignment="1" applyProtection="1">
      <alignment horizontal="left" vertical="center"/>
    </xf>
    <xf numFmtId="3" fontId="115" fillId="0" borderId="65" xfId="0" applyNumberFormat="1" applyFont="1" applyBorder="1" applyAlignment="1" applyProtection="1">
      <alignment horizontal="right" vertical="center"/>
    </xf>
    <xf numFmtId="3" fontId="115" fillId="50" borderId="65" xfId="0" applyNumberFormat="1" applyFont="1" applyFill="1" applyBorder="1" applyAlignment="1" applyProtection="1">
      <alignment horizontal="right" vertical="center"/>
    </xf>
    <xf numFmtId="3" fontId="115" fillId="50" borderId="69" xfId="0" applyNumberFormat="1" applyFont="1" applyFill="1" applyBorder="1" applyAlignment="1" applyProtection="1">
      <alignment horizontal="right" vertical="center"/>
    </xf>
    <xf numFmtId="0" fontId="115" fillId="50" borderId="69" xfId="0" applyFont="1" applyFill="1" applyBorder="1" applyAlignment="1" applyProtection="1">
      <alignment horizontal="center" vertical="center"/>
    </xf>
    <xf numFmtId="3" fontId="115" fillId="45" borderId="65" xfId="0" applyNumberFormat="1" applyFont="1" applyFill="1" applyBorder="1" applyAlignment="1" applyProtection="1">
      <alignment horizontal="right" vertical="center"/>
    </xf>
    <xf numFmtId="3" fontId="115" fillId="45" borderId="69" xfId="0" applyNumberFormat="1" applyFont="1" applyFill="1" applyBorder="1" applyAlignment="1" applyProtection="1">
      <alignment horizontal="right" vertical="center"/>
    </xf>
    <xf numFmtId="0" fontId="115" fillId="45" borderId="69" xfId="0" applyFont="1" applyFill="1" applyBorder="1" applyAlignment="1" applyProtection="1">
      <alignment horizontal="center" vertical="center"/>
    </xf>
    <xf numFmtId="3" fontId="115" fillId="0" borderId="65" xfId="0" applyNumberFormat="1" applyFont="1" applyBorder="1" applyAlignment="1" applyProtection="1">
      <alignment horizontal="center" vertical="center"/>
    </xf>
    <xf numFmtId="3" fontId="115" fillId="0" borderId="69" xfId="0" applyNumberFormat="1" applyFont="1" applyBorder="1" applyAlignment="1" applyProtection="1">
      <alignment horizontal="center" vertical="center"/>
    </xf>
    <xf numFmtId="3" fontId="115" fillId="50" borderId="65" xfId="0" applyNumberFormat="1" applyFont="1" applyFill="1" applyBorder="1" applyAlignment="1" applyProtection="1">
      <alignment horizontal="center" vertical="center"/>
    </xf>
    <xf numFmtId="3" fontId="115" fillId="50" borderId="69" xfId="0" applyNumberFormat="1" applyFont="1" applyFill="1" applyBorder="1" applyAlignment="1" applyProtection="1">
      <alignment horizontal="center" vertical="center"/>
    </xf>
    <xf numFmtId="3" fontId="115" fillId="45" borderId="65" xfId="0" applyNumberFormat="1" applyFont="1" applyFill="1" applyBorder="1" applyAlignment="1" applyProtection="1">
      <alignment horizontal="center" vertical="center"/>
    </xf>
    <xf numFmtId="3" fontId="115" fillId="45" borderId="69" xfId="0" applyNumberFormat="1" applyFont="1" applyFill="1" applyBorder="1" applyAlignment="1" applyProtection="1">
      <alignment horizontal="center" vertical="center"/>
    </xf>
    <xf numFmtId="0" fontId="115" fillId="0" borderId="71" xfId="0" applyFont="1" applyBorder="1" applyAlignment="1" applyProtection="1">
      <alignment horizontal="center" vertical="center"/>
    </xf>
    <xf numFmtId="3" fontId="115" fillId="0" borderId="72" xfId="0" applyNumberFormat="1" applyFont="1" applyBorder="1" applyAlignment="1" applyProtection="1">
      <alignment horizontal="right" vertical="center"/>
    </xf>
    <xf numFmtId="0" fontId="110" fillId="0" borderId="68" xfId="0" applyFont="1" applyBorder="1" applyAlignment="1" applyProtection="1">
      <alignment horizontal="left" vertical="center"/>
    </xf>
    <xf numFmtId="0" fontId="110" fillId="47" borderId="69" xfId="0" applyFont="1" applyFill="1" applyBorder="1" applyAlignment="1" applyProtection="1">
      <alignment horizontal="left"/>
    </xf>
    <xf numFmtId="3" fontId="115" fillId="49" borderId="65" xfId="0" applyNumberFormat="1" applyFont="1" applyFill="1" applyBorder="1" applyAlignment="1" applyProtection="1">
      <alignment horizontal="right" vertical="center"/>
    </xf>
    <xf numFmtId="0" fontId="115" fillId="0" borderId="69" xfId="0" applyFont="1" applyBorder="1" applyAlignment="1" applyProtection="1">
      <alignment horizontal="left" wrapText="1"/>
    </xf>
    <xf numFmtId="0" fontId="110" fillId="0" borderId="69" xfId="0" applyFont="1" applyBorder="1" applyAlignment="1" applyProtection="1">
      <alignment horizontal="left"/>
    </xf>
    <xf numFmtId="0" fontId="110" fillId="49" borderId="69" xfId="0" applyFont="1" applyFill="1" applyBorder="1" applyAlignment="1" applyProtection="1">
      <alignment horizontal="left"/>
    </xf>
    <xf numFmtId="0" fontId="115" fillId="50" borderId="69" xfId="0" applyFont="1" applyFill="1" applyBorder="1" applyAlignment="1" applyProtection="1">
      <alignment horizontal="right" vertical="center"/>
    </xf>
    <xf numFmtId="0" fontId="115" fillId="49" borderId="69" xfId="0" applyFont="1" applyFill="1" applyBorder="1" applyAlignment="1" applyProtection="1">
      <alignment horizontal="center" vertical="center"/>
    </xf>
    <xf numFmtId="3" fontId="115" fillId="49" borderId="69" xfId="0" applyNumberFormat="1" applyFont="1" applyFill="1" applyBorder="1" applyAlignment="1" applyProtection="1">
      <alignment horizontal="right" vertical="center"/>
    </xf>
    <xf numFmtId="0" fontId="115" fillId="49" borderId="69" xfId="0" applyFont="1" applyFill="1" applyBorder="1" applyAlignment="1" applyProtection="1">
      <alignment horizontal="right" vertical="center"/>
    </xf>
    <xf numFmtId="0" fontId="115" fillId="45" borderId="69" xfId="0" applyFont="1" applyFill="1" applyBorder="1" applyAlignment="1" applyProtection="1">
      <alignment horizontal="right" vertical="center"/>
    </xf>
    <xf numFmtId="0" fontId="115" fillId="0" borderId="0" xfId="0" applyFont="1" applyAlignment="1" applyProtection="1">
      <alignment horizontal="left" vertical="center"/>
    </xf>
    <xf numFmtId="0" fontId="115" fillId="45" borderId="69" xfId="0" applyFont="1" applyFill="1" applyBorder="1" applyAlignment="1" applyProtection="1">
      <alignment horizontal="left" vertical="center"/>
    </xf>
    <xf numFmtId="0" fontId="115" fillId="49" borderId="69" xfId="0" applyFont="1" applyFill="1" applyBorder="1" applyAlignment="1" applyProtection="1">
      <alignment horizontal="left" vertical="center" wrapText="1"/>
    </xf>
    <xf numFmtId="0" fontId="115" fillId="47" borderId="69" xfId="0" applyFont="1" applyFill="1" applyBorder="1" applyAlignment="1" applyProtection="1">
      <alignment horizontal="left" vertical="center"/>
    </xf>
    <xf numFmtId="3" fontId="115" fillId="50" borderId="70" xfId="0" applyNumberFormat="1" applyFont="1" applyFill="1" applyBorder="1" applyAlignment="1" applyProtection="1">
      <alignment horizontal="right" vertical="center"/>
    </xf>
    <xf numFmtId="3" fontId="115" fillId="50" borderId="69" xfId="0" applyNumberFormat="1" applyFont="1" applyFill="1" applyBorder="1" applyAlignment="1" applyProtection="1">
      <alignment horizontal="right" vertical="center" wrapText="1"/>
    </xf>
    <xf numFmtId="3" fontId="115" fillId="50" borderId="70" xfId="0" applyNumberFormat="1" applyFont="1" applyFill="1" applyBorder="1" applyAlignment="1" applyProtection="1">
      <alignment horizontal="center" vertical="center"/>
    </xf>
    <xf numFmtId="167" fontId="115" fillId="0" borderId="69" xfId="0" applyNumberFormat="1" applyFont="1" applyBorder="1" applyAlignment="1" applyProtection="1">
      <alignment horizontal="right" vertical="center" wrapText="1"/>
    </xf>
    <xf numFmtId="0" fontId="115" fillId="0" borderId="69" xfId="0" applyFont="1" applyBorder="1" applyAlignment="1" applyProtection="1">
      <alignment horizontal="right" vertical="center" wrapText="1"/>
    </xf>
    <xf numFmtId="167" fontId="110" fillId="47" borderId="69" xfId="0" applyNumberFormat="1" applyFont="1" applyFill="1" applyBorder="1" applyAlignment="1" applyProtection="1">
      <alignment horizontal="right" vertical="center" wrapText="1"/>
    </xf>
    <xf numFmtId="0" fontId="110" fillId="47" borderId="69" xfId="0" applyFont="1" applyFill="1" applyBorder="1" applyAlignment="1" applyProtection="1">
      <alignment horizontal="right" vertical="center" wrapText="1"/>
    </xf>
    <xf numFmtId="167" fontId="115" fillId="49" borderId="69" xfId="0" applyNumberFormat="1" applyFont="1" applyFill="1" applyBorder="1" applyAlignment="1" applyProtection="1">
      <alignment horizontal="right" vertical="center" wrapText="1"/>
    </xf>
    <xf numFmtId="0" fontId="115" fillId="49" borderId="69" xfId="0" applyFont="1" applyFill="1" applyBorder="1" applyAlignment="1" applyProtection="1">
      <alignment horizontal="right" vertical="center" wrapText="1"/>
    </xf>
    <xf numFmtId="167" fontId="115" fillId="46" borderId="69" xfId="0" applyNumberFormat="1" applyFont="1" applyFill="1" applyBorder="1" applyAlignment="1" applyProtection="1">
      <alignment horizontal="right" vertical="center" wrapText="1"/>
    </xf>
    <xf numFmtId="0" fontId="115" fillId="46" borderId="69" xfId="0" applyFont="1" applyFill="1" applyBorder="1" applyAlignment="1" applyProtection="1">
      <alignment horizontal="right" vertical="center" wrapText="1"/>
    </xf>
    <xf numFmtId="0" fontId="110" fillId="49" borderId="64" xfId="0" applyFont="1" applyFill="1" applyBorder="1" applyAlignment="1" applyProtection="1">
      <alignment horizontal="center" vertical="center" wrapText="1"/>
    </xf>
    <xf numFmtId="0" fontId="110" fillId="50" borderId="69" xfId="0" applyFont="1" applyFill="1" applyBorder="1" applyAlignment="1" applyProtection="1">
      <alignment horizontal="left" vertical="center" wrapText="1"/>
    </xf>
    <xf numFmtId="0" fontId="110" fillId="49" borderId="69" xfId="0" applyFont="1" applyFill="1" applyBorder="1" applyAlignment="1" applyProtection="1">
      <alignment horizontal="left" vertical="center" wrapText="1"/>
    </xf>
    <xf numFmtId="3" fontId="118" fillId="0" borderId="65" xfId="0" applyNumberFormat="1" applyFont="1" applyBorder="1" applyAlignment="1" applyProtection="1">
      <alignment horizontal="right" vertical="center"/>
    </xf>
    <xf numFmtId="3" fontId="118" fillId="0" borderId="69" xfId="0" applyNumberFormat="1" applyFont="1" applyBorder="1" applyAlignment="1" applyProtection="1">
      <alignment horizontal="right" vertical="center"/>
    </xf>
    <xf numFmtId="0" fontId="118" fillId="0" borderId="69" xfId="0" applyFont="1" applyBorder="1" applyAlignment="1" applyProtection="1">
      <alignment horizontal="center" vertical="center"/>
    </xf>
    <xf numFmtId="0" fontId="110" fillId="0" borderId="69" xfId="0" applyFont="1" applyBorder="1" applyAlignment="1" applyProtection="1">
      <alignment horizontal="left" vertical="center" wrapText="1"/>
    </xf>
    <xf numFmtId="0" fontId="110" fillId="49" borderId="69" xfId="0" applyFont="1" applyFill="1" applyBorder="1" applyAlignment="1" applyProtection="1">
      <alignment horizontal="left" vertical="center"/>
    </xf>
    <xf numFmtId="0" fontId="118" fillId="0" borderId="69" xfId="0" applyFont="1" applyBorder="1" applyAlignment="1" applyProtection="1">
      <alignment horizontal="left" vertical="center" wrapText="1"/>
    </xf>
    <xf numFmtId="3" fontId="115" fillId="0" borderId="73" xfId="0" applyNumberFormat="1" applyFont="1" applyBorder="1" applyAlignment="1" applyProtection="1">
      <alignment horizontal="right" vertical="center"/>
    </xf>
    <xf numFmtId="0" fontId="115" fillId="0" borderId="73" xfId="0" applyFont="1" applyBorder="1" applyAlignment="1" applyProtection="1">
      <alignment horizontal="center" vertical="center"/>
    </xf>
    <xf numFmtId="3" fontId="115" fillId="45" borderId="62" xfId="0" applyNumberFormat="1" applyFont="1" applyFill="1" applyBorder="1" applyAlignment="1" applyProtection="1">
      <alignment horizontal="right" vertical="center"/>
    </xf>
    <xf numFmtId="3" fontId="115" fillId="45" borderId="64" xfId="0" applyNumberFormat="1" applyFont="1" applyFill="1" applyBorder="1" applyAlignment="1" applyProtection="1">
      <alignment horizontal="right" vertical="center"/>
    </xf>
    <xf numFmtId="0" fontId="115" fillId="45" borderId="64" xfId="0" applyFont="1" applyFill="1" applyBorder="1" applyAlignment="1" applyProtection="1">
      <alignment horizontal="center" vertical="center"/>
    </xf>
    <xf numFmtId="0" fontId="115" fillId="45" borderId="65" xfId="0" applyFont="1" applyFill="1" applyBorder="1" applyAlignment="1" applyProtection="1">
      <alignment horizontal="right" vertical="center"/>
    </xf>
    <xf numFmtId="3" fontId="110" fillId="0" borderId="69" xfId="0" applyNumberFormat="1" applyFont="1" applyBorder="1" applyAlignment="1" applyProtection="1">
      <alignment horizontal="right" vertical="center"/>
    </xf>
    <xf numFmtId="3" fontId="110" fillId="0" borderId="74" xfId="0" applyNumberFormat="1" applyFont="1" applyBorder="1" applyAlignment="1" applyProtection="1">
      <alignment horizontal="right" vertical="center" wrapText="1"/>
    </xf>
    <xf numFmtId="3" fontId="110" fillId="0" borderId="75" xfId="0" applyNumberFormat="1" applyFont="1" applyBorder="1" applyAlignment="1" applyProtection="1">
      <alignment horizontal="right" vertical="center" wrapText="1"/>
    </xf>
    <xf numFmtId="3" fontId="110" fillId="0" borderId="69" xfId="0" applyNumberFormat="1" applyFont="1" applyBorder="1" applyAlignment="1" applyProtection="1">
      <alignment horizontal="right" vertical="center" wrapText="1"/>
    </xf>
    <xf numFmtId="3" fontId="110" fillId="0" borderId="70" xfId="0" applyNumberFormat="1" applyFont="1" applyBorder="1" applyAlignment="1" applyProtection="1">
      <alignment horizontal="right" vertical="center" wrapText="1"/>
    </xf>
    <xf numFmtId="3" fontId="110" fillId="50" borderId="74" xfId="0" applyNumberFormat="1" applyFont="1" applyFill="1" applyBorder="1" applyAlignment="1" applyProtection="1">
      <alignment horizontal="right" vertical="center" wrapText="1"/>
    </xf>
    <xf numFmtId="3" fontId="110" fillId="50" borderId="75" xfId="0" applyNumberFormat="1" applyFont="1" applyFill="1" applyBorder="1" applyAlignment="1" applyProtection="1">
      <alignment horizontal="right" vertical="center" wrapText="1"/>
    </xf>
    <xf numFmtId="3" fontId="110" fillId="50" borderId="69" xfId="0" applyNumberFormat="1" applyFont="1" applyFill="1" applyBorder="1" applyAlignment="1" applyProtection="1">
      <alignment horizontal="right" vertical="center" wrapText="1"/>
    </xf>
    <xf numFmtId="3" fontId="110" fillId="50" borderId="70" xfId="0" applyNumberFormat="1" applyFont="1" applyFill="1" applyBorder="1" applyAlignment="1" applyProtection="1">
      <alignment horizontal="right" vertical="center" wrapText="1"/>
    </xf>
    <xf numFmtId="3" fontId="110" fillId="49" borderId="74" xfId="0" applyNumberFormat="1" applyFont="1" applyFill="1" applyBorder="1" applyAlignment="1" applyProtection="1">
      <alignment horizontal="right" vertical="center" wrapText="1"/>
    </xf>
    <xf numFmtId="3" fontId="110" fillId="49" borderId="75" xfId="0" applyNumberFormat="1" applyFont="1" applyFill="1" applyBorder="1" applyAlignment="1" applyProtection="1">
      <alignment horizontal="right" vertical="center" wrapText="1"/>
    </xf>
    <xf numFmtId="3" fontId="110" fillId="49" borderId="69" xfId="0" applyNumberFormat="1" applyFont="1" applyFill="1" applyBorder="1" applyAlignment="1" applyProtection="1">
      <alignment horizontal="right" vertical="center" wrapText="1"/>
    </xf>
    <xf numFmtId="3" fontId="110" fillId="49" borderId="70" xfId="0" applyNumberFormat="1" applyFont="1" applyFill="1" applyBorder="1" applyAlignment="1" applyProtection="1">
      <alignment horizontal="right" vertical="center" wrapText="1"/>
    </xf>
    <xf numFmtId="0" fontId="110" fillId="45" borderId="69" xfId="0" applyFont="1" applyFill="1" applyBorder="1" applyAlignment="1" applyProtection="1">
      <alignment horizontal="left" vertical="center"/>
    </xf>
    <xf numFmtId="3" fontId="110" fillId="45" borderId="74" xfId="0" applyNumberFormat="1" applyFont="1" applyFill="1" applyBorder="1" applyAlignment="1" applyProtection="1">
      <alignment horizontal="right" vertical="center"/>
    </xf>
    <xf numFmtId="3" fontId="110" fillId="45" borderId="75" xfId="0" applyNumberFormat="1" applyFont="1" applyFill="1" applyBorder="1" applyAlignment="1" applyProtection="1">
      <alignment horizontal="right" vertical="center"/>
    </xf>
    <xf numFmtId="3" fontId="110" fillId="45" borderId="69" xfId="0" applyNumberFormat="1" applyFont="1" applyFill="1" applyBorder="1" applyAlignment="1" applyProtection="1">
      <alignment horizontal="right" vertical="center"/>
    </xf>
    <xf numFmtId="3" fontId="110" fillId="45" borderId="70" xfId="0" applyNumberFormat="1" applyFont="1" applyFill="1" applyBorder="1" applyAlignment="1" applyProtection="1">
      <alignment horizontal="right" vertical="center"/>
    </xf>
    <xf numFmtId="0" fontId="110" fillId="50" borderId="69" xfId="0" applyFont="1" applyFill="1" applyBorder="1" applyAlignment="1" applyProtection="1">
      <alignment horizontal="left" vertical="center"/>
    </xf>
    <xf numFmtId="0" fontId="119" fillId="0" borderId="65" xfId="0" applyFont="1" applyBorder="1" applyAlignment="1" applyProtection="1">
      <alignment horizontal="left" vertical="center" wrapText="1"/>
    </xf>
    <xf numFmtId="0" fontId="119" fillId="0" borderId="69" xfId="0" applyFont="1" applyBorder="1" applyAlignment="1" applyProtection="1">
      <alignment horizontal="right" vertical="center"/>
    </xf>
    <xf numFmtId="3" fontId="119" fillId="0" borderId="69" xfId="0" applyNumberFormat="1" applyFont="1" applyBorder="1" applyAlignment="1" applyProtection="1">
      <alignment horizontal="right" vertical="center"/>
    </xf>
    <xf numFmtId="4" fontId="119" fillId="0" borderId="69" xfId="0" applyNumberFormat="1" applyFont="1" applyBorder="1" applyAlignment="1" applyProtection="1">
      <alignment horizontal="right" vertical="center"/>
    </xf>
    <xf numFmtId="0" fontId="119" fillId="0" borderId="69" xfId="0" applyFont="1" applyBorder="1" applyAlignment="1" applyProtection="1">
      <alignment horizontal="left" vertical="center"/>
    </xf>
    <xf numFmtId="0" fontId="110" fillId="0" borderId="61" xfId="0" applyFont="1" applyBorder="1" applyAlignment="1" applyProtection="1">
      <alignment horizontal="right" vertical="center"/>
    </xf>
    <xf numFmtId="0" fontId="110" fillId="44" borderId="65" xfId="0" applyFont="1" applyFill="1" applyBorder="1" applyAlignment="1" applyProtection="1">
      <alignment horizontal="right" vertical="center"/>
    </xf>
    <xf numFmtId="0" fontId="110" fillId="44" borderId="69" xfId="0" applyFont="1" applyFill="1" applyBorder="1" applyAlignment="1" applyProtection="1">
      <alignment horizontal="right" vertical="center"/>
    </xf>
    <xf numFmtId="0" fontId="121" fillId="44" borderId="69" xfId="0" applyFont="1" applyFill="1" applyBorder="1" applyAlignment="1" applyProtection="1">
      <alignment horizontal="left" vertical="center" wrapText="1"/>
    </xf>
    <xf numFmtId="0" fontId="115" fillId="50" borderId="69" xfId="0" applyFont="1" applyFill="1" applyBorder="1" applyAlignment="1" applyProtection="1">
      <alignment horizontal="left" vertical="center"/>
    </xf>
    <xf numFmtId="3" fontId="110" fillId="0" borderId="69" xfId="0" applyNumberFormat="1" applyFont="1" applyBorder="1" applyAlignment="1" applyProtection="1">
      <alignment horizontal="center" vertical="center"/>
    </xf>
    <xf numFmtId="0" fontId="110" fillId="0" borderId="61" xfId="0" applyFont="1" applyBorder="1" applyAlignment="1" applyProtection="1">
      <alignment horizontal="center"/>
    </xf>
    <xf numFmtId="3" fontId="34" fillId="0" borderId="0" xfId="42" applyNumberFormat="1" applyFont="1" applyProtection="1">
      <protection locked="0"/>
    </xf>
    <xf numFmtId="164" fontId="124" fillId="0" borderId="0" xfId="53" applyNumberFormat="1" applyFont="1" applyAlignment="1" applyProtection="1">
      <alignment vertical="center"/>
      <protection locked="0" hidden="1"/>
    </xf>
    <xf numFmtId="164" fontId="125" fillId="36" borderId="32" xfId="53" applyNumberFormat="1" applyFont="1" applyFill="1" applyBorder="1" applyAlignment="1" applyProtection="1">
      <alignment horizontal="center" vertical="center" wrapText="1"/>
      <protection locked="0" hidden="1"/>
    </xf>
    <xf numFmtId="3" fontId="125" fillId="36" borderId="15" xfId="53" applyNumberFormat="1" applyFont="1" applyFill="1" applyBorder="1" applyAlignment="1" applyProtection="1">
      <alignment horizontal="center" vertical="center" wrapText="1"/>
      <protection locked="0" hidden="1"/>
    </xf>
    <xf numFmtId="164" fontId="125" fillId="36" borderId="55" xfId="53" applyNumberFormat="1" applyFont="1" applyFill="1" applyBorder="1" applyAlignment="1" applyProtection="1">
      <alignment horizontal="center" vertical="center"/>
      <protection locked="0" hidden="1"/>
    </xf>
    <xf numFmtId="164" fontId="125" fillId="36" borderId="34" xfId="53" applyNumberFormat="1" applyFont="1" applyFill="1" applyBorder="1" applyAlignment="1" applyProtection="1">
      <alignment vertical="center"/>
      <protection locked="0" hidden="1"/>
    </xf>
    <xf numFmtId="164" fontId="125" fillId="36" borderId="13" xfId="53" applyNumberFormat="1" applyFont="1" applyFill="1" applyBorder="1" applyAlignment="1" applyProtection="1">
      <alignment horizontal="center" vertical="center"/>
      <protection locked="0" hidden="1"/>
    </xf>
    <xf numFmtId="3" fontId="125" fillId="36" borderId="55" xfId="53" applyNumberFormat="1" applyFont="1" applyFill="1" applyBorder="1" applyAlignment="1" applyProtection="1">
      <alignment horizontal="center" vertical="center"/>
      <protection locked="0" hidden="1"/>
    </xf>
    <xf numFmtId="3" fontId="125" fillId="36" borderId="18" xfId="53" applyNumberFormat="1" applyFont="1" applyFill="1" applyBorder="1" applyAlignment="1" applyProtection="1">
      <alignment vertical="center"/>
      <protection locked="0" hidden="1"/>
    </xf>
    <xf numFmtId="164" fontId="128" fillId="51" borderId="55" xfId="53" applyNumberFormat="1" applyFont="1" applyFill="1" applyBorder="1" applyAlignment="1" applyProtection="1">
      <alignment horizontal="center" vertical="center"/>
      <protection hidden="1"/>
    </xf>
    <xf numFmtId="164" fontId="124" fillId="0" borderId="55" xfId="53" applyNumberFormat="1" applyFont="1" applyBorder="1" applyAlignment="1" applyProtection="1">
      <alignment vertical="center" wrapText="1"/>
      <protection hidden="1"/>
    </xf>
    <xf numFmtId="164" fontId="128" fillId="0" borderId="55" xfId="53" applyNumberFormat="1" applyFont="1" applyBorder="1" applyAlignment="1" applyProtection="1">
      <alignment vertical="center"/>
      <protection hidden="1"/>
    </xf>
    <xf numFmtId="164" fontId="124" fillId="0" borderId="55" xfId="53" applyNumberFormat="1" applyFont="1" applyBorder="1" applyAlignment="1" applyProtection="1">
      <alignment vertical="center"/>
      <protection hidden="1"/>
    </xf>
    <xf numFmtId="164" fontId="124" fillId="0" borderId="0" xfId="53" applyNumberFormat="1" applyFont="1" applyAlignment="1" applyProtection="1">
      <alignment horizontal="center" vertical="center"/>
      <protection hidden="1"/>
    </xf>
    <xf numFmtId="164" fontId="124" fillId="0" borderId="0" xfId="53" applyNumberFormat="1" applyFont="1" applyAlignment="1" applyProtection="1">
      <alignment vertical="center"/>
      <protection hidden="1"/>
    </xf>
    <xf numFmtId="3" fontId="124" fillId="0" borderId="0" xfId="53" applyNumberFormat="1" applyFont="1" applyAlignment="1" applyProtection="1">
      <alignment vertical="center"/>
      <protection locked="0" hidden="1"/>
    </xf>
    <xf numFmtId="164" fontId="128" fillId="0" borderId="0" xfId="53" applyNumberFormat="1" applyFont="1" applyAlignment="1" applyProtection="1">
      <alignment vertical="center"/>
      <protection hidden="1"/>
    </xf>
    <xf numFmtId="164" fontId="124" fillId="0" borderId="0" xfId="53" applyNumberFormat="1" applyFont="1" applyBorder="1" applyAlignment="1" applyProtection="1">
      <alignment vertical="center"/>
      <protection locked="0" hidden="1"/>
    </xf>
    <xf numFmtId="3" fontId="128" fillId="51" borderId="55" xfId="53" applyNumberFormat="1" applyFont="1" applyFill="1" applyBorder="1" applyAlignment="1" applyProtection="1">
      <alignment horizontal="center" vertical="center"/>
      <protection hidden="1"/>
    </xf>
    <xf numFmtId="165" fontId="124" fillId="0" borderId="55" xfId="53" applyNumberFormat="1" applyFont="1" applyBorder="1" applyAlignment="1" applyProtection="1">
      <alignment vertical="center"/>
      <protection locked="0" hidden="1"/>
    </xf>
    <xf numFmtId="0" fontId="131" fillId="0" borderId="0" xfId="52" applyNumberFormat="1" applyFont="1" applyFill="1" applyBorder="1" applyAlignment="1" applyProtection="1">
      <protection locked="0"/>
    </xf>
    <xf numFmtId="0" fontId="132" fillId="0" borderId="0" xfId="52" applyNumberFormat="1" applyFont="1" applyFill="1" applyBorder="1" applyProtection="1">
      <protection locked="0"/>
    </xf>
    <xf numFmtId="0" fontId="130" fillId="42" borderId="0" xfId="52" applyNumberFormat="1" applyFont="1" applyFill="1" applyBorder="1" applyAlignment="1" applyProtection="1">
      <alignment horizontal="center" vertical="center" wrapText="1"/>
      <protection locked="0"/>
    </xf>
    <xf numFmtId="0" fontId="131" fillId="42" borderId="0" xfId="52" applyNumberFormat="1" applyFont="1" applyFill="1" applyBorder="1" applyAlignment="1" applyProtection="1">
      <protection locked="0"/>
    </xf>
    <xf numFmtId="0" fontId="132" fillId="42" borderId="0" xfId="52" applyNumberFormat="1" applyFont="1" applyFill="1" applyBorder="1" applyProtection="1">
      <protection locked="0"/>
    </xf>
    <xf numFmtId="0" fontId="133" fillId="0" borderId="0" xfId="0" applyFont="1" applyAlignment="1" applyProtection="1">
      <alignment horizontal="left"/>
      <protection locked="0"/>
    </xf>
    <xf numFmtId="0" fontId="133" fillId="0" borderId="0" xfId="0" applyFont="1"/>
    <xf numFmtId="0" fontId="133" fillId="0" borderId="0" xfId="0" applyFont="1" applyAlignment="1">
      <alignment vertical="center"/>
    </xf>
    <xf numFmtId="0" fontId="131" fillId="0" borderId="0" xfId="0" applyFont="1" applyAlignment="1">
      <alignment vertical="center"/>
    </xf>
    <xf numFmtId="0" fontId="131" fillId="0" borderId="10" xfId="0" applyFont="1" applyBorder="1" applyAlignment="1">
      <alignment vertical="center"/>
    </xf>
    <xf numFmtId="0" fontId="133" fillId="0" borderId="0" xfId="0" applyFont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131" fillId="0" borderId="14" xfId="0" applyFont="1" applyBorder="1" applyAlignment="1">
      <alignment vertical="center"/>
    </xf>
    <xf numFmtId="0" fontId="131" fillId="0" borderId="10" xfId="0" applyFont="1" applyBorder="1" applyAlignment="1">
      <alignment horizontal="center" vertical="center"/>
    </xf>
    <xf numFmtId="0" fontId="134" fillId="0" borderId="0" xfId="0" applyFont="1" applyAlignment="1">
      <alignment vertical="center"/>
    </xf>
    <xf numFmtId="0" fontId="131" fillId="0" borderId="15" xfId="0" applyFont="1" applyBorder="1" applyAlignment="1">
      <alignment vertical="center"/>
    </xf>
    <xf numFmtId="0" fontId="131" fillId="0" borderId="16" xfId="0" applyFont="1" applyBorder="1" applyAlignment="1">
      <alignment vertical="center"/>
    </xf>
    <xf numFmtId="0" fontId="131" fillId="0" borderId="17" xfId="0" applyFont="1" applyBorder="1" applyAlignment="1">
      <alignment vertical="center"/>
    </xf>
    <xf numFmtId="0" fontId="131" fillId="0" borderId="18" xfId="0" applyFont="1" applyBorder="1" applyAlignment="1">
      <alignment vertical="center"/>
    </xf>
    <xf numFmtId="3" fontId="136" fillId="0" borderId="0" xfId="0" applyNumberFormat="1" applyFont="1" applyAlignment="1" applyProtection="1">
      <alignment horizontal="right" vertical="center"/>
      <protection locked="0"/>
    </xf>
    <xf numFmtId="0" fontId="133" fillId="0" borderId="0" xfId="0" applyFont="1" applyAlignment="1" applyProtection="1">
      <alignment horizontal="left"/>
    </xf>
    <xf numFmtId="0" fontId="96" fillId="36" borderId="0" xfId="52" applyNumberFormat="1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06" fillId="0" borderId="0" xfId="0" applyFont="1" applyAlignment="1" applyProtection="1">
      <alignment horizontal="left" vertical="center"/>
    </xf>
    <xf numFmtId="0" fontId="122" fillId="0" borderId="0" xfId="0" applyFont="1" applyAlignment="1" applyProtection="1">
      <alignment horizontal="center" vertical="center"/>
    </xf>
    <xf numFmtId="0" fontId="23" fillId="0" borderId="56" xfId="52" applyNumberFormat="1" applyFont="1" applyFill="1" applyBorder="1" applyAlignment="1" applyProtection="1">
      <alignment horizontal="center" vertical="center"/>
      <protection locked="0"/>
    </xf>
    <xf numFmtId="1" fontId="23" fillId="0" borderId="57" xfId="52" applyNumberFormat="1" applyFont="1" applyFill="1" applyBorder="1" applyAlignment="1" applyProtection="1">
      <alignment horizontal="center" vertical="center"/>
      <protection locked="0"/>
    </xf>
    <xf numFmtId="1" fontId="23" fillId="0" borderId="58" xfId="52" applyNumberFormat="1" applyFont="1" applyFill="1" applyBorder="1" applyAlignment="1" applyProtection="1">
      <alignment horizontal="center" vertical="center"/>
      <protection locked="0"/>
    </xf>
    <xf numFmtId="14" fontId="106" fillId="0" borderId="0" xfId="0" applyNumberFormat="1" applyFont="1" applyAlignment="1" applyProtection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6" fillId="0" borderId="0" xfId="0" applyFont="1" applyAlignment="1" applyProtection="1">
      <alignment horizontal="center" vertical="center"/>
    </xf>
    <xf numFmtId="49" fontId="122" fillId="0" borderId="0" xfId="0" applyNumberFormat="1" applyFont="1" applyAlignment="1" applyProtection="1">
      <alignment horizontal="left" vertical="center"/>
    </xf>
    <xf numFmtId="49" fontId="23" fillId="0" borderId="0" xfId="0" applyNumberFormat="1" applyFont="1" applyAlignment="1">
      <alignment vertical="center"/>
    </xf>
    <xf numFmtId="0" fontId="62" fillId="0" borderId="0" xfId="0" applyFont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07" fillId="0" borderId="60" xfId="0" applyFont="1" applyBorder="1" applyAlignment="1" applyProtection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07" fillId="0" borderId="59" xfId="0" applyFont="1" applyBorder="1" applyAlignment="1" applyProtection="1">
      <alignment horizontal="center" vertical="center"/>
    </xf>
    <xf numFmtId="0" fontId="130" fillId="36" borderId="0" xfId="52" applyNumberFormat="1" applyFont="1" applyFill="1" applyBorder="1" applyAlignment="1" applyProtection="1">
      <alignment horizontal="center" vertical="center" wrapText="1"/>
      <protection locked="0"/>
    </xf>
    <xf numFmtId="0" fontId="131" fillId="0" borderId="0" xfId="0" applyFont="1" applyAlignment="1">
      <alignment vertical="center"/>
    </xf>
    <xf numFmtId="0" fontId="131" fillId="0" borderId="15" xfId="0" applyFont="1" applyBorder="1" applyAlignment="1">
      <alignment vertical="center"/>
    </xf>
    <xf numFmtId="0" fontId="131" fillId="0" borderId="16" xfId="0" applyFont="1" applyBorder="1" applyAlignment="1">
      <alignment vertical="center"/>
    </xf>
    <xf numFmtId="0" fontId="131" fillId="0" borderId="17" xfId="0" applyFont="1" applyBorder="1" applyAlignment="1">
      <alignment vertical="center"/>
    </xf>
    <xf numFmtId="0" fontId="131" fillId="0" borderId="18" xfId="0" applyFont="1" applyBorder="1" applyAlignment="1">
      <alignment vertical="center"/>
    </xf>
    <xf numFmtId="0" fontId="131" fillId="0" borderId="14" xfId="0" applyFont="1" applyBorder="1" applyAlignment="1">
      <alignment vertical="center"/>
    </xf>
    <xf numFmtId="0" fontId="131" fillId="0" borderId="11" xfId="0" applyFont="1" applyBorder="1" applyAlignment="1">
      <alignment vertical="center"/>
    </xf>
    <xf numFmtId="0" fontId="131" fillId="0" borderId="12" xfId="0" applyFont="1" applyBorder="1" applyAlignment="1">
      <alignment vertical="center"/>
    </xf>
    <xf numFmtId="0" fontId="131" fillId="0" borderId="13" xfId="0" applyFont="1" applyBorder="1" applyAlignment="1">
      <alignment vertical="center"/>
    </xf>
    <xf numFmtId="14" fontId="131" fillId="0" borderId="62" xfId="0" applyNumberFormat="1" applyFont="1" applyBorder="1" applyAlignment="1" applyProtection="1">
      <alignment horizontal="center" vertical="center"/>
    </xf>
    <xf numFmtId="14" fontId="131" fillId="0" borderId="17" xfId="0" applyNumberFormat="1" applyFont="1" applyBorder="1" applyAlignment="1">
      <alignment horizontal="center" vertical="center"/>
    </xf>
    <xf numFmtId="14" fontId="131" fillId="0" borderId="18" xfId="0" applyNumberFormat="1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1" fillId="0" borderId="63" xfId="0" applyFont="1" applyBorder="1" applyAlignment="1" applyProtection="1">
      <alignment horizontal="left" vertical="center"/>
    </xf>
    <xf numFmtId="0" fontId="131" fillId="0" borderId="0" xfId="0" applyFont="1" applyAlignment="1" applyProtection="1">
      <alignment horizontal="left" vertical="center"/>
    </xf>
    <xf numFmtId="0" fontId="131" fillId="0" borderId="62" xfId="0" applyFont="1" applyBorder="1" applyAlignment="1" applyProtection="1">
      <alignment horizontal="center" vertical="center"/>
    </xf>
    <xf numFmtId="0" fontId="131" fillId="0" borderId="17" xfId="0" applyFont="1" applyBorder="1" applyAlignment="1">
      <alignment horizontal="center" vertical="center"/>
    </xf>
    <xf numFmtId="0" fontId="131" fillId="0" borderId="18" xfId="0" applyFont="1" applyBorder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5" fillId="0" borderId="0" xfId="0" applyFont="1" applyAlignment="1">
      <alignment vertical="center"/>
    </xf>
    <xf numFmtId="0" fontId="131" fillId="0" borderId="20" xfId="0" applyFont="1" applyBorder="1" applyAlignment="1">
      <alignment horizontal="center" vertical="center"/>
    </xf>
    <xf numFmtId="0" fontId="131" fillId="0" borderId="21" xfId="0" applyFont="1" applyBorder="1" applyAlignment="1">
      <alignment horizontal="center" vertical="center"/>
    </xf>
    <xf numFmtId="0" fontId="131" fillId="0" borderId="22" xfId="0" applyFont="1" applyBorder="1" applyAlignment="1">
      <alignment horizontal="center" vertical="center"/>
    </xf>
    <xf numFmtId="0" fontId="131" fillId="0" borderId="16" xfId="0" applyFont="1" applyBorder="1" applyAlignment="1">
      <alignment horizontal="center" vertical="center"/>
    </xf>
    <xf numFmtId="0" fontId="134" fillId="0" borderId="14" xfId="0" applyFont="1" applyBorder="1" applyAlignment="1">
      <alignment horizontal="left" wrapText="1"/>
    </xf>
    <xf numFmtId="0" fontId="134" fillId="0" borderId="0" xfId="0" applyFont="1" applyAlignment="1">
      <alignment horizontal="left" wrapText="1"/>
    </xf>
    <xf numFmtId="0" fontId="134" fillId="0" borderId="14" xfId="0" applyFont="1" applyBorder="1" applyAlignment="1">
      <alignment vertical="center" wrapText="1"/>
    </xf>
    <xf numFmtId="0" fontId="134" fillId="0" borderId="0" xfId="0" applyFont="1" applyAlignment="1">
      <alignment vertical="center" wrapText="1"/>
    </xf>
    <xf numFmtId="0" fontId="134" fillId="0" borderId="0" xfId="0" applyFont="1" applyAlignment="1">
      <alignment horizontal="left" vertical="center" wrapText="1"/>
    </xf>
    <xf numFmtId="0" fontId="134" fillId="0" borderId="14" xfId="0" applyFont="1" applyBorder="1" applyAlignment="1">
      <alignment horizontal="center" vertical="center" wrapText="1"/>
    </xf>
    <xf numFmtId="0" fontId="134" fillId="0" borderId="0" xfId="0" applyFont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131" fillId="0" borderId="62" xfId="0" applyFont="1" applyBorder="1" applyAlignment="1" applyProtection="1">
      <alignment horizontal="left" vertical="center"/>
    </xf>
    <xf numFmtId="0" fontId="131" fillId="0" borderId="61" xfId="0" applyFont="1" applyBorder="1" applyAlignment="1" applyProtection="1">
      <alignment horizontal="center" vertical="center"/>
    </xf>
    <xf numFmtId="0" fontId="131" fillId="0" borderId="19" xfId="0" applyFont="1" applyBorder="1" applyAlignment="1">
      <alignment horizontal="center" vertical="center"/>
    </xf>
    <xf numFmtId="14" fontId="131" fillId="0" borderId="61" xfId="0" applyNumberFormat="1" applyFont="1" applyBorder="1" applyAlignment="1" applyProtection="1">
      <alignment horizontal="center" vertical="center"/>
    </xf>
    <xf numFmtId="14" fontId="131" fillId="0" borderId="19" xfId="0" applyNumberFormat="1" applyFont="1" applyBorder="1" applyAlignment="1">
      <alignment horizontal="center" vertical="center"/>
    </xf>
    <xf numFmtId="0" fontId="99" fillId="36" borderId="0" xfId="52" applyNumberFormat="1" applyFont="1" applyFill="1" applyBorder="1" applyAlignment="1" applyProtection="1">
      <alignment horizontal="center" vertical="center"/>
      <protection locked="0"/>
    </xf>
    <xf numFmtId="0" fontId="28" fillId="0" borderId="11" xfId="0" applyFont="1" applyBorder="1" applyAlignment="1">
      <alignment horizontal="right"/>
    </xf>
    <xf numFmtId="0" fontId="28" fillId="0" borderId="12" xfId="0" applyFont="1" applyBorder="1" applyAlignment="1">
      <alignment horizontal="right"/>
    </xf>
    <xf numFmtId="0" fontId="28" fillId="0" borderId="13" xfId="0" applyFont="1" applyBorder="1" applyAlignment="1">
      <alignment horizontal="right"/>
    </xf>
    <xf numFmtId="0" fontId="24" fillId="0" borderId="21" xfId="0" applyFont="1" applyBorder="1"/>
    <xf numFmtId="0" fontId="109" fillId="0" borderId="61" xfId="0" applyFont="1" applyBorder="1" applyAlignment="1" applyProtection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09" fillId="0" borderId="61" xfId="0" applyFont="1" applyBorder="1" applyAlignment="1" applyProtection="1">
      <alignment horizontal="right"/>
    </xf>
    <xf numFmtId="0" fontId="24" fillId="0" borderId="19" xfId="0" applyFont="1" applyBorder="1"/>
    <xf numFmtId="0" fontId="109" fillId="0" borderId="65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8" fillId="0" borderId="0" xfId="0" applyFont="1" applyAlignment="1">
      <alignment horizontal="center" vertical="top"/>
    </xf>
    <xf numFmtId="0" fontId="28" fillId="0" borderId="10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109" fillId="0" borderId="63" xfId="0" applyFont="1" applyBorder="1" applyAlignment="1" applyProtection="1">
      <alignment horizontal="left"/>
    </xf>
    <xf numFmtId="0" fontId="109" fillId="0" borderId="0" xfId="0" applyFont="1" applyAlignment="1" applyProtection="1">
      <alignment horizontal="left"/>
    </xf>
    <xf numFmtId="0" fontId="65" fillId="0" borderId="47" xfId="0" applyFont="1" applyBorder="1" applyAlignment="1" applyProtection="1">
      <alignment horizontal="left"/>
      <protection locked="0"/>
    </xf>
    <xf numFmtId="0" fontId="65" fillId="0" borderId="0" xfId="0" applyFont="1" applyAlignment="1" applyProtection="1">
      <alignment horizontal="left"/>
      <protection locked="0"/>
    </xf>
    <xf numFmtId="0" fontId="100" fillId="0" borderId="0" xfId="52" applyNumberFormat="1" applyFont="1" applyFill="1" applyBorder="1" applyAlignment="1" applyProtection="1">
      <alignment horizontal="center" vertical="center"/>
      <protection locked="0"/>
    </xf>
    <xf numFmtId="0" fontId="98" fillId="0" borderId="0" xfId="52" applyNumberFormat="1" applyFont="1" applyFill="1" applyBorder="1" applyAlignment="1" applyProtection="1">
      <alignment horizontal="center" vertical="center"/>
      <protection locked="0"/>
    </xf>
    <xf numFmtId="0" fontId="24" fillId="0" borderId="2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2" fillId="0" borderId="0" xfId="47" applyFont="1" applyAlignment="1" applyProtection="1">
      <alignment horizontal="center" vertical="center"/>
      <protection locked="0"/>
    </xf>
    <xf numFmtId="0" fontId="101" fillId="0" borderId="0" xfId="47" applyFont="1" applyAlignment="1" applyProtection="1">
      <alignment horizontal="center" vertical="center"/>
      <protection locked="0"/>
    </xf>
    <xf numFmtId="0" fontId="31" fillId="36" borderId="14" xfId="47" applyFont="1" applyFill="1" applyBorder="1" applyAlignment="1" applyProtection="1">
      <alignment horizontal="center" vertical="center"/>
      <protection locked="0"/>
    </xf>
    <xf numFmtId="0" fontId="31" fillId="36" borderId="0" xfId="47" applyFont="1" applyFill="1" applyAlignment="1" applyProtection="1">
      <alignment horizontal="center" vertical="center"/>
      <protection locked="0"/>
    </xf>
    <xf numFmtId="0" fontId="83" fillId="0" borderId="0" xfId="47" applyFont="1" applyAlignment="1" applyProtection="1">
      <alignment horizontal="left"/>
      <protection locked="0"/>
    </xf>
    <xf numFmtId="14" fontId="110" fillId="0" borderId="61" xfId="0" applyNumberFormat="1" applyFont="1" applyBorder="1" applyAlignment="1" applyProtection="1">
      <alignment horizontal="center" vertical="center"/>
    </xf>
    <xf numFmtId="0" fontId="84" fillId="0" borderId="19" xfId="47" applyFont="1" applyBorder="1" applyAlignment="1" applyProtection="1">
      <alignment horizontal="center" vertical="center"/>
      <protection locked="0"/>
    </xf>
    <xf numFmtId="0" fontId="110" fillId="0" borderId="61" xfId="0" applyFont="1" applyBorder="1" applyAlignment="1" applyProtection="1">
      <alignment horizontal="center" vertical="center"/>
    </xf>
    <xf numFmtId="0" fontId="83" fillId="0" borderId="0" xfId="47" applyFont="1" applyAlignment="1" applyProtection="1">
      <alignment horizontal="center" vertical="center"/>
      <protection locked="0"/>
    </xf>
    <xf numFmtId="0" fontId="110" fillId="0" borderId="67" xfId="0" applyFont="1" applyBorder="1" applyAlignment="1" applyProtection="1">
      <alignment horizontal="center" vertical="center"/>
    </xf>
    <xf numFmtId="0" fontId="84" fillId="0" borderId="27" xfId="47" applyFont="1" applyBorder="1" applyAlignment="1" applyProtection="1">
      <alignment horizontal="center" vertical="center"/>
      <protection locked="0"/>
    </xf>
    <xf numFmtId="0" fontId="110" fillId="0" borderId="68" xfId="0" applyFont="1" applyBorder="1" applyAlignment="1" applyProtection="1">
      <alignment horizontal="center" vertical="center"/>
    </xf>
    <xf numFmtId="0" fontId="84" fillId="0" borderId="28" xfId="47" applyFont="1" applyBorder="1" applyAlignment="1" applyProtection="1">
      <alignment horizontal="center" vertical="center"/>
      <protection locked="0"/>
    </xf>
    <xf numFmtId="0" fontId="22" fillId="0" borderId="55" xfId="0" applyFont="1" applyBorder="1" applyAlignment="1">
      <alignment horizontal="center" vertical="center"/>
    </xf>
    <xf numFmtId="0" fontId="103" fillId="36" borderId="55" xfId="0" applyFont="1" applyFill="1" applyBorder="1" applyAlignment="1">
      <alignment horizontal="center" vertical="center"/>
    </xf>
    <xf numFmtId="0" fontId="105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7" fillId="0" borderId="0" xfId="0" applyFont="1" applyAlignment="1" applyProtection="1">
      <alignment horizontal="center" vertical="center"/>
    </xf>
    <xf numFmtId="14" fontId="107" fillId="0" borderId="0" xfId="0" applyNumberFormat="1" applyFont="1" applyAlignment="1" applyProtection="1">
      <alignment horizontal="center" vertical="center"/>
    </xf>
    <xf numFmtId="0" fontId="31" fillId="36" borderId="55" xfId="0" applyFont="1" applyFill="1" applyBorder="1" applyAlignment="1">
      <alignment horizontal="center" vertical="center"/>
    </xf>
    <xf numFmtId="0" fontId="85" fillId="36" borderId="0" xfId="47" applyFont="1" applyFill="1" applyAlignment="1" applyProtection="1">
      <alignment horizontal="center" vertical="center"/>
      <protection locked="0"/>
    </xf>
    <xf numFmtId="0" fontId="83" fillId="0" borderId="0" xfId="47" applyFont="1" applyAlignment="1" applyProtection="1">
      <alignment horizontal="left" vertical="center"/>
      <protection locked="0"/>
    </xf>
    <xf numFmtId="0" fontId="83" fillId="0" borderId="0" xfId="47" applyFont="1" applyAlignment="1" applyProtection="1">
      <alignment horizontal="center" vertical="center" wrapText="1"/>
      <protection locked="0"/>
    </xf>
    <xf numFmtId="0" fontId="33" fillId="34" borderId="25" xfId="0" applyFont="1" applyFill="1" applyBorder="1" applyAlignment="1">
      <alignment horizontal="center" vertical="center"/>
    </xf>
    <xf numFmtId="0" fontId="33" fillId="34" borderId="24" xfId="0" applyFont="1" applyFill="1" applyBorder="1" applyAlignment="1">
      <alignment horizontal="center" vertical="center"/>
    </xf>
    <xf numFmtId="0" fontId="33" fillId="34" borderId="23" xfId="0" applyFont="1" applyFill="1" applyBorder="1" applyAlignment="1">
      <alignment horizontal="center" vertical="center"/>
    </xf>
    <xf numFmtId="0" fontId="110" fillId="0" borderId="0" xfId="0" applyFont="1" applyAlignment="1" applyProtection="1">
      <alignment horizontal="center"/>
    </xf>
    <xf numFmtId="0" fontId="36" fillId="0" borderId="0" xfId="0" applyFont="1" applyAlignment="1">
      <alignment horizontal="center"/>
    </xf>
    <xf numFmtId="14" fontId="110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5" fillId="34" borderId="20" xfId="0" applyFont="1" applyFill="1" applyBorder="1" applyAlignment="1">
      <alignment horizontal="left" vertical="center"/>
    </xf>
    <xf numFmtId="0" fontId="35" fillId="34" borderId="21" xfId="0" applyFont="1" applyFill="1" applyBorder="1" applyAlignment="1">
      <alignment horizontal="left" vertical="center"/>
    </xf>
    <xf numFmtId="0" fontId="35" fillId="34" borderId="22" xfId="0" applyFont="1" applyFill="1" applyBorder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115" fillId="0" borderId="0" xfId="0" applyFont="1" applyAlignment="1" applyProtection="1">
      <alignment horizontal="left" vertical="top"/>
    </xf>
    <xf numFmtId="0" fontId="20" fillId="0" borderId="0" xfId="0" applyFont="1" applyAlignment="1">
      <alignment horizontal="left" vertical="top"/>
    </xf>
    <xf numFmtId="0" fontId="37" fillId="34" borderId="25" xfId="0" applyFont="1" applyFill="1" applyBorder="1" applyAlignment="1">
      <alignment horizontal="center" vertical="center"/>
    </xf>
    <xf numFmtId="0" fontId="37" fillId="34" borderId="23" xfId="0" applyFont="1" applyFill="1" applyBorder="1" applyAlignment="1">
      <alignment horizontal="center" vertical="center"/>
    </xf>
    <xf numFmtId="0" fontId="37" fillId="34" borderId="25" xfId="0" applyFont="1" applyFill="1" applyBorder="1" applyAlignment="1">
      <alignment horizontal="center" vertical="center" wrapText="1"/>
    </xf>
    <xf numFmtId="0" fontId="37" fillId="34" borderId="23" xfId="0" applyFont="1" applyFill="1" applyBorder="1" applyAlignment="1">
      <alignment horizontal="center" vertical="center" wrapText="1"/>
    </xf>
    <xf numFmtId="0" fontId="33" fillId="34" borderId="20" xfId="0" applyFont="1" applyFill="1" applyBorder="1" applyAlignment="1">
      <alignment horizontal="center" vertical="center"/>
    </xf>
    <xf numFmtId="0" fontId="33" fillId="34" borderId="21" xfId="0" applyFont="1" applyFill="1" applyBorder="1" applyAlignment="1">
      <alignment horizontal="center" vertical="center"/>
    </xf>
    <xf numFmtId="0" fontId="33" fillId="34" borderId="22" xfId="0" applyFont="1" applyFill="1" applyBorder="1" applyAlignment="1">
      <alignment horizontal="center" vertical="center"/>
    </xf>
    <xf numFmtId="0" fontId="115" fillId="0" borderId="65" xfId="0" applyFont="1" applyBorder="1" applyAlignment="1" applyProtection="1">
      <alignment horizontal="center" vertical="top" wrapText="1"/>
    </xf>
    <xf numFmtId="0" fontId="67" fillId="0" borderId="21" xfId="0" applyFont="1" applyBorder="1" applyAlignment="1" applyProtection="1">
      <alignment horizontal="center" vertical="top" wrapText="1"/>
      <protection locked="0"/>
    </xf>
    <xf numFmtId="0" fontId="67" fillId="0" borderId="22" xfId="0" applyFont="1" applyBorder="1" applyAlignment="1" applyProtection="1">
      <alignment horizontal="center" vertical="top" wrapText="1"/>
      <protection locked="0"/>
    </xf>
    <xf numFmtId="0" fontId="33" fillId="34" borderId="21" xfId="0" applyFont="1" applyFill="1" applyBorder="1" applyAlignment="1">
      <alignment horizontal="center"/>
    </xf>
    <xf numFmtId="0" fontId="33" fillId="34" borderId="20" xfId="0" applyFont="1" applyFill="1" applyBorder="1" applyAlignment="1">
      <alignment horizontal="center" vertical="center" wrapText="1"/>
    </xf>
    <xf numFmtId="0" fontId="33" fillId="34" borderId="21" xfId="0" applyFont="1" applyFill="1" applyBorder="1" applyAlignment="1">
      <alignment horizontal="center" vertical="center" wrapText="1"/>
    </xf>
    <xf numFmtId="0" fontId="34" fillId="0" borderId="0" xfId="0" applyFont="1"/>
    <xf numFmtId="0" fontId="71" fillId="0" borderId="19" xfId="0" applyFont="1" applyBorder="1" applyAlignment="1">
      <alignment horizontal="center" vertical="center"/>
    </xf>
    <xf numFmtId="0" fontId="32" fillId="34" borderId="0" xfId="0" applyFont="1" applyFill="1" applyAlignment="1">
      <alignment horizontal="center" vertical="center"/>
    </xf>
    <xf numFmtId="0" fontId="33" fillId="34" borderId="16" xfId="0" applyFont="1" applyFill="1" applyBorder="1" applyAlignment="1">
      <alignment horizontal="center"/>
    </xf>
    <xf numFmtId="0" fontId="33" fillId="34" borderId="17" xfId="0" applyFont="1" applyFill="1" applyBorder="1" applyAlignment="1">
      <alignment horizontal="center"/>
    </xf>
    <xf numFmtId="0" fontId="108" fillId="0" borderId="0" xfId="0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33" fillId="34" borderId="10" xfId="0" applyFont="1" applyFill="1" applyBorder="1" applyAlignment="1">
      <alignment horizontal="center" vertical="center" wrapText="1"/>
    </xf>
    <xf numFmtId="0" fontId="33" fillId="34" borderId="26" xfId="0" applyFont="1" applyFill="1" applyBorder="1" applyAlignment="1">
      <alignment horizontal="right" vertical="top"/>
    </xf>
    <xf numFmtId="0" fontId="37" fillId="34" borderId="10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14" fontId="110" fillId="0" borderId="61" xfId="0" applyNumberFormat="1" applyFont="1" applyBorder="1" applyAlignment="1" applyProtection="1">
      <alignment horizontal="right" vertical="center"/>
    </xf>
    <xf numFmtId="0" fontId="71" fillId="0" borderId="19" xfId="0" applyFont="1" applyBorder="1" applyAlignment="1">
      <alignment vertical="center"/>
    </xf>
    <xf numFmtId="0" fontId="110" fillId="0" borderId="0" xfId="0" applyFont="1" applyAlignment="1" applyProtection="1">
      <alignment horizontal="right" vertical="center"/>
    </xf>
    <xf numFmtId="0" fontId="71" fillId="0" borderId="0" xfId="0" applyFont="1" applyAlignment="1">
      <alignment vertical="center"/>
    </xf>
    <xf numFmtId="0" fontId="115" fillId="0" borderId="0" xfId="0" applyFont="1" applyAlignment="1" applyProtection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3" fillId="34" borderId="24" xfId="0" applyFont="1" applyFill="1" applyBorder="1" applyAlignment="1">
      <alignment horizontal="center" vertical="center" wrapText="1"/>
    </xf>
    <xf numFmtId="0" fontId="33" fillId="34" borderId="23" xfId="0" applyFont="1" applyFill="1" applyBorder="1" applyAlignment="1">
      <alignment horizontal="center" vertical="center" wrapText="1"/>
    </xf>
    <xf numFmtId="0" fontId="33" fillId="34" borderId="10" xfId="0" applyFont="1" applyFill="1" applyBorder="1" applyAlignment="1">
      <alignment horizontal="center" vertical="center"/>
    </xf>
    <xf numFmtId="0" fontId="37" fillId="34" borderId="22" xfId="0" applyFont="1" applyFill="1" applyBorder="1" applyAlignment="1">
      <alignment horizontal="center" vertical="center" wrapText="1"/>
    </xf>
    <xf numFmtId="0" fontId="38" fillId="34" borderId="10" xfId="0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14" fontId="117" fillId="0" borderId="61" xfId="0" applyNumberFormat="1" applyFont="1" applyBorder="1" applyAlignment="1" applyProtection="1">
      <alignment horizontal="right" vertical="center"/>
    </xf>
    <xf numFmtId="0" fontId="72" fillId="0" borderId="19" xfId="0" applyFont="1" applyBorder="1" applyAlignment="1">
      <alignment vertical="center"/>
    </xf>
    <xf numFmtId="0" fontId="117" fillId="0" borderId="61" xfId="0" applyFont="1" applyBorder="1" applyAlignment="1" applyProtection="1">
      <alignment horizontal="center" vertical="center"/>
    </xf>
    <xf numFmtId="0" fontId="72" fillId="0" borderId="19" xfId="0" applyFont="1" applyBorder="1" applyAlignment="1">
      <alignment horizontal="center" vertical="center"/>
    </xf>
    <xf numFmtId="0" fontId="117" fillId="0" borderId="0" xfId="0" applyFont="1" applyAlignment="1" applyProtection="1">
      <alignment horizontal="right" vertical="center"/>
    </xf>
    <xf numFmtId="0" fontId="72" fillId="0" borderId="0" xfId="0" applyFont="1" applyAlignment="1">
      <alignment vertical="center"/>
    </xf>
    <xf numFmtId="0" fontId="33" fillId="34" borderId="10" xfId="0" applyFont="1" applyFill="1" applyBorder="1" applyAlignment="1">
      <alignment horizontal="center" wrapText="1"/>
    </xf>
    <xf numFmtId="0" fontId="68" fillId="0" borderId="0" xfId="0" applyFont="1" applyAlignment="1" applyProtection="1">
      <alignment horizontal="right" vertical="center"/>
      <protection locked="0"/>
    </xf>
    <xf numFmtId="0" fontId="33" fillId="34" borderId="25" xfId="0" applyFont="1" applyFill="1" applyBorder="1" applyAlignment="1">
      <alignment horizontal="center" vertical="center" wrapText="1"/>
    </xf>
    <xf numFmtId="14" fontId="71" fillId="0" borderId="19" xfId="0" applyNumberFormat="1" applyFont="1" applyBorder="1" applyAlignment="1">
      <alignment vertical="center"/>
    </xf>
    <xf numFmtId="0" fontId="115" fillId="0" borderId="69" xfId="0" applyFont="1" applyBorder="1" applyAlignment="1" applyProtection="1">
      <alignment horizontal="right"/>
    </xf>
    <xf numFmtId="0" fontId="34" fillId="0" borderId="10" xfId="0" applyFont="1" applyBorder="1"/>
    <xf numFmtId="0" fontId="115" fillId="46" borderId="65" xfId="0" applyFont="1" applyFill="1" applyBorder="1" applyAlignment="1" applyProtection="1">
      <alignment horizontal="center"/>
    </xf>
    <xf numFmtId="0" fontId="20" fillId="34" borderId="22" xfId="0" applyFont="1" applyFill="1" applyBorder="1" applyAlignment="1">
      <alignment horizontal="center"/>
    </xf>
    <xf numFmtId="0" fontId="115" fillId="0" borderId="65" xfId="0" applyFont="1" applyBorder="1" applyAlignment="1" applyProtection="1">
      <alignment horizontal="center"/>
    </xf>
    <xf numFmtId="0" fontId="20" fillId="0" borderId="22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 vertical="center" wrapText="1"/>
    </xf>
    <xf numFmtId="14" fontId="115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15" fillId="0" borderId="0" xfId="0" applyFont="1" applyAlignment="1" applyProtection="1">
      <alignment horizontal="center"/>
    </xf>
    <xf numFmtId="0" fontId="115" fillId="0" borderId="0" xfId="0" applyFont="1" applyAlignment="1" applyProtection="1">
      <alignment horizontal="left"/>
    </xf>
    <xf numFmtId="0" fontId="20" fillId="0" borderId="0" xfId="0" applyFont="1" applyAlignment="1">
      <alignment horizontal="left"/>
    </xf>
    <xf numFmtId="0" fontId="35" fillId="34" borderId="25" xfId="0" applyFont="1" applyFill="1" applyBorder="1" applyAlignment="1">
      <alignment horizontal="center" vertical="center" wrapText="1"/>
    </xf>
    <xf numFmtId="0" fontId="35" fillId="34" borderId="23" xfId="0" applyFont="1" applyFill="1" applyBorder="1" applyAlignment="1">
      <alignment horizontal="center" vertical="center" wrapText="1"/>
    </xf>
    <xf numFmtId="0" fontId="35" fillId="34" borderId="11" xfId="0" applyFont="1" applyFill="1" applyBorder="1" applyAlignment="1">
      <alignment horizontal="center"/>
    </xf>
    <xf numFmtId="0" fontId="35" fillId="34" borderId="13" xfId="0" applyFont="1" applyFill="1" applyBorder="1" applyAlignment="1">
      <alignment horizontal="center"/>
    </xf>
    <xf numFmtId="0" fontId="35" fillId="34" borderId="16" xfId="0" applyFont="1" applyFill="1" applyBorder="1" applyAlignment="1">
      <alignment horizontal="center"/>
    </xf>
    <xf numFmtId="0" fontId="35" fillId="34" borderId="18" xfId="0" applyFont="1" applyFill="1" applyBorder="1" applyAlignment="1">
      <alignment horizontal="center"/>
    </xf>
    <xf numFmtId="0" fontId="71" fillId="0" borderId="28" xfId="0" applyFont="1" applyBorder="1" applyAlignment="1">
      <alignment horizontal="center" vertical="center"/>
    </xf>
    <xf numFmtId="0" fontId="73" fillId="0" borderId="0" xfId="0" applyFont="1" applyAlignment="1">
      <alignment horizontal="left" vertical="top"/>
    </xf>
    <xf numFmtId="0" fontId="76" fillId="34" borderId="0" xfId="0" applyFont="1" applyFill="1" applyAlignment="1">
      <alignment horizontal="center" vertical="center"/>
    </xf>
    <xf numFmtId="14" fontId="115" fillId="0" borderId="0" xfId="0" applyNumberFormat="1" applyFont="1" applyAlignment="1" applyProtection="1">
      <alignment horizontal="center" vertical="center"/>
    </xf>
    <xf numFmtId="0" fontId="73" fillId="0" borderId="0" xfId="0" applyFont="1" applyAlignment="1">
      <alignment horizontal="center" vertical="center"/>
    </xf>
    <xf numFmtId="0" fontId="115" fillId="0" borderId="0" xfId="0" applyFont="1" applyAlignment="1" applyProtection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74" fillId="34" borderId="10" xfId="0" applyFont="1" applyFill="1" applyBorder="1" applyAlignment="1">
      <alignment horizontal="center" vertical="center" wrapText="1"/>
    </xf>
    <xf numFmtId="0" fontId="74" fillId="34" borderId="10" xfId="0" applyFont="1" applyFill="1" applyBorder="1" applyAlignment="1">
      <alignment horizontal="center" vertical="center"/>
    </xf>
    <xf numFmtId="0" fontId="75" fillId="34" borderId="10" xfId="0" applyFont="1" applyFill="1" applyBorder="1" applyAlignment="1">
      <alignment horizontal="center" vertical="center" wrapText="1"/>
    </xf>
    <xf numFmtId="0" fontId="21" fillId="36" borderId="0" xfId="42" applyFont="1" applyFill="1" applyAlignment="1" applyProtection="1">
      <alignment horizontal="center"/>
      <protection locked="0"/>
    </xf>
    <xf numFmtId="0" fontId="77" fillId="36" borderId="0" xfId="42" applyFont="1" applyFill="1" applyAlignment="1" applyProtection="1">
      <alignment horizontal="center"/>
      <protection locked="0"/>
    </xf>
    <xf numFmtId="0" fontId="78" fillId="0" borderId="0" xfId="42" applyFont="1" applyAlignment="1" applyProtection="1">
      <alignment horizontal="left"/>
      <protection locked="0"/>
    </xf>
    <xf numFmtId="14" fontId="110" fillId="0" borderId="61" xfId="0" applyNumberFormat="1" applyFont="1" applyBorder="1" applyAlignment="1" applyProtection="1">
      <alignment horizontal="center"/>
    </xf>
    <xf numFmtId="14" fontId="79" fillId="0" borderId="19" xfId="42" applyNumberFormat="1" applyFont="1" applyBorder="1" applyAlignment="1" applyProtection="1">
      <alignment horizontal="center"/>
      <protection locked="0"/>
    </xf>
    <xf numFmtId="0" fontId="110" fillId="0" borderId="61" xfId="0" applyFont="1" applyBorder="1" applyAlignment="1" applyProtection="1">
      <alignment horizontal="left"/>
    </xf>
    <xf numFmtId="0" fontId="79" fillId="0" borderId="19" xfId="42" applyFont="1" applyBorder="1" applyAlignment="1" applyProtection="1">
      <alignment horizontal="left"/>
      <protection locked="0"/>
    </xf>
    <xf numFmtId="0" fontId="78" fillId="0" borderId="0" xfId="42" applyFont="1" applyAlignment="1" applyProtection="1">
      <alignment horizontal="center" vertical="center" wrapText="1"/>
      <protection locked="0"/>
    </xf>
    <xf numFmtId="0" fontId="79" fillId="0" borderId="27" xfId="42" applyFont="1" applyBorder="1" applyAlignment="1" applyProtection="1">
      <alignment horizontal="center" vertical="center"/>
      <protection locked="0"/>
    </xf>
    <xf numFmtId="0" fontId="79" fillId="0" borderId="19" xfId="42" applyFont="1" applyBorder="1" applyAlignment="1" applyProtection="1">
      <alignment horizontal="center" vertical="center"/>
      <protection locked="0"/>
    </xf>
    <xf numFmtId="0" fontId="110" fillId="0" borderId="68" xfId="0" applyFont="1" applyBorder="1" applyAlignment="1" applyProtection="1">
      <alignment horizontal="left"/>
    </xf>
    <xf numFmtId="0" fontId="79" fillId="0" borderId="28" xfId="42" applyFont="1" applyBorder="1" applyAlignment="1" applyProtection="1">
      <alignment horizontal="left"/>
      <protection locked="0"/>
    </xf>
    <xf numFmtId="0" fontId="78" fillId="0" borderId="25" xfId="42" applyFont="1" applyBorder="1" applyAlignment="1" applyProtection="1">
      <alignment horizontal="left" vertical="center" wrapText="1"/>
      <protection locked="0"/>
    </xf>
    <xf numFmtId="0" fontId="78" fillId="0" borderId="24" xfId="42" applyFont="1" applyBorder="1" applyAlignment="1" applyProtection="1">
      <alignment horizontal="left" vertical="center" wrapText="1"/>
      <protection locked="0"/>
    </xf>
    <xf numFmtId="0" fontId="80" fillId="36" borderId="25" xfId="42" applyFont="1" applyFill="1" applyBorder="1" applyAlignment="1" applyProtection="1">
      <alignment horizontal="center" vertical="center"/>
      <protection locked="0"/>
    </xf>
    <xf numFmtId="0" fontId="80" fillId="36" borderId="23" xfId="42" applyFont="1" applyFill="1" applyBorder="1" applyAlignment="1" applyProtection="1">
      <alignment horizontal="center" vertical="center"/>
      <protection locked="0"/>
    </xf>
    <xf numFmtId="0" fontId="80" fillId="36" borderId="11" xfId="42" applyFont="1" applyFill="1" applyBorder="1" applyAlignment="1" applyProtection="1">
      <alignment horizontal="center" vertical="center" wrapText="1"/>
      <protection locked="0"/>
    </xf>
    <xf numFmtId="0" fontId="80" fillId="36" borderId="13" xfId="42" applyFont="1" applyFill="1" applyBorder="1" applyAlignment="1" applyProtection="1">
      <alignment horizontal="center" vertical="center" wrapText="1"/>
      <protection locked="0"/>
    </xf>
    <xf numFmtId="0" fontId="80" fillId="36" borderId="16" xfId="42" applyFont="1" applyFill="1" applyBorder="1" applyAlignment="1" applyProtection="1">
      <alignment horizontal="center" vertical="center" wrapText="1"/>
      <protection locked="0"/>
    </xf>
    <xf numFmtId="0" fontId="80" fillId="36" borderId="18" xfId="42" applyFont="1" applyFill="1" applyBorder="1" applyAlignment="1" applyProtection="1">
      <alignment horizontal="center" vertical="center" wrapText="1"/>
      <protection locked="0"/>
    </xf>
    <xf numFmtId="0" fontId="81" fillId="36" borderId="12" xfId="42" applyFont="1" applyFill="1" applyBorder="1" applyAlignment="1" applyProtection="1">
      <alignment horizontal="center" vertical="center" wrapText="1"/>
      <protection locked="0"/>
    </xf>
    <xf numFmtId="0" fontId="81" fillId="36" borderId="13" xfId="42" applyFont="1" applyFill="1" applyBorder="1" applyAlignment="1" applyProtection="1">
      <alignment horizontal="center" vertical="center" wrapText="1"/>
      <protection locked="0"/>
    </xf>
    <xf numFmtId="0" fontId="81" fillId="36" borderId="17" xfId="42" applyFont="1" applyFill="1" applyBorder="1" applyAlignment="1" applyProtection="1">
      <alignment horizontal="center" vertical="center" wrapText="1"/>
      <protection locked="0"/>
    </xf>
    <xf numFmtId="0" fontId="81" fillId="36" borderId="18" xfId="42" applyFont="1" applyFill="1" applyBorder="1" applyAlignment="1" applyProtection="1">
      <alignment horizontal="center" vertical="center" wrapText="1"/>
      <protection locked="0"/>
    </xf>
    <xf numFmtId="0" fontId="115" fillId="0" borderId="69" xfId="0" applyFont="1" applyBorder="1" applyAlignment="1" applyProtection="1">
      <alignment horizontal="center" vertical="center"/>
    </xf>
    <xf numFmtId="0" fontId="34" fillId="0" borderId="0" xfId="42" applyFont="1" applyAlignment="1" applyProtection="1">
      <alignment horizontal="left" vertical="top" wrapText="1"/>
      <protection locked="0"/>
    </xf>
    <xf numFmtId="0" fontId="32" fillId="36" borderId="0" xfId="42" applyFont="1" applyFill="1" applyAlignment="1" applyProtection="1">
      <alignment horizontal="center"/>
      <protection locked="0"/>
    </xf>
    <xf numFmtId="0" fontId="34" fillId="0" borderId="0" xfId="42" applyFont="1" applyAlignment="1" applyProtection="1">
      <alignment horizontal="left"/>
      <protection locked="0"/>
    </xf>
    <xf numFmtId="0" fontId="36" fillId="0" borderId="19" xfId="42" applyFont="1" applyBorder="1" applyAlignment="1" applyProtection="1">
      <alignment horizontal="left"/>
      <protection locked="0"/>
    </xf>
    <xf numFmtId="0" fontId="36" fillId="0" borderId="19" xfId="42" applyFont="1" applyBorder="1" applyAlignment="1" applyProtection="1">
      <alignment horizontal="center" vertical="center"/>
      <protection locked="0"/>
    </xf>
    <xf numFmtId="0" fontId="33" fillId="36" borderId="25" xfId="42" applyFont="1" applyFill="1" applyBorder="1" applyAlignment="1" applyProtection="1">
      <alignment horizontal="center" vertical="center"/>
      <protection locked="0"/>
    </xf>
    <xf numFmtId="0" fontId="33" fillId="36" borderId="23" xfId="42" applyFont="1" applyFill="1" applyBorder="1" applyAlignment="1" applyProtection="1">
      <alignment horizontal="center" vertical="center"/>
      <protection locked="0"/>
    </xf>
    <xf numFmtId="0" fontId="33" fillId="36" borderId="11" xfId="42" applyFont="1" applyFill="1" applyBorder="1" applyAlignment="1" applyProtection="1">
      <alignment horizontal="center" vertical="center" wrapText="1"/>
      <protection locked="0"/>
    </xf>
    <xf numFmtId="0" fontId="33" fillId="36" borderId="16" xfId="42" applyFont="1" applyFill="1" applyBorder="1" applyAlignment="1" applyProtection="1">
      <alignment horizontal="center" vertical="center" wrapText="1"/>
      <protection locked="0"/>
    </xf>
    <xf numFmtId="0" fontId="33" fillId="36" borderId="10" xfId="42" applyFont="1" applyFill="1" applyBorder="1" applyAlignment="1" applyProtection="1">
      <alignment horizontal="center" vertical="center" wrapText="1"/>
      <protection locked="0"/>
    </xf>
    <xf numFmtId="0" fontId="37" fillId="36" borderId="10" xfId="42" applyFont="1" applyFill="1" applyBorder="1" applyAlignment="1" applyProtection="1">
      <alignment horizontal="center" vertical="center" wrapText="1"/>
      <protection locked="0"/>
    </xf>
    <xf numFmtId="3" fontId="115" fillId="0" borderId="65" xfId="0" applyNumberFormat="1" applyFont="1" applyBorder="1" applyAlignment="1" applyProtection="1">
      <alignment horizontal="right" vertical="center"/>
    </xf>
    <xf numFmtId="3" fontId="34" fillId="0" borderId="22" xfId="42" applyNumberFormat="1" applyFont="1" applyBorder="1" applyAlignment="1" applyProtection="1">
      <alignment horizontal="right" vertical="center"/>
      <protection locked="0"/>
    </xf>
    <xf numFmtId="0" fontId="115" fillId="0" borderId="71" xfId="0" applyFont="1" applyBorder="1" applyAlignment="1" applyProtection="1">
      <alignment horizontal="center" vertical="center"/>
    </xf>
    <xf numFmtId="0" fontId="34" fillId="0" borderId="22" xfId="42" applyFont="1" applyBorder="1" applyAlignment="1" applyProtection="1">
      <alignment horizontal="center" vertical="center"/>
      <protection locked="0"/>
    </xf>
    <xf numFmtId="3" fontId="115" fillId="0" borderId="72" xfId="0" applyNumberFormat="1" applyFont="1" applyBorder="1" applyAlignment="1" applyProtection="1">
      <alignment horizontal="right" vertical="center"/>
    </xf>
    <xf numFmtId="3" fontId="34" fillId="0" borderId="13" xfId="42" applyNumberFormat="1" applyFont="1" applyBorder="1" applyAlignment="1" applyProtection="1">
      <alignment horizontal="right" vertical="center"/>
      <protection locked="0"/>
    </xf>
    <xf numFmtId="3" fontId="115" fillId="0" borderId="62" xfId="0" applyNumberFormat="1" applyFont="1" applyBorder="1" applyAlignment="1" applyProtection="1">
      <alignment horizontal="right" vertical="center"/>
    </xf>
    <xf numFmtId="3" fontId="34" fillId="0" borderId="18" xfId="42" applyNumberFormat="1" applyFont="1" applyBorder="1" applyAlignment="1" applyProtection="1">
      <alignment horizontal="right" vertical="center"/>
      <protection locked="0"/>
    </xf>
    <xf numFmtId="0" fontId="33" fillId="36" borderId="25" xfId="42" applyFont="1" applyFill="1" applyBorder="1" applyAlignment="1" applyProtection="1">
      <alignment horizontal="center" vertical="center" wrapText="1"/>
      <protection locked="0"/>
    </xf>
    <xf numFmtId="0" fontId="33" fillId="36" borderId="23" xfId="42" applyFont="1" applyFill="1" applyBorder="1" applyAlignment="1" applyProtection="1">
      <alignment horizontal="center" vertical="center" wrapText="1"/>
      <protection locked="0"/>
    </xf>
    <xf numFmtId="0" fontId="33" fillId="36" borderId="13" xfId="42" applyFont="1" applyFill="1" applyBorder="1" applyAlignment="1" applyProtection="1">
      <alignment horizontal="center" vertical="center" wrapText="1"/>
      <protection locked="0"/>
    </xf>
    <xf numFmtId="0" fontId="33" fillId="36" borderId="18" xfId="42" applyFont="1" applyFill="1" applyBorder="1" applyAlignment="1" applyProtection="1">
      <alignment horizontal="center" vertical="center" wrapText="1"/>
      <protection locked="0"/>
    </xf>
    <xf numFmtId="0" fontId="37" fillId="36" borderId="25" xfId="42" applyFont="1" applyFill="1" applyBorder="1" applyAlignment="1" applyProtection="1">
      <alignment horizontal="center" vertical="center" wrapText="1"/>
      <protection locked="0"/>
    </xf>
    <xf numFmtId="0" fontId="37" fillId="36" borderId="23" xfId="42" applyFont="1" applyFill="1" applyBorder="1" applyAlignment="1" applyProtection="1">
      <alignment horizontal="center" vertical="center" wrapText="1"/>
      <protection locked="0"/>
    </xf>
    <xf numFmtId="3" fontId="115" fillId="0" borderId="69" xfId="0" applyNumberFormat="1" applyFont="1" applyBorder="1" applyAlignment="1" applyProtection="1">
      <alignment horizontal="right" vertical="center"/>
    </xf>
    <xf numFmtId="3" fontId="67" fillId="0" borderId="10" xfId="0" applyNumberFormat="1" applyFont="1" applyBorder="1" applyAlignment="1" applyProtection="1">
      <alignment horizontal="right" vertical="center"/>
      <protection locked="0"/>
    </xf>
    <xf numFmtId="14" fontId="36" fillId="0" borderId="19" xfId="42" applyNumberFormat="1" applyFont="1" applyBorder="1" applyAlignment="1" applyProtection="1">
      <alignment horizontal="center"/>
      <protection locked="0"/>
    </xf>
    <xf numFmtId="0" fontId="34" fillId="0" borderId="0" xfId="42" applyFont="1" applyAlignment="1" applyProtection="1">
      <alignment horizontal="center" vertical="center" wrapText="1"/>
      <protection locked="0"/>
    </xf>
    <xf numFmtId="0" fontId="36" fillId="0" borderId="27" xfId="42" applyFont="1" applyBorder="1" applyAlignment="1" applyProtection="1">
      <alignment horizontal="center" vertical="center"/>
      <protection locked="0"/>
    </xf>
    <xf numFmtId="0" fontId="36" fillId="0" borderId="28" xfId="42" applyFont="1" applyBorder="1" applyAlignment="1" applyProtection="1">
      <alignment horizontal="left"/>
      <protection locked="0"/>
    </xf>
    <xf numFmtId="3" fontId="34" fillId="0" borderId="22" xfId="42" applyNumberFormat="1" applyFont="1" applyBorder="1" applyAlignment="1" applyProtection="1">
      <alignment vertical="center"/>
      <protection locked="0"/>
    </xf>
    <xf numFmtId="0" fontId="59" fillId="0" borderId="0" xfId="42" applyFont="1" applyAlignment="1" applyProtection="1">
      <alignment horizontal="center"/>
      <protection locked="0"/>
    </xf>
    <xf numFmtId="0" fontId="37" fillId="36" borderId="12" xfId="42" applyFont="1" applyFill="1" applyBorder="1" applyAlignment="1" applyProtection="1">
      <alignment horizontal="center" vertical="center" wrapText="1"/>
      <protection locked="0"/>
    </xf>
    <xf numFmtId="0" fontId="37" fillId="36" borderId="13" xfId="42" applyFont="1" applyFill="1" applyBorder="1" applyAlignment="1" applyProtection="1">
      <alignment horizontal="center" vertical="center" wrapText="1"/>
      <protection locked="0"/>
    </xf>
    <xf numFmtId="0" fontId="37" fillId="36" borderId="17" xfId="42" applyFont="1" applyFill="1" applyBorder="1" applyAlignment="1" applyProtection="1">
      <alignment horizontal="center" vertical="center" wrapText="1"/>
      <protection locked="0"/>
    </xf>
    <xf numFmtId="0" fontId="37" fillId="36" borderId="18" xfId="42" applyFont="1" applyFill="1" applyBorder="1" applyAlignment="1" applyProtection="1">
      <alignment horizontal="center" vertical="center" wrapText="1"/>
      <protection locked="0"/>
    </xf>
    <xf numFmtId="0" fontId="137" fillId="0" borderId="65" xfId="0" applyFont="1" applyBorder="1" applyAlignment="1" applyProtection="1">
      <alignment horizontal="center" vertical="center"/>
    </xf>
    <xf numFmtId="0" fontId="34" fillId="0" borderId="20" xfId="42" applyFont="1" applyBorder="1" applyAlignment="1" applyProtection="1">
      <alignment horizontal="center" vertical="center"/>
      <protection locked="0"/>
    </xf>
    <xf numFmtId="0" fontId="34" fillId="37" borderId="20" xfId="42" applyFont="1" applyFill="1" applyBorder="1" applyAlignment="1" applyProtection="1">
      <alignment horizontal="center" vertical="center"/>
      <protection locked="0"/>
    </xf>
    <xf numFmtId="0" fontId="34" fillId="37" borderId="22" xfId="42" applyFont="1" applyFill="1" applyBorder="1" applyAlignment="1" applyProtection="1">
      <alignment horizontal="center" vertical="center"/>
      <protection locked="0"/>
    </xf>
    <xf numFmtId="0" fontId="34" fillId="0" borderId="21" xfId="42" applyFont="1" applyBorder="1" applyAlignment="1" applyProtection="1">
      <alignment vertical="center"/>
      <protection locked="0"/>
    </xf>
    <xf numFmtId="0" fontId="36" fillId="0" borderId="17" xfId="42" applyFont="1" applyBorder="1" applyAlignment="1" applyProtection="1">
      <alignment horizontal="center" vertical="top" wrapText="1"/>
      <protection locked="0"/>
    </xf>
    <xf numFmtId="0" fontId="38" fillId="36" borderId="25" xfId="42" applyFont="1" applyFill="1" applyBorder="1" applyAlignment="1" applyProtection="1">
      <alignment horizontal="center" vertical="center" wrapText="1"/>
      <protection locked="0"/>
    </xf>
    <xf numFmtId="0" fontId="38" fillId="36" borderId="23" xfId="42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Alignment="1" applyProtection="1">
      <alignment horizontal="left" vertical="center"/>
      <protection locked="0"/>
    </xf>
    <xf numFmtId="14" fontId="36" fillId="0" borderId="19" xfId="42" applyNumberFormat="1" applyFont="1" applyBorder="1" applyAlignment="1" applyProtection="1">
      <alignment horizontal="center" vertical="center"/>
      <protection locked="0"/>
    </xf>
    <xf numFmtId="0" fontId="110" fillId="0" borderId="68" xfId="0" applyFont="1" applyBorder="1" applyAlignment="1" applyProtection="1">
      <alignment horizontal="left" vertical="center"/>
    </xf>
    <xf numFmtId="0" fontId="36" fillId="0" borderId="28" xfId="42" applyFont="1" applyBorder="1" applyAlignment="1" applyProtection="1">
      <alignment horizontal="left" vertical="center"/>
      <protection locked="0"/>
    </xf>
    <xf numFmtId="3" fontId="115" fillId="47" borderId="65" xfId="0" applyNumberFormat="1" applyFont="1" applyFill="1" applyBorder="1" applyAlignment="1" applyProtection="1">
      <alignment horizontal="right" vertical="center"/>
    </xf>
    <xf numFmtId="3" fontId="20" fillId="35" borderId="22" xfId="0" applyNumberFormat="1" applyFont="1" applyFill="1" applyBorder="1" applyAlignment="1">
      <alignment horizontal="right" vertical="center"/>
    </xf>
    <xf numFmtId="3" fontId="20" fillId="0" borderId="22" xfId="0" applyNumberFormat="1" applyFont="1" applyBorder="1" applyAlignment="1">
      <alignment horizontal="right" vertical="center"/>
    </xf>
    <xf numFmtId="3" fontId="115" fillId="49" borderId="65" xfId="0" applyNumberFormat="1" applyFont="1" applyFill="1" applyBorder="1" applyAlignment="1" applyProtection="1">
      <alignment horizontal="right" vertical="center"/>
    </xf>
    <xf numFmtId="3" fontId="20" fillId="42" borderId="22" xfId="0" applyNumberFormat="1" applyFont="1" applyFill="1" applyBorder="1" applyAlignment="1">
      <alignment horizontal="right" vertical="center"/>
    </xf>
    <xf numFmtId="3" fontId="115" fillId="47" borderId="65" xfId="0" applyNumberFormat="1" applyFont="1" applyFill="1" applyBorder="1" applyAlignment="1" applyProtection="1">
      <alignment horizontal="right" vertical="center" wrapText="1"/>
    </xf>
    <xf numFmtId="3" fontId="20" fillId="35" borderId="22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37" fillId="34" borderId="11" xfId="0" applyFont="1" applyFill="1" applyBorder="1" applyAlignment="1">
      <alignment horizontal="center" vertical="center" wrapText="1"/>
    </xf>
    <xf numFmtId="0" fontId="37" fillId="34" borderId="13" xfId="0" applyFont="1" applyFill="1" applyBorder="1" applyAlignment="1">
      <alignment horizontal="center" vertical="center" wrapText="1"/>
    </xf>
    <xf numFmtId="0" fontId="37" fillId="34" borderId="16" xfId="0" applyFont="1" applyFill="1" applyBorder="1" applyAlignment="1">
      <alignment horizontal="center" vertical="center" wrapText="1"/>
    </xf>
    <xf numFmtId="0" fontId="37" fillId="34" borderId="18" xfId="0" applyFont="1" applyFill="1" applyBorder="1" applyAlignment="1">
      <alignment horizontal="center" vertical="center" wrapText="1"/>
    </xf>
    <xf numFmtId="3" fontId="115" fillId="0" borderId="65" xfId="0" applyNumberFormat="1" applyFont="1" applyBorder="1" applyAlignment="1" applyProtection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115" fillId="49" borderId="65" xfId="0" applyNumberFormat="1" applyFont="1" applyFill="1" applyBorder="1" applyAlignment="1" applyProtection="1">
      <alignment horizontal="right" vertical="center" wrapText="1"/>
    </xf>
    <xf numFmtId="3" fontId="20" fillId="42" borderId="22" xfId="0" applyNumberFormat="1" applyFont="1" applyFill="1" applyBorder="1" applyAlignment="1">
      <alignment horizontal="right" vertical="center" wrapText="1"/>
    </xf>
    <xf numFmtId="3" fontId="115" fillId="49" borderId="65" xfId="0" applyNumberFormat="1" applyFont="1" applyFill="1" applyBorder="1" applyAlignment="1" applyProtection="1">
      <alignment horizontal="center" vertical="center"/>
    </xf>
    <xf numFmtId="3" fontId="20" fillId="42" borderId="22" xfId="0" applyNumberFormat="1" applyFont="1" applyFill="1" applyBorder="1" applyAlignment="1">
      <alignment horizontal="center" vertical="center"/>
    </xf>
    <xf numFmtId="0" fontId="110" fillId="0" borderId="0" xfId="0" applyFont="1" applyAlignment="1" applyProtection="1">
      <alignment horizontal="center" vertical="center"/>
    </xf>
    <xf numFmtId="0" fontId="3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10" fillId="0" borderId="0" xfId="0" applyNumberFormat="1" applyFont="1" applyAlignment="1" applyProtection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34" fillId="0" borderId="20" xfId="42" applyFont="1" applyBorder="1" applyAlignment="1" applyProtection="1">
      <alignment vertical="center" wrapText="1"/>
      <protection locked="0"/>
    </xf>
    <xf numFmtId="0" fontId="34" fillId="0" borderId="22" xfId="42" applyFont="1" applyBorder="1" applyAlignment="1" applyProtection="1">
      <alignment vertical="center" wrapText="1"/>
      <protection locked="0"/>
    </xf>
    <xf numFmtId="3" fontId="115" fillId="0" borderId="70" xfId="0" applyNumberFormat="1" applyFont="1" applyBorder="1" applyAlignment="1" applyProtection="1">
      <alignment horizontal="right" vertical="center"/>
    </xf>
    <xf numFmtId="0" fontId="60" fillId="36" borderId="20" xfId="42" applyFont="1" applyFill="1" applyBorder="1" applyAlignment="1" applyProtection="1">
      <alignment horizontal="center" vertical="center" wrapText="1"/>
      <protection locked="0"/>
    </xf>
    <xf numFmtId="0" fontId="60" fillId="36" borderId="21" xfId="42" applyFont="1" applyFill="1" applyBorder="1" applyAlignment="1" applyProtection="1">
      <alignment horizontal="center" vertical="center" wrapText="1"/>
      <protection locked="0"/>
    </xf>
    <xf numFmtId="0" fontId="60" fillId="36" borderId="22" xfId="42" applyFont="1" applyFill="1" applyBorder="1" applyAlignment="1" applyProtection="1">
      <alignment horizontal="center" vertical="center" wrapText="1"/>
      <protection locked="0"/>
    </xf>
    <xf numFmtId="0" fontId="33" fillId="36" borderId="20" xfId="42" applyFont="1" applyFill="1" applyBorder="1" applyAlignment="1" applyProtection="1">
      <alignment horizontal="center" vertical="center" wrapText="1"/>
      <protection locked="0"/>
    </xf>
    <xf numFmtId="0" fontId="33" fillId="36" borderId="22" xfId="42" applyFont="1" applyFill="1" applyBorder="1" applyAlignment="1" applyProtection="1">
      <alignment horizontal="center" vertical="center" wrapText="1"/>
      <protection locked="0"/>
    </xf>
    <xf numFmtId="3" fontId="115" fillId="50" borderId="62" xfId="0" applyNumberFormat="1" applyFont="1" applyFill="1" applyBorder="1" applyAlignment="1" applyProtection="1">
      <alignment horizontal="right" vertical="center"/>
    </xf>
    <xf numFmtId="3" fontId="67" fillId="39" borderId="52" xfId="0" applyNumberFormat="1" applyFont="1" applyFill="1" applyBorder="1" applyAlignment="1" applyProtection="1">
      <alignment horizontal="right" vertical="center"/>
      <protection locked="0"/>
    </xf>
    <xf numFmtId="3" fontId="67" fillId="39" borderId="53" xfId="0" applyNumberFormat="1" applyFont="1" applyFill="1" applyBorder="1" applyAlignment="1" applyProtection="1">
      <alignment horizontal="right" vertical="center"/>
      <protection locked="0"/>
    </xf>
    <xf numFmtId="0" fontId="34" fillId="0" borderId="0" xfId="42" applyFont="1" applyAlignment="1" applyProtection="1">
      <alignment horizontal="left" vertical="top"/>
      <protection locked="0"/>
    </xf>
    <xf numFmtId="0" fontId="32" fillId="36" borderId="0" xfId="42" applyFont="1" applyFill="1" applyAlignment="1" applyProtection="1">
      <alignment horizontal="center" vertical="center" wrapText="1"/>
      <protection locked="0"/>
    </xf>
    <xf numFmtId="0" fontId="36" fillId="0" borderId="19" xfId="42" applyFont="1" applyBorder="1" applyAlignment="1" applyProtection="1">
      <alignment horizontal="center"/>
      <protection locked="0"/>
    </xf>
    <xf numFmtId="0" fontId="34" fillId="0" borderId="0" xfId="42" applyFont="1" applyAlignment="1" applyProtection="1">
      <alignment horizontal="center" vertical="center"/>
      <protection locked="0"/>
    </xf>
    <xf numFmtId="0" fontId="110" fillId="0" borderId="67" xfId="0" applyFont="1" applyBorder="1" applyAlignment="1" applyProtection="1">
      <alignment horizontal="left" vertical="center"/>
    </xf>
    <xf numFmtId="0" fontId="36" fillId="0" borderId="27" xfId="42" applyFont="1" applyBorder="1" applyAlignment="1" applyProtection="1">
      <alignment horizontal="left" vertical="center"/>
      <protection locked="0"/>
    </xf>
    <xf numFmtId="0" fontId="36" fillId="0" borderId="19" xfId="42" applyFont="1" applyBorder="1" applyAlignment="1" applyProtection="1">
      <alignment horizontal="left" vertical="center"/>
      <protection locked="0"/>
    </xf>
    <xf numFmtId="0" fontId="36" fillId="0" borderId="20" xfId="42" applyFont="1" applyBorder="1" applyAlignment="1" applyProtection="1">
      <alignment horizontal="left" vertical="center" wrapText="1"/>
      <protection locked="0"/>
    </xf>
    <xf numFmtId="0" fontId="36" fillId="0" borderId="22" xfId="42" applyFont="1" applyBorder="1" applyAlignment="1" applyProtection="1">
      <alignment horizontal="left" vertical="center" wrapText="1"/>
      <protection locked="0"/>
    </xf>
    <xf numFmtId="0" fontId="34" fillId="0" borderId="20" xfId="42" applyFont="1" applyBorder="1" applyAlignment="1" applyProtection="1">
      <alignment horizontal="left" vertical="center" wrapText="1"/>
      <protection locked="0"/>
    </xf>
    <xf numFmtId="0" fontId="34" fillId="0" borderId="22" xfId="42" applyFont="1" applyBorder="1" applyAlignment="1" applyProtection="1">
      <alignment horizontal="left" vertical="center" wrapText="1"/>
      <protection locked="0"/>
    </xf>
    <xf numFmtId="0" fontId="36" fillId="37" borderId="20" xfId="42" applyFont="1" applyFill="1" applyBorder="1" applyAlignment="1" applyProtection="1">
      <alignment horizontal="left" vertical="center" wrapText="1"/>
      <protection locked="0"/>
    </xf>
    <xf numFmtId="0" fontId="36" fillId="37" borderId="22" xfId="42" applyFont="1" applyFill="1" applyBorder="1" applyAlignment="1" applyProtection="1">
      <alignment horizontal="left" vertical="center" wrapText="1"/>
      <protection locked="0"/>
    </xf>
    <xf numFmtId="0" fontId="33" fillId="36" borderId="20" xfId="42" applyFont="1" applyFill="1" applyBorder="1" applyAlignment="1" applyProtection="1">
      <alignment horizontal="left" vertical="center"/>
      <protection locked="0"/>
    </xf>
    <xf numFmtId="0" fontId="33" fillId="36" borderId="22" xfId="42" applyFont="1" applyFill="1" applyBorder="1" applyAlignment="1" applyProtection="1">
      <alignment horizontal="left" vertical="center"/>
      <protection locked="0"/>
    </xf>
    <xf numFmtId="0" fontId="33" fillId="34" borderId="0" xfId="0" applyFont="1" applyFill="1" applyAlignment="1">
      <alignment horizontal="center" vertical="center"/>
    </xf>
    <xf numFmtId="164" fontId="129" fillId="0" borderId="20" xfId="53" applyNumberFormat="1" applyFont="1" applyBorder="1" applyAlignment="1" applyProtection="1">
      <alignment horizontal="center" vertical="center" wrapText="1"/>
      <protection locked="0" hidden="1"/>
    </xf>
    <xf numFmtId="164" fontId="129" fillId="0" borderId="22" xfId="53" applyNumberFormat="1" applyFont="1" applyBorder="1" applyAlignment="1" applyProtection="1">
      <alignment horizontal="center" vertical="center" wrapText="1"/>
      <protection locked="0" hidden="1"/>
    </xf>
    <xf numFmtId="14" fontId="115" fillId="0" borderId="61" xfId="0" applyNumberFormat="1" applyFont="1" applyBorder="1" applyAlignment="1" applyProtection="1">
      <alignment horizontal="center"/>
    </xf>
    <xf numFmtId="0" fontId="34" fillId="0" borderId="19" xfId="42" applyFont="1" applyBorder="1" applyAlignment="1" applyProtection="1">
      <alignment horizontal="center"/>
      <protection locked="0"/>
    </xf>
    <xf numFmtId="0" fontId="115" fillId="0" borderId="61" xfId="0" applyFont="1" applyBorder="1" applyAlignment="1" applyProtection="1">
      <alignment horizontal="center"/>
    </xf>
    <xf numFmtId="164" fontId="125" fillId="36" borderId="29" xfId="53" applyNumberFormat="1" applyFont="1" applyFill="1" applyBorder="1" applyAlignment="1" applyProtection="1">
      <alignment horizontal="right" vertical="top"/>
      <protection locked="0" hidden="1"/>
    </xf>
    <xf numFmtId="164" fontId="125" fillId="36" borderId="31" xfId="53" applyNumberFormat="1" applyFont="1" applyFill="1" applyBorder="1" applyAlignment="1" applyProtection="1">
      <alignment horizontal="right" vertical="top"/>
      <protection locked="0" hidden="1"/>
    </xf>
    <xf numFmtId="164" fontId="125" fillId="36" borderId="33" xfId="53" applyNumberFormat="1" applyFont="1" applyFill="1" applyBorder="1" applyAlignment="1" applyProtection="1">
      <alignment horizontal="right" vertical="top"/>
      <protection locked="0" hidden="1"/>
    </xf>
    <xf numFmtId="164" fontId="125" fillId="36" borderId="20" xfId="53" applyNumberFormat="1" applyFont="1" applyFill="1" applyBorder="1" applyAlignment="1" applyProtection="1">
      <alignment horizontal="center" vertical="center"/>
      <protection locked="0" hidden="1"/>
    </xf>
    <xf numFmtId="164" fontId="125" fillId="36" borderId="21" xfId="53" applyNumberFormat="1" applyFont="1" applyFill="1" applyBorder="1" applyAlignment="1" applyProtection="1">
      <alignment horizontal="center" vertical="center"/>
      <protection locked="0" hidden="1"/>
    </xf>
    <xf numFmtId="164" fontId="125" fillId="36" borderId="30" xfId="53" applyNumberFormat="1" applyFont="1" applyFill="1" applyBorder="1" applyAlignment="1" applyProtection="1">
      <alignment horizontal="center" vertical="center"/>
      <protection locked="0" hidden="1"/>
    </xf>
    <xf numFmtId="164" fontId="125" fillId="36" borderId="22" xfId="53" applyNumberFormat="1" applyFont="1" applyFill="1" applyBorder="1" applyAlignment="1" applyProtection="1">
      <alignment horizontal="center" vertical="center"/>
      <protection locked="0" hidden="1"/>
    </xf>
    <xf numFmtId="164" fontId="126" fillId="36" borderId="20" xfId="53" applyNumberFormat="1" applyFont="1" applyFill="1" applyBorder="1" applyAlignment="1" applyProtection="1">
      <alignment horizontal="center" vertical="center" wrapText="1"/>
      <protection locked="0" hidden="1"/>
    </xf>
    <xf numFmtId="164" fontId="126" fillId="36" borderId="22" xfId="53" applyNumberFormat="1" applyFont="1" applyFill="1" applyBorder="1" applyAlignment="1" applyProtection="1">
      <alignment horizontal="center" vertical="center" wrapText="1"/>
      <protection locked="0" hidden="1"/>
    </xf>
    <xf numFmtId="164" fontId="127" fillId="36" borderId="20" xfId="53" applyNumberFormat="1" applyFont="1" applyFill="1" applyBorder="1" applyAlignment="1" applyProtection="1">
      <alignment horizontal="center" vertical="center" wrapText="1"/>
      <protection locked="0" hidden="1"/>
    </xf>
    <xf numFmtId="164" fontId="127" fillId="36" borderId="22" xfId="53" applyNumberFormat="1" applyFont="1" applyFill="1" applyBorder="1" applyAlignment="1" applyProtection="1">
      <alignment horizontal="center" vertical="center" wrapText="1"/>
      <protection locked="0" hidden="1"/>
    </xf>
    <xf numFmtId="164" fontId="126" fillId="36" borderId="21" xfId="53" applyNumberFormat="1" applyFont="1" applyFill="1" applyBorder="1" applyAlignment="1" applyProtection="1">
      <alignment horizontal="center" vertical="center" wrapText="1"/>
      <protection locked="0" hidden="1"/>
    </xf>
    <xf numFmtId="3" fontId="127" fillId="36" borderId="20" xfId="53" applyNumberFormat="1" applyFont="1" applyFill="1" applyBorder="1" applyAlignment="1" applyProtection="1">
      <alignment horizontal="center" vertical="center" wrapText="1"/>
      <protection locked="0" hidden="1"/>
    </xf>
    <xf numFmtId="3" fontId="127" fillId="36" borderId="22" xfId="53" applyNumberFormat="1" applyFont="1" applyFill="1" applyBorder="1" applyAlignment="1" applyProtection="1">
      <alignment horizontal="center" vertical="center" wrapText="1"/>
      <protection locked="0" hidden="1"/>
    </xf>
    <xf numFmtId="3" fontId="126" fillId="36" borderId="20" xfId="53" applyNumberFormat="1" applyFont="1" applyFill="1" applyBorder="1" applyAlignment="1" applyProtection="1">
      <alignment horizontal="center" vertical="center" wrapText="1"/>
      <protection locked="0" hidden="1"/>
    </xf>
    <xf numFmtId="3" fontId="126" fillId="36" borderId="22" xfId="53" applyNumberFormat="1" applyFont="1" applyFill="1" applyBorder="1" applyAlignment="1" applyProtection="1">
      <alignment horizontal="center" vertical="center" wrapText="1"/>
      <protection locked="0" hidden="1"/>
    </xf>
    <xf numFmtId="164" fontId="35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3" fillId="36" borderId="36" xfId="43" applyNumberFormat="1" applyFont="1" applyFill="1" applyBorder="1" applyAlignment="1" applyProtection="1">
      <alignment horizontal="center" vertical="center"/>
      <protection locked="0"/>
    </xf>
    <xf numFmtId="164" fontId="33" fillId="36" borderId="10" xfId="43" applyNumberFormat="1" applyFont="1" applyFill="1" applyBorder="1" applyAlignment="1" applyProtection="1">
      <alignment horizontal="center" vertical="center"/>
      <protection locked="0"/>
    </xf>
    <xf numFmtId="164" fontId="33" fillId="36" borderId="35" xfId="43" applyNumberFormat="1" applyFont="1" applyFill="1" applyBorder="1" applyAlignment="1" applyProtection="1">
      <alignment horizontal="center" vertical="center"/>
      <protection locked="0"/>
    </xf>
    <xf numFmtId="164" fontId="35" fillId="36" borderId="35" xfId="43" applyNumberFormat="1" applyFont="1" applyFill="1" applyBorder="1" applyAlignment="1" applyProtection="1">
      <alignment horizontal="center" vertical="center" wrapText="1"/>
      <protection locked="0"/>
    </xf>
    <xf numFmtId="0" fontId="34" fillId="0" borderId="19" xfId="42" applyFont="1" applyBorder="1" applyAlignment="1" applyProtection="1">
      <alignment horizontal="center" vertical="center"/>
      <protection locked="0"/>
    </xf>
    <xf numFmtId="0" fontId="33" fillId="36" borderId="25" xfId="45" applyFont="1" applyFill="1" applyBorder="1" applyAlignment="1" applyProtection="1">
      <alignment horizontal="center" vertical="center"/>
      <protection locked="0"/>
    </xf>
    <xf numFmtId="0" fontId="33" fillId="36" borderId="23" xfId="45" applyFont="1" applyFill="1" applyBorder="1" applyAlignment="1" applyProtection="1">
      <alignment horizontal="center" vertical="center"/>
      <protection locked="0"/>
    </xf>
    <xf numFmtId="0" fontId="32" fillId="36" borderId="0" xfId="42" applyFont="1" applyFill="1" applyAlignment="1" applyProtection="1">
      <alignment horizontal="center" wrapText="1"/>
      <protection locked="0"/>
    </xf>
    <xf numFmtId="0" fontId="33" fillId="36" borderId="29" xfId="45" applyFont="1" applyFill="1" applyBorder="1" applyAlignment="1" applyProtection="1">
      <alignment horizontal="right" vertical="top"/>
      <protection locked="0"/>
    </xf>
    <xf numFmtId="0" fontId="33" fillId="36" borderId="33" xfId="45" applyFont="1" applyFill="1" applyBorder="1" applyAlignment="1" applyProtection="1">
      <alignment horizontal="right" vertical="top"/>
      <protection locked="0"/>
    </xf>
    <xf numFmtId="3" fontId="119" fillId="50" borderId="73" xfId="0" applyNumberFormat="1" applyFont="1" applyFill="1" applyBorder="1" applyAlignment="1" applyProtection="1">
      <alignment horizontal="center" vertical="center"/>
    </xf>
    <xf numFmtId="3" fontId="48" fillId="37" borderId="23" xfId="43" applyNumberFormat="1" applyFont="1" applyFill="1" applyBorder="1" applyAlignment="1" applyProtection="1">
      <alignment horizontal="center" vertical="center"/>
      <protection locked="0"/>
    </xf>
    <xf numFmtId="4" fontId="119" fillId="50" borderId="73" xfId="0" applyNumberFormat="1" applyFont="1" applyFill="1" applyBorder="1" applyAlignment="1" applyProtection="1">
      <alignment horizontal="center" vertical="center"/>
    </xf>
    <xf numFmtId="4" fontId="48" fillId="37" borderId="23" xfId="43" applyNumberFormat="1" applyFont="1" applyFill="1" applyBorder="1" applyAlignment="1" applyProtection="1">
      <alignment horizontal="center" vertical="center"/>
      <protection locked="0"/>
    </xf>
    <xf numFmtId="4" fontId="119" fillId="0" borderId="73" xfId="0" applyNumberFormat="1" applyFont="1" applyBorder="1" applyAlignment="1" applyProtection="1">
      <alignment horizontal="center" vertical="center"/>
    </xf>
    <xf numFmtId="4" fontId="48" fillId="0" borderId="23" xfId="43" applyNumberFormat="1" applyFont="1" applyBorder="1" applyAlignment="1" applyProtection="1">
      <alignment horizontal="center" vertical="center"/>
      <protection locked="0"/>
    </xf>
    <xf numFmtId="3" fontId="119" fillId="0" borderId="73" xfId="0" applyNumberFormat="1" applyFont="1" applyBorder="1" applyAlignment="1" applyProtection="1">
      <alignment horizontal="center" vertical="center"/>
    </xf>
    <xf numFmtId="3" fontId="48" fillId="0" borderId="23" xfId="43" applyNumberFormat="1" applyFont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 wrapText="1"/>
      <protection locked="0"/>
    </xf>
    <xf numFmtId="0" fontId="38" fillId="36" borderId="22" xfId="45" applyFont="1" applyFill="1" applyBorder="1" applyAlignment="1" applyProtection="1">
      <alignment horizontal="center" vertical="center" wrapText="1"/>
      <protection locked="0"/>
    </xf>
    <xf numFmtId="0" fontId="45" fillId="0" borderId="25" xfId="45" applyFont="1" applyBorder="1" applyAlignment="1" applyProtection="1">
      <alignment horizontal="center" vertical="center" wrapText="1"/>
      <protection locked="0"/>
    </xf>
    <xf numFmtId="0" fontId="45" fillId="0" borderId="23" xfId="45" applyFont="1" applyBorder="1" applyAlignment="1" applyProtection="1">
      <alignment horizontal="center" vertical="center" wrapText="1"/>
      <protection locked="0"/>
    </xf>
    <xf numFmtId="0" fontId="119" fillId="0" borderId="73" xfId="0" applyFont="1" applyBorder="1" applyAlignment="1" applyProtection="1">
      <alignment horizontal="center" vertical="center"/>
    </xf>
    <xf numFmtId="0" fontId="48" fillId="0" borderId="23" xfId="43" applyNumberFormat="1" applyFont="1" applyBorder="1" applyAlignment="1" applyProtection="1">
      <alignment horizontal="center" vertical="center"/>
      <protection locked="0"/>
    </xf>
    <xf numFmtId="0" fontId="117" fillId="50" borderId="73" xfId="0" applyFont="1" applyFill="1" applyBorder="1" applyAlignment="1" applyProtection="1">
      <alignment horizontal="center" vertical="center" wrapText="1"/>
    </xf>
    <xf numFmtId="0" fontId="45" fillId="37" borderId="23" xfId="45" applyFont="1" applyFill="1" applyBorder="1" applyAlignment="1" applyProtection="1">
      <alignment horizontal="center" vertical="center" wrapText="1"/>
      <protection locked="0"/>
    </xf>
    <xf numFmtId="0" fontId="37" fillId="36" borderId="25" xfId="45" applyFont="1" applyFill="1" applyBorder="1" applyAlignment="1" applyProtection="1">
      <alignment horizontal="center" vertical="center" wrapText="1"/>
      <protection locked="0"/>
    </xf>
    <xf numFmtId="0" fontId="37" fillId="36" borderId="23" xfId="45" applyFont="1" applyFill="1" applyBorder="1" applyAlignment="1" applyProtection="1">
      <alignment horizontal="center" vertical="center" wrapText="1"/>
      <protection locked="0"/>
    </xf>
    <xf numFmtId="0" fontId="36" fillId="0" borderId="28" xfId="42" applyFont="1" applyBorder="1" applyAlignment="1" applyProtection="1">
      <alignment horizontal="center" vertical="center"/>
      <protection locked="0"/>
    </xf>
    <xf numFmtId="0" fontId="119" fillId="0" borderId="69" xfId="0" applyFont="1" applyBorder="1" applyAlignment="1" applyProtection="1">
      <alignment horizontal="center" vertical="center"/>
    </xf>
    <xf numFmtId="0" fontId="48" fillId="0" borderId="10" xfId="43" applyNumberFormat="1" applyFont="1" applyBorder="1" applyAlignment="1" applyProtection="1">
      <alignment horizontal="center" vertical="center"/>
      <protection locked="0"/>
    </xf>
    <xf numFmtId="0" fontId="45" fillId="37" borderId="25" xfId="45" applyFont="1" applyFill="1" applyBorder="1" applyAlignment="1" applyProtection="1">
      <alignment horizontal="center" vertical="center" wrapText="1"/>
      <protection locked="0"/>
    </xf>
    <xf numFmtId="0" fontId="48" fillId="37" borderId="25" xfId="43" applyNumberFormat="1" applyFont="1" applyFill="1" applyBorder="1" applyAlignment="1" applyProtection="1">
      <alignment horizontal="center" vertical="center"/>
      <protection locked="0"/>
    </xf>
    <xf numFmtId="0" fontId="48" fillId="37" borderId="23" xfId="43" applyNumberFormat="1" applyFont="1" applyFill="1" applyBorder="1" applyAlignment="1" applyProtection="1">
      <alignment horizontal="center" vertical="center"/>
      <protection locked="0"/>
    </xf>
    <xf numFmtId="0" fontId="33" fillId="36" borderId="25" xfId="45" applyFont="1" applyFill="1" applyBorder="1" applyAlignment="1" applyProtection="1">
      <alignment horizontal="center" vertical="center" wrapText="1"/>
      <protection locked="0"/>
    </xf>
    <xf numFmtId="0" fontId="33" fillId="36" borderId="24" xfId="45" applyFont="1" applyFill="1" applyBorder="1" applyAlignment="1" applyProtection="1">
      <alignment horizontal="center" vertical="center" wrapText="1"/>
      <protection locked="0"/>
    </xf>
    <xf numFmtId="0" fontId="33" fillId="36" borderId="23" xfId="45" applyFont="1" applyFill="1" applyBorder="1" applyAlignment="1" applyProtection="1">
      <alignment horizontal="center" vertical="center" wrapText="1"/>
      <protection locked="0"/>
    </xf>
    <xf numFmtId="0" fontId="33" fillId="36" borderId="20" xfId="45" applyFont="1" applyFill="1" applyBorder="1" applyAlignment="1" applyProtection="1">
      <alignment horizontal="center" vertical="center"/>
      <protection locked="0"/>
    </xf>
    <xf numFmtId="0" fontId="33" fillId="36" borderId="21" xfId="45" applyFont="1" applyFill="1" applyBorder="1" applyAlignment="1" applyProtection="1">
      <alignment horizontal="center" vertical="center"/>
      <protection locked="0"/>
    </xf>
    <xf numFmtId="0" fontId="33" fillId="36" borderId="22" xfId="45" applyFont="1" applyFill="1" applyBorder="1" applyAlignment="1" applyProtection="1">
      <alignment horizontal="center" vertical="center"/>
      <protection locked="0"/>
    </xf>
    <xf numFmtId="0" fontId="38" fillId="36" borderId="25" xfId="45" applyFont="1" applyFill="1" applyBorder="1" applyAlignment="1" applyProtection="1">
      <alignment horizontal="center" vertical="center" wrapText="1"/>
      <protection locked="0"/>
    </xf>
    <xf numFmtId="0" fontId="3" fillId="36" borderId="24" xfId="42" applyFill="1" applyBorder="1" applyAlignment="1" applyProtection="1">
      <alignment horizontal="center" vertical="center"/>
      <protection locked="0"/>
    </xf>
    <xf numFmtId="0" fontId="3" fillId="36" borderId="23" xfId="42" applyFill="1" applyBorder="1" applyAlignment="1" applyProtection="1">
      <alignment horizontal="center" vertical="center"/>
      <protection locked="0"/>
    </xf>
    <xf numFmtId="0" fontId="33" fillId="36" borderId="11" xfId="45" applyFont="1" applyFill="1" applyBorder="1" applyAlignment="1" applyProtection="1">
      <alignment horizontal="center" vertical="center"/>
      <protection locked="0"/>
    </xf>
    <xf numFmtId="0" fontId="35" fillId="36" borderId="13" xfId="42" applyFont="1" applyFill="1" applyBorder="1" applyAlignment="1" applyProtection="1">
      <alignment horizontal="center" vertical="center"/>
      <protection locked="0"/>
    </xf>
    <xf numFmtId="0" fontId="35" fillId="36" borderId="16" xfId="42" applyFont="1" applyFill="1" applyBorder="1" applyAlignment="1" applyProtection="1">
      <alignment horizontal="center" vertical="center"/>
      <protection locked="0"/>
    </xf>
    <xf numFmtId="0" fontId="35" fillId="36" borderId="18" xfId="42" applyFont="1" applyFill="1" applyBorder="1" applyAlignment="1" applyProtection="1">
      <alignment horizontal="center" vertical="center"/>
      <protection locked="0"/>
    </xf>
    <xf numFmtId="0" fontId="37" fillId="36" borderId="20" xfId="45" applyFont="1" applyFill="1" applyBorder="1" applyAlignment="1" applyProtection="1">
      <alignment horizontal="center" vertical="center"/>
      <protection locked="0"/>
    </xf>
    <xf numFmtId="0" fontId="37" fillId="36" borderId="22" xfId="45" applyFont="1" applyFill="1" applyBorder="1" applyAlignment="1" applyProtection="1">
      <alignment horizontal="center" vertical="center"/>
      <protection locked="0"/>
    </xf>
    <xf numFmtId="0" fontId="37" fillId="36" borderId="20" xfId="45" applyFont="1" applyFill="1" applyBorder="1" applyAlignment="1" applyProtection="1">
      <alignment horizontal="center" vertical="center" wrapText="1"/>
      <protection locked="0"/>
    </xf>
    <xf numFmtId="0" fontId="37" fillId="36" borderId="22" xfId="45" applyFont="1" applyFill="1" applyBorder="1" applyAlignment="1" applyProtection="1">
      <alignment horizontal="center" vertical="center" wrapText="1"/>
      <protection locked="0"/>
    </xf>
    <xf numFmtId="3" fontId="48" fillId="37" borderId="25" xfId="43" applyNumberFormat="1" applyFont="1" applyFill="1" applyBorder="1" applyAlignment="1" applyProtection="1">
      <alignment horizontal="center" vertical="center"/>
      <protection locked="0"/>
    </xf>
    <xf numFmtId="4" fontId="119" fillId="0" borderId="69" xfId="0" applyNumberFormat="1" applyFont="1" applyBorder="1" applyAlignment="1" applyProtection="1">
      <alignment horizontal="center" vertical="center"/>
    </xf>
    <xf numFmtId="4" fontId="69" fillId="0" borderId="10" xfId="0" applyNumberFormat="1" applyFont="1" applyBorder="1" applyAlignment="1" applyProtection="1">
      <alignment horizontal="center" vertical="center"/>
      <protection locked="0"/>
    </xf>
    <xf numFmtId="3" fontId="119" fillId="0" borderId="69" xfId="0" applyNumberFormat="1" applyFont="1" applyBorder="1" applyAlignment="1" applyProtection="1">
      <alignment horizontal="center" vertical="center"/>
    </xf>
    <xf numFmtId="3" fontId="69" fillId="0" borderId="10" xfId="0" applyNumberFormat="1" applyFont="1" applyBorder="1" applyAlignment="1" applyProtection="1">
      <alignment horizontal="center" vertical="center"/>
      <protection locked="0"/>
    </xf>
    <xf numFmtId="4" fontId="48" fillId="37" borderId="25" xfId="43" applyNumberFormat="1" applyFont="1" applyFill="1" applyBorder="1" applyAlignment="1" applyProtection="1">
      <alignment horizontal="center" vertical="center"/>
      <protection locked="0"/>
    </xf>
    <xf numFmtId="0" fontId="50" fillId="38" borderId="20" xfId="42" applyFont="1" applyFill="1" applyBorder="1" applyAlignment="1" applyProtection="1">
      <alignment horizontal="center" vertical="center"/>
      <protection locked="0"/>
    </xf>
    <xf numFmtId="0" fontId="120" fillId="44" borderId="71" xfId="0" applyFont="1" applyFill="1" applyBorder="1" applyAlignment="1" applyProtection="1">
      <alignment horizontal="center" vertical="center"/>
    </xf>
    <xf numFmtId="0" fontId="120" fillId="44" borderId="70" xfId="0" applyFont="1" applyFill="1" applyBorder="1" applyAlignment="1" applyProtection="1">
      <alignment horizontal="center" vertical="center"/>
    </xf>
    <xf numFmtId="0" fontId="110" fillId="0" borderId="61" xfId="0" applyFont="1" applyBorder="1" applyAlignment="1" applyProtection="1">
      <alignment horizontal="left" vertical="center"/>
    </xf>
    <xf numFmtId="0" fontId="50" fillId="37" borderId="20" xfId="42" applyFont="1" applyFill="1" applyBorder="1" applyAlignment="1" applyProtection="1">
      <alignment horizontal="center" vertical="center"/>
      <protection locked="0"/>
    </xf>
    <xf numFmtId="0" fontId="120" fillId="50" borderId="71" xfId="0" applyFont="1" applyFill="1" applyBorder="1" applyAlignment="1" applyProtection="1">
      <alignment horizontal="center" vertical="center"/>
    </xf>
    <xf numFmtId="0" fontId="120" fillId="50" borderId="70" xfId="0" applyFont="1" applyFill="1" applyBorder="1" applyAlignment="1" applyProtection="1">
      <alignment horizontal="center" vertical="center"/>
    </xf>
    <xf numFmtId="14" fontId="36" fillId="0" borderId="0" xfId="42" applyNumberFormat="1" applyFont="1" applyAlignment="1" applyProtection="1">
      <alignment horizontal="center" vertical="center"/>
      <protection locked="0"/>
    </xf>
    <xf numFmtId="0" fontId="36" fillId="0" borderId="0" xfId="42" applyFont="1" applyAlignment="1" applyProtection="1">
      <alignment horizontal="center" vertical="center"/>
      <protection locked="0"/>
    </xf>
    <xf numFmtId="0" fontId="53" fillId="36" borderId="41" xfId="46" applyFont="1" applyFill="1" applyBorder="1" applyAlignment="1" applyProtection="1">
      <alignment horizontal="center" vertical="top" wrapText="1"/>
      <protection locked="0"/>
    </xf>
    <xf numFmtId="0" fontId="53" fillId="36" borderId="0" xfId="46" applyFont="1" applyFill="1" applyAlignment="1" applyProtection="1">
      <alignment horizontal="center" vertical="top" wrapText="1"/>
      <protection locked="0"/>
    </xf>
    <xf numFmtId="0" fontId="39" fillId="0" borderId="14" xfId="45" applyFont="1" applyBorder="1" applyAlignment="1" applyProtection="1">
      <alignment horizontal="center" vertical="center"/>
      <protection locked="0"/>
    </xf>
    <xf numFmtId="0" fontId="39" fillId="0" borderId="0" xfId="45" applyFont="1" applyAlignment="1" applyProtection="1">
      <alignment horizontal="center" vertical="center"/>
      <protection locked="0"/>
    </xf>
    <xf numFmtId="0" fontId="39" fillId="0" borderId="15" xfId="45" applyFont="1" applyBorder="1" applyAlignment="1" applyProtection="1">
      <alignment horizontal="center" vertical="center"/>
      <protection locked="0"/>
    </xf>
    <xf numFmtId="0" fontId="53" fillId="36" borderId="0" xfId="49" applyFont="1" applyFill="1" applyAlignment="1" applyProtection="1">
      <alignment horizontal="center" vertical="top" wrapText="1"/>
      <protection locked="0"/>
    </xf>
    <xf numFmtId="0" fontId="88" fillId="41" borderId="38" xfId="49" applyFont="1" applyFill="1" applyBorder="1" applyAlignment="1" applyProtection="1">
      <alignment horizontal="center" vertical="top"/>
      <protection locked="0"/>
    </xf>
    <xf numFmtId="0" fontId="88" fillId="41" borderId="0" xfId="49" applyFont="1" applyFill="1" applyAlignment="1" applyProtection="1">
      <alignment horizontal="center" vertical="top"/>
      <protection locked="0"/>
    </xf>
    <xf numFmtId="0" fontId="88" fillId="41" borderId="17" xfId="49" applyFont="1" applyFill="1" applyBorder="1" applyAlignment="1" applyProtection="1">
      <alignment horizontal="center" vertical="top"/>
      <protection locked="0"/>
    </xf>
    <xf numFmtId="0" fontId="106" fillId="52" borderId="0" xfId="0" applyFont="1" applyFill="1" applyAlignment="1" applyProtection="1">
      <alignment horizontal="left" vertical="center"/>
    </xf>
    <xf numFmtId="0" fontId="64" fillId="52" borderId="0" xfId="0" applyFont="1" applyFill="1" applyAlignment="1" applyProtection="1">
      <alignment horizontal="left" vertical="center"/>
      <protection locked="0"/>
    </xf>
    <xf numFmtId="0" fontId="23" fillId="52" borderId="0" xfId="0" applyFont="1" applyFill="1" applyAlignment="1">
      <alignment vertical="center"/>
    </xf>
  </cellXfs>
  <cellStyles count="5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Milliers 2" xfId="53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Style 1" xfId="50"/>
    <cellStyle name="Style 10" xfId="42"/>
    <cellStyle name="Style 11" xfId="44"/>
    <cellStyle name="Style 2" xfId="51"/>
    <cellStyle name="Style 3" xfId="52"/>
    <cellStyle name="Style 4" xfId="49"/>
    <cellStyle name="Style 5" xfId="47"/>
    <cellStyle name="Style 6" xfId="48"/>
    <cellStyle name="Style 7" xfId="43"/>
    <cellStyle name="Style 8" xfId="45"/>
    <cellStyle name="Style 9" xfId="46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6E0B4"/>
      <color rgb="FFA9D08E"/>
      <color rgb="FF368236"/>
      <color rgb="FF548235"/>
      <color rgb="FF548237"/>
      <color rgb="FF000000"/>
      <color rgb="FFA8D08D"/>
      <color rgb="FF548135"/>
      <color rgb="FFC5E0B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94690</xdr:rowOff>
    </xdr:from>
    <xdr:to>
      <xdr:col>1</xdr:col>
      <xdr:colOff>1295400</xdr:colOff>
      <xdr:row>8</xdr:row>
      <xdr:rowOff>134471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SpPr txBox="1"/>
      </xdr:nvSpPr>
      <xdr:spPr>
        <a:xfrm>
          <a:off x="350184" y="1271308"/>
          <a:ext cx="1247775" cy="19666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xmlns="" id="{9C1DEF0B-0B9E-4CCD-8D60-4B459BC153EB}"/>
            </a:ext>
          </a:extLst>
        </xdr:cNvPr>
        <xdr:cNvSpPr txBox="1"/>
      </xdr:nvSpPr>
      <xdr:spPr>
        <a:xfrm>
          <a:off x="361950" y="125730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1</xdr:col>
      <xdr:colOff>0</xdr:colOff>
      <xdr:row>7</xdr:row>
      <xdr:rowOff>190500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a16="http://schemas.microsoft.com/office/drawing/2014/main" xmlns:m="http://schemas.openxmlformats.org/officeDocument/2006/math" xmlns="">
        <xdr:sp textlink="" macro="">
          <xdr:nvSpPr>
            <xdr:cNvPr name="ZoneTexte 1" id="2">
              <a:extLst>
                <a:ext uri="{FF2B5EF4-FFF2-40B4-BE49-F238E27FC236}">
                  <a16:creationId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y="6943725" x="161925"/>
              <a:ext cy="352426" cx="3829050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é𝐜𝐨𝐧𝐨𝐦𝐢𝐪𝐮𝐞=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a16="http://schemas.microsoft.com/office/drawing/2014/main" xmlns:m="http://schemas.openxmlformats.org/officeDocument/2006/math" xmlns="">
        <xdr:sp textlink="" macro="">
          <xdr:nvSpPr>
            <xdr:cNvPr name="ZoneTexte 2" id="3">
              <a:extLst>
                <a:ext uri="{FF2B5EF4-FFF2-40B4-BE49-F238E27FC236}">
                  <a16:creationId id="{00000000-0008-0000-3600-000003000000}"/>
                </a:ext>
              </a:extLst>
            </xdr:cNvPr>
            <xdr:cNvSpPr txBox="1"/>
          </xdr:nvSpPr>
          <xdr:spPr>
            <a:xfrm>
              <a:off y="7343775" x="114301"/>
              <a:ext cy="352426" cx="2428874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𝐟𝐢𝐧𝐚𝐧𝐜𝐢è𝐫𝒆=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𝐧𝐞𝐭)/(𝐜𝐚𝐩𝐢𝐭𝐚𝐮𝐱 𝐩𝐫𝐨𝐩𝐫𝐞𝐬)</a:t>
              </a:r>
              <a:endParaRPr i="0"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abSelected="1" workbookViewId="0">
      <selection activeCell="W11" sqref="I9:Z11"/>
    </sheetView>
  </sheetViews>
  <sheetFormatPr baseColWidth="10" defaultColWidth="13.42578125" defaultRowHeight="15.75" customHeight="1"/>
  <cols>
    <col min="1" max="1" width="4.42578125" style="249" customWidth="1" collapsed="1"/>
    <col min="2" max="2" width="2.85546875" style="409" customWidth="1" collapsed="1"/>
    <col min="3" max="7" width="3.42578125" style="249" customWidth="1" collapsed="1"/>
    <col min="8" max="8" width="12.5703125" style="409" customWidth="1" collapsed="1"/>
    <col min="9" max="14" width="2.85546875" style="409" customWidth="1" collapsed="1"/>
    <col min="15" max="32" width="3.42578125" style="249" customWidth="1" collapsed="1"/>
    <col min="33" max="33" width="1.5703125" style="249" customWidth="1" collapsed="1"/>
    <col min="34" max="35" width="3.42578125" style="249" customWidth="1" collapsed="1"/>
    <col min="36" max="36" width="1.85546875" style="249" customWidth="1" collapsed="1"/>
    <col min="37" max="37" width="5.5703125" style="249" customWidth="1" collapsed="1"/>
    <col min="38" max="38" width="3.42578125" style="249" customWidth="1" collapsed="1"/>
    <col min="39" max="39" width="2.42578125" style="249" customWidth="1" collapsed="1"/>
    <col min="40" max="256" width="13.42578125" style="249" customWidth="1" collapsed="1"/>
    <col min="257" max="16384" width="13.42578125" style="249" collapsed="1"/>
  </cols>
  <sheetData>
    <row r="1" spans="1:256" s="363" customFormat="1" ht="32.85" customHeight="1">
      <c r="A1" s="606" t="s">
        <v>1101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6"/>
      <c r="AI1" s="606"/>
      <c r="AJ1" s="606"/>
      <c r="AK1" s="606"/>
      <c r="AL1" s="606"/>
      <c r="AM1" s="606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362"/>
      <c r="BT1" s="362"/>
      <c r="BU1" s="362"/>
      <c r="BV1" s="362"/>
      <c r="BW1" s="362"/>
      <c r="BX1" s="362"/>
      <c r="BY1" s="362"/>
      <c r="BZ1" s="362"/>
      <c r="CA1" s="362"/>
      <c r="CB1" s="362"/>
      <c r="CC1" s="362"/>
      <c r="CD1" s="362"/>
      <c r="CE1" s="362"/>
      <c r="CF1" s="362"/>
      <c r="CG1" s="362"/>
      <c r="CH1" s="362"/>
      <c r="CI1" s="362"/>
      <c r="CJ1" s="362"/>
      <c r="CK1" s="362"/>
      <c r="CL1" s="362"/>
      <c r="CM1" s="362"/>
      <c r="CN1" s="362"/>
      <c r="CO1" s="362"/>
      <c r="CP1" s="362"/>
      <c r="CQ1" s="362"/>
      <c r="CR1" s="362"/>
      <c r="CS1" s="362"/>
      <c r="CT1" s="362"/>
      <c r="CU1" s="362"/>
      <c r="CV1" s="362"/>
      <c r="CW1" s="362"/>
      <c r="CX1" s="362"/>
      <c r="CY1" s="362"/>
      <c r="CZ1" s="362"/>
      <c r="DA1" s="362"/>
      <c r="DB1" s="362"/>
      <c r="DC1" s="362"/>
      <c r="DD1" s="362"/>
      <c r="DE1" s="362"/>
      <c r="DF1" s="362"/>
      <c r="DG1" s="362"/>
      <c r="DH1" s="362"/>
      <c r="DI1" s="362"/>
      <c r="DJ1" s="362"/>
      <c r="DK1" s="362"/>
      <c r="DL1" s="362"/>
      <c r="DM1" s="362"/>
      <c r="DN1" s="362"/>
      <c r="DO1" s="362"/>
      <c r="DP1" s="362"/>
      <c r="DQ1" s="362"/>
      <c r="DR1" s="362"/>
      <c r="DS1" s="362"/>
      <c r="DT1" s="362"/>
      <c r="DU1" s="362"/>
      <c r="DV1" s="362"/>
      <c r="DW1" s="362"/>
      <c r="DX1" s="362"/>
      <c r="DY1" s="362"/>
      <c r="DZ1" s="362"/>
      <c r="EA1" s="362"/>
      <c r="EB1" s="362"/>
      <c r="EC1" s="362"/>
      <c r="ED1" s="362"/>
      <c r="EE1" s="362"/>
      <c r="EF1" s="362"/>
      <c r="EG1" s="362"/>
      <c r="EH1" s="362"/>
      <c r="EI1" s="362"/>
      <c r="EJ1" s="362"/>
      <c r="EK1" s="362"/>
      <c r="EL1" s="362"/>
      <c r="EM1" s="362"/>
      <c r="EN1" s="362"/>
      <c r="EO1" s="362"/>
      <c r="EP1" s="362"/>
      <c r="EQ1" s="362"/>
      <c r="ER1" s="362"/>
      <c r="ES1" s="362"/>
      <c r="ET1" s="362"/>
      <c r="EU1" s="362"/>
      <c r="EV1" s="362"/>
      <c r="EW1" s="362"/>
      <c r="EX1" s="362"/>
      <c r="EY1" s="362"/>
      <c r="EZ1" s="362"/>
      <c r="FA1" s="362"/>
      <c r="FB1" s="362"/>
      <c r="FC1" s="362"/>
      <c r="FD1" s="362"/>
      <c r="FE1" s="362"/>
      <c r="FF1" s="362"/>
      <c r="FG1" s="362"/>
      <c r="FH1" s="362"/>
      <c r="FI1" s="362"/>
      <c r="FJ1" s="362"/>
      <c r="FK1" s="362"/>
      <c r="FL1" s="362"/>
      <c r="FM1" s="362"/>
      <c r="FN1" s="362"/>
      <c r="FO1" s="362"/>
      <c r="FP1" s="362"/>
      <c r="FQ1" s="362"/>
      <c r="FR1" s="362"/>
      <c r="FS1" s="362"/>
      <c r="FT1" s="362"/>
      <c r="FU1" s="362"/>
      <c r="FV1" s="362"/>
      <c r="FW1" s="362"/>
      <c r="FX1" s="362"/>
      <c r="FY1" s="362"/>
      <c r="FZ1" s="362"/>
      <c r="GA1" s="362"/>
      <c r="GB1" s="362"/>
      <c r="GC1" s="362"/>
      <c r="GD1" s="362"/>
      <c r="GE1" s="362"/>
      <c r="GF1" s="362"/>
      <c r="GG1" s="362"/>
      <c r="GH1" s="362"/>
      <c r="GI1" s="362"/>
      <c r="GJ1" s="362"/>
      <c r="GK1" s="362"/>
      <c r="GL1" s="362"/>
      <c r="GM1" s="362"/>
      <c r="GN1" s="362"/>
      <c r="GO1" s="362"/>
      <c r="GP1" s="362"/>
      <c r="GQ1" s="362"/>
      <c r="GR1" s="362"/>
      <c r="GS1" s="362"/>
      <c r="GT1" s="362"/>
      <c r="GU1" s="362"/>
      <c r="GV1" s="362"/>
      <c r="GW1" s="362"/>
      <c r="GX1" s="362"/>
      <c r="GY1" s="362"/>
      <c r="GZ1" s="362"/>
      <c r="HA1" s="362"/>
      <c r="HB1" s="362"/>
      <c r="HC1" s="362"/>
      <c r="HD1" s="362"/>
      <c r="HE1" s="362"/>
      <c r="HF1" s="362"/>
      <c r="HG1" s="362"/>
      <c r="HH1" s="362"/>
      <c r="HI1" s="362"/>
      <c r="HJ1" s="362"/>
      <c r="HK1" s="362"/>
      <c r="HL1" s="362"/>
      <c r="HM1" s="362"/>
      <c r="HN1" s="362"/>
      <c r="HO1" s="362"/>
      <c r="HP1" s="362"/>
      <c r="HQ1" s="362"/>
      <c r="HR1" s="362"/>
      <c r="HS1" s="362"/>
      <c r="HT1" s="362"/>
      <c r="HU1" s="362"/>
      <c r="HV1" s="362"/>
      <c r="HW1" s="362"/>
      <c r="HX1" s="362"/>
      <c r="HY1" s="362"/>
      <c r="HZ1" s="362"/>
      <c r="IA1" s="362"/>
      <c r="IB1" s="362"/>
      <c r="IC1" s="362"/>
      <c r="ID1" s="362"/>
      <c r="IE1" s="362"/>
      <c r="IF1" s="362"/>
      <c r="IG1" s="362"/>
      <c r="IH1" s="362"/>
      <c r="II1" s="362"/>
      <c r="IJ1" s="362"/>
      <c r="IK1" s="362"/>
      <c r="IL1" s="362"/>
      <c r="IM1" s="362"/>
      <c r="IN1" s="362"/>
      <c r="IO1" s="362"/>
      <c r="IP1" s="362"/>
      <c r="IQ1" s="362"/>
      <c r="IR1" s="362"/>
      <c r="IS1" s="362"/>
      <c r="IT1" s="362"/>
      <c r="IU1" s="362"/>
      <c r="IV1" s="362"/>
    </row>
    <row r="2" spans="1:256" s="366" customFormat="1" ht="12.75" customHeight="1">
      <c r="A2" s="364"/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5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  <c r="BM2" s="365"/>
      <c r="BN2" s="365"/>
      <c r="BO2" s="365"/>
      <c r="BP2" s="365"/>
      <c r="BQ2" s="365"/>
      <c r="BR2" s="365"/>
      <c r="BS2" s="365"/>
      <c r="BT2" s="365"/>
      <c r="BU2" s="365"/>
      <c r="BV2" s="365"/>
      <c r="BW2" s="365"/>
      <c r="BX2" s="365"/>
      <c r="BY2" s="365"/>
      <c r="BZ2" s="365"/>
      <c r="CA2" s="365"/>
      <c r="CB2" s="365"/>
      <c r="CC2" s="365"/>
      <c r="CD2" s="365"/>
      <c r="CE2" s="365"/>
      <c r="CF2" s="365"/>
      <c r="CG2" s="365"/>
      <c r="CH2" s="365"/>
      <c r="CI2" s="365"/>
      <c r="CJ2" s="365"/>
      <c r="CK2" s="365"/>
      <c r="CL2" s="365"/>
      <c r="CM2" s="365"/>
      <c r="CN2" s="365"/>
      <c r="CO2" s="365"/>
      <c r="CP2" s="365"/>
      <c r="CQ2" s="365"/>
      <c r="CR2" s="365"/>
      <c r="CS2" s="365"/>
      <c r="CT2" s="365"/>
      <c r="CU2" s="365"/>
      <c r="CV2" s="365"/>
      <c r="CW2" s="365"/>
      <c r="CX2" s="365"/>
      <c r="CY2" s="365"/>
      <c r="CZ2" s="365"/>
      <c r="DA2" s="365"/>
      <c r="DB2" s="365"/>
      <c r="DC2" s="365"/>
      <c r="DD2" s="365"/>
      <c r="DE2" s="365"/>
      <c r="DF2" s="365"/>
      <c r="DG2" s="365"/>
      <c r="DH2" s="365"/>
      <c r="DI2" s="365"/>
      <c r="DJ2" s="365"/>
      <c r="DK2" s="365"/>
      <c r="DL2" s="365"/>
      <c r="DM2" s="365"/>
      <c r="DN2" s="365"/>
      <c r="DO2" s="365"/>
      <c r="DP2" s="365"/>
      <c r="DQ2" s="365"/>
      <c r="DR2" s="365"/>
      <c r="DS2" s="365"/>
      <c r="DT2" s="365"/>
      <c r="DU2" s="365"/>
      <c r="DV2" s="365"/>
      <c r="DW2" s="365"/>
      <c r="DX2" s="365"/>
      <c r="DY2" s="365"/>
      <c r="DZ2" s="365"/>
      <c r="EA2" s="365"/>
      <c r="EB2" s="365"/>
      <c r="EC2" s="365"/>
      <c r="ED2" s="365"/>
      <c r="EE2" s="365"/>
      <c r="EF2" s="365"/>
      <c r="EG2" s="365"/>
      <c r="EH2" s="365"/>
      <c r="EI2" s="365"/>
      <c r="EJ2" s="365"/>
      <c r="EK2" s="365"/>
      <c r="EL2" s="365"/>
      <c r="EM2" s="365"/>
      <c r="EN2" s="365"/>
      <c r="EO2" s="365"/>
      <c r="EP2" s="365"/>
      <c r="EQ2" s="365"/>
      <c r="ER2" s="365"/>
      <c r="ES2" s="365"/>
      <c r="ET2" s="365"/>
      <c r="EU2" s="365"/>
      <c r="EV2" s="365"/>
      <c r="EW2" s="365"/>
      <c r="EX2" s="365"/>
      <c r="EY2" s="365"/>
      <c r="EZ2" s="365"/>
      <c r="FA2" s="365"/>
      <c r="FB2" s="365"/>
      <c r="FC2" s="365"/>
      <c r="FD2" s="365"/>
      <c r="FE2" s="365"/>
      <c r="FF2" s="365"/>
      <c r="FG2" s="365"/>
      <c r="FH2" s="365"/>
      <c r="FI2" s="365"/>
      <c r="FJ2" s="365"/>
      <c r="FK2" s="365"/>
      <c r="FL2" s="365"/>
      <c r="FM2" s="365"/>
      <c r="FN2" s="365"/>
      <c r="FO2" s="365"/>
      <c r="FP2" s="365"/>
      <c r="FQ2" s="365"/>
      <c r="FR2" s="365"/>
      <c r="FS2" s="365"/>
      <c r="FT2" s="365"/>
      <c r="FU2" s="365"/>
      <c r="FV2" s="365"/>
      <c r="FW2" s="365"/>
      <c r="FX2" s="365"/>
      <c r="FY2" s="365"/>
      <c r="FZ2" s="365"/>
      <c r="GA2" s="365"/>
      <c r="GB2" s="365"/>
      <c r="GC2" s="365"/>
      <c r="GD2" s="365"/>
      <c r="GE2" s="365"/>
      <c r="GF2" s="365"/>
      <c r="GG2" s="365"/>
      <c r="GH2" s="365"/>
      <c r="GI2" s="365"/>
      <c r="GJ2" s="365"/>
      <c r="GK2" s="365"/>
      <c r="GL2" s="365"/>
      <c r="GM2" s="365"/>
      <c r="GN2" s="365"/>
      <c r="GO2" s="365"/>
      <c r="GP2" s="365"/>
      <c r="GQ2" s="365"/>
      <c r="GR2" s="365"/>
      <c r="GS2" s="365"/>
      <c r="GT2" s="365"/>
      <c r="GU2" s="365"/>
      <c r="GV2" s="365"/>
      <c r="GW2" s="365"/>
      <c r="GX2" s="365"/>
      <c r="GY2" s="365"/>
      <c r="GZ2" s="365"/>
      <c r="HA2" s="365"/>
      <c r="HB2" s="365"/>
      <c r="HC2" s="365"/>
      <c r="HD2" s="365"/>
      <c r="HE2" s="365"/>
      <c r="HF2" s="365"/>
      <c r="HG2" s="365"/>
      <c r="HH2" s="365"/>
      <c r="HI2" s="365"/>
      <c r="HJ2" s="365"/>
      <c r="HK2" s="365"/>
      <c r="HL2" s="365"/>
      <c r="HM2" s="365"/>
      <c r="HN2" s="365"/>
      <c r="HO2" s="365"/>
      <c r="HP2" s="365"/>
      <c r="HQ2" s="365"/>
      <c r="HR2" s="365"/>
      <c r="HS2" s="365"/>
      <c r="HT2" s="365"/>
      <c r="HU2" s="365"/>
      <c r="HV2" s="365"/>
      <c r="HW2" s="365"/>
      <c r="HX2" s="365"/>
      <c r="HY2" s="365"/>
      <c r="HZ2" s="365"/>
      <c r="IA2" s="365"/>
      <c r="IB2" s="365"/>
      <c r="IC2" s="365"/>
      <c r="ID2" s="365"/>
      <c r="IE2" s="365"/>
      <c r="IF2" s="365"/>
      <c r="IG2" s="365"/>
      <c r="IH2" s="365"/>
      <c r="II2" s="365"/>
      <c r="IJ2" s="365"/>
      <c r="IK2" s="365"/>
      <c r="IL2" s="365"/>
      <c r="IM2" s="365"/>
      <c r="IN2" s="365"/>
      <c r="IO2" s="365"/>
      <c r="IP2" s="365"/>
      <c r="IQ2" s="365"/>
      <c r="IR2" s="365"/>
      <c r="IS2" s="365"/>
      <c r="IT2" s="365"/>
      <c r="IU2" s="365"/>
      <c r="IV2" s="365"/>
    </row>
    <row r="3" spans="1:256" s="366" customFormat="1" ht="12.75" customHeight="1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364"/>
      <c r="AK3" s="364"/>
      <c r="AL3" s="364"/>
      <c r="AM3" s="364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  <c r="BM3" s="365"/>
      <c r="BN3" s="365"/>
      <c r="BO3" s="365"/>
      <c r="BP3" s="365"/>
      <c r="BQ3" s="365"/>
      <c r="BR3" s="365"/>
      <c r="BS3" s="365"/>
      <c r="BT3" s="365"/>
      <c r="BU3" s="365"/>
      <c r="BV3" s="365"/>
      <c r="BW3" s="365"/>
      <c r="BX3" s="365"/>
      <c r="BY3" s="365"/>
      <c r="BZ3" s="365"/>
      <c r="CA3" s="365"/>
      <c r="CB3" s="365"/>
      <c r="CC3" s="365"/>
      <c r="CD3" s="365"/>
      <c r="CE3" s="365"/>
      <c r="CF3" s="365"/>
      <c r="CG3" s="365"/>
      <c r="CH3" s="365"/>
      <c r="CI3" s="365"/>
      <c r="CJ3" s="365"/>
      <c r="CK3" s="365"/>
      <c r="CL3" s="365"/>
      <c r="CM3" s="365"/>
      <c r="CN3" s="365"/>
      <c r="CO3" s="365"/>
      <c r="CP3" s="365"/>
      <c r="CQ3" s="365"/>
      <c r="CR3" s="365"/>
      <c r="CS3" s="365"/>
      <c r="CT3" s="365"/>
      <c r="CU3" s="365"/>
      <c r="CV3" s="365"/>
      <c r="CW3" s="365"/>
      <c r="CX3" s="365"/>
      <c r="CY3" s="365"/>
      <c r="CZ3" s="365"/>
      <c r="DA3" s="365"/>
      <c r="DB3" s="365"/>
      <c r="DC3" s="365"/>
      <c r="DD3" s="365"/>
      <c r="DE3" s="365"/>
      <c r="DF3" s="365"/>
      <c r="DG3" s="365"/>
      <c r="DH3" s="365"/>
      <c r="DI3" s="365"/>
      <c r="DJ3" s="365"/>
      <c r="DK3" s="365"/>
      <c r="DL3" s="365"/>
      <c r="DM3" s="365"/>
      <c r="DN3" s="365"/>
      <c r="DO3" s="365"/>
      <c r="DP3" s="365"/>
      <c r="DQ3" s="365"/>
      <c r="DR3" s="365"/>
      <c r="DS3" s="365"/>
      <c r="DT3" s="365"/>
      <c r="DU3" s="365"/>
      <c r="DV3" s="365"/>
      <c r="DW3" s="365"/>
      <c r="DX3" s="365"/>
      <c r="DY3" s="365"/>
      <c r="DZ3" s="365"/>
      <c r="EA3" s="365"/>
      <c r="EB3" s="365"/>
      <c r="EC3" s="365"/>
      <c r="ED3" s="365"/>
      <c r="EE3" s="365"/>
      <c r="EF3" s="365"/>
      <c r="EG3" s="365"/>
      <c r="EH3" s="365"/>
      <c r="EI3" s="365"/>
      <c r="EJ3" s="365"/>
      <c r="EK3" s="365"/>
      <c r="EL3" s="365"/>
      <c r="EM3" s="365"/>
      <c r="EN3" s="365"/>
      <c r="EO3" s="365"/>
      <c r="EP3" s="365"/>
      <c r="EQ3" s="365"/>
      <c r="ER3" s="365"/>
      <c r="ES3" s="365"/>
      <c r="ET3" s="365"/>
      <c r="EU3" s="365"/>
      <c r="EV3" s="365"/>
      <c r="EW3" s="365"/>
      <c r="EX3" s="365"/>
      <c r="EY3" s="365"/>
      <c r="EZ3" s="365"/>
      <c r="FA3" s="365"/>
      <c r="FB3" s="365"/>
      <c r="FC3" s="365"/>
      <c r="FD3" s="365"/>
      <c r="FE3" s="365"/>
      <c r="FF3" s="365"/>
      <c r="FG3" s="365"/>
      <c r="FH3" s="365"/>
      <c r="FI3" s="365"/>
      <c r="FJ3" s="365"/>
      <c r="FK3" s="365"/>
      <c r="FL3" s="365"/>
      <c r="FM3" s="365"/>
      <c r="FN3" s="365"/>
      <c r="FO3" s="365"/>
      <c r="FP3" s="365"/>
      <c r="FQ3" s="365"/>
      <c r="FR3" s="365"/>
      <c r="FS3" s="365"/>
      <c r="FT3" s="365"/>
      <c r="FU3" s="365"/>
      <c r="FV3" s="365"/>
      <c r="FW3" s="365"/>
      <c r="FX3" s="365"/>
      <c r="FY3" s="365"/>
      <c r="FZ3" s="365"/>
      <c r="GA3" s="365"/>
      <c r="GB3" s="365"/>
      <c r="GC3" s="365"/>
      <c r="GD3" s="365"/>
      <c r="GE3" s="365"/>
      <c r="GF3" s="365"/>
      <c r="GG3" s="365"/>
      <c r="GH3" s="365"/>
      <c r="GI3" s="365"/>
      <c r="GJ3" s="365"/>
      <c r="GK3" s="365"/>
      <c r="GL3" s="365"/>
      <c r="GM3" s="365"/>
      <c r="GN3" s="365"/>
      <c r="GO3" s="365"/>
      <c r="GP3" s="365"/>
      <c r="GQ3" s="365"/>
      <c r="GR3" s="365"/>
      <c r="GS3" s="365"/>
      <c r="GT3" s="365"/>
      <c r="GU3" s="365"/>
      <c r="GV3" s="365"/>
      <c r="GW3" s="365"/>
      <c r="GX3" s="365"/>
      <c r="GY3" s="365"/>
      <c r="GZ3" s="365"/>
      <c r="HA3" s="365"/>
      <c r="HB3" s="365"/>
      <c r="HC3" s="365"/>
      <c r="HD3" s="365"/>
      <c r="HE3" s="365"/>
      <c r="HF3" s="365"/>
      <c r="HG3" s="365"/>
      <c r="HH3" s="365"/>
      <c r="HI3" s="365"/>
      <c r="HJ3" s="365"/>
      <c r="HK3" s="365"/>
      <c r="HL3" s="365"/>
      <c r="HM3" s="365"/>
      <c r="HN3" s="365"/>
      <c r="HO3" s="365"/>
      <c r="HP3" s="365"/>
      <c r="HQ3" s="365"/>
      <c r="HR3" s="365"/>
      <c r="HS3" s="365"/>
      <c r="HT3" s="365"/>
      <c r="HU3" s="365"/>
      <c r="HV3" s="365"/>
      <c r="HW3" s="365"/>
      <c r="HX3" s="365"/>
      <c r="HY3" s="365"/>
      <c r="HZ3" s="365"/>
      <c r="IA3" s="365"/>
      <c r="IB3" s="365"/>
      <c r="IC3" s="365"/>
      <c r="ID3" s="365"/>
      <c r="IE3" s="365"/>
      <c r="IF3" s="365"/>
      <c r="IG3" s="365"/>
      <c r="IH3" s="365"/>
      <c r="II3" s="365"/>
      <c r="IJ3" s="365"/>
      <c r="IK3" s="365"/>
      <c r="IL3" s="365"/>
      <c r="IM3" s="365"/>
      <c r="IN3" s="365"/>
      <c r="IO3" s="365"/>
      <c r="IP3" s="365"/>
      <c r="IQ3" s="365"/>
      <c r="IR3" s="365"/>
      <c r="IS3" s="365"/>
      <c r="IT3" s="365"/>
      <c r="IU3" s="365"/>
      <c r="IV3" s="365"/>
    </row>
    <row r="4" spans="1:256" ht="12.75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4"/>
    </row>
    <row r="5" spans="1:256" s="410" customFormat="1" ht="15.75" customHeight="1">
      <c r="A5" s="45"/>
      <c r="B5" s="610" t="s">
        <v>0</v>
      </c>
      <c r="C5" s="610"/>
      <c r="D5" s="610"/>
      <c r="E5" s="610"/>
      <c r="F5" s="610"/>
      <c r="G5" s="610"/>
      <c r="H5" s="249"/>
      <c r="I5" s="611" t="s">
        <v>1241</v>
      </c>
      <c r="J5" s="610"/>
      <c r="K5" s="610"/>
      <c r="L5" s="610"/>
      <c r="M5" s="610"/>
      <c r="N5" s="610"/>
      <c r="O5" s="610"/>
      <c r="P5" s="610"/>
      <c r="Q5" s="610"/>
      <c r="R5" s="610"/>
      <c r="S5" s="610"/>
      <c r="T5" s="610"/>
      <c r="U5" s="610"/>
      <c r="V5" s="610"/>
      <c r="W5" s="610"/>
      <c r="X5" s="610"/>
      <c r="Y5" s="610"/>
      <c r="AM5" s="46"/>
    </row>
    <row r="6" spans="1:256" ht="12.75" customHeight="1">
      <c r="A6" s="45"/>
      <c r="B6" s="249"/>
      <c r="H6" s="249"/>
      <c r="I6" s="249"/>
      <c r="J6" s="249"/>
      <c r="K6" s="249"/>
      <c r="L6" s="249"/>
      <c r="M6" s="249"/>
      <c r="N6" s="249"/>
      <c r="AM6" s="46"/>
    </row>
    <row r="7" spans="1:256" ht="12.75" customHeight="1">
      <c r="A7" s="45"/>
      <c r="B7" s="610" t="s">
        <v>1</v>
      </c>
      <c r="C7" s="610"/>
      <c r="D7" s="610"/>
      <c r="E7" s="610"/>
      <c r="F7" s="610"/>
      <c r="G7" s="610"/>
      <c r="H7" s="249"/>
      <c r="I7" s="611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AM7" s="46"/>
    </row>
    <row r="8" spans="1:256" ht="12.75" customHeight="1">
      <c r="A8" s="45"/>
      <c r="B8" s="249"/>
      <c r="H8" s="249"/>
      <c r="I8" s="249"/>
      <c r="J8" s="249"/>
      <c r="K8" s="249"/>
      <c r="L8" s="249"/>
      <c r="M8" s="249"/>
      <c r="N8" s="249"/>
      <c r="AM8" s="46"/>
    </row>
    <row r="9" spans="1:256" ht="12.75" customHeight="1">
      <c r="A9" s="45"/>
      <c r="B9" s="610" t="s">
        <v>2</v>
      </c>
      <c r="C9" s="610"/>
      <c r="D9" s="610"/>
      <c r="E9" s="610"/>
      <c r="F9" s="610"/>
      <c r="G9" s="610"/>
      <c r="H9" s="249"/>
      <c r="I9" s="1042"/>
      <c r="J9" s="1043"/>
      <c r="K9" s="1043"/>
      <c r="L9" s="1043"/>
      <c r="M9" s="1043"/>
      <c r="N9" s="1043"/>
      <c r="O9" s="1043"/>
      <c r="P9" s="1043"/>
      <c r="Q9" s="1043"/>
      <c r="R9" s="1043"/>
      <c r="S9" s="1043"/>
      <c r="T9" s="1043"/>
      <c r="U9" s="1043"/>
      <c r="V9" s="1043"/>
      <c r="W9" s="1043"/>
      <c r="X9" s="1043"/>
      <c r="Y9" s="1043"/>
      <c r="Z9" s="1043"/>
      <c r="AM9" s="46"/>
    </row>
    <row r="10" spans="1:256" ht="12.75" customHeight="1">
      <c r="A10" s="45"/>
      <c r="B10" s="249"/>
      <c r="H10" s="249"/>
      <c r="I10" s="1044"/>
      <c r="J10" s="1044"/>
      <c r="K10" s="1044"/>
      <c r="L10" s="1044"/>
      <c r="M10" s="1044"/>
      <c r="N10" s="1044"/>
      <c r="O10" s="1044"/>
      <c r="P10" s="1044"/>
      <c r="Q10" s="1044"/>
      <c r="R10" s="1044"/>
      <c r="S10" s="1044" t="s">
        <v>1497</v>
      </c>
      <c r="T10" s="1044"/>
      <c r="U10" s="1044"/>
      <c r="V10" s="1044"/>
      <c r="W10" s="1044"/>
      <c r="X10" s="1044"/>
      <c r="Y10" s="1044"/>
      <c r="Z10" s="1044"/>
      <c r="AM10" s="46"/>
    </row>
    <row r="11" spans="1:256" ht="12.75" customHeight="1">
      <c r="A11" s="45"/>
      <c r="B11" s="249"/>
      <c r="H11" s="249"/>
      <c r="I11" s="1044"/>
      <c r="J11" s="1044"/>
      <c r="K11" s="1044"/>
      <c r="L11" s="1044"/>
      <c r="M11" s="1044"/>
      <c r="N11" s="1044"/>
      <c r="O11" s="1044"/>
      <c r="P11" s="1044"/>
      <c r="Q11" s="1044"/>
      <c r="R11" s="1044"/>
      <c r="S11" s="1044"/>
      <c r="T11" s="1044"/>
      <c r="U11" s="1044"/>
      <c r="V11" s="1044"/>
      <c r="W11" s="1044"/>
      <c r="X11" s="1044"/>
      <c r="Y11" s="1044"/>
      <c r="Z11" s="1044"/>
      <c r="AM11" s="46"/>
    </row>
    <row r="12" spans="1:256" ht="12.75" customHeight="1">
      <c r="A12" s="45"/>
      <c r="B12" s="249"/>
      <c r="H12" s="249"/>
      <c r="I12" s="249"/>
      <c r="J12" s="249"/>
      <c r="K12" s="249"/>
      <c r="L12" s="249"/>
      <c r="M12" s="249"/>
      <c r="N12" s="249"/>
      <c r="AM12" s="46"/>
    </row>
    <row r="13" spans="1:256" ht="12.75" customHeight="1">
      <c r="A13" s="45"/>
      <c r="B13" s="249"/>
      <c r="H13" s="249"/>
      <c r="I13" s="249"/>
      <c r="J13" s="249"/>
      <c r="K13" s="249"/>
      <c r="L13" s="249"/>
      <c r="M13" s="249"/>
      <c r="N13" s="249"/>
      <c r="AM13" s="46"/>
    </row>
    <row r="14" spans="1:256" ht="12.75" customHeight="1">
      <c r="A14" s="45"/>
      <c r="B14" s="249"/>
      <c r="H14" s="249"/>
      <c r="I14" s="249"/>
      <c r="J14" s="249"/>
      <c r="K14" s="249"/>
      <c r="L14" s="249"/>
      <c r="M14" s="249"/>
      <c r="N14" s="249"/>
      <c r="AM14" s="46"/>
    </row>
    <row r="15" spans="1:256" ht="12.75" customHeight="1">
      <c r="A15" s="45"/>
      <c r="B15" s="249"/>
      <c r="H15" s="249"/>
      <c r="I15" s="249"/>
      <c r="J15" s="249"/>
      <c r="K15" s="249"/>
      <c r="L15" s="249"/>
      <c r="M15" s="249"/>
      <c r="N15" s="249"/>
      <c r="AM15" s="46"/>
    </row>
    <row r="16" spans="1:256" ht="12.75" customHeight="1">
      <c r="A16" s="45"/>
      <c r="B16" s="249"/>
      <c r="H16" s="249"/>
      <c r="I16" s="249"/>
      <c r="J16" s="249"/>
      <c r="K16" s="249"/>
      <c r="L16" s="249"/>
      <c r="M16" s="249"/>
      <c r="N16" s="249"/>
      <c r="AM16" s="46"/>
    </row>
    <row r="17" spans="1:39" s="410" customFormat="1" ht="15.75" customHeight="1">
      <c r="A17" s="45"/>
      <c r="B17" s="612" t="s">
        <v>1494</v>
      </c>
      <c r="C17" s="608"/>
      <c r="D17" s="608"/>
      <c r="E17" s="608"/>
      <c r="F17" s="608"/>
      <c r="G17" s="608"/>
      <c r="H17" s="608"/>
      <c r="I17" s="608"/>
      <c r="J17" s="608"/>
      <c r="K17" s="608"/>
      <c r="L17" s="608"/>
      <c r="M17" s="608"/>
      <c r="N17" s="608"/>
      <c r="O17" s="608"/>
      <c r="P17" s="608"/>
      <c r="Q17" s="608"/>
      <c r="R17" s="608"/>
      <c r="S17" s="608"/>
      <c r="T17" s="608"/>
      <c r="U17" s="608"/>
      <c r="V17" s="608"/>
      <c r="W17" s="608"/>
      <c r="X17" s="608"/>
      <c r="Y17" s="608"/>
      <c r="Z17" s="608"/>
      <c r="AA17" s="608"/>
      <c r="AB17" s="608"/>
      <c r="AC17" s="608"/>
      <c r="AD17" s="608"/>
      <c r="AE17" s="608"/>
      <c r="AF17" s="608"/>
      <c r="AG17" s="608"/>
      <c r="AH17" s="608"/>
      <c r="AI17" s="608"/>
      <c r="AJ17" s="608"/>
      <c r="AK17" s="608"/>
      <c r="AL17" s="608"/>
      <c r="AM17" s="46"/>
    </row>
    <row r="18" spans="1:39" ht="12.75" customHeight="1">
      <c r="A18" s="45"/>
      <c r="B18" s="249"/>
      <c r="H18" s="249"/>
      <c r="I18" s="249"/>
      <c r="J18" s="249"/>
      <c r="K18" s="249"/>
      <c r="L18" s="249"/>
      <c r="M18" s="249"/>
      <c r="N18" s="249"/>
      <c r="AM18" s="46"/>
    </row>
    <row r="19" spans="1:39" ht="12.75" customHeight="1">
      <c r="A19" s="45"/>
      <c r="B19" s="249"/>
      <c r="H19" s="249"/>
      <c r="I19" s="249"/>
      <c r="J19" s="249"/>
      <c r="K19" s="249"/>
      <c r="L19" s="249"/>
      <c r="M19" s="249"/>
      <c r="N19" s="249"/>
      <c r="AM19" s="46"/>
    </row>
    <row r="20" spans="1:39" ht="12.75" customHeight="1">
      <c r="A20" s="45"/>
      <c r="B20" s="249"/>
      <c r="H20" s="249"/>
      <c r="I20" s="249"/>
      <c r="J20" s="249"/>
      <c r="K20" s="249"/>
      <c r="L20" s="249"/>
      <c r="M20" s="249"/>
      <c r="N20" s="249"/>
      <c r="AM20" s="46"/>
    </row>
    <row r="21" spans="1:39" ht="12.75" customHeight="1">
      <c r="A21" s="45"/>
      <c r="B21" s="249"/>
      <c r="H21" s="249"/>
      <c r="I21" s="249"/>
      <c r="J21" s="249"/>
      <c r="K21" s="249"/>
      <c r="L21" s="249"/>
      <c r="M21" s="249"/>
      <c r="N21" s="249"/>
      <c r="AM21" s="46"/>
    </row>
    <row r="22" spans="1:39" ht="12.75" customHeight="1">
      <c r="A22" s="45"/>
      <c r="B22" s="249"/>
      <c r="H22" s="249"/>
      <c r="I22" s="249"/>
      <c r="J22" s="249"/>
      <c r="K22" s="249"/>
      <c r="L22" s="249"/>
      <c r="M22" s="249"/>
      <c r="N22" s="249"/>
      <c r="AM22" s="46"/>
    </row>
    <row r="23" spans="1:39" ht="12.75" customHeight="1">
      <c r="A23" s="613" t="s">
        <v>1213</v>
      </c>
      <c r="B23" s="614"/>
      <c r="C23" s="614"/>
      <c r="D23" s="614"/>
      <c r="E23" s="614"/>
      <c r="F23" s="614"/>
      <c r="G23" s="614"/>
      <c r="H23" s="614"/>
      <c r="I23" s="614"/>
      <c r="J23" s="614"/>
      <c r="K23" s="614"/>
      <c r="L23" s="614"/>
      <c r="M23" s="614"/>
      <c r="N23" s="614"/>
      <c r="O23" s="614"/>
      <c r="P23" s="614"/>
      <c r="Q23" s="614"/>
      <c r="R23" s="614"/>
      <c r="S23" s="614"/>
      <c r="T23" s="614"/>
      <c r="U23" s="614"/>
      <c r="V23" s="614"/>
      <c r="W23" s="614"/>
      <c r="X23" s="614"/>
      <c r="Y23" s="614"/>
      <c r="Z23" s="614"/>
      <c r="AA23" s="614"/>
      <c r="AB23" s="614"/>
      <c r="AC23" s="614"/>
      <c r="AD23" s="614"/>
      <c r="AE23" s="614"/>
      <c r="AF23" s="614"/>
      <c r="AG23" s="614"/>
      <c r="AH23" s="614"/>
      <c r="AI23" s="614"/>
      <c r="AJ23" s="614"/>
      <c r="AK23" s="614"/>
      <c r="AL23" s="614"/>
      <c r="AM23" s="615"/>
    </row>
    <row r="24" spans="1:39" ht="12.75" customHeight="1">
      <c r="A24" s="613" t="s">
        <v>1214</v>
      </c>
      <c r="B24" s="614"/>
      <c r="C24" s="614"/>
      <c r="D24" s="614"/>
      <c r="E24" s="614"/>
      <c r="F24" s="614"/>
      <c r="G24" s="614"/>
      <c r="H24" s="614"/>
      <c r="I24" s="614"/>
      <c r="J24" s="614"/>
      <c r="K24" s="614"/>
      <c r="L24" s="614"/>
      <c r="M24" s="614"/>
      <c r="N24" s="614"/>
      <c r="O24" s="614"/>
      <c r="P24" s="614"/>
      <c r="Q24" s="614"/>
      <c r="R24" s="614"/>
      <c r="S24" s="614"/>
      <c r="T24" s="614"/>
      <c r="U24" s="614"/>
      <c r="V24" s="614"/>
      <c r="W24" s="614"/>
      <c r="X24" s="614"/>
      <c r="Y24" s="614"/>
      <c r="Z24" s="614"/>
      <c r="AA24" s="614"/>
      <c r="AB24" s="614"/>
      <c r="AC24" s="614"/>
      <c r="AD24" s="614"/>
      <c r="AE24" s="614"/>
      <c r="AF24" s="614"/>
      <c r="AG24" s="614"/>
      <c r="AH24" s="614"/>
      <c r="AI24" s="614"/>
      <c r="AJ24" s="614"/>
      <c r="AK24" s="614"/>
      <c r="AL24" s="614"/>
      <c r="AM24" s="615"/>
    </row>
    <row r="25" spans="1:39" ht="12.75" customHeight="1">
      <c r="A25" s="379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  <c r="AI25" s="380"/>
      <c r="AJ25" s="380"/>
      <c r="AK25" s="380"/>
      <c r="AL25" s="380"/>
      <c r="AM25" s="381"/>
    </row>
    <row r="26" spans="1:39" ht="12.75" customHeight="1">
      <c r="A26" s="45"/>
      <c r="B26" s="249"/>
      <c r="H26" s="249"/>
      <c r="I26" s="249"/>
      <c r="J26" s="249"/>
      <c r="K26" s="249"/>
      <c r="L26" s="249"/>
      <c r="M26" s="249"/>
      <c r="N26" s="249"/>
      <c r="AM26" s="46"/>
    </row>
    <row r="27" spans="1:39" s="410" customFormat="1" ht="15.75" customHeight="1">
      <c r="A27" s="45"/>
      <c r="B27" s="610" t="s">
        <v>3</v>
      </c>
      <c r="C27" s="610"/>
      <c r="D27" s="610"/>
      <c r="E27" s="610"/>
      <c r="F27" s="610"/>
      <c r="G27" s="610"/>
      <c r="H27" s="610"/>
      <c r="I27" s="610"/>
      <c r="J27" s="610"/>
      <c r="K27" s="610"/>
      <c r="L27" s="249"/>
      <c r="M27" s="616">
        <v>45657</v>
      </c>
      <c r="N27" s="617"/>
      <c r="O27" s="617"/>
      <c r="P27" s="617"/>
      <c r="Q27" s="617"/>
      <c r="R27" s="617"/>
      <c r="S27" s="617"/>
      <c r="T27" s="617"/>
      <c r="U27" s="617"/>
      <c r="V27" s="617"/>
      <c r="W27" s="617"/>
      <c r="X27" s="617"/>
      <c r="Y27" s="617"/>
      <c r="Z27" s="617"/>
      <c r="AA27" s="617"/>
      <c r="AB27" s="617"/>
      <c r="AC27" s="617"/>
      <c r="AD27" s="617"/>
      <c r="AE27" s="617"/>
      <c r="AF27" s="617"/>
      <c r="AG27" s="617"/>
      <c r="AH27" s="617"/>
      <c r="AI27" s="617"/>
      <c r="AJ27" s="617"/>
      <c r="AK27" s="617"/>
      <c r="AM27" s="46"/>
    </row>
    <row r="28" spans="1:39" ht="12.75" customHeight="1">
      <c r="A28" s="45"/>
      <c r="B28" s="249"/>
      <c r="H28" s="249"/>
      <c r="I28" s="249"/>
      <c r="J28" s="249"/>
      <c r="K28" s="249"/>
      <c r="L28" s="249"/>
      <c r="M28" s="382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  <c r="AC28" s="383"/>
      <c r="AD28" s="383"/>
      <c r="AE28" s="383"/>
      <c r="AF28" s="383"/>
      <c r="AG28" s="383"/>
      <c r="AH28" s="383"/>
      <c r="AI28" s="383"/>
      <c r="AJ28" s="383"/>
      <c r="AK28" s="383"/>
      <c r="AM28" s="46"/>
    </row>
    <row r="29" spans="1:39" ht="12.75" customHeight="1">
      <c r="A29" s="45"/>
      <c r="B29" s="249"/>
      <c r="H29" s="249"/>
      <c r="I29" s="249"/>
      <c r="J29" s="249"/>
      <c r="K29" s="249"/>
      <c r="L29" s="249"/>
      <c r="M29" s="382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M29" s="46"/>
    </row>
    <row r="30" spans="1:39" ht="12.75" customHeight="1">
      <c r="A30" s="607" t="s">
        <v>4</v>
      </c>
      <c r="B30" s="608"/>
      <c r="C30" s="608"/>
      <c r="D30" s="608"/>
      <c r="E30" s="608"/>
      <c r="F30" s="608"/>
      <c r="G30" s="608"/>
      <c r="H30" s="608"/>
      <c r="I30" s="608"/>
      <c r="J30" s="608"/>
      <c r="K30" s="608"/>
      <c r="L30" s="608"/>
      <c r="M30" s="608"/>
      <c r="N30" s="608"/>
      <c r="O30" s="608"/>
      <c r="P30" s="608"/>
      <c r="Q30" s="608"/>
      <c r="R30" s="608"/>
      <c r="S30" s="608"/>
      <c r="T30" s="608"/>
      <c r="U30" s="608"/>
      <c r="V30" s="608"/>
      <c r="W30" s="608"/>
      <c r="X30" s="608"/>
      <c r="Y30" s="608"/>
      <c r="Z30" s="608"/>
      <c r="AA30" s="608"/>
      <c r="AB30" s="608"/>
      <c r="AC30" s="608"/>
      <c r="AD30" s="608"/>
      <c r="AE30" s="608"/>
      <c r="AF30" s="608"/>
      <c r="AG30" s="608"/>
      <c r="AH30" s="608"/>
      <c r="AI30" s="608"/>
      <c r="AJ30" s="608"/>
      <c r="AK30" s="608"/>
      <c r="AL30" s="608"/>
      <c r="AM30" s="609"/>
    </row>
    <row r="31" spans="1:39" ht="12.75" customHeight="1">
      <c r="A31" s="45"/>
      <c r="B31" s="249"/>
      <c r="H31" s="249"/>
      <c r="I31" s="249"/>
      <c r="J31" s="249"/>
      <c r="K31" s="249"/>
      <c r="L31" s="249"/>
      <c r="M31" s="249"/>
      <c r="N31" s="249"/>
      <c r="AM31" s="46"/>
    </row>
    <row r="32" spans="1:39" ht="12.75" customHeight="1">
      <c r="A32" s="45"/>
      <c r="B32" s="249"/>
      <c r="H32" s="249"/>
      <c r="I32" s="249"/>
      <c r="J32" s="249"/>
      <c r="K32" s="249"/>
      <c r="L32" s="249"/>
      <c r="M32" s="249"/>
      <c r="N32" s="249"/>
      <c r="AM32" s="46"/>
    </row>
    <row r="33" spans="1:39" ht="12.75" customHeight="1">
      <c r="A33" s="45"/>
      <c r="B33" s="249"/>
      <c r="H33" s="249"/>
      <c r="I33" s="249"/>
      <c r="J33" s="249"/>
      <c r="K33" s="249"/>
      <c r="L33" s="249"/>
      <c r="M33" s="249"/>
      <c r="N33" s="249"/>
      <c r="AM33" s="46"/>
    </row>
    <row r="34" spans="1:39" ht="12.75" customHeight="1">
      <c r="A34" s="45"/>
      <c r="B34" s="249"/>
      <c r="H34" s="249"/>
      <c r="I34" s="249"/>
      <c r="J34" s="249"/>
      <c r="K34" s="249"/>
      <c r="L34" s="249"/>
      <c r="M34" s="249"/>
      <c r="N34" s="249"/>
      <c r="AM34" s="46"/>
    </row>
    <row r="35" spans="1:39" s="410" customFormat="1" ht="15.75" customHeight="1">
      <c r="A35" s="45"/>
      <c r="B35" s="249"/>
      <c r="C35" s="610" t="s">
        <v>5</v>
      </c>
      <c r="D35" s="610"/>
      <c r="E35" s="610"/>
      <c r="F35" s="610"/>
      <c r="G35" s="610"/>
      <c r="H35" s="610"/>
      <c r="I35" s="610"/>
      <c r="J35" s="610"/>
      <c r="K35" s="610"/>
      <c r="L35" s="611" t="s">
        <v>1242</v>
      </c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10"/>
      <c r="AB35" s="610"/>
      <c r="AC35" s="610"/>
      <c r="AD35" s="610"/>
      <c r="AE35" s="610"/>
      <c r="AF35" s="610"/>
      <c r="AG35" s="610"/>
      <c r="AH35" s="610"/>
      <c r="AI35" s="610"/>
      <c r="AJ35" s="610"/>
      <c r="AK35" s="610"/>
      <c r="AM35" s="46"/>
    </row>
    <row r="36" spans="1:39" ht="12.75" customHeight="1">
      <c r="A36" s="45"/>
      <c r="B36" s="249"/>
      <c r="C36" s="610" t="s">
        <v>6</v>
      </c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0"/>
      <c r="AM36" s="46"/>
    </row>
    <row r="37" spans="1:39" ht="12.75" customHeight="1">
      <c r="A37" s="45"/>
      <c r="B37" s="249"/>
      <c r="H37" s="249"/>
      <c r="I37" s="249"/>
      <c r="J37" s="249"/>
      <c r="K37" s="249"/>
      <c r="L37" s="249"/>
      <c r="M37" s="249"/>
      <c r="N37" s="249"/>
      <c r="AM37" s="46"/>
    </row>
    <row r="38" spans="1:39" ht="12.75" customHeight="1">
      <c r="A38" s="45"/>
      <c r="B38" s="249"/>
      <c r="H38" s="249"/>
      <c r="I38" s="249"/>
      <c r="J38" s="249"/>
      <c r="K38" s="249"/>
      <c r="L38" s="249"/>
      <c r="M38" s="249"/>
      <c r="N38" s="249"/>
      <c r="AM38" s="46"/>
    </row>
    <row r="39" spans="1:39" ht="12.75" customHeight="1">
      <c r="A39" s="45"/>
      <c r="B39" s="249"/>
      <c r="H39" s="249"/>
      <c r="I39" s="249"/>
      <c r="J39" s="249"/>
      <c r="K39" s="249"/>
      <c r="L39" s="249"/>
      <c r="M39" s="249"/>
      <c r="N39" s="249"/>
      <c r="AM39" s="46"/>
    </row>
    <row r="40" spans="1:39" ht="12.75" customHeight="1">
      <c r="A40" s="45"/>
      <c r="B40" s="249"/>
      <c r="H40" s="249"/>
      <c r="I40" s="249"/>
      <c r="J40" s="249"/>
      <c r="K40" s="249"/>
      <c r="L40" s="249"/>
      <c r="M40" s="249"/>
      <c r="N40" s="249"/>
      <c r="AM40" s="46"/>
    </row>
    <row r="41" spans="1:39" s="410" customFormat="1" ht="15.75" customHeight="1">
      <c r="A41" s="45"/>
      <c r="B41" s="249"/>
      <c r="C41" s="610" t="s">
        <v>7</v>
      </c>
      <c r="D41" s="610"/>
      <c r="E41" s="610"/>
      <c r="F41" s="610"/>
      <c r="G41" s="610"/>
      <c r="H41" s="622" t="s">
        <v>1243</v>
      </c>
      <c r="I41" s="608"/>
      <c r="J41" s="608"/>
      <c r="K41" s="608"/>
      <c r="L41" s="608"/>
      <c r="M41" s="608"/>
      <c r="N41" s="608"/>
      <c r="O41" s="608"/>
      <c r="P41" s="608"/>
      <c r="Q41" s="608"/>
      <c r="R41" s="608"/>
      <c r="S41" s="608"/>
      <c r="T41" s="608"/>
      <c r="U41" s="608"/>
      <c r="V41" s="608"/>
      <c r="W41" s="608"/>
      <c r="X41" s="608"/>
      <c r="Y41" s="608"/>
      <c r="Z41" s="608"/>
      <c r="AA41" s="608"/>
      <c r="AB41" s="608"/>
      <c r="AC41" s="608"/>
      <c r="AD41" s="608"/>
      <c r="AE41" s="608"/>
      <c r="AF41" s="608"/>
      <c r="AG41" s="608"/>
      <c r="AH41" s="608"/>
      <c r="AI41" s="608"/>
      <c r="AJ41" s="608"/>
      <c r="AK41" s="608"/>
      <c r="AM41" s="46"/>
    </row>
    <row r="42" spans="1:39" ht="12.75" customHeight="1">
      <c r="A42" s="45"/>
      <c r="B42" s="249"/>
      <c r="H42" s="249"/>
      <c r="I42" s="249"/>
      <c r="J42" s="249"/>
      <c r="K42" s="249"/>
      <c r="L42" s="249"/>
      <c r="M42" s="249"/>
      <c r="N42" s="249"/>
      <c r="AM42" s="46"/>
    </row>
    <row r="43" spans="1:39" ht="12.75" customHeight="1">
      <c r="A43" s="45"/>
      <c r="B43" s="249"/>
      <c r="H43" s="249"/>
      <c r="I43" s="249"/>
      <c r="J43" s="249"/>
      <c r="K43" s="249"/>
      <c r="L43" s="249"/>
      <c r="M43" s="249"/>
      <c r="N43" s="249"/>
      <c r="AM43" s="46"/>
    </row>
    <row r="44" spans="1:39" ht="12.75" customHeight="1">
      <c r="A44" s="45"/>
      <c r="B44" s="249"/>
      <c r="H44" s="249"/>
      <c r="I44" s="249"/>
      <c r="J44" s="249"/>
      <c r="K44" s="249"/>
      <c r="L44" s="249"/>
      <c r="M44" s="249"/>
      <c r="N44" s="249"/>
      <c r="AM44" s="46"/>
    </row>
    <row r="45" spans="1:39" ht="12.75" customHeight="1">
      <c r="A45" s="45"/>
      <c r="B45" s="249"/>
      <c r="H45" s="249"/>
      <c r="I45" s="249"/>
      <c r="J45" s="249"/>
      <c r="K45" s="249"/>
      <c r="L45" s="249"/>
      <c r="M45" s="249"/>
      <c r="N45" s="249"/>
      <c r="AM45" s="46"/>
    </row>
    <row r="46" spans="1:39" s="410" customFormat="1" ht="15.75" customHeight="1">
      <c r="A46" s="45"/>
      <c r="B46" s="249"/>
      <c r="C46" s="610" t="s">
        <v>8</v>
      </c>
      <c r="D46" s="610"/>
      <c r="E46" s="610"/>
      <c r="F46" s="610"/>
      <c r="G46" s="610"/>
      <c r="H46" s="610"/>
      <c r="I46" s="610"/>
      <c r="J46" s="611" t="s">
        <v>1244</v>
      </c>
      <c r="K46" s="610"/>
      <c r="L46" s="610"/>
      <c r="M46" s="610"/>
      <c r="N46" s="610"/>
      <c r="O46" s="610"/>
      <c r="P46" s="610"/>
      <c r="Q46" s="610"/>
      <c r="R46" s="610"/>
      <c r="S46" s="610"/>
      <c r="T46" s="610"/>
      <c r="U46" s="610"/>
      <c r="V46" s="610"/>
      <c r="W46" s="610"/>
      <c r="X46" s="610"/>
      <c r="Y46" s="610"/>
      <c r="Z46" s="610"/>
      <c r="AA46" s="610"/>
      <c r="AB46" s="610"/>
      <c r="AC46" s="610"/>
      <c r="AD46" s="610"/>
      <c r="AE46" s="610"/>
      <c r="AF46" s="610"/>
      <c r="AG46" s="610"/>
      <c r="AH46" s="610"/>
      <c r="AI46" s="610"/>
      <c r="AJ46" s="610"/>
      <c r="AK46" s="610"/>
      <c r="AM46" s="46"/>
    </row>
    <row r="47" spans="1:39" ht="12.75" customHeight="1">
      <c r="A47" s="45"/>
      <c r="B47" s="249"/>
      <c r="H47" s="249"/>
      <c r="I47" s="249"/>
      <c r="J47" s="249"/>
      <c r="K47" s="249"/>
      <c r="L47" s="249"/>
      <c r="M47" s="249"/>
      <c r="N47" s="249"/>
      <c r="AM47" s="46"/>
    </row>
    <row r="48" spans="1:39" ht="12.75" customHeight="1">
      <c r="A48" s="45"/>
      <c r="B48" s="249"/>
      <c r="H48" s="249"/>
      <c r="I48" s="249"/>
      <c r="J48" s="249"/>
      <c r="K48" s="249"/>
      <c r="L48" s="249"/>
      <c r="M48" s="249"/>
      <c r="N48" s="249"/>
      <c r="AM48" s="46"/>
    </row>
    <row r="49" spans="1:39" ht="12.75" customHeight="1">
      <c r="A49" s="45"/>
      <c r="B49" s="249"/>
      <c r="H49" s="249"/>
      <c r="I49" s="249"/>
      <c r="J49" s="249"/>
      <c r="K49" s="249"/>
      <c r="L49" s="249"/>
      <c r="M49" s="249"/>
      <c r="N49" s="249"/>
      <c r="AM49" s="46"/>
    </row>
    <row r="50" spans="1:39" ht="12.75" customHeight="1">
      <c r="A50" s="45"/>
      <c r="B50" s="249"/>
      <c r="H50" s="249"/>
      <c r="I50" s="249"/>
      <c r="J50" s="249"/>
      <c r="K50" s="249"/>
      <c r="L50" s="249"/>
      <c r="M50" s="249"/>
      <c r="N50" s="249"/>
      <c r="AM50" s="46"/>
    </row>
    <row r="51" spans="1:39" s="410" customFormat="1" ht="15.75" customHeight="1">
      <c r="A51" s="45"/>
      <c r="B51" s="249"/>
      <c r="C51" s="610" t="s">
        <v>9</v>
      </c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23" t="s">
        <v>1495</v>
      </c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24"/>
      <c r="AB51" s="624"/>
      <c r="AC51" s="624"/>
      <c r="AD51" s="624"/>
      <c r="AE51" s="624"/>
      <c r="AF51" s="624"/>
      <c r="AG51" s="624"/>
      <c r="AH51" s="624"/>
      <c r="AI51" s="624"/>
      <c r="AJ51" s="624"/>
      <c r="AM51" s="46"/>
    </row>
    <row r="52" spans="1:39" ht="12.75" customHeight="1">
      <c r="A52" s="45"/>
      <c r="B52" s="249"/>
      <c r="H52" s="249"/>
      <c r="I52" s="249"/>
      <c r="J52" s="249"/>
      <c r="K52" s="249"/>
      <c r="L52" s="249"/>
      <c r="M52" s="249"/>
      <c r="N52" s="249"/>
      <c r="AM52" s="46"/>
    </row>
    <row r="53" spans="1:39" ht="12.75" customHeight="1">
      <c r="A53" s="45"/>
      <c r="B53" s="249"/>
      <c r="H53" s="249"/>
      <c r="I53" s="249"/>
      <c r="J53" s="249"/>
      <c r="K53" s="249"/>
      <c r="L53" s="249"/>
      <c r="M53" s="249"/>
      <c r="N53" s="249"/>
      <c r="AM53" s="46"/>
    </row>
    <row r="54" spans="1:39" ht="12.75" customHeight="1">
      <c r="A54" s="45"/>
      <c r="B54" s="249"/>
      <c r="H54" s="249"/>
      <c r="I54" s="249"/>
      <c r="J54" s="249"/>
      <c r="K54" s="249"/>
      <c r="L54" s="249"/>
      <c r="M54" s="249"/>
      <c r="N54" s="249"/>
      <c r="AM54" s="46"/>
    </row>
    <row r="55" spans="1:39" ht="12.75" customHeight="1">
      <c r="A55" s="45"/>
      <c r="B55" s="249"/>
      <c r="C55" s="625" t="s">
        <v>10</v>
      </c>
      <c r="D55" s="625"/>
      <c r="E55" s="625"/>
      <c r="F55" s="625"/>
      <c r="G55" s="625"/>
      <c r="H55" s="625"/>
      <c r="I55" s="625"/>
      <c r="J55" s="625"/>
      <c r="K55" s="625"/>
      <c r="L55" s="625"/>
      <c r="M55" s="625"/>
      <c r="N55" s="625"/>
      <c r="O55" s="625"/>
      <c r="P55" s="625"/>
      <c r="Q55" s="625"/>
      <c r="R55" s="625"/>
      <c r="S55" s="625"/>
      <c r="T55" s="625"/>
      <c r="U55" s="625"/>
      <c r="V55" s="625"/>
      <c r="W55" s="625"/>
      <c r="X55" s="625"/>
      <c r="Y55" s="625"/>
      <c r="Z55" s="625"/>
      <c r="AA55" s="625"/>
      <c r="AB55" s="625"/>
      <c r="AC55" s="625"/>
      <c r="AD55" s="625"/>
      <c r="AE55" s="625"/>
      <c r="AF55" s="625"/>
      <c r="AG55" s="625"/>
      <c r="AH55" s="625"/>
      <c r="AI55" s="625"/>
      <c r="AJ55" s="625"/>
      <c r="AK55" s="625"/>
      <c r="AL55" s="625"/>
      <c r="AM55" s="46"/>
    </row>
    <row r="56" spans="1:39" ht="12.75" customHeight="1">
      <c r="A56" s="45"/>
      <c r="B56" s="249"/>
      <c r="H56" s="249"/>
      <c r="I56" s="249"/>
      <c r="J56" s="249"/>
      <c r="K56" s="249"/>
      <c r="L56" s="249"/>
      <c r="M56" s="249"/>
      <c r="N56" s="249"/>
      <c r="AM56" s="46"/>
    </row>
    <row r="57" spans="1:39" ht="12.75" customHeight="1">
      <c r="A57" s="45"/>
      <c r="B57" s="249"/>
      <c r="H57" s="249"/>
      <c r="I57" s="249"/>
      <c r="J57" s="249"/>
      <c r="K57" s="249"/>
      <c r="L57" s="249"/>
      <c r="M57" s="249"/>
      <c r="N57" s="249"/>
      <c r="AM57" s="46"/>
    </row>
    <row r="58" spans="1:39" ht="12.75" customHeight="1">
      <c r="A58" s="45"/>
      <c r="B58" s="249"/>
      <c r="H58" s="249"/>
      <c r="I58" s="249"/>
      <c r="J58" s="249"/>
      <c r="K58" s="249"/>
      <c r="L58" s="249"/>
      <c r="M58" s="249"/>
      <c r="N58" s="249"/>
      <c r="AM58" s="46"/>
    </row>
    <row r="59" spans="1:39" ht="12.75" customHeight="1">
      <c r="A59" s="45"/>
      <c r="B59" s="249"/>
      <c r="C59" s="608" t="s">
        <v>11</v>
      </c>
      <c r="D59" s="608"/>
      <c r="E59" s="608"/>
      <c r="F59" s="608"/>
      <c r="G59" s="608"/>
      <c r="H59" s="608"/>
      <c r="I59" s="608"/>
      <c r="J59" s="608"/>
      <c r="K59" s="608"/>
      <c r="L59" s="608"/>
      <c r="M59" s="608"/>
      <c r="N59" s="608"/>
      <c r="O59" s="608"/>
      <c r="P59" s="608"/>
      <c r="Q59" s="608"/>
      <c r="R59" s="608"/>
      <c r="S59" s="608"/>
      <c r="T59" s="608"/>
      <c r="V59" s="608" t="s">
        <v>12</v>
      </c>
      <c r="W59" s="608"/>
      <c r="X59" s="608"/>
      <c r="Y59" s="608"/>
      <c r="Z59" s="608"/>
      <c r="AA59" s="608"/>
      <c r="AB59" s="608"/>
      <c r="AC59" s="608"/>
      <c r="AD59" s="608"/>
      <c r="AE59" s="608"/>
      <c r="AF59" s="608"/>
      <c r="AG59" s="608"/>
      <c r="AH59" s="608"/>
      <c r="AI59" s="608"/>
      <c r="AJ59" s="608"/>
      <c r="AK59" s="608"/>
      <c r="AL59" s="608"/>
      <c r="AM59" s="46"/>
    </row>
    <row r="60" spans="1:39" ht="12.75" customHeight="1">
      <c r="A60" s="45"/>
      <c r="B60" s="249"/>
      <c r="H60" s="249"/>
      <c r="I60" s="249"/>
      <c r="J60" s="249"/>
      <c r="K60" s="249"/>
      <c r="L60" s="249"/>
      <c r="M60" s="249"/>
      <c r="N60" s="249"/>
      <c r="AM60" s="46"/>
    </row>
    <row r="61" spans="1:39" ht="12.75" customHeight="1">
      <c r="A61" s="45"/>
      <c r="B61" s="249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7"/>
      <c r="S61" s="48"/>
      <c r="T61" s="49"/>
      <c r="U61" s="251"/>
      <c r="V61" s="47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4"/>
    </row>
    <row r="62" spans="1:39" ht="12.75" customHeight="1">
      <c r="A62" s="45"/>
      <c r="B62" s="249"/>
      <c r="C62" s="618" t="s">
        <v>13</v>
      </c>
      <c r="D62" s="619"/>
      <c r="E62" s="619"/>
      <c r="F62" s="619"/>
      <c r="G62" s="619"/>
      <c r="H62" s="619"/>
      <c r="I62" s="619"/>
      <c r="J62" s="619"/>
      <c r="K62" s="619"/>
      <c r="L62" s="619"/>
      <c r="M62" s="619"/>
      <c r="N62" s="619"/>
      <c r="O62" s="619"/>
      <c r="P62" s="619"/>
      <c r="Q62" s="619"/>
      <c r="R62" s="250"/>
      <c r="S62" s="1" t="s">
        <v>14</v>
      </c>
      <c r="T62" s="252"/>
      <c r="U62" s="251"/>
      <c r="V62" s="620" t="s">
        <v>15</v>
      </c>
      <c r="W62" s="621"/>
      <c r="X62" s="621"/>
      <c r="Y62" s="621"/>
      <c r="Z62" s="621"/>
      <c r="AA62" s="621"/>
      <c r="AB62" s="621"/>
      <c r="AC62" s="621"/>
      <c r="AD62" s="621"/>
      <c r="AE62" s="621"/>
      <c r="AF62" s="621"/>
      <c r="AG62" s="621"/>
      <c r="AH62" s="621"/>
      <c r="AI62" s="621"/>
      <c r="AJ62" s="621"/>
      <c r="AK62" s="621"/>
      <c r="AL62" s="621"/>
      <c r="AM62" s="46"/>
    </row>
    <row r="63" spans="1:39" ht="12.75" customHeight="1">
      <c r="A63" s="45"/>
      <c r="B63" s="249"/>
      <c r="C63" s="250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0"/>
      <c r="S63" s="251"/>
      <c r="T63" s="252"/>
      <c r="U63" s="251"/>
      <c r="V63" s="253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46"/>
    </row>
    <row r="64" spans="1:39" ht="12.75" customHeight="1">
      <c r="A64" s="45"/>
      <c r="B64" s="249"/>
      <c r="C64" s="618" t="s">
        <v>16</v>
      </c>
      <c r="D64" s="619"/>
      <c r="E64" s="619"/>
      <c r="F64" s="619"/>
      <c r="G64" s="619"/>
      <c r="H64" s="619"/>
      <c r="I64" s="619"/>
      <c r="J64" s="619"/>
      <c r="K64" s="619"/>
      <c r="L64" s="619"/>
      <c r="M64" s="619"/>
      <c r="N64" s="619"/>
      <c r="O64" s="619"/>
      <c r="P64" s="619"/>
      <c r="Q64" s="619"/>
      <c r="R64" s="250"/>
      <c r="S64" s="1" t="s">
        <v>14</v>
      </c>
      <c r="T64" s="252"/>
      <c r="U64" s="251"/>
      <c r="V64" s="253"/>
      <c r="W64" s="621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1"/>
      <c r="AJ64" s="621"/>
      <c r="AK64" s="621"/>
      <c r="AL64" s="254"/>
      <c r="AM64" s="46"/>
    </row>
    <row r="65" spans="1:39" ht="12.75" customHeight="1">
      <c r="A65" s="45"/>
      <c r="B65" s="249"/>
      <c r="C65" s="250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0"/>
      <c r="S65" s="251"/>
      <c r="T65" s="252"/>
      <c r="U65" s="251"/>
      <c r="V65" s="253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46"/>
    </row>
    <row r="66" spans="1:39" ht="12.75" customHeight="1">
      <c r="A66" s="45"/>
      <c r="B66" s="249"/>
      <c r="C66" s="618" t="s">
        <v>17</v>
      </c>
      <c r="D66" s="619"/>
      <c r="E66" s="619"/>
      <c r="F66" s="619"/>
      <c r="G66" s="619"/>
      <c r="H66" s="619"/>
      <c r="I66" s="619"/>
      <c r="J66" s="619"/>
      <c r="K66" s="619"/>
      <c r="L66" s="619"/>
      <c r="M66" s="619"/>
      <c r="N66" s="619"/>
      <c r="O66" s="619"/>
      <c r="P66" s="619"/>
      <c r="Q66" s="619"/>
      <c r="R66" s="250"/>
      <c r="S66" s="1" t="s">
        <v>14</v>
      </c>
      <c r="T66" s="252"/>
      <c r="U66" s="251"/>
      <c r="V66" s="631" t="s">
        <v>18</v>
      </c>
      <c r="W66" s="632"/>
      <c r="X66" s="632"/>
      <c r="Y66" s="632"/>
      <c r="Z66" s="632"/>
      <c r="AA66" s="632"/>
      <c r="AB66" s="632"/>
      <c r="AC66" s="632"/>
      <c r="AD66" s="632"/>
      <c r="AE66" s="632"/>
      <c r="AF66" s="632"/>
      <c r="AG66" s="632"/>
      <c r="AH66" s="632"/>
      <c r="AI66" s="632"/>
      <c r="AJ66" s="632"/>
      <c r="AK66" s="632"/>
      <c r="AL66" s="633"/>
      <c r="AM66" s="46"/>
    </row>
    <row r="67" spans="1:39" ht="12.75" customHeight="1">
      <c r="A67" s="45"/>
      <c r="B67" s="249"/>
      <c r="C67" s="250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0"/>
      <c r="S67" s="251"/>
      <c r="T67" s="252"/>
      <c r="U67" s="251"/>
      <c r="V67" s="620"/>
      <c r="W67" s="621"/>
      <c r="X67" s="621"/>
      <c r="Y67" s="621"/>
      <c r="Z67" s="621"/>
      <c r="AA67" s="621"/>
      <c r="AB67" s="621"/>
      <c r="AC67" s="621"/>
      <c r="AD67" s="621"/>
      <c r="AE67" s="621"/>
      <c r="AF67" s="621"/>
      <c r="AG67" s="621"/>
      <c r="AH67" s="621"/>
      <c r="AI67" s="621"/>
      <c r="AJ67" s="621"/>
      <c r="AK67" s="621"/>
      <c r="AL67" s="634"/>
      <c r="AM67" s="46"/>
    </row>
    <row r="68" spans="1:39" ht="12.75" customHeight="1">
      <c r="A68" s="45"/>
      <c r="B68" s="249"/>
      <c r="C68" s="618" t="s">
        <v>19</v>
      </c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250"/>
      <c r="S68" s="1" t="s">
        <v>14</v>
      </c>
      <c r="T68" s="252"/>
      <c r="U68" s="251"/>
      <c r="V68" s="253"/>
      <c r="W68" s="621"/>
      <c r="X68" s="621"/>
      <c r="Y68" s="621"/>
      <c r="Z68" s="621"/>
      <c r="AA68" s="621"/>
      <c r="AB68" s="621"/>
      <c r="AC68" s="621"/>
      <c r="AD68" s="621"/>
      <c r="AE68" s="621"/>
      <c r="AF68" s="621"/>
      <c r="AG68" s="621"/>
      <c r="AH68" s="621"/>
      <c r="AI68" s="621"/>
      <c r="AJ68" s="621"/>
      <c r="AK68" s="621"/>
      <c r="AL68" s="255"/>
      <c r="AM68" s="46"/>
    </row>
    <row r="69" spans="1:39" ht="12.75" customHeight="1">
      <c r="A69" s="45"/>
      <c r="B69" s="249"/>
      <c r="C69" s="250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0"/>
      <c r="S69" s="251"/>
      <c r="T69" s="252"/>
      <c r="U69" s="251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6"/>
    </row>
    <row r="70" spans="1:39" ht="12.75" customHeight="1">
      <c r="A70" s="45"/>
      <c r="B70" s="249"/>
      <c r="C70" s="618" t="s">
        <v>20</v>
      </c>
      <c r="D70" s="619"/>
      <c r="E70" s="619"/>
      <c r="F70" s="619"/>
      <c r="G70" s="619"/>
      <c r="H70" s="619"/>
      <c r="I70" s="619"/>
      <c r="J70" s="619"/>
      <c r="K70" s="619"/>
      <c r="L70" s="619"/>
      <c r="M70" s="619"/>
      <c r="N70" s="619"/>
      <c r="O70" s="619"/>
      <c r="P70" s="619"/>
      <c r="Q70" s="619"/>
      <c r="R70" s="250"/>
      <c r="S70" s="1" t="s">
        <v>14</v>
      </c>
      <c r="T70" s="252"/>
      <c r="U70" s="251"/>
      <c r="V70" s="620" t="s">
        <v>21</v>
      </c>
      <c r="W70" s="621"/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1"/>
      <c r="AJ70" s="621"/>
      <c r="AK70" s="621"/>
      <c r="AL70" s="621"/>
      <c r="AM70" s="46"/>
    </row>
    <row r="71" spans="1:39" ht="12.75" customHeight="1">
      <c r="A71" s="45"/>
      <c r="B71" s="249"/>
      <c r="C71" s="250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0"/>
      <c r="S71" s="251"/>
      <c r="T71" s="252"/>
      <c r="U71" s="251"/>
      <c r="V71" s="253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46"/>
    </row>
    <row r="72" spans="1:39" ht="12.75" customHeight="1">
      <c r="A72" s="45"/>
      <c r="B72" s="249"/>
      <c r="C72" s="635" t="s">
        <v>22</v>
      </c>
      <c r="D72" s="636"/>
      <c r="E72" s="636"/>
      <c r="F72" s="636"/>
      <c r="G72" s="636"/>
      <c r="H72" s="636"/>
      <c r="I72" s="636"/>
      <c r="J72" s="636"/>
      <c r="K72" s="636"/>
      <c r="L72" s="636"/>
      <c r="M72" s="636"/>
      <c r="N72" s="636"/>
      <c r="O72" s="636"/>
      <c r="P72" s="636"/>
      <c r="Q72" s="636"/>
      <c r="R72" s="637" t="s">
        <v>810</v>
      </c>
      <c r="S72" s="632"/>
      <c r="T72" s="633"/>
      <c r="U72" s="251"/>
      <c r="V72" s="253"/>
      <c r="W72" s="621"/>
      <c r="X72" s="621"/>
      <c r="Y72" s="621"/>
      <c r="Z72" s="621"/>
      <c r="AA72" s="621"/>
      <c r="AB72" s="621"/>
      <c r="AC72" s="621"/>
      <c r="AD72" s="621"/>
      <c r="AE72" s="621"/>
      <c r="AF72" s="621"/>
      <c r="AG72" s="621"/>
      <c r="AH72" s="621"/>
      <c r="AI72" s="621"/>
      <c r="AJ72" s="621"/>
      <c r="AK72" s="621"/>
      <c r="AL72" s="254"/>
      <c r="AM72" s="46"/>
    </row>
    <row r="73" spans="1:39" ht="12.75" customHeight="1">
      <c r="A73" s="45"/>
      <c r="B73" s="249"/>
      <c r="C73" s="626" t="s">
        <v>23</v>
      </c>
      <c r="D73" s="627"/>
      <c r="E73" s="627"/>
      <c r="F73" s="627"/>
      <c r="G73" s="627"/>
      <c r="H73" s="627"/>
      <c r="I73" s="627"/>
      <c r="J73" s="627"/>
      <c r="K73" s="627"/>
      <c r="L73" s="627"/>
      <c r="M73" s="627"/>
      <c r="N73" s="627"/>
      <c r="O73" s="627"/>
      <c r="P73" s="627"/>
      <c r="Q73" s="627"/>
      <c r="R73" s="628" t="s">
        <v>810</v>
      </c>
      <c r="S73" s="629"/>
      <c r="T73" s="630"/>
      <c r="U73" s="251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52"/>
    </row>
    <row r="74" spans="1:39" ht="12.75" customHeight="1">
      <c r="A74" s="45"/>
      <c r="B74" s="249"/>
      <c r="H74" s="249"/>
      <c r="I74" s="249"/>
      <c r="J74" s="249"/>
      <c r="K74" s="249"/>
      <c r="L74" s="249"/>
      <c r="M74" s="249"/>
      <c r="N74" s="249"/>
      <c r="AM74" s="46"/>
    </row>
    <row r="75" spans="1:39" ht="12.75" customHeight="1" thickBot="1">
      <c r="A75" s="50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</row>
  </sheetData>
  <mergeCells count="40">
    <mergeCell ref="C73:Q73"/>
    <mergeCell ref="R73:T73"/>
    <mergeCell ref="C64:Q64"/>
    <mergeCell ref="W64:AK64"/>
    <mergeCell ref="C66:Q66"/>
    <mergeCell ref="V66:AL67"/>
    <mergeCell ref="C68:Q68"/>
    <mergeCell ref="W68:AK68"/>
    <mergeCell ref="C70:Q70"/>
    <mergeCell ref="V70:AL70"/>
    <mergeCell ref="C72:Q72"/>
    <mergeCell ref="R72:T72"/>
    <mergeCell ref="W72:AK72"/>
    <mergeCell ref="C62:Q62"/>
    <mergeCell ref="V62:AL62"/>
    <mergeCell ref="C35:K35"/>
    <mergeCell ref="L35:AK35"/>
    <mergeCell ref="C36:O36"/>
    <mergeCell ref="C41:G41"/>
    <mergeCell ref="H41:AK41"/>
    <mergeCell ref="C46:I46"/>
    <mergeCell ref="J46:AK46"/>
    <mergeCell ref="C51:M51"/>
    <mergeCell ref="N51:AJ51"/>
    <mergeCell ref="C55:AL55"/>
    <mergeCell ref="C59:T59"/>
    <mergeCell ref="V59:AL59"/>
    <mergeCell ref="A1:AM1"/>
    <mergeCell ref="A30:AM30"/>
    <mergeCell ref="B5:G5"/>
    <mergeCell ref="I5:Y5"/>
    <mergeCell ref="B7:G7"/>
    <mergeCell ref="I7:Y7"/>
    <mergeCell ref="B9:G9"/>
    <mergeCell ref="B17:AL17"/>
    <mergeCell ref="A23:AM23"/>
    <mergeCell ref="A24:AM24"/>
    <mergeCell ref="B27:K27"/>
    <mergeCell ref="M27:AK27"/>
    <mergeCell ref="I9:Z9"/>
  </mergeCells>
  <pageMargins left="0.2362204724409" right="0.2362204724409" top="0.74803149606300001" bottom="0.74803149606300001" header="0.31496062992129997" footer="0.31496062992129997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4"/>
  <sheetViews>
    <sheetView showGridLines="0" topLeftCell="A15" workbookViewId="0">
      <selection activeCell="A57" sqref="A1:XFD1048576"/>
    </sheetView>
  </sheetViews>
  <sheetFormatPr baseColWidth="10" defaultRowHeight="14.45" customHeight="1"/>
  <cols>
    <col min="1" max="3" width="2.85546875" style="591" customWidth="1" collapsed="1"/>
    <col min="4" max="4" width="1.85546875" style="605" customWidth="1" collapsed="1"/>
    <col min="5" max="6" width="2.85546875" style="591" customWidth="1" collapsed="1"/>
    <col min="7" max="7" width="1.85546875" style="605" customWidth="1" collapsed="1"/>
    <col min="8" max="8" width="2.85546875" style="591" customWidth="1" collapsed="1"/>
    <col min="9" max="10" width="1.85546875" style="605" customWidth="1" collapsed="1"/>
    <col min="11" max="16" width="2.85546875" style="591" customWidth="1" collapsed="1"/>
    <col min="17" max="17" width="1.85546875" style="605" customWidth="1" collapsed="1"/>
    <col min="18" max="19" width="2.85546875" style="591" customWidth="1" collapsed="1"/>
    <col min="20" max="20" width="8.7109375" style="605" customWidth="1" collapsed="1"/>
    <col min="21" max="21" width="1.85546875" style="605" customWidth="1" collapsed="1"/>
    <col min="22" max="24" width="2.85546875" style="591" customWidth="1" collapsed="1"/>
    <col min="25" max="25" width="1.85546875" style="605" customWidth="1" collapsed="1"/>
    <col min="26" max="29" width="2.85546875" style="591" customWidth="1" collapsed="1"/>
    <col min="30" max="31" width="1.85546875" style="605" customWidth="1" collapsed="1"/>
    <col min="32" max="33" width="2.85546875" style="591" customWidth="1" collapsed="1"/>
    <col min="34" max="34" width="1.85546875" style="605" customWidth="1" collapsed="1"/>
    <col min="35" max="40" width="2.85546875" style="591" customWidth="1" collapsed="1"/>
    <col min="41" max="16384" width="11.42578125" style="591" collapsed="1"/>
  </cols>
  <sheetData>
    <row r="1" spans="1:257" s="586" customFormat="1" ht="12.75" customHeight="1">
      <c r="A1" s="638" t="s">
        <v>1102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5"/>
      <c r="BF1" s="585"/>
      <c r="BG1" s="585"/>
      <c r="BH1" s="585"/>
      <c r="BI1" s="585"/>
      <c r="BJ1" s="585"/>
      <c r="BK1" s="585"/>
      <c r="BL1" s="585"/>
      <c r="BM1" s="585"/>
      <c r="BN1" s="585"/>
      <c r="BO1" s="585"/>
      <c r="BP1" s="585"/>
      <c r="BQ1" s="585"/>
      <c r="BR1" s="585"/>
      <c r="BS1" s="585"/>
      <c r="BT1" s="585"/>
      <c r="BU1" s="585"/>
      <c r="BV1" s="585"/>
      <c r="BW1" s="585"/>
      <c r="BX1" s="585"/>
      <c r="BY1" s="585"/>
      <c r="BZ1" s="585"/>
      <c r="CA1" s="585"/>
      <c r="CB1" s="585"/>
      <c r="CC1" s="585"/>
      <c r="CD1" s="585"/>
      <c r="CE1" s="585"/>
      <c r="CF1" s="585"/>
      <c r="CG1" s="585"/>
      <c r="CH1" s="585"/>
      <c r="CI1" s="585"/>
      <c r="CJ1" s="585"/>
      <c r="CK1" s="585"/>
      <c r="CL1" s="585"/>
      <c r="CM1" s="585"/>
      <c r="CN1" s="585"/>
      <c r="CO1" s="585"/>
      <c r="CP1" s="585"/>
      <c r="CQ1" s="585"/>
      <c r="CR1" s="585"/>
      <c r="CS1" s="585"/>
      <c r="CT1" s="585"/>
      <c r="CU1" s="585"/>
      <c r="CV1" s="585"/>
      <c r="CW1" s="585"/>
      <c r="CX1" s="585"/>
      <c r="CY1" s="585"/>
      <c r="CZ1" s="585"/>
      <c r="DA1" s="585"/>
      <c r="DB1" s="585"/>
      <c r="DC1" s="585"/>
      <c r="DD1" s="585"/>
      <c r="DE1" s="585"/>
      <c r="DF1" s="585"/>
      <c r="DG1" s="585"/>
      <c r="DH1" s="585"/>
      <c r="DI1" s="585"/>
      <c r="DJ1" s="585"/>
      <c r="DK1" s="585"/>
      <c r="DL1" s="585"/>
      <c r="DM1" s="585"/>
      <c r="DN1" s="585"/>
      <c r="DO1" s="585"/>
      <c r="DP1" s="585"/>
      <c r="DQ1" s="585"/>
      <c r="DR1" s="585"/>
      <c r="DS1" s="585"/>
      <c r="DT1" s="585"/>
      <c r="DU1" s="585"/>
      <c r="DV1" s="585"/>
      <c r="DW1" s="585"/>
      <c r="DX1" s="585"/>
      <c r="DY1" s="585"/>
      <c r="DZ1" s="585"/>
      <c r="EA1" s="585"/>
      <c r="EB1" s="585"/>
      <c r="EC1" s="585"/>
      <c r="ED1" s="585"/>
      <c r="EE1" s="585"/>
      <c r="EF1" s="585"/>
      <c r="EG1" s="585"/>
      <c r="EH1" s="585"/>
      <c r="EI1" s="585"/>
      <c r="EJ1" s="585"/>
      <c r="EK1" s="585"/>
      <c r="EL1" s="585"/>
      <c r="EM1" s="585"/>
      <c r="EN1" s="585"/>
      <c r="EO1" s="585"/>
      <c r="EP1" s="585"/>
      <c r="EQ1" s="585"/>
      <c r="ER1" s="585"/>
      <c r="ES1" s="585"/>
      <c r="ET1" s="585"/>
      <c r="EU1" s="585"/>
      <c r="EV1" s="585"/>
      <c r="EW1" s="585"/>
      <c r="EX1" s="585"/>
      <c r="EY1" s="585"/>
      <c r="EZ1" s="585"/>
      <c r="FA1" s="585"/>
      <c r="FB1" s="585"/>
      <c r="FC1" s="585"/>
      <c r="FD1" s="585"/>
      <c r="FE1" s="585"/>
      <c r="FF1" s="585"/>
      <c r="FG1" s="585"/>
      <c r="FH1" s="585"/>
      <c r="FI1" s="585"/>
      <c r="FJ1" s="585"/>
      <c r="FK1" s="585"/>
      <c r="FL1" s="585"/>
      <c r="FM1" s="585"/>
      <c r="FN1" s="585"/>
      <c r="FO1" s="585"/>
      <c r="FP1" s="585"/>
      <c r="FQ1" s="585"/>
      <c r="FR1" s="585"/>
      <c r="FS1" s="585"/>
      <c r="FT1" s="585"/>
      <c r="FU1" s="585"/>
      <c r="FV1" s="585"/>
      <c r="FW1" s="585"/>
      <c r="FX1" s="585"/>
      <c r="FY1" s="585"/>
      <c r="FZ1" s="585"/>
      <c r="GA1" s="585"/>
      <c r="GB1" s="585"/>
      <c r="GC1" s="585"/>
      <c r="GD1" s="585"/>
      <c r="GE1" s="585"/>
      <c r="GF1" s="585"/>
      <c r="GG1" s="585"/>
      <c r="GH1" s="585"/>
      <c r="GI1" s="585"/>
      <c r="GJ1" s="585"/>
      <c r="GK1" s="585"/>
      <c r="GL1" s="585"/>
      <c r="GM1" s="585"/>
      <c r="GN1" s="585"/>
      <c r="GO1" s="585"/>
      <c r="GP1" s="585"/>
      <c r="GQ1" s="585"/>
      <c r="GR1" s="585"/>
      <c r="GS1" s="585"/>
      <c r="GT1" s="585"/>
      <c r="GU1" s="585"/>
      <c r="GV1" s="585"/>
      <c r="GW1" s="585"/>
      <c r="GX1" s="585"/>
      <c r="GY1" s="585"/>
      <c r="GZ1" s="585"/>
      <c r="HA1" s="585"/>
      <c r="HB1" s="585"/>
      <c r="HC1" s="585"/>
      <c r="HD1" s="585"/>
      <c r="HE1" s="585"/>
      <c r="HF1" s="585"/>
      <c r="HG1" s="585"/>
      <c r="HH1" s="585"/>
      <c r="HI1" s="585"/>
      <c r="HJ1" s="585"/>
      <c r="HK1" s="585"/>
      <c r="HL1" s="585"/>
      <c r="HM1" s="585"/>
      <c r="HN1" s="585"/>
      <c r="HO1" s="585"/>
      <c r="HP1" s="585"/>
      <c r="HQ1" s="585"/>
      <c r="HR1" s="585"/>
      <c r="HS1" s="585"/>
      <c r="HT1" s="585"/>
      <c r="HU1" s="585"/>
      <c r="HV1" s="585"/>
      <c r="HW1" s="585"/>
      <c r="HX1" s="585"/>
      <c r="HY1" s="585"/>
      <c r="HZ1" s="585"/>
      <c r="IA1" s="585"/>
      <c r="IB1" s="585"/>
      <c r="IC1" s="585"/>
      <c r="ID1" s="585"/>
      <c r="IE1" s="585"/>
      <c r="IF1" s="585"/>
      <c r="IG1" s="585"/>
      <c r="IH1" s="585"/>
      <c r="II1" s="585"/>
      <c r="IJ1" s="585"/>
      <c r="IK1" s="585"/>
      <c r="IL1" s="585"/>
      <c r="IM1" s="585"/>
      <c r="IN1" s="585"/>
      <c r="IO1" s="585"/>
      <c r="IP1" s="585"/>
      <c r="IQ1" s="585"/>
      <c r="IR1" s="585"/>
      <c r="IS1" s="585"/>
      <c r="IT1" s="585"/>
      <c r="IU1" s="585"/>
      <c r="IV1" s="585"/>
      <c r="IW1" s="585"/>
    </row>
    <row r="2" spans="1:257" s="586" customFormat="1" ht="12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8"/>
      <c r="AE2" s="638"/>
      <c r="AF2" s="638"/>
      <c r="AG2" s="638"/>
      <c r="AH2" s="638"/>
      <c r="AI2" s="638"/>
      <c r="AJ2" s="638"/>
      <c r="AK2" s="638"/>
      <c r="AL2" s="638"/>
      <c r="AM2" s="638"/>
      <c r="AN2" s="638"/>
      <c r="AO2" s="585"/>
      <c r="AP2" s="585"/>
      <c r="AQ2" s="585"/>
      <c r="AR2" s="585"/>
      <c r="AS2" s="585"/>
      <c r="AT2" s="585"/>
      <c r="AU2" s="585"/>
      <c r="AV2" s="585"/>
      <c r="AW2" s="585"/>
      <c r="AX2" s="585"/>
      <c r="AY2" s="585"/>
      <c r="AZ2" s="585"/>
      <c r="BA2" s="585"/>
      <c r="BB2" s="585"/>
      <c r="BC2" s="585"/>
      <c r="BD2" s="585"/>
      <c r="BE2" s="585"/>
      <c r="BF2" s="585"/>
      <c r="BG2" s="585"/>
      <c r="BH2" s="585"/>
      <c r="BI2" s="585"/>
      <c r="BJ2" s="585"/>
      <c r="BK2" s="585"/>
      <c r="BL2" s="585"/>
      <c r="BM2" s="585"/>
      <c r="BN2" s="585"/>
      <c r="BO2" s="585"/>
      <c r="BP2" s="585"/>
      <c r="BQ2" s="585"/>
      <c r="BR2" s="585"/>
      <c r="BS2" s="585"/>
      <c r="BT2" s="585"/>
      <c r="BU2" s="585"/>
      <c r="BV2" s="585"/>
      <c r="BW2" s="585"/>
      <c r="BX2" s="585"/>
      <c r="BY2" s="585"/>
      <c r="BZ2" s="585"/>
      <c r="CA2" s="585"/>
      <c r="CB2" s="585"/>
      <c r="CC2" s="585"/>
      <c r="CD2" s="585"/>
      <c r="CE2" s="585"/>
      <c r="CF2" s="585"/>
      <c r="CG2" s="585"/>
      <c r="CH2" s="585"/>
      <c r="CI2" s="585"/>
      <c r="CJ2" s="585"/>
      <c r="CK2" s="585"/>
      <c r="CL2" s="585"/>
      <c r="CM2" s="585"/>
      <c r="CN2" s="585"/>
      <c r="CO2" s="585"/>
      <c r="CP2" s="585"/>
      <c r="CQ2" s="585"/>
      <c r="CR2" s="585"/>
      <c r="CS2" s="585"/>
      <c r="CT2" s="585"/>
      <c r="CU2" s="585"/>
      <c r="CV2" s="585"/>
      <c r="CW2" s="585"/>
      <c r="CX2" s="585"/>
      <c r="CY2" s="585"/>
      <c r="CZ2" s="585"/>
      <c r="DA2" s="585"/>
      <c r="DB2" s="585"/>
      <c r="DC2" s="585"/>
      <c r="DD2" s="585"/>
      <c r="DE2" s="585"/>
      <c r="DF2" s="585"/>
      <c r="DG2" s="585"/>
      <c r="DH2" s="585"/>
      <c r="DI2" s="585"/>
      <c r="DJ2" s="585"/>
      <c r="DK2" s="585"/>
      <c r="DL2" s="585"/>
      <c r="DM2" s="585"/>
      <c r="DN2" s="585"/>
      <c r="DO2" s="585"/>
      <c r="DP2" s="585"/>
      <c r="DQ2" s="585"/>
      <c r="DR2" s="585"/>
      <c r="DS2" s="585"/>
      <c r="DT2" s="585"/>
      <c r="DU2" s="585"/>
      <c r="DV2" s="585"/>
      <c r="DW2" s="585"/>
      <c r="DX2" s="585"/>
      <c r="DY2" s="585"/>
      <c r="DZ2" s="585"/>
      <c r="EA2" s="585"/>
      <c r="EB2" s="585"/>
      <c r="EC2" s="585"/>
      <c r="ED2" s="585"/>
      <c r="EE2" s="585"/>
      <c r="EF2" s="585"/>
      <c r="EG2" s="585"/>
      <c r="EH2" s="585"/>
      <c r="EI2" s="585"/>
      <c r="EJ2" s="585"/>
      <c r="EK2" s="585"/>
      <c r="EL2" s="585"/>
      <c r="EM2" s="585"/>
      <c r="EN2" s="585"/>
      <c r="EO2" s="585"/>
      <c r="EP2" s="585"/>
      <c r="EQ2" s="585"/>
      <c r="ER2" s="585"/>
      <c r="ES2" s="585"/>
      <c r="ET2" s="585"/>
      <c r="EU2" s="585"/>
      <c r="EV2" s="585"/>
      <c r="EW2" s="585"/>
      <c r="EX2" s="585"/>
      <c r="EY2" s="585"/>
      <c r="EZ2" s="585"/>
      <c r="FA2" s="585"/>
      <c r="FB2" s="585"/>
      <c r="FC2" s="585"/>
      <c r="FD2" s="585"/>
      <c r="FE2" s="585"/>
      <c r="FF2" s="585"/>
      <c r="FG2" s="585"/>
      <c r="FH2" s="585"/>
      <c r="FI2" s="585"/>
      <c r="FJ2" s="585"/>
      <c r="FK2" s="585"/>
      <c r="FL2" s="585"/>
      <c r="FM2" s="585"/>
      <c r="FN2" s="585"/>
      <c r="FO2" s="585"/>
      <c r="FP2" s="585"/>
      <c r="FQ2" s="585"/>
      <c r="FR2" s="585"/>
      <c r="FS2" s="585"/>
      <c r="FT2" s="585"/>
      <c r="FU2" s="585"/>
      <c r="FV2" s="585"/>
      <c r="FW2" s="585"/>
      <c r="FX2" s="585"/>
      <c r="FY2" s="585"/>
      <c r="FZ2" s="585"/>
      <c r="GA2" s="585"/>
      <c r="GB2" s="585"/>
      <c r="GC2" s="585"/>
      <c r="GD2" s="585"/>
      <c r="GE2" s="585"/>
      <c r="GF2" s="585"/>
      <c r="GG2" s="585"/>
      <c r="GH2" s="585"/>
      <c r="GI2" s="585"/>
      <c r="GJ2" s="585"/>
      <c r="GK2" s="585"/>
      <c r="GL2" s="585"/>
      <c r="GM2" s="585"/>
      <c r="GN2" s="585"/>
      <c r="GO2" s="585"/>
      <c r="GP2" s="585"/>
      <c r="GQ2" s="585"/>
      <c r="GR2" s="585"/>
      <c r="GS2" s="585"/>
      <c r="GT2" s="585"/>
      <c r="GU2" s="585"/>
      <c r="GV2" s="585"/>
      <c r="GW2" s="585"/>
      <c r="GX2" s="585"/>
      <c r="GY2" s="585"/>
      <c r="GZ2" s="585"/>
      <c r="HA2" s="585"/>
      <c r="HB2" s="585"/>
      <c r="HC2" s="585"/>
      <c r="HD2" s="585"/>
      <c r="HE2" s="585"/>
      <c r="HF2" s="585"/>
      <c r="HG2" s="585"/>
      <c r="HH2" s="585"/>
      <c r="HI2" s="585"/>
      <c r="HJ2" s="585"/>
      <c r="HK2" s="585"/>
      <c r="HL2" s="585"/>
      <c r="HM2" s="585"/>
      <c r="HN2" s="585"/>
      <c r="HO2" s="585"/>
      <c r="HP2" s="585"/>
      <c r="HQ2" s="585"/>
      <c r="HR2" s="585"/>
      <c r="HS2" s="585"/>
      <c r="HT2" s="585"/>
      <c r="HU2" s="585"/>
      <c r="HV2" s="585"/>
      <c r="HW2" s="585"/>
      <c r="HX2" s="585"/>
      <c r="HY2" s="585"/>
      <c r="HZ2" s="585"/>
      <c r="IA2" s="585"/>
      <c r="IB2" s="585"/>
      <c r="IC2" s="585"/>
      <c r="ID2" s="585"/>
      <c r="IE2" s="585"/>
      <c r="IF2" s="585"/>
      <c r="IG2" s="585"/>
      <c r="IH2" s="585"/>
      <c r="II2" s="585"/>
      <c r="IJ2" s="585"/>
      <c r="IK2" s="585"/>
      <c r="IL2" s="585"/>
      <c r="IM2" s="585"/>
      <c r="IN2" s="585"/>
      <c r="IO2" s="585"/>
      <c r="IP2" s="585"/>
      <c r="IQ2" s="585"/>
      <c r="IR2" s="585"/>
      <c r="IS2" s="585"/>
      <c r="IT2" s="585"/>
      <c r="IU2" s="585"/>
      <c r="IV2" s="585"/>
      <c r="IW2" s="585"/>
    </row>
    <row r="3" spans="1:257" s="589" customFormat="1" ht="12.75" customHeight="1">
      <c r="A3" s="587"/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  <c r="AA3" s="587"/>
      <c r="AB3" s="587"/>
      <c r="AC3" s="587"/>
      <c r="AD3" s="587"/>
      <c r="AE3" s="587"/>
      <c r="AF3" s="587"/>
      <c r="AG3" s="587"/>
      <c r="AH3" s="587"/>
      <c r="AI3" s="587"/>
      <c r="AJ3" s="587"/>
      <c r="AK3" s="587"/>
      <c r="AL3" s="587"/>
      <c r="AM3" s="587"/>
      <c r="AN3" s="587"/>
      <c r="AO3" s="588"/>
      <c r="AP3" s="588"/>
      <c r="AQ3" s="588"/>
      <c r="AR3" s="588"/>
      <c r="AS3" s="588"/>
      <c r="AT3" s="588"/>
      <c r="AU3" s="588"/>
      <c r="AV3" s="588"/>
      <c r="AW3" s="588"/>
      <c r="AX3" s="588"/>
      <c r="AY3" s="588"/>
      <c r="AZ3" s="588"/>
      <c r="BA3" s="588"/>
      <c r="BB3" s="588"/>
      <c r="BC3" s="588"/>
      <c r="BD3" s="588"/>
      <c r="BE3" s="588"/>
      <c r="BF3" s="588"/>
      <c r="BG3" s="588"/>
      <c r="BH3" s="588"/>
      <c r="BI3" s="588"/>
      <c r="BJ3" s="588"/>
      <c r="BK3" s="588"/>
      <c r="BL3" s="588"/>
      <c r="BM3" s="588"/>
      <c r="BN3" s="588"/>
      <c r="BO3" s="588"/>
      <c r="BP3" s="588"/>
      <c r="BQ3" s="588"/>
      <c r="BR3" s="588"/>
      <c r="BS3" s="588"/>
      <c r="BT3" s="588"/>
      <c r="BU3" s="588"/>
      <c r="BV3" s="588"/>
      <c r="BW3" s="588"/>
      <c r="BX3" s="588"/>
      <c r="BY3" s="588"/>
      <c r="BZ3" s="588"/>
      <c r="CA3" s="588"/>
      <c r="CB3" s="588"/>
      <c r="CC3" s="588"/>
      <c r="CD3" s="588"/>
      <c r="CE3" s="588"/>
      <c r="CF3" s="588"/>
      <c r="CG3" s="588"/>
      <c r="CH3" s="588"/>
      <c r="CI3" s="588"/>
      <c r="CJ3" s="588"/>
      <c r="CK3" s="588"/>
      <c r="CL3" s="588"/>
      <c r="CM3" s="588"/>
      <c r="CN3" s="588"/>
      <c r="CO3" s="588"/>
      <c r="CP3" s="588"/>
      <c r="CQ3" s="588"/>
      <c r="CR3" s="588"/>
      <c r="CS3" s="588"/>
      <c r="CT3" s="588"/>
      <c r="CU3" s="588"/>
      <c r="CV3" s="588"/>
      <c r="CW3" s="588"/>
      <c r="CX3" s="588"/>
      <c r="CY3" s="588"/>
      <c r="CZ3" s="588"/>
      <c r="DA3" s="588"/>
      <c r="DB3" s="588"/>
      <c r="DC3" s="588"/>
      <c r="DD3" s="588"/>
      <c r="DE3" s="588"/>
      <c r="DF3" s="588"/>
      <c r="DG3" s="588"/>
      <c r="DH3" s="588"/>
      <c r="DI3" s="588"/>
      <c r="DJ3" s="588"/>
      <c r="DK3" s="588"/>
      <c r="DL3" s="588"/>
      <c r="DM3" s="588"/>
      <c r="DN3" s="588"/>
      <c r="DO3" s="588"/>
      <c r="DP3" s="588"/>
      <c r="DQ3" s="588"/>
      <c r="DR3" s="588"/>
      <c r="DS3" s="588"/>
      <c r="DT3" s="588"/>
      <c r="DU3" s="588"/>
      <c r="DV3" s="588"/>
      <c r="DW3" s="588"/>
      <c r="DX3" s="588"/>
      <c r="DY3" s="588"/>
      <c r="DZ3" s="588"/>
      <c r="EA3" s="588"/>
      <c r="EB3" s="588"/>
      <c r="EC3" s="588"/>
      <c r="ED3" s="588"/>
      <c r="EE3" s="588"/>
      <c r="EF3" s="588"/>
      <c r="EG3" s="588"/>
      <c r="EH3" s="588"/>
      <c r="EI3" s="588"/>
      <c r="EJ3" s="588"/>
      <c r="EK3" s="588"/>
      <c r="EL3" s="588"/>
      <c r="EM3" s="588"/>
      <c r="EN3" s="588"/>
      <c r="EO3" s="588"/>
      <c r="EP3" s="588"/>
      <c r="EQ3" s="588"/>
      <c r="ER3" s="588"/>
      <c r="ES3" s="588"/>
      <c r="ET3" s="588"/>
      <c r="EU3" s="588"/>
      <c r="EV3" s="588"/>
      <c r="EW3" s="588"/>
      <c r="EX3" s="588"/>
      <c r="EY3" s="588"/>
      <c r="EZ3" s="588"/>
      <c r="FA3" s="588"/>
      <c r="FB3" s="588"/>
      <c r="FC3" s="588"/>
      <c r="FD3" s="588"/>
      <c r="FE3" s="588"/>
      <c r="FF3" s="588"/>
      <c r="FG3" s="588"/>
      <c r="FH3" s="588"/>
      <c r="FI3" s="588"/>
      <c r="FJ3" s="588"/>
      <c r="FK3" s="588"/>
      <c r="FL3" s="588"/>
      <c r="FM3" s="588"/>
      <c r="FN3" s="588"/>
      <c r="FO3" s="588"/>
      <c r="FP3" s="588"/>
      <c r="FQ3" s="588"/>
      <c r="FR3" s="588"/>
      <c r="FS3" s="588"/>
      <c r="FT3" s="588"/>
      <c r="FU3" s="588"/>
      <c r="FV3" s="588"/>
      <c r="FW3" s="588"/>
      <c r="FX3" s="588"/>
      <c r="FY3" s="588"/>
      <c r="FZ3" s="588"/>
      <c r="GA3" s="588"/>
      <c r="GB3" s="588"/>
      <c r="GC3" s="588"/>
      <c r="GD3" s="588"/>
      <c r="GE3" s="588"/>
      <c r="GF3" s="588"/>
      <c r="GG3" s="588"/>
      <c r="GH3" s="588"/>
      <c r="GI3" s="588"/>
      <c r="GJ3" s="588"/>
      <c r="GK3" s="588"/>
      <c r="GL3" s="588"/>
      <c r="GM3" s="588"/>
      <c r="GN3" s="588"/>
      <c r="GO3" s="588"/>
      <c r="GP3" s="588"/>
      <c r="GQ3" s="588"/>
      <c r="GR3" s="588"/>
      <c r="GS3" s="588"/>
      <c r="GT3" s="588"/>
      <c r="GU3" s="588"/>
      <c r="GV3" s="588"/>
      <c r="GW3" s="588"/>
      <c r="GX3" s="588"/>
      <c r="GY3" s="588"/>
      <c r="GZ3" s="588"/>
      <c r="HA3" s="588"/>
      <c r="HB3" s="588"/>
      <c r="HC3" s="588"/>
      <c r="HD3" s="588"/>
      <c r="HE3" s="588"/>
      <c r="HF3" s="588"/>
      <c r="HG3" s="588"/>
      <c r="HH3" s="588"/>
      <c r="HI3" s="588"/>
      <c r="HJ3" s="588"/>
      <c r="HK3" s="588"/>
      <c r="HL3" s="588"/>
      <c r="HM3" s="588"/>
      <c r="HN3" s="588"/>
      <c r="HO3" s="588"/>
      <c r="HP3" s="588"/>
      <c r="HQ3" s="588"/>
      <c r="HR3" s="588"/>
      <c r="HS3" s="588"/>
      <c r="HT3" s="588"/>
      <c r="HU3" s="588"/>
      <c r="HV3" s="588"/>
      <c r="HW3" s="588"/>
      <c r="HX3" s="588"/>
      <c r="HY3" s="588"/>
      <c r="HZ3" s="588"/>
      <c r="IA3" s="588"/>
      <c r="IB3" s="588"/>
      <c r="IC3" s="588"/>
      <c r="ID3" s="588"/>
      <c r="IE3" s="588"/>
      <c r="IF3" s="588"/>
      <c r="IG3" s="588"/>
      <c r="IH3" s="588"/>
      <c r="II3" s="588"/>
      <c r="IJ3" s="588"/>
      <c r="IK3" s="588"/>
      <c r="IL3" s="588"/>
      <c r="IM3" s="588"/>
      <c r="IN3" s="588"/>
      <c r="IO3" s="588"/>
      <c r="IP3" s="588"/>
      <c r="IQ3" s="588"/>
      <c r="IR3" s="588"/>
      <c r="IS3" s="588"/>
      <c r="IT3" s="588"/>
      <c r="IU3" s="588"/>
      <c r="IV3" s="588"/>
      <c r="IW3" s="588"/>
    </row>
    <row r="4" spans="1:257" ht="12.75" customHeight="1">
      <c r="A4" s="590"/>
      <c r="B4" s="639" t="s">
        <v>1215</v>
      </c>
      <c r="C4" s="639"/>
      <c r="D4" s="639"/>
      <c r="E4" s="639"/>
      <c r="F4" s="639"/>
      <c r="G4" s="639"/>
      <c r="H4" s="639"/>
      <c r="I4" s="639"/>
      <c r="J4" s="672" t="str">
        <f>+'Page de garde'!L35</f>
        <v>MANDINGA RESSOURCES SARL</v>
      </c>
      <c r="K4" s="673"/>
      <c r="L4" s="673"/>
      <c r="M4" s="673"/>
      <c r="N4" s="673"/>
      <c r="O4" s="673"/>
      <c r="P4" s="673"/>
      <c r="Q4" s="673"/>
      <c r="R4" s="673"/>
      <c r="S4" s="673"/>
      <c r="T4" s="673"/>
      <c r="U4" s="673"/>
      <c r="V4" s="673"/>
      <c r="W4" s="673"/>
      <c r="X4" s="673"/>
      <c r="Y4" s="673"/>
      <c r="Z4" s="673"/>
      <c r="AA4" s="673"/>
      <c r="AB4" s="673"/>
      <c r="AC4" s="673"/>
      <c r="AD4" s="673"/>
      <c r="AE4" s="673"/>
      <c r="AF4" s="673"/>
      <c r="AG4" s="673"/>
      <c r="AH4" s="673"/>
      <c r="AI4" s="673"/>
      <c r="AJ4" s="673"/>
      <c r="AK4" s="673"/>
      <c r="AL4" s="673"/>
      <c r="AM4" s="673"/>
    </row>
    <row r="5" spans="1:257" ht="12.75" customHeight="1">
      <c r="A5" s="592"/>
      <c r="B5" s="593"/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3"/>
      <c r="AA5" s="593"/>
      <c r="AB5" s="593"/>
      <c r="AC5" s="593"/>
      <c r="AD5" s="593"/>
      <c r="AE5" s="593"/>
      <c r="AF5" s="593"/>
      <c r="AG5" s="593"/>
      <c r="AH5" s="593"/>
      <c r="AI5" s="593"/>
      <c r="AJ5" s="593"/>
      <c r="AK5" s="593"/>
      <c r="AL5" s="593"/>
      <c r="AM5" s="593"/>
    </row>
    <row r="6" spans="1:257" ht="12.75" customHeight="1">
      <c r="A6" s="592"/>
      <c r="B6" s="593"/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  <c r="R6" s="593"/>
      <c r="S6" s="593"/>
      <c r="T6" s="593"/>
      <c r="U6" s="593"/>
      <c r="V6" s="593"/>
      <c r="W6" s="593"/>
      <c r="X6" s="593"/>
      <c r="Y6" s="593"/>
      <c r="Z6" s="593"/>
      <c r="AA6" s="593"/>
      <c r="AB6" s="593"/>
      <c r="AC6" s="593"/>
      <c r="AD6" s="593"/>
      <c r="AE6" s="593"/>
      <c r="AF6" s="593"/>
      <c r="AG6" s="593"/>
      <c r="AH6" s="593"/>
      <c r="AI6" s="593"/>
      <c r="AJ6" s="593"/>
      <c r="AK6" s="593"/>
      <c r="AL6" s="593"/>
      <c r="AM6" s="593"/>
    </row>
    <row r="7" spans="1:257" ht="12.75" customHeight="1">
      <c r="A7" s="590"/>
      <c r="B7" s="593"/>
      <c r="C7" s="639" t="s">
        <v>25</v>
      </c>
      <c r="D7" s="639"/>
      <c r="E7" s="639"/>
      <c r="F7" s="639"/>
      <c r="G7" s="639"/>
      <c r="H7" s="639"/>
      <c r="I7" s="639"/>
      <c r="J7" s="672" t="str">
        <f>'Page de garde'!J46</f>
        <v>4296 Pt E Dakar</v>
      </c>
      <c r="K7" s="673"/>
      <c r="L7" s="673"/>
      <c r="M7" s="673"/>
      <c r="N7" s="673"/>
      <c r="O7" s="673"/>
      <c r="P7" s="673"/>
      <c r="Q7" s="673"/>
      <c r="R7" s="673"/>
      <c r="S7" s="673"/>
      <c r="T7" s="673"/>
      <c r="U7" s="673"/>
      <c r="V7" s="673"/>
      <c r="W7" s="673"/>
      <c r="X7" s="673"/>
      <c r="Y7" s="673"/>
      <c r="Z7" s="593"/>
      <c r="AA7" s="651" t="s">
        <v>26</v>
      </c>
      <c r="AB7" s="651"/>
      <c r="AC7" s="651"/>
      <c r="AD7" s="672" t="str">
        <f>+'Page de garde'!H41</f>
        <v>MANDINGA</v>
      </c>
      <c r="AE7" s="673"/>
      <c r="AF7" s="673"/>
      <c r="AG7" s="673"/>
      <c r="AH7" s="673"/>
      <c r="AI7" s="673"/>
      <c r="AJ7" s="673"/>
      <c r="AK7" s="673"/>
      <c r="AL7" s="673"/>
      <c r="AM7" s="673"/>
    </row>
    <row r="8" spans="1:257" ht="8.1" customHeight="1">
      <c r="A8" s="592"/>
      <c r="B8" s="593"/>
      <c r="C8" s="593"/>
      <c r="D8" s="593"/>
      <c r="E8" s="593"/>
      <c r="F8" s="593"/>
      <c r="G8" s="593"/>
      <c r="H8" s="593"/>
      <c r="I8" s="593"/>
      <c r="J8" s="593"/>
      <c r="K8" s="593"/>
      <c r="L8" s="593"/>
      <c r="M8" s="593"/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  <c r="AL8" s="593"/>
      <c r="AM8" s="593"/>
    </row>
    <row r="9" spans="1:257" ht="12.75" customHeight="1">
      <c r="A9" s="592"/>
      <c r="B9" s="593"/>
      <c r="C9" s="593"/>
      <c r="D9" s="593"/>
      <c r="E9" s="593"/>
      <c r="F9" s="593"/>
      <c r="G9" s="593"/>
      <c r="H9" s="593"/>
      <c r="I9" s="593"/>
      <c r="J9" s="593"/>
      <c r="K9" s="593"/>
      <c r="L9" s="593"/>
      <c r="M9" s="593"/>
      <c r="N9" s="593"/>
      <c r="O9" s="593"/>
      <c r="P9" s="593"/>
      <c r="Q9" s="593"/>
      <c r="R9" s="593"/>
      <c r="S9" s="593"/>
      <c r="T9" s="593"/>
      <c r="U9" s="593"/>
      <c r="V9" s="593"/>
      <c r="W9" s="593"/>
      <c r="X9" s="593"/>
      <c r="Y9" s="593"/>
      <c r="Z9" s="593"/>
      <c r="AA9" s="593"/>
      <c r="AB9" s="593"/>
      <c r="AC9" s="593"/>
      <c r="AD9" s="593"/>
      <c r="AE9" s="593"/>
      <c r="AF9" s="593"/>
      <c r="AG9" s="593"/>
      <c r="AH9" s="593"/>
      <c r="AI9" s="593"/>
      <c r="AJ9" s="593"/>
      <c r="AK9" s="593"/>
      <c r="AL9" s="593"/>
      <c r="AM9" s="593"/>
    </row>
    <row r="10" spans="1:257" ht="12.75" customHeight="1">
      <c r="A10" s="590"/>
      <c r="B10" s="593"/>
      <c r="C10" s="593"/>
      <c r="D10" s="639" t="s">
        <v>102</v>
      </c>
      <c r="E10" s="639"/>
      <c r="F10" s="639"/>
      <c r="G10" s="639"/>
      <c r="H10" s="639"/>
      <c r="I10" s="639"/>
      <c r="J10" s="672" t="str">
        <f>+'Page de garde'!N51</f>
        <v>006495693</v>
      </c>
      <c r="K10" s="673"/>
      <c r="L10" s="673"/>
      <c r="M10" s="673"/>
      <c r="N10" s="673"/>
      <c r="O10" s="673"/>
      <c r="P10" s="673"/>
      <c r="Q10" s="593"/>
      <c r="R10" s="639" t="s">
        <v>27</v>
      </c>
      <c r="S10" s="639"/>
      <c r="T10" s="639"/>
      <c r="U10" s="639"/>
      <c r="V10" s="674">
        <f>+'Page de garde'!M27</f>
        <v>45657</v>
      </c>
      <c r="W10" s="675"/>
      <c r="X10" s="675"/>
      <c r="Y10" s="675"/>
      <c r="Z10" s="675"/>
      <c r="AA10" s="675"/>
      <c r="AB10" s="675"/>
      <c r="AC10" s="639" t="s">
        <v>28</v>
      </c>
      <c r="AD10" s="639"/>
      <c r="AE10" s="639"/>
      <c r="AF10" s="639"/>
      <c r="AG10" s="639"/>
      <c r="AH10" s="672">
        <v>12</v>
      </c>
      <c r="AI10" s="673"/>
      <c r="AJ10" s="673"/>
      <c r="AK10" s="673"/>
      <c r="AL10" s="673"/>
      <c r="AM10" s="673"/>
    </row>
    <row r="11" spans="1:257" ht="12.75" customHeight="1">
      <c r="A11" s="592"/>
      <c r="B11" s="593"/>
      <c r="C11" s="593"/>
      <c r="D11" s="593"/>
      <c r="E11" s="593"/>
      <c r="F11" s="593"/>
      <c r="G11" s="593"/>
      <c r="H11" s="593"/>
      <c r="I11" s="593"/>
      <c r="J11" s="593"/>
      <c r="K11" s="593"/>
      <c r="L11" s="593"/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3"/>
      <c r="AG11" s="593"/>
      <c r="AH11" s="593"/>
      <c r="AI11" s="593"/>
      <c r="AJ11" s="593"/>
      <c r="AK11" s="593"/>
      <c r="AL11" s="593"/>
      <c r="AM11" s="593"/>
    </row>
    <row r="12" spans="1:257" ht="12.75" customHeight="1">
      <c r="A12" s="592"/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593"/>
      <c r="O12" s="593"/>
      <c r="P12" s="593"/>
      <c r="Q12" s="593"/>
      <c r="R12" s="593"/>
      <c r="S12" s="593"/>
      <c r="T12" s="593"/>
      <c r="U12" s="593"/>
      <c r="V12" s="593"/>
      <c r="W12" s="593"/>
      <c r="X12" s="593"/>
      <c r="Y12" s="593"/>
      <c r="Z12" s="593"/>
      <c r="AA12" s="593"/>
      <c r="AB12" s="593"/>
      <c r="AC12" s="593"/>
      <c r="AD12" s="593"/>
      <c r="AE12" s="593"/>
      <c r="AF12" s="593"/>
      <c r="AG12" s="593"/>
      <c r="AH12" s="593"/>
      <c r="AI12" s="593"/>
      <c r="AJ12" s="593"/>
      <c r="AK12" s="593"/>
      <c r="AL12" s="593"/>
      <c r="AM12" s="593"/>
    </row>
    <row r="13" spans="1:257" ht="12.75" customHeight="1">
      <c r="A13" s="590"/>
      <c r="B13" s="594" t="s">
        <v>29</v>
      </c>
      <c r="C13" s="593"/>
      <c r="D13" s="593"/>
      <c r="E13" s="639" t="s">
        <v>30</v>
      </c>
      <c r="F13" s="639"/>
      <c r="G13" s="639"/>
      <c r="H13" s="639"/>
      <c r="I13" s="639"/>
      <c r="J13" s="639"/>
      <c r="K13" s="639"/>
      <c r="L13" s="593"/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639" t="s">
        <v>31</v>
      </c>
      <c r="X13" s="639"/>
      <c r="Y13" s="648">
        <v>45292</v>
      </c>
      <c r="Z13" s="649"/>
      <c r="AA13" s="649"/>
      <c r="AB13" s="649"/>
      <c r="AC13" s="649"/>
      <c r="AD13" s="650"/>
      <c r="AE13" s="593"/>
      <c r="AF13" s="639" t="s">
        <v>32</v>
      </c>
      <c r="AG13" s="639"/>
      <c r="AH13" s="648">
        <v>45657</v>
      </c>
      <c r="AI13" s="649"/>
      <c r="AJ13" s="649"/>
      <c r="AK13" s="649"/>
      <c r="AL13" s="649"/>
      <c r="AM13" s="650"/>
    </row>
    <row r="14" spans="1:257" ht="8.1" customHeight="1">
      <c r="A14" s="592"/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  <c r="P14" s="593"/>
      <c r="Q14" s="593"/>
      <c r="R14" s="593"/>
      <c r="S14" s="593"/>
      <c r="T14" s="593"/>
      <c r="U14" s="593"/>
      <c r="V14" s="593"/>
      <c r="W14" s="593"/>
      <c r="X14" s="593"/>
      <c r="Y14" s="593"/>
      <c r="Z14" s="593"/>
      <c r="AA14" s="593"/>
      <c r="AB14" s="593"/>
      <c r="AC14" s="593"/>
      <c r="AD14" s="593"/>
      <c r="AE14" s="593"/>
      <c r="AF14" s="593"/>
      <c r="AG14" s="593"/>
      <c r="AH14" s="593"/>
      <c r="AI14" s="593"/>
      <c r="AJ14" s="593"/>
      <c r="AK14" s="593"/>
      <c r="AL14" s="593"/>
      <c r="AM14" s="593"/>
    </row>
    <row r="15" spans="1:257" ht="12.75" customHeight="1">
      <c r="A15" s="592"/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3"/>
      <c r="U15" s="593"/>
      <c r="V15" s="593"/>
      <c r="W15" s="593"/>
      <c r="X15" s="593"/>
      <c r="Y15" s="593"/>
      <c r="Z15" s="593"/>
      <c r="AA15" s="593"/>
      <c r="AB15" s="593"/>
      <c r="AC15" s="593"/>
      <c r="AD15" s="593"/>
      <c r="AE15" s="593"/>
      <c r="AF15" s="593"/>
      <c r="AG15" s="593"/>
      <c r="AH15" s="593"/>
      <c r="AI15" s="593"/>
      <c r="AJ15" s="593"/>
      <c r="AK15" s="593"/>
      <c r="AL15" s="593"/>
      <c r="AM15" s="593"/>
    </row>
    <row r="16" spans="1:257" ht="12.75" customHeight="1">
      <c r="A16" s="590"/>
      <c r="B16" s="594" t="s">
        <v>33</v>
      </c>
      <c r="C16" s="593"/>
      <c r="D16" s="593"/>
      <c r="E16" s="639" t="s">
        <v>34</v>
      </c>
      <c r="F16" s="639"/>
      <c r="G16" s="639"/>
      <c r="H16" s="639"/>
      <c r="I16" s="639"/>
      <c r="J16" s="639"/>
      <c r="K16" s="639"/>
      <c r="L16" s="639"/>
      <c r="M16" s="639"/>
      <c r="N16" s="639"/>
      <c r="O16" s="639"/>
      <c r="P16" s="639"/>
      <c r="Q16" s="593"/>
      <c r="R16" s="593"/>
      <c r="S16" s="593"/>
      <c r="T16" s="593"/>
      <c r="U16" s="648">
        <v>45657</v>
      </c>
      <c r="V16" s="649"/>
      <c r="W16" s="649"/>
      <c r="X16" s="649"/>
      <c r="Y16" s="649"/>
      <c r="Z16" s="650"/>
      <c r="AA16" s="593"/>
      <c r="AB16" s="593"/>
      <c r="AC16" s="593"/>
      <c r="AD16" s="593"/>
      <c r="AE16" s="593"/>
      <c r="AF16" s="593"/>
      <c r="AG16" s="593"/>
      <c r="AH16" s="593"/>
      <c r="AI16" s="593"/>
      <c r="AJ16" s="593"/>
      <c r="AK16" s="593"/>
      <c r="AL16" s="593"/>
      <c r="AM16" s="593"/>
    </row>
    <row r="17" spans="1:39" ht="8.1" customHeight="1">
      <c r="A17" s="592"/>
      <c r="B17" s="593"/>
      <c r="C17" s="593"/>
      <c r="D17" s="593"/>
      <c r="E17" s="593"/>
      <c r="F17" s="593"/>
      <c r="G17" s="593"/>
      <c r="H17" s="593"/>
      <c r="I17" s="593"/>
      <c r="J17" s="593"/>
      <c r="K17" s="593"/>
      <c r="L17" s="593"/>
      <c r="M17" s="593"/>
      <c r="N17" s="593"/>
      <c r="O17" s="593"/>
      <c r="P17" s="593"/>
      <c r="Q17" s="593"/>
      <c r="R17" s="593"/>
      <c r="S17" s="593"/>
      <c r="T17" s="593"/>
      <c r="U17" s="593"/>
      <c r="V17" s="593"/>
      <c r="W17" s="593"/>
      <c r="X17" s="593"/>
      <c r="Y17" s="593"/>
      <c r="Z17" s="593"/>
      <c r="AA17" s="593"/>
      <c r="AB17" s="593"/>
      <c r="AC17" s="593"/>
      <c r="AD17" s="593"/>
      <c r="AE17" s="593"/>
      <c r="AF17" s="593"/>
      <c r="AG17" s="593"/>
      <c r="AH17" s="593"/>
      <c r="AI17" s="593"/>
      <c r="AJ17" s="593"/>
      <c r="AK17" s="593"/>
      <c r="AL17" s="593"/>
      <c r="AM17" s="593"/>
    </row>
    <row r="18" spans="1:39" ht="8.1" customHeight="1">
      <c r="A18" s="592"/>
      <c r="B18" s="593"/>
      <c r="C18" s="593"/>
      <c r="D18" s="593"/>
      <c r="E18" s="59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593"/>
      <c r="Q18" s="593"/>
      <c r="R18" s="593"/>
      <c r="S18" s="593"/>
      <c r="T18" s="593"/>
      <c r="U18" s="593"/>
      <c r="V18" s="593"/>
      <c r="W18" s="593"/>
      <c r="X18" s="593"/>
      <c r="Y18" s="593"/>
      <c r="Z18" s="593"/>
      <c r="AA18" s="593"/>
      <c r="AB18" s="593"/>
      <c r="AC18" s="593"/>
      <c r="AD18" s="593"/>
      <c r="AE18" s="593"/>
      <c r="AF18" s="593"/>
      <c r="AG18" s="593"/>
      <c r="AH18" s="593"/>
      <c r="AI18" s="593"/>
      <c r="AJ18" s="593"/>
      <c r="AK18" s="593"/>
      <c r="AL18" s="593"/>
      <c r="AM18" s="593"/>
    </row>
    <row r="19" spans="1:39" ht="12.75" customHeight="1">
      <c r="A19" s="592"/>
      <c r="B19" s="593"/>
      <c r="C19" s="593"/>
      <c r="D19" s="593"/>
      <c r="E19" s="593"/>
      <c r="F19" s="593"/>
      <c r="G19" s="593"/>
      <c r="H19" s="593"/>
      <c r="I19" s="593"/>
      <c r="J19" s="593"/>
      <c r="K19" s="593"/>
      <c r="L19" s="593"/>
      <c r="M19" s="593"/>
      <c r="N19" s="593"/>
      <c r="O19" s="593"/>
      <c r="P19" s="593"/>
      <c r="Q19" s="593"/>
      <c r="R19" s="593"/>
      <c r="S19" s="593"/>
      <c r="T19" s="593"/>
      <c r="U19" s="593"/>
      <c r="V19" s="593"/>
      <c r="W19" s="593"/>
      <c r="X19" s="593"/>
      <c r="Y19" s="593"/>
      <c r="Z19" s="593"/>
      <c r="AA19" s="593"/>
      <c r="AB19" s="593"/>
      <c r="AC19" s="593"/>
      <c r="AD19" s="593"/>
      <c r="AE19" s="593"/>
      <c r="AF19" s="593"/>
      <c r="AG19" s="593"/>
      <c r="AH19" s="593"/>
      <c r="AI19" s="593"/>
      <c r="AJ19" s="593"/>
      <c r="AK19" s="593"/>
      <c r="AL19" s="593"/>
      <c r="AM19" s="593"/>
    </row>
    <row r="20" spans="1:39" ht="12.75" customHeight="1">
      <c r="A20" s="590"/>
      <c r="B20" s="594" t="s">
        <v>35</v>
      </c>
      <c r="C20" s="593"/>
      <c r="D20" s="593"/>
      <c r="E20" s="639" t="s">
        <v>36</v>
      </c>
      <c r="F20" s="639"/>
      <c r="G20" s="639"/>
      <c r="H20" s="639"/>
      <c r="I20" s="639"/>
      <c r="J20" s="639"/>
      <c r="K20" s="639"/>
      <c r="L20" s="639"/>
      <c r="M20" s="639"/>
      <c r="N20" s="593"/>
      <c r="O20" s="593"/>
      <c r="P20" s="593"/>
      <c r="Q20" s="648">
        <v>45291</v>
      </c>
      <c r="R20" s="649"/>
      <c r="S20" s="649"/>
      <c r="T20" s="649"/>
      <c r="U20" s="649"/>
      <c r="V20" s="650"/>
      <c r="W20" s="593"/>
      <c r="X20" s="593"/>
      <c r="Y20" s="593"/>
      <c r="Z20" s="639" t="s">
        <v>37</v>
      </c>
      <c r="AA20" s="639"/>
      <c r="AB20" s="639"/>
      <c r="AC20" s="639"/>
      <c r="AD20" s="639"/>
      <c r="AE20" s="639"/>
      <c r="AF20" s="639"/>
      <c r="AG20" s="639"/>
      <c r="AH20" s="639"/>
      <c r="AI20" s="639"/>
      <c r="AJ20" s="639"/>
      <c r="AK20" s="639"/>
      <c r="AL20" s="654">
        <v>12</v>
      </c>
      <c r="AM20" s="656"/>
    </row>
    <row r="21" spans="1:39" ht="8.1" customHeight="1">
      <c r="A21" s="592"/>
      <c r="B21" s="593"/>
      <c r="C21" s="593"/>
      <c r="D21" s="593"/>
      <c r="E21" s="593"/>
      <c r="F21" s="593"/>
      <c r="G21" s="593"/>
      <c r="H21" s="593"/>
      <c r="I21" s="593"/>
      <c r="J21" s="593"/>
      <c r="K21" s="593"/>
      <c r="L21" s="593"/>
      <c r="M21" s="593"/>
      <c r="N21" s="593"/>
      <c r="O21" s="593"/>
      <c r="P21" s="593"/>
      <c r="Q21" s="593"/>
      <c r="R21" s="593"/>
      <c r="S21" s="593"/>
      <c r="T21" s="593"/>
      <c r="U21" s="593"/>
      <c r="V21" s="593"/>
      <c r="W21" s="593"/>
      <c r="X21" s="593"/>
      <c r="Y21" s="593"/>
      <c r="Z21" s="593"/>
      <c r="AA21" s="593"/>
      <c r="AB21" s="593"/>
      <c r="AC21" s="593"/>
      <c r="AD21" s="593"/>
      <c r="AE21" s="593"/>
      <c r="AF21" s="593"/>
      <c r="AG21" s="593"/>
      <c r="AH21" s="593"/>
      <c r="AI21" s="593"/>
      <c r="AJ21" s="593"/>
      <c r="AK21" s="593"/>
      <c r="AL21" s="593"/>
      <c r="AM21" s="593"/>
    </row>
    <row r="22" spans="1:39" ht="8.1" customHeight="1">
      <c r="A22" s="592"/>
      <c r="B22" s="593"/>
      <c r="C22" s="593"/>
      <c r="D22" s="593"/>
      <c r="E22" s="593"/>
      <c r="F22" s="593"/>
      <c r="G22" s="593"/>
      <c r="H22" s="593"/>
      <c r="I22" s="593"/>
      <c r="J22" s="593"/>
      <c r="K22" s="593"/>
      <c r="L22" s="593"/>
      <c r="M22" s="593"/>
      <c r="N22" s="593"/>
      <c r="O22" s="593"/>
      <c r="P22" s="593"/>
      <c r="Q22" s="593"/>
      <c r="R22" s="593"/>
      <c r="S22" s="593"/>
      <c r="T22" s="593"/>
      <c r="U22" s="593"/>
      <c r="V22" s="593"/>
      <c r="W22" s="593"/>
      <c r="X22" s="593"/>
      <c r="Y22" s="593"/>
      <c r="Z22" s="593"/>
      <c r="AA22" s="593"/>
      <c r="AB22" s="593"/>
      <c r="AC22" s="593"/>
      <c r="AD22" s="593"/>
      <c r="AE22" s="593"/>
      <c r="AF22" s="593"/>
      <c r="AG22" s="593"/>
      <c r="AH22" s="593"/>
      <c r="AI22" s="593"/>
      <c r="AJ22" s="593"/>
      <c r="AK22" s="593"/>
      <c r="AL22" s="593"/>
      <c r="AM22" s="593"/>
    </row>
    <row r="23" spans="1:39" ht="8.1" customHeight="1">
      <c r="A23" s="592"/>
      <c r="B23" s="593"/>
      <c r="C23" s="593"/>
      <c r="D23" s="593"/>
      <c r="E23" s="593"/>
      <c r="F23" s="593"/>
      <c r="G23" s="593"/>
      <c r="H23" s="593"/>
      <c r="I23" s="593"/>
      <c r="J23" s="593"/>
      <c r="K23" s="593"/>
      <c r="L23" s="593"/>
      <c r="M23" s="593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3"/>
      <c r="AA23" s="593"/>
      <c r="AB23" s="593"/>
      <c r="AC23" s="593"/>
      <c r="AD23" s="593"/>
      <c r="AE23" s="593"/>
      <c r="AF23" s="593"/>
      <c r="AG23" s="593"/>
      <c r="AH23" s="593"/>
      <c r="AI23" s="593"/>
      <c r="AJ23" s="593"/>
      <c r="AK23" s="593"/>
      <c r="AL23" s="593"/>
      <c r="AM23" s="593"/>
    </row>
    <row r="24" spans="1:39" ht="12.75" customHeight="1">
      <c r="A24" s="590"/>
      <c r="B24" s="594" t="s">
        <v>38</v>
      </c>
      <c r="C24" s="593"/>
      <c r="D24" s="593"/>
      <c r="E24" s="593"/>
      <c r="F24" s="654"/>
      <c r="G24" s="655"/>
      <c r="H24" s="655"/>
      <c r="I24" s="654" t="s">
        <v>1245</v>
      </c>
      <c r="J24" s="655"/>
      <c r="K24" s="655"/>
      <c r="L24" s="655"/>
      <c r="M24" s="655"/>
      <c r="N24" s="655"/>
      <c r="O24" s="655"/>
      <c r="P24" s="656"/>
      <c r="Q24" s="593"/>
      <c r="R24" s="593"/>
      <c r="S24" s="593"/>
      <c r="T24" s="593"/>
      <c r="U24" s="593"/>
      <c r="V24" s="593"/>
      <c r="W24" s="654" t="s">
        <v>810</v>
      </c>
      <c r="X24" s="655"/>
      <c r="Y24" s="655"/>
      <c r="Z24" s="655"/>
      <c r="AA24" s="655"/>
      <c r="AB24" s="655"/>
      <c r="AC24" s="655"/>
      <c r="AD24" s="655"/>
      <c r="AE24" s="655"/>
      <c r="AF24" s="655"/>
      <c r="AG24" s="655"/>
      <c r="AH24" s="655"/>
      <c r="AI24" s="655"/>
      <c r="AJ24" s="655"/>
      <c r="AK24" s="656"/>
      <c r="AL24" s="593"/>
      <c r="AM24" s="593"/>
    </row>
    <row r="25" spans="1:39" ht="12.75" customHeight="1">
      <c r="A25" s="592"/>
      <c r="B25" s="593"/>
      <c r="C25" s="593"/>
      <c r="D25" s="593"/>
      <c r="E25" s="593"/>
      <c r="F25" s="651" t="s">
        <v>39</v>
      </c>
      <c r="G25" s="651"/>
      <c r="H25" s="651"/>
      <c r="I25" s="651" t="s">
        <v>40</v>
      </c>
      <c r="J25" s="651"/>
      <c r="K25" s="651"/>
      <c r="L25" s="651"/>
      <c r="M25" s="651"/>
      <c r="N25" s="651"/>
      <c r="O25" s="651"/>
      <c r="P25" s="651"/>
      <c r="Q25" s="593"/>
      <c r="R25" s="593"/>
      <c r="S25" s="593"/>
      <c r="T25" s="593"/>
      <c r="U25" s="593"/>
      <c r="V25" s="593"/>
      <c r="W25" s="651" t="s">
        <v>41</v>
      </c>
      <c r="X25" s="651"/>
      <c r="Y25" s="651"/>
      <c r="Z25" s="651"/>
      <c r="AA25" s="651"/>
      <c r="AB25" s="651"/>
      <c r="AC25" s="651"/>
      <c r="AD25" s="651"/>
      <c r="AE25" s="651"/>
      <c r="AF25" s="651"/>
      <c r="AG25" s="651"/>
      <c r="AH25" s="651"/>
      <c r="AI25" s="651"/>
      <c r="AJ25" s="651"/>
      <c r="AK25" s="651"/>
      <c r="AL25" s="593"/>
      <c r="AM25" s="593"/>
    </row>
    <row r="26" spans="1:39" ht="8.1" customHeight="1">
      <c r="A26" s="592"/>
      <c r="B26" s="593"/>
      <c r="C26" s="593"/>
      <c r="D26" s="593"/>
      <c r="E26" s="593"/>
      <c r="F26" s="593"/>
      <c r="G26" s="593"/>
      <c r="H26" s="593"/>
      <c r="I26" s="593"/>
      <c r="J26" s="593"/>
      <c r="K26" s="593"/>
      <c r="L26" s="593"/>
      <c r="M26" s="593"/>
      <c r="N26" s="593"/>
      <c r="O26" s="593"/>
      <c r="P26" s="593"/>
      <c r="Q26" s="593"/>
      <c r="R26" s="593"/>
      <c r="S26" s="593"/>
      <c r="T26" s="593"/>
      <c r="U26" s="593"/>
      <c r="V26" s="593"/>
      <c r="W26" s="593"/>
      <c r="X26" s="593"/>
      <c r="Y26" s="593"/>
      <c r="Z26" s="593"/>
      <c r="AA26" s="593"/>
      <c r="AB26" s="593"/>
      <c r="AC26" s="593"/>
      <c r="AD26" s="593"/>
      <c r="AE26" s="593"/>
      <c r="AF26" s="593"/>
      <c r="AG26" s="593"/>
      <c r="AH26" s="593"/>
      <c r="AI26" s="593"/>
      <c r="AJ26" s="593"/>
      <c r="AK26" s="593"/>
      <c r="AL26" s="593"/>
      <c r="AM26" s="593"/>
    </row>
    <row r="27" spans="1:39" ht="12.75" customHeight="1">
      <c r="A27" s="592"/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  <c r="AI27" s="593"/>
      <c r="AJ27" s="593"/>
      <c r="AK27" s="593"/>
      <c r="AL27" s="593"/>
      <c r="AM27" s="593"/>
    </row>
    <row r="28" spans="1:39" ht="12.75" customHeight="1">
      <c r="A28" s="590"/>
      <c r="B28" s="594" t="s">
        <v>42</v>
      </c>
      <c r="C28" s="593"/>
      <c r="D28" s="593"/>
      <c r="E28" s="593"/>
      <c r="F28" s="593"/>
      <c r="G28" s="654"/>
      <c r="H28" s="655"/>
      <c r="I28" s="655"/>
      <c r="J28" s="655"/>
      <c r="K28" s="655"/>
      <c r="L28" s="655"/>
      <c r="M28" s="655"/>
      <c r="N28" s="656"/>
      <c r="O28" s="593"/>
      <c r="P28" s="593"/>
      <c r="Q28" s="593"/>
      <c r="R28" s="593"/>
      <c r="S28" s="654"/>
      <c r="T28" s="655"/>
      <c r="U28" s="655"/>
      <c r="V28" s="655"/>
      <c r="W28" s="655"/>
      <c r="X28" s="655"/>
      <c r="Y28" s="655"/>
      <c r="Z28" s="656"/>
      <c r="AA28" s="593"/>
      <c r="AB28" s="593"/>
      <c r="AC28" s="593"/>
      <c r="AD28" s="593"/>
      <c r="AE28" s="654"/>
      <c r="AF28" s="655"/>
      <c r="AG28" s="655"/>
      <c r="AH28" s="655"/>
      <c r="AI28" s="655"/>
      <c r="AJ28" s="655"/>
      <c r="AK28" s="655"/>
      <c r="AL28" s="656"/>
      <c r="AM28" s="593"/>
    </row>
    <row r="29" spans="1:39" ht="12.75" customHeight="1">
      <c r="A29" s="592"/>
      <c r="B29" s="593"/>
      <c r="C29" s="593"/>
      <c r="D29" s="593"/>
      <c r="E29" s="593"/>
      <c r="F29" s="593"/>
      <c r="G29" s="651" t="s">
        <v>1216</v>
      </c>
      <c r="H29" s="651"/>
      <c r="I29" s="651"/>
      <c r="J29" s="651"/>
      <c r="K29" s="651"/>
      <c r="L29" s="651"/>
      <c r="M29" s="651"/>
      <c r="N29" s="651"/>
      <c r="O29" s="593"/>
      <c r="P29" s="593"/>
      <c r="Q29" s="593"/>
      <c r="R29" s="593"/>
      <c r="S29" s="651" t="s">
        <v>1217</v>
      </c>
      <c r="T29" s="651"/>
      <c r="U29" s="651"/>
      <c r="V29" s="651"/>
      <c r="W29" s="651"/>
      <c r="X29" s="651"/>
      <c r="Y29" s="651"/>
      <c r="Z29" s="651"/>
      <c r="AA29" s="593"/>
      <c r="AB29" s="593"/>
      <c r="AC29" s="593"/>
      <c r="AD29" s="593"/>
      <c r="AE29" s="651" t="s">
        <v>43</v>
      </c>
      <c r="AF29" s="651"/>
      <c r="AG29" s="651"/>
      <c r="AH29" s="651"/>
      <c r="AI29" s="651"/>
      <c r="AJ29" s="651"/>
      <c r="AK29" s="651"/>
      <c r="AL29" s="651"/>
      <c r="AM29" s="593"/>
    </row>
    <row r="30" spans="1:39" ht="8.1" customHeight="1">
      <c r="A30" s="592"/>
      <c r="B30" s="593"/>
      <c r="C30" s="593"/>
      <c r="D30" s="593"/>
      <c r="E30" s="593"/>
      <c r="F30" s="593"/>
      <c r="G30" s="593"/>
      <c r="H30" s="593"/>
      <c r="I30" s="593"/>
      <c r="J30" s="593"/>
      <c r="K30" s="593"/>
      <c r="L30" s="593"/>
      <c r="M30" s="593"/>
      <c r="N30" s="593"/>
      <c r="O30" s="593"/>
      <c r="P30" s="593"/>
      <c r="Q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  <c r="AC30" s="593"/>
      <c r="AD30" s="593"/>
      <c r="AE30" s="593"/>
      <c r="AF30" s="593"/>
      <c r="AG30" s="593"/>
      <c r="AH30" s="593"/>
      <c r="AI30" s="593"/>
      <c r="AJ30" s="593"/>
      <c r="AK30" s="593"/>
      <c r="AL30" s="593"/>
      <c r="AM30" s="593"/>
    </row>
    <row r="31" spans="1:39" ht="8.1" customHeight="1">
      <c r="A31" s="592"/>
      <c r="B31" s="593"/>
      <c r="C31" s="593"/>
      <c r="D31" s="593"/>
      <c r="E31" s="593"/>
      <c r="F31" s="593"/>
      <c r="G31" s="593"/>
      <c r="H31" s="593"/>
      <c r="I31" s="593"/>
      <c r="J31" s="593"/>
      <c r="K31" s="593"/>
      <c r="L31" s="593"/>
      <c r="M31" s="593"/>
      <c r="N31" s="593"/>
      <c r="O31" s="593"/>
      <c r="P31" s="593"/>
      <c r="Q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3"/>
      <c r="AH31" s="593"/>
      <c r="AI31" s="593"/>
      <c r="AJ31" s="593"/>
      <c r="AK31" s="593"/>
      <c r="AL31" s="593"/>
      <c r="AM31" s="593"/>
    </row>
    <row r="32" spans="1:39" ht="12.75" customHeight="1">
      <c r="A32" s="590"/>
      <c r="B32" s="594" t="s">
        <v>44</v>
      </c>
      <c r="C32" s="593"/>
      <c r="D32" s="654" t="s">
        <v>1242</v>
      </c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5"/>
      <c r="P32" s="655"/>
      <c r="Q32" s="655"/>
      <c r="R32" s="655"/>
      <c r="S32" s="655"/>
      <c r="T32" s="655"/>
      <c r="U32" s="655"/>
      <c r="V32" s="655"/>
      <c r="W32" s="655"/>
      <c r="X32" s="655"/>
      <c r="Y32" s="655"/>
      <c r="Z32" s="655"/>
      <c r="AA32" s="655"/>
      <c r="AB32" s="655"/>
      <c r="AC32" s="655"/>
      <c r="AD32" s="655"/>
      <c r="AE32" s="654" t="s">
        <v>1243</v>
      </c>
      <c r="AF32" s="655"/>
      <c r="AG32" s="655"/>
      <c r="AH32" s="655"/>
      <c r="AI32" s="655"/>
      <c r="AJ32" s="655"/>
      <c r="AK32" s="655"/>
      <c r="AL32" s="655"/>
      <c r="AM32" s="656"/>
    </row>
    <row r="33" spans="1:39" ht="12.75" customHeight="1">
      <c r="A33" s="592"/>
      <c r="B33" s="593"/>
      <c r="C33" s="593"/>
      <c r="D33" s="639" t="s">
        <v>24</v>
      </c>
      <c r="E33" s="639"/>
      <c r="F33" s="639"/>
      <c r="G33" s="639"/>
      <c r="H33" s="639"/>
      <c r="I33" s="639"/>
      <c r="J33" s="639"/>
      <c r="K33" s="639"/>
      <c r="L33" s="639"/>
      <c r="M33" s="639"/>
      <c r="N33" s="639"/>
      <c r="O33" s="639"/>
      <c r="P33" s="639"/>
      <c r="Q33" s="639"/>
      <c r="R33" s="639"/>
      <c r="S33" s="639"/>
      <c r="T33" s="639"/>
      <c r="U33" s="639"/>
      <c r="V33" s="639"/>
      <c r="W33" s="639"/>
      <c r="X33" s="639"/>
      <c r="Y33" s="639"/>
      <c r="Z33" s="639"/>
      <c r="AA33" s="639"/>
      <c r="AB33" s="639"/>
      <c r="AC33" s="639"/>
      <c r="AD33" s="639"/>
      <c r="AE33" s="639" t="s">
        <v>45</v>
      </c>
      <c r="AF33" s="639"/>
      <c r="AG33" s="639"/>
      <c r="AH33" s="639"/>
      <c r="AI33" s="639"/>
      <c r="AJ33" s="639"/>
      <c r="AK33" s="639"/>
      <c r="AL33" s="639"/>
      <c r="AM33" s="639"/>
    </row>
    <row r="34" spans="1:39" ht="8.1" customHeight="1">
      <c r="A34" s="592"/>
      <c r="B34" s="593"/>
      <c r="C34" s="593"/>
      <c r="D34" s="593"/>
      <c r="E34" s="593"/>
      <c r="F34" s="593"/>
      <c r="G34" s="593"/>
      <c r="H34" s="593"/>
      <c r="I34" s="593"/>
      <c r="J34" s="593"/>
      <c r="K34" s="593"/>
      <c r="L34" s="593"/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  <c r="AC34" s="593"/>
      <c r="AD34" s="593"/>
      <c r="AE34" s="593"/>
      <c r="AF34" s="593"/>
      <c r="AG34" s="593"/>
      <c r="AH34" s="593"/>
      <c r="AI34" s="593"/>
      <c r="AJ34" s="593"/>
      <c r="AK34" s="593"/>
      <c r="AL34" s="593"/>
      <c r="AM34" s="593"/>
    </row>
    <row r="35" spans="1:39" ht="8.1" customHeight="1">
      <c r="A35" s="592"/>
      <c r="B35" s="593"/>
      <c r="C35" s="593"/>
      <c r="D35" s="593"/>
      <c r="E35" s="593"/>
      <c r="F35" s="593"/>
      <c r="G35" s="593"/>
      <c r="H35" s="593"/>
      <c r="I35" s="593"/>
      <c r="J35" s="593"/>
      <c r="K35" s="593"/>
      <c r="L35" s="593"/>
      <c r="M35" s="593"/>
      <c r="N35" s="593"/>
      <c r="O35" s="593"/>
      <c r="P35" s="593"/>
      <c r="Q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  <c r="AC35" s="593"/>
      <c r="AD35" s="593"/>
      <c r="AE35" s="593"/>
      <c r="AF35" s="593"/>
      <c r="AG35" s="593"/>
      <c r="AH35" s="593"/>
      <c r="AI35" s="593"/>
      <c r="AJ35" s="593"/>
      <c r="AK35" s="593"/>
      <c r="AL35" s="593"/>
      <c r="AM35" s="593"/>
    </row>
    <row r="36" spans="1:39" ht="12.75" customHeight="1">
      <c r="A36" s="590"/>
      <c r="B36" s="594" t="s">
        <v>46</v>
      </c>
      <c r="C36" s="593"/>
      <c r="D36" s="593"/>
      <c r="E36" s="593"/>
      <c r="F36" s="593"/>
      <c r="G36" s="671" t="s">
        <v>1246</v>
      </c>
      <c r="H36" s="642"/>
      <c r="I36" s="642"/>
      <c r="J36" s="642"/>
      <c r="K36" s="642"/>
      <c r="L36" s="642"/>
      <c r="M36" s="642"/>
      <c r="N36" s="643"/>
      <c r="O36" s="593"/>
      <c r="P36" s="593"/>
      <c r="Q36" s="641"/>
      <c r="R36" s="642"/>
      <c r="S36" s="642"/>
      <c r="T36" s="642"/>
      <c r="U36" s="642"/>
      <c r="V36" s="643"/>
      <c r="W36" s="593"/>
      <c r="X36" s="593"/>
      <c r="Y36" s="662"/>
      <c r="Z36" s="656"/>
      <c r="AA36" s="654"/>
      <c r="AB36" s="655"/>
      <c r="AC36" s="655"/>
      <c r="AD36" s="656"/>
      <c r="AE36" s="654" t="s">
        <v>1247</v>
      </c>
      <c r="AF36" s="655"/>
      <c r="AG36" s="655"/>
      <c r="AH36" s="655"/>
      <c r="AI36" s="655"/>
      <c r="AJ36" s="655"/>
      <c r="AK36" s="655"/>
      <c r="AL36" s="655"/>
      <c r="AM36" s="656"/>
    </row>
    <row r="37" spans="1:39" ht="12.75" customHeight="1">
      <c r="A37" s="592"/>
      <c r="B37" s="593"/>
      <c r="C37" s="593"/>
      <c r="D37" s="593"/>
      <c r="E37" s="593"/>
      <c r="F37" s="593"/>
      <c r="G37" s="639" t="s">
        <v>47</v>
      </c>
      <c r="H37" s="639"/>
      <c r="I37" s="639"/>
      <c r="J37" s="639"/>
      <c r="K37" s="639"/>
      <c r="L37" s="639"/>
      <c r="M37" s="639"/>
      <c r="N37" s="639"/>
      <c r="O37" s="593"/>
      <c r="P37" s="593"/>
      <c r="Q37" s="651" t="s">
        <v>1218</v>
      </c>
      <c r="R37" s="651"/>
      <c r="S37" s="651"/>
      <c r="T37" s="651"/>
      <c r="U37" s="651"/>
      <c r="V37" s="651"/>
      <c r="W37" s="593"/>
      <c r="X37" s="593"/>
      <c r="Y37" s="651" t="s">
        <v>48</v>
      </c>
      <c r="Z37" s="651"/>
      <c r="AA37" s="651" t="s">
        <v>49</v>
      </c>
      <c r="AB37" s="651"/>
      <c r="AC37" s="651"/>
      <c r="AD37" s="651"/>
      <c r="AE37" s="651" t="s">
        <v>50</v>
      </c>
      <c r="AF37" s="651"/>
      <c r="AG37" s="651"/>
      <c r="AH37" s="651"/>
      <c r="AI37" s="651"/>
      <c r="AJ37" s="651"/>
      <c r="AK37" s="651"/>
      <c r="AL37" s="651"/>
      <c r="AM37" s="651"/>
    </row>
    <row r="38" spans="1:39" ht="8.1" customHeight="1">
      <c r="A38" s="592"/>
      <c r="B38" s="593"/>
      <c r="C38" s="593"/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E38" s="593"/>
      <c r="AF38" s="593"/>
      <c r="AG38" s="593"/>
      <c r="AH38" s="593"/>
      <c r="AI38" s="593"/>
      <c r="AJ38" s="593"/>
      <c r="AK38" s="593"/>
      <c r="AL38" s="593"/>
      <c r="AM38" s="593"/>
    </row>
    <row r="39" spans="1:39" ht="8.1" customHeight="1">
      <c r="A39" s="592"/>
      <c r="B39" s="593"/>
      <c r="C39" s="593"/>
      <c r="D39" s="593"/>
      <c r="E39" s="593"/>
      <c r="F39" s="593"/>
      <c r="G39" s="593"/>
      <c r="H39" s="593"/>
      <c r="I39" s="593"/>
      <c r="J39" s="593"/>
      <c r="K39" s="593"/>
      <c r="L39" s="593"/>
      <c r="M39" s="593"/>
      <c r="N39" s="593"/>
      <c r="O39" s="593"/>
      <c r="P39" s="593"/>
      <c r="Q39" s="593"/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  <c r="AC39" s="593"/>
      <c r="AD39" s="593"/>
      <c r="AE39" s="593"/>
      <c r="AF39" s="593"/>
      <c r="AG39" s="593"/>
      <c r="AH39" s="593"/>
      <c r="AI39" s="593"/>
      <c r="AJ39" s="593"/>
      <c r="AK39" s="593"/>
      <c r="AL39" s="593"/>
      <c r="AM39" s="593"/>
    </row>
    <row r="40" spans="1:39" ht="12.75" customHeight="1">
      <c r="A40" s="590"/>
      <c r="B40" s="594" t="s">
        <v>51</v>
      </c>
      <c r="C40" s="593"/>
      <c r="D40" s="654" t="s">
        <v>1248</v>
      </c>
      <c r="E40" s="655"/>
      <c r="F40" s="655"/>
      <c r="G40" s="655"/>
      <c r="H40" s="655"/>
      <c r="I40" s="655"/>
      <c r="J40" s="655"/>
      <c r="K40" s="655"/>
      <c r="L40" s="655"/>
      <c r="M40" s="655"/>
      <c r="N40" s="655"/>
      <c r="O40" s="655"/>
      <c r="P40" s="655"/>
      <c r="Q40" s="655"/>
      <c r="R40" s="655"/>
      <c r="S40" s="655"/>
      <c r="T40" s="655"/>
      <c r="U40" s="655"/>
      <c r="V40" s="655"/>
      <c r="W40" s="655"/>
      <c r="X40" s="655"/>
      <c r="Y40" s="655"/>
      <c r="Z40" s="655"/>
      <c r="AA40" s="655"/>
      <c r="AB40" s="655"/>
      <c r="AC40" s="655"/>
      <c r="AD40" s="655"/>
      <c r="AE40" s="655"/>
      <c r="AF40" s="655"/>
      <c r="AG40" s="655"/>
      <c r="AH40" s="655"/>
      <c r="AI40" s="655"/>
      <c r="AJ40" s="655"/>
      <c r="AK40" s="655"/>
      <c r="AL40" s="655"/>
      <c r="AM40" s="656"/>
    </row>
    <row r="41" spans="1:39" ht="12.75" customHeight="1">
      <c r="A41" s="592"/>
      <c r="B41" s="593"/>
      <c r="C41" s="593"/>
      <c r="D41" s="639" t="s">
        <v>52</v>
      </c>
      <c r="E41" s="639"/>
      <c r="F41" s="639"/>
      <c r="G41" s="639"/>
      <c r="H41" s="639"/>
      <c r="I41" s="639"/>
      <c r="J41" s="639"/>
      <c r="K41" s="639"/>
      <c r="L41" s="639"/>
      <c r="M41" s="639"/>
      <c r="N41" s="639"/>
      <c r="O41" s="639"/>
      <c r="P41" s="639"/>
      <c r="Q41" s="639"/>
      <c r="R41" s="639"/>
      <c r="S41" s="639"/>
      <c r="T41" s="639"/>
      <c r="U41" s="639"/>
      <c r="V41" s="639"/>
      <c r="W41" s="639"/>
      <c r="X41" s="639"/>
      <c r="Y41" s="639"/>
      <c r="Z41" s="639"/>
      <c r="AA41" s="639"/>
      <c r="AB41" s="639"/>
      <c r="AC41" s="639"/>
      <c r="AD41" s="639"/>
      <c r="AE41" s="639"/>
      <c r="AF41" s="639"/>
      <c r="AG41" s="639"/>
      <c r="AH41" s="639"/>
      <c r="AI41" s="639"/>
      <c r="AJ41" s="639"/>
      <c r="AK41" s="639"/>
      <c r="AL41" s="639"/>
      <c r="AM41" s="639"/>
    </row>
    <row r="42" spans="1:39" ht="8.1" customHeight="1">
      <c r="A42" s="592"/>
      <c r="B42" s="593"/>
      <c r="C42" s="593"/>
      <c r="D42" s="593"/>
      <c r="E42" s="593"/>
      <c r="F42" s="593"/>
      <c r="G42" s="593"/>
      <c r="H42" s="593"/>
      <c r="I42" s="593"/>
      <c r="J42" s="593"/>
      <c r="K42" s="593"/>
      <c r="L42" s="593"/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  <c r="AH42" s="593"/>
      <c r="AI42" s="593"/>
      <c r="AJ42" s="593"/>
      <c r="AK42" s="593"/>
      <c r="AL42" s="593"/>
      <c r="AM42" s="593"/>
    </row>
    <row r="43" spans="1:39" ht="15">
      <c r="A43" s="592"/>
      <c r="B43" s="593"/>
      <c r="C43" s="593"/>
      <c r="D43" s="593"/>
      <c r="E43" s="593"/>
      <c r="F43" s="593"/>
      <c r="G43" s="593"/>
      <c r="H43" s="593"/>
      <c r="I43" s="593"/>
      <c r="J43" s="593"/>
      <c r="K43" s="593"/>
      <c r="L43" s="593"/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  <c r="AH43" s="593"/>
      <c r="AI43" s="593"/>
      <c r="AJ43" s="593"/>
      <c r="AK43" s="593"/>
      <c r="AL43" s="593"/>
      <c r="AM43" s="593"/>
    </row>
    <row r="44" spans="1:39" ht="12.75" customHeight="1">
      <c r="A44" s="590"/>
      <c r="B44" s="594" t="s">
        <v>53</v>
      </c>
      <c r="C44" s="593"/>
      <c r="D44" s="654" t="s">
        <v>1249</v>
      </c>
      <c r="E44" s="655"/>
      <c r="F44" s="655"/>
      <c r="G44" s="655"/>
      <c r="H44" s="655"/>
      <c r="I44" s="655"/>
      <c r="J44" s="655"/>
      <c r="K44" s="655"/>
      <c r="L44" s="655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655"/>
      <c r="AB44" s="655"/>
      <c r="AC44" s="655"/>
      <c r="AD44" s="655"/>
      <c r="AE44" s="641"/>
      <c r="AF44" s="642"/>
      <c r="AG44" s="642"/>
      <c r="AH44" s="642"/>
      <c r="AI44" s="642"/>
      <c r="AJ44" s="642"/>
      <c r="AK44" s="642"/>
      <c r="AL44" s="642"/>
      <c r="AM44" s="643"/>
    </row>
    <row r="45" spans="1:39" ht="12.75" customHeight="1">
      <c r="A45" s="592"/>
      <c r="B45" s="593"/>
      <c r="C45" s="593"/>
      <c r="D45" s="651" t="s">
        <v>54</v>
      </c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51"/>
      <c r="AB45" s="651"/>
      <c r="AC45" s="651"/>
      <c r="AD45" s="651"/>
      <c r="AE45" s="639"/>
      <c r="AF45" s="639"/>
      <c r="AG45" s="639"/>
      <c r="AH45" s="639"/>
      <c r="AI45" s="639"/>
      <c r="AJ45" s="639"/>
      <c r="AK45" s="639"/>
      <c r="AL45" s="639"/>
      <c r="AM45" s="639"/>
    </row>
    <row r="46" spans="1:39" ht="8.1" customHeight="1">
      <c r="A46" s="592"/>
      <c r="B46" s="593"/>
      <c r="C46" s="593"/>
      <c r="D46" s="593"/>
      <c r="E46" s="593"/>
      <c r="F46" s="593"/>
      <c r="G46" s="593"/>
      <c r="H46" s="593"/>
      <c r="I46" s="593"/>
      <c r="J46" s="593"/>
      <c r="K46" s="593"/>
      <c r="L46" s="593"/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  <c r="AH46" s="593"/>
      <c r="AI46" s="593"/>
      <c r="AJ46" s="593"/>
      <c r="AK46" s="593"/>
      <c r="AL46" s="593"/>
      <c r="AM46" s="593"/>
    </row>
    <row r="47" spans="1:39" ht="8.1" customHeight="1">
      <c r="A47" s="592"/>
      <c r="B47" s="593"/>
      <c r="C47" s="593"/>
      <c r="D47" s="593"/>
      <c r="E47" s="593"/>
      <c r="F47" s="593"/>
      <c r="G47" s="593"/>
      <c r="H47" s="593"/>
      <c r="I47" s="593"/>
      <c r="J47" s="593"/>
      <c r="K47" s="593"/>
      <c r="L47" s="593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  <c r="AH47" s="593"/>
      <c r="AI47" s="593"/>
      <c r="AJ47" s="593"/>
      <c r="AK47" s="593"/>
      <c r="AL47" s="593"/>
      <c r="AM47" s="593"/>
    </row>
    <row r="48" spans="1:39" ht="12.75" customHeight="1">
      <c r="A48" s="590"/>
      <c r="B48" s="593"/>
      <c r="C48" s="593"/>
      <c r="D48" s="654" t="s">
        <v>1492</v>
      </c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55"/>
      <c r="AB48" s="655"/>
      <c r="AC48" s="655"/>
      <c r="AD48" s="655"/>
      <c r="AE48" s="655"/>
      <c r="AF48" s="655"/>
      <c r="AG48" s="655"/>
      <c r="AH48" s="655"/>
      <c r="AI48" s="655"/>
      <c r="AJ48" s="655"/>
      <c r="AK48" s="655"/>
      <c r="AL48" s="655"/>
      <c r="AM48" s="656"/>
    </row>
    <row r="49" spans="1:39" ht="12.75" customHeight="1">
      <c r="A49" s="592"/>
      <c r="B49" s="593"/>
      <c r="C49" s="593"/>
      <c r="D49" s="651" t="s">
        <v>55</v>
      </c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1"/>
      <c r="AB49" s="651"/>
      <c r="AC49" s="651"/>
      <c r="AD49" s="651"/>
      <c r="AE49" s="651"/>
      <c r="AF49" s="651"/>
      <c r="AG49" s="651"/>
      <c r="AH49" s="651"/>
      <c r="AI49" s="651"/>
      <c r="AJ49" s="651"/>
      <c r="AK49" s="651"/>
      <c r="AL49" s="651"/>
      <c r="AM49" s="651"/>
    </row>
    <row r="50" spans="1:39" ht="8.1" customHeight="1">
      <c r="A50" s="592"/>
      <c r="B50" s="593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  <c r="AB50" s="593"/>
      <c r="AC50" s="593"/>
      <c r="AD50" s="593"/>
      <c r="AE50" s="593"/>
      <c r="AF50" s="593"/>
      <c r="AG50" s="593"/>
      <c r="AH50" s="593"/>
      <c r="AI50" s="593"/>
      <c r="AJ50" s="593"/>
      <c r="AK50" s="593"/>
      <c r="AL50" s="593"/>
      <c r="AM50" s="593"/>
    </row>
    <row r="51" spans="1:39" ht="8.1" customHeight="1">
      <c r="A51" s="592"/>
      <c r="B51" s="593"/>
      <c r="C51" s="593"/>
      <c r="D51" s="593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  <c r="AH51" s="593"/>
      <c r="AI51" s="593"/>
      <c r="AJ51" s="593"/>
      <c r="AK51" s="593"/>
      <c r="AL51" s="593"/>
      <c r="AM51" s="593"/>
    </row>
    <row r="52" spans="1:39" ht="12.75" customHeight="1">
      <c r="A52" s="590"/>
      <c r="B52" s="593"/>
      <c r="C52" s="593"/>
      <c r="D52" s="654" t="s">
        <v>1492</v>
      </c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5"/>
      <c r="P52" s="655"/>
      <c r="Q52" s="655"/>
      <c r="R52" s="655"/>
      <c r="S52" s="655"/>
      <c r="T52" s="655"/>
      <c r="U52" s="655"/>
      <c r="V52" s="655"/>
      <c r="W52" s="655"/>
      <c r="X52" s="655"/>
      <c r="Y52" s="655"/>
      <c r="Z52" s="655"/>
      <c r="AA52" s="655"/>
      <c r="AB52" s="655"/>
      <c r="AC52" s="655"/>
      <c r="AD52" s="655"/>
      <c r="AE52" s="655"/>
      <c r="AF52" s="655"/>
      <c r="AG52" s="655"/>
      <c r="AH52" s="655"/>
      <c r="AI52" s="655"/>
      <c r="AJ52" s="655"/>
      <c r="AK52" s="655"/>
      <c r="AL52" s="655"/>
      <c r="AM52" s="656"/>
    </row>
    <row r="53" spans="1:39" ht="12.75" customHeight="1">
      <c r="A53" s="595"/>
      <c r="B53" s="596"/>
      <c r="C53" s="596"/>
      <c r="D53" s="670" t="s">
        <v>56</v>
      </c>
      <c r="E53" s="670"/>
      <c r="F53" s="670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70"/>
      <c r="AA53" s="670"/>
      <c r="AB53" s="670"/>
      <c r="AC53" s="670"/>
      <c r="AD53" s="670"/>
      <c r="AE53" s="670"/>
      <c r="AF53" s="670"/>
      <c r="AG53" s="670"/>
      <c r="AH53" s="670"/>
      <c r="AI53" s="670"/>
      <c r="AJ53" s="670"/>
      <c r="AK53" s="670"/>
      <c r="AL53" s="670"/>
      <c r="AM53" s="670"/>
    </row>
    <row r="54" spans="1:39" ht="8.1" customHeight="1">
      <c r="A54" s="592"/>
      <c r="B54" s="593"/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  <c r="Z54" s="593"/>
      <c r="AA54" s="593"/>
      <c r="AB54" s="593"/>
      <c r="AC54" s="593"/>
      <c r="AD54" s="593"/>
      <c r="AE54" s="593"/>
      <c r="AF54" s="593"/>
      <c r="AG54" s="593"/>
      <c r="AH54" s="593"/>
      <c r="AI54" s="593"/>
      <c r="AJ54" s="593"/>
      <c r="AK54" s="593"/>
      <c r="AL54" s="593"/>
      <c r="AM54" s="593"/>
    </row>
    <row r="55" spans="1:39" ht="8.1" customHeight="1">
      <c r="A55" s="592"/>
      <c r="B55" s="593"/>
      <c r="C55" s="593"/>
      <c r="D55" s="593"/>
      <c r="E55" s="593"/>
      <c r="F55" s="593"/>
      <c r="G55" s="593"/>
      <c r="H55" s="593"/>
      <c r="I55" s="593"/>
      <c r="J55" s="593"/>
      <c r="K55" s="593"/>
      <c r="L55" s="593"/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  <c r="AA55" s="593"/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</row>
    <row r="56" spans="1:39" ht="12.75" customHeight="1">
      <c r="A56" s="592"/>
      <c r="B56" s="593"/>
      <c r="C56" s="593"/>
      <c r="D56" s="654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  <c r="AB56" s="655"/>
      <c r="AC56" s="655"/>
      <c r="AD56" s="655"/>
      <c r="AE56" s="655"/>
      <c r="AF56" s="655"/>
      <c r="AG56" s="655"/>
      <c r="AH56" s="655"/>
      <c r="AI56" s="655"/>
      <c r="AJ56" s="655"/>
      <c r="AK56" s="655"/>
      <c r="AL56" s="655"/>
      <c r="AM56" s="656"/>
    </row>
    <row r="57" spans="1:39" ht="12.75" customHeight="1">
      <c r="A57" s="592"/>
      <c r="B57" s="593"/>
      <c r="C57" s="593"/>
      <c r="D57" s="651" t="s">
        <v>57</v>
      </c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1"/>
      <c r="AB57" s="651"/>
      <c r="AC57" s="651"/>
      <c r="AD57" s="651"/>
      <c r="AE57" s="651"/>
      <c r="AF57" s="651"/>
      <c r="AG57" s="651"/>
      <c r="AH57" s="651"/>
      <c r="AI57" s="651"/>
      <c r="AJ57" s="651"/>
      <c r="AK57" s="651"/>
      <c r="AL57" s="651"/>
      <c r="AM57" s="651"/>
    </row>
    <row r="58" spans="1:39" ht="8.1" customHeight="1">
      <c r="A58" s="592"/>
      <c r="B58" s="593"/>
      <c r="C58" s="593"/>
      <c r="D58" s="593"/>
      <c r="E58" s="593"/>
      <c r="F58" s="593"/>
      <c r="G58" s="593"/>
      <c r="H58" s="593"/>
      <c r="I58" s="593"/>
      <c r="J58" s="593"/>
      <c r="K58" s="593"/>
      <c r="L58" s="593"/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  <c r="AA58" s="593"/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</row>
    <row r="59" spans="1:39" ht="12.75" customHeight="1">
      <c r="A59" s="592"/>
      <c r="B59" s="593"/>
      <c r="C59" s="593"/>
      <c r="D59" s="662"/>
      <c r="E59" s="655"/>
      <c r="F59" s="655"/>
      <c r="G59" s="655"/>
      <c r="H59" s="655"/>
      <c r="I59" s="655"/>
      <c r="J59" s="655"/>
      <c r="K59" s="655"/>
      <c r="L59" s="655"/>
      <c r="M59" s="655"/>
      <c r="N59" s="655"/>
      <c r="O59" s="655"/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  <c r="AA59" s="655"/>
      <c r="AB59" s="655"/>
      <c r="AC59" s="655"/>
      <c r="AD59" s="655"/>
      <c r="AE59" s="655"/>
      <c r="AF59" s="655"/>
      <c r="AG59" s="655"/>
      <c r="AH59" s="655"/>
      <c r="AI59" s="655"/>
      <c r="AJ59" s="655"/>
      <c r="AK59" s="655"/>
      <c r="AL59" s="655"/>
      <c r="AM59" s="656"/>
    </row>
    <row r="60" spans="1:39" ht="8.1" customHeight="1">
      <c r="A60" s="592"/>
      <c r="B60" s="593"/>
      <c r="C60" s="593"/>
      <c r="D60" s="593"/>
      <c r="E60" s="593"/>
      <c r="F60" s="593"/>
      <c r="G60" s="593"/>
      <c r="H60" s="593"/>
      <c r="I60" s="593"/>
      <c r="J60" s="593"/>
      <c r="K60" s="593"/>
      <c r="L60" s="593"/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  <c r="AC60" s="593"/>
      <c r="AD60" s="593"/>
      <c r="AE60" s="593"/>
      <c r="AF60" s="593"/>
      <c r="AG60" s="593"/>
      <c r="AH60" s="593"/>
      <c r="AI60" s="593"/>
      <c r="AJ60" s="593"/>
      <c r="AK60" s="593"/>
      <c r="AL60" s="593"/>
      <c r="AM60" s="593"/>
    </row>
    <row r="61" spans="1:39" ht="8.1" customHeight="1">
      <c r="A61" s="592"/>
      <c r="B61" s="593"/>
      <c r="C61" s="593"/>
      <c r="D61" s="593"/>
      <c r="E61" s="593"/>
      <c r="F61" s="593"/>
      <c r="G61" s="593"/>
      <c r="H61" s="593"/>
      <c r="I61" s="593"/>
      <c r="J61" s="593"/>
      <c r="K61" s="593"/>
      <c r="L61" s="593"/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  <c r="AA61" s="593"/>
      <c r="AB61" s="593"/>
      <c r="AC61" s="593"/>
      <c r="AD61" s="593"/>
      <c r="AE61" s="593"/>
      <c r="AF61" s="593"/>
      <c r="AG61" s="593"/>
      <c r="AH61" s="593"/>
      <c r="AI61" s="593"/>
      <c r="AJ61" s="593"/>
      <c r="AK61" s="593"/>
      <c r="AL61" s="593"/>
      <c r="AM61" s="593"/>
    </row>
    <row r="62" spans="1:39" ht="8.1" customHeight="1">
      <c r="A62" s="592"/>
      <c r="B62" s="593"/>
      <c r="C62" s="593"/>
      <c r="D62" s="593"/>
      <c r="E62" s="593"/>
      <c r="F62" s="593"/>
      <c r="G62" s="593"/>
      <c r="H62" s="593"/>
      <c r="I62" s="593"/>
      <c r="J62" s="593"/>
      <c r="K62" s="593"/>
      <c r="L62" s="593"/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  <c r="AA62" s="593"/>
      <c r="AB62" s="593"/>
      <c r="AC62" s="593"/>
      <c r="AD62" s="593"/>
      <c r="AE62" s="593"/>
      <c r="AF62" s="593"/>
      <c r="AG62" s="593"/>
      <c r="AH62" s="593"/>
      <c r="AI62" s="593"/>
      <c r="AJ62" s="593"/>
      <c r="AK62" s="593"/>
      <c r="AL62" s="593"/>
      <c r="AM62" s="593"/>
    </row>
    <row r="63" spans="1:39" ht="8.1" customHeight="1">
      <c r="A63" s="592"/>
      <c r="B63" s="593"/>
      <c r="C63" s="593"/>
      <c r="D63" s="593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</row>
    <row r="64" spans="1:39" ht="12.75" customHeight="1">
      <c r="A64" s="592"/>
      <c r="B64" s="593"/>
      <c r="C64" s="597"/>
      <c r="D64" s="598"/>
      <c r="E64" s="663" t="s">
        <v>58</v>
      </c>
      <c r="F64" s="664"/>
      <c r="G64" s="664"/>
      <c r="H64" s="593"/>
      <c r="I64" s="593"/>
      <c r="J64" s="598"/>
      <c r="K64" s="663" t="s">
        <v>59</v>
      </c>
      <c r="L64" s="664"/>
      <c r="M64" s="593"/>
      <c r="N64" s="598"/>
      <c r="O64" s="665" t="s">
        <v>60</v>
      </c>
      <c r="P64" s="666"/>
      <c r="Q64" s="666"/>
      <c r="R64" s="593"/>
      <c r="S64" s="598" t="s">
        <v>14</v>
      </c>
      <c r="T64" s="667" t="s">
        <v>61</v>
      </c>
      <c r="U64" s="667"/>
      <c r="V64" s="667"/>
      <c r="W64" s="593"/>
      <c r="X64" s="597"/>
      <c r="Y64" s="598"/>
      <c r="Z64" s="668" t="s">
        <v>58</v>
      </c>
      <c r="AA64" s="669"/>
      <c r="AB64" s="669"/>
      <c r="AC64" s="593"/>
      <c r="AD64" s="593"/>
      <c r="AE64" s="593"/>
      <c r="AF64" s="598"/>
      <c r="AG64" s="668" t="s">
        <v>62</v>
      </c>
      <c r="AH64" s="669"/>
      <c r="AI64" s="593"/>
      <c r="AJ64" s="593"/>
      <c r="AK64" s="598" t="s">
        <v>14</v>
      </c>
      <c r="AL64" s="599" t="s">
        <v>63</v>
      </c>
      <c r="AM64" s="600"/>
    </row>
    <row r="65" spans="1:39" ht="12.75" customHeight="1">
      <c r="A65" s="592"/>
      <c r="B65" s="593"/>
      <c r="C65" s="601"/>
      <c r="D65" s="602"/>
      <c r="E65" s="602"/>
      <c r="F65" s="602"/>
      <c r="G65" s="602"/>
      <c r="H65" s="602"/>
      <c r="I65" s="602"/>
      <c r="J65" s="602"/>
      <c r="K65" s="602"/>
      <c r="L65" s="602"/>
      <c r="M65" s="602"/>
      <c r="N65" s="602"/>
      <c r="O65" s="602"/>
      <c r="P65" s="602"/>
      <c r="Q65" s="602"/>
      <c r="R65" s="602"/>
      <c r="S65" s="602"/>
      <c r="T65" s="602"/>
      <c r="U65" s="602"/>
      <c r="V65" s="602"/>
      <c r="W65" s="602"/>
      <c r="X65" s="601"/>
      <c r="Y65" s="602"/>
      <c r="Z65" s="602"/>
      <c r="AA65" s="602"/>
      <c r="AB65" s="602"/>
      <c r="AC65" s="602"/>
      <c r="AD65" s="602"/>
      <c r="AE65" s="602"/>
      <c r="AF65" s="602"/>
      <c r="AG65" s="602"/>
      <c r="AH65" s="602"/>
      <c r="AI65" s="602"/>
      <c r="AJ65" s="602"/>
      <c r="AK65" s="602"/>
      <c r="AL65" s="602"/>
      <c r="AM65" s="603"/>
    </row>
    <row r="66" spans="1:39" ht="12.75" customHeight="1">
      <c r="A66" s="592"/>
      <c r="B66" s="593"/>
      <c r="C66" s="657" t="s">
        <v>64</v>
      </c>
      <c r="D66" s="657"/>
      <c r="E66" s="657"/>
      <c r="F66" s="657"/>
      <c r="G66" s="657"/>
      <c r="H66" s="657"/>
      <c r="I66" s="657"/>
      <c r="J66" s="657"/>
      <c r="K66" s="657"/>
      <c r="L66" s="657"/>
      <c r="M66" s="657"/>
      <c r="N66" s="657"/>
      <c r="O66" s="657"/>
      <c r="P66" s="657"/>
      <c r="Q66" s="657"/>
      <c r="R66" s="657"/>
      <c r="S66" s="657"/>
      <c r="T66" s="657"/>
      <c r="U66" s="657"/>
      <c r="V66" s="657"/>
      <c r="W66" s="657"/>
      <c r="X66" s="658" t="s">
        <v>65</v>
      </c>
      <c r="Y66" s="658"/>
      <c r="Z66" s="658"/>
      <c r="AA66" s="658"/>
      <c r="AB66" s="658"/>
      <c r="AC66" s="658"/>
      <c r="AD66" s="658"/>
      <c r="AE66" s="658"/>
      <c r="AF66" s="658"/>
      <c r="AG66" s="658"/>
      <c r="AH66" s="658"/>
      <c r="AI66" s="658"/>
      <c r="AJ66" s="658"/>
      <c r="AK66" s="658"/>
      <c r="AL66" s="658"/>
      <c r="AM66" s="658"/>
    </row>
    <row r="67" spans="1:39" ht="8.1" customHeight="1">
      <c r="A67" s="592"/>
      <c r="B67" s="593"/>
      <c r="C67" s="593"/>
      <c r="D67" s="593"/>
      <c r="E67" s="593"/>
      <c r="F67" s="593"/>
      <c r="G67" s="593"/>
      <c r="H67" s="593"/>
      <c r="I67" s="593"/>
      <c r="J67" s="593"/>
      <c r="K67" s="593"/>
      <c r="L67" s="593"/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593"/>
      <c r="Y67" s="593"/>
      <c r="Z67" s="593"/>
      <c r="AA67" s="593"/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593"/>
      <c r="AM67" s="593"/>
    </row>
    <row r="68" spans="1:39" ht="8.1" customHeight="1">
      <c r="A68" s="592"/>
      <c r="B68" s="593"/>
      <c r="C68" s="593"/>
      <c r="D68" s="593"/>
      <c r="E68" s="593"/>
      <c r="F68" s="593"/>
      <c r="G68" s="593"/>
      <c r="H68" s="593"/>
      <c r="I68" s="593"/>
      <c r="J68" s="593"/>
      <c r="K68" s="593"/>
      <c r="L68" s="593"/>
      <c r="M68" s="593"/>
      <c r="N68" s="593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  <c r="AA68" s="593"/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</row>
    <row r="69" spans="1:39" ht="12.75" customHeight="1">
      <c r="A69" s="590"/>
      <c r="B69" s="593"/>
      <c r="C69" s="593"/>
      <c r="D69" s="654" t="s">
        <v>1491</v>
      </c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5"/>
      <c r="P69" s="655"/>
      <c r="Q69" s="656"/>
      <c r="R69" s="593"/>
      <c r="S69" s="593"/>
      <c r="T69" s="659" t="s">
        <v>66</v>
      </c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0"/>
      <c r="AI69" s="660"/>
      <c r="AJ69" s="660"/>
      <c r="AK69" s="660"/>
      <c r="AL69" s="660"/>
      <c r="AM69" s="661"/>
    </row>
    <row r="70" spans="1:39" ht="12.75" customHeight="1">
      <c r="A70" s="592"/>
      <c r="B70" s="593"/>
      <c r="C70" s="593"/>
      <c r="D70" s="651" t="s">
        <v>67</v>
      </c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1"/>
      <c r="P70" s="651"/>
      <c r="Q70" s="651"/>
      <c r="R70" s="593"/>
      <c r="S70" s="593"/>
      <c r="T70" s="659" t="s">
        <v>68</v>
      </c>
      <c r="U70" s="660"/>
      <c r="V70" s="660"/>
      <c r="W70" s="660"/>
      <c r="X70" s="660"/>
      <c r="Y70" s="660"/>
      <c r="Z70" s="660"/>
      <c r="AA70" s="660"/>
      <c r="AB70" s="660"/>
      <c r="AC70" s="661"/>
      <c r="AD70" s="660" t="s">
        <v>69</v>
      </c>
      <c r="AE70" s="660"/>
      <c r="AF70" s="660"/>
      <c r="AG70" s="660"/>
      <c r="AH70" s="660"/>
      <c r="AI70" s="660"/>
      <c r="AJ70" s="660"/>
      <c r="AK70" s="660"/>
      <c r="AL70" s="660"/>
      <c r="AM70" s="661"/>
    </row>
    <row r="71" spans="1:39" ht="12.75" customHeight="1">
      <c r="A71" s="590"/>
      <c r="B71" s="593"/>
      <c r="C71" s="593"/>
      <c r="D71" s="593"/>
      <c r="E71" s="593"/>
      <c r="F71" s="593"/>
      <c r="G71" s="593"/>
      <c r="H71" s="593"/>
      <c r="I71" s="593"/>
      <c r="J71" s="593"/>
      <c r="K71" s="593"/>
      <c r="L71" s="593"/>
      <c r="M71" s="593"/>
      <c r="N71" s="593"/>
      <c r="O71" s="593"/>
      <c r="P71" s="593"/>
      <c r="Q71" s="593"/>
      <c r="R71" s="593"/>
      <c r="S71" s="593"/>
      <c r="T71" s="652" t="s">
        <v>1250</v>
      </c>
      <c r="U71" s="639"/>
      <c r="V71" s="639"/>
      <c r="W71" s="639"/>
      <c r="X71" s="639"/>
      <c r="Y71" s="639"/>
      <c r="Z71" s="639"/>
      <c r="AA71" s="639"/>
      <c r="AB71" s="639"/>
      <c r="AC71" s="640"/>
      <c r="AD71" s="653" t="s">
        <v>1251</v>
      </c>
      <c r="AE71" s="639"/>
      <c r="AF71" s="639"/>
      <c r="AG71" s="639"/>
      <c r="AH71" s="639"/>
      <c r="AI71" s="639"/>
      <c r="AJ71" s="639"/>
      <c r="AK71" s="639"/>
      <c r="AL71" s="639"/>
      <c r="AM71" s="640"/>
    </row>
    <row r="72" spans="1:39" ht="12.75" customHeight="1">
      <c r="A72" s="590"/>
      <c r="B72" s="593"/>
      <c r="C72" s="593"/>
      <c r="D72" s="654" t="s">
        <v>1258</v>
      </c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6"/>
      <c r="R72" s="593"/>
      <c r="S72" s="593"/>
      <c r="T72" s="644"/>
      <c r="U72" s="639"/>
      <c r="V72" s="639"/>
      <c r="W72" s="639"/>
      <c r="X72" s="639"/>
      <c r="Y72" s="639"/>
      <c r="Z72" s="639"/>
      <c r="AA72" s="639"/>
      <c r="AB72" s="639"/>
      <c r="AC72" s="640"/>
      <c r="AD72" s="639"/>
      <c r="AE72" s="639"/>
      <c r="AF72" s="639"/>
      <c r="AG72" s="639"/>
      <c r="AH72" s="639"/>
      <c r="AI72" s="639"/>
      <c r="AJ72" s="639"/>
      <c r="AK72" s="639"/>
      <c r="AL72" s="639"/>
      <c r="AM72" s="640"/>
    </row>
    <row r="73" spans="1:39" ht="12.75" customHeight="1">
      <c r="A73" s="590"/>
      <c r="B73" s="593"/>
      <c r="C73" s="593"/>
      <c r="D73" s="651" t="s">
        <v>70</v>
      </c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1"/>
      <c r="P73" s="651"/>
      <c r="Q73" s="651"/>
      <c r="R73" s="593"/>
      <c r="S73" s="593"/>
      <c r="T73" s="644"/>
      <c r="U73" s="639"/>
      <c r="V73" s="639"/>
      <c r="W73" s="639"/>
      <c r="X73" s="639"/>
      <c r="Y73" s="639"/>
      <c r="Z73" s="639"/>
      <c r="AA73" s="639"/>
      <c r="AB73" s="639"/>
      <c r="AC73" s="640"/>
      <c r="AD73" s="639"/>
      <c r="AE73" s="639"/>
      <c r="AF73" s="639"/>
      <c r="AG73" s="639"/>
      <c r="AH73" s="639"/>
      <c r="AI73" s="639"/>
      <c r="AJ73" s="639"/>
      <c r="AK73" s="639"/>
      <c r="AL73" s="639"/>
      <c r="AM73" s="640"/>
    </row>
    <row r="74" spans="1:39" ht="12.75" customHeight="1">
      <c r="A74" s="592"/>
      <c r="B74" s="593"/>
      <c r="C74" s="593"/>
      <c r="D74" s="593"/>
      <c r="E74" s="593"/>
      <c r="F74" s="593"/>
      <c r="G74" s="593"/>
      <c r="H74" s="593"/>
      <c r="I74" s="593"/>
      <c r="J74" s="593"/>
      <c r="K74" s="593"/>
      <c r="L74" s="593"/>
      <c r="M74" s="593"/>
      <c r="N74" s="593"/>
      <c r="O74" s="593"/>
      <c r="P74" s="593"/>
      <c r="Q74" s="593"/>
      <c r="R74" s="593"/>
      <c r="S74" s="593"/>
      <c r="T74" s="644"/>
      <c r="U74" s="639"/>
      <c r="V74" s="639"/>
      <c r="W74" s="639"/>
      <c r="X74" s="639"/>
      <c r="Y74" s="639"/>
      <c r="Z74" s="639"/>
      <c r="AA74" s="639"/>
      <c r="AB74" s="639"/>
      <c r="AC74" s="640"/>
      <c r="AD74" s="639"/>
      <c r="AE74" s="639"/>
      <c r="AF74" s="639"/>
      <c r="AG74" s="639"/>
      <c r="AH74" s="639"/>
      <c r="AI74" s="639"/>
      <c r="AJ74" s="639"/>
      <c r="AK74" s="639"/>
      <c r="AL74" s="639"/>
      <c r="AM74" s="640"/>
    </row>
    <row r="75" spans="1:39" ht="12.75" customHeight="1">
      <c r="A75" s="590"/>
      <c r="B75" s="593"/>
      <c r="C75" s="593"/>
      <c r="D75" s="648">
        <v>45714</v>
      </c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49"/>
      <c r="P75" s="649"/>
      <c r="Q75" s="650"/>
      <c r="R75" s="593"/>
      <c r="S75" s="593"/>
      <c r="T75" s="644"/>
      <c r="U75" s="639"/>
      <c r="V75" s="639"/>
      <c r="W75" s="639"/>
      <c r="X75" s="639"/>
      <c r="Y75" s="639"/>
      <c r="Z75" s="639"/>
      <c r="AA75" s="639"/>
      <c r="AB75" s="639"/>
      <c r="AC75" s="640"/>
      <c r="AD75" s="639"/>
      <c r="AE75" s="639"/>
      <c r="AF75" s="639"/>
      <c r="AG75" s="639"/>
      <c r="AH75" s="639"/>
      <c r="AI75" s="639"/>
      <c r="AJ75" s="639"/>
      <c r="AK75" s="639"/>
      <c r="AL75" s="639"/>
      <c r="AM75" s="640"/>
    </row>
    <row r="76" spans="1:39" ht="12.75" customHeight="1">
      <c r="A76" s="592"/>
      <c r="B76" s="593"/>
      <c r="C76" s="593"/>
      <c r="D76" s="651" t="s">
        <v>71</v>
      </c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593"/>
      <c r="S76" s="593"/>
      <c r="T76" s="644"/>
      <c r="U76" s="639"/>
      <c r="V76" s="639"/>
      <c r="W76" s="639"/>
      <c r="X76" s="639"/>
      <c r="Y76" s="639"/>
      <c r="Z76" s="639"/>
      <c r="AA76" s="639"/>
      <c r="AB76" s="639"/>
      <c r="AC76" s="640"/>
      <c r="AD76" s="639"/>
      <c r="AE76" s="639"/>
      <c r="AF76" s="639"/>
      <c r="AG76" s="639"/>
      <c r="AH76" s="639"/>
      <c r="AI76" s="639"/>
      <c r="AJ76" s="639"/>
      <c r="AK76" s="639"/>
      <c r="AL76" s="639"/>
      <c r="AM76" s="640"/>
    </row>
    <row r="77" spans="1:39" ht="12.75" customHeight="1">
      <c r="A77" s="592"/>
      <c r="B77" s="593"/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644"/>
      <c r="U77" s="639"/>
      <c r="V77" s="639"/>
      <c r="W77" s="639"/>
      <c r="X77" s="639"/>
      <c r="Y77" s="639"/>
      <c r="Z77" s="639"/>
      <c r="AA77" s="639"/>
      <c r="AB77" s="639"/>
      <c r="AC77" s="640"/>
      <c r="AD77" s="639"/>
      <c r="AE77" s="639"/>
      <c r="AF77" s="639"/>
      <c r="AG77" s="639"/>
      <c r="AH77" s="639"/>
      <c r="AI77" s="639"/>
      <c r="AJ77" s="639"/>
      <c r="AK77" s="639"/>
      <c r="AL77" s="639"/>
      <c r="AM77" s="640"/>
    </row>
    <row r="78" spans="1:39" ht="12.75" customHeight="1">
      <c r="A78" s="592"/>
      <c r="B78" s="593"/>
      <c r="C78" s="593"/>
      <c r="D78" s="645"/>
      <c r="E78" s="646"/>
      <c r="F78" s="646"/>
      <c r="G78" s="646"/>
      <c r="H78" s="646"/>
      <c r="I78" s="646"/>
      <c r="J78" s="646"/>
      <c r="K78" s="646"/>
      <c r="L78" s="646"/>
      <c r="M78" s="646"/>
      <c r="N78" s="646"/>
      <c r="O78" s="646"/>
      <c r="P78" s="646"/>
      <c r="Q78" s="647"/>
      <c r="R78" s="593"/>
      <c r="S78" s="593"/>
      <c r="T78" s="644"/>
      <c r="U78" s="639"/>
      <c r="V78" s="639"/>
      <c r="W78" s="639"/>
      <c r="X78" s="639"/>
      <c r="Y78" s="639"/>
      <c r="Z78" s="639"/>
      <c r="AA78" s="639"/>
      <c r="AB78" s="639"/>
      <c r="AC78" s="640"/>
      <c r="AD78" s="639"/>
      <c r="AE78" s="639"/>
      <c r="AF78" s="639"/>
      <c r="AG78" s="639"/>
      <c r="AH78" s="639"/>
      <c r="AI78" s="639"/>
      <c r="AJ78" s="639"/>
      <c r="AK78" s="639"/>
      <c r="AL78" s="639"/>
      <c r="AM78" s="640"/>
    </row>
    <row r="79" spans="1:39" ht="12.75" customHeight="1">
      <c r="A79" s="592"/>
      <c r="B79" s="593"/>
      <c r="C79" s="593"/>
      <c r="D79" s="644"/>
      <c r="E79" s="639"/>
      <c r="F79" s="639"/>
      <c r="G79" s="639"/>
      <c r="H79" s="639"/>
      <c r="I79" s="639"/>
      <c r="J79" s="639"/>
      <c r="K79" s="639"/>
      <c r="L79" s="639"/>
      <c r="M79" s="639"/>
      <c r="N79" s="639"/>
      <c r="O79" s="639"/>
      <c r="P79" s="639"/>
      <c r="Q79" s="640"/>
      <c r="R79" s="593"/>
      <c r="S79" s="593"/>
      <c r="T79" s="644"/>
      <c r="U79" s="639"/>
      <c r="V79" s="639"/>
      <c r="W79" s="639"/>
      <c r="X79" s="639"/>
      <c r="Y79" s="639"/>
      <c r="Z79" s="639"/>
      <c r="AA79" s="639"/>
      <c r="AB79" s="639"/>
      <c r="AC79" s="640"/>
      <c r="AD79" s="639"/>
      <c r="AE79" s="639"/>
      <c r="AF79" s="639"/>
      <c r="AG79" s="639"/>
      <c r="AH79" s="639"/>
      <c r="AI79" s="639"/>
      <c r="AJ79" s="639"/>
      <c r="AK79" s="639"/>
      <c r="AL79" s="639"/>
      <c r="AM79" s="640"/>
    </row>
    <row r="80" spans="1:39" ht="12.75" customHeight="1">
      <c r="A80" s="592"/>
      <c r="B80" s="593"/>
      <c r="C80" s="593"/>
      <c r="D80" s="644"/>
      <c r="E80" s="639"/>
      <c r="F80" s="639"/>
      <c r="G80" s="639"/>
      <c r="H80" s="639"/>
      <c r="I80" s="639"/>
      <c r="J80" s="639"/>
      <c r="K80" s="639"/>
      <c r="L80" s="639"/>
      <c r="M80" s="639"/>
      <c r="N80" s="639"/>
      <c r="O80" s="639"/>
      <c r="P80" s="639"/>
      <c r="Q80" s="640"/>
      <c r="R80" s="593"/>
      <c r="S80" s="593"/>
      <c r="T80" s="644"/>
      <c r="U80" s="639"/>
      <c r="V80" s="639"/>
      <c r="W80" s="639"/>
      <c r="X80" s="639"/>
      <c r="Y80" s="639"/>
      <c r="Z80" s="639"/>
      <c r="AA80" s="639"/>
      <c r="AB80" s="639"/>
      <c r="AC80" s="640"/>
      <c r="AD80" s="639"/>
      <c r="AE80" s="639"/>
      <c r="AF80" s="639"/>
      <c r="AG80" s="639"/>
      <c r="AH80" s="639"/>
      <c r="AI80" s="639"/>
      <c r="AJ80" s="639"/>
      <c r="AK80" s="639"/>
      <c r="AL80" s="639"/>
      <c r="AM80" s="640"/>
    </row>
    <row r="81" spans="1:39" ht="12.75" customHeight="1">
      <c r="A81" s="592"/>
      <c r="B81" s="593"/>
      <c r="C81" s="593"/>
      <c r="D81" s="644"/>
      <c r="E81" s="639"/>
      <c r="F81" s="639"/>
      <c r="G81" s="639"/>
      <c r="H81" s="639"/>
      <c r="I81" s="639"/>
      <c r="J81" s="639"/>
      <c r="K81" s="639"/>
      <c r="L81" s="639"/>
      <c r="M81" s="639"/>
      <c r="N81" s="639"/>
      <c r="O81" s="639"/>
      <c r="P81" s="639"/>
      <c r="Q81" s="640"/>
      <c r="R81" s="593"/>
      <c r="S81" s="593"/>
      <c r="T81" s="644"/>
      <c r="U81" s="639"/>
      <c r="V81" s="639"/>
      <c r="W81" s="639"/>
      <c r="X81" s="639"/>
      <c r="Y81" s="639"/>
      <c r="Z81" s="639"/>
      <c r="AA81" s="639"/>
      <c r="AB81" s="639"/>
      <c r="AC81" s="640"/>
      <c r="AD81" s="639"/>
      <c r="AE81" s="639"/>
      <c r="AF81" s="639"/>
      <c r="AG81" s="639"/>
      <c r="AH81" s="639"/>
      <c r="AI81" s="639"/>
      <c r="AJ81" s="639"/>
      <c r="AK81" s="639"/>
      <c r="AL81" s="639"/>
      <c r="AM81" s="640"/>
    </row>
    <row r="82" spans="1:39" ht="12.75" customHeight="1">
      <c r="A82" s="592"/>
      <c r="B82" s="593"/>
      <c r="C82" s="593"/>
      <c r="D82" s="641"/>
      <c r="E82" s="642"/>
      <c r="F82" s="642"/>
      <c r="G82" s="642"/>
      <c r="H82" s="642"/>
      <c r="I82" s="642"/>
      <c r="J82" s="642"/>
      <c r="K82" s="642"/>
      <c r="L82" s="642"/>
      <c r="M82" s="642"/>
      <c r="N82" s="642"/>
      <c r="O82" s="642"/>
      <c r="P82" s="642"/>
      <c r="Q82" s="643"/>
      <c r="R82" s="593"/>
      <c r="S82" s="593"/>
      <c r="T82" s="641"/>
      <c r="U82" s="642"/>
      <c r="V82" s="642"/>
      <c r="W82" s="642"/>
      <c r="X82" s="642"/>
      <c r="Y82" s="642"/>
      <c r="Z82" s="642"/>
      <c r="AA82" s="642"/>
      <c r="AB82" s="642"/>
      <c r="AC82" s="643"/>
      <c r="AD82" s="642"/>
      <c r="AE82" s="642"/>
      <c r="AF82" s="642"/>
      <c r="AG82" s="642"/>
      <c r="AH82" s="642"/>
      <c r="AI82" s="642"/>
      <c r="AJ82" s="642"/>
      <c r="AK82" s="642"/>
      <c r="AL82" s="642"/>
      <c r="AM82" s="643"/>
    </row>
    <row r="83" spans="1:39" ht="12.75" customHeight="1">
      <c r="A83" s="592"/>
      <c r="B83" s="593"/>
      <c r="C83" s="593"/>
      <c r="D83" s="639" t="s">
        <v>72</v>
      </c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593"/>
      <c r="S83" s="593"/>
      <c r="T83" s="593"/>
      <c r="U83" s="593"/>
      <c r="V83" s="593"/>
      <c r="W83" s="593"/>
      <c r="X83" s="593"/>
      <c r="Y83" s="593"/>
      <c r="Z83" s="593"/>
      <c r="AA83" s="593"/>
      <c r="AB83" s="593"/>
      <c r="AC83" s="593"/>
      <c r="AD83" s="593"/>
      <c r="AE83" s="593"/>
      <c r="AF83" s="593"/>
      <c r="AG83" s="593"/>
      <c r="AH83" s="593"/>
      <c r="AI83" s="593"/>
      <c r="AJ83" s="593"/>
      <c r="AK83" s="593"/>
      <c r="AL83" s="593"/>
      <c r="AM83" s="593"/>
    </row>
    <row r="84" spans="1:39" ht="15">
      <c r="A84" s="592"/>
      <c r="B84" s="592"/>
      <c r="C84" s="592"/>
      <c r="D84" s="604"/>
      <c r="E84" s="592"/>
      <c r="F84" s="604"/>
      <c r="G84" s="604"/>
      <c r="H84" s="592"/>
      <c r="I84" s="604"/>
      <c r="J84" s="604"/>
      <c r="K84" s="604"/>
      <c r="L84" s="604"/>
      <c r="M84" s="604"/>
      <c r="N84" s="604"/>
      <c r="O84" s="592"/>
      <c r="P84" s="592"/>
      <c r="Q84" s="604"/>
      <c r="R84" s="592"/>
      <c r="S84" s="604"/>
      <c r="T84" s="604"/>
      <c r="U84" s="604"/>
      <c r="V84" s="592"/>
      <c r="W84" s="592"/>
      <c r="X84" s="592"/>
      <c r="Y84" s="604"/>
      <c r="Z84" s="592"/>
      <c r="AA84" s="604"/>
      <c r="AB84" s="592"/>
      <c r="AC84" s="592"/>
      <c r="AD84" s="604"/>
      <c r="AE84" s="604"/>
      <c r="AF84" s="592"/>
      <c r="AG84" s="592"/>
      <c r="AH84" s="604"/>
      <c r="AI84" s="592"/>
      <c r="AJ84" s="592"/>
      <c r="AK84" s="592"/>
      <c r="AL84" s="592"/>
      <c r="AM84" s="592"/>
    </row>
  </sheetData>
  <mergeCells count="106">
    <mergeCell ref="D10:I10"/>
    <mergeCell ref="J10:P10"/>
    <mergeCell ref="R10:U10"/>
    <mergeCell ref="V10:AB10"/>
    <mergeCell ref="AC10:AG10"/>
    <mergeCell ref="AH10:AM10"/>
    <mergeCell ref="B4:I4"/>
    <mergeCell ref="J4:AM4"/>
    <mergeCell ref="C7:I7"/>
    <mergeCell ref="J7:Y7"/>
    <mergeCell ref="AA7:AC7"/>
    <mergeCell ref="AD7:AM7"/>
    <mergeCell ref="E20:M20"/>
    <mergeCell ref="Q20:V20"/>
    <mergeCell ref="Z20:AK20"/>
    <mergeCell ref="AL20:AM20"/>
    <mergeCell ref="F24:H24"/>
    <mergeCell ref="I24:P24"/>
    <mergeCell ref="W24:AK24"/>
    <mergeCell ref="E13:K13"/>
    <mergeCell ref="W13:X13"/>
    <mergeCell ref="Y13:AD13"/>
    <mergeCell ref="AF13:AG13"/>
    <mergeCell ref="AH13:AM13"/>
    <mergeCell ref="E16:P16"/>
    <mergeCell ref="U16:Z16"/>
    <mergeCell ref="G29:N29"/>
    <mergeCell ref="S29:Z29"/>
    <mergeCell ref="AE29:AL29"/>
    <mergeCell ref="D32:AD32"/>
    <mergeCell ref="AE32:AM32"/>
    <mergeCell ref="D33:AD33"/>
    <mergeCell ref="AE33:AM33"/>
    <mergeCell ref="F25:H25"/>
    <mergeCell ref="I25:P25"/>
    <mergeCell ref="W25:AK25"/>
    <mergeCell ref="G28:N28"/>
    <mergeCell ref="S28:Z28"/>
    <mergeCell ref="AE28:AL28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59:AM59"/>
    <mergeCell ref="E64:G64"/>
    <mergeCell ref="K64:L64"/>
    <mergeCell ref="O64:Q64"/>
    <mergeCell ref="T64:V64"/>
    <mergeCell ref="Z64:AB64"/>
    <mergeCell ref="AG64:AH64"/>
    <mergeCell ref="D48:AM48"/>
    <mergeCell ref="D49:AM49"/>
    <mergeCell ref="D52:AM52"/>
    <mergeCell ref="D53:AM53"/>
    <mergeCell ref="D56:AM56"/>
    <mergeCell ref="D57:AM57"/>
    <mergeCell ref="AD71:AM71"/>
    <mergeCell ref="D72:Q72"/>
    <mergeCell ref="T72:AC72"/>
    <mergeCell ref="AD72:AM72"/>
    <mergeCell ref="D73:Q73"/>
    <mergeCell ref="T73:AC73"/>
    <mergeCell ref="AD73:AM73"/>
    <mergeCell ref="C66:W66"/>
    <mergeCell ref="X66:AM66"/>
    <mergeCell ref="D69:Q69"/>
    <mergeCell ref="T69:AM69"/>
    <mergeCell ref="D70:Q70"/>
    <mergeCell ref="T70:AC70"/>
    <mergeCell ref="AD70:AM70"/>
    <mergeCell ref="A1:AN2"/>
    <mergeCell ref="AD81:AM81"/>
    <mergeCell ref="T82:AC82"/>
    <mergeCell ref="AD82:AM82"/>
    <mergeCell ref="D83:Q83"/>
    <mergeCell ref="T77:AC77"/>
    <mergeCell ref="AD77:AM77"/>
    <mergeCell ref="D78:Q82"/>
    <mergeCell ref="T78:AC78"/>
    <mergeCell ref="AD78:AM78"/>
    <mergeCell ref="T79:AC79"/>
    <mergeCell ref="AD79:AM79"/>
    <mergeCell ref="T80:AC80"/>
    <mergeCell ref="AD80:AM80"/>
    <mergeCell ref="T81:AC81"/>
    <mergeCell ref="T74:AC74"/>
    <mergeCell ref="AD74:AM74"/>
    <mergeCell ref="D75:Q75"/>
    <mergeCell ref="T75:AC75"/>
    <mergeCell ref="AD75:AM75"/>
    <mergeCell ref="D76:Q76"/>
    <mergeCell ref="T76:AC76"/>
    <mergeCell ref="AD76:AM76"/>
    <mergeCell ref="T71:AC71"/>
  </mergeCells>
  <pageMargins left="0.70866141732279997" right="0.70866141732279997" top="0.74803149606300001" bottom="0.74803149606300001" header="0.31496062992129997" footer="0.31496062992129997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GridLines="0" topLeftCell="A19" workbookViewId="0">
      <selection sqref="A1:T2"/>
    </sheetView>
  </sheetViews>
  <sheetFormatPr baseColWidth="10" defaultColWidth="11.42578125" defaultRowHeight="15.75" customHeight="1"/>
  <cols>
    <col min="1" max="1" width="4.85546875" style="10" customWidth="1" collapsed="1"/>
    <col min="2" max="2" width="47.5703125" style="10" customWidth="1" collapsed="1"/>
    <col min="3" max="3" width="1.5703125" style="215" customWidth="1" collapsed="1"/>
    <col min="4" max="9" width="3.42578125" style="10" customWidth="1" collapsed="1"/>
    <col min="10" max="10" width="1.5703125" style="10" customWidth="1" collapsed="1"/>
    <col min="11" max="11" width="4.42578125" style="10" customWidth="1" collapsed="1"/>
    <col min="12" max="12" width="25.5703125" style="10" customWidth="1" collapsed="1"/>
    <col min="13" max="13" width="20.5703125" style="10" customWidth="1" collapsed="1"/>
    <col min="14" max="19" width="2.5703125" style="10" customWidth="1" collapsed="1"/>
    <col min="20" max="20" width="4.42578125" style="10" customWidth="1" collapsed="1"/>
    <col min="21" max="256" width="11.42578125" style="10" customWidth="1" collapsed="1"/>
    <col min="257" max="16384" width="11.42578125" style="10" collapsed="1"/>
  </cols>
  <sheetData>
    <row r="1" spans="1:256" s="363" customFormat="1" ht="12.75" customHeight="1">
      <c r="A1" s="676" t="s">
        <v>1103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7"/>
      <c r="BI1" s="367"/>
      <c r="BJ1" s="367"/>
      <c r="BK1" s="367"/>
      <c r="BL1" s="367"/>
      <c r="BM1" s="367"/>
      <c r="BN1" s="367"/>
      <c r="BO1" s="367"/>
      <c r="BP1" s="367"/>
      <c r="BQ1" s="367"/>
      <c r="BR1" s="367"/>
      <c r="BS1" s="367"/>
      <c r="BT1" s="367"/>
      <c r="BU1" s="367"/>
      <c r="BV1" s="367"/>
      <c r="BW1" s="367"/>
      <c r="BX1" s="367"/>
      <c r="BY1" s="367"/>
      <c r="BZ1" s="367"/>
      <c r="CA1" s="367"/>
      <c r="CB1" s="367"/>
      <c r="CC1" s="367"/>
      <c r="CD1" s="367"/>
      <c r="CE1" s="367"/>
      <c r="CF1" s="367"/>
      <c r="CG1" s="367"/>
      <c r="CH1" s="367"/>
      <c r="CI1" s="367"/>
      <c r="CJ1" s="367"/>
      <c r="CK1" s="367"/>
      <c r="CL1" s="367"/>
      <c r="CM1" s="367"/>
      <c r="CN1" s="367"/>
      <c r="CO1" s="367"/>
      <c r="CP1" s="367"/>
      <c r="CQ1" s="367"/>
      <c r="CR1" s="367"/>
      <c r="CS1" s="367"/>
      <c r="CT1" s="367"/>
      <c r="CU1" s="367"/>
      <c r="CV1" s="367"/>
      <c r="CW1" s="367"/>
      <c r="CX1" s="367"/>
      <c r="CY1" s="367"/>
      <c r="CZ1" s="367"/>
      <c r="DA1" s="367"/>
      <c r="DB1" s="367"/>
      <c r="DC1" s="367"/>
      <c r="DD1" s="367"/>
      <c r="DE1" s="367"/>
      <c r="DF1" s="367"/>
      <c r="DG1" s="367"/>
      <c r="DH1" s="367"/>
      <c r="DI1" s="367"/>
      <c r="DJ1" s="367"/>
      <c r="DK1" s="367"/>
      <c r="DL1" s="367"/>
      <c r="DM1" s="367"/>
      <c r="DN1" s="367"/>
      <c r="DO1" s="367"/>
      <c r="DP1" s="367"/>
      <c r="DQ1" s="367"/>
      <c r="DR1" s="367"/>
      <c r="DS1" s="367"/>
      <c r="DT1" s="367"/>
      <c r="DU1" s="367"/>
      <c r="DV1" s="367"/>
      <c r="DW1" s="367"/>
      <c r="DX1" s="367"/>
      <c r="DY1" s="367"/>
      <c r="DZ1" s="367"/>
      <c r="EA1" s="367"/>
      <c r="EB1" s="367"/>
      <c r="EC1" s="367"/>
      <c r="ED1" s="367"/>
      <c r="EE1" s="367"/>
      <c r="EF1" s="367"/>
      <c r="EG1" s="367"/>
      <c r="EH1" s="367"/>
      <c r="EI1" s="367"/>
      <c r="EJ1" s="367"/>
      <c r="EK1" s="367"/>
      <c r="EL1" s="367"/>
      <c r="EM1" s="367"/>
      <c r="EN1" s="367"/>
      <c r="EO1" s="367"/>
      <c r="EP1" s="367"/>
      <c r="EQ1" s="367"/>
      <c r="ER1" s="367"/>
      <c r="ES1" s="367"/>
      <c r="ET1" s="367"/>
      <c r="EU1" s="367"/>
      <c r="EV1" s="367"/>
      <c r="EW1" s="367"/>
      <c r="EX1" s="367"/>
      <c r="EY1" s="367"/>
      <c r="EZ1" s="367"/>
      <c r="FA1" s="367"/>
      <c r="FB1" s="367"/>
      <c r="FC1" s="367"/>
      <c r="FD1" s="367"/>
      <c r="FE1" s="367"/>
      <c r="FF1" s="367"/>
      <c r="FG1" s="367"/>
      <c r="FH1" s="367"/>
      <c r="FI1" s="367"/>
      <c r="FJ1" s="367"/>
      <c r="FK1" s="367"/>
      <c r="FL1" s="367"/>
      <c r="FM1" s="367"/>
      <c r="FN1" s="367"/>
      <c r="FO1" s="367"/>
      <c r="FP1" s="367"/>
      <c r="FQ1" s="367"/>
      <c r="FR1" s="367"/>
      <c r="FS1" s="367"/>
      <c r="FT1" s="367"/>
      <c r="FU1" s="367"/>
      <c r="FV1" s="367"/>
      <c r="FW1" s="367"/>
      <c r="FX1" s="367"/>
      <c r="FY1" s="367"/>
      <c r="FZ1" s="367"/>
      <c r="GA1" s="367"/>
      <c r="GB1" s="367"/>
      <c r="GC1" s="367"/>
      <c r="GD1" s="367"/>
      <c r="GE1" s="367"/>
      <c r="GF1" s="367"/>
      <c r="GG1" s="367"/>
      <c r="GH1" s="367"/>
      <c r="GI1" s="367"/>
      <c r="GJ1" s="367"/>
      <c r="GK1" s="367"/>
      <c r="GL1" s="367"/>
      <c r="GM1" s="367"/>
      <c r="GN1" s="367"/>
      <c r="GO1" s="367"/>
      <c r="GP1" s="367"/>
      <c r="GQ1" s="367"/>
      <c r="GR1" s="367"/>
      <c r="GS1" s="367"/>
      <c r="GT1" s="367"/>
      <c r="GU1" s="367"/>
      <c r="GV1" s="367"/>
      <c r="GW1" s="367"/>
      <c r="GX1" s="367"/>
      <c r="GY1" s="367"/>
      <c r="GZ1" s="367"/>
      <c r="HA1" s="367"/>
      <c r="HB1" s="367"/>
      <c r="HC1" s="367"/>
      <c r="HD1" s="367"/>
      <c r="HE1" s="367"/>
      <c r="HF1" s="367"/>
      <c r="HG1" s="367"/>
      <c r="HH1" s="367"/>
      <c r="HI1" s="367"/>
      <c r="HJ1" s="367"/>
      <c r="HK1" s="367"/>
      <c r="HL1" s="367"/>
      <c r="HM1" s="367"/>
      <c r="HN1" s="367"/>
      <c r="HO1" s="367"/>
      <c r="HP1" s="367"/>
      <c r="HQ1" s="367"/>
      <c r="HR1" s="367"/>
      <c r="HS1" s="367"/>
      <c r="HT1" s="367"/>
      <c r="HU1" s="367"/>
      <c r="HV1" s="367"/>
      <c r="HW1" s="367"/>
      <c r="HX1" s="367"/>
      <c r="HY1" s="367"/>
      <c r="HZ1" s="367"/>
      <c r="IA1" s="367"/>
      <c r="IB1" s="367"/>
      <c r="IC1" s="367"/>
      <c r="ID1" s="367"/>
      <c r="IE1" s="367"/>
      <c r="IF1" s="367"/>
      <c r="IG1" s="367"/>
      <c r="IH1" s="367"/>
      <c r="II1" s="367"/>
      <c r="IJ1" s="367"/>
      <c r="IK1" s="367"/>
      <c r="IL1" s="367"/>
      <c r="IM1" s="367"/>
      <c r="IN1" s="367"/>
      <c r="IO1" s="367"/>
      <c r="IP1" s="367"/>
      <c r="IQ1" s="367"/>
      <c r="IR1" s="367"/>
      <c r="IS1" s="367"/>
      <c r="IT1" s="367"/>
      <c r="IU1" s="367"/>
      <c r="IV1" s="367"/>
    </row>
    <row r="2" spans="1:256" s="363" customFormat="1" ht="14.85" customHeight="1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367"/>
      <c r="AL2" s="367"/>
      <c r="AM2" s="367"/>
      <c r="AN2" s="367"/>
      <c r="AO2" s="367"/>
      <c r="AP2" s="367"/>
      <c r="AQ2" s="367"/>
      <c r="AR2" s="367"/>
      <c r="AS2" s="367"/>
      <c r="AT2" s="367"/>
      <c r="AU2" s="367"/>
      <c r="AV2" s="367"/>
      <c r="AW2" s="367"/>
      <c r="AX2" s="367"/>
      <c r="AY2" s="367"/>
      <c r="AZ2" s="367"/>
      <c r="BA2" s="367"/>
      <c r="BB2" s="367"/>
      <c r="BC2" s="367"/>
      <c r="BD2" s="367"/>
      <c r="BE2" s="367"/>
      <c r="BF2" s="367"/>
      <c r="BG2" s="367"/>
      <c r="BH2" s="367"/>
      <c r="BI2" s="367"/>
      <c r="BJ2" s="367"/>
      <c r="BK2" s="367"/>
      <c r="BL2" s="367"/>
      <c r="BM2" s="367"/>
      <c r="BN2" s="367"/>
      <c r="BO2" s="367"/>
      <c r="BP2" s="367"/>
      <c r="BQ2" s="367"/>
      <c r="BR2" s="367"/>
      <c r="BS2" s="367"/>
      <c r="BT2" s="367"/>
      <c r="BU2" s="367"/>
      <c r="BV2" s="367"/>
      <c r="BW2" s="367"/>
      <c r="BX2" s="367"/>
      <c r="BY2" s="367"/>
      <c r="BZ2" s="367"/>
      <c r="CA2" s="367"/>
      <c r="CB2" s="367"/>
      <c r="CC2" s="367"/>
      <c r="CD2" s="367"/>
      <c r="CE2" s="367"/>
      <c r="CF2" s="367"/>
      <c r="CG2" s="367"/>
      <c r="CH2" s="367"/>
      <c r="CI2" s="367"/>
      <c r="CJ2" s="367"/>
      <c r="CK2" s="367"/>
      <c r="CL2" s="367"/>
      <c r="CM2" s="367"/>
      <c r="CN2" s="367"/>
      <c r="CO2" s="367"/>
      <c r="CP2" s="367"/>
      <c r="CQ2" s="367"/>
      <c r="CR2" s="367"/>
      <c r="CS2" s="367"/>
      <c r="CT2" s="367"/>
      <c r="CU2" s="367"/>
      <c r="CV2" s="367"/>
      <c r="CW2" s="367"/>
      <c r="CX2" s="367"/>
      <c r="CY2" s="367"/>
      <c r="CZ2" s="367"/>
      <c r="DA2" s="367"/>
      <c r="DB2" s="367"/>
      <c r="DC2" s="367"/>
      <c r="DD2" s="367"/>
      <c r="DE2" s="367"/>
      <c r="DF2" s="367"/>
      <c r="DG2" s="367"/>
      <c r="DH2" s="367"/>
      <c r="DI2" s="367"/>
      <c r="DJ2" s="367"/>
      <c r="DK2" s="367"/>
      <c r="DL2" s="367"/>
      <c r="DM2" s="367"/>
      <c r="DN2" s="367"/>
      <c r="DO2" s="367"/>
      <c r="DP2" s="367"/>
      <c r="DQ2" s="367"/>
      <c r="DR2" s="367"/>
      <c r="DS2" s="367"/>
      <c r="DT2" s="367"/>
      <c r="DU2" s="367"/>
      <c r="DV2" s="367"/>
      <c r="DW2" s="367"/>
      <c r="DX2" s="367"/>
      <c r="DY2" s="367"/>
      <c r="DZ2" s="367"/>
      <c r="EA2" s="367"/>
      <c r="EB2" s="367"/>
      <c r="EC2" s="367"/>
      <c r="ED2" s="367"/>
      <c r="EE2" s="367"/>
      <c r="EF2" s="367"/>
      <c r="EG2" s="367"/>
      <c r="EH2" s="367"/>
      <c r="EI2" s="367"/>
      <c r="EJ2" s="367"/>
      <c r="EK2" s="367"/>
      <c r="EL2" s="367"/>
      <c r="EM2" s="367"/>
      <c r="EN2" s="367"/>
      <c r="EO2" s="367"/>
      <c r="EP2" s="367"/>
      <c r="EQ2" s="367"/>
      <c r="ER2" s="367"/>
      <c r="ES2" s="367"/>
      <c r="ET2" s="367"/>
      <c r="EU2" s="367"/>
      <c r="EV2" s="367"/>
      <c r="EW2" s="367"/>
      <c r="EX2" s="367"/>
      <c r="EY2" s="367"/>
      <c r="EZ2" s="367"/>
      <c r="FA2" s="367"/>
      <c r="FB2" s="367"/>
      <c r="FC2" s="367"/>
      <c r="FD2" s="367"/>
      <c r="FE2" s="367"/>
      <c r="FF2" s="367"/>
      <c r="FG2" s="367"/>
      <c r="FH2" s="367"/>
      <c r="FI2" s="367"/>
      <c r="FJ2" s="367"/>
      <c r="FK2" s="367"/>
      <c r="FL2" s="367"/>
      <c r="FM2" s="367"/>
      <c r="FN2" s="367"/>
      <c r="FO2" s="367"/>
      <c r="FP2" s="367"/>
      <c r="FQ2" s="367"/>
      <c r="FR2" s="367"/>
      <c r="FS2" s="367"/>
      <c r="FT2" s="367"/>
      <c r="FU2" s="367"/>
      <c r="FV2" s="367"/>
      <c r="FW2" s="367"/>
      <c r="FX2" s="367"/>
      <c r="FY2" s="367"/>
      <c r="FZ2" s="367"/>
      <c r="GA2" s="367"/>
      <c r="GB2" s="367"/>
      <c r="GC2" s="367"/>
      <c r="GD2" s="367"/>
      <c r="GE2" s="367"/>
      <c r="GF2" s="367"/>
      <c r="GG2" s="367"/>
      <c r="GH2" s="367"/>
      <c r="GI2" s="367"/>
      <c r="GJ2" s="367"/>
      <c r="GK2" s="367"/>
      <c r="GL2" s="367"/>
      <c r="GM2" s="367"/>
      <c r="GN2" s="367"/>
      <c r="GO2" s="367"/>
      <c r="GP2" s="367"/>
      <c r="GQ2" s="367"/>
      <c r="GR2" s="367"/>
      <c r="GS2" s="367"/>
      <c r="GT2" s="367"/>
      <c r="GU2" s="367"/>
      <c r="GV2" s="367"/>
      <c r="GW2" s="367"/>
      <c r="GX2" s="367"/>
      <c r="GY2" s="367"/>
      <c r="GZ2" s="367"/>
      <c r="HA2" s="367"/>
      <c r="HB2" s="367"/>
      <c r="HC2" s="367"/>
      <c r="HD2" s="367"/>
      <c r="HE2" s="367"/>
      <c r="HF2" s="367"/>
      <c r="HG2" s="367"/>
      <c r="HH2" s="367"/>
      <c r="HI2" s="367"/>
      <c r="HJ2" s="367"/>
      <c r="HK2" s="367"/>
      <c r="HL2" s="367"/>
      <c r="HM2" s="367"/>
      <c r="HN2" s="367"/>
      <c r="HO2" s="367"/>
      <c r="HP2" s="367"/>
      <c r="HQ2" s="367"/>
      <c r="HR2" s="367"/>
      <c r="HS2" s="367"/>
      <c r="HT2" s="367"/>
      <c r="HU2" s="367"/>
      <c r="HV2" s="367"/>
      <c r="HW2" s="367"/>
      <c r="HX2" s="367"/>
      <c r="HY2" s="367"/>
      <c r="HZ2" s="367"/>
      <c r="IA2" s="367"/>
      <c r="IB2" s="367"/>
      <c r="IC2" s="367"/>
      <c r="ID2" s="367"/>
      <c r="IE2" s="367"/>
      <c r="IF2" s="367"/>
      <c r="IG2" s="367"/>
      <c r="IH2" s="367"/>
      <c r="II2" s="367"/>
      <c r="IJ2" s="367"/>
      <c r="IK2" s="367"/>
      <c r="IL2" s="367"/>
      <c r="IM2" s="367"/>
      <c r="IN2" s="367"/>
      <c r="IO2" s="367"/>
      <c r="IP2" s="367"/>
      <c r="IQ2" s="367"/>
      <c r="IR2" s="367"/>
      <c r="IS2" s="367"/>
      <c r="IT2" s="367"/>
      <c r="IU2" s="367"/>
      <c r="IV2" s="367"/>
    </row>
    <row r="4" spans="1:256" ht="17.100000000000001" customHeight="1">
      <c r="B4" s="10" t="s">
        <v>1233</v>
      </c>
      <c r="C4" s="681" t="str">
        <f>+'Page de garde'!L35</f>
        <v>MANDINGA RESSOURCES SARL</v>
      </c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</row>
    <row r="5" spans="1:256" ht="17.100000000000001" customHeight="1">
      <c r="B5" s="10" t="s">
        <v>73</v>
      </c>
    </row>
    <row r="6" spans="1:256" ht="17.100000000000001" customHeight="1">
      <c r="B6" s="681" t="str">
        <f>'Fiche de renseignement R1'!J7</f>
        <v>4296 Pt E Dakar</v>
      </c>
      <c r="C6" s="682"/>
      <c r="D6" s="682"/>
      <c r="E6" s="682"/>
      <c r="F6" s="682"/>
      <c r="G6" s="682"/>
      <c r="H6" s="682"/>
      <c r="I6" s="682"/>
      <c r="J6" s="682"/>
      <c r="K6" s="682"/>
      <c r="L6" s="11" t="s">
        <v>74</v>
      </c>
      <c r="M6" s="681" t="str">
        <f>+'Page de garde'!H41</f>
        <v>MANDINGA</v>
      </c>
      <c r="N6" s="682"/>
      <c r="O6" s="682"/>
      <c r="P6" s="682"/>
      <c r="Q6" s="682"/>
      <c r="R6" s="682"/>
      <c r="S6" s="682"/>
    </row>
    <row r="7" spans="1:256" ht="17.100000000000001" customHeight="1">
      <c r="B7" s="10" t="s">
        <v>75</v>
      </c>
      <c r="L7" s="10" t="s">
        <v>76</v>
      </c>
      <c r="M7" s="208"/>
    </row>
    <row r="8" spans="1:256" ht="17.100000000000001" customHeight="1">
      <c r="B8" s="681" t="str">
        <f>+'Fiche de renseignement R1'!$J$10</f>
        <v>006495693</v>
      </c>
      <c r="C8" s="682"/>
      <c r="D8" s="682"/>
      <c r="E8" s="682"/>
      <c r="F8" s="682"/>
      <c r="G8" s="682"/>
      <c r="H8" s="682"/>
      <c r="I8" s="682"/>
      <c r="L8" s="411">
        <f>'Fiche de renseignement R1'!V10</f>
        <v>45657</v>
      </c>
      <c r="M8" s="10" t="s">
        <v>28</v>
      </c>
      <c r="N8" s="683">
        <f>'Fiche de renseignement R1'!AH10</f>
        <v>12</v>
      </c>
      <c r="O8" s="684"/>
      <c r="P8" s="684"/>
      <c r="Q8" s="684"/>
      <c r="R8" s="684"/>
      <c r="S8" s="684"/>
    </row>
    <row r="9" spans="1:256" ht="17.100000000000001" customHeight="1">
      <c r="B9" s="368"/>
      <c r="C9" s="356"/>
      <c r="D9" s="356"/>
      <c r="E9" s="356"/>
      <c r="F9" s="356"/>
      <c r="G9" s="356"/>
      <c r="H9" s="356"/>
      <c r="I9" s="356"/>
      <c r="L9" s="369"/>
      <c r="N9" s="283"/>
    </row>
    <row r="10" spans="1:256" ht="17.100000000000001" customHeight="1">
      <c r="A10" s="691" t="s">
        <v>1104</v>
      </c>
      <c r="B10" s="691"/>
      <c r="C10" s="691"/>
      <c r="D10" s="691"/>
      <c r="E10" s="691"/>
      <c r="F10" s="691"/>
      <c r="G10" s="691"/>
      <c r="H10" s="691"/>
      <c r="I10" s="691"/>
      <c r="J10" s="691"/>
      <c r="K10" s="691"/>
      <c r="L10" s="691"/>
      <c r="M10" s="691"/>
      <c r="N10" s="691"/>
      <c r="O10" s="691"/>
      <c r="P10" s="691"/>
      <c r="Q10" s="691"/>
    </row>
    <row r="11" spans="1:256" ht="17.100000000000001" customHeight="1"/>
    <row r="12" spans="1:256" ht="17.100000000000001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23"/>
      <c r="L12" s="680" t="s">
        <v>77</v>
      </c>
      <c r="M12" s="680"/>
      <c r="N12" s="680"/>
      <c r="O12" s="680"/>
      <c r="P12" s="680"/>
      <c r="Q12" s="680"/>
      <c r="R12" s="24"/>
      <c r="S12" s="25"/>
    </row>
    <row r="13" spans="1:256" ht="8.1" customHeight="1">
      <c r="A13" s="15"/>
      <c r="C13" s="10"/>
      <c r="K13" s="15"/>
      <c r="S13" s="16"/>
    </row>
    <row r="14" spans="1:256" ht="17.100000000000001" customHeight="1">
      <c r="A14" s="17" t="s">
        <v>78</v>
      </c>
      <c r="B14" s="10" t="s">
        <v>811</v>
      </c>
      <c r="C14" s="10"/>
      <c r="F14" s="412" t="s">
        <v>1252</v>
      </c>
      <c r="G14" s="413" t="s">
        <v>1253</v>
      </c>
      <c r="K14" s="15" t="s">
        <v>79</v>
      </c>
      <c r="L14" s="10" t="s">
        <v>80</v>
      </c>
      <c r="Q14" s="685"/>
      <c r="R14" s="686"/>
      <c r="S14" s="16"/>
    </row>
    <row r="15" spans="1:256" ht="17.100000000000001" customHeight="1">
      <c r="A15" s="17"/>
      <c r="C15" s="10"/>
      <c r="K15" s="15"/>
      <c r="S15" s="16"/>
    </row>
    <row r="16" spans="1:256" ht="17.100000000000001" customHeight="1">
      <c r="A16" s="17" t="s">
        <v>81</v>
      </c>
      <c r="B16" s="10" t="s">
        <v>812</v>
      </c>
      <c r="C16" s="10"/>
      <c r="F16" s="413"/>
      <c r="K16" s="15" t="s">
        <v>82</v>
      </c>
      <c r="L16" s="10" t="s">
        <v>83</v>
      </c>
      <c r="Q16" s="685"/>
      <c r="R16" s="686"/>
      <c r="S16" s="16"/>
    </row>
    <row r="17" spans="1:20" ht="17.100000000000001" customHeight="1">
      <c r="A17" s="17"/>
      <c r="C17" s="10"/>
      <c r="K17" s="15"/>
      <c r="S17" s="16"/>
    </row>
    <row r="18" spans="1:20" ht="17.100000000000001" customHeight="1">
      <c r="A18" s="17" t="s">
        <v>84</v>
      </c>
      <c r="B18" s="10" t="s">
        <v>813</v>
      </c>
      <c r="C18" s="10"/>
      <c r="F18" s="412"/>
      <c r="G18" s="413"/>
      <c r="K18" s="15" t="s">
        <v>85</v>
      </c>
      <c r="L18" s="10" t="s">
        <v>86</v>
      </c>
      <c r="Q18" s="685"/>
      <c r="R18" s="686"/>
      <c r="S18" s="16"/>
    </row>
    <row r="19" spans="1:20" ht="17.100000000000001" customHeight="1">
      <c r="A19" s="17"/>
      <c r="C19" s="10"/>
      <c r="K19" s="15"/>
      <c r="S19" s="16"/>
    </row>
    <row r="20" spans="1:20" ht="17.100000000000001" customHeight="1">
      <c r="A20" s="17" t="s">
        <v>87</v>
      </c>
      <c r="B20" s="10" t="s">
        <v>88</v>
      </c>
      <c r="C20" s="10"/>
      <c r="F20" s="412" t="s">
        <v>810</v>
      </c>
      <c r="G20" s="413" t="s">
        <v>810</v>
      </c>
      <c r="K20" s="15"/>
      <c r="S20" s="16"/>
    </row>
    <row r="21" spans="1:20" ht="17.100000000000001" customHeight="1">
      <c r="A21" s="17"/>
      <c r="C21" s="10"/>
      <c r="K21" s="15"/>
      <c r="S21" s="16"/>
    </row>
    <row r="22" spans="1:20" ht="17.100000000000001" customHeight="1">
      <c r="A22" s="17" t="s">
        <v>89</v>
      </c>
      <c r="B22" s="10" t="s">
        <v>90</v>
      </c>
      <c r="C22" s="10"/>
      <c r="F22" s="414">
        <v>0</v>
      </c>
      <c r="G22" s="413" t="s">
        <v>810</v>
      </c>
      <c r="K22" s="15"/>
      <c r="S22" s="16"/>
    </row>
    <row r="23" spans="1:20" ht="17.100000000000001" customHeight="1">
      <c r="A23" s="17"/>
      <c r="B23" s="10" t="s">
        <v>91</v>
      </c>
      <c r="C23" s="10"/>
      <c r="K23" s="15"/>
      <c r="S23" s="16"/>
    </row>
    <row r="24" spans="1:20" ht="17.100000000000001" customHeight="1">
      <c r="A24" s="17"/>
      <c r="C24" s="10"/>
      <c r="K24" s="15"/>
      <c r="S24" s="16"/>
    </row>
    <row r="25" spans="1:20" ht="17.100000000000001" customHeight="1">
      <c r="A25" s="17" t="s">
        <v>92</v>
      </c>
      <c r="B25" s="10" t="s">
        <v>93</v>
      </c>
      <c r="C25" s="10"/>
      <c r="E25" s="412" t="s">
        <v>810</v>
      </c>
      <c r="F25" s="413" t="s">
        <v>810</v>
      </c>
      <c r="G25" s="412" t="s">
        <v>810</v>
      </c>
      <c r="H25" s="413" t="s">
        <v>810</v>
      </c>
      <c r="K25" s="15"/>
      <c r="S25" s="16"/>
    </row>
    <row r="26" spans="1:20" ht="17.100000000000001" customHeight="1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18"/>
      <c r="L26" s="20"/>
      <c r="M26" s="20"/>
      <c r="N26" s="20"/>
      <c r="O26" s="20"/>
      <c r="P26" s="20"/>
      <c r="Q26" s="20"/>
      <c r="R26" s="20"/>
      <c r="S26" s="21"/>
    </row>
    <row r="27" spans="1:20" ht="17.100000000000001" customHeight="1"/>
    <row r="28" spans="1:20" ht="17.100000000000001" customHeight="1">
      <c r="A28" s="687" t="s">
        <v>94</v>
      </c>
      <c r="B28" s="687"/>
      <c r="C28" s="687"/>
      <c r="D28" s="687"/>
      <c r="E28" s="687"/>
      <c r="F28" s="687"/>
      <c r="G28" s="687"/>
      <c r="H28" s="687"/>
      <c r="I28" s="687"/>
      <c r="J28" s="687"/>
      <c r="K28" s="687"/>
      <c r="L28" s="687"/>
      <c r="M28" s="687"/>
      <c r="N28" s="687"/>
      <c r="O28" s="687"/>
      <c r="P28" s="687"/>
      <c r="Q28" s="687"/>
      <c r="R28" s="687"/>
      <c r="S28" s="687"/>
      <c r="T28" s="687"/>
    </row>
    <row r="29" spans="1:20" ht="17.100000000000001" customHeight="1"/>
    <row r="30" spans="1:20" ht="29.1" customHeight="1">
      <c r="B30" s="286" t="s">
        <v>814</v>
      </c>
      <c r="C30" s="688" t="s">
        <v>815</v>
      </c>
      <c r="D30" s="688"/>
      <c r="E30" s="688"/>
      <c r="F30" s="688"/>
      <c r="G30" s="688"/>
      <c r="H30" s="688"/>
      <c r="I30" s="688"/>
      <c r="J30" s="688"/>
      <c r="K30" s="689" t="s">
        <v>95</v>
      </c>
      <c r="L30" s="690"/>
      <c r="M30" s="22" t="s">
        <v>96</v>
      </c>
    </row>
    <row r="31" spans="1:20" ht="17.100000000000001" customHeight="1">
      <c r="B31" s="15"/>
      <c r="C31" s="12"/>
      <c r="D31" s="13"/>
      <c r="E31" s="13"/>
      <c r="F31" s="13"/>
      <c r="G31" s="13"/>
      <c r="H31" s="13"/>
      <c r="I31" s="13"/>
      <c r="J31" s="14"/>
      <c r="K31" s="12"/>
      <c r="L31" s="13"/>
      <c r="M31" s="26"/>
    </row>
    <row r="32" spans="1:20" ht="17.100000000000001" customHeight="1">
      <c r="B32" s="15"/>
      <c r="C32" s="15"/>
      <c r="J32" s="16"/>
      <c r="K32" s="15"/>
      <c r="M32" s="26"/>
    </row>
    <row r="33" spans="2:13" ht="17.100000000000001" customHeight="1">
      <c r="B33" s="415" t="s">
        <v>1249</v>
      </c>
      <c r="C33" s="287"/>
      <c r="D33" s="412" t="s">
        <v>810</v>
      </c>
      <c r="E33" s="413" t="s">
        <v>810</v>
      </c>
      <c r="F33" s="412" t="s">
        <v>1254</v>
      </c>
      <c r="G33" s="413" t="s">
        <v>810</v>
      </c>
      <c r="H33" s="412" t="s">
        <v>810</v>
      </c>
      <c r="I33" s="413" t="s">
        <v>1255</v>
      </c>
      <c r="J33" s="16"/>
      <c r="K33" s="15"/>
      <c r="L33" s="416">
        <v>0</v>
      </c>
      <c r="M33" s="417" t="e">
        <f>+L33/$L$59</f>
        <v>#DIV/0!</v>
      </c>
    </row>
    <row r="34" spans="2:13" ht="17.100000000000001" customHeight="1">
      <c r="B34" s="15"/>
      <c r="C34" s="15"/>
      <c r="J34" s="16"/>
      <c r="K34" s="15"/>
      <c r="M34" s="26"/>
    </row>
    <row r="35" spans="2:13" ht="17.100000000000001" customHeight="1">
      <c r="B35" s="15"/>
      <c r="C35" s="15"/>
      <c r="J35" s="16"/>
      <c r="K35" s="15"/>
      <c r="M35" s="26"/>
    </row>
    <row r="36" spans="2:13" ht="17.100000000000001" customHeight="1">
      <c r="B36" s="287"/>
      <c r="C36" s="15"/>
      <c r="D36" s="218"/>
      <c r="E36" s="219"/>
      <c r="F36" s="218"/>
      <c r="G36" s="219"/>
      <c r="H36" s="218"/>
      <c r="I36" s="219"/>
      <c r="J36" s="16"/>
      <c r="K36" s="15"/>
      <c r="L36" s="283"/>
      <c r="M36" s="417" t="e">
        <f>+L36/$L$59</f>
        <v>#DIV/0!</v>
      </c>
    </row>
    <row r="37" spans="2:13" ht="17.100000000000001" customHeight="1">
      <c r="B37" s="15"/>
      <c r="C37" s="15"/>
      <c r="J37" s="16"/>
      <c r="K37" s="15"/>
      <c r="M37" s="26"/>
    </row>
    <row r="38" spans="2:13" ht="17.100000000000001" customHeight="1">
      <c r="B38" s="15"/>
      <c r="C38" s="15"/>
      <c r="J38" s="16"/>
      <c r="K38" s="15"/>
      <c r="M38" s="26"/>
    </row>
    <row r="39" spans="2:13" ht="17.100000000000001" customHeight="1">
      <c r="B39" s="287"/>
      <c r="C39" s="15"/>
      <c r="D39" s="218"/>
      <c r="E39" s="219"/>
      <c r="F39" s="218"/>
      <c r="G39" s="219"/>
      <c r="H39" s="218"/>
      <c r="I39" s="219"/>
      <c r="J39" s="16"/>
      <c r="K39" s="15"/>
      <c r="L39" s="283"/>
      <c r="M39" s="417" t="e">
        <f>+L39/$L$59</f>
        <v>#DIV/0!</v>
      </c>
    </row>
    <row r="40" spans="2:13" ht="17.100000000000001" customHeight="1">
      <c r="B40" s="15"/>
      <c r="C40" s="15"/>
      <c r="J40" s="16"/>
      <c r="K40" s="15"/>
      <c r="M40" s="26"/>
    </row>
    <row r="41" spans="2:13" ht="17.100000000000001" customHeight="1">
      <c r="B41" s="15"/>
      <c r="C41" s="15"/>
      <c r="J41" s="16"/>
      <c r="K41" s="15"/>
      <c r="M41" s="26"/>
    </row>
    <row r="42" spans="2:13" ht="17.100000000000001" customHeight="1">
      <c r="B42" s="15"/>
      <c r="C42" s="15"/>
      <c r="D42" s="18"/>
      <c r="E42" s="19"/>
      <c r="F42" s="18"/>
      <c r="G42" s="19"/>
      <c r="H42" s="18"/>
      <c r="I42" s="19"/>
      <c r="J42" s="16"/>
      <c r="K42" s="15"/>
      <c r="M42" s="417" t="e">
        <f>+L42/$L$59</f>
        <v>#DIV/0!</v>
      </c>
    </row>
    <row r="43" spans="2:13" ht="17.100000000000001" customHeight="1">
      <c r="B43" s="15"/>
      <c r="C43" s="15"/>
      <c r="J43" s="16"/>
      <c r="K43" s="15"/>
      <c r="M43" s="26"/>
    </row>
    <row r="44" spans="2:13" ht="17.100000000000001" customHeight="1">
      <c r="B44" s="15"/>
      <c r="C44" s="15"/>
      <c r="J44" s="16"/>
      <c r="K44" s="15"/>
      <c r="M44" s="26"/>
    </row>
    <row r="45" spans="2:13" ht="17.100000000000001" customHeight="1">
      <c r="B45" s="15"/>
      <c r="C45" s="15"/>
      <c r="D45" s="18"/>
      <c r="E45" s="19"/>
      <c r="F45" s="18"/>
      <c r="G45" s="19"/>
      <c r="H45" s="18"/>
      <c r="I45" s="19"/>
      <c r="J45" s="16"/>
      <c r="K45" s="15"/>
      <c r="M45" s="417" t="e">
        <f>+L45/$L$59</f>
        <v>#DIV/0!</v>
      </c>
    </row>
    <row r="46" spans="2:13" ht="17.100000000000001" customHeight="1">
      <c r="B46" s="15"/>
      <c r="C46" s="15"/>
      <c r="J46" s="16"/>
      <c r="K46" s="15"/>
      <c r="M46" s="26"/>
    </row>
    <row r="47" spans="2:13" ht="17.100000000000001" customHeight="1">
      <c r="B47" s="15"/>
      <c r="C47" s="15"/>
      <c r="J47" s="16"/>
      <c r="K47" s="15"/>
      <c r="M47" s="26"/>
    </row>
    <row r="48" spans="2:13" ht="17.100000000000001" customHeight="1">
      <c r="B48" s="15"/>
      <c r="C48" s="15"/>
      <c r="D48" s="18"/>
      <c r="E48" s="19"/>
      <c r="F48" s="18"/>
      <c r="G48" s="19"/>
      <c r="H48" s="18"/>
      <c r="I48" s="19"/>
      <c r="J48" s="16"/>
      <c r="K48" s="15"/>
      <c r="M48" s="417" t="e">
        <f>+L48/$L$59</f>
        <v>#DIV/0!</v>
      </c>
    </row>
    <row r="49" spans="2:13" ht="17.100000000000001" customHeight="1">
      <c r="B49" s="15"/>
      <c r="C49" s="15"/>
      <c r="J49" s="16"/>
      <c r="K49" s="15"/>
      <c r="M49" s="26"/>
    </row>
    <row r="50" spans="2:13" ht="17.100000000000001" customHeight="1">
      <c r="B50" s="15"/>
      <c r="C50" s="15"/>
      <c r="J50" s="16"/>
      <c r="K50" s="15"/>
      <c r="M50" s="26"/>
    </row>
    <row r="51" spans="2:13" ht="17.100000000000001" customHeight="1">
      <c r="B51" s="15"/>
      <c r="C51" s="15"/>
      <c r="D51" s="18"/>
      <c r="E51" s="19"/>
      <c r="F51" s="18"/>
      <c r="G51" s="19"/>
      <c r="H51" s="18"/>
      <c r="I51" s="19"/>
      <c r="J51" s="16"/>
      <c r="K51" s="15"/>
      <c r="M51" s="417" t="e">
        <f>+L51/$L$59</f>
        <v>#DIV/0!</v>
      </c>
    </row>
    <row r="52" spans="2:13" ht="17.100000000000001" customHeight="1">
      <c r="B52" s="15"/>
      <c r="C52" s="15"/>
      <c r="J52" s="16"/>
      <c r="K52" s="15"/>
      <c r="M52" s="26"/>
    </row>
    <row r="53" spans="2:13" ht="17.100000000000001" customHeight="1">
      <c r="B53" s="15"/>
      <c r="C53" s="15"/>
      <c r="J53" s="16"/>
      <c r="K53" s="15"/>
      <c r="M53" s="26"/>
    </row>
    <row r="54" spans="2:13" ht="17.100000000000001" customHeight="1">
      <c r="B54" s="15"/>
      <c r="C54" s="15"/>
      <c r="D54" s="18"/>
      <c r="E54" s="19"/>
      <c r="F54" s="18"/>
      <c r="G54" s="19"/>
      <c r="H54" s="18"/>
      <c r="I54" s="19"/>
      <c r="J54" s="16"/>
      <c r="K54" s="15"/>
      <c r="M54" s="417" t="e">
        <f>+L54/$L$59</f>
        <v>#DIV/0!</v>
      </c>
    </row>
    <row r="55" spans="2:13" ht="17.100000000000001" customHeight="1">
      <c r="B55" s="15"/>
      <c r="C55" s="15"/>
      <c r="J55" s="16"/>
      <c r="K55" s="15"/>
      <c r="M55" s="26"/>
    </row>
    <row r="56" spans="2:13" ht="17.100000000000001" customHeight="1">
      <c r="B56" s="18"/>
      <c r="C56" s="18"/>
      <c r="D56" s="20"/>
      <c r="E56" s="20"/>
      <c r="F56" s="20"/>
      <c r="G56" s="20"/>
      <c r="H56" s="20"/>
      <c r="I56" s="20"/>
      <c r="J56" s="21"/>
      <c r="K56" s="18"/>
      <c r="L56" s="20"/>
      <c r="M56" s="26"/>
    </row>
    <row r="57" spans="2:13" ht="17.100000000000001" customHeight="1">
      <c r="B57" s="12" t="s">
        <v>97</v>
      </c>
      <c r="C57" s="12"/>
      <c r="D57" s="13"/>
      <c r="E57" s="13"/>
      <c r="F57" s="13"/>
      <c r="G57" s="13"/>
      <c r="H57" s="13"/>
      <c r="I57" s="13"/>
      <c r="J57" s="14"/>
      <c r="K57" s="12"/>
      <c r="L57" s="13"/>
      <c r="M57" s="285"/>
    </row>
    <row r="58" spans="2:13" ht="17.100000000000001" customHeight="1">
      <c r="B58" s="18"/>
      <c r="C58" s="18"/>
      <c r="D58" s="20"/>
      <c r="E58" s="20"/>
      <c r="F58" s="20"/>
      <c r="G58" s="20"/>
      <c r="H58" s="20"/>
      <c r="I58" s="20"/>
      <c r="J58" s="21"/>
      <c r="K58" s="18"/>
      <c r="L58" s="20"/>
      <c r="M58" s="19"/>
    </row>
    <row r="59" spans="2:13" ht="17.100000000000001" customHeight="1">
      <c r="B59" s="15"/>
      <c r="C59" s="677" t="s">
        <v>98</v>
      </c>
      <c r="D59" s="678"/>
      <c r="E59" s="678"/>
      <c r="F59" s="678"/>
      <c r="G59" s="678"/>
      <c r="H59" s="678"/>
      <c r="I59" s="678"/>
      <c r="J59" s="679"/>
      <c r="K59" s="12"/>
      <c r="L59" s="284">
        <f>SUM(L32:L56)</f>
        <v>0</v>
      </c>
      <c r="M59" s="417" t="e">
        <f>SUM(M32:M57)</f>
        <v>#DIV/0!</v>
      </c>
    </row>
    <row r="60" spans="2:13" ht="17.100000000000001" customHeight="1">
      <c r="B60" s="18"/>
      <c r="C60" s="18"/>
      <c r="D60" s="20"/>
      <c r="E60" s="20"/>
      <c r="F60" s="20"/>
      <c r="G60" s="20"/>
      <c r="H60" s="20"/>
      <c r="I60" s="20"/>
      <c r="J60" s="21"/>
      <c r="K60" s="18"/>
      <c r="L60" s="20"/>
      <c r="M60" s="19"/>
    </row>
    <row r="61" spans="2:13" ht="17.100000000000001" customHeight="1"/>
    <row r="62" spans="2:13" ht="17.100000000000001" customHeight="1">
      <c r="B62" s="10" t="s">
        <v>99</v>
      </c>
    </row>
    <row r="63" spans="2:13" ht="17.100000000000001" customHeight="1">
      <c r="B63" s="10" t="s">
        <v>100</v>
      </c>
    </row>
    <row r="64" spans="2:13" ht="17.100000000000001" customHeight="1">
      <c r="B64" s="10" t="s">
        <v>101</v>
      </c>
    </row>
  </sheetData>
  <mergeCells count="15">
    <mergeCell ref="A1:T2"/>
    <mergeCell ref="C59:J59"/>
    <mergeCell ref="L12:Q12"/>
    <mergeCell ref="C4:S4"/>
    <mergeCell ref="B6:K6"/>
    <mergeCell ref="M6:S6"/>
    <mergeCell ref="B8:I8"/>
    <mergeCell ref="N8:S8"/>
    <mergeCell ref="Q14:R14"/>
    <mergeCell ref="Q16:R16"/>
    <mergeCell ref="Q18:R18"/>
    <mergeCell ref="A28:T28"/>
    <mergeCell ref="C30:J30"/>
    <mergeCell ref="K30:L30"/>
    <mergeCell ref="A10:Q10"/>
  </mergeCells>
  <pageMargins left="0.70866141732279997" right="0.70866141732279997" top="0.74803149606300001" bottom="0.74803149606300001" header="0.31496062992129997" footer="0.31496062992129997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GridLines="0" workbookViewId="0">
      <selection activeCell="A12" sqref="A12"/>
    </sheetView>
  </sheetViews>
  <sheetFormatPr baseColWidth="10" defaultColWidth="11.42578125" defaultRowHeight="13.35" customHeight="1"/>
  <cols>
    <col min="1" max="1" width="31.42578125" style="10" customWidth="1" collapsed="1"/>
    <col min="2" max="5" width="15.140625" style="10" customWidth="1" collapsed="1"/>
    <col min="6" max="256" width="11.42578125" style="10" customWidth="1" collapsed="1"/>
    <col min="257" max="16384" width="11.42578125" style="10" collapsed="1"/>
  </cols>
  <sheetData>
    <row r="1" spans="1:256" s="370" customFormat="1" ht="20.85" customHeight="1">
      <c r="A1" s="676" t="s">
        <v>1105</v>
      </c>
      <c r="B1" s="676"/>
      <c r="C1" s="676"/>
      <c r="D1" s="676"/>
      <c r="E1" s="676"/>
      <c r="F1" s="676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7"/>
      <c r="BI1" s="367"/>
      <c r="BJ1" s="367"/>
      <c r="BK1" s="367"/>
      <c r="BL1" s="367"/>
      <c r="BM1" s="367"/>
      <c r="BN1" s="367"/>
      <c r="BO1" s="367"/>
      <c r="BP1" s="367"/>
      <c r="BQ1" s="367"/>
      <c r="BR1" s="367"/>
      <c r="BS1" s="367"/>
      <c r="BT1" s="367"/>
      <c r="BU1" s="367"/>
      <c r="BV1" s="367"/>
      <c r="BW1" s="367"/>
      <c r="BX1" s="367"/>
      <c r="BY1" s="367"/>
      <c r="BZ1" s="367"/>
      <c r="CA1" s="367"/>
      <c r="CB1" s="367"/>
      <c r="CC1" s="367"/>
      <c r="CD1" s="367"/>
      <c r="CE1" s="367"/>
      <c r="CF1" s="367"/>
      <c r="CG1" s="367"/>
      <c r="CH1" s="367"/>
      <c r="CI1" s="367"/>
      <c r="CJ1" s="367"/>
      <c r="CK1" s="367"/>
      <c r="CL1" s="367"/>
      <c r="CM1" s="367"/>
      <c r="CN1" s="367"/>
      <c r="CO1" s="367"/>
      <c r="CP1" s="367"/>
      <c r="CQ1" s="367"/>
      <c r="CR1" s="367"/>
      <c r="CS1" s="367"/>
      <c r="CT1" s="367"/>
      <c r="CU1" s="367"/>
      <c r="CV1" s="367"/>
      <c r="CW1" s="367"/>
      <c r="CX1" s="367"/>
      <c r="CY1" s="367"/>
      <c r="CZ1" s="367"/>
      <c r="DA1" s="367"/>
      <c r="DB1" s="367"/>
      <c r="DC1" s="367"/>
      <c r="DD1" s="367"/>
      <c r="DE1" s="367"/>
      <c r="DF1" s="367"/>
      <c r="DG1" s="367"/>
      <c r="DH1" s="367"/>
      <c r="DI1" s="367"/>
      <c r="DJ1" s="367"/>
      <c r="DK1" s="367"/>
      <c r="DL1" s="367"/>
      <c r="DM1" s="367"/>
      <c r="DN1" s="367"/>
      <c r="DO1" s="367"/>
      <c r="DP1" s="367"/>
      <c r="DQ1" s="367"/>
      <c r="DR1" s="367"/>
      <c r="DS1" s="367"/>
      <c r="DT1" s="367"/>
      <c r="DU1" s="367"/>
      <c r="DV1" s="367"/>
      <c r="DW1" s="367"/>
      <c r="DX1" s="367"/>
      <c r="DY1" s="367"/>
      <c r="DZ1" s="367"/>
      <c r="EA1" s="367"/>
      <c r="EB1" s="367"/>
      <c r="EC1" s="367"/>
      <c r="ED1" s="367"/>
      <c r="EE1" s="367"/>
      <c r="EF1" s="367"/>
      <c r="EG1" s="367"/>
      <c r="EH1" s="367"/>
      <c r="EI1" s="367"/>
      <c r="EJ1" s="367"/>
      <c r="EK1" s="367"/>
      <c r="EL1" s="367"/>
      <c r="EM1" s="367"/>
      <c r="EN1" s="367"/>
      <c r="EO1" s="367"/>
      <c r="EP1" s="367"/>
      <c r="EQ1" s="367"/>
      <c r="ER1" s="367"/>
      <c r="ES1" s="367"/>
      <c r="ET1" s="367"/>
      <c r="EU1" s="367"/>
      <c r="EV1" s="367"/>
      <c r="EW1" s="367"/>
      <c r="EX1" s="367"/>
      <c r="EY1" s="367"/>
      <c r="EZ1" s="367"/>
      <c r="FA1" s="367"/>
      <c r="FB1" s="367"/>
      <c r="FC1" s="367"/>
      <c r="FD1" s="367"/>
      <c r="FE1" s="367"/>
      <c r="FF1" s="367"/>
      <c r="FG1" s="367"/>
      <c r="FH1" s="367"/>
      <c r="FI1" s="367"/>
      <c r="FJ1" s="367"/>
      <c r="FK1" s="367"/>
      <c r="FL1" s="367"/>
      <c r="FM1" s="367"/>
      <c r="FN1" s="367"/>
      <c r="FO1" s="367"/>
      <c r="FP1" s="367"/>
      <c r="FQ1" s="367"/>
      <c r="FR1" s="367"/>
      <c r="FS1" s="367"/>
      <c r="FT1" s="367"/>
      <c r="FU1" s="367"/>
      <c r="FV1" s="367"/>
      <c r="FW1" s="367"/>
      <c r="FX1" s="367"/>
      <c r="FY1" s="367"/>
      <c r="FZ1" s="367"/>
      <c r="GA1" s="367"/>
      <c r="GB1" s="367"/>
      <c r="GC1" s="367"/>
      <c r="GD1" s="367"/>
      <c r="GE1" s="367"/>
      <c r="GF1" s="367"/>
      <c r="GG1" s="367"/>
      <c r="GH1" s="367"/>
      <c r="GI1" s="367"/>
      <c r="GJ1" s="367"/>
      <c r="GK1" s="367"/>
      <c r="GL1" s="367"/>
      <c r="GM1" s="367"/>
      <c r="GN1" s="367"/>
      <c r="GO1" s="367"/>
      <c r="GP1" s="367"/>
      <c r="GQ1" s="367"/>
      <c r="GR1" s="367"/>
      <c r="GS1" s="367"/>
      <c r="GT1" s="367"/>
      <c r="GU1" s="367"/>
      <c r="GV1" s="367"/>
      <c r="GW1" s="367"/>
      <c r="GX1" s="367"/>
      <c r="GY1" s="367"/>
      <c r="GZ1" s="367"/>
      <c r="HA1" s="367"/>
      <c r="HB1" s="367"/>
      <c r="HC1" s="367"/>
      <c r="HD1" s="367"/>
      <c r="HE1" s="367"/>
      <c r="HF1" s="367"/>
      <c r="HG1" s="367"/>
      <c r="HH1" s="367"/>
      <c r="HI1" s="367"/>
      <c r="HJ1" s="367"/>
      <c r="HK1" s="367"/>
      <c r="HL1" s="367"/>
      <c r="HM1" s="367"/>
      <c r="HN1" s="367"/>
      <c r="HO1" s="367"/>
      <c r="HP1" s="367"/>
      <c r="HQ1" s="367"/>
      <c r="HR1" s="367"/>
      <c r="HS1" s="367"/>
      <c r="HT1" s="367"/>
      <c r="HU1" s="367"/>
      <c r="HV1" s="367"/>
      <c r="HW1" s="367"/>
      <c r="HX1" s="367"/>
      <c r="HY1" s="367"/>
      <c r="HZ1" s="367"/>
      <c r="IA1" s="367"/>
      <c r="IB1" s="367"/>
      <c r="IC1" s="367"/>
      <c r="ID1" s="367"/>
      <c r="IE1" s="367"/>
      <c r="IF1" s="367"/>
      <c r="IG1" s="367"/>
      <c r="IH1" s="367"/>
      <c r="II1" s="367"/>
      <c r="IJ1" s="367"/>
      <c r="IK1" s="367"/>
      <c r="IL1" s="367"/>
      <c r="IM1" s="367"/>
      <c r="IN1" s="367"/>
      <c r="IO1" s="367"/>
      <c r="IP1" s="367"/>
      <c r="IQ1" s="367"/>
      <c r="IR1" s="367"/>
      <c r="IS1" s="367"/>
      <c r="IT1" s="367"/>
      <c r="IU1" s="367"/>
      <c r="IV1" s="367"/>
    </row>
    <row r="2" spans="1:256" ht="12.75"/>
    <row r="3" spans="1:256" ht="16.350000000000001" customHeight="1">
      <c r="A3" s="10" t="s">
        <v>24</v>
      </c>
      <c r="B3" s="681" t="str">
        <f>'Fiche de renseignement R1'!$J$4</f>
        <v>MANDINGA RESSOURCES SARL</v>
      </c>
      <c r="C3" s="682"/>
      <c r="D3" s="682"/>
      <c r="E3" s="682"/>
      <c r="F3" s="682"/>
    </row>
    <row r="4" spans="1:256" ht="17.100000000000001" customHeight="1">
      <c r="A4" s="10" t="s">
        <v>25</v>
      </c>
      <c r="B4" s="681" t="str">
        <f>'Fiche de renseignement R1'!J7</f>
        <v>4296 Pt E Dakar</v>
      </c>
      <c r="C4" s="682"/>
      <c r="D4" s="10" t="s">
        <v>26</v>
      </c>
      <c r="E4" s="681" t="str">
        <f>'Fiche de renseignement R1'!AD7</f>
        <v>MANDINGA</v>
      </c>
      <c r="F4" s="706"/>
    </row>
    <row r="5" spans="1:256" ht="16.350000000000001" customHeight="1">
      <c r="A5" s="10" t="s">
        <v>102</v>
      </c>
      <c r="B5" s="418" t="str">
        <f>+'Fiche de renseignement R1'!$J$10</f>
        <v>006495693</v>
      </c>
      <c r="C5" s="10" t="s">
        <v>27</v>
      </c>
      <c r="D5" s="411">
        <f>'Fiche de renseignement R1'!V10</f>
        <v>45657</v>
      </c>
      <c r="E5" s="10" t="s">
        <v>28</v>
      </c>
      <c r="F5" s="418">
        <f>'Fiche de renseignement R1'!AH10</f>
        <v>12</v>
      </c>
    </row>
    <row r="6" spans="1:256" ht="16.350000000000001" customHeight="1"/>
    <row r="7" spans="1:256" s="370" customFormat="1" ht="18.600000000000001" customHeight="1">
      <c r="A7" s="699" t="s">
        <v>1106</v>
      </c>
      <c r="B7" s="700"/>
      <c r="C7" s="700"/>
      <c r="D7" s="700"/>
      <c r="E7" s="700"/>
      <c r="F7" s="700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  <c r="AA7" s="367"/>
      <c r="AB7" s="367"/>
      <c r="AC7" s="367"/>
      <c r="AD7" s="367"/>
      <c r="AE7" s="367"/>
      <c r="AF7" s="367"/>
      <c r="AG7" s="367"/>
      <c r="AH7" s="367"/>
      <c r="AI7" s="367"/>
      <c r="AJ7" s="367"/>
      <c r="AK7" s="367"/>
      <c r="AL7" s="367"/>
      <c r="AM7" s="367"/>
      <c r="AN7" s="367"/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67"/>
      <c r="BB7" s="367"/>
      <c r="BC7" s="367"/>
      <c r="BD7" s="367"/>
      <c r="BE7" s="367"/>
      <c r="BF7" s="367"/>
      <c r="BG7" s="367"/>
      <c r="BH7" s="367"/>
      <c r="BI7" s="367"/>
      <c r="BJ7" s="367"/>
      <c r="BK7" s="367"/>
      <c r="BL7" s="367"/>
      <c r="BM7" s="367"/>
      <c r="BN7" s="367"/>
      <c r="BO7" s="367"/>
      <c r="BP7" s="367"/>
      <c r="BQ7" s="367"/>
      <c r="BR7" s="367"/>
      <c r="BS7" s="367"/>
      <c r="BT7" s="367"/>
      <c r="BU7" s="367"/>
      <c r="BV7" s="367"/>
      <c r="BW7" s="367"/>
      <c r="BX7" s="367"/>
      <c r="BY7" s="367"/>
      <c r="BZ7" s="367"/>
      <c r="CA7" s="367"/>
      <c r="CB7" s="367"/>
      <c r="CC7" s="367"/>
      <c r="CD7" s="367"/>
      <c r="CE7" s="367"/>
      <c r="CF7" s="367"/>
      <c r="CG7" s="367"/>
      <c r="CH7" s="367"/>
      <c r="CI7" s="367"/>
      <c r="CJ7" s="367"/>
      <c r="CK7" s="367"/>
      <c r="CL7" s="367"/>
      <c r="CM7" s="367"/>
      <c r="CN7" s="367"/>
      <c r="CO7" s="367"/>
      <c r="CP7" s="367"/>
      <c r="CQ7" s="367"/>
      <c r="CR7" s="367"/>
      <c r="CS7" s="367"/>
      <c r="CT7" s="367"/>
      <c r="CU7" s="367"/>
      <c r="CV7" s="367"/>
      <c r="CW7" s="367"/>
      <c r="CX7" s="367"/>
      <c r="CY7" s="367"/>
      <c r="CZ7" s="367"/>
      <c r="DA7" s="367"/>
      <c r="DB7" s="367"/>
      <c r="DC7" s="367"/>
      <c r="DD7" s="367"/>
      <c r="DE7" s="367"/>
      <c r="DF7" s="367"/>
      <c r="DG7" s="367"/>
      <c r="DH7" s="367"/>
      <c r="DI7" s="367"/>
      <c r="DJ7" s="367"/>
      <c r="DK7" s="367"/>
      <c r="DL7" s="367"/>
      <c r="DM7" s="367"/>
      <c r="DN7" s="367"/>
      <c r="DO7" s="367"/>
      <c r="DP7" s="367"/>
      <c r="DQ7" s="367"/>
      <c r="DR7" s="367"/>
      <c r="DS7" s="367"/>
      <c r="DT7" s="367"/>
      <c r="DU7" s="367"/>
      <c r="DV7" s="367"/>
      <c r="DW7" s="367"/>
      <c r="DX7" s="367"/>
      <c r="DY7" s="367"/>
      <c r="DZ7" s="367"/>
      <c r="EA7" s="367"/>
      <c r="EB7" s="367"/>
      <c r="EC7" s="367"/>
      <c r="ED7" s="367"/>
      <c r="EE7" s="367"/>
      <c r="EF7" s="367"/>
      <c r="EG7" s="367"/>
      <c r="EH7" s="367"/>
      <c r="EI7" s="367"/>
      <c r="EJ7" s="367"/>
      <c r="EK7" s="367"/>
      <c r="EL7" s="367"/>
      <c r="EM7" s="367"/>
      <c r="EN7" s="367"/>
      <c r="EO7" s="367"/>
      <c r="EP7" s="367"/>
      <c r="EQ7" s="367"/>
      <c r="ER7" s="367"/>
      <c r="ES7" s="367"/>
      <c r="ET7" s="367"/>
      <c r="EU7" s="367"/>
      <c r="EV7" s="367"/>
      <c r="EW7" s="367"/>
      <c r="EX7" s="367"/>
      <c r="EY7" s="367"/>
      <c r="EZ7" s="367"/>
      <c r="FA7" s="367"/>
      <c r="FB7" s="367"/>
      <c r="FC7" s="367"/>
      <c r="FD7" s="367"/>
      <c r="FE7" s="367"/>
      <c r="FF7" s="367"/>
      <c r="FG7" s="367"/>
      <c r="FH7" s="367"/>
      <c r="FI7" s="367"/>
      <c r="FJ7" s="367"/>
      <c r="FK7" s="367"/>
      <c r="FL7" s="367"/>
      <c r="FM7" s="367"/>
      <c r="FN7" s="367"/>
      <c r="FO7" s="367"/>
      <c r="FP7" s="367"/>
      <c r="FQ7" s="367"/>
      <c r="FR7" s="367"/>
      <c r="FS7" s="367"/>
      <c r="FT7" s="367"/>
      <c r="FU7" s="367"/>
      <c r="FV7" s="367"/>
      <c r="FW7" s="367"/>
      <c r="FX7" s="367"/>
      <c r="FY7" s="367"/>
      <c r="FZ7" s="367"/>
      <c r="GA7" s="367"/>
      <c r="GB7" s="367"/>
      <c r="GC7" s="367"/>
      <c r="GD7" s="367"/>
      <c r="GE7" s="367"/>
      <c r="GF7" s="367"/>
      <c r="GG7" s="367"/>
      <c r="GH7" s="367"/>
      <c r="GI7" s="367"/>
      <c r="GJ7" s="367"/>
      <c r="GK7" s="367"/>
      <c r="GL7" s="367"/>
      <c r="GM7" s="367"/>
      <c r="GN7" s="367"/>
      <c r="GO7" s="367"/>
      <c r="GP7" s="367"/>
      <c r="GQ7" s="367"/>
      <c r="GR7" s="367"/>
      <c r="GS7" s="367"/>
      <c r="GT7" s="367"/>
      <c r="GU7" s="367"/>
      <c r="GV7" s="367"/>
      <c r="GW7" s="367"/>
      <c r="GX7" s="367"/>
      <c r="GY7" s="367"/>
      <c r="GZ7" s="367"/>
      <c r="HA7" s="367"/>
      <c r="HB7" s="367"/>
      <c r="HC7" s="367"/>
      <c r="HD7" s="367"/>
      <c r="HE7" s="367"/>
      <c r="HF7" s="367"/>
      <c r="HG7" s="367"/>
      <c r="HH7" s="367"/>
      <c r="HI7" s="367"/>
      <c r="HJ7" s="367"/>
      <c r="HK7" s="367"/>
      <c r="HL7" s="367"/>
      <c r="HM7" s="367"/>
      <c r="HN7" s="367"/>
      <c r="HO7" s="367"/>
      <c r="HP7" s="367"/>
      <c r="HQ7" s="367"/>
      <c r="HR7" s="367"/>
      <c r="HS7" s="367"/>
      <c r="HT7" s="367"/>
      <c r="HU7" s="367"/>
      <c r="HV7" s="367"/>
      <c r="HW7" s="367"/>
      <c r="HX7" s="367"/>
      <c r="HY7" s="367"/>
      <c r="HZ7" s="367"/>
      <c r="IA7" s="367"/>
      <c r="IB7" s="367"/>
      <c r="IC7" s="367"/>
      <c r="ID7" s="367"/>
      <c r="IE7" s="367"/>
      <c r="IF7" s="367"/>
      <c r="IG7" s="367"/>
      <c r="IH7" s="367"/>
      <c r="II7" s="367"/>
      <c r="IJ7" s="367"/>
      <c r="IK7" s="367"/>
      <c r="IL7" s="367"/>
      <c r="IM7" s="367"/>
      <c r="IN7" s="367"/>
      <c r="IO7" s="367"/>
      <c r="IP7" s="367"/>
      <c r="IQ7" s="367"/>
      <c r="IR7" s="367"/>
      <c r="IS7" s="367"/>
      <c r="IT7" s="367"/>
      <c r="IU7" s="367"/>
      <c r="IV7" s="367"/>
    </row>
    <row r="8" spans="1:256" ht="8.25" customHeight="1">
      <c r="A8" s="691"/>
      <c r="B8" s="691"/>
      <c r="C8" s="691"/>
      <c r="D8" s="691"/>
      <c r="E8" s="691"/>
      <c r="F8" s="691"/>
    </row>
    <row r="9" spans="1:256" ht="17.100000000000001" customHeight="1">
      <c r="A9" s="704" t="s">
        <v>816</v>
      </c>
      <c r="B9" s="704"/>
      <c r="C9" s="704"/>
      <c r="D9" s="704"/>
      <c r="E9" s="704"/>
      <c r="F9" s="704"/>
    </row>
    <row r="10" spans="1:256" ht="8.1" customHeight="1"/>
    <row r="11" spans="1:256" ht="17.100000000000001" customHeight="1">
      <c r="A11" s="8" t="s">
        <v>103</v>
      </c>
      <c r="B11" s="8" t="s">
        <v>104</v>
      </c>
      <c r="C11" s="8" t="s">
        <v>105</v>
      </c>
      <c r="D11" s="31" t="s">
        <v>102</v>
      </c>
      <c r="E11" s="701" t="s">
        <v>106</v>
      </c>
      <c r="F11" s="702"/>
    </row>
    <row r="12" spans="1:256" ht="17.100000000000001" customHeight="1">
      <c r="A12" s="419" t="s">
        <v>1256</v>
      </c>
      <c r="B12" s="419" t="s">
        <v>1257</v>
      </c>
      <c r="C12" s="419" t="s">
        <v>1258</v>
      </c>
      <c r="D12" s="419"/>
      <c r="E12" s="420" t="s">
        <v>1493</v>
      </c>
      <c r="F12" s="30"/>
    </row>
    <row r="13" spans="1:256" ht="17.100000000000001" customHeight="1">
      <c r="A13" s="222"/>
      <c r="B13" s="222"/>
      <c r="C13" s="222"/>
      <c r="D13" s="222"/>
      <c r="E13" s="223"/>
      <c r="F13" s="30"/>
    </row>
    <row r="14" spans="1:256" ht="17.100000000000001" customHeight="1">
      <c r="A14" s="222"/>
      <c r="B14" s="222"/>
      <c r="C14" s="222"/>
      <c r="D14" s="222"/>
      <c r="E14" s="223"/>
      <c r="F14" s="30"/>
    </row>
    <row r="15" spans="1:256" ht="17.100000000000001" customHeight="1">
      <c r="A15" s="32"/>
      <c r="B15" s="32"/>
      <c r="C15" s="32"/>
      <c r="D15" s="27"/>
      <c r="E15" s="29"/>
      <c r="F15" s="30"/>
    </row>
    <row r="16" spans="1:256" ht="17.100000000000001" customHeight="1">
      <c r="A16" s="32"/>
      <c r="B16" s="32"/>
      <c r="C16" s="32"/>
      <c r="D16" s="27"/>
      <c r="E16" s="29"/>
      <c r="F16" s="30"/>
    </row>
    <row r="17" spans="1:6" ht="17.100000000000001" customHeight="1">
      <c r="A17" s="32"/>
      <c r="B17" s="32"/>
      <c r="C17" s="32"/>
      <c r="D17" s="27"/>
      <c r="E17" s="29"/>
      <c r="F17" s="30"/>
    </row>
    <row r="18" spans="1:6" ht="17.100000000000001" customHeight="1">
      <c r="A18" s="32"/>
      <c r="B18" s="32"/>
      <c r="C18" s="32"/>
      <c r="D18" s="27"/>
      <c r="E18" s="29"/>
      <c r="F18" s="30"/>
    </row>
    <row r="19" spans="1:6" ht="17.100000000000001" customHeight="1">
      <c r="A19" s="32"/>
      <c r="B19" s="32"/>
      <c r="C19" s="32"/>
      <c r="D19" s="27"/>
      <c r="E19" s="29"/>
      <c r="F19" s="30"/>
    </row>
    <row r="20" spans="1:6" ht="17.100000000000001" customHeight="1">
      <c r="A20" s="32"/>
      <c r="B20" s="32"/>
      <c r="C20" s="32"/>
      <c r="D20" s="27"/>
      <c r="E20" s="29"/>
      <c r="F20" s="30"/>
    </row>
    <row r="21" spans="1:6" ht="17.100000000000001" customHeight="1">
      <c r="A21" s="32"/>
      <c r="B21" s="32"/>
      <c r="C21" s="32"/>
      <c r="D21" s="27"/>
      <c r="E21" s="29"/>
      <c r="F21" s="30"/>
    </row>
    <row r="22" spans="1:6" ht="17.100000000000001" customHeight="1">
      <c r="A22" s="32"/>
      <c r="B22" s="32"/>
      <c r="C22" s="32"/>
      <c r="D22" s="27"/>
      <c r="E22" s="29"/>
      <c r="F22" s="30"/>
    </row>
    <row r="23" spans="1:6" ht="17.100000000000001" customHeight="1">
      <c r="A23" s="32"/>
      <c r="B23" s="32"/>
      <c r="C23" s="32"/>
      <c r="D23" s="27"/>
      <c r="E23" s="29"/>
      <c r="F23" s="30"/>
    </row>
    <row r="24" spans="1:6" ht="17.100000000000001" customHeight="1">
      <c r="A24" s="32"/>
      <c r="B24" s="32"/>
      <c r="C24" s="32"/>
      <c r="D24" s="27"/>
      <c r="E24" s="29"/>
      <c r="F24" s="30"/>
    </row>
    <row r="25" spans="1:6" ht="17.100000000000001" customHeight="1">
      <c r="A25" s="32"/>
      <c r="B25" s="32"/>
      <c r="C25" s="32"/>
      <c r="D25" s="27"/>
      <c r="E25" s="29"/>
      <c r="F25" s="30"/>
    </row>
    <row r="26" spans="1:6" ht="17.100000000000001" customHeight="1">
      <c r="A26" s="33"/>
      <c r="B26" s="33"/>
      <c r="C26" s="33"/>
      <c r="D26" s="28"/>
      <c r="E26" s="5"/>
      <c r="F26" s="6"/>
    </row>
    <row r="27" spans="1:6" ht="11.25" customHeight="1">
      <c r="A27" s="10" t="s">
        <v>107</v>
      </c>
    </row>
    <row r="28" spans="1:6" ht="8.1" customHeight="1"/>
    <row r="29" spans="1:6" ht="17.100000000000001" customHeight="1">
      <c r="A29" s="705" t="s">
        <v>108</v>
      </c>
      <c r="B29" s="705"/>
      <c r="C29" s="705"/>
      <c r="D29" s="705"/>
      <c r="E29" s="705"/>
      <c r="F29" s="705"/>
    </row>
    <row r="30" spans="1:6" ht="8.1" customHeight="1"/>
    <row r="31" spans="1:6" ht="17.100000000000001" customHeight="1">
      <c r="A31" s="7" t="s">
        <v>103</v>
      </c>
      <c r="B31" s="8" t="s">
        <v>104</v>
      </c>
      <c r="C31" s="701" t="s">
        <v>105</v>
      </c>
      <c r="D31" s="702"/>
      <c r="E31" s="703" t="s">
        <v>106</v>
      </c>
      <c r="F31" s="702"/>
    </row>
    <row r="32" spans="1:6" ht="17.100000000000001" customHeight="1">
      <c r="A32" s="415" t="s">
        <v>1259</v>
      </c>
      <c r="B32" s="421" t="s">
        <v>1259</v>
      </c>
      <c r="C32" s="695" t="s">
        <v>1259</v>
      </c>
      <c r="D32" s="693"/>
      <c r="E32" s="696" t="s">
        <v>1259</v>
      </c>
      <c r="F32" s="693"/>
    </row>
    <row r="33" spans="1:6" ht="17.100000000000001" customHeight="1">
      <c r="A33" s="221"/>
      <c r="B33" s="220"/>
      <c r="C33" s="697"/>
      <c r="D33" s="693"/>
      <c r="E33" s="698"/>
      <c r="F33" s="693"/>
    </row>
    <row r="34" spans="1:6" ht="17.100000000000001" customHeight="1">
      <c r="A34" s="221"/>
      <c r="B34" s="220"/>
      <c r="C34" s="697"/>
      <c r="D34" s="693"/>
      <c r="E34" s="698"/>
      <c r="F34" s="693"/>
    </row>
    <row r="35" spans="1:6" ht="17.100000000000001" customHeight="1">
      <c r="A35" s="34"/>
      <c r="B35" s="35"/>
      <c r="C35" s="692"/>
      <c r="D35" s="693"/>
      <c r="E35" s="694"/>
      <c r="F35" s="693"/>
    </row>
    <row r="36" spans="1:6" ht="17.100000000000001" customHeight="1">
      <c r="A36" s="34"/>
      <c r="B36" s="35"/>
      <c r="C36" s="692"/>
      <c r="D36" s="693"/>
      <c r="E36" s="694"/>
      <c r="F36" s="693"/>
    </row>
    <row r="37" spans="1:6" ht="17.100000000000001" customHeight="1">
      <c r="A37" s="34"/>
      <c r="B37" s="35"/>
      <c r="C37" s="692"/>
      <c r="D37" s="693"/>
      <c r="E37" s="694"/>
      <c r="F37" s="693"/>
    </row>
    <row r="38" spans="1:6" ht="17.100000000000001" customHeight="1">
      <c r="A38" s="34"/>
      <c r="B38" s="35"/>
      <c r="C38" s="692"/>
      <c r="D38" s="693"/>
      <c r="E38" s="694"/>
      <c r="F38" s="693"/>
    </row>
    <row r="39" spans="1:6" ht="17.100000000000001" customHeight="1">
      <c r="A39" s="34"/>
      <c r="B39" s="35"/>
      <c r="C39" s="692"/>
      <c r="D39" s="693"/>
      <c r="E39" s="694"/>
      <c r="F39" s="693"/>
    </row>
    <row r="40" spans="1:6" ht="17.100000000000001" customHeight="1">
      <c r="A40" s="34"/>
      <c r="B40" s="35"/>
      <c r="C40" s="692"/>
      <c r="D40" s="693"/>
      <c r="E40" s="694"/>
      <c r="F40" s="693"/>
    </row>
    <row r="41" spans="1:6" ht="17.100000000000001" customHeight="1">
      <c r="A41" s="34"/>
      <c r="B41" s="35"/>
      <c r="C41" s="692"/>
      <c r="D41" s="693"/>
      <c r="E41" s="694"/>
      <c r="F41" s="693"/>
    </row>
    <row r="42" spans="1:6" ht="17.100000000000001" customHeight="1">
      <c r="A42" s="34"/>
      <c r="B42" s="35"/>
      <c r="C42" s="692"/>
      <c r="D42" s="693"/>
      <c r="E42" s="694"/>
      <c r="F42" s="693"/>
    </row>
    <row r="43" spans="1:6" ht="17.100000000000001" customHeight="1">
      <c r="A43" s="34"/>
      <c r="B43" s="35"/>
      <c r="C43" s="692"/>
      <c r="D43" s="693"/>
      <c r="E43" s="694"/>
      <c r="F43" s="693"/>
    </row>
    <row r="44" spans="1:6" ht="17.100000000000001" customHeight="1">
      <c r="A44" s="34"/>
      <c r="B44" s="35"/>
      <c r="C44" s="692"/>
      <c r="D44" s="693"/>
      <c r="E44" s="694"/>
      <c r="F44" s="693"/>
    </row>
    <row r="45" spans="1:6" ht="17.100000000000001" customHeight="1">
      <c r="A45" s="34"/>
      <c r="B45" s="35"/>
      <c r="C45" s="692"/>
      <c r="D45" s="693"/>
      <c r="E45" s="694"/>
      <c r="F45" s="693"/>
    </row>
    <row r="46" spans="1:6" ht="17.100000000000001" customHeight="1">
      <c r="A46" s="34"/>
      <c r="B46" s="35"/>
      <c r="C46" s="692"/>
      <c r="D46" s="693"/>
      <c r="E46" s="694"/>
      <c r="F46" s="693"/>
    </row>
    <row r="47" spans="1:6" ht="17.100000000000001" customHeight="1">
      <c r="A47" s="34"/>
      <c r="B47" s="35"/>
      <c r="C47" s="692"/>
      <c r="D47" s="693"/>
      <c r="E47" s="36"/>
      <c r="F47" s="37"/>
    </row>
    <row r="48" spans="1:6" ht="17.100000000000001" customHeight="1">
      <c r="A48" s="34"/>
      <c r="B48" s="35"/>
      <c r="C48" s="34"/>
      <c r="D48" s="37"/>
      <c r="E48" s="36"/>
      <c r="F48" s="37"/>
    </row>
    <row r="49" spans="1:6" ht="17.100000000000001" customHeight="1">
      <c r="A49" s="38"/>
      <c r="B49" s="39"/>
      <c r="C49" s="38"/>
      <c r="D49" s="40"/>
      <c r="E49" s="41"/>
      <c r="F49" s="40"/>
    </row>
    <row r="50" spans="1:6" ht="8.1" customHeight="1"/>
  </sheetData>
  <mergeCells count="42">
    <mergeCell ref="A1:F1"/>
    <mergeCell ref="A8:F8"/>
    <mergeCell ref="A7:F7"/>
    <mergeCell ref="C31:D31"/>
    <mergeCell ref="E31:F31"/>
    <mergeCell ref="B3:F3"/>
    <mergeCell ref="B4:C4"/>
    <mergeCell ref="A9:F9"/>
    <mergeCell ref="E11:F11"/>
    <mergeCell ref="A29:F29"/>
    <mergeCell ref="E4:F4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7:D47"/>
    <mergeCell ref="C44:D44"/>
    <mergeCell ref="E44:F44"/>
    <mergeCell ref="C45:D45"/>
    <mergeCell ref="E45:F45"/>
    <mergeCell ref="C46:D46"/>
    <mergeCell ref="E46:F46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zoomScale="80" zoomScaleNormal="80" workbookViewId="0">
      <selection sqref="A1:F1"/>
    </sheetView>
  </sheetViews>
  <sheetFormatPr baseColWidth="10" defaultColWidth="10.42578125" defaultRowHeight="14.25" customHeight="1"/>
  <cols>
    <col min="1" max="1" width="16.5703125" style="9" customWidth="1" collapsed="1"/>
    <col min="2" max="2" width="60.42578125" style="53" customWidth="1" collapsed="1"/>
    <col min="3" max="3" width="10.42578125" style="9" collapsed="1"/>
    <col min="4" max="4" width="14.5703125" style="9" customWidth="1" collapsed="1"/>
    <col min="5" max="16384" width="10.42578125" style="9" collapsed="1"/>
  </cols>
  <sheetData>
    <row r="1" spans="1:6" s="371" customFormat="1" ht="20.100000000000001" customHeight="1">
      <c r="A1" s="709" t="s">
        <v>1107</v>
      </c>
      <c r="B1" s="710"/>
      <c r="C1" s="710"/>
      <c r="D1" s="710"/>
      <c r="E1" s="710"/>
      <c r="F1" s="710"/>
    </row>
    <row r="2" spans="1:6" s="371" customFormat="1" ht="13.7" customHeight="1">
      <c r="A2" s="711" t="s">
        <v>1234</v>
      </c>
      <c r="B2" s="711"/>
      <c r="C2" s="711"/>
      <c r="D2" s="294" t="s">
        <v>269</v>
      </c>
      <c r="E2" s="712">
        <f>'Fiche de renseignement R1'!V10</f>
        <v>45657</v>
      </c>
      <c r="F2" s="713"/>
    </row>
    <row r="3" spans="1:6" s="371" customFormat="1" ht="13.7" customHeight="1">
      <c r="A3" s="714" t="str">
        <f>'Fiche de renseignement R1'!$J$4</f>
        <v>MANDINGA RESSOURCES SARL</v>
      </c>
      <c r="B3" s="713"/>
      <c r="C3" s="713"/>
      <c r="D3" s="715" t="s">
        <v>270</v>
      </c>
      <c r="E3" s="716">
        <f>'Fiche de renseignement R1'!AH10</f>
        <v>12</v>
      </c>
      <c r="F3" s="717"/>
    </row>
    <row r="4" spans="1:6" s="371" customFormat="1" ht="27.6" customHeight="1">
      <c r="A4" s="296" t="s">
        <v>271</v>
      </c>
      <c r="B4" s="718" t="str">
        <f>+'Fiche de renseignement R1'!$J$10</f>
        <v>006495693</v>
      </c>
      <c r="C4" s="719"/>
      <c r="D4" s="715"/>
      <c r="E4" s="713"/>
      <c r="F4" s="713"/>
    </row>
    <row r="5" spans="1:6" s="371" customFormat="1" ht="13.7" customHeight="1">
      <c r="A5" s="372"/>
      <c r="B5" s="373"/>
    </row>
    <row r="6" spans="1:6" s="371" customFormat="1" ht="22.35" customHeight="1">
      <c r="A6" s="707" t="s">
        <v>1108</v>
      </c>
      <c r="B6" s="708"/>
      <c r="C6" s="708"/>
      <c r="D6" s="708"/>
    </row>
    <row r="7" spans="1:6" s="371" customFormat="1" ht="22.35" customHeight="1">
      <c r="A7" s="377"/>
      <c r="B7" s="378"/>
      <c r="C7" s="378"/>
      <c r="D7" s="378"/>
    </row>
    <row r="8" spans="1:6" s="371" customFormat="1" ht="13.7" customHeight="1">
      <c r="A8" s="374" t="s">
        <v>109</v>
      </c>
      <c r="B8" s="375" t="s">
        <v>110</v>
      </c>
      <c r="C8" s="376" t="s">
        <v>111</v>
      </c>
      <c r="D8" s="376" t="s">
        <v>112</v>
      </c>
    </row>
    <row r="9" spans="1:6" ht="28.5" customHeight="1">
      <c r="A9" s="424" t="s">
        <v>1260</v>
      </c>
      <c r="B9" s="425" t="s">
        <v>1261</v>
      </c>
      <c r="C9" s="426" t="s">
        <v>1262</v>
      </c>
      <c r="D9" s="426"/>
    </row>
    <row r="10" spans="1:6" ht="28.5" customHeight="1">
      <c r="A10" s="424" t="s">
        <v>1263</v>
      </c>
      <c r="B10" s="425" t="s">
        <v>1264</v>
      </c>
      <c r="C10" s="426" t="s">
        <v>1262</v>
      </c>
      <c r="D10" s="426"/>
    </row>
    <row r="11" spans="1:6" ht="13.7" customHeight="1">
      <c r="A11" s="424" t="s">
        <v>1265</v>
      </c>
      <c r="B11" s="425" t="s">
        <v>1266</v>
      </c>
      <c r="C11" s="426" t="s">
        <v>1262</v>
      </c>
      <c r="D11" s="426"/>
    </row>
    <row r="12" spans="1:6" ht="13.7" customHeight="1">
      <c r="A12" s="424" t="s">
        <v>1267</v>
      </c>
      <c r="B12" s="425" t="s">
        <v>1268</v>
      </c>
      <c r="C12" s="426" t="s">
        <v>1262</v>
      </c>
      <c r="D12" s="426"/>
    </row>
    <row r="13" spans="1:6" ht="13.7" customHeight="1">
      <c r="A13" s="424" t="s">
        <v>1269</v>
      </c>
      <c r="B13" s="425" t="s">
        <v>1270</v>
      </c>
      <c r="C13" s="426" t="s">
        <v>1262</v>
      </c>
      <c r="D13" s="426"/>
    </row>
    <row r="14" spans="1:6" ht="13.7" customHeight="1">
      <c r="A14" s="424" t="s">
        <v>1271</v>
      </c>
      <c r="B14" s="425" t="s">
        <v>1272</v>
      </c>
      <c r="C14" s="426" t="s">
        <v>1262</v>
      </c>
      <c r="D14" s="426"/>
    </row>
    <row r="15" spans="1:6" ht="27.6" customHeight="1">
      <c r="A15" s="424" t="s">
        <v>1273</v>
      </c>
      <c r="B15" s="425" t="s">
        <v>1274</v>
      </c>
      <c r="C15" s="426" t="s">
        <v>1262</v>
      </c>
      <c r="D15" s="426"/>
    </row>
    <row r="16" spans="1:6" s="214" customFormat="1" ht="37.5" customHeight="1">
      <c r="A16" s="424" t="s">
        <v>1275</v>
      </c>
      <c r="B16" s="425" t="s">
        <v>1276</v>
      </c>
      <c r="C16" s="426" t="s">
        <v>1262</v>
      </c>
      <c r="D16" s="426"/>
    </row>
    <row r="17" spans="1:4" ht="13.7" customHeight="1">
      <c r="A17" s="424" t="s">
        <v>1277</v>
      </c>
      <c r="B17" s="425" t="s">
        <v>1278</v>
      </c>
      <c r="C17" s="426" t="s">
        <v>1262</v>
      </c>
      <c r="D17" s="426"/>
    </row>
    <row r="18" spans="1:4" ht="13.7" customHeight="1">
      <c r="A18" s="424" t="s">
        <v>1279</v>
      </c>
      <c r="B18" s="425" t="s">
        <v>1280</v>
      </c>
      <c r="C18" s="426" t="s">
        <v>1262</v>
      </c>
      <c r="D18" s="426"/>
    </row>
    <row r="19" spans="1:4" ht="13.7" customHeight="1">
      <c r="A19" s="424" t="s">
        <v>1281</v>
      </c>
      <c r="B19" s="425" t="s">
        <v>1282</v>
      </c>
      <c r="C19" s="426" t="s">
        <v>1262</v>
      </c>
      <c r="D19" s="426"/>
    </row>
    <row r="20" spans="1:4" ht="13.7" customHeight="1">
      <c r="A20" s="424" t="s">
        <v>1283</v>
      </c>
      <c r="B20" s="425" t="s">
        <v>1284</v>
      </c>
      <c r="C20" s="426" t="s">
        <v>1262</v>
      </c>
      <c r="D20" s="426"/>
    </row>
    <row r="21" spans="1:4" ht="13.7" customHeight="1">
      <c r="A21" s="424" t="s">
        <v>1285</v>
      </c>
      <c r="B21" s="425" t="s">
        <v>1286</v>
      </c>
      <c r="C21" s="426" t="s">
        <v>1262</v>
      </c>
      <c r="D21" s="426"/>
    </row>
    <row r="22" spans="1:4" ht="13.7" customHeight="1">
      <c r="A22" s="424" t="s">
        <v>1287</v>
      </c>
      <c r="B22" s="425" t="s">
        <v>1288</v>
      </c>
      <c r="C22" s="426" t="s">
        <v>1262</v>
      </c>
      <c r="D22" s="426"/>
    </row>
    <row r="23" spans="1:4" ht="13.7" customHeight="1">
      <c r="A23" s="424" t="s">
        <v>1289</v>
      </c>
      <c r="B23" s="425" t="s">
        <v>1290</v>
      </c>
      <c r="C23" s="426" t="s">
        <v>1262</v>
      </c>
      <c r="D23" s="426"/>
    </row>
    <row r="24" spans="1:4" ht="13.7" customHeight="1">
      <c r="A24" s="424" t="s">
        <v>1291</v>
      </c>
      <c r="B24" s="425" t="s">
        <v>1292</v>
      </c>
      <c r="C24" s="426" t="s">
        <v>1262</v>
      </c>
      <c r="D24" s="426"/>
    </row>
    <row r="25" spans="1:4" ht="13.7" customHeight="1">
      <c r="A25" s="424" t="s">
        <v>1293</v>
      </c>
      <c r="B25" s="425" t="s">
        <v>1294</v>
      </c>
      <c r="C25" s="426" t="s">
        <v>1262</v>
      </c>
      <c r="D25" s="426"/>
    </row>
    <row r="26" spans="1:4" ht="28.5" customHeight="1">
      <c r="A26" s="424" t="s">
        <v>1295</v>
      </c>
      <c r="B26" s="425" t="s">
        <v>1296</v>
      </c>
      <c r="C26" s="426" t="s">
        <v>1262</v>
      </c>
      <c r="D26" s="426"/>
    </row>
    <row r="27" spans="1:4" ht="28.5" customHeight="1">
      <c r="A27" s="424" t="s">
        <v>1297</v>
      </c>
      <c r="B27" s="425" t="s">
        <v>1298</v>
      </c>
      <c r="C27" s="426" t="s">
        <v>1262</v>
      </c>
      <c r="D27" s="426"/>
    </row>
    <row r="28" spans="1:4" ht="13.7" customHeight="1">
      <c r="A28" s="424" t="s">
        <v>1299</v>
      </c>
      <c r="B28" s="425" t="s">
        <v>1300</v>
      </c>
      <c r="C28" s="426" t="s">
        <v>1262</v>
      </c>
      <c r="D28" s="426"/>
    </row>
    <row r="29" spans="1:4" ht="13.7" customHeight="1">
      <c r="A29" s="424" t="s">
        <v>1301</v>
      </c>
      <c r="B29" s="425" t="s">
        <v>1302</v>
      </c>
      <c r="C29" s="426" t="s">
        <v>1262</v>
      </c>
      <c r="D29" s="426"/>
    </row>
    <row r="30" spans="1:4" ht="13.7" customHeight="1">
      <c r="A30" s="424" t="s">
        <v>1303</v>
      </c>
      <c r="B30" s="425" t="s">
        <v>1304</v>
      </c>
      <c r="C30" s="426" t="s">
        <v>1262</v>
      </c>
      <c r="D30" s="426"/>
    </row>
    <row r="31" spans="1:4" ht="28.5" customHeight="1">
      <c r="A31" s="424" t="s">
        <v>1305</v>
      </c>
      <c r="B31" s="425" t="s">
        <v>1306</v>
      </c>
      <c r="C31" s="426" t="s">
        <v>1262</v>
      </c>
      <c r="D31" s="426"/>
    </row>
    <row r="32" spans="1:4" ht="27.6" customHeight="1">
      <c r="A32" s="424" t="s">
        <v>1307</v>
      </c>
      <c r="B32" s="425" t="s">
        <v>1306</v>
      </c>
      <c r="C32" s="426" t="s">
        <v>1262</v>
      </c>
      <c r="D32" s="426"/>
    </row>
    <row r="33" spans="1:4" ht="13.7" customHeight="1">
      <c r="A33" s="424" t="s">
        <v>1308</v>
      </c>
      <c r="B33" s="425" t="s">
        <v>1309</v>
      </c>
      <c r="C33" s="426" t="s">
        <v>1262</v>
      </c>
      <c r="D33" s="426"/>
    </row>
    <row r="34" spans="1:4" ht="13.7" customHeight="1">
      <c r="A34" s="424" t="s">
        <v>1310</v>
      </c>
      <c r="B34" s="425" t="s">
        <v>1311</v>
      </c>
      <c r="C34" s="426" t="s">
        <v>1262</v>
      </c>
      <c r="D34" s="426"/>
    </row>
    <row r="35" spans="1:4" ht="13.7" customHeight="1">
      <c r="A35" s="424" t="s">
        <v>1312</v>
      </c>
      <c r="B35" s="425" t="s">
        <v>1313</v>
      </c>
      <c r="C35" s="426" t="s">
        <v>1262</v>
      </c>
      <c r="D35" s="426"/>
    </row>
    <row r="36" spans="1:4" s="410" customFormat="1" ht="27.75" customHeight="1">
      <c r="A36" s="424" t="s">
        <v>1314</v>
      </c>
      <c r="B36" s="425" t="s">
        <v>1315</v>
      </c>
      <c r="C36" s="426" t="s">
        <v>1262</v>
      </c>
      <c r="D36" s="426"/>
    </row>
    <row r="37" spans="1:4" ht="13.7" customHeight="1">
      <c r="A37" s="424" t="s">
        <v>1316</v>
      </c>
      <c r="B37" s="425" t="s">
        <v>1317</v>
      </c>
      <c r="C37" s="426" t="s">
        <v>1262</v>
      </c>
      <c r="D37" s="426"/>
    </row>
    <row r="38" spans="1:4" ht="13.7" customHeight="1">
      <c r="A38" s="424" t="s">
        <v>1318</v>
      </c>
      <c r="B38" s="425" t="s">
        <v>1319</v>
      </c>
      <c r="C38" s="426" t="s">
        <v>1262</v>
      </c>
      <c r="D38" s="426"/>
    </row>
    <row r="39" spans="1:4" ht="13.7" customHeight="1">
      <c r="A39" s="424" t="s">
        <v>1320</v>
      </c>
      <c r="B39" s="425" t="s">
        <v>1321</v>
      </c>
      <c r="C39" s="426" t="s">
        <v>1262</v>
      </c>
      <c r="D39" s="426"/>
    </row>
    <row r="40" spans="1:4" ht="13.7" customHeight="1">
      <c r="A40" s="424" t="s">
        <v>1322</v>
      </c>
      <c r="B40" s="425" t="s">
        <v>1323</v>
      </c>
      <c r="C40" s="426" t="s">
        <v>1262</v>
      </c>
      <c r="D40" s="426"/>
    </row>
    <row r="41" spans="1:4" ht="13.7" customHeight="1">
      <c r="A41" s="424" t="s">
        <v>1324</v>
      </c>
      <c r="B41" s="425" t="s">
        <v>1325</v>
      </c>
      <c r="C41" s="426" t="s">
        <v>1262</v>
      </c>
      <c r="D41" s="426"/>
    </row>
    <row r="42" spans="1:4" ht="13.7" customHeight="1">
      <c r="A42" s="424" t="s">
        <v>1326</v>
      </c>
      <c r="B42" s="425" t="s">
        <v>1327</v>
      </c>
      <c r="C42" s="426" t="s">
        <v>1262</v>
      </c>
      <c r="D42" s="426"/>
    </row>
    <row r="43" spans="1:4" ht="13.7" customHeight="1">
      <c r="A43" s="424" t="s">
        <v>1328</v>
      </c>
      <c r="B43" s="425" t="s">
        <v>1329</v>
      </c>
      <c r="C43" s="426" t="s">
        <v>1262</v>
      </c>
      <c r="D43" s="426"/>
    </row>
    <row r="44" spans="1:4" ht="28.5" customHeight="1">
      <c r="A44" s="424" t="s">
        <v>1330</v>
      </c>
      <c r="B44" s="425" t="s">
        <v>1331</v>
      </c>
      <c r="C44" s="426" t="s">
        <v>1262</v>
      </c>
      <c r="D44" s="426"/>
    </row>
    <row r="45" spans="1:4" ht="13.7" customHeight="1">
      <c r="A45" s="424" t="s">
        <v>1332</v>
      </c>
      <c r="B45" s="425" t="s">
        <v>1333</v>
      </c>
      <c r="C45" s="426" t="s">
        <v>1262</v>
      </c>
      <c r="D45" s="426"/>
    </row>
    <row r="46" spans="1:4" ht="13.7" customHeight="1">
      <c r="A46" s="424" t="s">
        <v>1334</v>
      </c>
      <c r="B46" s="425" t="s">
        <v>1335</v>
      </c>
      <c r="C46" s="426" t="s">
        <v>1262</v>
      </c>
      <c r="D46" s="426"/>
    </row>
    <row r="47" spans="1:4" ht="28.5" customHeight="1">
      <c r="A47" s="424" t="s">
        <v>1336</v>
      </c>
      <c r="B47" s="425" t="s">
        <v>1337</v>
      </c>
      <c r="C47" s="426" t="s">
        <v>1262</v>
      </c>
      <c r="D47" s="426"/>
    </row>
    <row r="48" spans="1:4" ht="28.5" customHeight="1">
      <c r="A48" s="424" t="s">
        <v>1338</v>
      </c>
      <c r="B48" s="425" t="s">
        <v>1339</v>
      </c>
      <c r="C48" s="426" t="s">
        <v>1262</v>
      </c>
      <c r="D48" s="426"/>
    </row>
    <row r="49" spans="1:4" ht="27.6" customHeight="1">
      <c r="A49" s="424" t="s">
        <v>1340</v>
      </c>
      <c r="B49" s="425" t="s">
        <v>1341</v>
      </c>
      <c r="C49" s="426" t="s">
        <v>1262</v>
      </c>
      <c r="D49" s="426"/>
    </row>
    <row r="50" spans="1:4" ht="13.7" customHeight="1">
      <c r="A50" s="424" t="s">
        <v>1342</v>
      </c>
      <c r="B50" s="425" t="s">
        <v>1343</v>
      </c>
      <c r="C50" s="426" t="s">
        <v>1262</v>
      </c>
      <c r="D50" s="426"/>
    </row>
    <row r="51" spans="1:4" ht="14.25" customHeight="1">
      <c r="A51" s="424" t="s">
        <v>1344</v>
      </c>
      <c r="B51" s="425" t="s">
        <v>1345</v>
      </c>
      <c r="C51" s="426" t="s">
        <v>1262</v>
      </c>
      <c r="D51" s="426"/>
    </row>
    <row r="52" spans="1:4" s="410" customFormat="1" ht="27.75" customHeight="1">
      <c r="A52" s="424" t="s">
        <v>1346</v>
      </c>
      <c r="B52" s="425" t="s">
        <v>1347</v>
      </c>
      <c r="C52" s="426" t="s">
        <v>1262</v>
      </c>
      <c r="D52" s="426"/>
    </row>
    <row r="53" spans="1:4" s="410" customFormat="1" ht="27.75" customHeight="1">
      <c r="A53" s="424" t="s">
        <v>1348</v>
      </c>
      <c r="B53" s="425" t="s">
        <v>1349</v>
      </c>
      <c r="C53" s="426" t="s">
        <v>1262</v>
      </c>
      <c r="D53" s="426"/>
    </row>
    <row r="54" spans="1:4" ht="14.25" customHeight="1">
      <c r="A54" s="424" t="s">
        <v>1350</v>
      </c>
      <c r="B54" s="425" t="s">
        <v>1351</v>
      </c>
      <c r="C54" s="426" t="s">
        <v>1262</v>
      </c>
      <c r="D54" s="426"/>
    </row>
    <row r="55" spans="1:4">
      <c r="A55" s="427"/>
      <c r="B55" s="427"/>
      <c r="C55" s="427"/>
      <c r="D55" s="427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8" zoomScale="80" zoomScaleNormal="80" workbookViewId="0">
      <selection sqref="A1:M1"/>
    </sheetView>
  </sheetViews>
  <sheetFormatPr baseColWidth="10" defaultColWidth="11.42578125" defaultRowHeight="13.7" customHeight="1"/>
  <cols>
    <col min="1" max="1" width="9.42578125" style="254" customWidth="1" collapsed="1"/>
    <col min="2" max="2" width="71.5703125" style="9" customWidth="1" collapsed="1"/>
    <col min="3" max="3" width="4.5703125" style="254" customWidth="1" collapsed="1"/>
    <col min="4" max="6" width="15.5703125" style="9" customWidth="1" collapsed="1"/>
    <col min="7" max="7" width="17.5703125" style="9" customWidth="1" collapsed="1"/>
    <col min="8" max="8" width="4.5703125" style="254" customWidth="1" collapsed="1"/>
    <col min="9" max="9" width="55.85546875" style="9" customWidth="1" collapsed="1"/>
    <col min="10" max="10" width="4.5703125" style="254" customWidth="1" collapsed="1"/>
    <col min="11" max="11" width="19.5703125" style="9" customWidth="1" collapsed="1"/>
    <col min="12" max="12" width="17.5703125" style="9" customWidth="1" collapsed="1"/>
    <col min="13" max="16384" width="11.42578125" style="9" collapsed="1"/>
  </cols>
  <sheetData>
    <row r="1" spans="1:13" ht="27" customHeight="1">
      <c r="A1" s="722" t="s">
        <v>1109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</row>
    <row r="3" spans="1:13" ht="14.25">
      <c r="A3" s="723" t="s">
        <v>1235</v>
      </c>
      <c r="B3" s="723"/>
      <c r="E3" s="406"/>
      <c r="I3" s="9" t="s">
        <v>269</v>
      </c>
      <c r="J3" s="725">
        <f>+'Fiche de renseignement R1'!$V$10</f>
        <v>45657</v>
      </c>
      <c r="K3" s="621"/>
    </row>
    <row r="4" spans="1:13" ht="14.25">
      <c r="A4" s="724" t="str">
        <f>'Fiche de renseignement R1'!$J$4</f>
        <v>MANDINGA RESSOURCES SARL</v>
      </c>
      <c r="B4" s="621"/>
      <c r="I4" s="723" t="s">
        <v>270</v>
      </c>
      <c r="J4" s="724">
        <f>+'Fiche de renseignement R1'!$AH$10</f>
        <v>12</v>
      </c>
      <c r="K4" s="621"/>
    </row>
    <row r="5" spans="1:13" ht="14.25">
      <c r="A5" s="723" t="s">
        <v>271</v>
      </c>
      <c r="B5" s="723"/>
      <c r="D5" s="724" t="str">
        <f>+'Fiche de renseignement R1'!$J$10</f>
        <v>006495693</v>
      </c>
      <c r="E5" s="621"/>
      <c r="F5" s="621"/>
      <c r="I5" s="723"/>
      <c r="J5" s="621"/>
      <c r="K5" s="621"/>
    </row>
    <row r="7" spans="1:13" s="254" customFormat="1" ht="35.450000000000003" customHeight="1">
      <c r="A7" s="720" t="s">
        <v>115</v>
      </c>
      <c r="B7" s="384" t="s">
        <v>1110</v>
      </c>
      <c r="C7" s="721" t="s">
        <v>116</v>
      </c>
      <c r="D7" s="385"/>
      <c r="E7" s="386" t="s">
        <v>1111</v>
      </c>
      <c r="F7" s="387"/>
      <c r="G7" s="388" t="s">
        <v>1112</v>
      </c>
      <c r="H7" s="720" t="s">
        <v>115</v>
      </c>
      <c r="I7" s="384" t="s">
        <v>1113</v>
      </c>
      <c r="J7" s="726" t="s">
        <v>116</v>
      </c>
      <c r="K7" s="389" t="s">
        <v>1111</v>
      </c>
      <c r="L7" s="389" t="s">
        <v>1112</v>
      </c>
      <c r="M7" s="356"/>
    </row>
    <row r="8" spans="1:13" s="254" customFormat="1" ht="25.5" customHeight="1">
      <c r="A8" s="720"/>
      <c r="B8" s="384"/>
      <c r="C8" s="721"/>
      <c r="D8" s="390" t="s">
        <v>1114</v>
      </c>
      <c r="E8" s="389" t="s">
        <v>1115</v>
      </c>
      <c r="F8" s="390" t="s">
        <v>1116</v>
      </c>
      <c r="G8" s="390" t="s">
        <v>1116</v>
      </c>
      <c r="H8" s="720"/>
      <c r="I8" s="384"/>
      <c r="J8" s="726"/>
      <c r="K8" s="390" t="s">
        <v>1116</v>
      </c>
      <c r="L8" s="390" t="s">
        <v>1116</v>
      </c>
    </row>
    <row r="9" spans="1:13" ht="20.25" customHeight="1">
      <c r="A9" s="403" t="s">
        <v>1117</v>
      </c>
      <c r="B9" s="405" t="s">
        <v>117</v>
      </c>
      <c r="C9" s="403">
        <v>3</v>
      </c>
      <c r="D9" s="428">
        <v>1281426985</v>
      </c>
      <c r="E9" s="428">
        <v>27850203</v>
      </c>
      <c r="F9" s="428">
        <v>1253576782</v>
      </c>
      <c r="G9" s="428">
        <v>825588038</v>
      </c>
      <c r="H9" s="356" t="s">
        <v>1118</v>
      </c>
      <c r="I9" s="401" t="s">
        <v>1119</v>
      </c>
      <c r="J9" s="397">
        <v>13</v>
      </c>
      <c r="K9" s="429">
        <v>1000000</v>
      </c>
      <c r="L9" s="429">
        <v>1000000</v>
      </c>
    </row>
    <row r="10" spans="1:13" ht="20.25" customHeight="1">
      <c r="A10" s="384" t="s">
        <v>1120</v>
      </c>
      <c r="B10" s="393" t="s">
        <v>118</v>
      </c>
      <c r="C10" s="397"/>
      <c r="D10" s="429">
        <v>1233344852</v>
      </c>
      <c r="E10" s="429">
        <v>0</v>
      </c>
      <c r="F10" s="429">
        <v>1233344852</v>
      </c>
      <c r="G10" s="429">
        <v>792677602</v>
      </c>
      <c r="H10" s="397" t="s">
        <v>1121</v>
      </c>
      <c r="I10" s="401" t="s">
        <v>1122</v>
      </c>
      <c r="J10" s="397">
        <v>13</v>
      </c>
      <c r="K10" s="430">
        <v>0</v>
      </c>
      <c r="L10" s="430">
        <v>0</v>
      </c>
    </row>
    <row r="11" spans="1:13" ht="20.25" customHeight="1">
      <c r="A11" s="384" t="s">
        <v>1123</v>
      </c>
      <c r="B11" s="393" t="s">
        <v>119</v>
      </c>
      <c r="C11" s="397"/>
      <c r="D11" s="429">
        <v>48082133</v>
      </c>
      <c r="E11" s="429">
        <v>27850203</v>
      </c>
      <c r="F11" s="429">
        <v>20231930</v>
      </c>
      <c r="G11" s="429">
        <v>32910436</v>
      </c>
      <c r="H11" s="397" t="s">
        <v>1124</v>
      </c>
      <c r="I11" s="401" t="s">
        <v>1125</v>
      </c>
      <c r="J11" s="397">
        <v>14</v>
      </c>
      <c r="K11" s="429">
        <v>0</v>
      </c>
      <c r="L11" s="429">
        <v>0</v>
      </c>
    </row>
    <row r="12" spans="1:13" ht="20.25" customHeight="1">
      <c r="A12" s="384" t="s">
        <v>1126</v>
      </c>
      <c r="B12" s="393" t="s">
        <v>120</v>
      </c>
      <c r="C12" s="397"/>
      <c r="D12" s="429">
        <v>0</v>
      </c>
      <c r="E12" s="429">
        <v>0</v>
      </c>
      <c r="F12" s="429">
        <v>0</v>
      </c>
      <c r="G12" s="429">
        <v>0</v>
      </c>
      <c r="H12" s="397" t="s">
        <v>1127</v>
      </c>
      <c r="I12" s="401" t="s">
        <v>1128</v>
      </c>
      <c r="J12" s="397" t="s">
        <v>1129</v>
      </c>
      <c r="K12" s="429">
        <v>0</v>
      </c>
      <c r="L12" s="429">
        <v>0</v>
      </c>
    </row>
    <row r="13" spans="1:13" ht="20.25" customHeight="1">
      <c r="A13" s="384" t="s">
        <v>1130</v>
      </c>
      <c r="B13" s="393" t="s">
        <v>121</v>
      </c>
      <c r="C13" s="397"/>
      <c r="D13" s="429">
        <v>0</v>
      </c>
      <c r="E13" s="429">
        <v>0</v>
      </c>
      <c r="F13" s="429">
        <v>0</v>
      </c>
      <c r="G13" s="429">
        <v>0</v>
      </c>
      <c r="H13" s="397" t="s">
        <v>1131</v>
      </c>
      <c r="I13" s="401" t="s">
        <v>1132</v>
      </c>
      <c r="J13" s="397">
        <v>14</v>
      </c>
      <c r="K13" s="429">
        <v>0</v>
      </c>
      <c r="L13" s="429">
        <v>0</v>
      </c>
    </row>
    <row r="14" spans="1:13" ht="20.25" customHeight="1">
      <c r="A14" s="403" t="s">
        <v>1133</v>
      </c>
      <c r="B14" s="405" t="s">
        <v>122</v>
      </c>
      <c r="C14" s="403">
        <v>3</v>
      </c>
      <c r="D14" s="428">
        <v>124369634</v>
      </c>
      <c r="E14" s="428">
        <v>34608770</v>
      </c>
      <c r="F14" s="428">
        <v>89760864</v>
      </c>
      <c r="G14" s="428">
        <v>103267711</v>
      </c>
      <c r="H14" s="397" t="s">
        <v>1134</v>
      </c>
      <c r="I14" s="401" t="s">
        <v>123</v>
      </c>
      <c r="J14" s="397">
        <v>14</v>
      </c>
      <c r="K14" s="429">
        <v>0</v>
      </c>
      <c r="L14" s="429">
        <v>0</v>
      </c>
    </row>
    <row r="15" spans="1:13" ht="32.25" customHeight="1">
      <c r="A15" s="384" t="s">
        <v>1135</v>
      </c>
      <c r="B15" s="394" t="s">
        <v>1136</v>
      </c>
      <c r="C15" s="397"/>
      <c r="D15" s="429">
        <v>55055888</v>
      </c>
      <c r="E15" s="429">
        <v>0</v>
      </c>
      <c r="F15" s="429">
        <v>55055888</v>
      </c>
      <c r="G15" s="429">
        <v>55055888</v>
      </c>
      <c r="H15" s="397" t="s">
        <v>1137</v>
      </c>
      <c r="I15" s="401" t="s">
        <v>1219</v>
      </c>
      <c r="J15" s="397">
        <v>14</v>
      </c>
      <c r="K15" s="429">
        <v>-44568721</v>
      </c>
      <c r="L15" s="429">
        <v>-16910741</v>
      </c>
    </row>
    <row r="16" spans="1:13" ht="32.25" customHeight="1">
      <c r="A16" s="384" t="s">
        <v>1138</v>
      </c>
      <c r="B16" s="395" t="s">
        <v>1139</v>
      </c>
      <c r="C16" s="397"/>
      <c r="D16" s="429">
        <v>0</v>
      </c>
      <c r="E16" s="429">
        <v>0</v>
      </c>
      <c r="F16" s="429">
        <v>0</v>
      </c>
      <c r="G16" s="429">
        <v>0</v>
      </c>
      <c r="H16" s="397" t="s">
        <v>1140</v>
      </c>
      <c r="I16" s="401" t="s">
        <v>1141</v>
      </c>
      <c r="J16" s="397"/>
      <c r="K16" s="429">
        <v>-29258243</v>
      </c>
      <c r="L16" s="429">
        <v>-27657980</v>
      </c>
    </row>
    <row r="17" spans="1:12" ht="20.25" customHeight="1">
      <c r="A17" s="384" t="s">
        <v>1142</v>
      </c>
      <c r="B17" s="393" t="s">
        <v>124</v>
      </c>
      <c r="C17" s="397"/>
      <c r="D17" s="429">
        <v>0</v>
      </c>
      <c r="E17" s="429">
        <v>0</v>
      </c>
      <c r="F17" s="429">
        <v>0</v>
      </c>
      <c r="G17" s="429">
        <v>0</v>
      </c>
      <c r="H17" s="397" t="s">
        <v>1143</v>
      </c>
      <c r="I17" s="401" t="s">
        <v>1144</v>
      </c>
      <c r="J17" s="397">
        <v>15</v>
      </c>
      <c r="K17" s="429">
        <v>0</v>
      </c>
      <c r="L17" s="429">
        <v>0</v>
      </c>
    </row>
    <row r="18" spans="1:12" ht="20.25" customHeight="1">
      <c r="A18" s="384" t="s">
        <v>1145</v>
      </c>
      <c r="B18" s="393" t="s">
        <v>125</v>
      </c>
      <c r="C18" s="397"/>
      <c r="D18" s="429">
        <v>69313746</v>
      </c>
      <c r="E18" s="429">
        <v>34608770</v>
      </c>
      <c r="F18" s="429">
        <v>34704976</v>
      </c>
      <c r="G18" s="429">
        <v>47943490</v>
      </c>
      <c r="H18" s="397" t="s">
        <v>1146</v>
      </c>
      <c r="I18" s="401" t="s">
        <v>1147</v>
      </c>
      <c r="J18" s="397">
        <v>15</v>
      </c>
      <c r="K18" s="429">
        <v>0</v>
      </c>
      <c r="L18" s="429">
        <v>0</v>
      </c>
    </row>
    <row r="19" spans="1:12" ht="20.25" customHeight="1">
      <c r="A19" s="384" t="s">
        <v>1148</v>
      </c>
      <c r="B19" s="393" t="s">
        <v>126</v>
      </c>
      <c r="C19" s="397"/>
      <c r="D19" s="429">
        <v>0</v>
      </c>
      <c r="E19" s="429">
        <v>0</v>
      </c>
      <c r="F19" s="429">
        <v>0</v>
      </c>
      <c r="G19" s="429">
        <v>268333</v>
      </c>
      <c r="H19" s="403" t="s">
        <v>1149</v>
      </c>
      <c r="I19" s="405" t="s">
        <v>1150</v>
      </c>
      <c r="J19" s="402"/>
      <c r="K19" s="428">
        <v>-72826964</v>
      </c>
      <c r="L19" s="428">
        <v>-43568721</v>
      </c>
    </row>
    <row r="20" spans="1:12" ht="20.25" customHeight="1">
      <c r="A20" s="391" t="s">
        <v>1151</v>
      </c>
      <c r="B20" s="392" t="s">
        <v>1152</v>
      </c>
      <c r="C20" s="399">
        <v>3</v>
      </c>
      <c r="D20" s="429">
        <v>0</v>
      </c>
      <c r="E20" s="429">
        <v>0</v>
      </c>
      <c r="F20" s="429">
        <v>0</v>
      </c>
      <c r="G20" s="429">
        <v>0</v>
      </c>
      <c r="H20" s="397" t="s">
        <v>1153</v>
      </c>
      <c r="I20" s="401" t="s">
        <v>1154</v>
      </c>
      <c r="J20" s="397">
        <v>16</v>
      </c>
      <c r="K20" s="429">
        <v>0</v>
      </c>
      <c r="L20" s="429">
        <v>0</v>
      </c>
    </row>
    <row r="21" spans="1:12" s="396" customFormat="1" ht="20.25" customHeight="1">
      <c r="A21" s="403" t="s">
        <v>1155</v>
      </c>
      <c r="B21" s="405" t="s">
        <v>113</v>
      </c>
      <c r="C21" s="403">
        <v>4</v>
      </c>
      <c r="D21" s="428">
        <v>0</v>
      </c>
      <c r="E21" s="428">
        <v>0</v>
      </c>
      <c r="F21" s="428">
        <v>0</v>
      </c>
      <c r="G21" s="428">
        <v>0</v>
      </c>
      <c r="H21" s="399" t="s">
        <v>1156</v>
      </c>
      <c r="I21" s="400" t="s">
        <v>1157</v>
      </c>
      <c r="J21" s="399">
        <v>16</v>
      </c>
      <c r="K21" s="429">
        <v>0</v>
      </c>
      <c r="L21" s="429">
        <v>0</v>
      </c>
    </row>
    <row r="22" spans="1:12" ht="20.25" customHeight="1">
      <c r="A22" s="384" t="s">
        <v>1158</v>
      </c>
      <c r="B22" s="393" t="s">
        <v>127</v>
      </c>
      <c r="C22" s="397"/>
      <c r="D22" s="429">
        <v>0</v>
      </c>
      <c r="E22" s="429">
        <v>0</v>
      </c>
      <c r="F22" s="429">
        <v>0</v>
      </c>
      <c r="G22" s="429">
        <v>0</v>
      </c>
      <c r="H22" s="397" t="s">
        <v>1159</v>
      </c>
      <c r="I22" s="401" t="s">
        <v>1160</v>
      </c>
      <c r="J22" s="397">
        <v>16</v>
      </c>
      <c r="K22" s="429">
        <v>0</v>
      </c>
      <c r="L22" s="429">
        <v>0</v>
      </c>
    </row>
    <row r="23" spans="1:12" ht="20.25" customHeight="1">
      <c r="A23" s="384" t="s">
        <v>1161</v>
      </c>
      <c r="B23" s="393" t="s">
        <v>128</v>
      </c>
      <c r="C23" s="397"/>
      <c r="D23" s="429">
        <v>0</v>
      </c>
      <c r="E23" s="429">
        <v>0</v>
      </c>
      <c r="F23" s="429">
        <v>0</v>
      </c>
      <c r="G23" s="429">
        <v>0</v>
      </c>
      <c r="H23" s="403" t="s">
        <v>1162</v>
      </c>
      <c r="I23" s="405" t="s">
        <v>1163</v>
      </c>
      <c r="J23" s="402"/>
      <c r="K23" s="428">
        <v>0</v>
      </c>
      <c r="L23" s="428">
        <v>0</v>
      </c>
    </row>
    <row r="24" spans="1:12" s="396" customFormat="1" ht="20.25" customHeight="1">
      <c r="A24" s="398" t="s">
        <v>1164</v>
      </c>
      <c r="B24" s="404" t="s">
        <v>1165</v>
      </c>
      <c r="C24" s="398"/>
      <c r="D24" s="431">
        <v>1405796619</v>
      </c>
      <c r="E24" s="431">
        <v>62458973</v>
      </c>
      <c r="F24" s="431">
        <v>1343337646</v>
      </c>
      <c r="G24" s="431">
        <v>928855749</v>
      </c>
      <c r="H24" s="398" t="s">
        <v>1166</v>
      </c>
      <c r="I24" s="404" t="s">
        <v>1167</v>
      </c>
      <c r="J24" s="390"/>
      <c r="K24" s="431">
        <v>-72826964</v>
      </c>
      <c r="L24" s="431">
        <v>-43568721</v>
      </c>
    </row>
    <row r="25" spans="1:12" ht="20.25" customHeight="1">
      <c r="A25" s="399" t="s">
        <v>1168</v>
      </c>
      <c r="B25" s="400" t="s">
        <v>1169</v>
      </c>
      <c r="C25" s="397">
        <v>5</v>
      </c>
      <c r="D25" s="429">
        <v>0</v>
      </c>
      <c r="E25" s="429">
        <v>0</v>
      </c>
      <c r="F25" s="429">
        <v>0</v>
      </c>
      <c r="G25" s="429">
        <v>0</v>
      </c>
      <c r="H25" s="397" t="s">
        <v>1170</v>
      </c>
      <c r="I25" s="401" t="s">
        <v>1171</v>
      </c>
      <c r="J25" s="397">
        <v>5</v>
      </c>
      <c r="K25" s="429">
        <v>0</v>
      </c>
      <c r="L25" s="429">
        <v>0</v>
      </c>
    </row>
    <row r="26" spans="1:12" ht="20.25" customHeight="1">
      <c r="A26" s="399" t="s">
        <v>1172</v>
      </c>
      <c r="B26" s="400" t="s">
        <v>114</v>
      </c>
      <c r="C26" s="397">
        <v>6</v>
      </c>
      <c r="D26" s="429">
        <v>0</v>
      </c>
      <c r="E26" s="429">
        <v>0</v>
      </c>
      <c r="F26" s="429">
        <v>0</v>
      </c>
      <c r="G26" s="429">
        <v>0</v>
      </c>
      <c r="H26" s="397" t="s">
        <v>1173</v>
      </c>
      <c r="I26" s="401" t="s">
        <v>1174</v>
      </c>
      <c r="J26" s="397">
        <v>7</v>
      </c>
      <c r="K26" s="429">
        <v>0</v>
      </c>
      <c r="L26" s="429">
        <v>0</v>
      </c>
    </row>
    <row r="27" spans="1:12" ht="20.25" customHeight="1">
      <c r="A27" s="399" t="s">
        <v>1175</v>
      </c>
      <c r="B27" s="400" t="s">
        <v>1176</v>
      </c>
      <c r="C27" s="397"/>
      <c r="D27" s="429">
        <v>347223</v>
      </c>
      <c r="E27" s="429">
        <v>0</v>
      </c>
      <c r="F27" s="429">
        <v>347223</v>
      </c>
      <c r="G27" s="429">
        <v>1180556</v>
      </c>
      <c r="H27" s="397" t="s">
        <v>1177</v>
      </c>
      <c r="I27" s="401" t="s">
        <v>1178</v>
      </c>
      <c r="J27" s="397">
        <v>17</v>
      </c>
      <c r="K27" s="429">
        <v>25837089</v>
      </c>
      <c r="L27" s="429">
        <v>9713168</v>
      </c>
    </row>
    <row r="28" spans="1:12" ht="20.25" customHeight="1">
      <c r="A28" s="397" t="s">
        <v>1179</v>
      </c>
      <c r="B28" s="401" t="s">
        <v>1180</v>
      </c>
      <c r="C28" s="397">
        <v>17</v>
      </c>
      <c r="D28" s="429">
        <v>0</v>
      </c>
      <c r="E28" s="429">
        <v>0</v>
      </c>
      <c r="F28" s="429">
        <v>0</v>
      </c>
      <c r="G28" s="429">
        <v>0</v>
      </c>
      <c r="H28" s="397" t="s">
        <v>1181</v>
      </c>
      <c r="I28" s="401" t="s">
        <v>1182</v>
      </c>
      <c r="J28" s="397">
        <v>18</v>
      </c>
      <c r="K28" s="429">
        <v>240224</v>
      </c>
      <c r="L28" s="429">
        <v>462087</v>
      </c>
    </row>
    <row r="29" spans="1:12" ht="20.25" customHeight="1">
      <c r="A29" s="397" t="s">
        <v>1183</v>
      </c>
      <c r="B29" s="401" t="s">
        <v>129</v>
      </c>
      <c r="C29" s="397">
        <v>7</v>
      </c>
      <c r="D29" s="429">
        <v>0</v>
      </c>
      <c r="E29" s="429">
        <v>0</v>
      </c>
      <c r="F29" s="429">
        <v>0</v>
      </c>
      <c r="G29" s="429">
        <v>0</v>
      </c>
      <c r="H29" s="397" t="s">
        <v>1184</v>
      </c>
      <c r="I29" s="401" t="s">
        <v>1185</v>
      </c>
      <c r="J29" s="397">
        <v>19</v>
      </c>
      <c r="K29" s="429">
        <v>1390654348</v>
      </c>
      <c r="L29" s="429">
        <v>937969761</v>
      </c>
    </row>
    <row r="30" spans="1:12" ht="20.25" customHeight="1">
      <c r="A30" s="397" t="s">
        <v>1186</v>
      </c>
      <c r="B30" s="401" t="s">
        <v>1187</v>
      </c>
      <c r="C30" s="397">
        <v>8</v>
      </c>
      <c r="D30" s="429">
        <v>347223</v>
      </c>
      <c r="E30" s="429">
        <v>0</v>
      </c>
      <c r="F30" s="429">
        <v>347223</v>
      </c>
      <c r="G30" s="429">
        <v>1180556</v>
      </c>
      <c r="H30" s="397" t="s">
        <v>1188</v>
      </c>
      <c r="I30" s="401" t="s">
        <v>1189</v>
      </c>
      <c r="J30" s="397">
        <v>19</v>
      </c>
      <c r="K30" s="429">
        <v>0</v>
      </c>
      <c r="L30" s="429">
        <v>0</v>
      </c>
    </row>
    <row r="31" spans="1:12" s="396" customFormat="1" ht="20.25" customHeight="1">
      <c r="A31" s="398" t="s">
        <v>1190</v>
      </c>
      <c r="B31" s="404" t="s">
        <v>1191</v>
      </c>
      <c r="C31" s="398"/>
      <c r="D31" s="431">
        <v>347223</v>
      </c>
      <c r="E31" s="431">
        <v>0</v>
      </c>
      <c r="F31" s="431">
        <v>347223</v>
      </c>
      <c r="G31" s="431">
        <v>1180556</v>
      </c>
      <c r="H31" s="398" t="s">
        <v>1192</v>
      </c>
      <c r="I31" s="404" t="s">
        <v>1193</v>
      </c>
      <c r="J31" s="390"/>
      <c r="K31" s="431">
        <v>1416731661</v>
      </c>
      <c r="L31" s="431">
        <v>948145016</v>
      </c>
    </row>
    <row r="32" spans="1:12" ht="20.25" customHeight="1">
      <c r="A32" s="397" t="s">
        <v>1194</v>
      </c>
      <c r="B32" s="401" t="s">
        <v>1195</v>
      </c>
      <c r="C32" s="397">
        <v>9</v>
      </c>
      <c r="D32" s="429">
        <v>0</v>
      </c>
      <c r="E32" s="429">
        <v>0</v>
      </c>
      <c r="F32" s="429">
        <v>0</v>
      </c>
      <c r="G32" s="429">
        <v>0</v>
      </c>
      <c r="H32" s="397"/>
      <c r="I32" s="401"/>
      <c r="J32" s="397"/>
      <c r="K32" s="429"/>
      <c r="L32" s="429"/>
    </row>
    <row r="33" spans="1:12" ht="20.25" customHeight="1">
      <c r="A33" s="397" t="s">
        <v>1196</v>
      </c>
      <c r="B33" s="401" t="s">
        <v>1197</v>
      </c>
      <c r="C33" s="397">
        <v>10</v>
      </c>
      <c r="D33" s="429">
        <v>0</v>
      </c>
      <c r="E33" s="429">
        <v>0</v>
      </c>
      <c r="F33" s="429">
        <v>0</v>
      </c>
      <c r="G33" s="429">
        <v>0</v>
      </c>
      <c r="H33" s="397" t="s">
        <v>1198</v>
      </c>
      <c r="I33" s="401" t="s">
        <v>1230</v>
      </c>
      <c r="J33" s="397">
        <v>20</v>
      </c>
      <c r="K33" s="429">
        <v>0</v>
      </c>
      <c r="L33" s="429">
        <v>0</v>
      </c>
    </row>
    <row r="34" spans="1:12" ht="20.25" customHeight="1">
      <c r="A34" s="397" t="s">
        <v>1199</v>
      </c>
      <c r="B34" s="401" t="s">
        <v>1200</v>
      </c>
      <c r="C34" s="397">
        <v>11</v>
      </c>
      <c r="D34" s="429">
        <v>219828</v>
      </c>
      <c r="E34" s="429">
        <v>0</v>
      </c>
      <c r="F34" s="429">
        <v>219828</v>
      </c>
      <c r="G34" s="429">
        <v>17478658</v>
      </c>
      <c r="H34" s="397" t="s">
        <v>1201</v>
      </c>
      <c r="I34" s="401" t="s">
        <v>1202</v>
      </c>
      <c r="J34" s="397">
        <v>20</v>
      </c>
      <c r="K34" s="429">
        <v>0</v>
      </c>
      <c r="L34" s="429">
        <v>0</v>
      </c>
    </row>
    <row r="35" spans="1:12" s="396" customFormat="1" ht="20.25" customHeight="1">
      <c r="A35" s="398" t="s">
        <v>1203</v>
      </c>
      <c r="B35" s="404" t="s">
        <v>1204</v>
      </c>
      <c r="C35" s="398"/>
      <c r="D35" s="431">
        <v>219828</v>
      </c>
      <c r="E35" s="431">
        <v>0</v>
      </c>
      <c r="F35" s="431">
        <v>219828</v>
      </c>
      <c r="G35" s="431">
        <v>17478658</v>
      </c>
      <c r="H35" s="398" t="s">
        <v>1205</v>
      </c>
      <c r="I35" s="404" t="s">
        <v>1206</v>
      </c>
      <c r="J35" s="390"/>
      <c r="K35" s="431">
        <v>0</v>
      </c>
      <c r="L35" s="431">
        <v>0</v>
      </c>
    </row>
    <row r="36" spans="1:12" ht="20.25" customHeight="1">
      <c r="A36" s="397" t="s">
        <v>1207</v>
      </c>
      <c r="B36" s="401" t="s">
        <v>1208</v>
      </c>
      <c r="C36" s="397">
        <v>12</v>
      </c>
      <c r="D36" s="429">
        <v>0</v>
      </c>
      <c r="E36" s="429">
        <v>0</v>
      </c>
      <c r="F36" s="429">
        <v>0</v>
      </c>
      <c r="G36" s="429">
        <v>0</v>
      </c>
      <c r="H36" s="397" t="s">
        <v>1209</v>
      </c>
      <c r="I36" s="401" t="s">
        <v>1210</v>
      </c>
      <c r="J36" s="397">
        <v>12</v>
      </c>
      <c r="K36" s="429">
        <v>0</v>
      </c>
      <c r="L36" s="429">
        <v>42938668</v>
      </c>
    </row>
    <row r="37" spans="1:12" s="396" customFormat="1" ht="20.25" customHeight="1">
      <c r="A37" s="398" t="s">
        <v>1211</v>
      </c>
      <c r="B37" s="404" t="s">
        <v>130</v>
      </c>
      <c r="C37" s="404"/>
      <c r="D37" s="431">
        <v>1406363670</v>
      </c>
      <c r="E37" s="431">
        <v>62458973</v>
      </c>
      <c r="F37" s="431">
        <v>1343904697</v>
      </c>
      <c r="G37" s="431">
        <v>947514963</v>
      </c>
      <c r="H37" s="398" t="s">
        <v>1212</v>
      </c>
      <c r="I37" s="404" t="s">
        <v>130</v>
      </c>
      <c r="J37" s="390"/>
      <c r="K37" s="431">
        <v>1343904697</v>
      </c>
      <c r="L37" s="431">
        <v>947514963</v>
      </c>
    </row>
  </sheetData>
  <mergeCells count="12">
    <mergeCell ref="A7:A8"/>
    <mergeCell ref="C7:C8"/>
    <mergeCell ref="A1:M1"/>
    <mergeCell ref="A3:B3"/>
    <mergeCell ref="A5:B5"/>
    <mergeCell ref="D5:F5"/>
    <mergeCell ref="J3:K3"/>
    <mergeCell ref="I4:I5"/>
    <mergeCell ref="J4:K5"/>
    <mergeCell ref="H7:H8"/>
    <mergeCell ref="J7:J8"/>
    <mergeCell ref="A4:B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showGridLines="0" workbookViewId="0">
      <selection activeCell="I45" sqref="I45"/>
    </sheetView>
  </sheetViews>
  <sheetFormatPr baseColWidth="10" defaultColWidth="11.42578125" defaultRowHeight="13.7" customHeight="1"/>
  <cols>
    <col min="1" max="1" width="4.140625" style="91" customWidth="1" collapsed="1"/>
    <col min="2" max="2" width="56" style="54" customWidth="1" collapsed="1"/>
    <col min="3" max="3" width="3.140625" style="54" customWidth="1" collapsed="1"/>
    <col min="4" max="4" width="8.42578125" style="54" customWidth="1" collapsed="1"/>
    <col min="5" max="6" width="13.85546875" style="54" customWidth="1" collapsed="1"/>
    <col min="7" max="16384" width="11.42578125" style="54" collapsed="1"/>
  </cols>
  <sheetData>
    <row r="1" spans="1:6" s="294" customFormat="1" ht="24.6" customHeight="1">
      <c r="A1" s="727" t="s">
        <v>1081</v>
      </c>
      <c r="B1" s="727"/>
      <c r="C1" s="727"/>
      <c r="D1" s="727"/>
      <c r="E1" s="727"/>
      <c r="F1" s="727"/>
    </row>
    <row r="2" spans="1:6" s="294" customFormat="1" ht="8.1" customHeight="1">
      <c r="C2" s="295"/>
    </row>
    <row r="3" spans="1:6" s="294" customFormat="1" ht="25.5" customHeight="1">
      <c r="A3" s="711" t="s">
        <v>1235</v>
      </c>
      <c r="B3" s="711"/>
      <c r="C3" s="711"/>
      <c r="D3" s="294" t="s">
        <v>269</v>
      </c>
      <c r="E3" s="712">
        <f>+'Fiche de renseignement R1'!$V$10</f>
        <v>45657</v>
      </c>
      <c r="F3" s="713"/>
    </row>
    <row r="4" spans="1:6" s="294" customFormat="1" ht="15" customHeight="1">
      <c r="A4" s="714" t="str">
        <f>'Fiche de renseignement R1'!$J$4</f>
        <v>MANDINGA RESSOURCES SARL</v>
      </c>
      <c r="B4" s="713"/>
      <c r="C4" s="713"/>
      <c r="D4" s="715" t="s">
        <v>270</v>
      </c>
      <c r="E4" s="716">
        <f>+'Fiche de renseignement R1'!$AH$10</f>
        <v>12</v>
      </c>
      <c r="F4" s="717"/>
    </row>
    <row r="5" spans="1:6" s="294" customFormat="1" ht="30.95" customHeight="1">
      <c r="A5" s="296" t="s">
        <v>271</v>
      </c>
      <c r="B5" s="718" t="str">
        <f>+'Fiche de renseignement R1'!$J$10</f>
        <v>006495693</v>
      </c>
      <c r="C5" s="719"/>
      <c r="D5" s="715"/>
      <c r="E5" s="713"/>
      <c r="F5" s="713"/>
    </row>
    <row r="6" spans="1:6" ht="12.75"/>
    <row r="7" spans="1:6" ht="18" customHeight="1">
      <c r="A7" s="58" t="s">
        <v>115</v>
      </c>
      <c r="B7" s="88" t="s">
        <v>131</v>
      </c>
      <c r="C7" s="88"/>
      <c r="D7" s="58" t="s">
        <v>132</v>
      </c>
      <c r="E7" s="89" t="s">
        <v>133</v>
      </c>
      <c r="F7" s="89" t="s">
        <v>134</v>
      </c>
    </row>
    <row r="8" spans="1:6" ht="12.75">
      <c r="A8" s="71" t="s">
        <v>135</v>
      </c>
      <c r="B8" s="67" t="s">
        <v>821</v>
      </c>
      <c r="C8" s="71" t="s">
        <v>136</v>
      </c>
      <c r="D8" s="71">
        <v>21</v>
      </c>
      <c r="E8" s="432">
        <v>0</v>
      </c>
      <c r="F8" s="432">
        <v>0</v>
      </c>
    </row>
    <row r="9" spans="1:6" ht="12.75">
      <c r="A9" s="71" t="s">
        <v>137</v>
      </c>
      <c r="B9" s="67" t="s">
        <v>138</v>
      </c>
      <c r="C9" s="71" t="s">
        <v>139</v>
      </c>
      <c r="D9" s="71">
        <v>22</v>
      </c>
      <c r="E9" s="432">
        <v>4554724</v>
      </c>
      <c r="F9" s="432">
        <v>0</v>
      </c>
    </row>
    <row r="10" spans="1:6" ht="12.75">
      <c r="A10" s="71" t="s">
        <v>140</v>
      </c>
      <c r="B10" s="260" t="s">
        <v>1236</v>
      </c>
      <c r="C10" s="71" t="s">
        <v>141</v>
      </c>
      <c r="D10" s="71">
        <v>6</v>
      </c>
      <c r="E10" s="432">
        <v>0</v>
      </c>
      <c r="F10" s="432">
        <v>0</v>
      </c>
    </row>
    <row r="11" spans="1:6" ht="12.75">
      <c r="A11" s="58" t="s">
        <v>142</v>
      </c>
      <c r="B11" s="88" t="s">
        <v>143</v>
      </c>
      <c r="C11" s="58"/>
      <c r="D11" s="58"/>
      <c r="E11" s="433">
        <v>-4554724</v>
      </c>
      <c r="F11" s="433">
        <v>0</v>
      </c>
    </row>
    <row r="12" spans="1:6" ht="12.75">
      <c r="A12" s="71" t="s">
        <v>144</v>
      </c>
      <c r="B12" s="67" t="s">
        <v>822</v>
      </c>
      <c r="C12" s="71" t="s">
        <v>136</v>
      </c>
      <c r="D12" s="71">
        <v>21</v>
      </c>
      <c r="E12" s="432">
        <v>0</v>
      </c>
      <c r="F12" s="432">
        <v>0</v>
      </c>
    </row>
    <row r="13" spans="1:6" ht="12.75">
      <c r="A13" s="71" t="s">
        <v>145</v>
      </c>
      <c r="B13" s="67" t="s">
        <v>823</v>
      </c>
      <c r="C13" s="71" t="s">
        <v>136</v>
      </c>
      <c r="D13" s="71">
        <v>21</v>
      </c>
      <c r="E13" s="432">
        <v>0</v>
      </c>
      <c r="F13" s="432">
        <v>0</v>
      </c>
    </row>
    <row r="14" spans="1:6" ht="12.75">
      <c r="A14" s="71" t="s">
        <v>146</v>
      </c>
      <c r="B14" s="67" t="s">
        <v>824</v>
      </c>
      <c r="C14" s="71" t="s">
        <v>136</v>
      </c>
      <c r="D14" s="71">
        <v>21</v>
      </c>
      <c r="E14" s="432">
        <v>0</v>
      </c>
      <c r="F14" s="432">
        <v>0</v>
      </c>
    </row>
    <row r="15" spans="1:6" ht="12.75">
      <c r="A15" s="58" t="s">
        <v>147</v>
      </c>
      <c r="B15" s="88" t="s">
        <v>148</v>
      </c>
      <c r="C15" s="58"/>
      <c r="D15" s="58"/>
      <c r="E15" s="433">
        <v>0</v>
      </c>
      <c r="F15" s="433">
        <v>0</v>
      </c>
    </row>
    <row r="16" spans="1:6" ht="12.75">
      <c r="A16" s="71" t="s">
        <v>149</v>
      </c>
      <c r="B16" s="67" t="s">
        <v>150</v>
      </c>
      <c r="C16" s="71" t="s">
        <v>141</v>
      </c>
      <c r="D16" s="71">
        <v>6</v>
      </c>
      <c r="E16" s="432">
        <v>0</v>
      </c>
      <c r="F16" s="432">
        <v>0</v>
      </c>
    </row>
    <row r="17" spans="1:6" ht="12.75">
      <c r="A17" s="71" t="s">
        <v>151</v>
      </c>
      <c r="B17" s="67" t="s">
        <v>152</v>
      </c>
      <c r="C17" s="71"/>
      <c r="D17" s="71">
        <v>21</v>
      </c>
      <c r="E17" s="432">
        <v>0</v>
      </c>
      <c r="F17" s="432">
        <v>0</v>
      </c>
    </row>
    <row r="18" spans="1:6" ht="12.75">
      <c r="A18" s="71" t="s">
        <v>153</v>
      </c>
      <c r="B18" s="67" t="s">
        <v>154</v>
      </c>
      <c r="C18" s="71"/>
      <c r="D18" s="71">
        <v>21</v>
      </c>
      <c r="E18" s="432">
        <v>0</v>
      </c>
      <c r="F18" s="432">
        <v>0</v>
      </c>
    </row>
    <row r="19" spans="1:6" ht="12.75">
      <c r="A19" s="71" t="s">
        <v>155</v>
      </c>
      <c r="B19" s="67" t="s">
        <v>156</v>
      </c>
      <c r="C19" s="71" t="s">
        <v>136</v>
      </c>
      <c r="D19" s="71">
        <v>21</v>
      </c>
      <c r="E19" s="432">
        <v>42900</v>
      </c>
      <c r="F19" s="432">
        <v>1923100</v>
      </c>
    </row>
    <row r="20" spans="1:6" s="237" customFormat="1" ht="12.75">
      <c r="A20" s="243" t="s">
        <v>157</v>
      </c>
      <c r="B20" s="260" t="s">
        <v>1237</v>
      </c>
      <c r="C20" s="243" t="s">
        <v>136</v>
      </c>
      <c r="D20" s="243">
        <v>12</v>
      </c>
      <c r="E20" s="432">
        <v>0</v>
      </c>
      <c r="F20" s="432">
        <v>255488655</v>
      </c>
    </row>
    <row r="21" spans="1:6" ht="12.75">
      <c r="A21" s="71" t="s">
        <v>158</v>
      </c>
      <c r="B21" s="67" t="s">
        <v>159</v>
      </c>
      <c r="C21" s="71" t="s">
        <v>139</v>
      </c>
      <c r="D21" s="71">
        <v>22</v>
      </c>
      <c r="E21" s="432">
        <v>0</v>
      </c>
      <c r="F21" s="432">
        <v>0</v>
      </c>
    </row>
    <row r="22" spans="1:6" ht="12.75">
      <c r="A22" s="71" t="s">
        <v>160</v>
      </c>
      <c r="B22" s="67" t="s">
        <v>161</v>
      </c>
      <c r="C22" s="71" t="s">
        <v>141</v>
      </c>
      <c r="D22" s="71">
        <v>6</v>
      </c>
      <c r="E22" s="432">
        <v>0</v>
      </c>
      <c r="F22" s="432">
        <v>0</v>
      </c>
    </row>
    <row r="23" spans="1:6" ht="12.75">
      <c r="A23" s="71" t="s">
        <v>162</v>
      </c>
      <c r="B23" s="67" t="s">
        <v>163</v>
      </c>
      <c r="C23" s="71" t="s">
        <v>139</v>
      </c>
      <c r="D23" s="71">
        <v>22</v>
      </c>
      <c r="E23" s="432">
        <v>280483792</v>
      </c>
      <c r="F23" s="432">
        <v>88747393</v>
      </c>
    </row>
    <row r="24" spans="1:6" ht="12.75">
      <c r="A24" s="71" t="s">
        <v>164</v>
      </c>
      <c r="B24" s="67" t="s">
        <v>165</v>
      </c>
      <c r="C24" s="71" t="s">
        <v>141</v>
      </c>
      <c r="D24" s="71">
        <v>6</v>
      </c>
      <c r="E24" s="432">
        <v>0</v>
      </c>
      <c r="F24" s="432">
        <v>0</v>
      </c>
    </row>
    <row r="25" spans="1:6" ht="12.75">
      <c r="A25" s="71" t="s">
        <v>166</v>
      </c>
      <c r="B25" s="67" t="s">
        <v>167</v>
      </c>
      <c r="C25" s="71" t="s">
        <v>139</v>
      </c>
      <c r="D25" s="71">
        <v>23</v>
      </c>
      <c r="E25" s="432">
        <v>9538476</v>
      </c>
      <c r="F25" s="432">
        <v>2554135</v>
      </c>
    </row>
    <row r="26" spans="1:6" ht="12.75">
      <c r="A26" s="71" t="s">
        <v>168</v>
      </c>
      <c r="B26" s="67" t="s">
        <v>169</v>
      </c>
      <c r="C26" s="71" t="s">
        <v>139</v>
      </c>
      <c r="D26" s="71">
        <v>24</v>
      </c>
      <c r="E26" s="432">
        <v>54253447</v>
      </c>
      <c r="F26" s="432">
        <v>133182325</v>
      </c>
    </row>
    <row r="27" spans="1:6" ht="12.75">
      <c r="A27" s="71" t="s">
        <v>170</v>
      </c>
      <c r="B27" s="67" t="s">
        <v>171</v>
      </c>
      <c r="C27" s="71" t="s">
        <v>139</v>
      </c>
      <c r="D27" s="71">
        <v>25</v>
      </c>
      <c r="E27" s="432">
        <v>5049333</v>
      </c>
      <c r="F27" s="432">
        <v>22770914</v>
      </c>
    </row>
    <row r="28" spans="1:6" ht="12.75">
      <c r="A28" s="71" t="s">
        <v>172</v>
      </c>
      <c r="B28" s="67" t="s">
        <v>173</v>
      </c>
      <c r="C28" s="71" t="s">
        <v>139</v>
      </c>
      <c r="D28" s="71">
        <v>26</v>
      </c>
      <c r="E28" s="432">
        <v>9387457</v>
      </c>
      <c r="F28" s="432">
        <v>10156988</v>
      </c>
    </row>
    <row r="29" spans="1:6" ht="12.75">
      <c r="A29" s="58" t="s">
        <v>174</v>
      </c>
      <c r="B29" s="88" t="s">
        <v>175</v>
      </c>
      <c r="C29" s="58"/>
      <c r="D29" s="58"/>
      <c r="E29" s="433">
        <v>-363224329</v>
      </c>
      <c r="F29" s="433">
        <v>0</v>
      </c>
    </row>
    <row r="30" spans="1:6" ht="12.75">
      <c r="A30" s="71" t="s">
        <v>176</v>
      </c>
      <c r="B30" s="67" t="s">
        <v>177</v>
      </c>
      <c r="C30" s="71" t="s">
        <v>139</v>
      </c>
      <c r="D30" s="71">
        <v>27</v>
      </c>
      <c r="E30" s="432">
        <v>77442921</v>
      </c>
      <c r="F30" s="432">
        <v>0</v>
      </c>
    </row>
    <row r="31" spans="1:6" ht="12.75">
      <c r="A31" s="58" t="s">
        <v>178</v>
      </c>
      <c r="B31" s="88" t="s">
        <v>179</v>
      </c>
      <c r="C31" s="58"/>
      <c r="D31" s="58"/>
      <c r="E31" s="433">
        <v>-440667250</v>
      </c>
      <c r="F31" s="433">
        <v>0</v>
      </c>
    </row>
    <row r="32" spans="1:6" ht="12.75">
      <c r="A32" s="205" t="s">
        <v>180</v>
      </c>
      <c r="B32" s="204" t="s">
        <v>181</v>
      </c>
      <c r="C32" s="205" t="s">
        <v>136</v>
      </c>
      <c r="D32" s="205">
        <v>28</v>
      </c>
      <c r="E32" s="432">
        <v>440667250</v>
      </c>
      <c r="F32" s="432">
        <v>0</v>
      </c>
    </row>
    <row r="33" spans="1:6" s="237" customFormat="1" ht="12.75">
      <c r="A33" s="243" t="s">
        <v>182</v>
      </c>
      <c r="B33" s="260" t="s">
        <v>183</v>
      </c>
      <c r="C33" s="243" t="s">
        <v>139</v>
      </c>
      <c r="D33" s="243" t="s">
        <v>184</v>
      </c>
      <c r="E33" s="432">
        <v>29258243</v>
      </c>
      <c r="F33" s="432">
        <v>27657980</v>
      </c>
    </row>
    <row r="34" spans="1:6" ht="12.75">
      <c r="A34" s="58" t="s">
        <v>185</v>
      </c>
      <c r="B34" s="88" t="s">
        <v>186</v>
      </c>
      <c r="C34" s="58"/>
      <c r="D34" s="58"/>
      <c r="E34" s="433">
        <v>-29258243</v>
      </c>
      <c r="F34" s="433">
        <v>-27657980</v>
      </c>
    </row>
    <row r="35" spans="1:6" ht="12.75">
      <c r="A35" s="71" t="s">
        <v>187</v>
      </c>
      <c r="B35" s="67" t="s">
        <v>188</v>
      </c>
      <c r="C35" s="71" t="s">
        <v>136</v>
      </c>
      <c r="D35" s="71">
        <v>29</v>
      </c>
      <c r="E35" s="432">
        <v>0</v>
      </c>
      <c r="F35" s="432">
        <v>0</v>
      </c>
    </row>
    <row r="36" spans="1:6" ht="12.75">
      <c r="A36" s="71" t="s">
        <v>189</v>
      </c>
      <c r="B36" s="67" t="s">
        <v>190</v>
      </c>
      <c r="C36" s="71" t="s">
        <v>136</v>
      </c>
      <c r="D36" s="71">
        <v>28</v>
      </c>
      <c r="E36" s="432">
        <v>0</v>
      </c>
      <c r="F36" s="432">
        <v>0</v>
      </c>
    </row>
    <row r="37" spans="1:6" ht="12.75">
      <c r="A37" s="71" t="s">
        <v>191</v>
      </c>
      <c r="B37" s="67" t="s">
        <v>192</v>
      </c>
      <c r="C37" s="71" t="s">
        <v>136</v>
      </c>
      <c r="D37" s="71">
        <v>12</v>
      </c>
      <c r="E37" s="432">
        <v>0</v>
      </c>
      <c r="F37" s="432">
        <v>0</v>
      </c>
    </row>
    <row r="38" spans="1:6" ht="12.75">
      <c r="A38" s="71" t="s">
        <v>193</v>
      </c>
      <c r="B38" s="67" t="s">
        <v>194</v>
      </c>
      <c r="C38" s="71" t="s">
        <v>139</v>
      </c>
      <c r="D38" s="71">
        <v>29</v>
      </c>
      <c r="E38" s="432">
        <v>0</v>
      </c>
      <c r="F38" s="432">
        <v>0</v>
      </c>
    </row>
    <row r="39" spans="1:6" ht="12.75">
      <c r="A39" s="71" t="s">
        <v>195</v>
      </c>
      <c r="B39" s="67" t="s">
        <v>196</v>
      </c>
      <c r="C39" s="71" t="s">
        <v>139</v>
      </c>
      <c r="D39" s="71" t="s">
        <v>184</v>
      </c>
      <c r="E39" s="432">
        <v>0</v>
      </c>
      <c r="F39" s="432">
        <v>0</v>
      </c>
    </row>
    <row r="40" spans="1:6" ht="12.75">
      <c r="A40" s="58" t="s">
        <v>197</v>
      </c>
      <c r="B40" s="88" t="s">
        <v>198</v>
      </c>
      <c r="C40" s="58"/>
      <c r="D40" s="58"/>
      <c r="E40" s="433">
        <v>0</v>
      </c>
      <c r="F40" s="433">
        <v>0</v>
      </c>
    </row>
    <row r="41" spans="1:6" ht="12.75">
      <c r="A41" s="90" t="s">
        <v>199</v>
      </c>
      <c r="B41" s="66" t="s">
        <v>200</v>
      </c>
      <c r="C41" s="90"/>
      <c r="D41" s="90"/>
      <c r="E41" s="434">
        <v>-29258243</v>
      </c>
      <c r="F41" s="434">
        <v>-27657980</v>
      </c>
    </row>
    <row r="42" spans="1:6" ht="12.75">
      <c r="A42" s="71" t="s">
        <v>201</v>
      </c>
      <c r="B42" s="67" t="s">
        <v>202</v>
      </c>
      <c r="C42" s="71" t="s">
        <v>136</v>
      </c>
      <c r="D42" s="71" t="s">
        <v>203</v>
      </c>
      <c r="E42" s="432">
        <v>0</v>
      </c>
      <c r="F42" s="432">
        <v>0</v>
      </c>
    </row>
    <row r="43" spans="1:6" ht="12.75">
      <c r="A43" s="71" t="s">
        <v>204</v>
      </c>
      <c r="B43" s="67" t="s">
        <v>205</v>
      </c>
      <c r="C43" s="71" t="s">
        <v>136</v>
      </c>
      <c r="D43" s="71">
        <v>30</v>
      </c>
      <c r="E43" s="432">
        <v>0</v>
      </c>
      <c r="F43" s="432">
        <v>0</v>
      </c>
    </row>
    <row r="44" spans="1:6" ht="12.75">
      <c r="A44" s="71" t="s">
        <v>206</v>
      </c>
      <c r="B44" s="67" t="s">
        <v>207</v>
      </c>
      <c r="C44" s="71" t="s">
        <v>139</v>
      </c>
      <c r="D44" s="71" t="s">
        <v>203</v>
      </c>
      <c r="E44" s="432">
        <v>0</v>
      </c>
      <c r="F44" s="432">
        <v>0</v>
      </c>
    </row>
    <row r="45" spans="1:6" ht="12.75">
      <c r="A45" s="71" t="s">
        <v>208</v>
      </c>
      <c r="B45" s="67" t="s">
        <v>209</v>
      </c>
      <c r="C45" s="71" t="s">
        <v>139</v>
      </c>
      <c r="D45" s="71">
        <v>30</v>
      </c>
      <c r="E45" s="432">
        <v>0</v>
      </c>
      <c r="F45" s="432">
        <v>0</v>
      </c>
    </row>
    <row r="46" spans="1:6" ht="12.75">
      <c r="A46" s="90" t="s">
        <v>210</v>
      </c>
      <c r="B46" s="66" t="s">
        <v>211</v>
      </c>
      <c r="C46" s="90"/>
      <c r="D46" s="90"/>
      <c r="E46" s="434">
        <v>0</v>
      </c>
      <c r="F46" s="434">
        <v>0</v>
      </c>
    </row>
    <row r="47" spans="1:6" ht="12.75">
      <c r="A47" s="71" t="s">
        <v>212</v>
      </c>
      <c r="B47" s="67" t="s">
        <v>213</v>
      </c>
      <c r="C47" s="71" t="s">
        <v>139</v>
      </c>
      <c r="D47" s="71">
        <v>30</v>
      </c>
      <c r="E47" s="432">
        <v>0</v>
      </c>
      <c r="F47" s="432">
        <v>0</v>
      </c>
    </row>
    <row r="48" spans="1:6" ht="12.75">
      <c r="A48" s="71" t="s">
        <v>214</v>
      </c>
      <c r="B48" s="67" t="s">
        <v>215</v>
      </c>
      <c r="C48" s="71" t="s">
        <v>139</v>
      </c>
      <c r="D48" s="71">
        <v>37</v>
      </c>
      <c r="E48" s="432">
        <v>0</v>
      </c>
      <c r="F48" s="432">
        <v>0</v>
      </c>
    </row>
    <row r="49" spans="1:6" ht="12.75">
      <c r="A49" s="58" t="s">
        <v>216</v>
      </c>
      <c r="B49" s="88" t="s">
        <v>217</v>
      </c>
      <c r="C49" s="58"/>
      <c r="D49" s="88"/>
      <c r="E49" s="433">
        <v>-29258243</v>
      </c>
      <c r="F49" s="433">
        <v>-27657980</v>
      </c>
    </row>
  </sheetData>
  <mergeCells count="7">
    <mergeCell ref="E4:F5"/>
    <mergeCell ref="B5:C5"/>
    <mergeCell ref="A3:C3"/>
    <mergeCell ref="A4:C4"/>
    <mergeCell ref="A1:F1"/>
    <mergeCell ref="E3:F3"/>
    <mergeCell ref="D4:D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topLeftCell="A16" zoomScaleNormal="100" workbookViewId="0">
      <selection sqref="A1:F1"/>
    </sheetView>
  </sheetViews>
  <sheetFormatPr baseColWidth="10" defaultColWidth="11.42578125" defaultRowHeight="13.7" customHeight="1"/>
  <cols>
    <col min="1" max="1" width="4.5703125" style="91" customWidth="1" collapsed="1"/>
    <col min="2" max="2" width="71" style="54" customWidth="1" collapsed="1"/>
    <col min="3" max="3" width="3.140625" style="91" customWidth="1" collapsed="1"/>
    <col min="4" max="4" width="8.5703125" style="54" customWidth="1" collapsed="1"/>
    <col min="5" max="6" width="14.140625" style="54" customWidth="1" collapsed="1"/>
    <col min="7" max="16384" width="11.42578125" style="54" collapsed="1"/>
  </cols>
  <sheetData>
    <row r="1" spans="1:6" s="294" customFormat="1" ht="24.6" customHeight="1">
      <c r="A1" s="727" t="s">
        <v>1082</v>
      </c>
      <c r="B1" s="727"/>
      <c r="C1" s="727"/>
      <c r="D1" s="727"/>
      <c r="E1" s="727"/>
      <c r="F1" s="727"/>
    </row>
    <row r="2" spans="1:6" s="294" customFormat="1" ht="8.1" customHeight="1">
      <c r="C2" s="295"/>
    </row>
    <row r="3" spans="1:6" s="294" customFormat="1" ht="25.5" customHeight="1">
      <c r="A3" s="728" t="s">
        <v>1235</v>
      </c>
      <c r="B3" s="728"/>
      <c r="C3" s="728"/>
      <c r="D3" s="297" t="s">
        <v>269</v>
      </c>
      <c r="E3" s="712">
        <f>+'Fiche de renseignement R1'!$V$10</f>
        <v>45657</v>
      </c>
      <c r="F3" s="713"/>
    </row>
    <row r="4" spans="1:6" s="294" customFormat="1" ht="15" customHeight="1">
      <c r="A4" s="714" t="str">
        <f>'Fiche de renseignement R1'!$J$4</f>
        <v>MANDINGA RESSOURCES SARL</v>
      </c>
      <c r="B4" s="713"/>
      <c r="C4" s="713"/>
      <c r="D4" s="729" t="s">
        <v>270</v>
      </c>
      <c r="E4" s="716">
        <f>+'Fiche de renseignement R1'!$AH$10</f>
        <v>12</v>
      </c>
      <c r="F4" s="717"/>
    </row>
    <row r="5" spans="1:6" s="294" customFormat="1" ht="30.95" customHeight="1">
      <c r="A5" s="298" t="s">
        <v>271</v>
      </c>
      <c r="B5" s="718" t="str">
        <f>+'Fiche de renseignement R1'!$J$10</f>
        <v>006495693</v>
      </c>
      <c r="C5" s="719"/>
      <c r="D5" s="729"/>
      <c r="E5" s="713"/>
      <c r="F5" s="713"/>
    </row>
    <row r="6" spans="1:6" ht="12.75"/>
    <row r="7" spans="1:6" ht="12.75">
      <c r="A7" s="58" t="s">
        <v>115</v>
      </c>
      <c r="B7" s="58" t="s">
        <v>131</v>
      </c>
      <c r="C7" s="58"/>
      <c r="D7" s="58" t="s">
        <v>132</v>
      </c>
      <c r="E7" s="58" t="s">
        <v>133</v>
      </c>
      <c r="F7" s="58" t="s">
        <v>134</v>
      </c>
    </row>
    <row r="8" spans="1:6" ht="25.5" customHeight="1">
      <c r="A8" s="58" t="s">
        <v>29</v>
      </c>
      <c r="B8" s="92" t="s">
        <v>218</v>
      </c>
      <c r="C8" s="58" t="s">
        <v>111</v>
      </c>
      <c r="D8" s="63"/>
      <c r="E8" s="435">
        <v>17478658</v>
      </c>
      <c r="F8" s="435">
        <v>38479138</v>
      </c>
    </row>
    <row r="9" spans="1:6" ht="12.75">
      <c r="A9" s="90"/>
      <c r="B9" s="70" t="s">
        <v>219</v>
      </c>
      <c r="C9" s="90"/>
      <c r="D9" s="65"/>
      <c r="E9" s="436"/>
      <c r="F9" s="436"/>
    </row>
    <row r="10" spans="1:6" ht="12.75">
      <c r="A10" s="71" t="s">
        <v>220</v>
      </c>
      <c r="B10" s="56" t="s">
        <v>221</v>
      </c>
      <c r="C10" s="71"/>
      <c r="D10" s="55"/>
      <c r="E10" s="437">
        <v>-440667250</v>
      </c>
      <c r="F10" s="437">
        <v>0</v>
      </c>
    </row>
    <row r="11" spans="1:6" ht="12.75">
      <c r="A11" s="71" t="s">
        <v>222</v>
      </c>
      <c r="B11" s="56" t="s">
        <v>819</v>
      </c>
      <c r="C11" s="71"/>
      <c r="D11" s="55"/>
      <c r="E11" s="437">
        <v>0</v>
      </c>
      <c r="F11" s="437">
        <v>0</v>
      </c>
    </row>
    <row r="12" spans="1:6" ht="12.75">
      <c r="A12" s="71" t="s">
        <v>223</v>
      </c>
      <c r="B12" s="56" t="s">
        <v>224</v>
      </c>
      <c r="C12" s="71"/>
      <c r="D12" s="55"/>
      <c r="E12" s="437">
        <v>0</v>
      </c>
      <c r="F12" s="437">
        <v>0</v>
      </c>
    </row>
    <row r="13" spans="1:6" ht="12.75">
      <c r="A13" s="71" t="s">
        <v>225</v>
      </c>
      <c r="B13" s="56" t="s">
        <v>226</v>
      </c>
      <c r="C13" s="71"/>
      <c r="D13" s="55"/>
      <c r="E13" s="437">
        <v>833333</v>
      </c>
      <c r="F13" s="437">
        <v>12647643</v>
      </c>
    </row>
    <row r="14" spans="1:6" ht="12.75">
      <c r="A14" s="71" t="s">
        <v>227</v>
      </c>
      <c r="B14" s="56" t="s">
        <v>820</v>
      </c>
      <c r="C14" s="71"/>
      <c r="D14" s="55"/>
      <c r="E14" s="437">
        <v>824169368</v>
      </c>
      <c r="F14" s="437">
        <v>210811668</v>
      </c>
    </row>
    <row r="15" spans="1:6" ht="25.5" customHeight="1">
      <c r="A15" s="71"/>
      <c r="B15" s="56" t="s">
        <v>228</v>
      </c>
      <c r="C15" s="71"/>
      <c r="D15" s="55"/>
      <c r="E15" s="437">
        <v>825002701</v>
      </c>
      <c r="F15" s="437">
        <v>223459311</v>
      </c>
    </row>
    <row r="16" spans="1:6" ht="12.75">
      <c r="A16" s="58" t="s">
        <v>33</v>
      </c>
      <c r="B16" s="92" t="s">
        <v>229</v>
      </c>
      <c r="C16" s="58" t="s">
        <v>230</v>
      </c>
      <c r="D16" s="63"/>
      <c r="E16" s="435">
        <v>384335451</v>
      </c>
      <c r="F16" s="435">
        <v>223459311</v>
      </c>
    </row>
    <row r="17" spans="1:6" ht="12.75">
      <c r="A17" s="90"/>
      <c r="B17" s="70" t="s">
        <v>231</v>
      </c>
      <c r="C17" s="90"/>
      <c r="D17" s="65"/>
      <c r="E17" s="436"/>
      <c r="F17" s="436"/>
    </row>
    <row r="18" spans="1:6" ht="12.75">
      <c r="A18" s="71" t="s">
        <v>232</v>
      </c>
      <c r="B18" s="56" t="s">
        <v>233</v>
      </c>
      <c r="C18" s="71"/>
      <c r="D18" s="55"/>
      <c r="E18" s="437">
        <v>-440667250</v>
      </c>
      <c r="F18" s="437">
        <v>-258420973</v>
      </c>
    </row>
    <row r="19" spans="1:6" ht="12.75">
      <c r="A19" s="71" t="s">
        <v>234</v>
      </c>
      <c r="B19" s="56" t="s">
        <v>235</v>
      </c>
      <c r="C19" s="71"/>
      <c r="D19" s="55"/>
      <c r="E19" s="437">
        <v>-4305355</v>
      </c>
      <c r="F19" s="437">
        <v>-28977486</v>
      </c>
    </row>
    <row r="20" spans="1:6" ht="12.75">
      <c r="A20" s="71" t="s">
        <v>236</v>
      </c>
      <c r="B20" s="56" t="s">
        <v>237</v>
      </c>
      <c r="C20" s="71"/>
      <c r="D20" s="55"/>
      <c r="E20" s="437">
        <v>0</v>
      </c>
      <c r="F20" s="437">
        <v>42938668</v>
      </c>
    </row>
    <row r="21" spans="1:6" ht="12.75">
      <c r="A21" s="71" t="s">
        <v>238</v>
      </c>
      <c r="B21" s="56" t="s">
        <v>239</v>
      </c>
      <c r="C21" s="71"/>
      <c r="D21" s="55"/>
      <c r="E21" s="437">
        <v>0</v>
      </c>
      <c r="F21" s="437">
        <v>0</v>
      </c>
    </row>
    <row r="22" spans="1:6" ht="12.75">
      <c r="A22" s="71" t="s">
        <v>240</v>
      </c>
      <c r="B22" s="56" t="s">
        <v>241</v>
      </c>
      <c r="C22" s="71"/>
      <c r="D22" s="55"/>
      <c r="E22" s="437">
        <v>42938668</v>
      </c>
      <c r="F22" s="437">
        <v>0</v>
      </c>
    </row>
    <row r="23" spans="1:6" ht="12.75">
      <c r="A23" s="58" t="s">
        <v>35</v>
      </c>
      <c r="B23" s="92" t="s">
        <v>242</v>
      </c>
      <c r="C23" s="58" t="s">
        <v>243</v>
      </c>
      <c r="D23" s="63"/>
      <c r="E23" s="435">
        <v>-402033937</v>
      </c>
      <c r="F23" s="435">
        <v>-244459791</v>
      </c>
    </row>
    <row r="24" spans="1:6" ht="12.75">
      <c r="A24" s="90"/>
      <c r="B24" s="70" t="s">
        <v>244</v>
      </c>
      <c r="C24" s="90"/>
      <c r="D24" s="65"/>
      <c r="E24" s="436"/>
      <c r="F24" s="436"/>
    </row>
    <row r="25" spans="1:6" ht="12.75">
      <c r="A25" s="71" t="s">
        <v>245</v>
      </c>
      <c r="B25" s="56" t="s">
        <v>246</v>
      </c>
      <c r="C25" s="71"/>
      <c r="D25" s="55"/>
      <c r="E25" s="437">
        <v>0</v>
      </c>
      <c r="F25" s="437">
        <v>0</v>
      </c>
    </row>
    <row r="26" spans="1:6" ht="12.75">
      <c r="A26" s="71" t="s">
        <v>247</v>
      </c>
      <c r="B26" s="56" t="s">
        <v>248</v>
      </c>
      <c r="C26" s="71"/>
      <c r="D26" s="55"/>
      <c r="E26" s="437">
        <v>0</v>
      </c>
      <c r="F26" s="437">
        <v>0</v>
      </c>
    </row>
    <row r="27" spans="1:6" ht="12.75">
      <c r="A27" s="71" t="s">
        <v>249</v>
      </c>
      <c r="B27" s="56" t="s">
        <v>250</v>
      </c>
      <c r="C27" s="71"/>
      <c r="D27" s="55"/>
      <c r="E27" s="437">
        <v>0</v>
      </c>
      <c r="F27" s="437">
        <v>0</v>
      </c>
    </row>
    <row r="28" spans="1:6" ht="12.75">
      <c r="A28" s="71" t="s">
        <v>251</v>
      </c>
      <c r="B28" s="56" t="s">
        <v>252</v>
      </c>
      <c r="C28" s="71"/>
      <c r="D28" s="55"/>
      <c r="E28" s="437">
        <v>0</v>
      </c>
      <c r="F28" s="437">
        <v>0</v>
      </c>
    </row>
    <row r="29" spans="1:6" ht="12.75">
      <c r="A29" s="90" t="s">
        <v>38</v>
      </c>
      <c r="B29" s="70" t="s">
        <v>253</v>
      </c>
      <c r="C29" s="90" t="s">
        <v>254</v>
      </c>
      <c r="D29" s="65"/>
      <c r="E29" s="436">
        <v>0</v>
      </c>
      <c r="F29" s="436">
        <v>0</v>
      </c>
    </row>
    <row r="30" spans="1:6" ht="12.75">
      <c r="A30" s="90"/>
      <c r="B30" s="70" t="s">
        <v>255</v>
      </c>
      <c r="C30" s="90"/>
      <c r="D30" s="65"/>
      <c r="E30" s="436">
        <v>0</v>
      </c>
      <c r="F30" s="436">
        <v>0</v>
      </c>
    </row>
    <row r="31" spans="1:6" ht="12.75">
      <c r="A31" s="71" t="s">
        <v>256</v>
      </c>
      <c r="B31" s="56" t="s">
        <v>257</v>
      </c>
      <c r="C31" s="71"/>
      <c r="D31" s="55"/>
      <c r="E31" s="437">
        <v>0</v>
      </c>
      <c r="F31" s="437">
        <v>0</v>
      </c>
    </row>
    <row r="32" spans="1:6" ht="12.75">
      <c r="A32" s="71" t="s">
        <v>258</v>
      </c>
      <c r="B32" s="56" t="s">
        <v>259</v>
      </c>
      <c r="C32" s="71"/>
      <c r="D32" s="55"/>
      <c r="E32" s="437">
        <v>0</v>
      </c>
      <c r="F32" s="437">
        <v>0</v>
      </c>
    </row>
    <row r="33" spans="1:6" ht="12.75">
      <c r="A33" s="71" t="s">
        <v>260</v>
      </c>
      <c r="B33" s="56" t="s">
        <v>261</v>
      </c>
      <c r="C33" s="71"/>
      <c r="D33" s="55"/>
      <c r="E33" s="437">
        <v>0</v>
      </c>
      <c r="F33" s="437">
        <v>0</v>
      </c>
    </row>
    <row r="34" spans="1:6" ht="25.5" customHeight="1">
      <c r="A34" s="93" t="s">
        <v>42</v>
      </c>
      <c r="B34" s="94" t="s">
        <v>262</v>
      </c>
      <c r="C34" s="93" t="s">
        <v>892</v>
      </c>
      <c r="D34" s="87"/>
      <c r="E34" s="436">
        <v>0</v>
      </c>
      <c r="F34" s="436">
        <v>0</v>
      </c>
    </row>
    <row r="35" spans="1:6" ht="12.75">
      <c r="A35" s="58" t="s">
        <v>44</v>
      </c>
      <c r="B35" s="92" t="s">
        <v>1238</v>
      </c>
      <c r="C35" s="58" t="s">
        <v>263</v>
      </c>
      <c r="D35" s="63"/>
      <c r="E35" s="435">
        <v>0</v>
      </c>
      <c r="F35" s="435">
        <v>0</v>
      </c>
    </row>
    <row r="36" spans="1:6" ht="12.75">
      <c r="A36" s="90" t="s">
        <v>46</v>
      </c>
      <c r="B36" s="70" t="s">
        <v>264</v>
      </c>
      <c r="C36" s="90" t="s">
        <v>893</v>
      </c>
      <c r="D36" s="65"/>
      <c r="E36" s="436">
        <v>-17698486</v>
      </c>
      <c r="F36" s="436">
        <v>-21000480</v>
      </c>
    </row>
    <row r="37" spans="1:6" ht="25.5" customHeight="1">
      <c r="A37" s="58" t="s">
        <v>51</v>
      </c>
      <c r="B37" s="92" t="s">
        <v>265</v>
      </c>
      <c r="C37" s="58" t="s">
        <v>894</v>
      </c>
      <c r="D37" s="63"/>
      <c r="E37" s="435">
        <v>219828</v>
      </c>
      <c r="F37" s="435">
        <v>17478658</v>
      </c>
    </row>
    <row r="38" spans="1:6" ht="12.75">
      <c r="B38" s="54" t="s">
        <v>266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showGridLines="0" workbookViewId="0">
      <selection sqref="A1:F1"/>
    </sheetView>
  </sheetViews>
  <sheetFormatPr baseColWidth="10" defaultColWidth="11.42578125" defaultRowHeight="13.7" customHeight="1"/>
  <cols>
    <col min="1" max="1" width="35.42578125" style="237" customWidth="1" collapsed="1"/>
    <col min="2" max="16384" width="11.42578125" style="237" collapsed="1"/>
  </cols>
  <sheetData>
    <row r="1" spans="1:6" ht="18" customHeight="1">
      <c r="A1" s="743" t="s">
        <v>267</v>
      </c>
      <c r="B1" s="743"/>
      <c r="C1" s="743"/>
      <c r="D1" s="743"/>
      <c r="E1" s="743"/>
      <c r="F1" s="743"/>
    </row>
    <row r="3" spans="1:6" ht="12.75">
      <c r="A3" s="237" t="s">
        <v>268</v>
      </c>
      <c r="D3" s="237" t="s">
        <v>269</v>
      </c>
      <c r="E3" s="735">
        <f>+'Fiche de renseignement R1'!$V$10</f>
        <v>45657</v>
      </c>
      <c r="F3" s="734"/>
    </row>
    <row r="4" spans="1:6" ht="12.75">
      <c r="A4" s="733" t="str">
        <f>'Fiche de renseignement R1'!$J$4</f>
        <v>MANDINGA RESSOURCES SARL</v>
      </c>
      <c r="B4" s="734"/>
      <c r="C4" s="734"/>
      <c r="D4" s="736" t="s">
        <v>270</v>
      </c>
      <c r="E4" s="733">
        <f>+'Fiche de renseignement R1'!$AH$10</f>
        <v>12</v>
      </c>
      <c r="F4" s="734"/>
    </row>
    <row r="5" spans="1:6" ht="12.75">
      <c r="A5" s="237" t="s">
        <v>271</v>
      </c>
      <c r="B5" s="733" t="str">
        <f>+'Fiche de renseignement R1'!$J$10</f>
        <v>006495693</v>
      </c>
      <c r="C5" s="734"/>
      <c r="D5" s="736"/>
      <c r="E5" s="734"/>
      <c r="F5" s="734"/>
    </row>
    <row r="7" spans="1:6" ht="15" customHeight="1">
      <c r="A7" s="730" t="s">
        <v>131</v>
      </c>
      <c r="B7" s="730" t="s">
        <v>116</v>
      </c>
      <c r="C7" s="730" t="s">
        <v>272</v>
      </c>
      <c r="D7" s="750" t="s">
        <v>273</v>
      </c>
      <c r="E7" s="751"/>
      <c r="F7" s="752"/>
    </row>
    <row r="8" spans="1:6" ht="12.75">
      <c r="A8" s="731"/>
      <c r="B8" s="731"/>
      <c r="C8" s="731"/>
      <c r="D8" s="746" t="s">
        <v>274</v>
      </c>
      <c r="E8" s="748" t="s">
        <v>275</v>
      </c>
      <c r="F8" s="746" t="s">
        <v>817</v>
      </c>
    </row>
    <row r="9" spans="1:6" ht="12.75">
      <c r="A9" s="732"/>
      <c r="B9" s="732"/>
      <c r="C9" s="732"/>
      <c r="D9" s="747"/>
      <c r="E9" s="749"/>
      <c r="F9" s="747"/>
    </row>
    <row r="10" spans="1:6" ht="12.75">
      <c r="A10" s="264" t="s">
        <v>277</v>
      </c>
      <c r="B10" s="263"/>
      <c r="C10" s="438"/>
      <c r="D10" s="438"/>
      <c r="E10" s="438"/>
      <c r="F10" s="438"/>
    </row>
    <row r="11" spans="1:6" ht="12.75">
      <c r="A11" s="240" t="s">
        <v>278</v>
      </c>
      <c r="B11" s="238"/>
      <c r="C11" s="439">
        <v>0</v>
      </c>
      <c r="D11" s="439">
        <v>0</v>
      </c>
      <c r="E11" s="439">
        <v>0</v>
      </c>
      <c r="F11" s="439">
        <v>0</v>
      </c>
    </row>
    <row r="12" spans="1:6" ht="12.75">
      <c r="A12" s="240" t="s">
        <v>279</v>
      </c>
      <c r="B12" s="238"/>
      <c r="C12" s="439">
        <v>0</v>
      </c>
      <c r="D12" s="439">
        <v>0</v>
      </c>
      <c r="E12" s="439">
        <v>0</v>
      </c>
      <c r="F12" s="439">
        <v>0</v>
      </c>
    </row>
    <row r="13" spans="1:6" ht="27.6" customHeight="1">
      <c r="A13" s="240" t="s">
        <v>1229</v>
      </c>
      <c r="B13" s="238"/>
      <c r="C13" s="439">
        <v>0</v>
      </c>
      <c r="D13" s="439">
        <v>0</v>
      </c>
      <c r="E13" s="439">
        <v>0</v>
      </c>
      <c r="F13" s="439">
        <v>0</v>
      </c>
    </row>
    <row r="14" spans="1:6" ht="12.75">
      <c r="A14" s="240" t="s">
        <v>280</v>
      </c>
      <c r="B14" s="238"/>
      <c r="C14" s="439">
        <v>0</v>
      </c>
      <c r="D14" s="439">
        <v>0</v>
      </c>
      <c r="E14" s="439">
        <v>0</v>
      </c>
      <c r="F14" s="439">
        <v>0</v>
      </c>
    </row>
    <row r="15" spans="1:6" ht="12.75">
      <c r="A15" s="257" t="s">
        <v>281</v>
      </c>
      <c r="B15" s="239"/>
      <c r="C15" s="440">
        <v>0</v>
      </c>
      <c r="D15" s="440">
        <v>0</v>
      </c>
      <c r="E15" s="440">
        <v>0</v>
      </c>
      <c r="F15" s="440">
        <v>0</v>
      </c>
    </row>
    <row r="16" spans="1:6" s="443" customFormat="1" ht="13.5" customHeight="1">
      <c r="A16" s="291"/>
      <c r="B16" s="292"/>
      <c r="C16" s="441"/>
      <c r="D16" s="441"/>
      <c r="E16" s="441"/>
      <c r="F16" s="441"/>
    </row>
    <row r="17" spans="1:6" ht="12.75">
      <c r="A17" s="262" t="s">
        <v>282</v>
      </c>
      <c r="B17" s="263"/>
      <c r="C17" s="438"/>
      <c r="D17" s="438"/>
      <c r="E17" s="438"/>
      <c r="F17" s="438"/>
    </row>
    <row r="18" spans="1:6" ht="12.75">
      <c r="A18" s="240" t="s">
        <v>283</v>
      </c>
      <c r="B18" s="238"/>
      <c r="C18" s="439">
        <v>0</v>
      </c>
      <c r="D18" s="439">
        <v>0</v>
      </c>
      <c r="E18" s="439">
        <v>0</v>
      </c>
      <c r="F18" s="439">
        <v>0</v>
      </c>
    </row>
    <row r="19" spans="1:6" ht="12.75">
      <c r="A19" s="240" t="s">
        <v>284</v>
      </c>
      <c r="B19" s="238"/>
      <c r="C19" s="439">
        <v>0</v>
      </c>
      <c r="D19" s="439">
        <v>0</v>
      </c>
      <c r="E19" s="439">
        <v>0</v>
      </c>
      <c r="F19" s="439">
        <v>0</v>
      </c>
    </row>
    <row r="20" spans="1:6" ht="12.75">
      <c r="A20" s="240" t="s">
        <v>285</v>
      </c>
      <c r="B20" s="238"/>
      <c r="C20" s="439">
        <v>0</v>
      </c>
      <c r="D20" s="439">
        <v>0</v>
      </c>
      <c r="E20" s="439">
        <v>0</v>
      </c>
      <c r="F20" s="439">
        <v>0</v>
      </c>
    </row>
    <row r="21" spans="1:6" ht="12.75">
      <c r="A21" s="240" t="s">
        <v>286</v>
      </c>
      <c r="B21" s="238"/>
      <c r="C21" s="439">
        <v>0</v>
      </c>
      <c r="D21" s="439">
        <v>0</v>
      </c>
      <c r="E21" s="439">
        <v>0</v>
      </c>
      <c r="F21" s="439">
        <v>0</v>
      </c>
    </row>
    <row r="22" spans="1:6" ht="12.75">
      <c r="A22" s="257" t="s">
        <v>287</v>
      </c>
      <c r="B22" s="239"/>
      <c r="C22" s="440">
        <v>0</v>
      </c>
      <c r="D22" s="440">
        <v>0</v>
      </c>
      <c r="E22" s="440">
        <v>0</v>
      </c>
      <c r="F22" s="440">
        <v>0</v>
      </c>
    </row>
    <row r="23" spans="1:6" s="443" customFormat="1" ht="13.5" customHeight="1">
      <c r="A23" s="291"/>
      <c r="B23" s="292"/>
      <c r="C23" s="441"/>
      <c r="D23" s="441"/>
      <c r="E23" s="441"/>
      <c r="F23" s="441"/>
    </row>
    <row r="24" spans="1:6" ht="12.75">
      <c r="A24" s="262" t="s">
        <v>288</v>
      </c>
      <c r="B24" s="263"/>
      <c r="C24" s="438"/>
      <c r="D24" s="438"/>
      <c r="E24" s="438"/>
      <c r="F24" s="438"/>
    </row>
    <row r="25" spans="1:6" ht="12.75">
      <c r="A25" s="240" t="s">
        <v>888</v>
      </c>
      <c r="B25" s="238"/>
      <c r="C25" s="439">
        <v>0</v>
      </c>
      <c r="D25" s="439">
        <v>0</v>
      </c>
      <c r="E25" s="439">
        <v>0</v>
      </c>
      <c r="F25" s="439">
        <v>0</v>
      </c>
    </row>
    <row r="26" spans="1:6" ht="12.75">
      <c r="A26" s="240" t="s">
        <v>129</v>
      </c>
      <c r="B26" s="238"/>
      <c r="C26" s="439">
        <v>0</v>
      </c>
      <c r="D26" s="439">
        <v>0</v>
      </c>
      <c r="E26" s="439">
        <v>0</v>
      </c>
      <c r="F26" s="439">
        <v>0</v>
      </c>
    </row>
    <row r="27" spans="1:6" ht="12.75">
      <c r="A27" s="240" t="s">
        <v>289</v>
      </c>
      <c r="B27" s="238"/>
      <c r="C27" s="439">
        <v>0</v>
      </c>
      <c r="D27" s="439">
        <v>0</v>
      </c>
      <c r="E27" s="439">
        <v>0</v>
      </c>
      <c r="F27" s="439">
        <v>0</v>
      </c>
    </row>
    <row r="28" spans="1:6" ht="12.75">
      <c r="A28" s="240" t="s">
        <v>290</v>
      </c>
      <c r="B28" s="238"/>
      <c r="C28" s="439">
        <v>0</v>
      </c>
      <c r="D28" s="439">
        <v>0</v>
      </c>
      <c r="E28" s="439">
        <v>0</v>
      </c>
      <c r="F28" s="439">
        <v>0</v>
      </c>
    </row>
    <row r="29" spans="1:6" ht="12.75">
      <c r="A29" s="240" t="s">
        <v>291</v>
      </c>
      <c r="B29" s="238"/>
      <c r="C29" s="439">
        <v>0</v>
      </c>
      <c r="D29" s="439">
        <v>0</v>
      </c>
      <c r="E29" s="439">
        <v>0</v>
      </c>
      <c r="F29" s="439">
        <v>0</v>
      </c>
    </row>
    <row r="30" spans="1:6" ht="12.75">
      <c r="A30" s="240" t="s">
        <v>292</v>
      </c>
      <c r="B30" s="238"/>
      <c r="C30" s="439">
        <v>0</v>
      </c>
      <c r="D30" s="439">
        <v>0</v>
      </c>
      <c r="E30" s="439">
        <v>0</v>
      </c>
      <c r="F30" s="439">
        <v>0</v>
      </c>
    </row>
    <row r="31" spans="1:6" ht="12.75">
      <c r="A31" s="240" t="s">
        <v>889</v>
      </c>
      <c r="B31" s="238"/>
      <c r="C31" s="439">
        <v>0</v>
      </c>
      <c r="D31" s="439">
        <v>0</v>
      </c>
      <c r="E31" s="439">
        <v>0</v>
      </c>
      <c r="F31" s="439">
        <v>0</v>
      </c>
    </row>
    <row r="32" spans="1:6" ht="12.75">
      <c r="A32" s="240" t="s">
        <v>561</v>
      </c>
      <c r="B32" s="238"/>
      <c r="C32" s="439">
        <v>0</v>
      </c>
      <c r="D32" s="439">
        <v>0</v>
      </c>
      <c r="E32" s="439">
        <v>0</v>
      </c>
      <c r="F32" s="439">
        <v>0</v>
      </c>
    </row>
    <row r="33" spans="1:6" ht="12.75">
      <c r="A33" s="257" t="s">
        <v>293</v>
      </c>
      <c r="B33" s="239"/>
      <c r="C33" s="440">
        <v>0</v>
      </c>
      <c r="D33" s="440">
        <v>0</v>
      </c>
      <c r="E33" s="440">
        <v>0</v>
      </c>
      <c r="F33" s="440">
        <v>0</v>
      </c>
    </row>
    <row r="34" spans="1:6" ht="12.75">
      <c r="A34" s="248" t="s">
        <v>294</v>
      </c>
      <c r="B34" s="248"/>
      <c r="C34" s="442">
        <v>0</v>
      </c>
      <c r="D34" s="442">
        <v>0</v>
      </c>
      <c r="E34" s="442">
        <v>0</v>
      </c>
      <c r="F34" s="442">
        <v>0</v>
      </c>
    </row>
    <row r="35" spans="1:6" ht="25.5" customHeight="1">
      <c r="A35" s="88" t="s">
        <v>295</v>
      </c>
      <c r="B35" s="88"/>
      <c r="C35" s="88"/>
      <c r="D35" s="88"/>
      <c r="E35" s="256" t="s">
        <v>296</v>
      </c>
      <c r="F35" s="256" t="s">
        <v>297</v>
      </c>
    </row>
    <row r="36" spans="1:6" ht="19.5" customHeight="1">
      <c r="A36" s="737" t="s">
        <v>298</v>
      </c>
      <c r="B36" s="738"/>
      <c r="C36" s="739"/>
      <c r="D36" s="439">
        <v>0</v>
      </c>
      <c r="E36" s="439">
        <v>0</v>
      </c>
      <c r="F36" s="439">
        <v>0</v>
      </c>
    </row>
    <row r="37" spans="1:6" ht="19.5" customHeight="1">
      <c r="A37" s="737" t="s">
        <v>299</v>
      </c>
      <c r="B37" s="738"/>
      <c r="C37" s="739"/>
      <c r="D37" s="439">
        <v>0</v>
      </c>
      <c r="E37" s="439">
        <v>0</v>
      </c>
      <c r="F37" s="439">
        <v>0</v>
      </c>
    </row>
    <row r="38" spans="1:6" ht="19.5" customHeight="1">
      <c r="A38" s="737" t="s">
        <v>300</v>
      </c>
      <c r="B38" s="738"/>
      <c r="C38" s="739"/>
      <c r="D38" s="439">
        <v>0</v>
      </c>
      <c r="E38" s="439">
        <v>0</v>
      </c>
      <c r="F38" s="439">
        <v>0</v>
      </c>
    </row>
    <row r="39" spans="1:6" ht="19.5" customHeight="1">
      <c r="A39" s="737" t="s">
        <v>301</v>
      </c>
      <c r="B39" s="738"/>
      <c r="C39" s="739"/>
      <c r="D39" s="439">
        <v>0</v>
      </c>
      <c r="E39" s="439">
        <v>0</v>
      </c>
      <c r="F39" s="439">
        <v>0</v>
      </c>
    </row>
    <row r="40" spans="1:6" ht="19.5" customHeight="1">
      <c r="A40" s="737" t="s">
        <v>302</v>
      </c>
      <c r="B40" s="738"/>
      <c r="C40" s="739"/>
      <c r="D40" s="439">
        <v>0</v>
      </c>
      <c r="E40" s="439">
        <v>0</v>
      </c>
      <c r="F40" s="439">
        <v>0</v>
      </c>
    </row>
    <row r="41" spans="1:6" ht="19.5" customHeight="1">
      <c r="A41" s="737" t="s">
        <v>303</v>
      </c>
      <c r="B41" s="738"/>
      <c r="C41" s="739"/>
      <c r="D41" s="439">
        <v>0</v>
      </c>
      <c r="E41" s="439">
        <v>0</v>
      </c>
      <c r="F41" s="439">
        <v>0</v>
      </c>
    </row>
    <row r="42" spans="1:6" ht="19.5" customHeight="1">
      <c r="A42" s="737" t="s">
        <v>304</v>
      </c>
      <c r="B42" s="738"/>
      <c r="C42" s="739"/>
      <c r="D42" s="439">
        <v>0</v>
      </c>
      <c r="E42" s="439">
        <v>0</v>
      </c>
      <c r="F42" s="439">
        <v>0</v>
      </c>
    </row>
    <row r="43" spans="1:6" s="348" customFormat="1" ht="19.5" customHeight="1">
      <c r="A43" s="740" t="s">
        <v>98</v>
      </c>
      <c r="B43" s="741"/>
      <c r="C43" s="742"/>
      <c r="D43" s="347"/>
      <c r="E43" s="347">
        <f t="shared" ref="E43:F43" si="0">SUM(E36:E42)</f>
        <v>0</v>
      </c>
      <c r="F43" s="347">
        <f t="shared" si="0"/>
        <v>0</v>
      </c>
    </row>
    <row r="44" spans="1:6" ht="12.75">
      <c r="A44" s="237" t="s">
        <v>305</v>
      </c>
    </row>
    <row r="45" spans="1:6" ht="12.75">
      <c r="A45" s="744"/>
      <c r="B45" s="745"/>
      <c r="C45" s="745"/>
      <c r="D45" s="745"/>
      <c r="E45" s="745"/>
      <c r="F45" s="745"/>
    </row>
    <row r="46" spans="1:6" ht="12.75">
      <c r="A46" s="745"/>
      <c r="B46" s="745"/>
      <c r="C46" s="745"/>
      <c r="D46" s="745"/>
      <c r="E46" s="745"/>
      <c r="F46" s="745"/>
    </row>
    <row r="47" spans="1:6" ht="12.75">
      <c r="A47" s="745"/>
      <c r="B47" s="745"/>
      <c r="C47" s="745"/>
      <c r="D47" s="745"/>
      <c r="E47" s="745"/>
      <c r="F47" s="745"/>
    </row>
  </sheetData>
  <mergeCells count="22">
    <mergeCell ref="A42:C42"/>
    <mergeCell ref="A43:C43"/>
    <mergeCell ref="A1:F1"/>
    <mergeCell ref="A45:F47"/>
    <mergeCell ref="A36:C36"/>
    <mergeCell ref="A37:C37"/>
    <mergeCell ref="A38:C38"/>
    <mergeCell ref="A39:C39"/>
    <mergeCell ref="A40:C40"/>
    <mergeCell ref="A41:C41"/>
    <mergeCell ref="B7:B9"/>
    <mergeCell ref="A7:A9"/>
    <mergeCell ref="D8:D9"/>
    <mergeCell ref="E8:E9"/>
    <mergeCell ref="F8:F9"/>
    <mergeCell ref="D7:F7"/>
    <mergeCell ref="C7:C9"/>
    <mergeCell ref="A4:C4"/>
    <mergeCell ref="E4:F5"/>
    <mergeCell ref="E3:F3"/>
    <mergeCell ref="B5:C5"/>
    <mergeCell ref="D4:D5"/>
  </mergeCell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5.42578125" style="54" customWidth="1" collapsed="1"/>
    <col min="2" max="2" width="46.5703125" style="54" customWidth="1" collapsed="1"/>
    <col min="3" max="3" width="19" style="54" customWidth="1" collapsed="1"/>
    <col min="4" max="4" width="13" style="54" customWidth="1" collapsed="1"/>
    <col min="5" max="16384" width="10.42578125" style="54" collapsed="1"/>
  </cols>
  <sheetData>
    <row r="1" spans="1:4" ht="18.75" customHeight="1">
      <c r="A1" s="761" t="s">
        <v>306</v>
      </c>
      <c r="B1" s="761"/>
      <c r="C1" s="761"/>
      <c r="D1" s="761"/>
    </row>
    <row r="3" spans="1:4" ht="12.75">
      <c r="A3" s="759" t="s">
        <v>268</v>
      </c>
      <c r="B3" s="759"/>
      <c r="C3" s="54" t="s">
        <v>269</v>
      </c>
      <c r="D3" s="444">
        <f>+'Fiche de renseignement R1'!$V$10</f>
        <v>45657</v>
      </c>
    </row>
    <row r="4" spans="1:4" ht="12.75">
      <c r="A4" s="714" t="str">
        <f>'Fiche de renseignement R1'!$J$4</f>
        <v>MANDINGA RESSOURCES SARL</v>
      </c>
      <c r="B4" s="760"/>
      <c r="C4" s="54" t="s">
        <v>270</v>
      </c>
      <c r="D4" s="423">
        <f>+'Fiche de renseignement R1'!$AH$10</f>
        <v>12</v>
      </c>
    </row>
    <row r="5" spans="1:4" ht="12.75">
      <c r="A5" s="54" t="s">
        <v>271</v>
      </c>
      <c r="B5" s="423" t="str">
        <f>+'Fiche de renseignement R1'!$J$10</f>
        <v>006495693</v>
      </c>
    </row>
    <row r="7" spans="1:4" ht="12.75">
      <c r="A7" s="762" t="s">
        <v>307</v>
      </c>
      <c r="B7" s="763"/>
      <c r="C7" s="763"/>
      <c r="D7" s="763"/>
    </row>
    <row r="8" spans="1:4" ht="89.25" customHeight="1">
      <c r="A8" s="753" t="s">
        <v>1352</v>
      </c>
      <c r="B8" s="754"/>
      <c r="C8" s="754"/>
      <c r="D8" s="755"/>
    </row>
    <row r="9" spans="1:4" ht="12.75">
      <c r="A9" s="750" t="s">
        <v>308</v>
      </c>
      <c r="B9" s="751"/>
      <c r="C9" s="751"/>
      <c r="D9" s="751"/>
    </row>
    <row r="10" spans="1:4" ht="89.25" customHeight="1">
      <c r="A10" s="753" t="s">
        <v>1353</v>
      </c>
      <c r="B10" s="754"/>
      <c r="C10" s="754"/>
      <c r="D10" s="755"/>
    </row>
    <row r="11" spans="1:4" ht="12.75">
      <c r="A11" s="756" t="s">
        <v>309</v>
      </c>
      <c r="B11" s="756"/>
      <c r="C11" s="756"/>
      <c r="D11" s="756"/>
    </row>
    <row r="12" spans="1:4" ht="76.5" customHeight="1">
      <c r="A12" s="753" t="s">
        <v>1354</v>
      </c>
      <c r="B12" s="754"/>
      <c r="C12" s="754"/>
      <c r="D12" s="755"/>
    </row>
    <row r="13" spans="1:4" ht="28.5" customHeight="1">
      <c r="A13" s="757" t="s">
        <v>310</v>
      </c>
      <c r="B13" s="758"/>
      <c r="C13" s="758"/>
      <c r="D13" s="758"/>
    </row>
    <row r="14" spans="1:4" s="64" customFormat="1" ht="105.75" customHeight="1">
      <c r="A14" s="753" t="s">
        <v>1355</v>
      </c>
      <c r="B14" s="754"/>
      <c r="C14" s="754"/>
      <c r="D14" s="755"/>
    </row>
  </sheetData>
  <mergeCells count="11">
    <mergeCell ref="A3:B3"/>
    <mergeCell ref="A4:B4"/>
    <mergeCell ref="A1:D1"/>
    <mergeCell ref="A8:D8"/>
    <mergeCell ref="A7:D7"/>
    <mergeCell ref="A9:D9"/>
    <mergeCell ref="A10:D10"/>
    <mergeCell ref="A12:D12"/>
    <mergeCell ref="A14:D14"/>
    <mergeCell ref="A11:D11"/>
    <mergeCell ref="A13:D13"/>
  </mergeCells>
  <pageMargins left="0.70866141732279997" right="0.70866141732279997" top="0.74803149606300001" bottom="0.74803149606300001" header="0.31496062992129997" footer="0.31496062992129997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showGridLines="0" workbookViewId="0"/>
  </sheetViews>
  <sheetFormatPr baseColWidth="10" defaultColWidth="10.42578125" defaultRowHeight="15" customHeight="1"/>
  <cols>
    <col min="1" max="1" width="35.42578125" customWidth="1" collapsed="1"/>
    <col min="2" max="2" width="16" style="214" bestFit="1" customWidth="1" collapsed="1"/>
    <col min="3" max="4" width="11.5703125" customWidth="1" collapsed="1"/>
    <col min="5" max="5" width="12.42578125" customWidth="1" collapsed="1"/>
    <col min="6" max="7" width="11.5703125" customWidth="1" collapsed="1"/>
    <col min="8" max="8" width="16" style="214" customWidth="1" collapsed="1"/>
  </cols>
  <sheetData>
    <row r="1" spans="1:8" ht="18.75" customHeight="1">
      <c r="A1" s="761" t="s">
        <v>887</v>
      </c>
      <c r="B1" s="761"/>
      <c r="C1" s="761"/>
      <c r="D1" s="761"/>
      <c r="E1" s="761"/>
      <c r="F1" s="761"/>
      <c r="G1" s="761"/>
      <c r="H1" s="761"/>
    </row>
    <row r="2" spans="1:8" ht="8.1" customHeight="1"/>
    <row r="3" spans="1:8" ht="12.75" customHeight="1">
      <c r="A3" s="769" t="s">
        <v>268</v>
      </c>
      <c r="B3" s="769"/>
      <c r="C3" s="769"/>
      <c r="D3" s="64"/>
      <c r="E3" s="203" t="s">
        <v>269</v>
      </c>
      <c r="F3" s="770">
        <f>+'Fiche de renseignement R1'!$V$10</f>
        <v>45657</v>
      </c>
      <c r="G3" s="771"/>
      <c r="H3" s="64"/>
    </row>
    <row r="4" spans="1:8" ht="15" customHeight="1">
      <c r="A4" s="714" t="str">
        <f>'Fiche de renseignement R1'!$J$4</f>
        <v>MANDINGA RESSOURCES SARL</v>
      </c>
      <c r="B4" s="760"/>
      <c r="C4" s="760"/>
      <c r="D4" s="64"/>
      <c r="E4" s="769" t="s">
        <v>270</v>
      </c>
      <c r="F4" s="772">
        <f>+'Fiche de renseignement R1'!$AH$10</f>
        <v>12</v>
      </c>
      <c r="G4" s="773"/>
      <c r="H4" s="64"/>
    </row>
    <row r="5" spans="1:8" ht="15" customHeight="1">
      <c r="A5" s="64" t="s">
        <v>271</v>
      </c>
      <c r="B5" s="714" t="str">
        <f>+'Fiche de renseignement R1'!$J$10</f>
        <v>006495693</v>
      </c>
      <c r="C5" s="760"/>
      <c r="D5" s="64"/>
      <c r="E5" s="769"/>
      <c r="F5" s="771"/>
      <c r="G5" s="771"/>
      <c r="H5" s="64"/>
    </row>
    <row r="6" spans="1:8" ht="8.1" customHeight="1"/>
    <row r="7" spans="1:8" ht="20.100000000000001" customHeight="1">
      <c r="A7" s="767" t="s">
        <v>311</v>
      </c>
      <c r="B7" s="766" t="s">
        <v>312</v>
      </c>
      <c r="C7" s="766" t="s">
        <v>313</v>
      </c>
      <c r="D7" s="766" t="s">
        <v>314</v>
      </c>
      <c r="E7" s="768" t="s">
        <v>315</v>
      </c>
      <c r="F7" s="766" t="s">
        <v>316</v>
      </c>
      <c r="G7" s="766" t="s">
        <v>314</v>
      </c>
      <c r="H7" s="766" t="s">
        <v>317</v>
      </c>
    </row>
    <row r="8" spans="1:8" ht="20.100000000000001" customHeight="1">
      <c r="A8" s="767"/>
      <c r="B8" s="766"/>
      <c r="C8" s="766"/>
      <c r="D8" s="766"/>
      <c r="E8" s="768"/>
      <c r="F8" s="766"/>
      <c r="G8" s="766"/>
      <c r="H8" s="766"/>
    </row>
    <row r="9" spans="1:8" ht="20.100000000000001" customHeight="1">
      <c r="A9" s="767"/>
      <c r="B9" s="766"/>
      <c r="C9" s="766"/>
      <c r="D9" s="766"/>
      <c r="E9" s="768"/>
      <c r="F9" s="766"/>
      <c r="G9" s="766"/>
      <c r="H9" s="766"/>
    </row>
    <row r="10" spans="1:8" ht="20.100000000000001" customHeight="1">
      <c r="A10" s="66" t="s">
        <v>117</v>
      </c>
      <c r="B10" s="434">
        <v>0</v>
      </c>
      <c r="C10" s="434">
        <v>0</v>
      </c>
      <c r="D10" s="434">
        <v>0</v>
      </c>
      <c r="E10" s="434">
        <v>0</v>
      </c>
      <c r="F10" s="434">
        <v>0</v>
      </c>
      <c r="G10" s="434">
        <v>0</v>
      </c>
      <c r="H10" s="434">
        <v>1233344852</v>
      </c>
    </row>
    <row r="11" spans="1:8" ht="14.45" customHeight="1">
      <c r="A11" s="67" t="s">
        <v>118</v>
      </c>
      <c r="B11" s="432">
        <v>0</v>
      </c>
      <c r="C11" s="432">
        <v>0</v>
      </c>
      <c r="D11" s="432">
        <v>0</v>
      </c>
      <c r="E11" s="432">
        <v>0</v>
      </c>
      <c r="F11" s="432">
        <v>0</v>
      </c>
      <c r="G11" s="432">
        <v>0</v>
      </c>
      <c r="H11" s="432">
        <v>0</v>
      </c>
    </row>
    <row r="12" spans="1:8" ht="25.5" customHeight="1">
      <c r="A12" s="56" t="s">
        <v>119</v>
      </c>
      <c r="B12" s="432">
        <v>48082133</v>
      </c>
      <c r="C12" s="432">
        <v>0</v>
      </c>
      <c r="D12" s="432">
        <v>0</v>
      </c>
      <c r="E12" s="432">
        <v>0</v>
      </c>
      <c r="F12" s="432">
        <v>0</v>
      </c>
      <c r="G12" s="432">
        <v>0</v>
      </c>
      <c r="H12" s="432">
        <v>48082133</v>
      </c>
    </row>
    <row r="13" spans="1:8" ht="14.45" customHeight="1">
      <c r="A13" s="67" t="s">
        <v>120</v>
      </c>
      <c r="B13" s="432">
        <v>0</v>
      </c>
      <c r="C13" s="432">
        <v>0</v>
      </c>
      <c r="D13" s="432">
        <v>0</v>
      </c>
      <c r="E13" s="432">
        <v>0</v>
      </c>
      <c r="F13" s="432">
        <v>0</v>
      </c>
      <c r="G13" s="432">
        <v>0</v>
      </c>
      <c r="H13" s="432">
        <v>0</v>
      </c>
    </row>
    <row r="14" spans="1:8" ht="14.45" customHeight="1">
      <c r="A14" s="67" t="s">
        <v>121</v>
      </c>
      <c r="B14" s="432">
        <v>792677602</v>
      </c>
      <c r="C14" s="432">
        <v>440667250</v>
      </c>
      <c r="D14" s="432">
        <v>0</v>
      </c>
      <c r="E14" s="432">
        <v>0</v>
      </c>
      <c r="F14" s="432">
        <v>0</v>
      </c>
      <c r="G14" s="432">
        <v>0</v>
      </c>
      <c r="H14" s="432">
        <v>1233344852</v>
      </c>
    </row>
    <row r="15" spans="1:8" ht="20.100000000000001" customHeight="1">
      <c r="A15" s="66" t="s">
        <v>122</v>
      </c>
      <c r="B15" s="434">
        <v>124369634</v>
      </c>
      <c r="C15" s="434">
        <v>4946575</v>
      </c>
      <c r="D15" s="434">
        <v>0</v>
      </c>
      <c r="E15" s="434">
        <v>0</v>
      </c>
      <c r="F15" s="434">
        <v>6180224</v>
      </c>
      <c r="G15" s="434">
        <v>0</v>
      </c>
      <c r="H15" s="434">
        <v>124369634</v>
      </c>
    </row>
    <row r="16" spans="1:8" ht="14.45" customHeight="1">
      <c r="A16" s="67" t="s">
        <v>318</v>
      </c>
      <c r="B16" s="432">
        <v>55055888</v>
      </c>
      <c r="C16" s="432">
        <v>0</v>
      </c>
      <c r="D16" s="432">
        <v>0</v>
      </c>
      <c r="E16" s="432">
        <v>0</v>
      </c>
      <c r="F16" s="432">
        <v>0</v>
      </c>
      <c r="G16" s="432">
        <v>0</v>
      </c>
      <c r="H16" s="432">
        <v>55055888</v>
      </c>
    </row>
    <row r="17" spans="1:8" ht="14.45" customHeight="1">
      <c r="A17" s="67" t="s">
        <v>319</v>
      </c>
      <c r="B17" s="432">
        <v>0</v>
      </c>
      <c r="C17" s="432">
        <v>0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</row>
    <row r="18" spans="1:8" ht="14.45" customHeight="1">
      <c r="A18" s="67" t="s">
        <v>320</v>
      </c>
      <c r="B18" s="432">
        <v>0</v>
      </c>
      <c r="C18" s="432">
        <v>0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</row>
    <row r="19" spans="1:8" ht="14.45" customHeight="1">
      <c r="A19" s="67" t="s">
        <v>321</v>
      </c>
      <c r="B19" s="432">
        <v>0</v>
      </c>
      <c r="C19" s="432">
        <v>0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</row>
    <row r="20" spans="1:8" ht="25.5" customHeight="1">
      <c r="A20" s="56" t="s">
        <v>124</v>
      </c>
      <c r="B20" s="432">
        <v>0</v>
      </c>
      <c r="C20" s="432">
        <v>0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</row>
    <row r="21" spans="1:8" ht="14.45" customHeight="1">
      <c r="A21" s="67" t="s">
        <v>125</v>
      </c>
      <c r="B21" s="432">
        <v>68447395</v>
      </c>
      <c r="C21" s="432">
        <v>4946575</v>
      </c>
      <c r="D21" s="432">
        <v>0</v>
      </c>
      <c r="E21" s="432">
        <v>0</v>
      </c>
      <c r="F21" s="432">
        <v>4080224</v>
      </c>
      <c r="G21" s="432">
        <v>0</v>
      </c>
      <c r="H21" s="432">
        <v>69313746</v>
      </c>
    </row>
    <row r="22" spans="1:8" ht="14.45" customHeight="1">
      <c r="A22" s="67" t="s">
        <v>126</v>
      </c>
      <c r="B22" s="432">
        <v>2100000</v>
      </c>
      <c r="C22" s="432">
        <v>0</v>
      </c>
      <c r="D22" s="432">
        <v>0</v>
      </c>
      <c r="E22" s="432">
        <v>0</v>
      </c>
      <c r="F22" s="432">
        <v>2100000</v>
      </c>
      <c r="G22" s="432">
        <v>0</v>
      </c>
      <c r="H22" s="432">
        <v>0</v>
      </c>
    </row>
    <row r="23" spans="1:8" ht="25.5" customHeight="1">
      <c r="A23" s="70" t="s">
        <v>322</v>
      </c>
      <c r="B23" s="434">
        <v>0</v>
      </c>
      <c r="C23" s="434">
        <v>0</v>
      </c>
      <c r="D23" s="434">
        <v>0</v>
      </c>
      <c r="E23" s="434">
        <v>0</v>
      </c>
      <c r="F23" s="434">
        <v>0</v>
      </c>
      <c r="G23" s="434">
        <v>0</v>
      </c>
      <c r="H23" s="434">
        <v>0</v>
      </c>
    </row>
    <row r="24" spans="1:8" ht="20.100000000000001" customHeight="1">
      <c r="A24" s="66" t="s">
        <v>113</v>
      </c>
      <c r="B24" s="434">
        <v>0</v>
      </c>
      <c r="C24" s="434">
        <v>0</v>
      </c>
      <c r="D24" s="434">
        <v>0</v>
      </c>
      <c r="E24" s="434">
        <v>0</v>
      </c>
      <c r="F24" s="434">
        <v>0</v>
      </c>
      <c r="G24" s="434">
        <v>0</v>
      </c>
      <c r="H24" s="434">
        <v>0</v>
      </c>
    </row>
    <row r="25" spans="1:8" ht="14.45" customHeight="1">
      <c r="A25" s="260" t="s">
        <v>127</v>
      </c>
      <c r="B25" s="432">
        <v>0</v>
      </c>
      <c r="C25" s="432">
        <v>0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</row>
    <row r="26" spans="1:8" ht="14.45" customHeight="1">
      <c r="A26" s="67" t="s">
        <v>128</v>
      </c>
      <c r="B26" s="432">
        <v>0</v>
      </c>
      <c r="C26" s="432">
        <v>0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</row>
    <row r="27" spans="1:8" ht="20.100000000000001" customHeight="1">
      <c r="A27" s="69" t="s">
        <v>130</v>
      </c>
      <c r="B27" s="446">
        <v>966363018</v>
      </c>
      <c r="C27" s="446">
        <v>445613825</v>
      </c>
      <c r="D27" s="446">
        <v>0</v>
      </c>
      <c r="E27" s="446">
        <v>0</v>
      </c>
      <c r="F27" s="446">
        <v>0</v>
      </c>
      <c r="G27" s="446">
        <v>0</v>
      </c>
      <c r="H27" s="446">
        <v>1405796619</v>
      </c>
    </row>
    <row r="28" spans="1:8" ht="14.45" customHeight="1">
      <c r="A28" s="54" t="s">
        <v>305</v>
      </c>
      <c r="B28" s="54"/>
      <c r="C28" s="54"/>
      <c r="D28" s="54"/>
      <c r="E28" s="54"/>
      <c r="F28" s="54"/>
      <c r="G28" s="54"/>
      <c r="H28" s="54"/>
    </row>
    <row r="29" spans="1:8" ht="14.45" customHeight="1">
      <c r="A29" s="764"/>
      <c r="B29" s="765"/>
      <c r="C29" s="765"/>
      <c r="D29" s="765"/>
      <c r="E29" s="765"/>
      <c r="F29" s="765"/>
      <c r="G29" s="765"/>
      <c r="H29" s="765"/>
    </row>
    <row r="30" spans="1:8" ht="14.45" customHeight="1">
      <c r="A30" s="765"/>
      <c r="B30" s="765"/>
      <c r="C30" s="765"/>
      <c r="D30" s="765"/>
      <c r="E30" s="765"/>
      <c r="F30" s="765"/>
      <c r="G30" s="765"/>
      <c r="H30" s="765"/>
    </row>
    <row r="31" spans="1:8" ht="14.45" customHeight="1">
      <c r="A31" s="765"/>
      <c r="B31" s="765"/>
      <c r="C31" s="765"/>
      <c r="D31" s="765"/>
      <c r="E31" s="765"/>
      <c r="F31" s="765"/>
      <c r="G31" s="765"/>
      <c r="H31" s="765"/>
    </row>
    <row r="32" spans="1:8" ht="14.45" customHeight="1">
      <c r="A32" s="765"/>
      <c r="B32" s="765"/>
      <c r="C32" s="765"/>
      <c r="D32" s="765"/>
      <c r="E32" s="765"/>
      <c r="F32" s="765"/>
      <c r="G32" s="765"/>
      <c r="H32" s="765"/>
    </row>
    <row r="33" spans="1:8" ht="14.45" customHeight="1">
      <c r="A33" s="765"/>
      <c r="B33" s="765"/>
      <c r="C33" s="765"/>
      <c r="D33" s="765"/>
      <c r="E33" s="765"/>
      <c r="F33" s="765"/>
      <c r="G33" s="765"/>
      <c r="H33" s="765"/>
    </row>
    <row r="34" spans="1:8" ht="14.45" customHeight="1">
      <c r="A34" s="765"/>
      <c r="B34" s="765"/>
      <c r="C34" s="765"/>
      <c r="D34" s="765"/>
      <c r="E34" s="765"/>
      <c r="F34" s="765"/>
      <c r="G34" s="765"/>
      <c r="H34" s="765"/>
    </row>
    <row r="35" spans="1:8" ht="14.45" customHeight="1">
      <c r="A35" s="765"/>
      <c r="B35" s="765"/>
      <c r="C35" s="765"/>
      <c r="D35" s="765"/>
      <c r="E35" s="765"/>
      <c r="F35" s="765"/>
      <c r="G35" s="765"/>
      <c r="H35" s="765"/>
    </row>
    <row r="36" spans="1:8" ht="14.45" customHeight="1">
      <c r="A36" s="765"/>
      <c r="B36" s="765"/>
      <c r="C36" s="765"/>
      <c r="D36" s="765"/>
      <c r="E36" s="765"/>
      <c r="F36" s="765"/>
      <c r="G36" s="765"/>
      <c r="H36" s="765"/>
    </row>
    <row r="37" spans="1:8" ht="14.45" customHeight="1">
      <c r="A37" s="765"/>
      <c r="B37" s="765"/>
      <c r="C37" s="765"/>
      <c r="D37" s="765"/>
      <c r="E37" s="765"/>
      <c r="F37" s="765"/>
      <c r="G37" s="765"/>
      <c r="H37" s="765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29:H37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0866141732279997" right="0.70866141732279997" top="0.74803149606300001" bottom="0.74803149606300001" header="0.31496062992129997" footer="0.31496062992129997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zoomScaleNormal="100" workbookViewId="0"/>
  </sheetViews>
  <sheetFormatPr baseColWidth="10" defaultColWidth="10.42578125" defaultRowHeight="13.7" customHeight="1"/>
  <cols>
    <col min="1" max="1" width="41" style="54" customWidth="1" collapsed="1"/>
    <col min="2" max="4" width="13.42578125" style="54" customWidth="1" collapsed="1"/>
    <col min="5" max="5" width="10.42578125" style="54" bestFit="1" customWidth="1" collapsed="1"/>
    <col min="6" max="6" width="13.140625" style="54" customWidth="1" collapsed="1"/>
    <col min="7" max="9" width="11.5703125" style="54" customWidth="1" collapsed="1"/>
    <col min="10" max="16384" width="10.42578125" style="54" collapsed="1"/>
  </cols>
  <sheetData>
    <row r="1" spans="1:10" ht="18.75" customHeight="1">
      <c r="A1" s="761" t="s">
        <v>323</v>
      </c>
      <c r="B1" s="761"/>
      <c r="C1" s="761"/>
      <c r="D1" s="761"/>
      <c r="E1" s="761"/>
      <c r="F1" s="761"/>
      <c r="G1" s="761"/>
      <c r="H1" s="761"/>
      <c r="I1" s="761"/>
    </row>
    <row r="2" spans="1:10" ht="12.75">
      <c r="A2" s="203"/>
      <c r="B2" s="203"/>
      <c r="C2" s="203"/>
      <c r="D2" s="203"/>
      <c r="E2" s="203"/>
      <c r="F2" s="203"/>
      <c r="G2" s="203"/>
      <c r="H2" s="203"/>
      <c r="I2" s="203"/>
      <c r="J2" s="203"/>
    </row>
    <row r="3" spans="1:10" ht="12.75">
      <c r="A3" s="781" t="s">
        <v>268</v>
      </c>
      <c r="B3" s="781"/>
      <c r="C3" s="781"/>
      <c r="D3" s="203"/>
      <c r="E3" s="203"/>
      <c r="F3" s="203"/>
      <c r="G3" s="203" t="s">
        <v>269</v>
      </c>
      <c r="H3" s="782">
        <f>+'Fiche de renseignement R1'!$V$10</f>
        <v>45657</v>
      </c>
      <c r="I3" s="783"/>
      <c r="J3" s="203"/>
    </row>
    <row r="4" spans="1:10" ht="12.75">
      <c r="A4" s="784" t="str">
        <f>'Fiche de renseignement R1'!$J$4</f>
        <v>MANDINGA RESSOURCES SARL</v>
      </c>
      <c r="B4" s="785"/>
      <c r="C4" s="785"/>
      <c r="D4" s="203"/>
      <c r="E4" s="203"/>
      <c r="F4" s="203"/>
      <c r="G4" s="781" t="s">
        <v>270</v>
      </c>
      <c r="H4" s="786">
        <f>+'Fiche de renseignement R1'!$AH$10</f>
        <v>12</v>
      </c>
      <c r="I4" s="787"/>
      <c r="J4" s="203"/>
    </row>
    <row r="5" spans="1:10" ht="12.75">
      <c r="A5" s="203" t="s">
        <v>271</v>
      </c>
      <c r="B5" s="784" t="str">
        <f>+'Fiche de renseignement R1'!$J$10</f>
        <v>006495693</v>
      </c>
      <c r="C5" s="785"/>
      <c r="D5" s="203"/>
      <c r="E5" s="203"/>
      <c r="F5" s="203"/>
      <c r="G5" s="781"/>
      <c r="H5" s="783"/>
      <c r="I5" s="783"/>
      <c r="J5" s="203"/>
    </row>
    <row r="6" spans="1:10" ht="12.75">
      <c r="A6" s="202"/>
      <c r="B6" s="202"/>
      <c r="C6" s="202"/>
      <c r="D6" s="202"/>
      <c r="E6" s="202"/>
      <c r="F6" s="202"/>
      <c r="G6" s="202"/>
      <c r="H6" s="202"/>
      <c r="I6" s="202"/>
      <c r="J6" s="202"/>
    </row>
    <row r="7" spans="1:10" ht="12.75">
      <c r="A7" s="767" t="s">
        <v>311</v>
      </c>
      <c r="B7" s="730" t="s">
        <v>324</v>
      </c>
      <c r="C7" s="73" t="s">
        <v>111</v>
      </c>
      <c r="D7" s="752" t="s">
        <v>325</v>
      </c>
      <c r="E7" s="778"/>
      <c r="F7" s="778"/>
      <c r="G7" s="778" t="s">
        <v>326</v>
      </c>
      <c r="H7" s="778"/>
      <c r="I7" s="58" t="s">
        <v>327</v>
      </c>
    </row>
    <row r="8" spans="1:10" ht="25.5" customHeight="1">
      <c r="A8" s="767"/>
      <c r="B8" s="731"/>
      <c r="C8" s="776" t="s">
        <v>312</v>
      </c>
      <c r="D8" s="779" t="s">
        <v>313</v>
      </c>
      <c r="E8" s="768" t="s">
        <v>314</v>
      </c>
      <c r="F8" s="780" t="s">
        <v>315</v>
      </c>
      <c r="G8" s="768" t="s">
        <v>316</v>
      </c>
      <c r="H8" s="768" t="s">
        <v>314</v>
      </c>
      <c r="I8" s="768" t="s">
        <v>312</v>
      </c>
    </row>
    <row r="9" spans="1:10" ht="25.5" customHeight="1">
      <c r="A9" s="767"/>
      <c r="B9" s="60" t="s">
        <v>328</v>
      </c>
      <c r="C9" s="777"/>
      <c r="D9" s="779"/>
      <c r="E9" s="768"/>
      <c r="F9" s="780"/>
      <c r="G9" s="768"/>
      <c r="H9" s="768"/>
      <c r="I9" s="768"/>
    </row>
    <row r="10" spans="1:10" ht="25.5" customHeight="1">
      <c r="A10" s="67" t="s">
        <v>119</v>
      </c>
      <c r="B10" s="447">
        <v>0</v>
      </c>
      <c r="C10" s="448">
        <v>0</v>
      </c>
      <c r="D10" s="432">
        <v>0</v>
      </c>
      <c r="E10" s="432">
        <v>0</v>
      </c>
      <c r="F10" s="432">
        <v>0</v>
      </c>
      <c r="G10" s="432">
        <v>0</v>
      </c>
      <c r="H10" s="432">
        <v>0</v>
      </c>
      <c r="I10" s="432">
        <v>0</v>
      </c>
    </row>
    <row r="11" spans="1:10" ht="12.75">
      <c r="A11" s="67" t="s">
        <v>120</v>
      </c>
      <c r="B11" s="449">
        <v>0</v>
      </c>
      <c r="C11" s="432">
        <v>0</v>
      </c>
      <c r="D11" s="432">
        <v>0</v>
      </c>
      <c r="E11" s="432">
        <v>0</v>
      </c>
      <c r="F11" s="432">
        <v>0</v>
      </c>
      <c r="G11" s="432">
        <v>0</v>
      </c>
      <c r="H11" s="432">
        <v>0</v>
      </c>
      <c r="I11" s="432">
        <v>0</v>
      </c>
    </row>
    <row r="12" spans="1:10" ht="12.75">
      <c r="A12" s="67" t="s">
        <v>121</v>
      </c>
      <c r="B12" s="449">
        <v>0</v>
      </c>
      <c r="C12" s="432">
        <v>0</v>
      </c>
      <c r="D12" s="432">
        <v>0</v>
      </c>
      <c r="E12" s="432">
        <v>0</v>
      </c>
      <c r="F12" s="432">
        <v>0</v>
      </c>
      <c r="G12" s="432">
        <v>0</v>
      </c>
      <c r="H12" s="432">
        <v>0</v>
      </c>
      <c r="I12" s="432">
        <v>0</v>
      </c>
    </row>
    <row r="13" spans="1:10" ht="25.5" customHeight="1">
      <c r="A13" s="61" t="s">
        <v>329</v>
      </c>
      <c r="B13" s="450">
        <v>0</v>
      </c>
      <c r="C13" s="451">
        <v>0</v>
      </c>
      <c r="D13" s="451">
        <v>0</v>
      </c>
      <c r="E13" s="451">
        <v>0</v>
      </c>
      <c r="F13" s="451">
        <v>0</v>
      </c>
      <c r="G13" s="451">
        <v>0</v>
      </c>
      <c r="H13" s="451">
        <v>0</v>
      </c>
      <c r="I13" s="451">
        <v>0</v>
      </c>
    </row>
    <row r="14" spans="1:10" ht="12.75">
      <c r="A14" s="67" t="s">
        <v>330</v>
      </c>
      <c r="B14" s="449">
        <v>0</v>
      </c>
      <c r="C14" s="432">
        <v>0</v>
      </c>
      <c r="D14" s="432">
        <v>0</v>
      </c>
      <c r="E14" s="432">
        <v>0</v>
      </c>
      <c r="F14" s="432">
        <v>0</v>
      </c>
      <c r="G14" s="432">
        <v>0</v>
      </c>
      <c r="H14" s="432">
        <v>0</v>
      </c>
      <c r="I14" s="432">
        <v>0</v>
      </c>
    </row>
    <row r="15" spans="1:10" ht="12.75">
      <c r="A15" s="67" t="s">
        <v>331</v>
      </c>
      <c r="B15" s="449">
        <v>0</v>
      </c>
      <c r="C15" s="432">
        <v>0</v>
      </c>
      <c r="D15" s="432">
        <v>0</v>
      </c>
      <c r="E15" s="432">
        <v>0</v>
      </c>
      <c r="F15" s="432">
        <v>0</v>
      </c>
      <c r="G15" s="432">
        <v>0</v>
      </c>
      <c r="H15" s="432">
        <v>0</v>
      </c>
      <c r="I15" s="432">
        <v>0</v>
      </c>
    </row>
    <row r="16" spans="1:10" ht="25.5" customHeight="1">
      <c r="A16" s="56" t="s">
        <v>124</v>
      </c>
      <c r="B16" s="449">
        <v>0</v>
      </c>
      <c r="C16" s="432">
        <v>0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</row>
    <row r="17" spans="1:9" ht="12.75">
      <c r="A17" s="67" t="s">
        <v>125</v>
      </c>
      <c r="B17" s="449">
        <v>0</v>
      </c>
      <c r="C17" s="432">
        <v>0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</row>
    <row r="18" spans="1:9" ht="12.75">
      <c r="A18" s="67" t="s">
        <v>126</v>
      </c>
      <c r="B18" s="449">
        <v>0</v>
      </c>
      <c r="C18" s="432">
        <v>0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</row>
    <row r="19" spans="1:9" ht="25.5" customHeight="1">
      <c r="A19" s="61" t="s">
        <v>332</v>
      </c>
      <c r="B19" s="450">
        <v>0</v>
      </c>
      <c r="C19" s="451">
        <v>0</v>
      </c>
      <c r="D19" s="451">
        <v>0</v>
      </c>
      <c r="E19" s="451">
        <v>0</v>
      </c>
      <c r="F19" s="451">
        <v>0</v>
      </c>
      <c r="G19" s="451">
        <v>0</v>
      </c>
      <c r="H19" s="451">
        <v>0</v>
      </c>
      <c r="I19" s="451">
        <v>0</v>
      </c>
    </row>
    <row r="20" spans="1:9" ht="12.75">
      <c r="A20" s="67"/>
      <c r="B20" s="452"/>
      <c r="C20" s="432"/>
      <c r="D20" s="432"/>
      <c r="E20" s="432"/>
      <c r="F20" s="432"/>
      <c r="G20" s="432"/>
      <c r="H20" s="432"/>
      <c r="I20" s="432"/>
    </row>
    <row r="21" spans="1:9" ht="12.75">
      <c r="A21" s="74" t="s">
        <v>130</v>
      </c>
      <c r="B21" s="453">
        <v>0</v>
      </c>
      <c r="C21" s="454">
        <v>0</v>
      </c>
      <c r="D21" s="454">
        <v>0</v>
      </c>
      <c r="E21" s="454">
        <v>0</v>
      </c>
      <c r="F21" s="454">
        <v>0</v>
      </c>
      <c r="G21" s="454">
        <v>0</v>
      </c>
      <c r="H21" s="454">
        <v>0</v>
      </c>
      <c r="I21" s="454">
        <v>0</v>
      </c>
    </row>
    <row r="22" spans="1:9" ht="12.75">
      <c r="A22" s="54" t="s">
        <v>333</v>
      </c>
    </row>
    <row r="23" spans="1:9" ht="12.75">
      <c r="A23" s="85" t="s">
        <v>305</v>
      </c>
    </row>
    <row r="24" spans="1:9" ht="12.75">
      <c r="A24" s="774"/>
      <c r="B24" s="775"/>
      <c r="C24" s="775"/>
      <c r="D24" s="775"/>
      <c r="E24" s="775"/>
      <c r="F24" s="775"/>
      <c r="G24" s="775"/>
      <c r="H24" s="775"/>
      <c r="I24" s="775"/>
    </row>
    <row r="25" spans="1:9" ht="12.75">
      <c r="A25" s="775"/>
      <c r="B25" s="775"/>
      <c r="C25" s="775"/>
      <c r="D25" s="775"/>
      <c r="E25" s="775"/>
      <c r="F25" s="775"/>
      <c r="G25" s="775"/>
      <c r="H25" s="775"/>
      <c r="I25" s="775"/>
    </row>
    <row r="26" spans="1:9" ht="12.75">
      <c r="A26" s="775"/>
      <c r="B26" s="775"/>
      <c r="C26" s="775"/>
      <c r="D26" s="775"/>
      <c r="E26" s="775"/>
      <c r="F26" s="775"/>
      <c r="G26" s="775"/>
      <c r="H26" s="775"/>
      <c r="I26" s="775"/>
    </row>
  </sheetData>
  <mergeCells count="19">
    <mergeCell ref="A1:I1"/>
    <mergeCell ref="A3:C3"/>
    <mergeCell ref="H3:I3"/>
    <mergeCell ref="A4:C4"/>
    <mergeCell ref="G4:G5"/>
    <mergeCell ref="H4:I5"/>
    <mergeCell ref="B5:C5"/>
    <mergeCell ref="A24:I26"/>
    <mergeCell ref="C8:C9"/>
    <mergeCell ref="I8:I9"/>
    <mergeCell ref="A7:A9"/>
    <mergeCell ref="B7:B8"/>
    <mergeCell ref="D7:F7"/>
    <mergeCell ref="G7:H7"/>
    <mergeCell ref="D8:D9"/>
    <mergeCell ref="E8:E9"/>
    <mergeCell ref="F8:F9"/>
    <mergeCell ref="G8:G9"/>
    <mergeCell ref="H8:H9"/>
  </mergeCells>
  <pageMargins left="0.70866141732279997" right="0.70866141732279997" top="0.74803149606300001" bottom="0.74803149606300001" header="0.31496062992129997" footer="0.31496062992129997"/>
  <pageSetup paperSize="9" scale="9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showGridLines="0" workbookViewId="0"/>
  </sheetViews>
  <sheetFormatPr baseColWidth="10" defaultColWidth="10.42578125" defaultRowHeight="13.7" customHeight="1"/>
  <cols>
    <col min="1" max="1" width="35.42578125" style="54" customWidth="1" collapsed="1"/>
    <col min="2" max="2" width="14.42578125" style="54" customWidth="1" collapsed="1"/>
    <col min="3" max="3" width="13.5703125" style="54" customWidth="1" collapsed="1"/>
    <col min="4" max="4" width="16.42578125" style="54" customWidth="1" collapsed="1"/>
    <col min="5" max="5" width="16.85546875" style="54" customWidth="1" collapsed="1"/>
    <col min="6" max="16384" width="10.42578125" style="54" collapsed="1"/>
  </cols>
  <sheetData>
    <row r="1" spans="1:6" ht="18.75" customHeight="1">
      <c r="A1" s="761" t="s">
        <v>334</v>
      </c>
      <c r="B1" s="761"/>
      <c r="C1" s="761"/>
      <c r="D1" s="761"/>
      <c r="E1" s="761"/>
      <c r="F1" s="64"/>
    </row>
    <row r="2" spans="1:6" ht="12.75">
      <c r="A2" s="64"/>
      <c r="B2" s="64"/>
      <c r="C2" s="64"/>
      <c r="D2" s="64"/>
      <c r="E2" s="64"/>
      <c r="F2" s="64"/>
    </row>
    <row r="3" spans="1:6" ht="12.75">
      <c r="A3" s="769" t="s">
        <v>268</v>
      </c>
      <c r="B3" s="769"/>
      <c r="C3" s="769"/>
      <c r="D3" s="64" t="s">
        <v>269</v>
      </c>
      <c r="E3" s="445">
        <f>+'Fiche de renseignement R1'!$V$10</f>
        <v>45657</v>
      </c>
      <c r="F3" s="64"/>
    </row>
    <row r="4" spans="1:6" ht="12.75">
      <c r="A4" s="714" t="str">
        <f>'Fiche de renseignement R1'!$J$4</f>
        <v>MANDINGA RESSOURCES SARL</v>
      </c>
      <c r="B4" s="760"/>
      <c r="C4" s="760"/>
      <c r="D4" s="769" t="s">
        <v>270</v>
      </c>
      <c r="E4" s="789" t="s">
        <v>910</v>
      </c>
      <c r="F4" s="64"/>
    </row>
    <row r="5" spans="1:6" ht="12.75">
      <c r="A5" s="64" t="s">
        <v>271</v>
      </c>
      <c r="B5" s="714" t="str">
        <f>+'Fiche de renseignement R1'!$J$10</f>
        <v>006495693</v>
      </c>
      <c r="C5" s="760"/>
      <c r="D5" s="769"/>
      <c r="E5" s="771"/>
      <c r="F5" s="64"/>
    </row>
    <row r="7" spans="1:6" ht="12.75">
      <c r="A7" s="767" t="s">
        <v>311</v>
      </c>
      <c r="B7" s="58" t="s">
        <v>111</v>
      </c>
      <c r="C7" s="58" t="s">
        <v>230</v>
      </c>
      <c r="D7" s="58" t="s">
        <v>243</v>
      </c>
      <c r="E7" s="58" t="s">
        <v>327</v>
      </c>
    </row>
    <row r="8" spans="1:6" ht="27" customHeight="1">
      <c r="A8" s="767"/>
      <c r="B8" s="788" t="s">
        <v>335</v>
      </c>
      <c r="C8" s="788" t="s">
        <v>336</v>
      </c>
      <c r="D8" s="788" t="s">
        <v>337</v>
      </c>
      <c r="E8" s="788" t="s">
        <v>338</v>
      </c>
    </row>
    <row r="9" spans="1:6" ht="27" customHeight="1">
      <c r="A9" s="767"/>
      <c r="B9" s="788"/>
      <c r="C9" s="788"/>
      <c r="D9" s="788"/>
      <c r="E9" s="788"/>
    </row>
    <row r="10" spans="1:6" ht="12.75">
      <c r="A10" s="72" t="s">
        <v>118</v>
      </c>
      <c r="B10" s="437">
        <v>0</v>
      </c>
      <c r="C10" s="437">
        <v>0</v>
      </c>
      <c r="D10" s="437">
        <v>0</v>
      </c>
      <c r="E10" s="437">
        <v>0</v>
      </c>
    </row>
    <row r="11" spans="1:6" ht="25.5" customHeight="1">
      <c r="A11" s="72" t="s">
        <v>119</v>
      </c>
      <c r="B11" s="437">
        <v>15171697</v>
      </c>
      <c r="C11" s="437">
        <v>12678506</v>
      </c>
      <c r="D11" s="437">
        <v>0</v>
      </c>
      <c r="E11" s="437">
        <v>27850203</v>
      </c>
    </row>
    <row r="12" spans="1:6" ht="12.75">
      <c r="A12" s="72" t="s">
        <v>120</v>
      </c>
      <c r="B12" s="437">
        <v>0</v>
      </c>
      <c r="C12" s="437">
        <v>0</v>
      </c>
      <c r="D12" s="437">
        <v>0</v>
      </c>
      <c r="E12" s="437">
        <v>0</v>
      </c>
    </row>
    <row r="13" spans="1:6" ht="12.75">
      <c r="A13" s="72" t="s">
        <v>121</v>
      </c>
      <c r="B13" s="437">
        <v>0</v>
      </c>
      <c r="C13" s="437">
        <v>0</v>
      </c>
      <c r="D13" s="437">
        <v>0</v>
      </c>
      <c r="E13" s="437">
        <v>0</v>
      </c>
    </row>
    <row r="14" spans="1:6" ht="25.5" customHeight="1">
      <c r="A14" s="75" t="s">
        <v>329</v>
      </c>
      <c r="B14" s="455">
        <v>15171697</v>
      </c>
      <c r="C14" s="455">
        <v>0</v>
      </c>
      <c r="D14" s="455">
        <v>0</v>
      </c>
      <c r="E14" s="455">
        <v>15171697</v>
      </c>
    </row>
    <row r="15" spans="1:6" ht="12.75">
      <c r="A15" s="72" t="s">
        <v>318</v>
      </c>
      <c r="B15" s="437">
        <v>0</v>
      </c>
      <c r="C15" s="437">
        <v>0</v>
      </c>
      <c r="D15" s="437">
        <v>0</v>
      </c>
      <c r="E15" s="437">
        <v>0</v>
      </c>
    </row>
    <row r="16" spans="1:6" ht="12.75">
      <c r="A16" s="72" t="s">
        <v>319</v>
      </c>
      <c r="B16" s="437">
        <v>0</v>
      </c>
      <c r="C16" s="437">
        <v>0</v>
      </c>
      <c r="D16" s="437">
        <v>0</v>
      </c>
      <c r="E16" s="437">
        <v>0</v>
      </c>
    </row>
    <row r="17" spans="1:5" ht="12.75">
      <c r="A17" s="72" t="s">
        <v>320</v>
      </c>
      <c r="B17" s="437">
        <v>0</v>
      </c>
      <c r="C17" s="437">
        <v>0</v>
      </c>
      <c r="D17" s="437">
        <v>0</v>
      </c>
      <c r="E17" s="437">
        <v>0</v>
      </c>
    </row>
    <row r="18" spans="1:5" ht="12.75">
      <c r="A18" s="72" t="s">
        <v>321</v>
      </c>
      <c r="B18" s="437">
        <v>0</v>
      </c>
      <c r="C18" s="437">
        <v>0</v>
      </c>
      <c r="D18" s="437">
        <v>0</v>
      </c>
      <c r="E18" s="437">
        <v>0</v>
      </c>
    </row>
    <row r="19" spans="1:5" ht="25.5" customHeight="1">
      <c r="A19" s="72" t="s">
        <v>124</v>
      </c>
      <c r="B19" s="437">
        <v>0</v>
      </c>
      <c r="C19" s="437">
        <v>0</v>
      </c>
      <c r="D19" s="437">
        <v>0</v>
      </c>
      <c r="E19" s="437">
        <v>0</v>
      </c>
    </row>
    <row r="20" spans="1:5" ht="12.75">
      <c r="A20" s="72" t="s">
        <v>125</v>
      </c>
      <c r="B20" s="437">
        <v>20503905</v>
      </c>
      <c r="C20" s="437">
        <v>17543869</v>
      </c>
      <c r="D20" s="437">
        <v>3439004</v>
      </c>
      <c r="E20" s="437">
        <v>34608770</v>
      </c>
    </row>
    <row r="21" spans="1:5" ht="12.75">
      <c r="A21" s="72" t="s">
        <v>126</v>
      </c>
      <c r="B21" s="437">
        <v>1831667</v>
      </c>
      <c r="C21" s="437">
        <v>268333</v>
      </c>
      <c r="D21" s="437">
        <v>2100000</v>
      </c>
      <c r="E21" s="437">
        <v>0</v>
      </c>
    </row>
    <row r="22" spans="1:5" ht="25.5" customHeight="1">
      <c r="A22" s="75" t="s">
        <v>332</v>
      </c>
      <c r="B22" s="455">
        <v>22335572</v>
      </c>
      <c r="C22" s="455">
        <v>17812202</v>
      </c>
      <c r="D22" s="455">
        <v>5539004</v>
      </c>
      <c r="E22" s="455">
        <v>34608770</v>
      </c>
    </row>
    <row r="23" spans="1:5" ht="12.75">
      <c r="A23" s="72"/>
      <c r="B23" s="437"/>
      <c r="C23" s="437"/>
      <c r="D23" s="437"/>
      <c r="E23" s="437"/>
    </row>
    <row r="24" spans="1:5" ht="12.75">
      <c r="A24" s="76" t="s">
        <v>130</v>
      </c>
      <c r="B24" s="456">
        <v>37507269</v>
      </c>
      <c r="C24" s="456">
        <v>17812202</v>
      </c>
      <c r="D24" s="456">
        <v>5539004</v>
      </c>
      <c r="E24" s="456">
        <v>49780467</v>
      </c>
    </row>
    <row r="25" spans="1:5" ht="12.75">
      <c r="A25" s="54" t="s">
        <v>305</v>
      </c>
    </row>
    <row r="26" spans="1:5" s="410" customFormat="1" ht="82.5" customHeight="1">
      <c r="A26" s="774" t="s">
        <v>1356</v>
      </c>
      <c r="B26" s="775"/>
      <c r="C26" s="775"/>
      <c r="D26" s="775"/>
      <c r="E26" s="775"/>
    </row>
    <row r="27" spans="1:5" ht="12.75">
      <c r="A27" s="775"/>
      <c r="B27" s="775"/>
      <c r="C27" s="775"/>
      <c r="D27" s="775"/>
      <c r="E27" s="775"/>
    </row>
    <row r="28" spans="1:5" ht="12.75">
      <c r="A28" s="775"/>
      <c r="B28" s="775"/>
      <c r="C28" s="775"/>
      <c r="D28" s="775"/>
      <c r="E28" s="775"/>
    </row>
    <row r="29" spans="1:5" ht="12.75">
      <c r="A29" s="775"/>
      <c r="B29" s="775"/>
      <c r="C29" s="775"/>
      <c r="D29" s="775"/>
      <c r="E29" s="775"/>
    </row>
  </sheetData>
  <mergeCells count="12">
    <mergeCell ref="A1:E1"/>
    <mergeCell ref="A3:C3"/>
    <mergeCell ref="A4:C4"/>
    <mergeCell ref="D4:D5"/>
    <mergeCell ref="E4:E5"/>
    <mergeCell ref="B5:C5"/>
    <mergeCell ref="A26:E29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0866141732279997" right="0.70866141732279997" top="0.74803149606300001" bottom="0.74803149606300001" header="0.31496062992129997" footer="0.31496062992129997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/>
  </sheetViews>
  <sheetFormatPr baseColWidth="10" defaultColWidth="10.42578125" defaultRowHeight="13.7" customHeight="1"/>
  <cols>
    <col min="1" max="1" width="41.140625" style="54" customWidth="1" collapsed="1"/>
    <col min="2" max="6" width="18.42578125" style="54" customWidth="1" collapsed="1"/>
    <col min="7" max="16384" width="10.42578125" style="54" collapsed="1"/>
  </cols>
  <sheetData>
    <row r="1" spans="1:7" ht="18.75" customHeight="1">
      <c r="A1" s="761" t="s">
        <v>339</v>
      </c>
      <c r="B1" s="761"/>
      <c r="C1" s="761"/>
      <c r="D1" s="761"/>
      <c r="E1" s="761"/>
      <c r="F1" s="761"/>
    </row>
    <row r="3" spans="1:7" ht="12.75">
      <c r="A3" s="769" t="s">
        <v>268</v>
      </c>
      <c r="B3" s="769"/>
      <c r="C3" s="769"/>
      <c r="D3" s="64" t="s">
        <v>269</v>
      </c>
      <c r="E3" s="770">
        <f>+'Fiche de renseignement R1'!$V$10</f>
        <v>45657</v>
      </c>
      <c r="F3" s="791"/>
      <c r="G3" s="64"/>
    </row>
    <row r="4" spans="1:7" ht="12.75">
      <c r="A4" s="714" t="str">
        <f>'Fiche de renseignement R1'!$J$4</f>
        <v>MANDINGA RESSOURCES SARL</v>
      </c>
      <c r="B4" s="760"/>
      <c r="C4" s="760"/>
      <c r="D4" s="769" t="s">
        <v>270</v>
      </c>
      <c r="E4" s="772">
        <f>+'Fiche de renseignement R1'!$AH$10</f>
        <v>12</v>
      </c>
      <c r="F4" s="773"/>
      <c r="G4" s="64"/>
    </row>
    <row r="5" spans="1:7" ht="12.75">
      <c r="A5" s="200" t="s">
        <v>271</v>
      </c>
      <c r="B5" s="714" t="str">
        <f>+'Fiche de renseignement R1'!$J$10</f>
        <v>006495693</v>
      </c>
      <c r="C5" s="760"/>
      <c r="D5" s="769"/>
      <c r="E5" s="771"/>
      <c r="F5" s="771"/>
      <c r="G5" s="64"/>
    </row>
    <row r="7" spans="1:7" ht="12.75">
      <c r="A7" s="57"/>
      <c r="B7" s="77" t="s">
        <v>340</v>
      </c>
      <c r="C7" s="77" t="s">
        <v>341</v>
      </c>
      <c r="D7" s="790" t="s">
        <v>342</v>
      </c>
      <c r="E7" s="790" t="s">
        <v>343</v>
      </c>
      <c r="F7" s="790" t="s">
        <v>344</v>
      </c>
    </row>
    <row r="8" spans="1:7" ht="12.75">
      <c r="A8" s="59"/>
      <c r="B8" s="78"/>
      <c r="C8" s="78" t="s">
        <v>345</v>
      </c>
      <c r="D8" s="776"/>
      <c r="E8" s="776"/>
      <c r="F8" s="776"/>
    </row>
    <row r="9" spans="1:7" ht="12.75">
      <c r="A9" s="60"/>
      <c r="B9" s="60" t="s">
        <v>111</v>
      </c>
      <c r="C9" s="60" t="s">
        <v>230</v>
      </c>
      <c r="D9" s="60" t="s">
        <v>346</v>
      </c>
      <c r="E9" s="60" t="s">
        <v>254</v>
      </c>
      <c r="F9" s="60" t="s">
        <v>347</v>
      </c>
    </row>
    <row r="10" spans="1:7" ht="12.75">
      <c r="A10" s="56" t="s">
        <v>118</v>
      </c>
      <c r="B10" s="449">
        <v>0</v>
      </c>
      <c r="C10" s="449">
        <v>0</v>
      </c>
      <c r="D10" s="449">
        <v>0</v>
      </c>
      <c r="E10" s="449">
        <v>0</v>
      </c>
      <c r="F10" s="449">
        <v>0</v>
      </c>
    </row>
    <row r="11" spans="1:7" ht="25.5" customHeight="1">
      <c r="A11" s="56" t="s">
        <v>119</v>
      </c>
      <c r="B11" s="449">
        <v>0</v>
      </c>
      <c r="C11" s="449">
        <v>0</v>
      </c>
      <c r="D11" s="449">
        <v>0</v>
      </c>
      <c r="E11" s="449">
        <v>0</v>
      </c>
      <c r="F11" s="449">
        <v>0</v>
      </c>
    </row>
    <row r="12" spans="1:7" ht="12.75">
      <c r="A12" s="56" t="s">
        <v>120</v>
      </c>
      <c r="B12" s="449">
        <v>0</v>
      </c>
      <c r="C12" s="449">
        <v>0</v>
      </c>
      <c r="D12" s="449">
        <v>0</v>
      </c>
      <c r="E12" s="449">
        <v>0</v>
      </c>
      <c r="F12" s="449">
        <v>0</v>
      </c>
    </row>
    <row r="13" spans="1:7" ht="12.75">
      <c r="A13" s="56" t="s">
        <v>121</v>
      </c>
      <c r="B13" s="449">
        <v>0</v>
      </c>
      <c r="C13" s="449">
        <v>0</v>
      </c>
      <c r="D13" s="449">
        <v>0</v>
      </c>
      <c r="E13" s="449">
        <v>0</v>
      </c>
      <c r="F13" s="449">
        <v>0</v>
      </c>
    </row>
    <row r="14" spans="1:7" ht="25.5" customHeight="1">
      <c r="A14" s="61" t="s">
        <v>329</v>
      </c>
      <c r="B14" s="450">
        <v>0</v>
      </c>
      <c r="C14" s="450">
        <v>0</v>
      </c>
      <c r="D14" s="450">
        <v>0</v>
      </c>
      <c r="E14" s="450">
        <v>0</v>
      </c>
      <c r="F14" s="450">
        <v>0</v>
      </c>
    </row>
    <row r="15" spans="1:7" ht="12.75">
      <c r="A15" s="56" t="s">
        <v>330</v>
      </c>
      <c r="B15" s="449">
        <v>0</v>
      </c>
      <c r="C15" s="449">
        <v>0</v>
      </c>
      <c r="D15" s="449">
        <v>0</v>
      </c>
      <c r="E15" s="449">
        <v>0</v>
      </c>
      <c r="F15" s="449">
        <v>0</v>
      </c>
    </row>
    <row r="16" spans="1:7" ht="12.75">
      <c r="A16" s="56" t="s">
        <v>331</v>
      </c>
      <c r="B16" s="449">
        <v>0</v>
      </c>
      <c r="C16" s="449">
        <v>0</v>
      </c>
      <c r="D16" s="449">
        <v>0</v>
      </c>
      <c r="E16" s="449">
        <v>0</v>
      </c>
      <c r="F16" s="449">
        <v>0</v>
      </c>
    </row>
    <row r="17" spans="1:6" ht="25.5" customHeight="1">
      <c r="A17" s="56" t="s">
        <v>124</v>
      </c>
      <c r="B17" s="449">
        <v>0</v>
      </c>
      <c r="C17" s="449">
        <v>0</v>
      </c>
      <c r="D17" s="449">
        <v>0</v>
      </c>
      <c r="E17" s="449">
        <v>0</v>
      </c>
      <c r="F17" s="449">
        <v>0</v>
      </c>
    </row>
    <row r="18" spans="1:6" ht="12.75">
      <c r="A18" s="56" t="s">
        <v>125</v>
      </c>
      <c r="B18" s="449">
        <v>0</v>
      </c>
      <c r="C18" s="449">
        <v>0</v>
      </c>
      <c r="D18" s="449">
        <v>0</v>
      </c>
      <c r="E18" s="449">
        <v>0</v>
      </c>
      <c r="F18" s="449">
        <v>0</v>
      </c>
    </row>
    <row r="19" spans="1:6" ht="12.75">
      <c r="A19" s="56" t="s">
        <v>126</v>
      </c>
      <c r="B19" s="449">
        <v>0</v>
      </c>
      <c r="C19" s="449">
        <v>0</v>
      </c>
      <c r="D19" s="449">
        <v>0</v>
      </c>
      <c r="E19" s="449">
        <v>0</v>
      </c>
      <c r="F19" s="449">
        <v>0</v>
      </c>
    </row>
    <row r="20" spans="1:6" ht="25.5" customHeight="1">
      <c r="A20" s="61" t="s">
        <v>332</v>
      </c>
      <c r="B20" s="450">
        <v>0</v>
      </c>
      <c r="C20" s="450">
        <v>0</v>
      </c>
      <c r="D20" s="450">
        <v>0</v>
      </c>
      <c r="E20" s="450">
        <v>0</v>
      </c>
      <c r="F20" s="450">
        <v>0</v>
      </c>
    </row>
    <row r="21" spans="1:6" ht="12.75">
      <c r="A21" s="242" t="s">
        <v>127</v>
      </c>
      <c r="B21" s="449">
        <v>0</v>
      </c>
      <c r="C21" s="449">
        <v>0</v>
      </c>
      <c r="D21" s="449">
        <v>0</v>
      </c>
      <c r="E21" s="449">
        <v>0</v>
      </c>
      <c r="F21" s="449">
        <v>0</v>
      </c>
    </row>
    <row r="22" spans="1:6" ht="12.75">
      <c r="A22" s="56" t="s">
        <v>128</v>
      </c>
      <c r="B22" s="449">
        <v>0</v>
      </c>
      <c r="C22" s="449">
        <v>0</v>
      </c>
      <c r="D22" s="449">
        <v>0</v>
      </c>
      <c r="E22" s="449">
        <v>0</v>
      </c>
      <c r="F22" s="449">
        <v>0</v>
      </c>
    </row>
    <row r="23" spans="1:6" ht="25.5" customHeight="1">
      <c r="A23" s="61" t="s">
        <v>348</v>
      </c>
      <c r="B23" s="450">
        <v>0</v>
      </c>
      <c r="C23" s="450">
        <v>0</v>
      </c>
      <c r="D23" s="450">
        <v>0</v>
      </c>
      <c r="E23" s="450">
        <v>0</v>
      </c>
      <c r="F23" s="450">
        <v>0</v>
      </c>
    </row>
    <row r="24" spans="1:6" ht="12.75">
      <c r="A24" s="56"/>
      <c r="B24" s="452"/>
      <c r="C24" s="452"/>
      <c r="D24" s="452"/>
      <c r="E24" s="452"/>
      <c r="F24" s="452"/>
    </row>
    <row r="25" spans="1:6" ht="12.75">
      <c r="A25" s="62" t="s">
        <v>130</v>
      </c>
      <c r="B25" s="453">
        <v>0</v>
      </c>
      <c r="C25" s="453">
        <v>0</v>
      </c>
      <c r="D25" s="453">
        <v>0</v>
      </c>
      <c r="E25" s="453">
        <v>0</v>
      </c>
      <c r="F25" s="453">
        <v>0</v>
      </c>
    </row>
    <row r="26" spans="1:6" ht="12.75">
      <c r="A26" s="54" t="s">
        <v>305</v>
      </c>
    </row>
    <row r="27" spans="1:6" ht="12.75">
      <c r="A27" s="774"/>
      <c r="B27" s="775"/>
      <c r="C27" s="775"/>
      <c r="D27" s="775"/>
      <c r="E27" s="775"/>
      <c r="F27" s="775"/>
    </row>
    <row r="28" spans="1:6" ht="12.75">
      <c r="A28" s="775"/>
      <c r="B28" s="775"/>
      <c r="C28" s="775"/>
      <c r="D28" s="775"/>
      <c r="E28" s="775"/>
      <c r="F28" s="775"/>
    </row>
    <row r="29" spans="1:6" ht="12.75">
      <c r="A29" s="775"/>
      <c r="B29" s="775"/>
      <c r="C29" s="775"/>
      <c r="D29" s="775"/>
      <c r="E29" s="775"/>
      <c r="F29" s="775"/>
    </row>
    <row r="30" spans="1:6" ht="12.75">
      <c r="A30" s="775"/>
      <c r="B30" s="775"/>
      <c r="C30" s="775"/>
      <c r="D30" s="775"/>
      <c r="E30" s="775"/>
      <c r="F30" s="775"/>
    </row>
  </sheetData>
  <mergeCells count="11">
    <mergeCell ref="A27:F30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0866141732279997" right="0.70866141732279997" top="0.74803149606300001" bottom="0.74803149606300001" header="0.31496062992129997" footer="0.31496062992129997"/>
  <pageSetup paperSize="9" scale="9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GridLines="0" workbookViewId="0">
      <selection sqref="A1:C1"/>
    </sheetView>
  </sheetViews>
  <sheetFormatPr baseColWidth="10" defaultColWidth="10.42578125" defaultRowHeight="13.7" customHeight="1"/>
  <cols>
    <col min="1" max="1" width="41" style="54" customWidth="1" collapsed="1"/>
    <col min="2" max="2" width="37.5703125" style="54" customWidth="1" collapsed="1"/>
    <col min="3" max="3" width="41.42578125" style="54" customWidth="1" collapsed="1"/>
    <col min="4" max="4" width="11.5703125" style="54" customWidth="1" collapsed="1"/>
    <col min="5" max="16384" width="10.42578125" style="54" collapsed="1"/>
  </cols>
  <sheetData>
    <row r="1" spans="1:4" ht="18.75" customHeight="1">
      <c r="A1" s="761" t="s">
        <v>349</v>
      </c>
      <c r="B1" s="761"/>
      <c r="C1" s="761"/>
    </row>
    <row r="3" spans="1:4" ht="12.75">
      <c r="A3" s="769" t="s">
        <v>268</v>
      </c>
      <c r="B3" s="769"/>
      <c r="C3" s="64" t="s">
        <v>269</v>
      </c>
      <c r="D3" s="445">
        <f>+'Fiche de renseignement R1'!$V$10</f>
        <v>45657</v>
      </c>
    </row>
    <row r="4" spans="1:4" ht="12.75">
      <c r="A4" s="714" t="str">
        <f>'Fiche de renseignement R1'!$J$4</f>
        <v>MANDINGA RESSOURCES SARL</v>
      </c>
      <c r="B4" s="760"/>
      <c r="C4" s="769" t="s">
        <v>270</v>
      </c>
      <c r="D4" s="772">
        <f>+'Fiche de renseignement R1'!$AH$10</f>
        <v>12</v>
      </c>
    </row>
    <row r="5" spans="1:4" ht="12.75">
      <c r="A5" s="64" t="s">
        <v>271</v>
      </c>
      <c r="B5" s="423" t="str">
        <f>+'Fiche de renseignement R1'!$J$10</f>
        <v>006495693</v>
      </c>
      <c r="C5" s="769"/>
      <c r="D5" s="771"/>
    </row>
    <row r="7" spans="1:4" ht="12.75">
      <c r="A7" s="84" t="s">
        <v>350</v>
      </c>
      <c r="B7" s="83"/>
      <c r="C7" s="83"/>
    </row>
    <row r="8" spans="1:4" ht="12.75">
      <c r="A8" s="759"/>
      <c r="B8" s="759"/>
      <c r="C8" s="759"/>
    </row>
    <row r="9" spans="1:4" ht="12.75">
      <c r="A9" s="759"/>
      <c r="B9" s="759"/>
      <c r="C9" s="759"/>
    </row>
    <row r="10" spans="1:4" ht="12.75">
      <c r="A10" s="759"/>
      <c r="B10" s="759"/>
      <c r="C10" s="759"/>
    </row>
    <row r="11" spans="1:4" ht="12.75">
      <c r="A11" s="759"/>
      <c r="B11" s="759"/>
      <c r="C11" s="759"/>
    </row>
    <row r="12" spans="1:4" ht="12.75">
      <c r="A12" s="759"/>
      <c r="B12" s="759"/>
      <c r="C12" s="759"/>
    </row>
    <row r="13" spans="1:4" ht="12.75">
      <c r="A13" s="58" t="s">
        <v>351</v>
      </c>
      <c r="B13" s="58" t="s">
        <v>352</v>
      </c>
      <c r="C13" s="58" t="s">
        <v>353</v>
      </c>
    </row>
    <row r="14" spans="1:4" ht="12.75">
      <c r="A14" s="55"/>
      <c r="B14" s="55"/>
      <c r="C14" s="55"/>
    </row>
    <row r="15" spans="1:4" ht="12.75">
      <c r="A15" s="55"/>
      <c r="B15" s="55"/>
      <c r="C15" s="55"/>
    </row>
    <row r="16" spans="1:4" ht="12.75">
      <c r="A16" s="55"/>
      <c r="B16" s="55"/>
      <c r="C16" s="55"/>
    </row>
    <row r="17" spans="1:3" ht="12.75">
      <c r="A17" s="55"/>
      <c r="B17" s="55"/>
      <c r="C17" s="55"/>
    </row>
    <row r="18" spans="1:3" ht="12.75">
      <c r="A18" s="55"/>
      <c r="B18" s="55"/>
      <c r="C18" s="55"/>
    </row>
    <row r="19" spans="1:3" ht="12.75">
      <c r="A19" s="55"/>
      <c r="B19" s="55"/>
      <c r="C19" s="55"/>
    </row>
    <row r="20" spans="1:3" ht="12.75">
      <c r="A20" s="55"/>
      <c r="B20" s="55"/>
      <c r="C20" s="55"/>
    </row>
    <row r="21" spans="1:3" ht="12.75">
      <c r="A21" s="55"/>
      <c r="B21" s="55"/>
      <c r="C21" s="55"/>
    </row>
    <row r="22" spans="1:3" ht="12.75">
      <c r="A22" s="54" t="s">
        <v>354</v>
      </c>
    </row>
    <row r="23" spans="1:3" ht="12.75">
      <c r="A23" s="759"/>
      <c r="B23" s="759"/>
      <c r="C23" s="759"/>
    </row>
    <row r="24" spans="1:3" ht="12.75">
      <c r="A24" s="55" t="s">
        <v>355</v>
      </c>
      <c r="B24" s="55"/>
      <c r="C24" s="55"/>
    </row>
    <row r="25" spans="1:3" ht="12.75">
      <c r="A25" s="55" t="s">
        <v>356</v>
      </c>
      <c r="B25" s="55"/>
      <c r="C25" s="55"/>
    </row>
    <row r="26" spans="1:3" ht="54" customHeight="1">
      <c r="A26" s="759"/>
      <c r="B26" s="759"/>
      <c r="C26" s="759"/>
    </row>
    <row r="27" spans="1:3" s="82" customFormat="1" ht="20.25" customHeight="1">
      <c r="A27" s="79" t="s">
        <v>357</v>
      </c>
      <c r="B27" s="80"/>
      <c r="C27" s="81"/>
    </row>
  </sheetData>
  <mergeCells count="8">
    <mergeCell ref="D4:D5"/>
    <mergeCell ref="A26:C26"/>
    <mergeCell ref="A1:C1"/>
    <mergeCell ref="A3:B3"/>
    <mergeCell ref="A4:B4"/>
    <mergeCell ref="C4:C5"/>
    <mergeCell ref="A8:C12"/>
    <mergeCell ref="A23:C23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36"/>
  <sheetViews>
    <sheetView showGridLines="0" topLeftCell="A7" workbookViewId="0">
      <selection sqref="A1:G1"/>
    </sheetView>
  </sheetViews>
  <sheetFormatPr baseColWidth="10" defaultColWidth="10.42578125" defaultRowHeight="13.7" customHeight="1"/>
  <cols>
    <col min="1" max="1" width="31.140625" style="54" customWidth="1" collapsed="1"/>
    <col min="2" max="2" width="23.42578125" style="54" customWidth="1" collapsed="1"/>
    <col min="3" max="3" width="17.85546875" style="54" customWidth="1" collapsed="1"/>
    <col min="4" max="4" width="19.140625" style="54" customWidth="1" collapsed="1"/>
    <col min="5" max="5" width="16" style="54" customWidth="1" collapsed="1"/>
    <col min="6" max="6" width="15.5703125" style="54" customWidth="1" collapsed="1"/>
    <col min="7" max="7" width="14.42578125" style="54" customWidth="1" collapsed="1"/>
    <col min="8" max="16384" width="10.42578125" style="54" collapsed="1"/>
  </cols>
  <sheetData>
    <row r="1" spans="1:8" ht="18.75" customHeight="1">
      <c r="A1" s="761" t="s">
        <v>358</v>
      </c>
      <c r="B1" s="761"/>
      <c r="C1" s="761"/>
      <c r="D1" s="761"/>
      <c r="E1" s="761"/>
      <c r="F1" s="761"/>
      <c r="G1" s="761"/>
    </row>
    <row r="2" spans="1:8" ht="8.1" customHeight="1"/>
    <row r="3" spans="1:8" ht="12.75" customHeight="1">
      <c r="A3" s="769" t="s">
        <v>268</v>
      </c>
      <c r="B3" s="769"/>
      <c r="C3" s="769"/>
      <c r="D3" s="64"/>
      <c r="E3" s="64" t="s">
        <v>269</v>
      </c>
      <c r="F3" s="770">
        <f>+'Fiche de renseignement R1'!$V$10</f>
        <v>45657</v>
      </c>
      <c r="G3" s="791"/>
      <c r="H3" s="64"/>
    </row>
    <row r="4" spans="1:8" ht="15" customHeight="1">
      <c r="A4" s="714" t="str">
        <f>'Fiche de renseignement R1'!$J$4</f>
        <v>MANDINGA RESSOURCES SARL</v>
      </c>
      <c r="B4" s="760"/>
      <c r="C4" s="760"/>
      <c r="D4" s="64"/>
      <c r="E4" s="769" t="s">
        <v>270</v>
      </c>
      <c r="F4" s="772">
        <f>+'Fiche de renseignement R1'!$AH$10</f>
        <v>12</v>
      </c>
      <c r="G4" s="773"/>
      <c r="H4" s="64"/>
    </row>
    <row r="5" spans="1:8" ht="15" customHeight="1">
      <c r="A5" s="64" t="s">
        <v>271</v>
      </c>
      <c r="B5" s="714" t="str">
        <f>+'Fiche de renseignement R1'!$J$10</f>
        <v>006495693</v>
      </c>
      <c r="C5" s="760"/>
      <c r="D5" s="64"/>
      <c r="E5" s="769"/>
      <c r="F5" s="771"/>
      <c r="G5" s="771"/>
      <c r="H5" s="64"/>
    </row>
    <row r="6" spans="1:8" ht="8.1" customHeight="1"/>
    <row r="7" spans="1:8" ht="25.35" customHeight="1">
      <c r="A7" s="790" t="s">
        <v>311</v>
      </c>
      <c r="B7" s="766" t="s">
        <v>359</v>
      </c>
      <c r="C7" s="766" t="s">
        <v>360</v>
      </c>
      <c r="D7" s="766" t="s">
        <v>361</v>
      </c>
      <c r="E7" s="766" t="s">
        <v>362</v>
      </c>
      <c r="F7" s="766" t="s">
        <v>363</v>
      </c>
      <c r="G7" s="766" t="s">
        <v>364</v>
      </c>
    </row>
    <row r="8" spans="1:8" ht="25.35" customHeight="1">
      <c r="A8" s="777"/>
      <c r="B8" s="766"/>
      <c r="C8" s="766"/>
      <c r="D8" s="766"/>
      <c r="E8" s="766"/>
      <c r="F8" s="766"/>
      <c r="G8" s="766"/>
    </row>
    <row r="9" spans="1:8" ht="12.75">
      <c r="A9" s="55" t="s">
        <v>127</v>
      </c>
      <c r="B9" s="437">
        <v>0</v>
      </c>
      <c r="C9" s="437">
        <v>0</v>
      </c>
      <c r="D9" s="457"/>
      <c r="E9" s="437">
        <v>0</v>
      </c>
      <c r="F9" s="437">
        <v>0</v>
      </c>
      <c r="G9" s="437">
        <v>0</v>
      </c>
    </row>
    <row r="10" spans="1:8" ht="12.75">
      <c r="A10" s="55" t="s">
        <v>365</v>
      </c>
      <c r="B10" s="437">
        <v>0</v>
      </c>
      <c r="C10" s="437">
        <v>0</v>
      </c>
      <c r="D10" s="457"/>
      <c r="E10" s="437">
        <v>0</v>
      </c>
      <c r="F10" s="437">
        <v>0</v>
      </c>
      <c r="G10" s="437">
        <v>0</v>
      </c>
    </row>
    <row r="11" spans="1:8" ht="12.75">
      <c r="A11" s="55" t="s">
        <v>366</v>
      </c>
      <c r="B11" s="437">
        <v>0</v>
      </c>
      <c r="C11" s="437">
        <v>0</v>
      </c>
      <c r="D11" s="457"/>
      <c r="E11" s="437">
        <v>0</v>
      </c>
      <c r="F11" s="437">
        <v>0</v>
      </c>
      <c r="G11" s="437">
        <v>0</v>
      </c>
    </row>
    <row r="12" spans="1:8" ht="12.75">
      <c r="A12" s="292" t="s">
        <v>367</v>
      </c>
      <c r="B12" s="437">
        <v>0</v>
      </c>
      <c r="C12" s="437">
        <v>0</v>
      </c>
      <c r="D12" s="457"/>
      <c r="E12" s="437">
        <v>0</v>
      </c>
      <c r="F12" s="437">
        <v>0</v>
      </c>
      <c r="G12" s="437">
        <v>0</v>
      </c>
    </row>
    <row r="13" spans="1:8" ht="12.75">
      <c r="A13" s="278" t="s">
        <v>368</v>
      </c>
      <c r="B13" s="437">
        <v>0</v>
      </c>
      <c r="C13" s="437">
        <v>0</v>
      </c>
      <c r="D13" s="457"/>
      <c r="E13" s="437">
        <v>0</v>
      </c>
      <c r="F13" s="437">
        <v>0</v>
      </c>
      <c r="G13" s="437">
        <v>0</v>
      </c>
    </row>
    <row r="14" spans="1:8" ht="12.75">
      <c r="A14" s="278" t="s">
        <v>369</v>
      </c>
      <c r="B14" s="437">
        <v>0</v>
      </c>
      <c r="C14" s="437">
        <v>0</v>
      </c>
      <c r="D14" s="457"/>
      <c r="E14" s="437">
        <v>0</v>
      </c>
      <c r="F14" s="437">
        <v>0</v>
      </c>
      <c r="G14" s="437">
        <v>0</v>
      </c>
    </row>
    <row r="15" spans="1:8" ht="12.75">
      <c r="A15" s="278" t="s">
        <v>370</v>
      </c>
      <c r="B15" s="437">
        <v>0</v>
      </c>
      <c r="C15" s="437">
        <v>0</v>
      </c>
      <c r="D15" s="457"/>
      <c r="E15" s="437">
        <v>0</v>
      </c>
      <c r="F15" s="437">
        <v>0</v>
      </c>
      <c r="G15" s="437">
        <v>0</v>
      </c>
    </row>
    <row r="16" spans="1:8" ht="12.75">
      <c r="A16" s="65" t="s">
        <v>371</v>
      </c>
      <c r="B16" s="436">
        <v>0</v>
      </c>
      <c r="C16" s="436">
        <v>0</v>
      </c>
      <c r="D16" s="458"/>
      <c r="E16" s="436">
        <v>0</v>
      </c>
      <c r="F16" s="436">
        <v>0</v>
      </c>
      <c r="G16" s="436">
        <v>0</v>
      </c>
    </row>
    <row r="17" spans="1:7" ht="12.75">
      <c r="A17" s="55" t="s">
        <v>372</v>
      </c>
      <c r="B17" s="437">
        <v>0</v>
      </c>
      <c r="C17" s="437">
        <v>0</v>
      </c>
      <c r="D17" s="457"/>
      <c r="E17" s="437">
        <v>0</v>
      </c>
      <c r="F17" s="437">
        <v>0</v>
      </c>
      <c r="G17" s="437">
        <v>0</v>
      </c>
    </row>
    <row r="18" spans="1:7" ht="12.75">
      <c r="A18" s="55" t="s">
        <v>373</v>
      </c>
      <c r="B18" s="437">
        <v>0</v>
      </c>
      <c r="C18" s="437">
        <v>0</v>
      </c>
      <c r="D18" s="457"/>
      <c r="E18" s="437">
        <v>0</v>
      </c>
      <c r="F18" s="437">
        <v>0</v>
      </c>
      <c r="G18" s="437">
        <v>0</v>
      </c>
    </row>
    <row r="19" spans="1:7" ht="20.100000000000001" customHeight="1">
      <c r="A19" s="86" t="s">
        <v>374</v>
      </c>
      <c r="B19" s="433">
        <v>0</v>
      </c>
      <c r="C19" s="433">
        <v>0</v>
      </c>
      <c r="D19" s="459"/>
      <c r="E19" s="433">
        <v>0</v>
      </c>
      <c r="F19" s="433">
        <v>0</v>
      </c>
      <c r="G19" s="433">
        <v>0</v>
      </c>
    </row>
    <row r="21" spans="1:7" ht="12.75">
      <c r="A21" s="85" t="s">
        <v>375</v>
      </c>
    </row>
    <row r="23" spans="1:7" ht="25.35" customHeight="1">
      <c r="A23" s="766" t="s">
        <v>376</v>
      </c>
      <c r="B23" s="766" t="s">
        <v>377</v>
      </c>
      <c r="C23" s="766" t="s">
        <v>378</v>
      </c>
      <c r="D23" s="766"/>
      <c r="E23" s="766" t="s">
        <v>379</v>
      </c>
      <c r="F23" s="766" t="s">
        <v>380</v>
      </c>
      <c r="G23" s="766" t="s">
        <v>381</v>
      </c>
    </row>
    <row r="24" spans="1:7" ht="25.35" customHeight="1">
      <c r="A24" s="766"/>
      <c r="B24" s="766"/>
      <c r="C24" s="766"/>
      <c r="D24" s="766"/>
      <c r="E24" s="766"/>
      <c r="F24" s="766"/>
      <c r="G24" s="766"/>
    </row>
    <row r="25" spans="1:7" ht="12.75">
      <c r="A25" s="460"/>
      <c r="B25" s="460"/>
      <c r="C25" s="792">
        <v>0</v>
      </c>
      <c r="D25" s="793"/>
      <c r="E25" s="439">
        <v>0</v>
      </c>
      <c r="F25" s="439">
        <v>0</v>
      </c>
      <c r="G25" s="439">
        <v>0</v>
      </c>
    </row>
    <row r="26" spans="1:7" ht="12.75">
      <c r="A26" s="460"/>
      <c r="B26" s="460"/>
      <c r="C26" s="792">
        <v>0</v>
      </c>
      <c r="D26" s="793"/>
      <c r="E26" s="439">
        <v>0</v>
      </c>
      <c r="F26" s="439">
        <v>0</v>
      </c>
      <c r="G26" s="439">
        <v>0</v>
      </c>
    </row>
    <row r="27" spans="1:7" ht="12.75">
      <c r="A27" s="460"/>
      <c r="B27" s="460"/>
      <c r="C27" s="792">
        <v>0</v>
      </c>
      <c r="D27" s="793"/>
      <c r="E27" s="439">
        <v>0</v>
      </c>
      <c r="F27" s="439">
        <v>0</v>
      </c>
      <c r="G27" s="439">
        <v>0</v>
      </c>
    </row>
    <row r="28" spans="1:7" ht="12.75">
      <c r="A28" s="460"/>
      <c r="B28" s="460"/>
      <c r="C28" s="792">
        <v>0</v>
      </c>
      <c r="D28" s="793"/>
      <c r="E28" s="439">
        <v>0</v>
      </c>
      <c r="F28" s="439">
        <v>0</v>
      </c>
      <c r="G28" s="439">
        <v>0</v>
      </c>
    </row>
    <row r="29" spans="1:7" ht="12.75">
      <c r="A29" s="460"/>
      <c r="B29" s="460"/>
      <c r="C29" s="792">
        <v>0</v>
      </c>
      <c r="D29" s="793"/>
      <c r="E29" s="439">
        <v>0</v>
      </c>
      <c r="F29" s="439">
        <v>0</v>
      </c>
      <c r="G29" s="439">
        <v>0</v>
      </c>
    </row>
    <row r="30" spans="1:7" ht="12.75">
      <c r="A30" s="460"/>
      <c r="B30" s="460"/>
      <c r="C30" s="792">
        <v>0</v>
      </c>
      <c r="D30" s="793"/>
      <c r="E30" s="439">
        <v>0</v>
      </c>
      <c r="F30" s="439">
        <v>0</v>
      </c>
      <c r="G30" s="439">
        <v>0</v>
      </c>
    </row>
    <row r="31" spans="1:7" ht="12.75">
      <c r="A31" s="460"/>
      <c r="B31" s="460"/>
      <c r="C31" s="792">
        <v>0</v>
      </c>
      <c r="D31" s="793"/>
      <c r="E31" s="439">
        <v>0</v>
      </c>
      <c r="F31" s="439">
        <v>0</v>
      </c>
      <c r="G31" s="439">
        <v>0</v>
      </c>
    </row>
    <row r="32" spans="1:7" ht="12.75">
      <c r="A32" s="54" t="s">
        <v>305</v>
      </c>
    </row>
    <row r="33" spans="1:7" ht="12.75">
      <c r="A33" s="774"/>
      <c r="B33" s="775"/>
      <c r="C33" s="775"/>
      <c r="D33" s="775"/>
      <c r="E33" s="775"/>
      <c r="F33" s="775"/>
      <c r="G33" s="775"/>
    </row>
    <row r="34" spans="1:7" ht="12.75">
      <c r="A34" s="775"/>
      <c r="B34" s="775"/>
      <c r="C34" s="775"/>
      <c r="D34" s="775"/>
      <c r="E34" s="775"/>
      <c r="F34" s="775"/>
      <c r="G34" s="775"/>
    </row>
    <row r="35" spans="1:7" ht="12.75">
      <c r="A35" s="775"/>
      <c r="B35" s="775"/>
      <c r="C35" s="775"/>
      <c r="D35" s="775"/>
      <c r="E35" s="775"/>
      <c r="F35" s="775"/>
      <c r="G35" s="775"/>
    </row>
    <row r="36" spans="1:7" ht="12.75">
      <c r="A36" s="775"/>
      <c r="B36" s="775"/>
      <c r="C36" s="775"/>
      <c r="D36" s="775"/>
      <c r="E36" s="775"/>
      <c r="F36" s="775"/>
      <c r="G36" s="775"/>
    </row>
  </sheetData>
  <mergeCells count="28">
    <mergeCell ref="A1:G1"/>
    <mergeCell ref="A3:C3"/>
    <mergeCell ref="F3:G3"/>
    <mergeCell ref="A4:C4"/>
    <mergeCell ref="E4:E5"/>
    <mergeCell ref="F4:G5"/>
    <mergeCell ref="B5:C5"/>
    <mergeCell ref="C7:C8"/>
    <mergeCell ref="D7:D8"/>
    <mergeCell ref="E7:E8"/>
    <mergeCell ref="F7:F8"/>
    <mergeCell ref="G7:G8"/>
    <mergeCell ref="A33:G36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0866141732279997" right="0.70866141732279997" top="0.74803149606300001" bottom="0.74803149606300001" header="0.31496062992129997" footer="0.31496062992129997"/>
  <pageSetup paperSize="9" scale="8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GridLines="0" topLeftCell="A4" zoomScaleNormal="100" workbookViewId="0">
      <selection sqref="A1:G1"/>
    </sheetView>
  </sheetViews>
  <sheetFormatPr baseColWidth="10" defaultColWidth="11.42578125" defaultRowHeight="13.7" customHeight="1"/>
  <cols>
    <col min="1" max="1" width="33.5703125" style="237" customWidth="1" collapsed="1"/>
    <col min="2" max="7" width="13.5703125" style="237" customWidth="1" collapsed="1"/>
    <col min="8" max="16384" width="11.42578125" style="237" collapsed="1"/>
  </cols>
  <sheetData>
    <row r="1" spans="1:7" ht="18" customHeight="1">
      <c r="A1" s="798" t="s">
        <v>382</v>
      </c>
      <c r="B1" s="798"/>
      <c r="C1" s="798"/>
      <c r="D1" s="798"/>
      <c r="E1" s="798"/>
      <c r="F1" s="798"/>
      <c r="G1" s="798"/>
    </row>
    <row r="3" spans="1:7" ht="12.75">
      <c r="A3" s="237" t="s">
        <v>268</v>
      </c>
      <c r="E3" s="237" t="s">
        <v>269</v>
      </c>
      <c r="F3" s="800">
        <f>+'Fiche de renseignement R1'!$V$10</f>
        <v>45657</v>
      </c>
      <c r="G3" s="801"/>
    </row>
    <row r="4" spans="1:7" ht="12.75">
      <c r="A4" s="802" t="str">
        <f>'Fiche de renseignement R1'!$J$4</f>
        <v>MANDINGA RESSOURCES SARL</v>
      </c>
      <c r="B4" s="801"/>
      <c r="C4" s="801"/>
      <c r="E4" s="237" t="s">
        <v>270</v>
      </c>
      <c r="F4" s="802">
        <f>+'Fiche de renseignement R1'!$AH$10</f>
        <v>12</v>
      </c>
      <c r="G4" s="801"/>
    </row>
    <row r="5" spans="1:7" ht="12.75">
      <c r="A5" s="237" t="s">
        <v>271</v>
      </c>
      <c r="B5" s="802" t="str">
        <f>+'Fiche de renseignement R1'!$J$10</f>
        <v>006495693</v>
      </c>
      <c r="C5" s="801"/>
    </row>
    <row r="7" spans="1:7" ht="7.5" customHeight="1"/>
    <row r="8" spans="1:7" ht="12.75">
      <c r="A8" s="730" t="s">
        <v>131</v>
      </c>
      <c r="B8" s="730" t="s">
        <v>359</v>
      </c>
      <c r="C8" s="730" t="s">
        <v>360</v>
      </c>
      <c r="D8" s="730" t="s">
        <v>361</v>
      </c>
    </row>
    <row r="9" spans="1:7" ht="12.75">
      <c r="A9" s="732"/>
      <c r="B9" s="732"/>
      <c r="C9" s="732"/>
      <c r="D9" s="732"/>
    </row>
    <row r="10" spans="1:7" ht="25.5">
      <c r="A10" s="242" t="s">
        <v>383</v>
      </c>
      <c r="B10" s="439">
        <v>0</v>
      </c>
      <c r="C10" s="439">
        <v>0</v>
      </c>
      <c r="D10" s="460"/>
    </row>
    <row r="11" spans="1:7" ht="25.5">
      <c r="A11" s="242" t="s">
        <v>384</v>
      </c>
      <c r="B11" s="439">
        <v>0</v>
      </c>
      <c r="C11" s="439">
        <v>0</v>
      </c>
      <c r="D11" s="460"/>
    </row>
    <row r="12" spans="1:7" ht="12.75">
      <c r="A12" s="245" t="s">
        <v>371</v>
      </c>
      <c r="B12" s="440">
        <v>0</v>
      </c>
      <c r="C12" s="440">
        <v>0</v>
      </c>
      <c r="D12" s="461"/>
    </row>
    <row r="13" spans="1:7" ht="12.75">
      <c r="A13" s="242" t="s">
        <v>385</v>
      </c>
      <c r="B13" s="439">
        <v>0</v>
      </c>
      <c r="C13" s="439">
        <v>0</v>
      </c>
      <c r="D13" s="460"/>
    </row>
    <row r="14" spans="1:7" ht="12.75">
      <c r="A14" s="244" t="s">
        <v>374</v>
      </c>
      <c r="B14" s="442">
        <v>0</v>
      </c>
      <c r="C14" s="442">
        <v>0</v>
      </c>
      <c r="D14" s="462"/>
    </row>
    <row r="15" spans="1:7" ht="12.75">
      <c r="A15" s="237" t="s">
        <v>305</v>
      </c>
    </row>
    <row r="16" spans="1:7" ht="12.75">
      <c r="A16" s="803"/>
      <c r="B16" s="804"/>
      <c r="C16" s="804"/>
      <c r="D16" s="804"/>
    </row>
    <row r="17" spans="1:7" ht="12.75">
      <c r="A17" s="804"/>
      <c r="B17" s="804"/>
      <c r="C17" s="804"/>
      <c r="D17" s="804"/>
    </row>
    <row r="18" spans="1:7" ht="12.75">
      <c r="A18" s="804"/>
      <c r="B18" s="804"/>
      <c r="C18" s="804"/>
      <c r="D18" s="804"/>
    </row>
    <row r="20" spans="1:7" ht="18" customHeight="1">
      <c r="A20" s="799" t="s">
        <v>386</v>
      </c>
      <c r="B20" s="799"/>
      <c r="C20" s="799"/>
      <c r="D20" s="799"/>
      <c r="E20" s="799"/>
      <c r="F20" s="799"/>
      <c r="G20" s="799"/>
    </row>
    <row r="22" spans="1:7" ht="12.75">
      <c r="A22" s="805" t="s">
        <v>131</v>
      </c>
      <c r="B22" s="807" t="s">
        <v>359</v>
      </c>
      <c r="C22" s="808"/>
      <c r="D22" s="807" t="s">
        <v>360</v>
      </c>
      <c r="E22" s="808"/>
      <c r="F22" s="807" t="s">
        <v>387</v>
      </c>
      <c r="G22" s="808"/>
    </row>
    <row r="23" spans="1:7" ht="12.75">
      <c r="A23" s="806"/>
      <c r="B23" s="809"/>
      <c r="C23" s="810"/>
      <c r="D23" s="809"/>
      <c r="E23" s="810"/>
      <c r="F23" s="809"/>
      <c r="G23" s="810"/>
    </row>
    <row r="24" spans="1:7" ht="12.75">
      <c r="A24" s="242" t="s">
        <v>388</v>
      </c>
      <c r="B24" s="796">
        <v>0</v>
      </c>
      <c r="C24" s="797"/>
      <c r="D24" s="796">
        <v>0</v>
      </c>
      <c r="E24" s="797"/>
      <c r="F24" s="796"/>
      <c r="G24" s="797"/>
    </row>
    <row r="25" spans="1:7" ht="27.6" customHeight="1">
      <c r="A25" s="242" t="s">
        <v>389</v>
      </c>
      <c r="B25" s="796">
        <v>0</v>
      </c>
      <c r="C25" s="797"/>
      <c r="D25" s="796">
        <v>0</v>
      </c>
      <c r="E25" s="797"/>
      <c r="F25" s="796"/>
      <c r="G25" s="797"/>
    </row>
    <row r="26" spans="1:7" ht="41.45" customHeight="1">
      <c r="A26" s="242" t="s">
        <v>390</v>
      </c>
      <c r="B26" s="796">
        <v>0</v>
      </c>
      <c r="C26" s="797"/>
      <c r="D26" s="796">
        <v>0</v>
      </c>
      <c r="E26" s="797"/>
      <c r="F26" s="796"/>
      <c r="G26" s="797"/>
    </row>
    <row r="27" spans="1:7" ht="12.75">
      <c r="A27" s="242" t="s">
        <v>391</v>
      </c>
      <c r="B27" s="796">
        <v>0</v>
      </c>
      <c r="C27" s="797"/>
      <c r="D27" s="796">
        <v>0</v>
      </c>
      <c r="E27" s="797"/>
      <c r="F27" s="796"/>
      <c r="G27" s="797"/>
    </row>
    <row r="28" spans="1:7" ht="12.75">
      <c r="A28" s="244" t="s">
        <v>98</v>
      </c>
      <c r="B28" s="794">
        <v>0</v>
      </c>
      <c r="C28" s="795"/>
      <c r="D28" s="794">
        <v>0</v>
      </c>
      <c r="E28" s="795"/>
      <c r="F28" s="794"/>
      <c r="G28" s="795"/>
    </row>
    <row r="29" spans="1:7" ht="12.75">
      <c r="A29" s="237" t="s">
        <v>305</v>
      </c>
    </row>
    <row r="30" spans="1:7" ht="12.75">
      <c r="A30" s="744"/>
      <c r="B30" s="745"/>
      <c r="C30" s="745"/>
      <c r="D30" s="745"/>
      <c r="E30" s="745"/>
      <c r="F30" s="745"/>
      <c r="G30" s="745"/>
    </row>
    <row r="31" spans="1:7" ht="12.75">
      <c r="A31" s="745"/>
      <c r="B31" s="745"/>
      <c r="C31" s="745"/>
      <c r="D31" s="745"/>
      <c r="E31" s="745"/>
      <c r="F31" s="745"/>
      <c r="G31" s="745"/>
    </row>
    <row r="32" spans="1:7" ht="12.75">
      <c r="A32" s="745"/>
      <c r="B32" s="745"/>
      <c r="C32" s="745"/>
      <c r="D32" s="745"/>
      <c r="E32" s="745"/>
      <c r="F32" s="745"/>
      <c r="G32" s="745"/>
    </row>
    <row r="33" spans="1:7" ht="12.75">
      <c r="A33" s="745"/>
      <c r="B33" s="745"/>
      <c r="C33" s="745"/>
      <c r="D33" s="745"/>
      <c r="E33" s="745"/>
      <c r="F33" s="745"/>
      <c r="G33" s="745"/>
    </row>
    <row r="34" spans="1:7" ht="12.75">
      <c r="A34" s="745"/>
      <c r="B34" s="745"/>
      <c r="C34" s="745"/>
      <c r="D34" s="745"/>
      <c r="E34" s="745"/>
      <c r="F34" s="745"/>
      <c r="G34" s="745"/>
    </row>
  </sheetData>
  <mergeCells count="31">
    <mergeCell ref="A22:A23"/>
    <mergeCell ref="B22:C23"/>
    <mergeCell ref="D22:E23"/>
    <mergeCell ref="F22:G23"/>
    <mergeCell ref="B24:C24"/>
    <mergeCell ref="A1:G1"/>
    <mergeCell ref="A20:G20"/>
    <mergeCell ref="F3:G3"/>
    <mergeCell ref="F4:G4"/>
    <mergeCell ref="A4:C4"/>
    <mergeCell ref="B5:C5"/>
    <mergeCell ref="A8:A9"/>
    <mergeCell ref="B8:B9"/>
    <mergeCell ref="C8:C9"/>
    <mergeCell ref="D8:D9"/>
    <mergeCell ref="A16:D18"/>
    <mergeCell ref="A30:G34"/>
    <mergeCell ref="B28:C28"/>
    <mergeCell ref="D28:E28"/>
    <mergeCell ref="F24:G24"/>
    <mergeCell ref="F25:G25"/>
    <mergeCell ref="F26:G26"/>
    <mergeCell ref="F27:G27"/>
    <mergeCell ref="F28:G28"/>
    <mergeCell ref="B26:C26"/>
    <mergeCell ref="B27:C27"/>
    <mergeCell ref="D24:E24"/>
    <mergeCell ref="D25:E25"/>
    <mergeCell ref="D26:E26"/>
    <mergeCell ref="D27:E27"/>
    <mergeCell ref="B25:C25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54" customWidth="1" collapsed="1"/>
    <col min="2" max="2" width="24.5703125" style="54" customWidth="1" collapsed="1"/>
    <col min="3" max="3" width="22.85546875" style="54" customWidth="1" collapsed="1"/>
    <col min="4" max="4" width="18" style="54" customWidth="1" collapsed="1"/>
    <col min="5" max="16384" width="10.42578125" style="54" collapsed="1"/>
  </cols>
  <sheetData>
    <row r="1" spans="1:4" ht="21" customHeight="1">
      <c r="A1" s="761" t="s">
        <v>818</v>
      </c>
      <c r="B1" s="761"/>
      <c r="C1" s="761"/>
      <c r="D1" s="761"/>
    </row>
    <row r="2" spans="1:4" ht="12.75">
      <c r="A2" s="64"/>
      <c r="B2" s="64"/>
      <c r="C2" s="64"/>
      <c r="D2" s="64"/>
    </row>
    <row r="3" spans="1:4" ht="12.75">
      <c r="A3" s="769" t="s">
        <v>268</v>
      </c>
      <c r="B3" s="769"/>
      <c r="C3" s="64" t="s">
        <v>269</v>
      </c>
      <c r="D3" s="445">
        <f>+'Fiche de renseignement R1'!$V$10</f>
        <v>45657</v>
      </c>
    </row>
    <row r="4" spans="1:4" ht="12.75">
      <c r="A4" s="714" t="str">
        <f>'Fiche de renseignement R1'!$J$4</f>
        <v>MANDINGA RESSOURCES SARL</v>
      </c>
      <c r="B4" s="760"/>
      <c r="C4" s="64" t="s">
        <v>270</v>
      </c>
      <c r="D4" s="772">
        <f>+'Fiche de renseignement R1'!$AH$10</f>
        <v>12</v>
      </c>
    </row>
    <row r="5" spans="1:4" ht="12.75">
      <c r="A5" s="64" t="s">
        <v>271</v>
      </c>
      <c r="B5" s="423" t="str">
        <f>+'Fiche de renseignement R1'!$J$10</f>
        <v>006495693</v>
      </c>
      <c r="C5" s="64"/>
      <c r="D5" s="771"/>
    </row>
    <row r="7" spans="1:4" ht="12.75">
      <c r="A7" s="778" t="s">
        <v>131</v>
      </c>
      <c r="B7" s="778" t="s">
        <v>359</v>
      </c>
      <c r="C7" s="778" t="s">
        <v>360</v>
      </c>
      <c r="D7" s="778" t="s">
        <v>387</v>
      </c>
    </row>
    <row r="8" spans="1:4" ht="12.75">
      <c r="A8" s="778"/>
      <c r="B8" s="778"/>
      <c r="C8" s="778"/>
      <c r="D8" s="778"/>
    </row>
    <row r="9" spans="1:4" ht="12.75">
      <c r="A9" s="278" t="s">
        <v>392</v>
      </c>
      <c r="B9" s="432">
        <v>0</v>
      </c>
      <c r="C9" s="432">
        <v>0</v>
      </c>
      <c r="D9" s="464"/>
    </row>
    <row r="10" spans="1:4" ht="12.75">
      <c r="A10" s="261" t="s">
        <v>393</v>
      </c>
      <c r="B10" s="432">
        <v>0</v>
      </c>
      <c r="C10" s="432">
        <v>0</v>
      </c>
      <c r="D10" s="464"/>
    </row>
    <row r="11" spans="1:4" ht="12.75">
      <c r="A11" s="278" t="s">
        <v>394</v>
      </c>
      <c r="B11" s="432">
        <v>0</v>
      </c>
      <c r="C11" s="432">
        <v>0</v>
      </c>
      <c r="D11" s="464"/>
    </row>
    <row r="12" spans="1:4" ht="12.75">
      <c r="A12" s="278" t="s">
        <v>395</v>
      </c>
      <c r="B12" s="432">
        <v>0</v>
      </c>
      <c r="C12" s="432">
        <v>0</v>
      </c>
      <c r="D12" s="464"/>
    </row>
    <row r="13" spans="1:4" ht="12.75">
      <c r="A13" s="55" t="s">
        <v>396</v>
      </c>
      <c r="B13" s="432">
        <v>0</v>
      </c>
      <c r="C13" s="432">
        <v>0</v>
      </c>
      <c r="D13" s="464"/>
    </row>
    <row r="14" spans="1:4" ht="12.75">
      <c r="A14" s="55" t="s">
        <v>397</v>
      </c>
      <c r="B14" s="432">
        <v>0</v>
      </c>
      <c r="C14" s="432">
        <v>0</v>
      </c>
      <c r="D14" s="464"/>
    </row>
    <row r="15" spans="1:4" ht="12.75">
      <c r="A15" s="55" t="s">
        <v>398</v>
      </c>
      <c r="B15" s="432">
        <v>0</v>
      </c>
      <c r="C15" s="432">
        <v>0</v>
      </c>
      <c r="D15" s="464"/>
    </row>
    <row r="16" spans="1:4" ht="25.5" customHeight="1">
      <c r="A16" s="72" t="s">
        <v>399</v>
      </c>
      <c r="B16" s="432">
        <v>0</v>
      </c>
      <c r="C16" s="432">
        <v>0</v>
      </c>
      <c r="D16" s="464"/>
    </row>
    <row r="17" spans="1:4" ht="12.75">
      <c r="A17" s="87" t="s">
        <v>400</v>
      </c>
      <c r="B17" s="434">
        <v>0</v>
      </c>
      <c r="C17" s="434">
        <v>0</v>
      </c>
      <c r="D17" s="465"/>
    </row>
    <row r="18" spans="1:4" ht="12.75">
      <c r="A18" s="238" t="s">
        <v>401</v>
      </c>
      <c r="B18" s="432">
        <v>0</v>
      </c>
      <c r="C18" s="432">
        <v>0</v>
      </c>
      <c r="D18" s="464"/>
    </row>
    <row r="19" spans="1:4" ht="12.75">
      <c r="A19" s="55"/>
      <c r="B19" s="432"/>
      <c r="C19" s="432"/>
      <c r="D19" s="464"/>
    </row>
    <row r="20" spans="1:4" ht="12.75">
      <c r="A20" s="68" t="s">
        <v>1097</v>
      </c>
      <c r="B20" s="446">
        <v>0</v>
      </c>
      <c r="C20" s="446">
        <v>0</v>
      </c>
      <c r="D20" s="466"/>
    </row>
    <row r="21" spans="1:4" ht="12.75">
      <c r="A21" s="54" t="s">
        <v>402</v>
      </c>
    </row>
    <row r="22" spans="1:4" ht="12.75">
      <c r="A22" s="54" t="s">
        <v>403</v>
      </c>
    </row>
    <row r="23" spans="1:4" ht="12.75">
      <c r="A23" s="85" t="s">
        <v>305</v>
      </c>
    </row>
    <row r="24" spans="1:4" ht="12.75">
      <c r="A24" s="774"/>
      <c r="B24" s="775"/>
      <c r="C24" s="775"/>
      <c r="D24" s="775"/>
    </row>
    <row r="25" spans="1:4" ht="12.75">
      <c r="A25" s="775"/>
      <c r="B25" s="775"/>
      <c r="C25" s="775"/>
      <c r="D25" s="775"/>
    </row>
    <row r="26" spans="1:4" ht="12.75">
      <c r="A26" s="775"/>
      <c r="B26" s="775"/>
      <c r="C26" s="775"/>
      <c r="D26" s="775"/>
    </row>
    <row r="27" spans="1:4" ht="12.75">
      <c r="A27" s="775"/>
      <c r="B27" s="775"/>
      <c r="C27" s="775"/>
      <c r="D27" s="775"/>
    </row>
    <row r="28" spans="1:4" ht="12.75">
      <c r="A28" s="775"/>
      <c r="B28" s="775"/>
      <c r="C28" s="775"/>
      <c r="D28" s="775"/>
    </row>
  </sheetData>
  <mergeCells count="9">
    <mergeCell ref="A24:D2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9"/>
  <sheetViews>
    <sheetView showGridLines="0" workbookViewId="0">
      <selection sqref="A1:G1"/>
    </sheetView>
  </sheetViews>
  <sheetFormatPr baseColWidth="10" defaultColWidth="10.42578125" defaultRowHeight="13.7" customHeight="1"/>
  <cols>
    <col min="1" max="1" width="31.140625" style="54" customWidth="1" collapsed="1"/>
    <col min="2" max="2" width="11.5703125" style="54" bestFit="1" customWidth="1" collapsed="1"/>
    <col min="3" max="3" width="9.85546875" style="54" bestFit="1" customWidth="1" collapsed="1"/>
    <col min="4" max="4" width="8" style="54" customWidth="1" collapsed="1"/>
    <col min="5" max="7" width="11.5703125" style="54" customWidth="1" collapsed="1"/>
    <col min="8" max="16384" width="10.42578125" style="54" collapsed="1"/>
  </cols>
  <sheetData>
    <row r="1" spans="1:7" ht="18.75" customHeight="1">
      <c r="A1" s="743" t="s">
        <v>1098</v>
      </c>
      <c r="B1" s="761"/>
      <c r="C1" s="761"/>
      <c r="D1" s="761"/>
      <c r="E1" s="761"/>
      <c r="F1" s="761"/>
      <c r="G1" s="761"/>
    </row>
    <row r="2" spans="1:7" ht="12.75">
      <c r="A2" s="64"/>
      <c r="B2" s="64"/>
      <c r="C2" s="64"/>
      <c r="D2" s="64"/>
      <c r="E2" s="64"/>
      <c r="F2" s="64"/>
      <c r="G2" s="64"/>
    </row>
    <row r="3" spans="1:7" ht="12.75">
      <c r="A3" s="769" t="s">
        <v>268</v>
      </c>
      <c r="B3" s="769"/>
      <c r="C3" s="769"/>
      <c r="D3" s="64"/>
      <c r="E3" s="64" t="s">
        <v>269</v>
      </c>
      <c r="F3" s="770">
        <f>+'Fiche de renseignement R1'!$V$10</f>
        <v>45657</v>
      </c>
      <c r="G3" s="791"/>
    </row>
    <row r="4" spans="1:7" ht="12.75">
      <c r="A4" s="718" t="str">
        <f>'Fiche de renseignement R1'!$J$4</f>
        <v>MANDINGA RESSOURCES SARL</v>
      </c>
      <c r="B4" s="811"/>
      <c r="C4" s="811"/>
      <c r="D4" s="64"/>
      <c r="E4" s="769" t="s">
        <v>270</v>
      </c>
      <c r="F4" s="772">
        <f>+'Fiche de renseignement R1'!$AH$10</f>
        <v>12</v>
      </c>
      <c r="G4" s="773"/>
    </row>
    <row r="5" spans="1:7" ht="12.75">
      <c r="A5" s="64" t="s">
        <v>271</v>
      </c>
      <c r="B5" s="714" t="str">
        <f>+'Fiche de renseignement R1'!$J$10</f>
        <v>006495693</v>
      </c>
      <c r="C5" s="760"/>
      <c r="D5" s="64"/>
      <c r="E5" s="769"/>
      <c r="F5" s="771"/>
      <c r="G5" s="771"/>
    </row>
    <row r="7" spans="1:7" ht="25.5" customHeight="1">
      <c r="A7" s="766" t="s">
        <v>131</v>
      </c>
      <c r="B7" s="766" t="s">
        <v>359</v>
      </c>
      <c r="C7" s="766" t="s">
        <v>360</v>
      </c>
      <c r="D7" s="766" t="s">
        <v>361</v>
      </c>
      <c r="E7" s="766" t="s">
        <v>362</v>
      </c>
      <c r="F7" s="766" t="s">
        <v>363</v>
      </c>
      <c r="G7" s="766" t="s">
        <v>364</v>
      </c>
    </row>
    <row r="8" spans="1:7" ht="25.5" customHeight="1">
      <c r="A8" s="766"/>
      <c r="B8" s="766"/>
      <c r="C8" s="766"/>
      <c r="D8" s="766"/>
      <c r="E8" s="766"/>
      <c r="F8" s="766"/>
      <c r="G8" s="766"/>
    </row>
    <row r="9" spans="1:7" ht="25.5" customHeight="1">
      <c r="A9" s="72" t="s">
        <v>404</v>
      </c>
      <c r="B9" s="432">
        <v>0</v>
      </c>
      <c r="C9" s="432">
        <v>0</v>
      </c>
      <c r="D9" s="464"/>
      <c r="E9" s="432">
        <v>0</v>
      </c>
      <c r="F9" s="432">
        <v>0</v>
      </c>
      <c r="G9" s="432">
        <v>0</v>
      </c>
    </row>
    <row r="10" spans="1:7" ht="25.5" customHeight="1">
      <c r="A10" s="72" t="s">
        <v>405</v>
      </c>
      <c r="B10" s="432">
        <v>0</v>
      </c>
      <c r="C10" s="432">
        <v>0</v>
      </c>
      <c r="D10" s="464"/>
      <c r="E10" s="432">
        <v>0</v>
      </c>
      <c r="F10" s="432">
        <v>0</v>
      </c>
      <c r="G10" s="432">
        <v>0</v>
      </c>
    </row>
    <row r="11" spans="1:7" ht="25.5" customHeight="1">
      <c r="A11" s="240" t="s">
        <v>1083</v>
      </c>
      <c r="B11" s="432">
        <v>0</v>
      </c>
      <c r="C11" s="432">
        <v>0</v>
      </c>
      <c r="D11" s="464"/>
      <c r="E11" s="432">
        <v>0</v>
      </c>
      <c r="F11" s="432">
        <v>0</v>
      </c>
      <c r="G11" s="432">
        <v>0</v>
      </c>
    </row>
    <row r="12" spans="1:7" ht="15.75" customHeight="1">
      <c r="A12" s="261" t="s">
        <v>406</v>
      </c>
      <c r="B12" s="432">
        <v>0</v>
      </c>
      <c r="C12" s="432">
        <v>0</v>
      </c>
      <c r="D12" s="464"/>
      <c r="E12" s="432">
        <v>0</v>
      </c>
      <c r="F12" s="432">
        <v>0</v>
      </c>
      <c r="G12" s="432">
        <v>0</v>
      </c>
    </row>
    <row r="13" spans="1:7" ht="27.6" customHeight="1">
      <c r="A13" s="261" t="s">
        <v>407</v>
      </c>
      <c r="B13" s="432">
        <v>0</v>
      </c>
      <c r="C13" s="432">
        <v>0</v>
      </c>
      <c r="D13" s="464"/>
      <c r="E13" s="432">
        <v>0</v>
      </c>
      <c r="F13" s="432">
        <v>0</v>
      </c>
      <c r="G13" s="432">
        <v>0</v>
      </c>
    </row>
    <row r="14" spans="1:7" ht="12.75">
      <c r="A14" s="72" t="s">
        <v>408</v>
      </c>
      <c r="B14" s="432">
        <v>0</v>
      </c>
      <c r="C14" s="432">
        <v>0</v>
      </c>
      <c r="D14" s="464"/>
      <c r="E14" s="432">
        <v>0</v>
      </c>
      <c r="F14" s="432">
        <v>0</v>
      </c>
      <c r="G14" s="432">
        <v>0</v>
      </c>
    </row>
    <row r="15" spans="1:7" ht="12.75">
      <c r="A15" s="72" t="s">
        <v>409</v>
      </c>
      <c r="B15" s="432">
        <v>0</v>
      </c>
      <c r="C15" s="432">
        <v>0</v>
      </c>
      <c r="D15" s="464"/>
      <c r="E15" s="432">
        <v>0</v>
      </c>
      <c r="F15" s="432">
        <v>0</v>
      </c>
      <c r="G15" s="432">
        <v>0</v>
      </c>
    </row>
    <row r="16" spans="1:7" ht="12.75">
      <c r="A16" s="72" t="s">
        <v>410</v>
      </c>
      <c r="B16" s="432">
        <v>0</v>
      </c>
      <c r="C16" s="432">
        <v>0</v>
      </c>
      <c r="D16" s="464"/>
      <c r="E16" s="432">
        <v>0</v>
      </c>
      <c r="F16" s="432">
        <v>0</v>
      </c>
      <c r="G16" s="432">
        <v>0</v>
      </c>
    </row>
    <row r="17" spans="1:7" ht="12.75">
      <c r="A17" s="75" t="s">
        <v>411</v>
      </c>
      <c r="B17" s="451">
        <v>0</v>
      </c>
      <c r="C17" s="451">
        <v>0</v>
      </c>
      <c r="D17" s="467"/>
      <c r="E17" s="451">
        <v>0</v>
      </c>
      <c r="F17" s="451">
        <v>0</v>
      </c>
      <c r="G17" s="451">
        <v>0</v>
      </c>
    </row>
    <row r="18" spans="1:7" ht="12.75">
      <c r="A18" s="72" t="s">
        <v>412</v>
      </c>
      <c r="B18" s="432">
        <v>0</v>
      </c>
      <c r="C18" s="432">
        <v>0</v>
      </c>
      <c r="D18" s="464"/>
      <c r="E18" s="432">
        <v>0</v>
      </c>
      <c r="F18" s="432">
        <v>0</v>
      </c>
      <c r="G18" s="432">
        <v>0</v>
      </c>
    </row>
    <row r="19" spans="1:7" ht="12.75">
      <c r="A19" s="75" t="s">
        <v>374</v>
      </c>
      <c r="B19" s="451">
        <v>0</v>
      </c>
      <c r="C19" s="451">
        <v>0</v>
      </c>
      <c r="D19" s="467"/>
      <c r="E19" s="451">
        <v>0</v>
      </c>
      <c r="F19" s="451">
        <v>0</v>
      </c>
      <c r="G19" s="451">
        <v>0</v>
      </c>
    </row>
    <row r="20" spans="1:7" ht="12.75">
      <c r="A20" s="72" t="s">
        <v>413</v>
      </c>
      <c r="B20" s="432">
        <v>0</v>
      </c>
      <c r="C20" s="432">
        <v>0</v>
      </c>
      <c r="D20" s="464"/>
      <c r="E20" s="432">
        <v>0</v>
      </c>
      <c r="F20" s="432">
        <v>0</v>
      </c>
      <c r="G20" s="432">
        <v>0</v>
      </c>
    </row>
    <row r="21" spans="1:7" ht="12.75">
      <c r="A21" s="72" t="s">
        <v>414</v>
      </c>
      <c r="B21" s="432">
        <v>0</v>
      </c>
      <c r="C21" s="432">
        <v>0</v>
      </c>
      <c r="D21" s="464"/>
      <c r="E21" s="432">
        <v>0</v>
      </c>
      <c r="F21" s="432">
        <v>0</v>
      </c>
      <c r="G21" s="432">
        <v>0</v>
      </c>
    </row>
    <row r="22" spans="1:7" ht="12.75">
      <c r="A22" s="72" t="s">
        <v>415</v>
      </c>
      <c r="B22" s="432">
        <v>0</v>
      </c>
      <c r="C22" s="432">
        <v>0</v>
      </c>
      <c r="D22" s="464"/>
      <c r="E22" s="432">
        <v>0</v>
      </c>
      <c r="F22" s="432">
        <v>0</v>
      </c>
      <c r="G22" s="432">
        <v>0</v>
      </c>
    </row>
    <row r="23" spans="1:7" ht="12.75">
      <c r="A23" s="76" t="s">
        <v>416</v>
      </c>
      <c r="B23" s="454">
        <v>0</v>
      </c>
      <c r="C23" s="454">
        <v>0</v>
      </c>
      <c r="D23" s="468"/>
      <c r="E23" s="454">
        <v>0</v>
      </c>
      <c r="F23" s="454">
        <v>0</v>
      </c>
      <c r="G23" s="454">
        <v>0</v>
      </c>
    </row>
    <row r="24" spans="1:7" ht="12.75">
      <c r="A24" s="54" t="s">
        <v>305</v>
      </c>
    </row>
    <row r="25" spans="1:7" ht="12.75">
      <c r="A25" s="774"/>
      <c r="B25" s="775"/>
      <c r="C25" s="775"/>
      <c r="D25" s="775"/>
      <c r="E25" s="775"/>
      <c r="F25" s="775"/>
      <c r="G25" s="775"/>
    </row>
    <row r="26" spans="1:7" ht="12.75">
      <c r="A26" s="775"/>
      <c r="B26" s="775"/>
      <c r="C26" s="775"/>
      <c r="D26" s="775"/>
      <c r="E26" s="775"/>
      <c r="F26" s="775"/>
      <c r="G26" s="775"/>
    </row>
    <row r="27" spans="1:7" ht="12.75">
      <c r="A27" s="775"/>
      <c r="B27" s="775"/>
      <c r="C27" s="775"/>
      <c r="D27" s="775"/>
      <c r="E27" s="775"/>
      <c r="F27" s="775"/>
      <c r="G27" s="775"/>
    </row>
    <row r="28" spans="1:7" ht="12.75">
      <c r="A28" s="775"/>
      <c r="B28" s="775"/>
      <c r="C28" s="775"/>
      <c r="D28" s="775"/>
      <c r="E28" s="775"/>
      <c r="F28" s="775"/>
      <c r="G28" s="775"/>
    </row>
    <row r="29" spans="1:7" ht="12.75">
      <c r="A29" s="775"/>
      <c r="B29" s="775"/>
      <c r="C29" s="775"/>
      <c r="D29" s="775"/>
      <c r="E29" s="775"/>
      <c r="F29" s="775"/>
      <c r="G29" s="775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5:G29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workbookViewId="0">
      <selection sqref="A1:G1"/>
    </sheetView>
  </sheetViews>
  <sheetFormatPr baseColWidth="10" defaultColWidth="11.42578125" defaultRowHeight="13.7" customHeight="1"/>
  <cols>
    <col min="1" max="1" width="32" style="226" customWidth="1" collapsed="1"/>
    <col min="2" max="3" width="13.85546875" style="226" customWidth="1" collapsed="1"/>
    <col min="4" max="4" width="9" style="226" customWidth="1" collapsed="1"/>
    <col min="5" max="7" width="13.85546875" style="226" customWidth="1" collapsed="1"/>
    <col min="8" max="16384" width="11.42578125" style="226" collapsed="1"/>
  </cols>
  <sheetData>
    <row r="1" spans="1:7" ht="18" customHeight="1">
      <c r="A1" s="813" t="s">
        <v>417</v>
      </c>
      <c r="B1" s="813"/>
      <c r="C1" s="813"/>
      <c r="D1" s="813"/>
      <c r="E1" s="813"/>
      <c r="F1" s="813"/>
      <c r="G1" s="813"/>
    </row>
    <row r="2" spans="1:7" ht="12.75">
      <c r="A2" s="241"/>
      <c r="B2" s="241"/>
      <c r="C2" s="241"/>
      <c r="D2" s="241"/>
      <c r="E2" s="241"/>
      <c r="F2" s="241"/>
      <c r="G2" s="241"/>
    </row>
    <row r="3" spans="1:7" ht="12.75">
      <c r="A3" s="241" t="s">
        <v>268</v>
      </c>
      <c r="B3" s="241"/>
      <c r="C3" s="241"/>
      <c r="D3" s="241"/>
      <c r="E3" s="241" t="s">
        <v>269</v>
      </c>
      <c r="F3" s="814">
        <f>+'Fiche de renseignement R1'!$V$10</f>
        <v>45657</v>
      </c>
      <c r="G3" s="815"/>
    </row>
    <row r="4" spans="1:7" ht="12.75">
      <c r="A4" s="816" t="str">
        <f>'Fiche de renseignement R1'!$J$4</f>
        <v>MANDINGA RESSOURCES SARL</v>
      </c>
      <c r="B4" s="815"/>
      <c r="C4" s="815"/>
      <c r="D4" s="241"/>
      <c r="E4" s="817" t="s">
        <v>270</v>
      </c>
      <c r="F4" s="816">
        <f>+'Fiche de renseignement R1'!$AH$10</f>
        <v>12</v>
      </c>
      <c r="G4" s="815"/>
    </row>
    <row r="5" spans="1:7" ht="12.75">
      <c r="A5" s="241" t="s">
        <v>271</v>
      </c>
      <c r="B5" s="816" t="str">
        <f>+'Fiche de renseignement R1'!$J$10</f>
        <v>006495693</v>
      </c>
      <c r="C5" s="815"/>
      <c r="D5" s="241"/>
      <c r="E5" s="817"/>
      <c r="F5" s="815"/>
      <c r="G5" s="815"/>
    </row>
    <row r="6" spans="1:7" ht="12.75">
      <c r="A6" s="241"/>
      <c r="B6" s="241"/>
      <c r="C6" s="241"/>
      <c r="D6" s="241"/>
      <c r="E6" s="241"/>
      <c r="F6" s="241"/>
      <c r="G6" s="241"/>
    </row>
    <row r="7" spans="1:7" ht="12.75" customHeight="1">
      <c r="A7" s="819" t="s">
        <v>131</v>
      </c>
      <c r="B7" s="819" t="s">
        <v>359</v>
      </c>
      <c r="C7" s="819" t="s">
        <v>360</v>
      </c>
      <c r="D7" s="820" t="s">
        <v>361</v>
      </c>
      <c r="E7" s="820" t="s">
        <v>362</v>
      </c>
      <c r="F7" s="820" t="s">
        <v>363</v>
      </c>
      <c r="G7" s="818" t="s">
        <v>364</v>
      </c>
    </row>
    <row r="8" spans="1:7" ht="24.75" customHeight="1">
      <c r="A8" s="819"/>
      <c r="B8" s="819"/>
      <c r="C8" s="819"/>
      <c r="D8" s="820"/>
      <c r="E8" s="820"/>
      <c r="F8" s="820"/>
      <c r="G8" s="818"/>
    </row>
    <row r="9" spans="1:7" ht="12.75">
      <c r="A9" s="469" t="s">
        <v>289</v>
      </c>
      <c r="B9" s="432">
        <v>0</v>
      </c>
      <c r="C9" s="432">
        <v>0</v>
      </c>
      <c r="D9" s="464"/>
      <c r="E9" s="432">
        <v>0</v>
      </c>
      <c r="F9" s="432">
        <v>0</v>
      </c>
      <c r="G9" s="432">
        <v>0</v>
      </c>
    </row>
    <row r="10" spans="1:7" ht="12.75">
      <c r="A10" s="469" t="s">
        <v>1357</v>
      </c>
      <c r="B10" s="432">
        <v>0</v>
      </c>
      <c r="C10" s="432">
        <v>0</v>
      </c>
      <c r="D10" s="464"/>
      <c r="E10" s="432">
        <v>0</v>
      </c>
      <c r="F10" s="432">
        <v>0</v>
      </c>
      <c r="G10" s="432">
        <v>0</v>
      </c>
    </row>
    <row r="11" spans="1:7" ht="12.75">
      <c r="A11" s="469" t="s">
        <v>1358</v>
      </c>
      <c r="B11" s="432">
        <v>0</v>
      </c>
      <c r="C11" s="432">
        <v>0</v>
      </c>
      <c r="D11" s="464"/>
      <c r="E11" s="432">
        <v>0</v>
      </c>
      <c r="F11" s="432">
        <v>0</v>
      </c>
      <c r="G11" s="432">
        <v>0</v>
      </c>
    </row>
    <row r="12" spans="1:7" ht="12.75">
      <c r="A12" s="469" t="s">
        <v>292</v>
      </c>
      <c r="B12" s="432">
        <v>0</v>
      </c>
      <c r="C12" s="432">
        <v>0</v>
      </c>
      <c r="D12" s="464"/>
      <c r="E12" s="432">
        <v>0</v>
      </c>
      <c r="F12" s="432">
        <v>0</v>
      </c>
      <c r="G12" s="432">
        <v>0</v>
      </c>
    </row>
    <row r="13" spans="1:7" ht="12.75">
      <c r="A13" s="469" t="s">
        <v>1359</v>
      </c>
      <c r="B13" s="432">
        <v>347223</v>
      </c>
      <c r="C13" s="432">
        <v>1180556</v>
      </c>
      <c r="D13" s="464" t="s">
        <v>1360</v>
      </c>
      <c r="E13" s="432">
        <v>0</v>
      </c>
      <c r="F13" s="432">
        <v>0</v>
      </c>
      <c r="G13" s="432">
        <v>0</v>
      </c>
    </row>
    <row r="14" spans="1:7" ht="27.6" customHeight="1">
      <c r="A14" s="469" t="s">
        <v>418</v>
      </c>
      <c r="B14" s="432">
        <v>0</v>
      </c>
      <c r="C14" s="432">
        <v>0</v>
      </c>
      <c r="D14" s="464"/>
      <c r="E14" s="432">
        <v>0</v>
      </c>
      <c r="F14" s="432">
        <v>0</v>
      </c>
      <c r="G14" s="432">
        <v>0</v>
      </c>
    </row>
    <row r="15" spans="1:7" ht="12.75">
      <c r="A15" s="469" t="s">
        <v>1361</v>
      </c>
      <c r="B15" s="432">
        <v>0</v>
      </c>
      <c r="C15" s="432">
        <v>0</v>
      </c>
      <c r="D15" s="464"/>
      <c r="E15" s="432">
        <v>0</v>
      </c>
      <c r="F15" s="432">
        <v>0</v>
      </c>
      <c r="G15" s="432">
        <v>0</v>
      </c>
    </row>
    <row r="16" spans="1:7" ht="27.6" customHeight="1">
      <c r="A16" s="469" t="s">
        <v>419</v>
      </c>
      <c r="B16" s="432">
        <v>0</v>
      </c>
      <c r="C16" s="432">
        <v>0</v>
      </c>
      <c r="D16" s="464"/>
      <c r="E16" s="432">
        <v>0</v>
      </c>
      <c r="F16" s="432">
        <v>0</v>
      </c>
      <c r="G16" s="432">
        <v>0</v>
      </c>
    </row>
    <row r="17" spans="1:7" ht="25.5">
      <c r="A17" s="469" t="s">
        <v>420</v>
      </c>
      <c r="B17" s="432">
        <v>0</v>
      </c>
      <c r="C17" s="432">
        <v>0</v>
      </c>
      <c r="D17" s="464"/>
      <c r="E17" s="432">
        <v>0</v>
      </c>
      <c r="F17" s="432">
        <v>0</v>
      </c>
      <c r="G17" s="432">
        <v>0</v>
      </c>
    </row>
    <row r="18" spans="1:7" ht="27.6" customHeight="1">
      <c r="A18" s="469" t="s">
        <v>421</v>
      </c>
      <c r="B18" s="432">
        <v>0</v>
      </c>
      <c r="C18" s="432">
        <v>0</v>
      </c>
      <c r="D18" s="464"/>
      <c r="E18" s="432">
        <v>0</v>
      </c>
      <c r="F18" s="432">
        <v>0</v>
      </c>
      <c r="G18" s="432">
        <v>0</v>
      </c>
    </row>
    <row r="19" spans="1:7" ht="12.75">
      <c r="A19" s="470" t="s">
        <v>1362</v>
      </c>
      <c r="B19" s="451">
        <v>347223</v>
      </c>
      <c r="C19" s="451">
        <v>1180556</v>
      </c>
      <c r="D19" s="467" t="s">
        <v>1360</v>
      </c>
      <c r="E19" s="451">
        <v>347223</v>
      </c>
      <c r="F19" s="451">
        <v>0</v>
      </c>
      <c r="G19" s="451">
        <v>0</v>
      </c>
    </row>
    <row r="20" spans="1:7" ht="12.75">
      <c r="A20" s="469" t="s">
        <v>1363</v>
      </c>
      <c r="B20" s="432">
        <v>0</v>
      </c>
      <c r="C20" s="432">
        <v>0</v>
      </c>
      <c r="D20" s="464"/>
      <c r="E20" s="432">
        <v>0</v>
      </c>
      <c r="F20" s="432">
        <v>0</v>
      </c>
      <c r="G20" s="432">
        <v>0</v>
      </c>
    </row>
    <row r="21" spans="1:7" ht="12.75">
      <c r="A21" s="471" t="s">
        <v>374</v>
      </c>
      <c r="B21" s="454">
        <v>347223</v>
      </c>
      <c r="C21" s="454">
        <v>1180556</v>
      </c>
      <c r="D21" s="468" t="s">
        <v>1360</v>
      </c>
      <c r="E21" s="454">
        <v>347223</v>
      </c>
      <c r="F21" s="454">
        <v>0</v>
      </c>
      <c r="G21" s="454">
        <v>0</v>
      </c>
    </row>
    <row r="22" spans="1:7" ht="12.75">
      <c r="A22" s="226" t="s">
        <v>305</v>
      </c>
    </row>
    <row r="23" spans="1:7" ht="12.75">
      <c r="A23" s="744"/>
      <c r="B23" s="812"/>
      <c r="C23" s="812"/>
      <c r="D23" s="812"/>
      <c r="E23" s="812"/>
      <c r="F23" s="812"/>
      <c r="G23" s="812"/>
    </row>
    <row r="24" spans="1:7" ht="12.75">
      <c r="A24" s="812"/>
      <c r="B24" s="812"/>
      <c r="C24" s="812"/>
      <c r="D24" s="812"/>
      <c r="E24" s="812"/>
      <c r="F24" s="812"/>
      <c r="G24" s="812"/>
    </row>
    <row r="25" spans="1:7" ht="12.75">
      <c r="A25" s="812"/>
      <c r="B25" s="812"/>
      <c r="C25" s="812"/>
      <c r="D25" s="812"/>
      <c r="E25" s="812"/>
      <c r="F25" s="812"/>
      <c r="G25" s="812"/>
    </row>
    <row r="26" spans="1:7" ht="12.75">
      <c r="A26" s="812"/>
      <c r="B26" s="812"/>
      <c r="C26" s="812"/>
      <c r="D26" s="812"/>
      <c r="E26" s="812"/>
      <c r="F26" s="812"/>
      <c r="G26" s="812"/>
    </row>
    <row r="27" spans="1:7" ht="12.75">
      <c r="A27" s="812"/>
      <c r="B27" s="812"/>
      <c r="C27" s="812"/>
      <c r="D27" s="812"/>
      <c r="E27" s="812"/>
      <c r="F27" s="812"/>
      <c r="G27" s="812"/>
    </row>
  </sheetData>
  <mergeCells count="14">
    <mergeCell ref="A23:G27"/>
    <mergeCell ref="A1:G1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sqref="A1:G1"/>
    </sheetView>
  </sheetViews>
  <sheetFormatPr baseColWidth="10" defaultColWidth="10.42578125" defaultRowHeight="13.7" customHeight="1"/>
  <cols>
    <col min="1" max="1" width="30.5703125" style="227" customWidth="1" collapsed="1"/>
    <col min="2" max="6" width="10.5703125" style="227" customWidth="1" collapsed="1"/>
    <col min="7" max="7" width="13" style="227" customWidth="1" collapsed="1"/>
    <col min="8" max="16384" width="10.42578125" style="227" collapsed="1"/>
  </cols>
  <sheetData>
    <row r="1" spans="1:7" ht="18.75" customHeight="1">
      <c r="A1" s="821" t="s">
        <v>1228</v>
      </c>
      <c r="B1" s="822"/>
      <c r="C1" s="822"/>
      <c r="D1" s="822"/>
      <c r="E1" s="822"/>
      <c r="F1" s="822"/>
      <c r="G1" s="822"/>
    </row>
    <row r="2" spans="1:7" ht="8.1" customHeight="1"/>
    <row r="3" spans="1:7" ht="12.75" customHeight="1">
      <c r="A3" s="823" t="s">
        <v>268</v>
      </c>
      <c r="B3" s="823"/>
      <c r="C3" s="823"/>
      <c r="E3" s="228" t="s">
        <v>269</v>
      </c>
      <c r="F3" s="824">
        <f>+'Fiche de renseignement R1'!$V$10</f>
        <v>45657</v>
      </c>
      <c r="G3" s="825"/>
    </row>
    <row r="4" spans="1:7" ht="15" customHeight="1">
      <c r="A4" s="826" t="str">
        <f>'Fiche de renseignement R1'!$J$4</f>
        <v>MANDINGA RESSOURCES SARL</v>
      </c>
      <c r="B4" s="827"/>
      <c r="C4" s="827"/>
      <c r="E4" s="828" t="s">
        <v>270</v>
      </c>
      <c r="F4" s="716">
        <f>+'Fiche de renseignement R1'!$AH$10</f>
        <v>12</v>
      </c>
      <c r="G4" s="829"/>
    </row>
    <row r="5" spans="1:7" ht="15" customHeight="1">
      <c r="A5" s="227" t="s">
        <v>271</v>
      </c>
      <c r="B5" s="831" t="str">
        <f>+'Fiche de renseignement R1'!$J$10</f>
        <v>006495693</v>
      </c>
      <c r="C5" s="832"/>
      <c r="E5" s="828"/>
      <c r="F5" s="830"/>
      <c r="G5" s="830"/>
    </row>
    <row r="6" spans="1:7" ht="8.1" customHeight="1"/>
    <row r="7" spans="1:7" ht="25.35" customHeight="1">
      <c r="A7" s="835" t="s">
        <v>131</v>
      </c>
      <c r="B7" s="837" t="s">
        <v>896</v>
      </c>
      <c r="C7" s="838"/>
      <c r="D7" s="837" t="s">
        <v>897</v>
      </c>
      <c r="E7" s="838"/>
      <c r="F7" s="841" t="s">
        <v>898</v>
      </c>
      <c r="G7" s="842"/>
    </row>
    <row r="8" spans="1:7" ht="25.35" customHeight="1">
      <c r="A8" s="836"/>
      <c r="B8" s="839"/>
      <c r="C8" s="840"/>
      <c r="D8" s="839"/>
      <c r="E8" s="840"/>
      <c r="F8" s="843"/>
      <c r="G8" s="844"/>
    </row>
    <row r="9" spans="1:7" ht="25.5" customHeight="1">
      <c r="A9" s="229" t="s">
        <v>899</v>
      </c>
      <c r="B9" s="845"/>
      <c r="C9" s="845"/>
      <c r="D9" s="845"/>
      <c r="E9" s="845"/>
      <c r="F9" s="845"/>
      <c r="G9" s="845"/>
    </row>
    <row r="10" spans="1:7" ht="12.75">
      <c r="A10" s="265" t="s">
        <v>1220</v>
      </c>
      <c r="B10" s="460"/>
      <c r="C10" s="460"/>
      <c r="D10" s="460"/>
      <c r="E10" s="460"/>
      <c r="F10" s="460"/>
      <c r="G10" s="460"/>
    </row>
    <row r="11" spans="1:7" ht="12.75">
      <c r="A11" s="229"/>
      <c r="B11" s="464"/>
      <c r="C11" s="464"/>
      <c r="D11" s="464"/>
      <c r="E11" s="464"/>
      <c r="F11" s="464"/>
      <c r="G11" s="464"/>
    </row>
    <row r="12" spans="1:7" ht="12.75">
      <c r="A12" s="833" t="s">
        <v>900</v>
      </c>
      <c r="B12" s="452"/>
      <c r="C12" s="452"/>
      <c r="D12" s="452"/>
      <c r="E12" s="452"/>
      <c r="F12" s="452"/>
      <c r="G12" s="452"/>
    </row>
    <row r="13" spans="1:7" ht="12.75">
      <c r="A13" s="834"/>
      <c r="B13" s="452"/>
      <c r="C13" s="452"/>
      <c r="D13" s="452"/>
      <c r="E13" s="452"/>
      <c r="F13" s="474"/>
      <c r="G13" s="452"/>
    </row>
    <row r="14" spans="1:7" ht="12.75">
      <c r="A14" s="834"/>
      <c r="B14" s="452"/>
      <c r="C14" s="452"/>
      <c r="D14" s="452"/>
      <c r="E14" s="452"/>
      <c r="F14" s="474"/>
      <c r="G14" s="452"/>
    </row>
    <row r="15" spans="1:7" ht="12.75">
      <c r="A15" s="834"/>
      <c r="B15" s="452"/>
      <c r="C15" s="452"/>
      <c r="D15" s="452"/>
      <c r="E15" s="452"/>
      <c r="F15" s="474"/>
      <c r="G15" s="452"/>
    </row>
    <row r="16" spans="1:7" ht="12.75">
      <c r="A16" s="834"/>
      <c r="B16" s="452"/>
      <c r="C16" s="452"/>
      <c r="D16" s="452"/>
      <c r="E16" s="452"/>
      <c r="F16" s="452"/>
      <c r="G16" s="452"/>
    </row>
    <row r="17" spans="1:7" ht="12.75">
      <c r="A17" s="229" t="s">
        <v>901</v>
      </c>
      <c r="B17" s="475"/>
      <c r="C17" s="476"/>
      <c r="D17" s="475"/>
      <c r="E17" s="476"/>
      <c r="F17" s="477"/>
      <c r="G17" s="476"/>
    </row>
    <row r="18" spans="1:7" ht="12.75">
      <c r="A18" s="229" t="s">
        <v>902</v>
      </c>
      <c r="B18" s="475"/>
      <c r="C18" s="476"/>
      <c r="D18" s="475"/>
      <c r="E18" s="476"/>
      <c r="F18" s="477"/>
      <c r="G18" s="476"/>
    </row>
    <row r="19" spans="1:7" ht="12.75">
      <c r="A19" s="229" t="s">
        <v>903</v>
      </c>
      <c r="B19" s="475"/>
      <c r="C19" s="476"/>
      <c r="D19" s="475"/>
      <c r="E19" s="476"/>
      <c r="F19" s="477"/>
      <c r="G19" s="476"/>
    </row>
    <row r="20" spans="1:7" ht="12.75">
      <c r="A20" s="229" t="s">
        <v>904</v>
      </c>
      <c r="B20" s="475"/>
      <c r="C20" s="476"/>
      <c r="D20" s="475"/>
      <c r="E20" s="476"/>
      <c r="F20" s="477"/>
      <c r="G20" s="476"/>
    </row>
    <row r="21" spans="1:7" ht="12.75">
      <c r="A21" s="229" t="s">
        <v>905</v>
      </c>
      <c r="B21" s="475"/>
      <c r="C21" s="476"/>
      <c r="D21" s="475"/>
      <c r="E21" s="476"/>
      <c r="F21" s="477"/>
      <c r="G21" s="476"/>
    </row>
    <row r="22" spans="1:7" ht="12.75">
      <c r="A22" s="230" t="s">
        <v>130</v>
      </c>
      <c r="B22" s="231"/>
      <c r="C22" s="232"/>
      <c r="D22" s="231"/>
      <c r="E22" s="232"/>
      <c r="F22" s="233"/>
      <c r="G22" s="232"/>
    </row>
    <row r="25" spans="1:7" ht="12.75">
      <c r="A25" s="234"/>
    </row>
    <row r="26" spans="1:7" ht="12.75">
      <c r="A26" s="235"/>
    </row>
    <row r="27" spans="1:7" ht="12.75">
      <c r="A27" s="236"/>
    </row>
    <row r="28" spans="1:7" ht="12.75">
      <c r="A28" s="235"/>
    </row>
    <row r="29" spans="1:7" ht="12.75">
      <c r="A29" s="235"/>
    </row>
    <row r="30" spans="1:7" ht="12.75">
      <c r="A30" s="236"/>
    </row>
  </sheetData>
  <mergeCells count="15">
    <mergeCell ref="A12:A16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20.85546875" style="95" customWidth="1" collapsed="1"/>
    <col min="3" max="3" width="22.5703125" style="95" customWidth="1" collapsed="1"/>
    <col min="4" max="4" width="18.42578125" style="95" customWidth="1" collapsed="1"/>
    <col min="5" max="16384" width="10.42578125" style="95" collapsed="1"/>
  </cols>
  <sheetData>
    <row r="1" spans="1:4" ht="18.75" customHeight="1">
      <c r="A1" s="847" t="s">
        <v>422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22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25.5" customHeight="1">
      <c r="A9" s="97" t="s">
        <v>423</v>
      </c>
      <c r="B9" s="478">
        <v>0</v>
      </c>
      <c r="C9" s="432">
        <v>0</v>
      </c>
      <c r="D9" s="464"/>
    </row>
    <row r="10" spans="1:4" ht="12.75">
      <c r="A10" s="97" t="s">
        <v>424</v>
      </c>
      <c r="B10" s="478">
        <v>0</v>
      </c>
      <c r="C10" s="432">
        <v>0</v>
      </c>
      <c r="D10" s="464"/>
    </row>
    <row r="11" spans="1:4" ht="12.75">
      <c r="A11" s="97" t="s">
        <v>425</v>
      </c>
      <c r="B11" s="478">
        <v>0</v>
      </c>
      <c r="C11" s="432">
        <v>0</v>
      </c>
      <c r="D11" s="464"/>
    </row>
    <row r="12" spans="1:4" ht="12.75">
      <c r="A12" s="97" t="s">
        <v>426</v>
      </c>
      <c r="B12" s="478">
        <v>0</v>
      </c>
      <c r="C12" s="432">
        <v>0</v>
      </c>
      <c r="D12" s="464"/>
    </row>
    <row r="13" spans="1:4" ht="12.75">
      <c r="A13" s="97" t="s">
        <v>427</v>
      </c>
      <c r="B13" s="478">
        <v>0</v>
      </c>
      <c r="C13" s="432">
        <v>0</v>
      </c>
      <c r="D13" s="464"/>
    </row>
    <row r="14" spans="1:4" ht="12.75">
      <c r="A14" s="97" t="s">
        <v>370</v>
      </c>
      <c r="B14" s="478">
        <v>0</v>
      </c>
      <c r="C14" s="432">
        <v>0</v>
      </c>
      <c r="D14" s="464"/>
    </row>
    <row r="15" spans="1:4" ht="12.75">
      <c r="A15" s="97" t="s">
        <v>428</v>
      </c>
      <c r="B15" s="478">
        <v>0</v>
      </c>
      <c r="C15" s="432">
        <v>0</v>
      </c>
      <c r="D15" s="464"/>
    </row>
    <row r="16" spans="1:4" ht="12.75">
      <c r="A16" s="99" t="s">
        <v>1231</v>
      </c>
      <c r="B16" s="479">
        <v>0</v>
      </c>
      <c r="C16" s="480">
        <v>0</v>
      </c>
      <c r="D16" s="481"/>
    </row>
    <row r="17" spans="1:4" ht="12.75">
      <c r="A17" s="97" t="s">
        <v>429</v>
      </c>
      <c r="B17" s="478">
        <v>0</v>
      </c>
      <c r="C17" s="432">
        <v>0</v>
      </c>
      <c r="D17" s="464"/>
    </row>
    <row r="18" spans="1:4" ht="12.75">
      <c r="A18" s="97"/>
      <c r="B18" s="478"/>
      <c r="C18" s="432"/>
      <c r="D18" s="464"/>
    </row>
    <row r="19" spans="1:4" ht="12.75">
      <c r="A19" s="105" t="s">
        <v>98</v>
      </c>
      <c r="B19" s="482">
        <v>0</v>
      </c>
      <c r="C19" s="483">
        <v>0</v>
      </c>
      <c r="D19" s="484"/>
    </row>
    <row r="20" spans="1:4" ht="12.75">
      <c r="A20" s="100" t="s">
        <v>305</v>
      </c>
    </row>
    <row r="21" spans="1:4" ht="12.75">
      <c r="A21" s="774"/>
      <c r="B21" s="846"/>
      <c r="C21" s="846"/>
      <c r="D21" s="846"/>
    </row>
    <row r="22" spans="1:4" ht="12.75">
      <c r="A22" s="846"/>
      <c r="B22" s="846"/>
      <c r="C22" s="846"/>
      <c r="D22" s="846"/>
    </row>
    <row r="23" spans="1:4" ht="12.75">
      <c r="A23" s="846"/>
      <c r="B23" s="846"/>
      <c r="C23" s="846"/>
      <c r="D23" s="846"/>
    </row>
    <row r="24" spans="1:4" ht="12.75">
      <c r="A24" s="846"/>
      <c r="B24" s="846"/>
      <c r="C24" s="846"/>
      <c r="D24" s="846"/>
    </row>
    <row r="25" spans="1:4" ht="12.75">
      <c r="A25" s="846"/>
      <c r="B25" s="846"/>
      <c r="C25" s="846"/>
      <c r="D25" s="846"/>
    </row>
  </sheetData>
  <mergeCells count="9">
    <mergeCell ref="A21:D25"/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7.140625" style="95" customWidth="1" collapsed="1"/>
    <col min="3" max="4" width="17" style="95" customWidth="1" collapsed="1"/>
    <col min="5" max="16384" width="10.42578125" style="95" collapsed="1"/>
  </cols>
  <sheetData>
    <row r="1" spans="1:4" ht="18.75" customHeight="1">
      <c r="A1" s="847" t="s">
        <v>430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97" t="s">
        <v>431</v>
      </c>
      <c r="B9" s="485">
        <v>0</v>
      </c>
      <c r="C9" s="486">
        <v>0</v>
      </c>
      <c r="D9" s="464"/>
    </row>
    <row r="10" spans="1:4" ht="12.75">
      <c r="A10" s="97" t="s">
        <v>432</v>
      </c>
      <c r="B10" s="485">
        <v>0</v>
      </c>
      <c r="C10" s="486">
        <v>0</v>
      </c>
      <c r="D10" s="464"/>
    </row>
    <row r="11" spans="1:4" ht="12.75">
      <c r="A11" s="97" t="s">
        <v>433</v>
      </c>
      <c r="B11" s="485">
        <v>0</v>
      </c>
      <c r="C11" s="486">
        <v>0</v>
      </c>
      <c r="D11" s="464"/>
    </row>
    <row r="12" spans="1:4" ht="12.75">
      <c r="A12" s="97" t="s">
        <v>434</v>
      </c>
      <c r="B12" s="485">
        <v>0</v>
      </c>
      <c r="C12" s="486">
        <v>0</v>
      </c>
      <c r="D12" s="464"/>
    </row>
    <row r="13" spans="1:4" ht="12.75">
      <c r="A13" s="97" t="s">
        <v>435</v>
      </c>
      <c r="B13" s="485">
        <v>0</v>
      </c>
      <c r="C13" s="486">
        <v>0</v>
      </c>
      <c r="D13" s="464"/>
    </row>
    <row r="14" spans="1:4" ht="12.75">
      <c r="A14" s="97" t="s">
        <v>436</v>
      </c>
      <c r="B14" s="485">
        <v>0</v>
      </c>
      <c r="C14" s="486">
        <v>0</v>
      </c>
      <c r="D14" s="464"/>
    </row>
    <row r="15" spans="1:4" ht="12.75">
      <c r="A15" s="99" t="s">
        <v>437</v>
      </c>
      <c r="B15" s="487">
        <v>0</v>
      </c>
      <c r="C15" s="488">
        <v>0</v>
      </c>
      <c r="D15" s="481"/>
    </row>
    <row r="16" spans="1:4" ht="12.75">
      <c r="A16" s="97" t="s">
        <v>438</v>
      </c>
      <c r="B16" s="485">
        <v>0</v>
      </c>
      <c r="C16" s="486">
        <v>0</v>
      </c>
      <c r="D16" s="464"/>
    </row>
    <row r="17" spans="1:4" ht="12.75">
      <c r="A17" s="97"/>
      <c r="B17" s="485"/>
      <c r="C17" s="486"/>
      <c r="D17" s="464"/>
    </row>
    <row r="18" spans="1:4" ht="12.75">
      <c r="A18" s="105" t="s">
        <v>1232</v>
      </c>
      <c r="B18" s="489">
        <v>0</v>
      </c>
      <c r="C18" s="490">
        <v>0</v>
      </c>
      <c r="D18" s="484"/>
    </row>
    <row r="19" spans="1:4" ht="12.75">
      <c r="A19" s="100" t="s">
        <v>305</v>
      </c>
    </row>
    <row r="20" spans="1:4" ht="12.75">
      <c r="A20" s="774"/>
      <c r="B20" s="846"/>
      <c r="C20" s="846"/>
      <c r="D20" s="846"/>
    </row>
    <row r="21" spans="1:4" ht="12.75">
      <c r="A21" s="846"/>
      <c r="B21" s="846"/>
      <c r="C21" s="846"/>
      <c r="D21" s="846"/>
    </row>
    <row r="22" spans="1:4" ht="12.75">
      <c r="A22" s="846"/>
      <c r="B22" s="846"/>
      <c r="C22" s="846"/>
      <c r="D22" s="846"/>
    </row>
    <row r="23" spans="1:4" ht="12.75">
      <c r="A23" s="846"/>
      <c r="B23" s="846"/>
      <c r="C23" s="846"/>
      <c r="D23" s="846"/>
    </row>
  </sheetData>
  <mergeCells count="9">
    <mergeCell ref="A20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8.42578125" style="95" customWidth="1" collapsed="1"/>
    <col min="3" max="3" width="16.140625" style="95" customWidth="1" collapsed="1"/>
    <col min="4" max="4" width="19.140625" style="95" customWidth="1" collapsed="1"/>
    <col min="5" max="16384" width="10.42578125" style="95" collapsed="1"/>
  </cols>
  <sheetData>
    <row r="1" spans="1:4" ht="18.75" customHeight="1">
      <c r="A1" s="847" t="s">
        <v>439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97" t="s">
        <v>440</v>
      </c>
      <c r="B9" s="478">
        <v>200826</v>
      </c>
      <c r="C9" s="432">
        <v>13999996</v>
      </c>
      <c r="D9" s="464" t="s">
        <v>1364</v>
      </c>
    </row>
    <row r="10" spans="1:4" ht="12.75">
      <c r="A10" s="97" t="s">
        <v>441</v>
      </c>
      <c r="B10" s="478">
        <v>0</v>
      </c>
      <c r="C10" s="432">
        <v>0</v>
      </c>
      <c r="D10" s="464"/>
    </row>
    <row r="11" spans="1:4" ht="12.75">
      <c r="A11" s="97" t="s">
        <v>442</v>
      </c>
      <c r="B11" s="478">
        <v>0</v>
      </c>
      <c r="C11" s="432">
        <v>0</v>
      </c>
      <c r="D11" s="464"/>
    </row>
    <row r="12" spans="1:4" ht="12.75">
      <c r="A12" s="97" t="s">
        <v>443</v>
      </c>
      <c r="B12" s="478">
        <v>0</v>
      </c>
      <c r="C12" s="432">
        <v>0</v>
      </c>
      <c r="D12" s="464"/>
    </row>
    <row r="13" spans="1:4" ht="12.75">
      <c r="A13" s="97" t="s">
        <v>444</v>
      </c>
      <c r="B13" s="478">
        <v>0</v>
      </c>
      <c r="C13" s="432">
        <v>0</v>
      </c>
      <c r="D13" s="464"/>
    </row>
    <row r="14" spans="1:4" ht="12.75">
      <c r="A14" s="97" t="s">
        <v>445</v>
      </c>
      <c r="B14" s="478">
        <v>0</v>
      </c>
      <c r="C14" s="432">
        <v>0</v>
      </c>
      <c r="D14" s="464"/>
    </row>
    <row r="15" spans="1:4" ht="12.75">
      <c r="A15" s="97" t="s">
        <v>446</v>
      </c>
      <c r="B15" s="478">
        <v>0</v>
      </c>
      <c r="C15" s="432">
        <v>0</v>
      </c>
      <c r="D15" s="464"/>
    </row>
    <row r="16" spans="1:4" ht="25.5" customHeight="1">
      <c r="A16" s="97" t="s">
        <v>447</v>
      </c>
      <c r="B16" s="478">
        <v>0</v>
      </c>
      <c r="C16" s="432">
        <v>0</v>
      </c>
      <c r="D16" s="464"/>
    </row>
    <row r="17" spans="1:4" ht="12.75">
      <c r="A17" s="97" t="s">
        <v>448</v>
      </c>
      <c r="B17" s="478">
        <v>0</v>
      </c>
      <c r="C17" s="432">
        <v>0</v>
      </c>
      <c r="D17" s="464"/>
    </row>
    <row r="18" spans="1:4" ht="12.75">
      <c r="A18" s="97" t="s">
        <v>449</v>
      </c>
      <c r="B18" s="478">
        <v>0</v>
      </c>
      <c r="C18" s="432">
        <v>1812313</v>
      </c>
      <c r="D18" s="464" t="s">
        <v>1365</v>
      </c>
    </row>
    <row r="19" spans="1:4" ht="12.75">
      <c r="A19" s="265" t="s">
        <v>911</v>
      </c>
      <c r="B19" s="478">
        <v>19002</v>
      </c>
      <c r="C19" s="432">
        <v>1666349</v>
      </c>
      <c r="D19" s="464" t="s">
        <v>1364</v>
      </c>
    </row>
    <row r="20" spans="1:4" ht="25.5">
      <c r="A20" s="97" t="s">
        <v>450</v>
      </c>
      <c r="B20" s="478">
        <v>0</v>
      </c>
      <c r="C20" s="432">
        <v>0</v>
      </c>
      <c r="D20" s="464"/>
    </row>
    <row r="21" spans="1:4" ht="12.75">
      <c r="A21" s="99" t="s">
        <v>451</v>
      </c>
      <c r="B21" s="479">
        <v>219828</v>
      </c>
      <c r="C21" s="480">
        <v>17478658</v>
      </c>
      <c r="D21" s="481" t="s">
        <v>1364</v>
      </c>
    </row>
    <row r="22" spans="1:4" ht="12.75">
      <c r="A22" s="97" t="s">
        <v>452</v>
      </c>
      <c r="B22" s="478">
        <v>0</v>
      </c>
      <c r="C22" s="432">
        <v>0</v>
      </c>
      <c r="D22" s="464"/>
    </row>
    <row r="23" spans="1:4" ht="12.75">
      <c r="A23" s="97"/>
      <c r="B23" s="478"/>
      <c r="C23" s="432"/>
      <c r="D23" s="464"/>
    </row>
    <row r="24" spans="1:4" ht="12.75">
      <c r="A24" s="105" t="s">
        <v>1232</v>
      </c>
      <c r="B24" s="482">
        <v>219828</v>
      </c>
      <c r="C24" s="483">
        <v>17478658</v>
      </c>
      <c r="D24" s="484" t="s">
        <v>1364</v>
      </c>
    </row>
    <row r="25" spans="1:4" ht="12.75">
      <c r="A25" s="100" t="s">
        <v>305</v>
      </c>
    </row>
    <row r="26" spans="1:4" ht="12.75">
      <c r="A26" s="774"/>
      <c r="B26" s="846"/>
      <c r="C26" s="846"/>
      <c r="D26" s="846"/>
    </row>
    <row r="27" spans="1:4" ht="12.75">
      <c r="A27" s="846"/>
      <c r="B27" s="846"/>
      <c r="C27" s="846"/>
      <c r="D27" s="846"/>
    </row>
    <row r="28" spans="1:4" ht="12.75">
      <c r="A28" s="846"/>
      <c r="B28" s="846"/>
      <c r="C28" s="846"/>
      <c r="D28" s="846"/>
    </row>
    <row r="29" spans="1:4" ht="12.75">
      <c r="A29" s="846"/>
      <c r="B29" s="846"/>
      <c r="C29" s="846"/>
      <c r="D29" s="846"/>
    </row>
    <row r="30" spans="1:4" ht="12.75">
      <c r="A30" s="846"/>
      <c r="B30" s="846"/>
      <c r="C30" s="846"/>
      <c r="D30" s="846"/>
    </row>
    <row r="31" spans="1:4" ht="12.75">
      <c r="A31" s="103"/>
    </row>
    <row r="32" spans="1:4" ht="12.75">
      <c r="A32" s="100" t="s">
        <v>453</v>
      </c>
    </row>
    <row r="33" spans="1:1" ht="12.75">
      <c r="A33" s="100" t="s">
        <v>454</v>
      </c>
    </row>
  </sheetData>
  <mergeCells count="9">
    <mergeCell ref="A26:D3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showGridLines="0" workbookViewId="0">
      <selection sqref="A1:G1"/>
    </sheetView>
  </sheetViews>
  <sheetFormatPr baseColWidth="10" defaultColWidth="10.42578125" defaultRowHeight="13.7" customHeight="1"/>
  <cols>
    <col min="1" max="1" width="33.5703125" style="95" customWidth="1" collapsed="1"/>
    <col min="2" max="2" width="8" style="95" bestFit="1" customWidth="1" collapsed="1"/>
    <col min="3" max="3" width="9.5703125" style="95" bestFit="1" customWidth="1" collapsed="1"/>
    <col min="4" max="4" width="8" style="95" customWidth="1" collapsed="1"/>
    <col min="5" max="7" width="11.5703125" style="95" customWidth="1" collapsed="1"/>
    <col min="8" max="16384" width="10.42578125" style="95" collapsed="1"/>
  </cols>
  <sheetData>
    <row r="1" spans="1:7" ht="18.75" customHeight="1">
      <c r="A1" s="847" t="s">
        <v>455</v>
      </c>
      <c r="B1" s="847"/>
      <c r="C1" s="847"/>
      <c r="D1" s="847"/>
      <c r="E1" s="847"/>
      <c r="F1" s="847"/>
      <c r="G1" s="847"/>
    </row>
    <row r="3" spans="1:7" ht="12.75">
      <c r="A3" s="848" t="s">
        <v>268</v>
      </c>
      <c r="B3" s="848"/>
      <c r="C3" s="848"/>
      <c r="E3" s="96" t="s">
        <v>269</v>
      </c>
      <c r="F3" s="824">
        <f>+'Fiche de renseignement R1'!$V$10</f>
        <v>45657</v>
      </c>
      <c r="G3" s="873"/>
    </row>
    <row r="4" spans="1:7" ht="12.75">
      <c r="A4" s="826" t="str">
        <f>'Fiche de renseignement R1'!$J$4</f>
        <v>MANDINGA RESSOURCES SARL</v>
      </c>
      <c r="B4" s="849"/>
      <c r="C4" s="849"/>
      <c r="E4" s="874" t="s">
        <v>270</v>
      </c>
      <c r="F4" s="716">
        <f>+'Fiche de renseignement R1'!$AH$10</f>
        <v>12</v>
      </c>
      <c r="G4" s="875"/>
    </row>
    <row r="5" spans="1:7" ht="12.75">
      <c r="A5" s="95" t="s">
        <v>271</v>
      </c>
      <c r="B5" s="831" t="str">
        <f>+'Fiche de renseignement R1'!$J$10</f>
        <v>006495693</v>
      </c>
      <c r="C5" s="876"/>
      <c r="E5" s="874"/>
      <c r="F5" s="850"/>
      <c r="G5" s="850"/>
    </row>
    <row r="7" spans="1:7" ht="12.75">
      <c r="A7" s="851" t="s">
        <v>131</v>
      </c>
      <c r="B7" s="865" t="s">
        <v>456</v>
      </c>
      <c r="C7" s="853" t="s">
        <v>457</v>
      </c>
      <c r="D7" s="867"/>
      <c r="E7" s="869" t="s">
        <v>458</v>
      </c>
      <c r="F7" s="869" t="s">
        <v>459</v>
      </c>
      <c r="G7" s="865" t="s">
        <v>460</v>
      </c>
    </row>
    <row r="8" spans="1:7" ht="12.75">
      <c r="A8" s="852"/>
      <c r="B8" s="866"/>
      <c r="C8" s="854"/>
      <c r="D8" s="868"/>
      <c r="E8" s="870"/>
      <c r="F8" s="870"/>
      <c r="G8" s="866"/>
    </row>
    <row r="9" spans="1:7" ht="25.5" customHeight="1">
      <c r="A9" s="97" t="s">
        <v>882</v>
      </c>
      <c r="B9" s="449">
        <v>0</v>
      </c>
      <c r="C9" s="857">
        <v>0</v>
      </c>
      <c r="D9" s="877"/>
      <c r="E9" s="432">
        <v>0</v>
      </c>
      <c r="F9" s="432">
        <v>0</v>
      </c>
      <c r="G9" s="432">
        <v>0</v>
      </c>
    </row>
    <row r="10" spans="1:7" ht="25.5" customHeight="1">
      <c r="A10" s="97"/>
      <c r="B10" s="449">
        <v>0</v>
      </c>
      <c r="C10" s="857">
        <v>0</v>
      </c>
      <c r="D10" s="877"/>
      <c r="E10" s="432">
        <v>0</v>
      </c>
      <c r="F10" s="432">
        <v>0</v>
      </c>
      <c r="G10" s="432">
        <v>0</v>
      </c>
    </row>
    <row r="11" spans="1:7" ht="25.5" customHeight="1">
      <c r="A11" s="97"/>
      <c r="B11" s="449">
        <v>0</v>
      </c>
      <c r="C11" s="857">
        <v>0</v>
      </c>
      <c r="D11" s="877"/>
      <c r="E11" s="432">
        <v>0</v>
      </c>
      <c r="F11" s="432">
        <v>0</v>
      </c>
      <c r="G11" s="432">
        <v>0</v>
      </c>
    </row>
    <row r="12" spans="1:7" ht="24.75" customHeight="1">
      <c r="A12" s="97" t="s">
        <v>883</v>
      </c>
      <c r="B12" s="449">
        <v>0</v>
      </c>
      <c r="C12" s="857">
        <v>0</v>
      </c>
      <c r="D12" s="877"/>
      <c r="E12" s="432">
        <v>0</v>
      </c>
      <c r="F12" s="432">
        <v>0</v>
      </c>
      <c r="G12" s="432">
        <v>0</v>
      </c>
    </row>
    <row r="13" spans="1:7" ht="25.5" customHeight="1">
      <c r="A13" s="97"/>
      <c r="B13" s="449">
        <v>0</v>
      </c>
      <c r="C13" s="478">
        <v>0</v>
      </c>
      <c r="D13" s="289"/>
      <c r="E13" s="432">
        <v>0</v>
      </c>
      <c r="F13" s="432">
        <v>0</v>
      </c>
      <c r="G13" s="432">
        <v>0</v>
      </c>
    </row>
    <row r="14" spans="1:7" ht="25.5" customHeight="1">
      <c r="A14" s="97"/>
      <c r="B14" s="449">
        <v>0</v>
      </c>
      <c r="C14" s="478">
        <v>0</v>
      </c>
      <c r="D14" s="289"/>
      <c r="E14" s="432">
        <v>0</v>
      </c>
      <c r="F14" s="432">
        <v>0</v>
      </c>
      <c r="G14" s="432">
        <v>0</v>
      </c>
    </row>
    <row r="15" spans="1:7" ht="25.5" customHeight="1">
      <c r="A15" s="97"/>
      <c r="B15" s="449">
        <v>0</v>
      </c>
      <c r="C15" s="857">
        <v>0</v>
      </c>
      <c r="D15" s="877"/>
      <c r="E15" s="432">
        <v>0</v>
      </c>
      <c r="F15" s="432">
        <v>0</v>
      </c>
      <c r="G15" s="432">
        <v>0</v>
      </c>
    </row>
    <row r="16" spans="1:7" ht="25.5" customHeight="1">
      <c r="A16" s="98"/>
      <c r="B16" s="449">
        <v>0</v>
      </c>
      <c r="C16" s="857">
        <v>0</v>
      </c>
      <c r="D16" s="877"/>
      <c r="E16" s="432">
        <v>0</v>
      </c>
      <c r="F16" s="432">
        <v>0</v>
      </c>
      <c r="G16" s="432">
        <v>0</v>
      </c>
    </row>
    <row r="17" spans="1:7" ht="12.75">
      <c r="A17" s="100" t="s">
        <v>305</v>
      </c>
    </row>
    <row r="18" spans="1:7" ht="12.75">
      <c r="A18" s="774"/>
      <c r="B18" s="846"/>
      <c r="C18" s="846"/>
      <c r="D18" s="846"/>
      <c r="E18" s="846"/>
      <c r="F18" s="846"/>
      <c r="G18" s="846"/>
    </row>
    <row r="19" spans="1:7" ht="12.75">
      <c r="A19" s="846"/>
      <c r="B19" s="846"/>
      <c r="C19" s="846"/>
      <c r="D19" s="846"/>
      <c r="E19" s="846"/>
      <c r="F19" s="846"/>
      <c r="G19" s="846"/>
    </row>
    <row r="20" spans="1:7" ht="12.75">
      <c r="A20" s="846"/>
      <c r="B20" s="846"/>
      <c r="C20" s="846"/>
      <c r="D20" s="846"/>
      <c r="E20" s="846"/>
      <c r="F20" s="846"/>
      <c r="G20" s="846"/>
    </row>
    <row r="22" spans="1:7" ht="18.75" customHeight="1">
      <c r="A22" s="878" t="s">
        <v>461</v>
      </c>
      <c r="B22" s="878"/>
      <c r="C22" s="878"/>
      <c r="D22" s="878"/>
      <c r="E22" s="878"/>
      <c r="F22" s="878"/>
      <c r="G22" s="878"/>
    </row>
    <row r="24" spans="1:7" ht="12.75">
      <c r="A24" s="851" t="s">
        <v>131</v>
      </c>
      <c r="B24" s="853" t="s">
        <v>359</v>
      </c>
      <c r="C24" s="867"/>
      <c r="D24" s="853" t="s">
        <v>360</v>
      </c>
      <c r="E24" s="867"/>
      <c r="F24" s="879" t="s">
        <v>387</v>
      </c>
      <c r="G24" s="880"/>
    </row>
    <row r="25" spans="1:7" ht="12.75">
      <c r="A25" s="852"/>
      <c r="B25" s="854"/>
      <c r="C25" s="868"/>
      <c r="D25" s="854"/>
      <c r="E25" s="868"/>
      <c r="F25" s="881"/>
      <c r="G25" s="882"/>
    </row>
    <row r="26" spans="1:7" ht="25.5" customHeight="1">
      <c r="A26" s="97" t="s">
        <v>884</v>
      </c>
      <c r="B26" s="857">
        <v>0</v>
      </c>
      <c r="C26" s="858"/>
      <c r="D26" s="857">
        <v>0</v>
      </c>
      <c r="E26" s="858"/>
      <c r="F26" s="859"/>
      <c r="G26" s="860"/>
    </row>
    <row r="27" spans="1:7" ht="12.75">
      <c r="A27" s="97"/>
      <c r="B27" s="857">
        <v>0</v>
      </c>
      <c r="C27" s="858"/>
      <c r="D27" s="857">
        <v>0</v>
      </c>
      <c r="E27" s="858"/>
      <c r="F27" s="859"/>
      <c r="G27" s="860"/>
    </row>
    <row r="28" spans="1:7" ht="12.75">
      <c r="A28" s="97"/>
      <c r="B28" s="857">
        <v>0</v>
      </c>
      <c r="C28" s="858"/>
      <c r="D28" s="857">
        <v>0</v>
      </c>
      <c r="E28" s="858"/>
      <c r="F28" s="859"/>
      <c r="G28" s="860"/>
    </row>
    <row r="29" spans="1:7" ht="25.5" customHeight="1">
      <c r="A29" s="97" t="s">
        <v>885</v>
      </c>
      <c r="B29" s="861">
        <v>0</v>
      </c>
      <c r="C29" s="862"/>
      <c r="D29" s="861">
        <v>0</v>
      </c>
      <c r="E29" s="862"/>
      <c r="F29" s="859"/>
      <c r="G29" s="860"/>
    </row>
    <row r="30" spans="1:7" ht="12.75" customHeight="1">
      <c r="A30" s="97"/>
      <c r="B30" s="871">
        <v>0</v>
      </c>
      <c r="C30" s="872"/>
      <c r="D30" s="871">
        <v>0</v>
      </c>
      <c r="E30" s="872"/>
      <c r="F30" s="491"/>
      <c r="G30" s="288"/>
    </row>
    <row r="31" spans="1:7" ht="12.75" customHeight="1">
      <c r="A31" s="97"/>
      <c r="B31" s="871">
        <v>0</v>
      </c>
      <c r="C31" s="872"/>
      <c r="D31" s="871">
        <v>0</v>
      </c>
      <c r="E31" s="872"/>
      <c r="F31" s="491"/>
      <c r="G31" s="288"/>
    </row>
    <row r="32" spans="1:7" ht="12.75">
      <c r="A32" s="97"/>
      <c r="B32" s="863">
        <v>0</v>
      </c>
      <c r="C32" s="864"/>
      <c r="D32" s="863">
        <v>0</v>
      </c>
      <c r="E32" s="864"/>
      <c r="F32" s="859"/>
      <c r="G32" s="860"/>
    </row>
    <row r="33" spans="1:7" ht="12.75">
      <c r="A33" s="97"/>
      <c r="B33" s="857">
        <v>0</v>
      </c>
      <c r="C33" s="858"/>
      <c r="D33" s="857">
        <v>0</v>
      </c>
      <c r="E33" s="858"/>
      <c r="F33" s="859"/>
      <c r="G33" s="860"/>
    </row>
    <row r="34" spans="1:7" ht="12.75">
      <c r="A34" s="100" t="s">
        <v>305</v>
      </c>
    </row>
    <row r="35" spans="1:7" ht="12.75">
      <c r="A35" s="774"/>
      <c r="B35" s="846"/>
      <c r="C35" s="846"/>
      <c r="D35" s="846"/>
      <c r="E35" s="846"/>
      <c r="F35" s="846"/>
      <c r="G35" s="846"/>
    </row>
    <row r="36" spans="1:7" ht="12.75">
      <c r="A36" s="846"/>
      <c r="B36" s="846"/>
      <c r="C36" s="846"/>
      <c r="D36" s="846"/>
      <c r="E36" s="846"/>
      <c r="F36" s="846"/>
      <c r="G36" s="846"/>
    </row>
    <row r="37" spans="1:7" ht="12.75">
      <c r="A37" s="846"/>
      <c r="B37" s="846"/>
      <c r="C37" s="846"/>
      <c r="D37" s="846"/>
      <c r="E37" s="846"/>
      <c r="F37" s="846"/>
      <c r="G37" s="846"/>
    </row>
    <row r="38" spans="1:7" ht="12.75">
      <c r="A38" s="846"/>
      <c r="B38" s="846"/>
      <c r="C38" s="846"/>
      <c r="D38" s="846"/>
      <c r="E38" s="846"/>
      <c r="F38" s="846"/>
      <c r="G38" s="846"/>
    </row>
  </sheetData>
  <mergeCells count="48"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B24:C25"/>
    <mergeCell ref="D24:E25"/>
    <mergeCell ref="F24:G25"/>
    <mergeCell ref="A24:A25"/>
    <mergeCell ref="A1:G1"/>
    <mergeCell ref="A3:C3"/>
    <mergeCell ref="F3:G3"/>
    <mergeCell ref="A4:C4"/>
    <mergeCell ref="E4:E5"/>
    <mergeCell ref="F4:G5"/>
    <mergeCell ref="B5:C5"/>
    <mergeCell ref="A35:G38"/>
    <mergeCell ref="A7:A8"/>
    <mergeCell ref="B7:B8"/>
    <mergeCell ref="C7:D8"/>
    <mergeCell ref="E7:E8"/>
    <mergeCell ref="F7:F8"/>
    <mergeCell ref="B30:C30"/>
    <mergeCell ref="B31:C31"/>
    <mergeCell ref="D30:E30"/>
    <mergeCell ref="D31:E31"/>
    <mergeCell ref="G7:G8"/>
    <mergeCell ref="F28:G28"/>
    <mergeCell ref="B26:C26"/>
    <mergeCell ref="A18:G20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27:C27"/>
    <mergeCell ref="D27:E27"/>
    <mergeCell ref="F27:G27"/>
    <mergeCell ref="B28:C28"/>
    <mergeCell ref="D28:E2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opLeftCell="A6" workbookViewId="0">
      <selection activeCell="L16" sqref="L16"/>
    </sheetView>
  </sheetViews>
  <sheetFormatPr baseColWidth="10" defaultColWidth="10.42578125" defaultRowHeight="13.7" customHeight="1"/>
  <cols>
    <col min="1" max="1" width="33.5703125" style="95" customWidth="1" collapsed="1"/>
    <col min="2" max="2" width="12.140625" style="463" customWidth="1" collapsed="1"/>
    <col min="3" max="4" width="8" style="95" customWidth="1" collapsed="1"/>
    <col min="5" max="5" width="9.5703125" style="95" customWidth="1" collapsed="1"/>
    <col min="6" max="6" width="12.5703125" style="95" customWidth="1" collapsed="1"/>
    <col min="7" max="7" width="14.42578125" style="95" customWidth="1" collapsed="1"/>
    <col min="8" max="16384" width="10.42578125" style="95" collapsed="1"/>
  </cols>
  <sheetData>
    <row r="1" spans="1:9" ht="18.75" customHeight="1">
      <c r="A1" s="821" t="s">
        <v>1084</v>
      </c>
      <c r="B1" s="847"/>
      <c r="C1" s="847"/>
      <c r="D1" s="847"/>
      <c r="E1" s="847"/>
      <c r="F1" s="847"/>
      <c r="G1" s="847"/>
    </row>
    <row r="3" spans="1:9" ht="12.75">
      <c r="A3" s="891" t="s">
        <v>268</v>
      </c>
      <c r="B3" s="891"/>
      <c r="C3" s="891"/>
      <c r="D3" s="136"/>
      <c r="E3" s="104" t="s">
        <v>269</v>
      </c>
      <c r="F3" s="712">
        <f>+'Fiche de renseignement R1'!$V$10</f>
        <v>45657</v>
      </c>
      <c r="G3" s="892"/>
      <c r="H3" s="136"/>
      <c r="I3" s="136"/>
    </row>
    <row r="4" spans="1:9" ht="12.75">
      <c r="A4" s="714" t="str">
        <f>'Fiche de renseignement R1'!$J$4</f>
        <v>MANDINGA RESSOURCES SARL</v>
      </c>
      <c r="B4" s="850"/>
      <c r="C4" s="850"/>
      <c r="D4" s="136"/>
      <c r="E4" s="874" t="s">
        <v>270</v>
      </c>
      <c r="F4" s="716">
        <f>+'Fiche de renseignement R1'!$AH$10</f>
        <v>12</v>
      </c>
      <c r="G4" s="875"/>
      <c r="H4" s="136"/>
      <c r="I4" s="136"/>
    </row>
    <row r="5" spans="1:9" ht="12.75">
      <c r="A5" s="136" t="s">
        <v>271</v>
      </c>
      <c r="B5" s="893" t="str">
        <f>+'Fiche de renseignement R1'!$J$10</f>
        <v>006495693</v>
      </c>
      <c r="C5" s="894"/>
      <c r="D5" s="136"/>
      <c r="E5" s="874"/>
      <c r="F5" s="850"/>
      <c r="G5" s="850"/>
      <c r="H5" s="136"/>
      <c r="I5" s="136"/>
    </row>
    <row r="7" spans="1:9" ht="25.5" customHeight="1">
      <c r="B7" s="191"/>
      <c r="E7" s="888" t="s">
        <v>462</v>
      </c>
      <c r="F7" s="888"/>
      <c r="G7" s="432">
        <v>10000</v>
      </c>
    </row>
    <row r="8" spans="1:9" ht="25.5" customHeight="1">
      <c r="A8" s="851" t="s">
        <v>463</v>
      </c>
      <c r="B8" s="889" t="s">
        <v>464</v>
      </c>
      <c r="C8" s="853" t="s">
        <v>465</v>
      </c>
      <c r="D8" s="867"/>
      <c r="E8" s="869" t="s">
        <v>466</v>
      </c>
      <c r="F8" s="869" t="s">
        <v>467</v>
      </c>
      <c r="G8" s="869" t="s">
        <v>468</v>
      </c>
    </row>
    <row r="9" spans="1:9" ht="25.5" customHeight="1">
      <c r="A9" s="852"/>
      <c r="B9" s="890"/>
      <c r="C9" s="854"/>
      <c r="D9" s="868"/>
      <c r="E9" s="870"/>
      <c r="F9" s="870"/>
      <c r="G9" s="870"/>
    </row>
    <row r="10" spans="1:9" ht="25.5" customHeight="1">
      <c r="A10" s="469" t="s">
        <v>1366</v>
      </c>
      <c r="B10" s="452" t="s">
        <v>1367</v>
      </c>
      <c r="C10" s="883" t="s">
        <v>1496</v>
      </c>
      <c r="D10" s="860"/>
      <c r="E10" s="432">
        <v>70</v>
      </c>
      <c r="F10" s="432">
        <v>700000</v>
      </c>
      <c r="G10" s="432">
        <v>0</v>
      </c>
    </row>
    <row r="11" spans="1:9" ht="25.5" customHeight="1">
      <c r="A11" s="469" t="s">
        <v>1368</v>
      </c>
      <c r="B11" s="452" t="s">
        <v>1369</v>
      </c>
      <c r="C11" s="883" t="s">
        <v>1496</v>
      </c>
      <c r="D11" s="860"/>
      <c r="E11" s="432">
        <v>5</v>
      </c>
      <c r="F11" s="432">
        <v>50000</v>
      </c>
      <c r="G11" s="432">
        <v>0</v>
      </c>
    </row>
    <row r="12" spans="1:9" ht="25.5" customHeight="1">
      <c r="A12" s="469" t="s">
        <v>1370</v>
      </c>
      <c r="B12" s="452" t="s">
        <v>1367</v>
      </c>
      <c r="C12" s="883" t="s">
        <v>1496</v>
      </c>
      <c r="D12" s="860"/>
      <c r="E12" s="432">
        <v>5</v>
      </c>
      <c r="F12" s="432">
        <v>50000</v>
      </c>
      <c r="G12" s="432">
        <v>0</v>
      </c>
    </row>
    <row r="13" spans="1:9" ht="25.5" customHeight="1">
      <c r="A13" s="469" t="s">
        <v>1371</v>
      </c>
      <c r="B13" s="452" t="s">
        <v>1372</v>
      </c>
      <c r="C13" s="883" t="s">
        <v>1496</v>
      </c>
      <c r="D13" s="860"/>
      <c r="E13" s="432">
        <v>5</v>
      </c>
      <c r="F13" s="432">
        <v>50000</v>
      </c>
      <c r="G13" s="432">
        <v>0</v>
      </c>
    </row>
    <row r="14" spans="1:9" ht="25.5" customHeight="1">
      <c r="A14" s="469" t="s">
        <v>1373</v>
      </c>
      <c r="B14" s="452" t="s">
        <v>1374</v>
      </c>
      <c r="C14" s="883" t="s">
        <v>1496</v>
      </c>
      <c r="D14" s="860"/>
      <c r="E14" s="432">
        <v>5</v>
      </c>
      <c r="F14" s="432">
        <v>50000</v>
      </c>
      <c r="G14" s="432">
        <v>0</v>
      </c>
    </row>
    <row r="15" spans="1:9" ht="25.5" customHeight="1">
      <c r="A15" s="469" t="s">
        <v>1375</v>
      </c>
      <c r="B15" s="452" t="s">
        <v>1376</v>
      </c>
      <c r="C15" s="883" t="s">
        <v>1496</v>
      </c>
      <c r="D15" s="860"/>
      <c r="E15" s="432">
        <v>5</v>
      </c>
      <c r="F15" s="432">
        <v>50000</v>
      </c>
      <c r="G15" s="432">
        <v>0</v>
      </c>
    </row>
    <row r="16" spans="1:9" ht="25.5" customHeight="1">
      <c r="A16" s="469" t="s">
        <v>1377</v>
      </c>
      <c r="B16" s="452" t="s">
        <v>1378</v>
      </c>
      <c r="C16" s="883" t="s">
        <v>1496</v>
      </c>
      <c r="D16" s="860"/>
      <c r="E16" s="432">
        <v>5</v>
      </c>
      <c r="F16" s="432">
        <v>50000</v>
      </c>
      <c r="G16" s="432">
        <v>0</v>
      </c>
    </row>
    <row r="17" spans="1:7" ht="25.5" customHeight="1">
      <c r="A17" s="97"/>
      <c r="B17" s="98"/>
      <c r="C17" s="884"/>
      <c r="D17" s="860"/>
      <c r="E17" s="106"/>
      <c r="F17" s="106"/>
      <c r="G17" s="106"/>
    </row>
    <row r="18" spans="1:7" ht="25.5" customHeight="1">
      <c r="A18" s="97" t="s">
        <v>469</v>
      </c>
      <c r="B18" s="139"/>
      <c r="C18" s="885"/>
      <c r="D18" s="886"/>
      <c r="E18" s="190"/>
      <c r="F18" s="190"/>
      <c r="G18" s="190"/>
    </row>
    <row r="19" spans="1:7" ht="25.5" customHeight="1">
      <c r="A19" s="167"/>
      <c r="B19" s="102"/>
      <c r="C19" s="887"/>
      <c r="D19" s="887"/>
      <c r="E19" s="168" t="s">
        <v>98</v>
      </c>
      <c r="F19" s="432">
        <v>1000000</v>
      </c>
      <c r="G19" s="449" t="s">
        <v>810</v>
      </c>
    </row>
    <row r="20" spans="1:7" ht="12.75">
      <c r="A20" s="100" t="s">
        <v>305</v>
      </c>
      <c r="F20" s="565"/>
    </row>
    <row r="21" spans="1:7" ht="12.75">
      <c r="A21" s="774"/>
      <c r="B21" s="846"/>
      <c r="C21" s="846"/>
      <c r="D21" s="846"/>
      <c r="E21" s="846"/>
      <c r="F21" s="846"/>
      <c r="G21" s="846"/>
    </row>
    <row r="22" spans="1:7" ht="12.75">
      <c r="A22" s="846"/>
      <c r="B22" s="846"/>
      <c r="C22" s="846"/>
      <c r="D22" s="846"/>
      <c r="E22" s="846"/>
      <c r="F22" s="846"/>
      <c r="G22" s="846"/>
    </row>
    <row r="23" spans="1:7" ht="12.75">
      <c r="A23" s="846"/>
      <c r="B23" s="846"/>
      <c r="C23" s="846"/>
      <c r="D23" s="846"/>
      <c r="E23" s="846"/>
      <c r="F23" s="846"/>
      <c r="G23" s="846"/>
    </row>
    <row r="24" spans="1:7" ht="12.75">
      <c r="A24" s="846"/>
      <c r="B24" s="846"/>
      <c r="C24" s="846"/>
      <c r="D24" s="846"/>
      <c r="E24" s="846"/>
      <c r="F24" s="846"/>
      <c r="G24" s="846"/>
    </row>
    <row r="25" spans="1:7" ht="12.75">
      <c r="A25" s="846"/>
      <c r="B25" s="846"/>
      <c r="C25" s="846"/>
      <c r="D25" s="846"/>
      <c r="E25" s="846"/>
      <c r="F25" s="846"/>
      <c r="G25" s="846"/>
    </row>
  </sheetData>
  <mergeCells count="25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A21:G25"/>
    <mergeCell ref="C15:D15"/>
    <mergeCell ref="C16:D16"/>
    <mergeCell ref="C17:D17"/>
    <mergeCell ref="C18:D18"/>
    <mergeCell ref="C19:D19"/>
  </mergeCell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sqref="A1:G1"/>
    </sheetView>
  </sheetViews>
  <sheetFormatPr baseColWidth="10" defaultColWidth="11.42578125" defaultRowHeight="13.7" customHeight="1"/>
  <cols>
    <col min="1" max="1" width="33.5703125" style="237" customWidth="1" collapsed="1"/>
    <col min="2" max="16384" width="11.42578125" style="237" collapsed="1"/>
  </cols>
  <sheetData>
    <row r="1" spans="1:7" ht="18" customHeight="1">
      <c r="A1" s="743" t="s">
        <v>470</v>
      </c>
      <c r="B1" s="743"/>
      <c r="C1" s="743"/>
      <c r="D1" s="743"/>
      <c r="E1" s="743"/>
      <c r="F1" s="743"/>
      <c r="G1" s="743"/>
    </row>
    <row r="3" spans="1:7" ht="12.75">
      <c r="A3" s="237" t="s">
        <v>268</v>
      </c>
      <c r="E3" s="237" t="s">
        <v>269</v>
      </c>
      <c r="F3" s="800">
        <f>+'Fiche de renseignement R1'!$V$10</f>
        <v>45657</v>
      </c>
      <c r="G3" s="801"/>
    </row>
    <row r="4" spans="1:7" ht="12.75">
      <c r="A4" s="802" t="str">
        <f>'Fiche de renseignement R1'!$J$4</f>
        <v>MANDINGA RESSOURCES SARL</v>
      </c>
      <c r="B4" s="801"/>
      <c r="C4" s="801"/>
      <c r="E4" s="736" t="s">
        <v>270</v>
      </c>
      <c r="F4" s="802">
        <f>+'Fiche de renseignement R1'!$AH$10</f>
        <v>12</v>
      </c>
      <c r="G4" s="801"/>
    </row>
    <row r="5" spans="1:7" ht="12.75">
      <c r="A5" s="237" t="s">
        <v>271</v>
      </c>
      <c r="B5" s="802" t="str">
        <f>+'Fiche de renseignement R1'!$J$10</f>
        <v>006495693</v>
      </c>
      <c r="C5" s="801"/>
      <c r="E5" s="736"/>
      <c r="F5" s="801"/>
      <c r="G5" s="801"/>
    </row>
    <row r="7" spans="1:7" ht="12.75" customHeight="1">
      <c r="A7" s="746" t="s">
        <v>131</v>
      </c>
      <c r="B7" s="903" t="s">
        <v>359</v>
      </c>
      <c r="C7" s="904"/>
      <c r="D7" s="903" t="s">
        <v>360</v>
      </c>
      <c r="E7" s="904"/>
      <c r="F7" s="903" t="s">
        <v>471</v>
      </c>
      <c r="G7" s="904"/>
    </row>
    <row r="8" spans="1:7" ht="12.75" customHeight="1">
      <c r="A8" s="747"/>
      <c r="B8" s="905"/>
      <c r="C8" s="906"/>
      <c r="D8" s="905"/>
      <c r="E8" s="906"/>
      <c r="F8" s="905"/>
      <c r="G8" s="906"/>
    </row>
    <row r="9" spans="1:7" ht="12.75">
      <c r="A9" s="460" t="s">
        <v>1379</v>
      </c>
      <c r="B9" s="857">
        <v>0</v>
      </c>
      <c r="C9" s="897"/>
      <c r="D9" s="857">
        <v>0</v>
      </c>
      <c r="E9" s="897"/>
      <c r="F9" s="857">
        <v>0</v>
      </c>
      <c r="G9" s="897"/>
    </row>
    <row r="10" spans="1:7" ht="12.75">
      <c r="A10" s="460" t="s">
        <v>1380</v>
      </c>
      <c r="B10" s="857">
        <v>0</v>
      </c>
      <c r="C10" s="897"/>
      <c r="D10" s="857">
        <v>0</v>
      </c>
      <c r="E10" s="897"/>
      <c r="F10" s="857">
        <v>0</v>
      </c>
      <c r="G10" s="897"/>
    </row>
    <row r="11" spans="1:7" ht="12.75">
      <c r="A11" s="460" t="s">
        <v>1381</v>
      </c>
      <c r="B11" s="857">
        <v>0</v>
      </c>
      <c r="C11" s="897"/>
      <c r="D11" s="857">
        <v>0</v>
      </c>
      <c r="E11" s="897"/>
      <c r="F11" s="857">
        <v>0</v>
      </c>
      <c r="G11" s="897"/>
    </row>
    <row r="12" spans="1:7" ht="12.75">
      <c r="A12" s="460" t="s">
        <v>1382</v>
      </c>
      <c r="B12" s="857">
        <v>0</v>
      </c>
      <c r="C12" s="897"/>
      <c r="D12" s="857">
        <v>0</v>
      </c>
      <c r="E12" s="897"/>
      <c r="F12" s="857">
        <v>0</v>
      </c>
      <c r="G12" s="897"/>
    </row>
    <row r="13" spans="1:7" ht="12.75">
      <c r="A13" s="460" t="s">
        <v>1383</v>
      </c>
      <c r="B13" s="857">
        <v>0</v>
      </c>
      <c r="C13" s="897"/>
      <c r="D13" s="857">
        <v>0</v>
      </c>
      <c r="E13" s="897"/>
      <c r="F13" s="857">
        <v>0</v>
      </c>
      <c r="G13" s="897"/>
    </row>
    <row r="14" spans="1:7" ht="12.75">
      <c r="A14" s="494" t="s">
        <v>1384</v>
      </c>
      <c r="B14" s="895">
        <v>0</v>
      </c>
      <c r="C14" s="896"/>
      <c r="D14" s="895">
        <v>0</v>
      </c>
      <c r="E14" s="896"/>
      <c r="F14" s="895">
        <v>0</v>
      </c>
      <c r="G14" s="896"/>
    </row>
    <row r="15" spans="1:7" s="293" customFormat="1" ht="12.75">
      <c r="A15" s="441"/>
      <c r="B15" s="898"/>
      <c r="C15" s="899"/>
      <c r="D15" s="898"/>
      <c r="E15" s="899"/>
      <c r="F15" s="898"/>
      <c r="G15" s="899"/>
    </row>
    <row r="16" spans="1:7" ht="12.75">
      <c r="A16" s="496" t="s">
        <v>1385</v>
      </c>
      <c r="B16" s="857">
        <v>0</v>
      </c>
      <c r="C16" s="897"/>
      <c r="D16" s="857">
        <v>0</v>
      </c>
      <c r="E16" s="897"/>
      <c r="F16" s="857">
        <v>0</v>
      </c>
      <c r="G16" s="897"/>
    </row>
    <row r="17" spans="1:7" ht="12.75">
      <c r="A17" s="496" t="s">
        <v>1386</v>
      </c>
      <c r="B17" s="857">
        <v>0</v>
      </c>
      <c r="C17" s="897"/>
      <c r="D17" s="857">
        <v>0</v>
      </c>
      <c r="E17" s="897"/>
      <c r="F17" s="857">
        <v>0</v>
      </c>
      <c r="G17" s="897"/>
    </row>
    <row r="18" spans="1:7" ht="27.6" customHeight="1">
      <c r="A18" s="496" t="s">
        <v>1387</v>
      </c>
      <c r="B18" s="857">
        <v>0</v>
      </c>
      <c r="C18" s="897"/>
      <c r="D18" s="857">
        <v>0</v>
      </c>
      <c r="E18" s="897"/>
      <c r="F18" s="857">
        <v>0</v>
      </c>
      <c r="G18" s="897"/>
    </row>
    <row r="19" spans="1:7" ht="27.6" customHeight="1">
      <c r="A19" s="496" t="s">
        <v>1388</v>
      </c>
      <c r="B19" s="857">
        <v>0</v>
      </c>
      <c r="C19" s="897"/>
      <c r="D19" s="857">
        <v>0</v>
      </c>
      <c r="E19" s="897"/>
      <c r="F19" s="857">
        <v>0</v>
      </c>
      <c r="G19" s="897"/>
    </row>
    <row r="20" spans="1:7" ht="12.75">
      <c r="A20" s="496" t="s">
        <v>1389</v>
      </c>
      <c r="B20" s="857">
        <v>0</v>
      </c>
      <c r="C20" s="897"/>
      <c r="D20" s="857">
        <v>0</v>
      </c>
      <c r="E20" s="897"/>
      <c r="F20" s="857">
        <v>0</v>
      </c>
      <c r="G20" s="897"/>
    </row>
    <row r="21" spans="1:7" ht="12.75">
      <c r="A21" s="494" t="s">
        <v>1390</v>
      </c>
      <c r="B21" s="900">
        <v>0</v>
      </c>
      <c r="C21" s="901"/>
      <c r="D21" s="895">
        <v>0</v>
      </c>
      <c r="E21" s="896"/>
      <c r="F21" s="895">
        <v>0</v>
      </c>
      <c r="G21" s="896"/>
    </row>
    <row r="22" spans="1:7" s="293" customFormat="1" ht="12.75">
      <c r="A22" s="441"/>
      <c r="B22" s="909"/>
      <c r="C22" s="910"/>
      <c r="D22" s="898"/>
      <c r="E22" s="899"/>
      <c r="F22" s="911"/>
      <c r="G22" s="912"/>
    </row>
    <row r="23" spans="1:7" ht="12.75">
      <c r="A23" s="497" t="s">
        <v>123</v>
      </c>
      <c r="B23" s="857">
        <v>0</v>
      </c>
      <c r="C23" s="897"/>
      <c r="D23" s="857">
        <v>0</v>
      </c>
      <c r="E23" s="897"/>
      <c r="F23" s="857">
        <v>0</v>
      </c>
      <c r="G23" s="897"/>
    </row>
    <row r="24" spans="1:7" ht="12.75">
      <c r="A24" s="460"/>
      <c r="B24" s="857"/>
      <c r="C24" s="897"/>
      <c r="D24" s="857"/>
      <c r="E24" s="897"/>
      <c r="F24" s="907"/>
      <c r="G24" s="908"/>
    </row>
    <row r="25" spans="1:7" s="293" customFormat="1" ht="12.75">
      <c r="A25" s="498" t="s">
        <v>1391</v>
      </c>
      <c r="B25" s="898">
        <v>-44568721</v>
      </c>
      <c r="C25" s="899"/>
      <c r="D25" s="898">
        <v>-16910741</v>
      </c>
      <c r="E25" s="899"/>
      <c r="F25" s="898">
        <v>-27657980</v>
      </c>
      <c r="G25" s="899"/>
    </row>
    <row r="26" spans="1:7" s="293" customFormat="1" ht="12.75">
      <c r="B26" s="299"/>
      <c r="C26" s="299"/>
      <c r="D26" s="299"/>
      <c r="E26" s="299"/>
      <c r="F26" s="299"/>
      <c r="G26" s="299"/>
    </row>
    <row r="27" spans="1:7" ht="12.75">
      <c r="A27" s="237" t="s">
        <v>305</v>
      </c>
    </row>
    <row r="28" spans="1:7" ht="12.75">
      <c r="A28" s="774"/>
      <c r="B28" s="902"/>
      <c r="C28" s="902"/>
      <c r="D28" s="902"/>
      <c r="E28" s="902"/>
      <c r="F28" s="902"/>
      <c r="G28" s="902"/>
    </row>
    <row r="29" spans="1:7" ht="12.75">
      <c r="A29" s="902"/>
      <c r="B29" s="902"/>
      <c r="C29" s="902"/>
      <c r="D29" s="902"/>
      <c r="E29" s="902"/>
      <c r="F29" s="902"/>
      <c r="G29" s="902"/>
    </row>
    <row r="30" spans="1:7" ht="12.75">
      <c r="A30" s="902"/>
      <c r="B30" s="902"/>
      <c r="C30" s="902"/>
      <c r="D30" s="902"/>
      <c r="E30" s="902"/>
      <c r="F30" s="902"/>
      <c r="G30" s="902"/>
    </row>
  </sheetData>
  <mergeCells count="62">
    <mergeCell ref="F19:G19"/>
    <mergeCell ref="D15:E15"/>
    <mergeCell ref="F15:G15"/>
    <mergeCell ref="B24:C24"/>
    <mergeCell ref="D24:E24"/>
    <mergeCell ref="F24:G24"/>
    <mergeCell ref="B22:C22"/>
    <mergeCell ref="D22:E22"/>
    <mergeCell ref="F22:G22"/>
    <mergeCell ref="F20:G20"/>
    <mergeCell ref="F21:G21"/>
    <mergeCell ref="D19:E19"/>
    <mergeCell ref="B15:C15"/>
    <mergeCell ref="A1:G1"/>
    <mergeCell ref="A28:G30"/>
    <mergeCell ref="F3:G3"/>
    <mergeCell ref="F4:G5"/>
    <mergeCell ref="E4:E5"/>
    <mergeCell ref="A4:C4"/>
    <mergeCell ref="B5:C5"/>
    <mergeCell ref="F23:G23"/>
    <mergeCell ref="F25:G25"/>
    <mergeCell ref="A7:A8"/>
    <mergeCell ref="F7:G8"/>
    <mergeCell ref="D7:E8"/>
    <mergeCell ref="B7:C8"/>
    <mergeCell ref="F17:G17"/>
    <mergeCell ref="F18:G18"/>
    <mergeCell ref="B9:C9"/>
    <mergeCell ref="D25:E25"/>
    <mergeCell ref="F10:G10"/>
    <mergeCell ref="F9:G9"/>
    <mergeCell ref="F11:G11"/>
    <mergeCell ref="F12:G12"/>
    <mergeCell ref="F13:G13"/>
    <mergeCell ref="F14:G14"/>
    <mergeCell ref="F16:G16"/>
    <mergeCell ref="D20:E20"/>
    <mergeCell ref="D21:E21"/>
    <mergeCell ref="D23:E23"/>
    <mergeCell ref="D14:E14"/>
    <mergeCell ref="D16:E16"/>
    <mergeCell ref="D17:E17"/>
    <mergeCell ref="D18:E18"/>
    <mergeCell ref="D9:E9"/>
    <mergeCell ref="D10:E10"/>
    <mergeCell ref="D11:E11"/>
    <mergeCell ref="D12:E12"/>
    <mergeCell ref="D13:E13"/>
    <mergeCell ref="B10:C10"/>
    <mergeCell ref="B11:C11"/>
    <mergeCell ref="B12:C12"/>
    <mergeCell ref="B13:C13"/>
    <mergeCell ref="B14:C14"/>
    <mergeCell ref="B16:C16"/>
    <mergeCell ref="B17:C17"/>
    <mergeCell ref="B18:C18"/>
    <mergeCell ref="B25:C25"/>
    <mergeCell ref="B19:C19"/>
    <mergeCell ref="B20:C20"/>
    <mergeCell ref="B21:C21"/>
    <mergeCell ref="B23:C23"/>
  </mergeCells>
  <pageMargins left="0.70866141732279997" right="0.70866141732279997" top="0.74803149606300001" bottom="0.74803149606300001" header="0.31496062992129997" footer="0.31496062992129997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showGridLines="0" workbookViewId="0">
      <selection sqref="A1:H1"/>
    </sheetView>
  </sheetViews>
  <sheetFormatPr baseColWidth="10" defaultColWidth="10.42578125" defaultRowHeight="13.7" customHeight="1"/>
  <cols>
    <col min="1" max="1" width="30.5703125" style="95" customWidth="1" collapsed="1"/>
    <col min="2" max="2" width="5.42578125" style="95" bestFit="1" customWidth="1" collapsed="1"/>
    <col min="3" max="8" width="9.5703125" style="95" customWidth="1" collapsed="1"/>
    <col min="9" max="16384" width="10.42578125" style="95" collapsed="1"/>
  </cols>
  <sheetData>
    <row r="1" spans="1:8" ht="18.75" customHeight="1">
      <c r="A1" s="847" t="s">
        <v>472</v>
      </c>
      <c r="B1" s="847"/>
      <c r="C1" s="847"/>
      <c r="D1" s="847"/>
      <c r="E1" s="847"/>
      <c r="F1" s="847"/>
      <c r="G1" s="847"/>
      <c r="H1" s="847"/>
    </row>
    <row r="3" spans="1:8" ht="12.75">
      <c r="A3" s="848" t="s">
        <v>268</v>
      </c>
      <c r="B3" s="848"/>
      <c r="C3" s="848"/>
      <c r="E3" s="96" t="s">
        <v>269</v>
      </c>
      <c r="F3" s="824">
        <f>+'Fiche de renseignement R1'!$V$10</f>
        <v>45657</v>
      </c>
      <c r="G3" s="873"/>
    </row>
    <row r="4" spans="1:8" ht="12.75">
      <c r="A4" s="826" t="str">
        <f>'Fiche de renseignement R1'!$J$4</f>
        <v>MANDINGA RESSOURCES SARL</v>
      </c>
      <c r="B4" s="849"/>
      <c r="C4" s="849"/>
      <c r="E4" s="874" t="s">
        <v>270</v>
      </c>
      <c r="F4" s="716">
        <f>+'Fiche de renseignement R1'!$AH$10</f>
        <v>12</v>
      </c>
      <c r="G4" s="875"/>
    </row>
    <row r="5" spans="1:8" ht="12.75">
      <c r="A5" s="95" t="s">
        <v>271</v>
      </c>
      <c r="B5" s="831" t="str">
        <f>+'Fiche de renseignement R1'!$J$10</f>
        <v>006495693</v>
      </c>
      <c r="C5" s="876"/>
      <c r="E5" s="874"/>
      <c r="F5" s="850"/>
      <c r="G5" s="850"/>
    </row>
    <row r="7" spans="1:8" ht="25.5" customHeight="1">
      <c r="A7" s="851" t="s">
        <v>131</v>
      </c>
      <c r="B7" s="865" t="s">
        <v>132</v>
      </c>
      <c r="C7" s="865" t="s">
        <v>473</v>
      </c>
      <c r="D7" s="865" t="s">
        <v>360</v>
      </c>
      <c r="E7" s="869" t="s">
        <v>460</v>
      </c>
      <c r="F7" s="869" t="s">
        <v>361</v>
      </c>
      <c r="G7" s="869" t="s">
        <v>474</v>
      </c>
      <c r="H7" s="869" t="s">
        <v>475</v>
      </c>
    </row>
    <row r="8" spans="1:8" ht="25.5" customHeight="1">
      <c r="A8" s="852"/>
      <c r="B8" s="866"/>
      <c r="C8" s="866"/>
      <c r="D8" s="866"/>
      <c r="E8" s="870"/>
      <c r="F8" s="870"/>
      <c r="G8" s="870"/>
      <c r="H8" s="870"/>
    </row>
    <row r="9" spans="1:8" ht="12.75">
      <c r="A9" s="97" t="s">
        <v>291</v>
      </c>
      <c r="B9" s="464"/>
      <c r="C9" s="432">
        <v>0</v>
      </c>
      <c r="D9" s="432">
        <v>0</v>
      </c>
      <c r="E9" s="432">
        <v>0</v>
      </c>
      <c r="F9" s="464"/>
      <c r="G9" s="449">
        <v>0</v>
      </c>
      <c r="H9" s="449"/>
    </row>
    <row r="10" spans="1:8" ht="12.75">
      <c r="A10" s="97" t="s">
        <v>476</v>
      </c>
      <c r="B10" s="464"/>
      <c r="C10" s="432">
        <v>0</v>
      </c>
      <c r="D10" s="432">
        <v>0</v>
      </c>
      <c r="E10" s="432">
        <v>0</v>
      </c>
      <c r="F10" s="464"/>
      <c r="G10" s="449">
        <v>0</v>
      </c>
      <c r="H10" s="449"/>
    </row>
    <row r="11" spans="1:8" ht="12.75">
      <c r="A11" s="97" t="s">
        <v>477</v>
      </c>
      <c r="B11" s="464"/>
      <c r="C11" s="432">
        <v>0</v>
      </c>
      <c r="D11" s="432">
        <v>0</v>
      </c>
      <c r="E11" s="432">
        <v>0</v>
      </c>
      <c r="F11" s="464"/>
      <c r="G11" s="449">
        <v>0</v>
      </c>
      <c r="H11" s="449"/>
    </row>
    <row r="12" spans="1:8" ht="25.5" customHeight="1">
      <c r="A12" s="97" t="s">
        <v>478</v>
      </c>
      <c r="B12" s="464"/>
      <c r="C12" s="432">
        <v>0</v>
      </c>
      <c r="D12" s="432">
        <v>0</v>
      </c>
      <c r="E12" s="432">
        <v>0</v>
      </c>
      <c r="F12" s="464"/>
      <c r="G12" s="449">
        <v>0</v>
      </c>
      <c r="H12" s="449"/>
    </row>
    <row r="13" spans="1:8" ht="12.75">
      <c r="A13" s="97" t="s">
        <v>479</v>
      </c>
      <c r="B13" s="464"/>
      <c r="C13" s="432">
        <v>0</v>
      </c>
      <c r="D13" s="432">
        <v>0</v>
      </c>
      <c r="E13" s="432">
        <v>0</v>
      </c>
      <c r="F13" s="464"/>
      <c r="G13" s="449">
        <v>0</v>
      </c>
      <c r="H13" s="449"/>
    </row>
    <row r="14" spans="1:8" ht="12.75">
      <c r="A14" s="97" t="s">
        <v>480</v>
      </c>
      <c r="B14" s="464"/>
      <c r="C14" s="432">
        <v>0</v>
      </c>
      <c r="D14" s="432">
        <v>0</v>
      </c>
      <c r="E14" s="432">
        <v>0</v>
      </c>
      <c r="F14" s="464"/>
      <c r="G14" s="449">
        <v>0</v>
      </c>
      <c r="H14" s="449"/>
    </row>
    <row r="15" spans="1:8" ht="12.75">
      <c r="A15" s="97" t="s">
        <v>292</v>
      </c>
      <c r="B15" s="464"/>
      <c r="C15" s="432">
        <v>0</v>
      </c>
      <c r="D15" s="432">
        <v>0</v>
      </c>
      <c r="E15" s="432">
        <v>0</v>
      </c>
      <c r="F15" s="464"/>
      <c r="G15" s="449">
        <v>0</v>
      </c>
      <c r="H15" s="449"/>
    </row>
    <row r="16" spans="1:8" ht="12.75">
      <c r="A16" s="97" t="s">
        <v>276</v>
      </c>
      <c r="B16" s="464"/>
      <c r="C16" s="432">
        <v>0</v>
      </c>
      <c r="D16" s="432">
        <v>0</v>
      </c>
      <c r="E16" s="432">
        <v>0</v>
      </c>
      <c r="F16" s="464"/>
      <c r="G16" s="449">
        <v>0</v>
      </c>
      <c r="H16" s="449"/>
    </row>
    <row r="17" spans="1:8" ht="12.75">
      <c r="A17" s="99" t="s">
        <v>481</v>
      </c>
      <c r="B17" s="481"/>
      <c r="C17" s="480">
        <v>0</v>
      </c>
      <c r="D17" s="480">
        <v>0</v>
      </c>
      <c r="E17" s="480">
        <v>0</v>
      </c>
      <c r="F17" s="481"/>
      <c r="G17" s="499">
        <v>0</v>
      </c>
      <c r="H17" s="499"/>
    </row>
    <row r="18" spans="1:8" s="301" customFormat="1" ht="12.75">
      <c r="A18" s="300"/>
      <c r="B18" s="500"/>
      <c r="C18" s="501">
        <v>0</v>
      </c>
      <c r="D18" s="501">
        <v>0</v>
      </c>
      <c r="E18" s="501">
        <v>0</v>
      </c>
      <c r="F18" s="500"/>
      <c r="G18" s="502">
        <v>0</v>
      </c>
      <c r="H18" s="502"/>
    </row>
    <row r="19" spans="1:8" ht="12.75">
      <c r="A19" s="97" t="s">
        <v>482</v>
      </c>
      <c r="B19" s="464"/>
      <c r="C19" s="432">
        <v>0</v>
      </c>
      <c r="D19" s="432">
        <v>0</v>
      </c>
      <c r="E19" s="432">
        <v>0</v>
      </c>
      <c r="F19" s="464"/>
      <c r="G19" s="449">
        <v>0</v>
      </c>
      <c r="H19" s="449"/>
    </row>
    <row r="20" spans="1:8" ht="12.75">
      <c r="A20" s="97" t="s">
        <v>483</v>
      </c>
      <c r="B20" s="464"/>
      <c r="C20" s="432">
        <v>0</v>
      </c>
      <c r="D20" s="432">
        <v>0</v>
      </c>
      <c r="E20" s="432">
        <v>0</v>
      </c>
      <c r="F20" s="464"/>
      <c r="G20" s="449">
        <v>0</v>
      </c>
      <c r="H20" s="449"/>
    </row>
    <row r="21" spans="1:8" ht="12.75">
      <c r="A21" s="97" t="s">
        <v>484</v>
      </c>
      <c r="B21" s="464"/>
      <c r="C21" s="432">
        <v>0</v>
      </c>
      <c r="D21" s="432">
        <v>0</v>
      </c>
      <c r="E21" s="432">
        <v>0</v>
      </c>
      <c r="F21" s="464"/>
      <c r="G21" s="449">
        <v>0</v>
      </c>
      <c r="H21" s="449"/>
    </row>
    <row r="22" spans="1:8" ht="25.5" customHeight="1">
      <c r="A22" s="97" t="s">
        <v>485</v>
      </c>
      <c r="B22" s="464"/>
      <c r="C22" s="432">
        <v>0</v>
      </c>
      <c r="D22" s="432">
        <v>0</v>
      </c>
      <c r="E22" s="432">
        <v>0</v>
      </c>
      <c r="F22" s="464"/>
      <c r="G22" s="449">
        <v>0</v>
      </c>
      <c r="H22" s="449"/>
    </row>
    <row r="23" spans="1:8" ht="25.5" customHeight="1">
      <c r="A23" s="97" t="s">
        <v>486</v>
      </c>
      <c r="B23" s="464"/>
      <c r="C23" s="432">
        <v>0</v>
      </c>
      <c r="D23" s="432">
        <v>0</v>
      </c>
      <c r="E23" s="432">
        <v>0</v>
      </c>
      <c r="F23" s="464"/>
      <c r="G23" s="449">
        <v>0</v>
      </c>
      <c r="H23" s="449"/>
    </row>
    <row r="24" spans="1:8" ht="12.75">
      <c r="A24" s="97" t="s">
        <v>487</v>
      </c>
      <c r="B24" s="464"/>
      <c r="C24" s="432">
        <v>0</v>
      </c>
      <c r="D24" s="432">
        <v>0</v>
      </c>
      <c r="E24" s="432">
        <v>0</v>
      </c>
      <c r="F24" s="464"/>
      <c r="G24" s="449">
        <v>0</v>
      </c>
      <c r="H24" s="449"/>
    </row>
    <row r="25" spans="1:8" ht="25.5" customHeight="1">
      <c r="A25" s="97" t="s">
        <v>488</v>
      </c>
      <c r="B25" s="464"/>
      <c r="C25" s="432">
        <v>0</v>
      </c>
      <c r="D25" s="432">
        <v>0</v>
      </c>
      <c r="E25" s="432">
        <v>0</v>
      </c>
      <c r="F25" s="464"/>
      <c r="G25" s="449">
        <v>0</v>
      </c>
      <c r="H25" s="449"/>
    </row>
    <row r="26" spans="1:8" ht="12.75">
      <c r="A26" s="99" t="s">
        <v>489</v>
      </c>
      <c r="B26" s="481"/>
      <c r="C26" s="480">
        <v>0</v>
      </c>
      <c r="D26" s="480">
        <v>0</v>
      </c>
      <c r="E26" s="480">
        <v>0</v>
      </c>
      <c r="F26" s="481"/>
      <c r="G26" s="499">
        <v>0</v>
      </c>
      <c r="H26" s="499"/>
    </row>
    <row r="27" spans="1:8" ht="12.75">
      <c r="A27" s="97"/>
      <c r="B27" s="464"/>
      <c r="C27" s="432"/>
      <c r="D27" s="432"/>
      <c r="E27" s="432"/>
      <c r="F27" s="464"/>
      <c r="G27" s="449"/>
      <c r="H27" s="449"/>
    </row>
    <row r="28" spans="1:8" ht="25.5" customHeight="1">
      <c r="A28" s="170" t="s">
        <v>490</v>
      </c>
      <c r="B28" s="484"/>
      <c r="C28" s="483">
        <v>0</v>
      </c>
      <c r="D28" s="483">
        <v>0</v>
      </c>
      <c r="E28" s="483">
        <v>0</v>
      </c>
      <c r="F28" s="484"/>
      <c r="G28" s="503">
        <v>0</v>
      </c>
      <c r="H28" s="503"/>
    </row>
    <row r="29" spans="1:8" s="301" customFormat="1" ht="12.75" customHeight="1">
      <c r="A29" s="302"/>
      <c r="B29" s="303"/>
      <c r="C29" s="304"/>
      <c r="D29" s="304"/>
      <c r="E29" s="304"/>
      <c r="F29" s="303"/>
      <c r="G29" s="305"/>
      <c r="H29" s="305"/>
    </row>
    <row r="30" spans="1:8" ht="12.75">
      <c r="A30" s="100" t="s">
        <v>305</v>
      </c>
    </row>
    <row r="31" spans="1:8" ht="12.75">
      <c r="A31" s="504"/>
      <c r="B31" s="294"/>
      <c r="C31" s="294"/>
      <c r="D31" s="294"/>
      <c r="E31" s="294"/>
      <c r="F31" s="294"/>
    </row>
    <row r="32" spans="1:8" ht="12.75">
      <c r="A32" s="407" t="s">
        <v>1222</v>
      </c>
      <c r="B32" s="294"/>
      <c r="C32" s="294"/>
      <c r="D32" s="294"/>
      <c r="E32" s="294"/>
      <c r="F32" s="294"/>
    </row>
    <row r="33" spans="1:6" ht="12.75">
      <c r="A33" s="407" t="s">
        <v>1221</v>
      </c>
      <c r="B33" s="294"/>
      <c r="C33" s="294"/>
      <c r="D33" s="294"/>
      <c r="E33" s="294"/>
      <c r="F33" s="294"/>
    </row>
    <row r="34" spans="1:6" ht="12.75">
      <c r="A34" s="408"/>
      <c r="B34" s="294"/>
      <c r="C34" s="294"/>
      <c r="D34" s="294"/>
      <c r="E34" s="294"/>
      <c r="F34" s="294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workbookViewId="0">
      <selection sqref="A1:G1"/>
    </sheetView>
  </sheetViews>
  <sheetFormatPr baseColWidth="10" defaultColWidth="10.42578125" defaultRowHeight="13.7" customHeight="1"/>
  <cols>
    <col min="1" max="1" width="30.5703125" style="95" customWidth="1" collapsed="1"/>
    <col min="2" max="2" width="5.42578125" style="95" bestFit="1" customWidth="1" collapsed="1"/>
    <col min="3" max="7" width="9.5703125" style="95" customWidth="1" collapsed="1"/>
    <col min="8" max="16384" width="10.42578125" style="95" collapsed="1"/>
  </cols>
  <sheetData>
    <row r="1" spans="1:7" ht="21" customHeight="1">
      <c r="A1" s="847" t="s">
        <v>886</v>
      </c>
      <c r="B1" s="847"/>
      <c r="C1" s="847"/>
      <c r="D1" s="847"/>
      <c r="E1" s="847"/>
      <c r="F1" s="847"/>
      <c r="G1" s="847"/>
    </row>
    <row r="3" spans="1:7" ht="12.75">
      <c r="A3" s="848" t="s">
        <v>268</v>
      </c>
      <c r="B3" s="848"/>
      <c r="C3" s="848"/>
      <c r="E3" s="104" t="s">
        <v>269</v>
      </c>
      <c r="F3" s="824">
        <f>+'Fiche de renseignement R1'!$V$10</f>
        <v>45657</v>
      </c>
      <c r="G3" s="873"/>
    </row>
    <row r="4" spans="1:7" ht="12.75">
      <c r="A4" s="826" t="str">
        <f>'Fiche de renseignement R1'!$J$4</f>
        <v>MANDINGA RESSOURCES SARL</v>
      </c>
      <c r="B4" s="849"/>
      <c r="C4" s="849"/>
      <c r="E4" s="874" t="s">
        <v>270</v>
      </c>
      <c r="F4" s="716">
        <f>+'Fiche de renseignement R1'!$AH$10</f>
        <v>12</v>
      </c>
      <c r="G4" s="875"/>
    </row>
    <row r="5" spans="1:7" ht="12.75">
      <c r="A5" s="95" t="s">
        <v>271</v>
      </c>
      <c r="B5" s="831" t="str">
        <f>+'Fiche de renseignement R1'!$J$10</f>
        <v>006495693</v>
      </c>
      <c r="C5" s="876"/>
      <c r="E5" s="874"/>
      <c r="F5" s="850"/>
      <c r="G5" s="850"/>
    </row>
    <row r="7" spans="1:7" ht="25.5" customHeight="1">
      <c r="A7" s="851" t="s">
        <v>131</v>
      </c>
      <c r="B7" s="865" t="s">
        <v>132</v>
      </c>
      <c r="C7" s="865" t="s">
        <v>473</v>
      </c>
      <c r="D7" s="865" t="s">
        <v>360</v>
      </c>
      <c r="E7" s="869" t="s">
        <v>460</v>
      </c>
      <c r="F7" s="869" t="s">
        <v>361</v>
      </c>
      <c r="G7" s="869" t="s">
        <v>475</v>
      </c>
    </row>
    <row r="8" spans="1:7" ht="25.5" customHeight="1">
      <c r="A8" s="852"/>
      <c r="B8" s="866"/>
      <c r="C8" s="866"/>
      <c r="D8" s="866"/>
      <c r="E8" s="870"/>
      <c r="F8" s="870"/>
      <c r="G8" s="870"/>
    </row>
    <row r="9" spans="1:7" ht="12.75">
      <c r="A9" s="265" t="s">
        <v>1085</v>
      </c>
      <c r="B9" s="452"/>
      <c r="C9" s="432">
        <v>0</v>
      </c>
      <c r="D9" s="432">
        <v>0</v>
      </c>
      <c r="E9" s="432">
        <v>0</v>
      </c>
      <c r="F9" s="464"/>
      <c r="G9" s="452"/>
    </row>
    <row r="10" spans="1:7" ht="12.75">
      <c r="A10" s="97" t="s">
        <v>491</v>
      </c>
      <c r="B10" s="452"/>
      <c r="C10" s="432">
        <v>0</v>
      </c>
      <c r="D10" s="432">
        <v>0</v>
      </c>
      <c r="E10" s="432">
        <v>0</v>
      </c>
      <c r="F10" s="464"/>
      <c r="G10" s="452"/>
    </row>
    <row r="11" spans="1:7" ht="25.5" customHeight="1">
      <c r="A11" s="97" t="s">
        <v>492</v>
      </c>
      <c r="B11" s="452"/>
      <c r="C11" s="432">
        <v>0</v>
      </c>
      <c r="D11" s="432">
        <v>0</v>
      </c>
      <c r="E11" s="432">
        <v>0</v>
      </c>
      <c r="F11" s="464"/>
      <c r="G11" s="452"/>
    </row>
    <row r="12" spans="1:7" ht="25.5" customHeight="1">
      <c r="A12" s="97" t="s">
        <v>493</v>
      </c>
      <c r="B12" s="452"/>
      <c r="C12" s="432">
        <v>0</v>
      </c>
      <c r="D12" s="432">
        <v>0</v>
      </c>
      <c r="E12" s="432">
        <v>0</v>
      </c>
      <c r="F12" s="464"/>
      <c r="G12" s="452"/>
    </row>
    <row r="13" spans="1:7" ht="12.75">
      <c r="A13" s="97" t="s">
        <v>276</v>
      </c>
      <c r="B13" s="452"/>
      <c r="C13" s="432">
        <v>0</v>
      </c>
      <c r="D13" s="432">
        <v>0</v>
      </c>
      <c r="E13" s="432">
        <v>0</v>
      </c>
      <c r="F13" s="464"/>
      <c r="G13" s="452"/>
    </row>
    <row r="14" spans="1:7" ht="25.5" customHeight="1">
      <c r="A14" s="170" t="s">
        <v>1086</v>
      </c>
      <c r="B14" s="144"/>
      <c r="C14" s="483">
        <v>0</v>
      </c>
      <c r="D14" s="483">
        <v>0</v>
      </c>
      <c r="E14" s="483">
        <v>0</v>
      </c>
      <c r="F14" s="484"/>
      <c r="G14" s="505"/>
    </row>
    <row r="15" spans="1:7" s="301" customFormat="1" ht="12.75" customHeight="1">
      <c r="A15" s="302"/>
      <c r="B15" s="315"/>
      <c r="C15" s="304"/>
      <c r="D15" s="304"/>
      <c r="E15" s="304"/>
      <c r="F15" s="303"/>
      <c r="G15" s="349"/>
    </row>
    <row r="16" spans="1:7" ht="12.75">
      <c r="A16" s="225" t="s">
        <v>1227</v>
      </c>
    </row>
    <row r="17" spans="1:7" ht="12.75">
      <c r="A17" s="95" t="s">
        <v>494</v>
      </c>
    </row>
    <row r="18" spans="1:7" ht="12.75">
      <c r="A18" s="95" t="s">
        <v>495</v>
      </c>
    </row>
    <row r="19" spans="1:7" ht="12.75">
      <c r="A19" s="95" t="s">
        <v>496</v>
      </c>
    </row>
    <row r="20" spans="1:7" ht="12.75"/>
    <row r="21" spans="1:7" ht="12.75">
      <c r="A21" s="100" t="s">
        <v>305</v>
      </c>
    </row>
    <row r="22" spans="1:7" ht="12.75">
      <c r="A22" s="774"/>
      <c r="B22" s="846"/>
      <c r="C22" s="846"/>
      <c r="D22" s="846"/>
      <c r="E22" s="846"/>
      <c r="F22" s="846"/>
      <c r="G22" s="846"/>
    </row>
    <row r="23" spans="1:7" ht="12.75">
      <c r="A23" s="846"/>
      <c r="B23" s="846"/>
      <c r="C23" s="846"/>
      <c r="D23" s="846"/>
      <c r="E23" s="846"/>
      <c r="F23" s="846"/>
      <c r="G23" s="846"/>
    </row>
    <row r="24" spans="1:7" ht="12.75">
      <c r="A24" s="846"/>
      <c r="B24" s="846"/>
      <c r="C24" s="846"/>
      <c r="D24" s="846"/>
      <c r="E24" s="846"/>
      <c r="F24" s="846"/>
      <c r="G24" s="846"/>
    </row>
    <row r="25" spans="1:7" ht="12.75">
      <c r="A25" s="846"/>
      <c r="B25" s="846"/>
      <c r="C25" s="846"/>
      <c r="D25" s="846"/>
      <c r="E25" s="846"/>
      <c r="F25" s="846"/>
      <c r="G25" s="846"/>
    </row>
    <row r="26" spans="1:7" ht="12.75">
      <c r="A26" s="101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2:G2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showGridLines="0" workbookViewId="0">
      <selection sqref="A1:H1"/>
    </sheetView>
  </sheetViews>
  <sheetFormatPr baseColWidth="10" defaultColWidth="11.42578125" defaultRowHeight="13.7" customHeight="1"/>
  <cols>
    <col min="1" max="1" width="30.5703125" style="237" customWidth="1" collapsed="1"/>
    <col min="2" max="4" width="15" style="237" customWidth="1" collapsed="1"/>
    <col min="5" max="5" width="7.42578125" style="237" customWidth="1" collapsed="1"/>
    <col min="6" max="8" width="15" style="237" customWidth="1" collapsed="1"/>
    <col min="9" max="16384" width="11.42578125" style="237" collapsed="1"/>
  </cols>
  <sheetData>
    <row r="1" spans="1:8" ht="18" customHeight="1">
      <c r="A1" s="743" t="s">
        <v>497</v>
      </c>
      <c r="B1" s="743"/>
      <c r="C1" s="743"/>
      <c r="D1" s="743"/>
      <c r="E1" s="743"/>
      <c r="F1" s="743"/>
      <c r="G1" s="743"/>
      <c r="H1" s="743"/>
    </row>
    <row r="2" spans="1:8" ht="12.75">
      <c r="A2" s="200"/>
      <c r="B2" s="200"/>
      <c r="C2" s="200"/>
      <c r="D2" s="200"/>
      <c r="E2" s="200"/>
      <c r="F2" s="200"/>
      <c r="G2" s="200"/>
      <c r="H2" s="200"/>
    </row>
    <row r="3" spans="1:8" ht="15" customHeight="1">
      <c r="A3" s="200" t="s">
        <v>268</v>
      </c>
      <c r="B3" s="200"/>
      <c r="C3" s="200"/>
      <c r="D3" s="915" t="s">
        <v>269</v>
      </c>
      <c r="E3" s="915"/>
      <c r="F3" s="916">
        <f>+'Fiche de renseignement R1'!$V$10</f>
        <v>45657</v>
      </c>
      <c r="G3" s="917"/>
      <c r="H3" s="200"/>
    </row>
    <row r="4" spans="1:8" ht="12.75">
      <c r="A4" s="913" t="str">
        <f>'Fiche de renseignement R1'!$J$4</f>
        <v>MANDINGA RESSOURCES SARL</v>
      </c>
      <c r="B4" s="914"/>
      <c r="C4" s="914"/>
      <c r="D4" s="915" t="s">
        <v>270</v>
      </c>
      <c r="E4" s="915"/>
      <c r="F4" s="913">
        <f>+'Fiche de renseignement R1'!$AH$10</f>
        <v>12</v>
      </c>
      <c r="G4" s="914"/>
      <c r="H4" s="200"/>
    </row>
    <row r="5" spans="1:8" ht="12.75">
      <c r="A5" s="200" t="s">
        <v>271</v>
      </c>
      <c r="B5" s="913" t="str">
        <f>+'Fiche de renseignement R1'!$J$10</f>
        <v>006495693</v>
      </c>
      <c r="C5" s="914"/>
      <c r="D5" s="915"/>
      <c r="E5" s="915"/>
      <c r="F5" s="914"/>
      <c r="G5" s="914"/>
      <c r="H5" s="200"/>
    </row>
    <row r="6" spans="1:8" ht="12.75">
      <c r="A6" s="200"/>
      <c r="B6" s="200"/>
      <c r="C6" s="200"/>
      <c r="D6" s="200"/>
      <c r="E6" s="200"/>
      <c r="F6" s="200"/>
      <c r="G6" s="200"/>
      <c r="H6" s="200"/>
    </row>
    <row r="7" spans="1:8" ht="25.5" customHeight="1">
      <c r="A7" s="790" t="s">
        <v>131</v>
      </c>
      <c r="B7" s="790" t="s">
        <v>473</v>
      </c>
      <c r="C7" s="790" t="s">
        <v>360</v>
      </c>
      <c r="D7" s="790" t="s">
        <v>460</v>
      </c>
      <c r="E7" s="748" t="s">
        <v>361</v>
      </c>
      <c r="F7" s="790" t="s">
        <v>498</v>
      </c>
      <c r="G7" s="790" t="s">
        <v>499</v>
      </c>
      <c r="H7" s="790" t="s">
        <v>500</v>
      </c>
    </row>
    <row r="8" spans="1:8" ht="12.75">
      <c r="A8" s="777"/>
      <c r="B8" s="777"/>
      <c r="C8" s="777"/>
      <c r="D8" s="777"/>
      <c r="E8" s="749"/>
      <c r="F8" s="777"/>
      <c r="G8" s="777"/>
      <c r="H8" s="777"/>
    </row>
    <row r="9" spans="1:8" ht="12.75">
      <c r="A9" s="469" t="s">
        <v>1392</v>
      </c>
      <c r="B9" s="432">
        <v>0</v>
      </c>
      <c r="C9" s="432">
        <v>0</v>
      </c>
      <c r="D9" s="432">
        <v>0</v>
      </c>
      <c r="E9" s="464"/>
      <c r="F9" s="432">
        <v>0</v>
      </c>
      <c r="G9" s="432">
        <v>0</v>
      </c>
      <c r="H9" s="432">
        <v>0</v>
      </c>
    </row>
    <row r="10" spans="1:8" ht="27.6" customHeight="1">
      <c r="A10" s="469" t="s">
        <v>1393</v>
      </c>
      <c r="B10" s="432">
        <v>0</v>
      </c>
      <c r="C10" s="432">
        <v>0</v>
      </c>
      <c r="D10" s="432">
        <v>0</v>
      </c>
      <c r="E10" s="464"/>
      <c r="F10" s="432">
        <v>0</v>
      </c>
      <c r="G10" s="432">
        <v>0</v>
      </c>
      <c r="H10" s="432">
        <v>0</v>
      </c>
    </row>
    <row r="11" spans="1:8" ht="12.75">
      <c r="A11" s="469" t="s">
        <v>1394</v>
      </c>
      <c r="B11" s="432">
        <v>0</v>
      </c>
      <c r="C11" s="432">
        <v>0</v>
      </c>
      <c r="D11" s="432">
        <v>0</v>
      </c>
      <c r="E11" s="464"/>
      <c r="F11" s="432">
        <v>0</v>
      </c>
      <c r="G11" s="432">
        <v>0</v>
      </c>
      <c r="H11" s="432">
        <v>0</v>
      </c>
    </row>
    <row r="12" spans="1:8" ht="27.6" customHeight="1">
      <c r="A12" s="469" t="s">
        <v>1395</v>
      </c>
      <c r="B12" s="432">
        <v>0</v>
      </c>
      <c r="C12" s="432">
        <v>0</v>
      </c>
      <c r="D12" s="432">
        <v>0</v>
      </c>
      <c r="E12" s="464"/>
      <c r="F12" s="432">
        <v>0</v>
      </c>
      <c r="G12" s="432">
        <v>0</v>
      </c>
      <c r="H12" s="432">
        <v>0</v>
      </c>
    </row>
    <row r="13" spans="1:8" ht="12.75">
      <c r="A13" s="469" t="s">
        <v>1396</v>
      </c>
      <c r="B13" s="432">
        <v>0</v>
      </c>
      <c r="C13" s="432">
        <v>0</v>
      </c>
      <c r="D13" s="432">
        <v>0</v>
      </c>
      <c r="E13" s="464"/>
      <c r="F13" s="432">
        <v>0</v>
      </c>
      <c r="G13" s="432">
        <v>0</v>
      </c>
      <c r="H13" s="432">
        <v>0</v>
      </c>
    </row>
    <row r="14" spans="1:8" ht="12.75">
      <c r="A14" s="469" t="s">
        <v>370</v>
      </c>
      <c r="B14" s="432">
        <v>0</v>
      </c>
      <c r="C14" s="432">
        <v>0</v>
      </c>
      <c r="D14" s="432">
        <v>0</v>
      </c>
      <c r="E14" s="464"/>
      <c r="F14" s="432">
        <v>0</v>
      </c>
      <c r="G14" s="432">
        <v>0</v>
      </c>
      <c r="H14" s="432">
        <v>0</v>
      </c>
    </row>
    <row r="15" spans="1:8" ht="27.6" customHeight="1">
      <c r="A15" s="469" t="s">
        <v>1397</v>
      </c>
      <c r="B15" s="432">
        <v>0</v>
      </c>
      <c r="C15" s="432">
        <v>0</v>
      </c>
      <c r="D15" s="432">
        <v>0</v>
      </c>
      <c r="E15" s="464"/>
      <c r="F15" s="432">
        <v>0</v>
      </c>
      <c r="G15" s="432">
        <v>0</v>
      </c>
      <c r="H15" s="432">
        <v>0</v>
      </c>
    </row>
    <row r="16" spans="1:8" ht="12.75">
      <c r="A16" s="469" t="s">
        <v>1398</v>
      </c>
      <c r="B16" s="432">
        <v>0</v>
      </c>
      <c r="C16" s="432">
        <v>0</v>
      </c>
      <c r="D16" s="432">
        <v>0</v>
      </c>
      <c r="E16" s="464"/>
      <c r="F16" s="432">
        <v>0</v>
      </c>
      <c r="G16" s="432">
        <v>0</v>
      </c>
      <c r="H16" s="432">
        <v>0</v>
      </c>
    </row>
    <row r="17" spans="1:8" ht="12.75">
      <c r="A17" s="469" t="s">
        <v>1399</v>
      </c>
      <c r="B17" s="432">
        <v>0</v>
      </c>
      <c r="C17" s="432">
        <v>0</v>
      </c>
      <c r="D17" s="432">
        <v>0</v>
      </c>
      <c r="E17" s="464"/>
      <c r="F17" s="432">
        <v>0</v>
      </c>
      <c r="G17" s="432">
        <v>0</v>
      </c>
      <c r="H17" s="432">
        <v>0</v>
      </c>
    </row>
    <row r="18" spans="1:8" ht="27.6" customHeight="1">
      <c r="A18" s="469" t="s">
        <v>1400</v>
      </c>
      <c r="B18" s="432">
        <v>0</v>
      </c>
      <c r="C18" s="432">
        <v>0</v>
      </c>
      <c r="D18" s="432">
        <v>0</v>
      </c>
      <c r="E18" s="464"/>
      <c r="F18" s="432">
        <v>0</v>
      </c>
      <c r="G18" s="432">
        <v>0</v>
      </c>
      <c r="H18" s="432">
        <v>0</v>
      </c>
    </row>
    <row r="19" spans="1:8" ht="27.6" customHeight="1">
      <c r="A19" s="470" t="s">
        <v>1401</v>
      </c>
      <c r="B19" s="451">
        <v>0</v>
      </c>
      <c r="C19" s="451">
        <v>0</v>
      </c>
      <c r="D19" s="451">
        <v>0</v>
      </c>
      <c r="E19" s="467"/>
      <c r="F19" s="451">
        <v>0</v>
      </c>
      <c r="G19" s="451">
        <v>0</v>
      </c>
      <c r="H19" s="451">
        <v>0</v>
      </c>
    </row>
    <row r="20" spans="1:8" s="293" customFormat="1" ht="12.75">
      <c r="A20" s="506"/>
      <c r="B20" s="501"/>
      <c r="C20" s="501"/>
      <c r="D20" s="501"/>
      <c r="E20" s="500"/>
      <c r="F20" s="501"/>
      <c r="G20" s="501"/>
      <c r="H20" s="501"/>
    </row>
    <row r="21" spans="1:8" ht="12.75">
      <c r="A21" s="469" t="s">
        <v>1402</v>
      </c>
      <c r="B21" s="432">
        <v>0</v>
      </c>
      <c r="C21" s="432">
        <v>0</v>
      </c>
      <c r="D21" s="432">
        <v>0</v>
      </c>
      <c r="E21" s="464"/>
      <c r="F21" s="432">
        <v>0</v>
      </c>
      <c r="G21" s="432">
        <v>0</v>
      </c>
      <c r="H21" s="432">
        <v>0</v>
      </c>
    </row>
    <row r="22" spans="1:8" ht="12.75">
      <c r="A22" s="469" t="s">
        <v>1403</v>
      </c>
      <c r="B22" s="432">
        <v>0</v>
      </c>
      <c r="C22" s="432">
        <v>0</v>
      </c>
      <c r="D22" s="432">
        <v>0</v>
      </c>
      <c r="E22" s="464"/>
      <c r="F22" s="432">
        <v>0</v>
      </c>
      <c r="G22" s="432">
        <v>0</v>
      </c>
      <c r="H22" s="432">
        <v>0</v>
      </c>
    </row>
    <row r="23" spans="1:8" ht="12.75">
      <c r="A23" s="469" t="s">
        <v>370</v>
      </c>
      <c r="B23" s="432">
        <v>0</v>
      </c>
      <c r="C23" s="432">
        <v>0</v>
      </c>
      <c r="D23" s="432">
        <v>0</v>
      </c>
      <c r="E23" s="464"/>
      <c r="F23" s="432">
        <v>0</v>
      </c>
      <c r="G23" s="432">
        <v>0</v>
      </c>
      <c r="H23" s="432">
        <v>0</v>
      </c>
    </row>
    <row r="24" spans="1:8" ht="12.75">
      <c r="A24" s="469" t="s">
        <v>1404</v>
      </c>
      <c r="B24" s="432">
        <v>0</v>
      </c>
      <c r="C24" s="432">
        <v>0</v>
      </c>
      <c r="D24" s="432">
        <v>0</v>
      </c>
      <c r="E24" s="464"/>
      <c r="F24" s="432">
        <v>0</v>
      </c>
      <c r="G24" s="432">
        <v>0</v>
      </c>
      <c r="H24" s="432">
        <v>0</v>
      </c>
    </row>
    <row r="25" spans="1:8" ht="12.75">
      <c r="A25" s="469" t="s">
        <v>1405</v>
      </c>
      <c r="B25" s="432">
        <v>0</v>
      </c>
      <c r="C25" s="432">
        <v>0</v>
      </c>
      <c r="D25" s="432">
        <v>0</v>
      </c>
      <c r="E25" s="464"/>
      <c r="F25" s="432">
        <v>0</v>
      </c>
      <c r="G25" s="432">
        <v>0</v>
      </c>
      <c r="H25" s="432">
        <v>0</v>
      </c>
    </row>
    <row r="26" spans="1:8" ht="27.6" customHeight="1">
      <c r="A26" s="470" t="s">
        <v>1406</v>
      </c>
      <c r="B26" s="451">
        <v>0</v>
      </c>
      <c r="C26" s="451">
        <v>0</v>
      </c>
      <c r="D26" s="451">
        <v>0</v>
      </c>
      <c r="E26" s="467"/>
      <c r="F26" s="451">
        <v>0</v>
      </c>
      <c r="G26" s="451">
        <v>0</v>
      </c>
      <c r="H26" s="451">
        <v>0</v>
      </c>
    </row>
    <row r="27" spans="1:8" s="293" customFormat="1" ht="12.75">
      <c r="A27" s="506"/>
      <c r="B27" s="501"/>
      <c r="C27" s="501"/>
      <c r="D27" s="501"/>
      <c r="E27" s="500"/>
      <c r="F27" s="501"/>
      <c r="G27" s="501"/>
      <c r="H27" s="501"/>
    </row>
    <row r="28" spans="1:8" ht="12.75">
      <c r="A28" s="469" t="s">
        <v>1407</v>
      </c>
      <c r="B28" s="432">
        <v>0</v>
      </c>
      <c r="C28" s="432">
        <v>0</v>
      </c>
      <c r="D28" s="432">
        <v>0</v>
      </c>
      <c r="E28" s="464"/>
      <c r="F28" s="507"/>
      <c r="G28" s="507"/>
      <c r="H28" s="507"/>
    </row>
    <row r="29" spans="1:8" ht="27.6" customHeight="1">
      <c r="A29" s="469" t="s">
        <v>1408</v>
      </c>
      <c r="B29" s="432">
        <v>0</v>
      </c>
      <c r="C29" s="432">
        <v>0</v>
      </c>
      <c r="D29" s="432">
        <v>0</v>
      </c>
      <c r="E29" s="464"/>
      <c r="F29" s="507"/>
      <c r="G29" s="507"/>
      <c r="H29" s="507"/>
    </row>
    <row r="30" spans="1:8" ht="27.6" customHeight="1">
      <c r="A30" s="469" t="s">
        <v>1409</v>
      </c>
      <c r="B30" s="432">
        <v>0</v>
      </c>
      <c r="C30" s="432">
        <v>0</v>
      </c>
      <c r="D30" s="432">
        <v>0</v>
      </c>
      <c r="E30" s="464"/>
      <c r="F30" s="507"/>
      <c r="G30" s="507"/>
      <c r="H30" s="507"/>
    </row>
    <row r="31" spans="1:8" ht="12.75">
      <c r="A31" s="469" t="s">
        <v>1410</v>
      </c>
      <c r="B31" s="432">
        <v>0</v>
      </c>
      <c r="C31" s="432">
        <v>0</v>
      </c>
      <c r="D31" s="432">
        <v>0</v>
      </c>
      <c r="E31" s="464"/>
      <c r="F31" s="507"/>
      <c r="G31" s="507"/>
      <c r="H31" s="507"/>
    </row>
    <row r="32" spans="1:8" ht="12.75">
      <c r="A32" s="469" t="s">
        <v>1411</v>
      </c>
      <c r="B32" s="432">
        <v>0</v>
      </c>
      <c r="C32" s="432">
        <v>0</v>
      </c>
      <c r="D32" s="432">
        <v>0</v>
      </c>
      <c r="E32" s="464"/>
      <c r="F32" s="507"/>
      <c r="G32" s="507"/>
      <c r="H32" s="507"/>
    </row>
    <row r="33" spans="1:8" ht="27.6" customHeight="1">
      <c r="A33" s="469" t="s">
        <v>1412</v>
      </c>
      <c r="B33" s="432">
        <v>0</v>
      </c>
      <c r="C33" s="432">
        <v>0</v>
      </c>
      <c r="D33" s="432">
        <v>0</v>
      </c>
      <c r="E33" s="464"/>
      <c r="F33" s="507"/>
      <c r="G33" s="507"/>
      <c r="H33" s="507"/>
    </row>
    <row r="34" spans="1:8" ht="12.75">
      <c r="A34" s="469" t="s">
        <v>1413</v>
      </c>
      <c r="B34" s="432">
        <v>0</v>
      </c>
      <c r="C34" s="432">
        <v>0</v>
      </c>
      <c r="D34" s="432">
        <v>0</v>
      </c>
      <c r="E34" s="464"/>
      <c r="F34" s="507"/>
      <c r="G34" s="507"/>
      <c r="H34" s="507"/>
    </row>
    <row r="35" spans="1:8" ht="25.5">
      <c r="A35" s="469" t="s">
        <v>1414</v>
      </c>
      <c r="B35" s="432">
        <v>0</v>
      </c>
      <c r="C35" s="432">
        <v>0</v>
      </c>
      <c r="D35" s="432">
        <v>0</v>
      </c>
      <c r="E35" s="464"/>
      <c r="F35" s="507"/>
      <c r="G35" s="507"/>
      <c r="H35" s="507"/>
    </row>
    <row r="36" spans="1:8" ht="12.75">
      <c r="A36" s="469" t="s">
        <v>1415</v>
      </c>
      <c r="B36" s="432">
        <v>0</v>
      </c>
      <c r="C36" s="432">
        <v>0</v>
      </c>
      <c r="D36" s="432">
        <v>0</v>
      </c>
      <c r="E36" s="464"/>
      <c r="F36" s="507"/>
      <c r="G36" s="507"/>
      <c r="H36" s="507"/>
    </row>
    <row r="37" spans="1:8" ht="27.6" customHeight="1">
      <c r="A37" s="469" t="s">
        <v>1416</v>
      </c>
      <c r="B37" s="432">
        <v>0</v>
      </c>
      <c r="C37" s="432">
        <v>0</v>
      </c>
      <c r="D37" s="432">
        <v>0</v>
      </c>
      <c r="E37" s="464"/>
      <c r="F37" s="507"/>
      <c r="G37" s="507"/>
      <c r="H37" s="507"/>
    </row>
    <row r="38" spans="1:8" ht="12.75">
      <c r="A38" s="469" t="s">
        <v>1417</v>
      </c>
      <c r="B38" s="432">
        <v>0</v>
      </c>
      <c r="C38" s="432">
        <v>0</v>
      </c>
      <c r="D38" s="432">
        <v>0</v>
      </c>
      <c r="E38" s="464"/>
      <c r="F38" s="507"/>
      <c r="G38" s="507"/>
      <c r="H38" s="507"/>
    </row>
    <row r="39" spans="1:8" ht="12.75">
      <c r="A39" s="469" t="s">
        <v>1418</v>
      </c>
      <c r="B39" s="432">
        <v>0</v>
      </c>
      <c r="C39" s="432">
        <v>0</v>
      </c>
      <c r="D39" s="432">
        <v>0</v>
      </c>
      <c r="E39" s="464"/>
      <c r="F39" s="507"/>
      <c r="G39" s="507"/>
      <c r="H39" s="507"/>
    </row>
    <row r="40" spans="1:8" ht="12.75">
      <c r="A40" s="469" t="s">
        <v>1419</v>
      </c>
      <c r="B40" s="432">
        <v>0</v>
      </c>
      <c r="C40" s="432">
        <v>0</v>
      </c>
      <c r="D40" s="432">
        <v>0</v>
      </c>
      <c r="E40" s="464"/>
      <c r="F40" s="507"/>
      <c r="G40" s="507"/>
      <c r="H40" s="507"/>
    </row>
    <row r="41" spans="1:8" ht="27.6" customHeight="1">
      <c r="A41" s="470" t="s">
        <v>1420</v>
      </c>
      <c r="B41" s="451">
        <v>0</v>
      </c>
      <c r="C41" s="451">
        <v>0</v>
      </c>
      <c r="D41" s="451">
        <v>0</v>
      </c>
      <c r="E41" s="467"/>
      <c r="F41" s="507"/>
      <c r="G41" s="507"/>
      <c r="H41" s="507"/>
    </row>
    <row r="42" spans="1:8" s="293" customFormat="1" ht="12.75">
      <c r="A42" s="307"/>
      <c r="B42" s="308"/>
      <c r="C42" s="308"/>
      <c r="D42" s="308"/>
      <c r="E42" s="309"/>
      <c r="F42" s="310"/>
      <c r="G42" s="310"/>
      <c r="H42" s="310"/>
    </row>
    <row r="43" spans="1:8" ht="12.75">
      <c r="A43" s="237" t="s">
        <v>305</v>
      </c>
    </row>
    <row r="44" spans="1:8" ht="12.75">
      <c r="A44" s="774"/>
      <c r="B44" s="902"/>
      <c r="C44" s="902"/>
      <c r="D44" s="902"/>
      <c r="E44" s="902"/>
      <c r="F44" s="902"/>
      <c r="G44" s="902"/>
      <c r="H44" s="902"/>
    </row>
    <row r="45" spans="1:8" ht="12.75">
      <c r="A45" s="902"/>
      <c r="B45" s="902"/>
      <c r="C45" s="902"/>
      <c r="D45" s="902"/>
      <c r="E45" s="902"/>
      <c r="F45" s="902"/>
      <c r="G45" s="902"/>
      <c r="H45" s="902"/>
    </row>
    <row r="46" spans="1:8" ht="12.75">
      <c r="A46" s="902"/>
      <c r="B46" s="902"/>
      <c r="C46" s="902"/>
      <c r="D46" s="902"/>
      <c r="E46" s="902"/>
      <c r="F46" s="902"/>
      <c r="G46" s="902"/>
      <c r="H46" s="902"/>
    </row>
  </sheetData>
  <mergeCells count="16">
    <mergeCell ref="A44:H46"/>
    <mergeCell ref="G7:G8"/>
    <mergeCell ref="H7:H8"/>
    <mergeCell ref="F3:G3"/>
    <mergeCell ref="F4:G5"/>
    <mergeCell ref="A7:A8"/>
    <mergeCell ref="B7:B8"/>
    <mergeCell ref="C7:C8"/>
    <mergeCell ref="D7:D8"/>
    <mergeCell ref="E7:E8"/>
    <mergeCell ref="F7:F8"/>
    <mergeCell ref="A1:H1"/>
    <mergeCell ref="A4:C4"/>
    <mergeCell ref="D4:E5"/>
    <mergeCell ref="D3:E3"/>
    <mergeCell ref="B5:C5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showGridLines="0" topLeftCell="A16" workbookViewId="0">
      <selection sqref="A1:F1"/>
    </sheetView>
  </sheetViews>
  <sheetFormatPr baseColWidth="10" defaultColWidth="10.42578125" defaultRowHeight="13.7" customHeight="1"/>
  <cols>
    <col min="1" max="1" width="73.5703125" style="95" customWidth="1" collapsed="1"/>
    <col min="2" max="7" width="11.5703125" style="95" customWidth="1" collapsed="1"/>
    <col min="8" max="16384" width="10.42578125" style="95" collapsed="1"/>
  </cols>
  <sheetData>
    <row r="1" spans="1:8" ht="33.75" customHeight="1">
      <c r="A1" s="930" t="s">
        <v>501</v>
      </c>
      <c r="B1" s="930"/>
      <c r="C1" s="930"/>
      <c r="D1" s="930"/>
      <c r="E1" s="930"/>
      <c r="F1" s="930"/>
      <c r="G1" s="171"/>
      <c r="H1" s="171"/>
    </row>
    <row r="2" spans="1:8" ht="8.1" customHeight="1"/>
    <row r="3" spans="1:8" ht="12.75" customHeight="1">
      <c r="A3" s="848" t="s">
        <v>268</v>
      </c>
      <c r="B3" s="848"/>
      <c r="C3" s="848"/>
      <c r="D3" s="95" t="s">
        <v>269</v>
      </c>
      <c r="E3" s="824">
        <f>+'Fiche de renseignement R1'!$V$10</f>
        <v>45657</v>
      </c>
      <c r="F3" s="931"/>
    </row>
    <row r="4" spans="1:8" ht="15" customHeight="1">
      <c r="A4" s="826" t="str">
        <f>'Fiche de renseignement R1'!$J$4</f>
        <v>MANDINGA RESSOURCES SARL</v>
      </c>
      <c r="B4" s="849"/>
      <c r="C4" s="849"/>
      <c r="D4" s="932" t="s">
        <v>270</v>
      </c>
      <c r="E4" s="933">
        <f>+'Fiche de renseignement R1'!$AH$10</f>
        <v>12</v>
      </c>
      <c r="F4" s="934"/>
    </row>
    <row r="5" spans="1:8" ht="15" customHeight="1">
      <c r="A5" s="95" t="s">
        <v>271</v>
      </c>
      <c r="B5" s="831" t="str">
        <f>+'Fiche de renseignement R1'!$J$10</f>
        <v>006495693</v>
      </c>
      <c r="C5" s="876"/>
      <c r="D5" s="932"/>
      <c r="E5" s="935"/>
      <c r="F5" s="935"/>
    </row>
    <row r="6" spans="1:8" ht="8.1" customHeight="1"/>
    <row r="7" spans="1:8" ht="25.35" customHeight="1">
      <c r="A7" s="172" t="s">
        <v>502</v>
      </c>
      <c r="B7" s="173"/>
      <c r="C7" s="173"/>
      <c r="D7" s="173"/>
      <c r="E7" s="174"/>
      <c r="F7" s="175"/>
      <c r="G7" s="176"/>
    </row>
    <row r="8" spans="1:8" ht="12.75">
      <c r="A8" s="177" t="s">
        <v>131</v>
      </c>
      <c r="B8" s="924" t="s">
        <v>359</v>
      </c>
      <c r="C8" s="925"/>
      <c r="D8" s="924" t="s">
        <v>360</v>
      </c>
      <c r="E8" s="925"/>
      <c r="F8" s="175"/>
      <c r="G8" s="176"/>
    </row>
    <row r="9" spans="1:8" ht="12.75">
      <c r="A9" s="97" t="s">
        <v>503</v>
      </c>
      <c r="B9" s="857">
        <v>0</v>
      </c>
      <c r="C9" s="858"/>
      <c r="D9" s="857">
        <v>0</v>
      </c>
      <c r="E9" s="858"/>
      <c r="F9" s="178"/>
      <c r="G9" s="136"/>
    </row>
    <row r="10" spans="1:8" ht="12.75">
      <c r="A10" s="97" t="s">
        <v>504</v>
      </c>
      <c r="B10" s="857">
        <v>0</v>
      </c>
      <c r="C10" s="858"/>
      <c r="D10" s="857">
        <v>0</v>
      </c>
      <c r="E10" s="858"/>
      <c r="F10" s="178"/>
      <c r="G10" s="136"/>
    </row>
    <row r="11" spans="1:8" ht="12.75">
      <c r="A11" s="97" t="s">
        <v>505</v>
      </c>
      <c r="B11" s="857">
        <v>0</v>
      </c>
      <c r="C11" s="858"/>
      <c r="D11" s="857">
        <v>0</v>
      </c>
      <c r="E11" s="858"/>
      <c r="F11" s="178"/>
      <c r="G11" s="136"/>
    </row>
    <row r="12" spans="1:8" ht="12.75" customHeight="1">
      <c r="A12" s="97" t="s">
        <v>506</v>
      </c>
      <c r="B12" s="857"/>
      <c r="C12" s="920"/>
      <c r="D12" s="857">
        <v>0</v>
      </c>
      <c r="E12" s="858"/>
      <c r="F12" s="178"/>
      <c r="G12" s="136"/>
    </row>
    <row r="13" spans="1:8" ht="12.75" customHeight="1">
      <c r="A13" s="97" t="s">
        <v>507</v>
      </c>
      <c r="B13" s="857">
        <v>0</v>
      </c>
      <c r="C13" s="858"/>
      <c r="D13" s="857">
        <v>0</v>
      </c>
      <c r="E13" s="858"/>
      <c r="F13" s="178"/>
      <c r="G13" s="136"/>
    </row>
    <row r="14" spans="1:8" ht="12.75" customHeight="1">
      <c r="A14" s="97" t="s">
        <v>508</v>
      </c>
      <c r="B14" s="857">
        <v>0</v>
      </c>
      <c r="C14" s="858"/>
      <c r="D14" s="857">
        <v>0</v>
      </c>
      <c r="E14" s="858"/>
      <c r="F14" s="178"/>
      <c r="G14" s="136"/>
    </row>
    <row r="15" spans="1:8" ht="12.75" customHeight="1">
      <c r="A15" s="311"/>
      <c r="B15" s="216"/>
      <c r="C15" s="312"/>
      <c r="D15" s="216"/>
      <c r="E15" s="312"/>
      <c r="F15" s="136"/>
      <c r="G15" s="136"/>
    </row>
    <row r="16" spans="1:8" ht="12.75">
      <c r="A16" s="100" t="s">
        <v>305</v>
      </c>
    </row>
    <row r="17" spans="1:7" ht="12.75">
      <c r="A17" s="744"/>
      <c r="B17" s="929"/>
      <c r="C17" s="929"/>
      <c r="D17" s="929"/>
      <c r="E17" s="929"/>
    </row>
    <row r="18" spans="1:7" ht="12.75">
      <c r="A18" s="929"/>
      <c r="B18" s="929"/>
      <c r="C18" s="929"/>
      <c r="D18" s="929"/>
      <c r="E18" s="929"/>
    </row>
    <row r="19" spans="1:7" ht="12.75">
      <c r="A19" s="101"/>
    </row>
    <row r="21" spans="1:7" ht="33.75" customHeight="1">
      <c r="A21" s="921" t="s">
        <v>509</v>
      </c>
      <c r="B21" s="922"/>
      <c r="C21" s="922"/>
      <c r="D21" s="922"/>
      <c r="E21" s="923"/>
      <c r="F21" s="175"/>
      <c r="G21" s="176"/>
    </row>
    <row r="22" spans="1:7" ht="12.75">
      <c r="A22" s="177" t="s">
        <v>131</v>
      </c>
      <c r="B22" s="924" t="s">
        <v>359</v>
      </c>
      <c r="C22" s="925"/>
      <c r="D22" s="924" t="s">
        <v>360</v>
      </c>
      <c r="E22" s="925"/>
      <c r="F22" s="175"/>
      <c r="G22" s="176"/>
    </row>
    <row r="23" spans="1:7" ht="38.25" customHeight="1">
      <c r="A23" s="99" t="s">
        <v>510</v>
      </c>
      <c r="B23" s="479"/>
      <c r="C23" s="508"/>
      <c r="D23" s="479"/>
      <c r="E23" s="508"/>
      <c r="F23" s="179"/>
      <c r="G23" s="125"/>
    </row>
    <row r="24" spans="1:7" ht="12.75" customHeight="1">
      <c r="A24" s="97" t="s">
        <v>511</v>
      </c>
      <c r="B24" s="857">
        <v>0</v>
      </c>
      <c r="C24" s="858"/>
      <c r="D24" s="857">
        <v>0</v>
      </c>
      <c r="E24" s="858"/>
      <c r="F24" s="178"/>
      <c r="G24" s="136"/>
    </row>
    <row r="25" spans="1:7" ht="12.75">
      <c r="A25" s="97" t="s">
        <v>512</v>
      </c>
      <c r="B25" s="857">
        <v>0</v>
      </c>
      <c r="C25" s="858"/>
      <c r="D25" s="857">
        <v>0</v>
      </c>
      <c r="E25" s="858"/>
      <c r="F25" s="178"/>
      <c r="G25" s="136"/>
    </row>
    <row r="26" spans="1:7" ht="12.75">
      <c r="A26" s="97" t="s">
        <v>513</v>
      </c>
      <c r="B26" s="857">
        <v>0</v>
      </c>
      <c r="C26" s="858"/>
      <c r="D26" s="857">
        <v>0</v>
      </c>
      <c r="E26" s="858"/>
      <c r="F26" s="178"/>
      <c r="G26" s="136"/>
    </row>
    <row r="27" spans="1:7" ht="12.75" customHeight="1">
      <c r="A27" s="97" t="s">
        <v>514</v>
      </c>
      <c r="B27" s="857">
        <v>0</v>
      </c>
      <c r="C27" s="858"/>
      <c r="D27" s="857">
        <v>0</v>
      </c>
      <c r="E27" s="858"/>
      <c r="F27" s="178"/>
      <c r="G27" s="136"/>
    </row>
    <row r="28" spans="1:7" ht="12.75">
      <c r="A28" s="97" t="s">
        <v>515</v>
      </c>
      <c r="B28" s="857"/>
      <c r="C28" s="920"/>
      <c r="D28" s="857"/>
      <c r="E28" s="920"/>
      <c r="F28" s="178"/>
      <c r="G28" s="136"/>
    </row>
    <row r="29" spans="1:7" ht="12.75" customHeight="1">
      <c r="A29" s="99" t="s">
        <v>1226</v>
      </c>
      <c r="B29" s="926">
        <v>0</v>
      </c>
      <c r="C29" s="927"/>
      <c r="D29" s="926">
        <v>0</v>
      </c>
      <c r="E29" s="928"/>
      <c r="F29" s="179"/>
      <c r="G29" s="125"/>
    </row>
    <row r="30" spans="1:7" s="301" customFormat="1" ht="12.75" customHeight="1">
      <c r="A30" s="302"/>
      <c r="B30" s="304"/>
      <c r="C30" s="304"/>
      <c r="D30" s="304"/>
      <c r="E30" s="304"/>
      <c r="F30" s="313"/>
      <c r="G30" s="313"/>
    </row>
    <row r="31" spans="1:7" ht="12.75">
      <c r="A31" s="100" t="s">
        <v>305</v>
      </c>
    </row>
    <row r="32" spans="1:7" ht="12.75">
      <c r="A32" s="774"/>
      <c r="B32" s="846"/>
      <c r="C32" s="846"/>
      <c r="D32" s="846"/>
      <c r="E32" s="846"/>
    </row>
    <row r="35" spans="1:8" ht="15.75" customHeight="1">
      <c r="A35" s="921" t="s">
        <v>516</v>
      </c>
      <c r="B35" s="922"/>
      <c r="C35" s="922"/>
      <c r="D35" s="922"/>
      <c r="E35" s="922"/>
      <c r="F35" s="923"/>
      <c r="G35" s="180"/>
      <c r="H35" s="176"/>
    </row>
    <row r="36" spans="1:8" ht="12.75">
      <c r="A36" s="181" t="s">
        <v>131</v>
      </c>
      <c r="B36" s="182"/>
      <c r="C36" s="924" t="s">
        <v>359</v>
      </c>
      <c r="D36" s="925"/>
      <c r="E36" s="924" t="s">
        <v>360</v>
      </c>
      <c r="F36" s="925"/>
      <c r="G36" s="180"/>
      <c r="H36" s="176"/>
    </row>
    <row r="37" spans="1:8" ht="12.75">
      <c r="A37" s="183"/>
      <c r="B37" s="184"/>
      <c r="C37" s="108" t="s">
        <v>517</v>
      </c>
      <c r="D37" s="169" t="s">
        <v>518</v>
      </c>
      <c r="E37" s="108" t="s">
        <v>517</v>
      </c>
      <c r="F37" s="169" t="s">
        <v>518</v>
      </c>
      <c r="G37" s="179"/>
      <c r="H37" s="125"/>
    </row>
    <row r="38" spans="1:8" ht="12.75">
      <c r="A38" s="918" t="s">
        <v>519</v>
      </c>
      <c r="B38" s="919"/>
      <c r="C38" s="449">
        <v>0</v>
      </c>
      <c r="D38" s="449">
        <v>0</v>
      </c>
      <c r="E38" s="449">
        <v>0</v>
      </c>
      <c r="F38" s="449">
        <v>0</v>
      </c>
      <c r="G38" s="178"/>
      <c r="H38" s="136"/>
    </row>
    <row r="39" spans="1:8" ht="12.75">
      <c r="A39" s="918" t="s">
        <v>520</v>
      </c>
      <c r="B39" s="919"/>
      <c r="C39" s="449">
        <v>0</v>
      </c>
      <c r="D39" s="449">
        <v>0</v>
      </c>
      <c r="E39" s="449">
        <v>0</v>
      </c>
      <c r="F39" s="449">
        <v>0</v>
      </c>
      <c r="G39" s="178"/>
      <c r="H39" s="136"/>
    </row>
    <row r="40" spans="1:8" ht="12.75">
      <c r="A40" s="918" t="s">
        <v>521</v>
      </c>
      <c r="B40" s="919"/>
      <c r="C40" s="449">
        <v>0</v>
      </c>
      <c r="D40" s="449">
        <v>0</v>
      </c>
      <c r="E40" s="449">
        <v>0</v>
      </c>
      <c r="F40" s="449">
        <v>0</v>
      </c>
      <c r="G40" s="178"/>
      <c r="H40" s="136"/>
    </row>
    <row r="41" spans="1:8" ht="12.75">
      <c r="A41" s="100" t="s">
        <v>305</v>
      </c>
    </row>
    <row r="42" spans="1:8" ht="12.75">
      <c r="A42" s="774"/>
      <c r="B42" s="846"/>
      <c r="C42" s="846"/>
      <c r="D42" s="846"/>
      <c r="E42" s="846"/>
      <c r="F42" s="846"/>
    </row>
  </sheetData>
  <mergeCells count="45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7:E18"/>
    <mergeCell ref="B25:C25"/>
    <mergeCell ref="D25:E25"/>
    <mergeCell ref="B26:C26"/>
    <mergeCell ref="D26:E26"/>
    <mergeCell ref="B27:C27"/>
    <mergeCell ref="D27:E27"/>
    <mergeCell ref="A42:F42"/>
    <mergeCell ref="A39:B39"/>
    <mergeCell ref="A40:B40"/>
    <mergeCell ref="B28:C28"/>
    <mergeCell ref="D28:E28"/>
    <mergeCell ref="A35:F35"/>
    <mergeCell ref="C36:D36"/>
    <mergeCell ref="E36:F36"/>
    <mergeCell ref="A38:B38"/>
    <mergeCell ref="A32:E32"/>
    <mergeCell ref="B29:C29"/>
    <mergeCell ref="D29:E29"/>
  </mergeCells>
  <dataValidations xWindow="343" yWindow="38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C23:C28 D23:D30 E23:E28 E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workbookViewId="0">
      <selection sqref="A1:E1"/>
    </sheetView>
  </sheetViews>
  <sheetFormatPr baseColWidth="10" defaultColWidth="10.42578125" defaultRowHeight="13.7" customHeight="1"/>
  <cols>
    <col min="1" max="1" width="33.5703125" style="95" customWidth="1" collapsed="1"/>
    <col min="2" max="2" width="22.42578125" style="95" customWidth="1" collapsed="1"/>
    <col min="3" max="3" width="21.42578125" style="95" customWidth="1" collapsed="1"/>
    <col min="4" max="4" width="14.85546875" style="95" customWidth="1" collapsed="1"/>
    <col min="5" max="5" width="16.85546875" style="95" customWidth="1" collapsed="1"/>
    <col min="6" max="6" width="11.5703125" style="95" customWidth="1" collapsed="1"/>
    <col min="7" max="16384" width="10.42578125" style="95" collapsed="1"/>
  </cols>
  <sheetData>
    <row r="1" spans="1:7" ht="18.75" customHeight="1">
      <c r="A1" s="930" t="s">
        <v>522</v>
      </c>
      <c r="B1" s="930"/>
      <c r="C1" s="930"/>
      <c r="D1" s="930"/>
      <c r="E1" s="930"/>
      <c r="F1" s="171"/>
      <c r="G1" s="171"/>
    </row>
    <row r="3" spans="1:7" ht="12.75">
      <c r="A3" s="848" t="s">
        <v>268</v>
      </c>
      <c r="B3" s="848"/>
      <c r="C3" s="95" t="s">
        <v>890</v>
      </c>
      <c r="D3" s="185"/>
      <c r="E3" s="472">
        <f>+'Fiche de renseignement R1'!$V$10</f>
        <v>45657</v>
      </c>
    </row>
    <row r="4" spans="1:7" ht="12.75">
      <c r="A4" s="826" t="str">
        <f>'Fiche de renseignement R1'!$J$4</f>
        <v>MANDINGA RESSOURCES SARL</v>
      </c>
      <c r="B4" s="849"/>
      <c r="C4" s="932" t="s">
        <v>891</v>
      </c>
      <c r="D4" s="125"/>
      <c r="E4" s="933">
        <f>+'Fiche de renseignement R1'!$AH$10</f>
        <v>12</v>
      </c>
    </row>
    <row r="5" spans="1:7" ht="12.75">
      <c r="A5" s="95" t="s">
        <v>271</v>
      </c>
      <c r="B5" s="473" t="str">
        <f>+'Fiche de renseignement R1'!$J$10</f>
        <v>006495693</v>
      </c>
      <c r="C5" s="932"/>
      <c r="D5" s="125"/>
      <c r="E5" s="935"/>
    </row>
    <row r="8" spans="1:7" ht="15.75" customHeight="1">
      <c r="A8" s="921" t="s">
        <v>523</v>
      </c>
      <c r="B8" s="922"/>
      <c r="C8" s="922"/>
      <c r="D8" s="192"/>
      <c r="F8" s="176"/>
    </row>
    <row r="9" spans="1:7" ht="12.75">
      <c r="A9" s="177" t="s">
        <v>131</v>
      </c>
      <c r="B9" s="186" t="s">
        <v>359</v>
      </c>
      <c r="C9" s="187" t="s">
        <v>360</v>
      </c>
      <c r="D9" s="193"/>
      <c r="E9" s="194"/>
      <c r="F9" s="176"/>
    </row>
    <row r="10" spans="1:7" ht="25.5" customHeight="1">
      <c r="A10" s="97" t="s">
        <v>524</v>
      </c>
      <c r="B10" s="476">
        <v>0</v>
      </c>
      <c r="C10" s="478">
        <v>0</v>
      </c>
      <c r="D10" s="179"/>
      <c r="E10" s="136"/>
      <c r="F10" s="136"/>
    </row>
    <row r="11" spans="1:7" ht="25.5" customHeight="1">
      <c r="A11" s="97" t="s">
        <v>525</v>
      </c>
      <c r="B11" s="476">
        <v>0</v>
      </c>
      <c r="C11" s="478">
        <v>0</v>
      </c>
      <c r="D11" s="179"/>
      <c r="E11" s="194"/>
      <c r="F11" s="136"/>
    </row>
    <row r="12" spans="1:7" ht="12.75">
      <c r="A12" s="99" t="s">
        <v>526</v>
      </c>
      <c r="B12" s="508">
        <v>0</v>
      </c>
      <c r="C12" s="479">
        <v>0</v>
      </c>
      <c r="D12" s="179"/>
      <c r="E12" s="125"/>
      <c r="F12" s="125"/>
    </row>
    <row r="13" spans="1:7" s="301" customFormat="1" ht="12.75">
      <c r="A13" s="302"/>
      <c r="B13" s="304"/>
      <c r="C13" s="304"/>
      <c r="D13" s="313"/>
      <c r="E13" s="313"/>
      <c r="F13" s="313"/>
    </row>
    <row r="14" spans="1:7" ht="12.75">
      <c r="A14" s="100" t="s">
        <v>305</v>
      </c>
    </row>
    <row r="15" spans="1:7" ht="15.75" customHeight="1">
      <c r="A15" s="774"/>
      <c r="B15" s="846"/>
      <c r="C15" s="846"/>
    </row>
    <row r="18" spans="1:7" ht="15.75" customHeight="1">
      <c r="A18" s="921" t="s">
        <v>527</v>
      </c>
      <c r="B18" s="922"/>
      <c r="C18" s="922"/>
      <c r="D18" s="922"/>
      <c r="E18" s="923"/>
      <c r="F18" s="180"/>
      <c r="G18" s="176"/>
    </row>
    <row r="19" spans="1:7" ht="12.75">
      <c r="A19" s="181" t="s">
        <v>131</v>
      </c>
      <c r="B19" s="924" t="s">
        <v>359</v>
      </c>
      <c r="C19" s="925"/>
      <c r="D19" s="186"/>
      <c r="E19" s="186"/>
      <c r="F19" s="180"/>
      <c r="G19" s="176"/>
    </row>
    <row r="20" spans="1:7" ht="25.5" customHeight="1">
      <c r="A20" s="183"/>
      <c r="B20" s="188" t="s">
        <v>528</v>
      </c>
      <c r="C20" s="188" t="s">
        <v>529</v>
      </c>
      <c r="D20" s="188" t="s">
        <v>528</v>
      </c>
      <c r="E20" s="188" t="s">
        <v>529</v>
      </c>
      <c r="F20" s="179"/>
      <c r="G20" s="125"/>
    </row>
    <row r="21" spans="1:7" ht="12.75">
      <c r="A21" s="189" t="s">
        <v>424</v>
      </c>
      <c r="B21" s="432">
        <v>0</v>
      </c>
      <c r="C21" s="432">
        <v>0</v>
      </c>
      <c r="D21" s="432">
        <v>0</v>
      </c>
      <c r="E21" s="432">
        <v>0</v>
      </c>
      <c r="F21" s="178"/>
      <c r="G21" s="136"/>
    </row>
    <row r="22" spans="1:7" ht="12.75">
      <c r="A22" s="189" t="s">
        <v>425</v>
      </c>
      <c r="B22" s="432">
        <v>0</v>
      </c>
      <c r="C22" s="432">
        <v>0</v>
      </c>
      <c r="D22" s="432">
        <v>0</v>
      </c>
      <c r="E22" s="432">
        <v>0</v>
      </c>
      <c r="F22" s="178"/>
      <c r="G22" s="136"/>
    </row>
    <row r="23" spans="1:7" ht="12.75">
      <c r="A23" s="189" t="s">
        <v>276</v>
      </c>
      <c r="B23" s="432">
        <v>0</v>
      </c>
      <c r="C23" s="432">
        <v>0</v>
      </c>
      <c r="D23" s="432">
        <v>0</v>
      </c>
      <c r="E23" s="432">
        <v>0</v>
      </c>
      <c r="F23" s="178"/>
      <c r="G23" s="136"/>
    </row>
    <row r="24" spans="1:7" ht="12.75">
      <c r="A24" s="183" t="s">
        <v>98</v>
      </c>
      <c r="B24" s="509">
        <v>0</v>
      </c>
      <c r="C24" s="509">
        <v>0</v>
      </c>
      <c r="D24" s="509">
        <v>0</v>
      </c>
      <c r="E24" s="509">
        <v>0</v>
      </c>
      <c r="F24" s="136"/>
      <c r="G24" s="136"/>
    </row>
    <row r="25" spans="1:7" s="301" customFormat="1" ht="12.75">
      <c r="A25" s="302"/>
      <c r="B25" s="314"/>
      <c r="C25" s="314"/>
      <c r="D25" s="314"/>
      <c r="E25" s="314"/>
      <c r="F25" s="315"/>
      <c r="G25" s="315"/>
    </row>
    <row r="26" spans="1:7" ht="12.75">
      <c r="A26" s="100" t="s">
        <v>305</v>
      </c>
    </row>
    <row r="27" spans="1:7" ht="16.5" customHeight="1">
      <c r="A27" s="774"/>
      <c r="B27" s="846"/>
      <c r="C27" s="846"/>
      <c r="D27" s="846"/>
      <c r="E27" s="846"/>
    </row>
    <row r="28" spans="1:7" ht="13.5" customHeight="1">
      <c r="A28" s="846"/>
      <c r="B28" s="846"/>
      <c r="C28" s="846"/>
      <c r="D28" s="846"/>
      <c r="E28" s="846"/>
    </row>
  </sheetData>
  <mergeCells count="10">
    <mergeCell ref="A27:E28"/>
    <mergeCell ref="A15:C15"/>
    <mergeCell ref="A18:E18"/>
    <mergeCell ref="B19:C19"/>
    <mergeCell ref="A1:E1"/>
    <mergeCell ref="A3:B3"/>
    <mergeCell ref="A4:B4"/>
    <mergeCell ref="C4:C5"/>
    <mergeCell ref="E4:E5"/>
    <mergeCell ref="A8:C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1.5703125" style="95" customWidth="1" collapsed="1"/>
    <col min="3" max="3" width="14.5703125" style="95" customWidth="1" collapsed="1"/>
    <col min="4" max="4" width="23.85546875" style="95" customWidth="1" collapsed="1"/>
    <col min="5" max="5" width="11.5703125" style="95" customWidth="1" collapsed="1"/>
    <col min="6" max="16384" width="10.42578125" style="95" collapsed="1"/>
  </cols>
  <sheetData>
    <row r="1" spans="1:6" ht="18.75" customHeight="1">
      <c r="A1" s="930" t="s">
        <v>534</v>
      </c>
      <c r="B1" s="930"/>
      <c r="C1" s="930"/>
      <c r="D1" s="930"/>
      <c r="E1" s="171"/>
      <c r="F1" s="171"/>
    </row>
    <row r="3" spans="1:6" ht="12.75" customHeight="1">
      <c r="A3" s="848" t="s">
        <v>268</v>
      </c>
      <c r="B3" s="848"/>
      <c r="C3" s="104" t="s">
        <v>269</v>
      </c>
      <c r="D3" s="472">
        <f>+'Fiche de renseignement R1'!$V$10</f>
        <v>45657</v>
      </c>
    </row>
    <row r="4" spans="1:6" ht="12.75">
      <c r="A4" s="826" t="str">
        <f>'Fiche de renseignement R1'!$J$4</f>
        <v>MANDINGA RESSOURCES SARL</v>
      </c>
      <c r="B4" s="849"/>
      <c r="C4" s="874" t="s">
        <v>270</v>
      </c>
      <c r="D4" s="933">
        <f>+'Fiche de renseignement R1'!$AH$10</f>
        <v>12</v>
      </c>
    </row>
    <row r="5" spans="1:6" ht="12.75">
      <c r="A5" s="95" t="s">
        <v>271</v>
      </c>
      <c r="B5" s="473" t="str">
        <f>+'Fiche de renseignement R1'!$J$10</f>
        <v>006495693</v>
      </c>
      <c r="C5" s="874"/>
      <c r="D5" s="935"/>
    </row>
    <row r="8" spans="1:6" ht="12.75">
      <c r="A8" s="942" t="s">
        <v>131</v>
      </c>
      <c r="B8" s="943"/>
      <c r="C8" s="186" t="s">
        <v>359</v>
      </c>
      <c r="D8" s="124" t="s">
        <v>360</v>
      </c>
      <c r="E8" s="176"/>
    </row>
    <row r="9" spans="1:6" ht="12.75">
      <c r="A9" s="940" t="s">
        <v>530</v>
      </c>
      <c r="B9" s="941"/>
      <c r="C9" s="510"/>
      <c r="D9" s="488"/>
      <c r="E9" s="125"/>
    </row>
    <row r="10" spans="1:6" ht="12.75">
      <c r="A10" s="936" t="s">
        <v>531</v>
      </c>
      <c r="B10" s="937"/>
      <c r="C10" s="476">
        <v>0</v>
      </c>
      <c r="D10" s="432">
        <v>0</v>
      </c>
      <c r="E10" s="136"/>
    </row>
    <row r="11" spans="1:6" ht="12.75">
      <c r="A11" s="938" t="s">
        <v>532</v>
      </c>
      <c r="B11" s="939"/>
      <c r="C11" s="476">
        <v>0</v>
      </c>
      <c r="D11" s="432">
        <v>0</v>
      </c>
      <c r="E11" s="136"/>
    </row>
    <row r="12" spans="1:6" ht="12.75">
      <c r="A12" s="938" t="s">
        <v>532</v>
      </c>
      <c r="B12" s="939"/>
      <c r="C12" s="476">
        <v>0</v>
      </c>
      <c r="D12" s="432">
        <v>0</v>
      </c>
      <c r="E12" s="136"/>
    </row>
    <row r="13" spans="1:6" ht="12.75">
      <c r="A13" s="940" t="s">
        <v>533</v>
      </c>
      <c r="B13" s="941"/>
      <c r="C13" s="508"/>
      <c r="D13" s="480"/>
      <c r="E13" s="125"/>
    </row>
    <row r="14" spans="1:6" ht="12.75">
      <c r="A14" s="936" t="s">
        <v>531</v>
      </c>
      <c r="B14" s="937"/>
      <c r="C14" s="476">
        <v>0</v>
      </c>
      <c r="D14" s="432">
        <v>0</v>
      </c>
      <c r="E14" s="136"/>
    </row>
    <row r="15" spans="1:6" ht="12.75">
      <c r="A15" s="938" t="s">
        <v>532</v>
      </c>
      <c r="B15" s="939"/>
      <c r="C15" s="476">
        <v>0</v>
      </c>
      <c r="D15" s="432">
        <v>0</v>
      </c>
      <c r="E15" s="136"/>
    </row>
    <row r="16" spans="1:6" ht="12.75">
      <c r="A16" s="938" t="s">
        <v>532</v>
      </c>
      <c r="B16" s="939"/>
      <c r="C16" s="476">
        <v>0</v>
      </c>
      <c r="D16" s="432">
        <v>0</v>
      </c>
      <c r="E16" s="136"/>
    </row>
    <row r="17" spans="1:5" ht="12.75">
      <c r="A17" s="316"/>
      <c r="B17" s="316"/>
      <c r="C17" s="216"/>
      <c r="D17" s="216"/>
      <c r="E17" s="136"/>
    </row>
    <row r="18" spans="1:5" ht="12.75">
      <c r="A18" s="100" t="s">
        <v>305</v>
      </c>
    </row>
    <row r="19" spans="1:5" ht="12.75">
      <c r="A19" s="774"/>
      <c r="B19" s="846"/>
      <c r="C19" s="846"/>
      <c r="D19" s="846"/>
    </row>
    <row r="20" spans="1:5" ht="12.75">
      <c r="A20" s="846"/>
      <c r="B20" s="846"/>
      <c r="C20" s="846"/>
      <c r="D20" s="846"/>
    </row>
    <row r="21" spans="1:5" ht="12.75">
      <c r="A21" s="101"/>
    </row>
  </sheetData>
  <mergeCells count="15">
    <mergeCell ref="A19:D20"/>
    <mergeCell ref="A14:B14"/>
    <mergeCell ref="A15:B15"/>
    <mergeCell ref="A16:B16"/>
    <mergeCell ref="A1:D1"/>
    <mergeCell ref="C4:C5"/>
    <mergeCell ref="D4:D5"/>
    <mergeCell ref="A3:B3"/>
    <mergeCell ref="A4:B4"/>
    <mergeCell ref="A13:B13"/>
    <mergeCell ref="A8:B8"/>
    <mergeCell ref="A9:B9"/>
    <mergeCell ref="A10:B10"/>
    <mergeCell ref="A11:B11"/>
    <mergeCell ref="A12:B12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4"/>
  <sheetViews>
    <sheetView showGridLines="0" topLeftCell="A4" workbookViewId="0">
      <selection sqref="A1:G1"/>
    </sheetView>
  </sheetViews>
  <sheetFormatPr baseColWidth="10" defaultColWidth="11.42578125" defaultRowHeight="13.7" customHeight="1"/>
  <cols>
    <col min="1" max="1" width="43.5703125" style="237" customWidth="1" collapsed="1"/>
    <col min="2" max="3" width="13.85546875" style="237" customWidth="1" collapsed="1"/>
    <col min="4" max="4" width="8" style="237" customWidth="1" collapsed="1"/>
    <col min="5" max="8" width="13.85546875" style="237" customWidth="1" collapsed="1"/>
    <col min="9" max="16384" width="11.42578125" style="237" collapsed="1"/>
  </cols>
  <sheetData>
    <row r="1" spans="1:7" ht="18" customHeight="1">
      <c r="A1" s="743" t="s">
        <v>535</v>
      </c>
      <c r="B1" s="743"/>
      <c r="C1" s="743"/>
      <c r="D1" s="743"/>
      <c r="E1" s="743"/>
      <c r="F1" s="743"/>
      <c r="G1" s="743"/>
    </row>
    <row r="2" spans="1:7" ht="12.75">
      <c r="A2" s="200"/>
      <c r="B2" s="200"/>
      <c r="C2" s="200"/>
      <c r="D2" s="200"/>
      <c r="E2" s="200"/>
      <c r="F2" s="200"/>
      <c r="G2" s="200"/>
    </row>
    <row r="3" spans="1:7" ht="12.75">
      <c r="A3" s="200" t="s">
        <v>268</v>
      </c>
      <c r="B3" s="200"/>
      <c r="C3" s="200"/>
      <c r="D3" s="200"/>
      <c r="E3" s="200" t="s">
        <v>269</v>
      </c>
      <c r="F3" s="916">
        <f>+'Fiche de renseignement R1'!$V$10</f>
        <v>45657</v>
      </c>
      <c r="G3" s="914"/>
    </row>
    <row r="4" spans="1:7" ht="12.75">
      <c r="A4" s="913" t="str">
        <f>'Fiche de renseignement R1'!$J$4</f>
        <v>MANDINGA RESSOURCES SARL</v>
      </c>
      <c r="B4" s="914"/>
      <c r="C4" s="914"/>
      <c r="D4" s="200"/>
      <c r="E4" s="200" t="s">
        <v>270</v>
      </c>
      <c r="F4" s="913">
        <f>+'Fiche de renseignement R1'!$AH$10</f>
        <v>12</v>
      </c>
      <c r="G4" s="914"/>
    </row>
    <row r="5" spans="1:7" ht="12.75">
      <c r="A5" s="200" t="s">
        <v>271</v>
      </c>
      <c r="B5" s="913" t="str">
        <f>+'Fiche de renseignement R1'!$J$10</f>
        <v>006495693</v>
      </c>
      <c r="C5" s="914"/>
      <c r="D5" s="200"/>
      <c r="E5" s="200"/>
      <c r="F5" s="200"/>
      <c r="G5" s="200"/>
    </row>
    <row r="6" spans="1:7" ht="12.75">
      <c r="A6" s="200"/>
      <c r="B6" s="200"/>
      <c r="C6" s="200"/>
      <c r="D6" s="200"/>
      <c r="E6" s="200"/>
      <c r="F6" s="200"/>
      <c r="G6" s="200"/>
    </row>
    <row r="7" spans="1:7" ht="25.5" customHeight="1">
      <c r="A7" s="730" t="s">
        <v>131</v>
      </c>
      <c r="B7" s="730" t="s">
        <v>359</v>
      </c>
      <c r="C7" s="730" t="s">
        <v>360</v>
      </c>
      <c r="D7" s="790" t="s">
        <v>361</v>
      </c>
      <c r="E7" s="790" t="s">
        <v>498</v>
      </c>
      <c r="F7" s="790" t="s">
        <v>499</v>
      </c>
      <c r="G7" s="790" t="s">
        <v>500</v>
      </c>
    </row>
    <row r="8" spans="1:7" ht="25.5" customHeight="1">
      <c r="A8" s="732"/>
      <c r="B8" s="732"/>
      <c r="C8" s="732"/>
      <c r="D8" s="777"/>
      <c r="E8" s="777"/>
      <c r="F8" s="777"/>
      <c r="G8" s="777"/>
    </row>
    <row r="9" spans="1:7" ht="12.75">
      <c r="A9" s="279" t="s">
        <v>1087</v>
      </c>
      <c r="B9" s="432">
        <v>25837089</v>
      </c>
      <c r="C9" s="432">
        <v>9282668</v>
      </c>
      <c r="D9" s="464" t="s">
        <v>1421</v>
      </c>
      <c r="E9" s="432">
        <v>25837089</v>
      </c>
      <c r="F9" s="432">
        <v>0</v>
      </c>
      <c r="G9" s="432">
        <v>0</v>
      </c>
    </row>
    <row r="10" spans="1:7" ht="12.75">
      <c r="A10" s="279" t="s">
        <v>536</v>
      </c>
      <c r="B10" s="432">
        <v>0</v>
      </c>
      <c r="C10" s="432">
        <v>0</v>
      </c>
      <c r="D10" s="464"/>
      <c r="E10" s="432">
        <v>0</v>
      </c>
      <c r="F10" s="432">
        <v>0</v>
      </c>
      <c r="G10" s="432">
        <v>0</v>
      </c>
    </row>
    <row r="11" spans="1:7" ht="12.75">
      <c r="A11" s="279" t="s">
        <v>1088</v>
      </c>
      <c r="B11" s="432">
        <v>0</v>
      </c>
      <c r="C11" s="432">
        <v>0</v>
      </c>
      <c r="D11" s="464"/>
      <c r="E11" s="432">
        <v>0</v>
      </c>
      <c r="F11" s="432">
        <v>0</v>
      </c>
      <c r="G11" s="432">
        <v>0</v>
      </c>
    </row>
    <row r="12" spans="1:7" ht="12.75">
      <c r="A12" s="242" t="s">
        <v>537</v>
      </c>
      <c r="B12" s="432">
        <v>0</v>
      </c>
      <c r="C12" s="432">
        <v>430500</v>
      </c>
      <c r="D12" s="464" t="s">
        <v>1365</v>
      </c>
      <c r="E12" s="432">
        <v>0</v>
      </c>
      <c r="F12" s="432">
        <v>0</v>
      </c>
      <c r="G12" s="432">
        <v>0</v>
      </c>
    </row>
    <row r="13" spans="1:7" ht="12.75">
      <c r="A13" s="242" t="s">
        <v>538</v>
      </c>
      <c r="B13" s="432">
        <v>0</v>
      </c>
      <c r="C13" s="432">
        <v>0</v>
      </c>
      <c r="D13" s="464"/>
      <c r="E13" s="432">
        <v>0</v>
      </c>
      <c r="F13" s="432">
        <v>0</v>
      </c>
      <c r="G13" s="432">
        <v>0</v>
      </c>
    </row>
    <row r="14" spans="1:7" s="85" customFormat="1" ht="12.75">
      <c r="A14" s="70" t="s">
        <v>539</v>
      </c>
      <c r="B14" s="434">
        <v>25837089</v>
      </c>
      <c r="C14" s="434">
        <v>9713168</v>
      </c>
      <c r="D14" s="465" t="s">
        <v>1422</v>
      </c>
      <c r="E14" s="434">
        <v>25837089</v>
      </c>
      <c r="F14" s="434">
        <v>0</v>
      </c>
      <c r="G14" s="434">
        <v>0</v>
      </c>
    </row>
    <row r="15" spans="1:7" s="293" customFormat="1" ht="12.75">
      <c r="A15" s="306"/>
      <c r="B15" s="501"/>
      <c r="C15" s="501"/>
      <c r="D15" s="500"/>
      <c r="E15" s="501"/>
      <c r="F15" s="501"/>
      <c r="G15" s="501"/>
    </row>
    <row r="16" spans="1:7" ht="12.75">
      <c r="A16" s="242" t="s">
        <v>540</v>
      </c>
      <c r="B16" s="432">
        <v>0</v>
      </c>
      <c r="C16" s="432">
        <v>0</v>
      </c>
      <c r="D16" s="464"/>
      <c r="E16" s="432">
        <v>0</v>
      </c>
      <c r="F16" s="432">
        <v>0</v>
      </c>
      <c r="G16" s="432">
        <v>0</v>
      </c>
    </row>
    <row r="17" spans="1:7" ht="12.75">
      <c r="A17" s="242" t="s">
        <v>541</v>
      </c>
      <c r="B17" s="432">
        <v>0</v>
      </c>
      <c r="C17" s="432">
        <v>0</v>
      </c>
      <c r="D17" s="464"/>
      <c r="E17" s="432">
        <v>0</v>
      </c>
      <c r="F17" s="432">
        <v>0</v>
      </c>
      <c r="G17" s="432">
        <v>0</v>
      </c>
    </row>
    <row r="18" spans="1:7" ht="12.75">
      <c r="A18" s="242" t="s">
        <v>542</v>
      </c>
      <c r="B18" s="432">
        <v>0</v>
      </c>
      <c r="C18" s="432">
        <v>0</v>
      </c>
      <c r="D18" s="464"/>
      <c r="E18" s="432">
        <v>0</v>
      </c>
      <c r="F18" s="432">
        <v>0</v>
      </c>
      <c r="G18" s="432">
        <v>0</v>
      </c>
    </row>
    <row r="19" spans="1:7" s="85" customFormat="1" ht="12.75">
      <c r="A19" s="70" t="s">
        <v>543</v>
      </c>
      <c r="B19" s="434">
        <v>0</v>
      </c>
      <c r="C19" s="434">
        <v>0</v>
      </c>
      <c r="D19" s="465"/>
      <c r="E19" s="434">
        <v>0</v>
      </c>
      <c r="F19" s="434">
        <v>0</v>
      </c>
      <c r="G19" s="434">
        <v>0</v>
      </c>
    </row>
    <row r="20" spans="1:7" s="353" customFormat="1" ht="12.75">
      <c r="A20" s="350"/>
      <c r="B20" s="351"/>
      <c r="C20" s="351"/>
      <c r="D20" s="352"/>
      <c r="E20" s="351"/>
      <c r="F20" s="351"/>
      <c r="G20" s="351"/>
    </row>
    <row r="21" spans="1:7" ht="12.75">
      <c r="A21" s="237" t="s">
        <v>305</v>
      </c>
    </row>
    <row r="22" spans="1:7" ht="12.75">
      <c r="A22" s="774"/>
      <c r="B22" s="902"/>
      <c r="C22" s="902"/>
      <c r="D22" s="902"/>
      <c r="E22" s="902"/>
      <c r="F22" s="902"/>
      <c r="G22" s="902"/>
    </row>
    <row r="23" spans="1:7" ht="12.75">
      <c r="A23" s="902"/>
      <c r="B23" s="902"/>
      <c r="C23" s="902"/>
      <c r="D23" s="902"/>
      <c r="E23" s="902"/>
      <c r="F23" s="902"/>
      <c r="G23" s="902"/>
    </row>
    <row r="24" spans="1:7" ht="12.75">
      <c r="A24" s="902"/>
      <c r="B24" s="902"/>
      <c r="C24" s="902"/>
      <c r="D24" s="902"/>
      <c r="E24" s="902"/>
      <c r="F24" s="902"/>
      <c r="G24" s="902"/>
    </row>
  </sheetData>
  <mergeCells count="13">
    <mergeCell ref="G7:G8"/>
    <mergeCell ref="A22:G24"/>
    <mergeCell ref="A1:G1"/>
    <mergeCell ref="F3:G3"/>
    <mergeCell ref="F4:G4"/>
    <mergeCell ref="A4:C4"/>
    <mergeCell ref="B5:C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29"/>
  <sheetViews>
    <sheetView showGridLines="0" workbookViewId="0">
      <selection sqref="A1:H1"/>
    </sheetView>
  </sheetViews>
  <sheetFormatPr baseColWidth="10" defaultColWidth="11.42578125" defaultRowHeight="13.7" customHeight="1"/>
  <cols>
    <col min="1" max="1" width="31.140625" style="237" customWidth="1" collapsed="1"/>
    <col min="2" max="4" width="13.85546875" style="237" customWidth="1" collapsed="1"/>
    <col min="5" max="5" width="8" style="237" customWidth="1" collapsed="1"/>
    <col min="6" max="8" width="13.85546875" style="237" customWidth="1" collapsed="1"/>
    <col min="9" max="16384" width="11.42578125" style="237" collapsed="1"/>
  </cols>
  <sheetData>
    <row r="1" spans="1:9" ht="18" customHeight="1">
      <c r="A1" s="743" t="s">
        <v>544</v>
      </c>
      <c r="B1" s="743"/>
      <c r="C1" s="743"/>
      <c r="D1" s="743"/>
      <c r="E1" s="743"/>
      <c r="F1" s="743"/>
      <c r="G1" s="743"/>
      <c r="H1" s="743"/>
      <c r="I1" s="200"/>
    </row>
    <row r="2" spans="1:9" ht="12.75">
      <c r="A2" s="200"/>
      <c r="B2" s="200"/>
      <c r="C2" s="200"/>
      <c r="D2" s="200"/>
      <c r="E2" s="200"/>
      <c r="F2" s="200"/>
      <c r="G2" s="200"/>
      <c r="H2" s="200"/>
      <c r="I2" s="200"/>
    </row>
    <row r="3" spans="1:9" ht="12.75">
      <c r="A3" s="200" t="s">
        <v>268</v>
      </c>
      <c r="B3" s="200"/>
      <c r="C3" s="200"/>
      <c r="D3" s="200"/>
      <c r="E3" s="200"/>
      <c r="F3" s="200" t="s">
        <v>269</v>
      </c>
      <c r="G3" s="916">
        <f>+'Fiche de renseignement R1'!$V$10</f>
        <v>45657</v>
      </c>
      <c r="H3" s="914"/>
      <c r="I3" s="200"/>
    </row>
    <row r="4" spans="1:9" ht="12.75">
      <c r="A4" s="913" t="str">
        <f>'Fiche de renseignement R1'!$J$4</f>
        <v>MANDINGA RESSOURCES SARL</v>
      </c>
      <c r="B4" s="914"/>
      <c r="C4" s="914"/>
      <c r="D4" s="258"/>
      <c r="E4" s="200"/>
      <c r="F4" s="915" t="s">
        <v>270</v>
      </c>
      <c r="G4" s="913">
        <f>+'Fiche de renseignement R1'!$AH$10</f>
        <v>12</v>
      </c>
      <c r="H4" s="914"/>
      <c r="I4" s="200"/>
    </row>
    <row r="5" spans="1:9" ht="12.75">
      <c r="A5" s="200" t="s">
        <v>271</v>
      </c>
      <c r="B5" s="913" t="str">
        <f>+'Fiche de renseignement R1'!$J$10</f>
        <v>006495693</v>
      </c>
      <c r="C5" s="914"/>
      <c r="D5" s="258"/>
      <c r="E5" s="200"/>
      <c r="F5" s="915"/>
      <c r="G5" s="914"/>
      <c r="H5" s="914"/>
      <c r="I5" s="200"/>
    </row>
    <row r="6" spans="1:9" ht="12.75">
      <c r="A6" s="200"/>
      <c r="B6" s="200"/>
      <c r="C6" s="200"/>
      <c r="D6" s="200"/>
      <c r="E6" s="200"/>
      <c r="F6" s="200"/>
      <c r="G6" s="200"/>
      <c r="H6" s="200"/>
      <c r="I6" s="200"/>
    </row>
    <row r="7" spans="1:9" ht="12.75">
      <c r="A7" s="790" t="s">
        <v>131</v>
      </c>
      <c r="B7" s="790" t="s">
        <v>359</v>
      </c>
      <c r="C7" s="790" t="s">
        <v>360</v>
      </c>
      <c r="D7" s="790" t="s">
        <v>906</v>
      </c>
      <c r="E7" s="790" t="s">
        <v>361</v>
      </c>
      <c r="F7" s="790" t="s">
        <v>498</v>
      </c>
      <c r="G7" s="748" t="s">
        <v>499</v>
      </c>
      <c r="H7" s="748" t="s">
        <v>500</v>
      </c>
    </row>
    <row r="8" spans="1:9" ht="25.5" customHeight="1">
      <c r="A8" s="777"/>
      <c r="B8" s="777"/>
      <c r="C8" s="777"/>
      <c r="D8" s="777"/>
      <c r="E8" s="777"/>
      <c r="F8" s="777"/>
      <c r="G8" s="749"/>
      <c r="H8" s="749"/>
    </row>
    <row r="9" spans="1:9" s="294" customFormat="1" ht="12.75">
      <c r="A9" s="259" t="s">
        <v>908</v>
      </c>
      <c r="B9" s="511">
        <v>0</v>
      </c>
      <c r="C9" s="511">
        <v>0</v>
      </c>
      <c r="D9" s="511">
        <v>0</v>
      </c>
      <c r="E9" s="512"/>
      <c r="F9" s="511">
        <v>0</v>
      </c>
      <c r="G9" s="511">
        <v>0</v>
      </c>
      <c r="H9" s="511">
        <v>0</v>
      </c>
    </row>
    <row r="10" spans="1:9" s="294" customFormat="1" ht="12.75">
      <c r="A10" s="259" t="s">
        <v>1089</v>
      </c>
      <c r="B10" s="511">
        <v>0</v>
      </c>
      <c r="C10" s="511">
        <v>0</v>
      </c>
      <c r="D10" s="511">
        <v>0</v>
      </c>
      <c r="E10" s="512"/>
      <c r="F10" s="511">
        <v>0</v>
      </c>
      <c r="G10" s="511">
        <v>0</v>
      </c>
      <c r="H10" s="511">
        <v>0</v>
      </c>
    </row>
    <row r="11" spans="1:9" s="294" customFormat="1" ht="12.75">
      <c r="A11" s="259" t="s">
        <v>545</v>
      </c>
      <c r="B11" s="511">
        <v>0</v>
      </c>
      <c r="C11" s="511">
        <v>0</v>
      </c>
      <c r="D11" s="511">
        <v>0</v>
      </c>
      <c r="E11" s="512"/>
      <c r="F11" s="511">
        <v>0</v>
      </c>
      <c r="G11" s="511">
        <v>0</v>
      </c>
      <c r="H11" s="511">
        <v>0</v>
      </c>
    </row>
    <row r="12" spans="1:9" s="294" customFormat="1" ht="12.75">
      <c r="A12" s="259" t="s">
        <v>546</v>
      </c>
      <c r="B12" s="511">
        <v>0</v>
      </c>
      <c r="C12" s="511">
        <v>0</v>
      </c>
      <c r="D12" s="511">
        <v>0</v>
      </c>
      <c r="E12" s="512"/>
      <c r="F12" s="511">
        <v>0</v>
      </c>
      <c r="G12" s="511">
        <v>0</v>
      </c>
      <c r="H12" s="511">
        <v>0</v>
      </c>
    </row>
    <row r="13" spans="1:9" s="294" customFormat="1" ht="12.75">
      <c r="A13" s="259" t="s">
        <v>547</v>
      </c>
      <c r="B13" s="511">
        <v>0</v>
      </c>
      <c r="C13" s="511">
        <v>0</v>
      </c>
      <c r="D13" s="511">
        <v>0</v>
      </c>
      <c r="E13" s="512"/>
      <c r="F13" s="511">
        <v>0</v>
      </c>
      <c r="G13" s="511">
        <v>0</v>
      </c>
      <c r="H13" s="511">
        <v>0</v>
      </c>
    </row>
    <row r="14" spans="1:9" s="294" customFormat="1" ht="12.75">
      <c r="A14" s="259" t="s">
        <v>548</v>
      </c>
      <c r="B14" s="511">
        <v>0</v>
      </c>
      <c r="C14" s="511">
        <v>0</v>
      </c>
      <c r="D14" s="511">
        <v>0</v>
      </c>
      <c r="E14" s="512"/>
      <c r="F14" s="511">
        <v>0</v>
      </c>
      <c r="G14" s="511">
        <v>0</v>
      </c>
      <c r="H14" s="511">
        <v>0</v>
      </c>
    </row>
    <row r="15" spans="1:9" s="85" customFormat="1" ht="12.75">
      <c r="A15" s="321" t="s">
        <v>1078</v>
      </c>
      <c r="B15" s="513"/>
      <c r="C15" s="513"/>
      <c r="D15" s="513"/>
      <c r="E15" s="514"/>
      <c r="F15" s="513"/>
      <c r="G15" s="513"/>
      <c r="H15" s="513"/>
    </row>
    <row r="16" spans="1:9" s="293" customFormat="1" ht="12.75">
      <c r="A16" s="317"/>
      <c r="B16" s="515">
        <v>0</v>
      </c>
      <c r="C16" s="515">
        <v>0</v>
      </c>
      <c r="D16" s="515">
        <v>0</v>
      </c>
      <c r="E16" s="516"/>
      <c r="F16" s="515">
        <v>0</v>
      </c>
      <c r="G16" s="515">
        <v>0</v>
      </c>
      <c r="H16" s="515">
        <v>0</v>
      </c>
    </row>
    <row r="17" spans="1:8" ht="12.75">
      <c r="A17" s="246" t="s">
        <v>549</v>
      </c>
      <c r="B17" s="511">
        <v>0</v>
      </c>
      <c r="C17" s="511">
        <v>0</v>
      </c>
      <c r="D17" s="511">
        <v>0</v>
      </c>
      <c r="E17" s="512"/>
      <c r="F17" s="511">
        <v>0</v>
      </c>
      <c r="G17" s="511">
        <v>0</v>
      </c>
      <c r="H17" s="511">
        <v>0</v>
      </c>
    </row>
    <row r="18" spans="1:8" ht="12.75">
      <c r="A18" s="246" t="s">
        <v>550</v>
      </c>
      <c r="B18" s="511">
        <v>0</v>
      </c>
      <c r="C18" s="511">
        <v>0</v>
      </c>
      <c r="D18" s="511">
        <v>0</v>
      </c>
      <c r="E18" s="512"/>
      <c r="F18" s="511">
        <v>0</v>
      </c>
      <c r="G18" s="511">
        <v>0</v>
      </c>
      <c r="H18" s="511">
        <v>0</v>
      </c>
    </row>
    <row r="19" spans="1:8" ht="12.75">
      <c r="A19" s="246" t="s">
        <v>551</v>
      </c>
      <c r="B19" s="511">
        <v>0</v>
      </c>
      <c r="C19" s="511">
        <v>0</v>
      </c>
      <c r="D19" s="511">
        <v>0</v>
      </c>
      <c r="E19" s="512"/>
      <c r="F19" s="511">
        <v>0</v>
      </c>
      <c r="G19" s="511">
        <v>0</v>
      </c>
      <c r="H19" s="511">
        <v>0</v>
      </c>
    </row>
    <row r="20" spans="1:8" ht="12.75">
      <c r="A20" s="246" t="s">
        <v>552</v>
      </c>
      <c r="B20" s="511">
        <v>240224</v>
      </c>
      <c r="C20" s="511">
        <v>462087</v>
      </c>
      <c r="D20" s="511">
        <v>-221863</v>
      </c>
      <c r="E20" s="512" t="s">
        <v>1423</v>
      </c>
      <c r="F20" s="511">
        <v>240224</v>
      </c>
      <c r="G20" s="511">
        <v>0</v>
      </c>
      <c r="H20" s="511">
        <v>0</v>
      </c>
    </row>
    <row r="21" spans="1:8" ht="12.75">
      <c r="A21" s="246" t="s">
        <v>553</v>
      </c>
      <c r="B21" s="511">
        <v>0</v>
      </c>
      <c r="C21" s="511">
        <v>0</v>
      </c>
      <c r="D21" s="511">
        <v>0</v>
      </c>
      <c r="E21" s="512"/>
      <c r="F21" s="511">
        <v>0</v>
      </c>
      <c r="G21" s="511">
        <v>0</v>
      </c>
      <c r="H21" s="511">
        <v>0</v>
      </c>
    </row>
    <row r="22" spans="1:8" s="85" customFormat="1" ht="12.75">
      <c r="A22" s="321" t="s">
        <v>1240</v>
      </c>
      <c r="B22" s="513">
        <v>240224</v>
      </c>
      <c r="C22" s="513">
        <v>462087</v>
      </c>
      <c r="D22" s="513">
        <v>-221863</v>
      </c>
      <c r="E22" s="514" t="s">
        <v>1423</v>
      </c>
      <c r="F22" s="513">
        <v>240224</v>
      </c>
      <c r="G22" s="513">
        <v>0</v>
      </c>
      <c r="H22" s="513">
        <v>0</v>
      </c>
    </row>
    <row r="23" spans="1:8" s="293" customFormat="1" ht="12.75">
      <c r="A23" s="317"/>
      <c r="B23" s="515"/>
      <c r="C23" s="515"/>
      <c r="D23" s="515"/>
      <c r="E23" s="516"/>
      <c r="F23" s="515"/>
      <c r="G23" s="515"/>
      <c r="H23" s="515"/>
    </row>
    <row r="24" spans="1:8" ht="12.75">
      <c r="A24" s="247" t="s">
        <v>1239</v>
      </c>
      <c r="B24" s="517">
        <v>240224</v>
      </c>
      <c r="C24" s="517">
        <v>462087</v>
      </c>
      <c r="D24" s="517">
        <v>-221863</v>
      </c>
      <c r="E24" s="518" t="s">
        <v>1423</v>
      </c>
      <c r="F24" s="517">
        <v>240224</v>
      </c>
      <c r="G24" s="517">
        <v>0</v>
      </c>
      <c r="H24" s="517">
        <v>0</v>
      </c>
    </row>
    <row r="25" spans="1:8" s="293" customFormat="1" ht="12.75">
      <c r="A25" s="318"/>
      <c r="B25" s="319"/>
      <c r="C25" s="319"/>
      <c r="D25" s="319"/>
      <c r="E25" s="320"/>
      <c r="F25" s="319"/>
      <c r="G25" s="319"/>
      <c r="H25" s="319"/>
    </row>
    <row r="26" spans="1:8" ht="12.75">
      <c r="A26" s="85" t="s">
        <v>305</v>
      </c>
    </row>
    <row r="27" spans="1:8" ht="12.75">
      <c r="A27" s="774"/>
      <c r="B27" s="902"/>
      <c r="C27" s="902"/>
      <c r="D27" s="902"/>
      <c r="E27" s="902"/>
      <c r="F27" s="902"/>
      <c r="G27" s="902"/>
      <c r="H27" s="902"/>
    </row>
    <row r="28" spans="1:8" ht="12.75">
      <c r="A28" s="902"/>
      <c r="B28" s="902"/>
      <c r="C28" s="902"/>
      <c r="D28" s="902"/>
      <c r="E28" s="902"/>
      <c r="F28" s="902"/>
      <c r="G28" s="902"/>
      <c r="H28" s="902"/>
    </row>
    <row r="29" spans="1:8" ht="12.75">
      <c r="A29" s="902"/>
      <c r="B29" s="902"/>
      <c r="C29" s="902"/>
      <c r="D29" s="902"/>
      <c r="E29" s="902"/>
      <c r="F29" s="902"/>
      <c r="G29" s="902"/>
      <c r="H29" s="902"/>
    </row>
  </sheetData>
  <mergeCells count="15">
    <mergeCell ref="A1:H1"/>
    <mergeCell ref="A27:H29"/>
    <mergeCell ref="H7:H8"/>
    <mergeCell ref="G3:H3"/>
    <mergeCell ref="F4:F5"/>
    <mergeCell ref="G4:H5"/>
    <mergeCell ref="B5:C5"/>
    <mergeCell ref="A4:C4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39"/>
  <sheetViews>
    <sheetView showGridLines="0" workbookViewId="0">
      <selection sqref="A1:H1"/>
    </sheetView>
  </sheetViews>
  <sheetFormatPr baseColWidth="10" defaultColWidth="11.42578125" defaultRowHeight="13.7" customHeight="1"/>
  <cols>
    <col min="1" max="1" width="36.140625" style="237" customWidth="1" collapsed="1"/>
    <col min="2" max="4" width="13.85546875" style="237" customWidth="1" collapsed="1"/>
    <col min="5" max="5" width="8" style="237" customWidth="1" collapsed="1"/>
    <col min="6" max="8" width="13.85546875" style="237" customWidth="1" collapsed="1"/>
    <col min="9" max="16384" width="11.42578125" style="237" collapsed="1"/>
  </cols>
  <sheetData>
    <row r="1" spans="1:9" ht="12.75">
      <c r="A1" s="944" t="s">
        <v>554</v>
      </c>
      <c r="B1" s="944"/>
      <c r="C1" s="944"/>
      <c r="D1" s="944"/>
      <c r="E1" s="944"/>
      <c r="F1" s="944"/>
      <c r="G1" s="944"/>
      <c r="H1" s="944"/>
    </row>
    <row r="2" spans="1:9" ht="12.75">
      <c r="A2" s="200"/>
      <c r="B2" s="200"/>
      <c r="C2" s="200"/>
      <c r="D2" s="200"/>
      <c r="E2" s="200"/>
      <c r="F2" s="200"/>
      <c r="G2" s="200"/>
      <c r="H2" s="200"/>
      <c r="I2" s="200"/>
    </row>
    <row r="3" spans="1:9" ht="12.75">
      <c r="A3" s="200" t="s">
        <v>268</v>
      </c>
      <c r="B3" s="200"/>
      <c r="C3" s="200"/>
      <c r="D3" s="200"/>
      <c r="E3" s="200"/>
      <c r="F3" s="200" t="s">
        <v>269</v>
      </c>
      <c r="G3" s="916">
        <f>+'Fiche de renseignement R1'!$V$10</f>
        <v>45657</v>
      </c>
      <c r="H3" s="914"/>
      <c r="I3" s="200"/>
    </row>
    <row r="4" spans="1:9" ht="12.75">
      <c r="A4" s="913" t="str">
        <f>'Fiche de renseignement R1'!$J$4</f>
        <v>MANDINGA RESSOURCES SARL</v>
      </c>
      <c r="B4" s="914"/>
      <c r="C4" s="914"/>
      <c r="D4" s="200"/>
      <c r="E4" s="200"/>
      <c r="F4" s="915" t="s">
        <v>270</v>
      </c>
      <c r="G4" s="913">
        <f>+'Fiche de renseignement R1'!$AH$10</f>
        <v>12</v>
      </c>
      <c r="H4" s="914"/>
      <c r="I4" s="200"/>
    </row>
    <row r="5" spans="1:9" ht="12.75">
      <c r="A5" s="200" t="s">
        <v>271</v>
      </c>
      <c r="B5" s="913" t="str">
        <f>+'Fiche de renseignement R1'!$J$10</f>
        <v>006495693</v>
      </c>
      <c r="C5" s="914"/>
      <c r="D5" s="200"/>
      <c r="E5" s="200"/>
      <c r="F5" s="915"/>
      <c r="G5" s="914"/>
      <c r="H5" s="914"/>
      <c r="I5" s="200"/>
    </row>
    <row r="6" spans="1:9" ht="12.75">
      <c r="A6" s="200"/>
      <c r="B6" s="200"/>
      <c r="C6" s="200"/>
      <c r="D6" s="200"/>
      <c r="E6" s="200"/>
      <c r="F6" s="200"/>
      <c r="G6" s="200"/>
      <c r="H6" s="200"/>
      <c r="I6" s="200"/>
    </row>
    <row r="7" spans="1:9" ht="25.35" customHeight="1">
      <c r="A7" s="790" t="s">
        <v>131</v>
      </c>
      <c r="B7" s="790" t="s">
        <v>359</v>
      </c>
      <c r="C7" s="790" t="s">
        <v>360</v>
      </c>
      <c r="D7" s="790" t="s">
        <v>471</v>
      </c>
      <c r="E7" s="790" t="s">
        <v>361</v>
      </c>
      <c r="F7" s="790" t="s">
        <v>498</v>
      </c>
      <c r="G7" s="790" t="s">
        <v>499</v>
      </c>
      <c r="H7" s="790" t="s">
        <v>500</v>
      </c>
    </row>
    <row r="8" spans="1:9" ht="25.35" customHeight="1">
      <c r="A8" s="777"/>
      <c r="B8" s="777"/>
      <c r="C8" s="777"/>
      <c r="D8" s="777"/>
      <c r="E8" s="777"/>
      <c r="F8" s="777"/>
      <c r="G8" s="777"/>
      <c r="H8" s="777"/>
    </row>
    <row r="9" spans="1:9" s="293" customFormat="1" ht="12.75" customHeight="1">
      <c r="A9" s="519" t="s">
        <v>292</v>
      </c>
      <c r="B9" s="519">
        <v>0</v>
      </c>
      <c r="C9" s="519">
        <v>0</v>
      </c>
      <c r="D9" s="519">
        <v>0</v>
      </c>
      <c r="E9" s="519"/>
      <c r="F9" s="519">
        <v>0</v>
      </c>
      <c r="G9" s="519">
        <v>0</v>
      </c>
      <c r="H9" s="355"/>
    </row>
    <row r="10" spans="1:9" ht="12.75">
      <c r="A10" s="469"/>
      <c r="B10" s="432"/>
      <c r="C10" s="432"/>
      <c r="D10" s="432"/>
      <c r="E10" s="464"/>
      <c r="F10" s="432"/>
      <c r="G10" s="432"/>
      <c r="H10" s="432">
        <v>0</v>
      </c>
    </row>
    <row r="11" spans="1:9" ht="12.75">
      <c r="A11" s="242" t="s">
        <v>555</v>
      </c>
      <c r="B11" s="432">
        <v>0</v>
      </c>
      <c r="C11" s="432">
        <v>0</v>
      </c>
      <c r="D11" s="432">
        <v>0</v>
      </c>
      <c r="E11" s="464"/>
      <c r="F11" s="432">
        <v>0</v>
      </c>
      <c r="G11" s="432">
        <v>0</v>
      </c>
      <c r="H11" s="432">
        <v>0</v>
      </c>
    </row>
    <row r="12" spans="1:9" ht="12.75">
      <c r="A12" s="242" t="s">
        <v>556</v>
      </c>
      <c r="B12" s="432">
        <v>1362175844</v>
      </c>
      <c r="C12" s="432">
        <v>937969761</v>
      </c>
      <c r="D12" s="432">
        <v>424206083</v>
      </c>
      <c r="E12" s="464" t="s">
        <v>1424</v>
      </c>
      <c r="F12" s="432">
        <v>1362175844</v>
      </c>
      <c r="G12" s="432">
        <v>0</v>
      </c>
      <c r="H12" s="432">
        <v>0</v>
      </c>
    </row>
    <row r="13" spans="1:9" ht="12.75">
      <c r="A13" s="242" t="s">
        <v>557</v>
      </c>
      <c r="B13" s="432">
        <v>0</v>
      </c>
      <c r="C13" s="432">
        <v>0</v>
      </c>
      <c r="D13" s="432">
        <v>0</v>
      </c>
      <c r="E13" s="464"/>
      <c r="F13" s="432">
        <v>0</v>
      </c>
      <c r="G13" s="432">
        <v>0</v>
      </c>
      <c r="H13" s="432">
        <v>0</v>
      </c>
    </row>
    <row r="14" spans="1:9" ht="12.75">
      <c r="A14" s="242" t="s">
        <v>558</v>
      </c>
      <c r="B14" s="432">
        <v>0</v>
      </c>
      <c r="C14" s="432">
        <v>0</v>
      </c>
      <c r="D14" s="432">
        <v>0</v>
      </c>
      <c r="E14" s="464"/>
      <c r="F14" s="432">
        <v>0</v>
      </c>
      <c r="G14" s="432">
        <v>0</v>
      </c>
      <c r="H14" s="432">
        <v>0</v>
      </c>
    </row>
    <row r="15" spans="1:9" ht="12.75">
      <c r="A15" s="242" t="s">
        <v>559</v>
      </c>
      <c r="B15" s="432">
        <v>0</v>
      </c>
      <c r="C15" s="432">
        <v>0</v>
      </c>
      <c r="D15" s="432">
        <v>0</v>
      </c>
      <c r="E15" s="464"/>
      <c r="F15" s="432">
        <v>0</v>
      </c>
      <c r="G15" s="432">
        <v>0</v>
      </c>
      <c r="H15" s="432">
        <v>0</v>
      </c>
    </row>
    <row r="16" spans="1:9" s="85" customFormat="1" ht="12.75">
      <c r="A16" s="70" t="s">
        <v>560</v>
      </c>
      <c r="B16" s="480">
        <v>1362175844</v>
      </c>
      <c r="C16" s="434">
        <v>937969761</v>
      </c>
      <c r="D16" s="434">
        <v>424206083</v>
      </c>
      <c r="E16" s="465" t="s">
        <v>1424</v>
      </c>
      <c r="F16" s="434">
        <v>1362175844</v>
      </c>
      <c r="G16" s="434">
        <v>0</v>
      </c>
      <c r="H16" s="434">
        <v>0</v>
      </c>
    </row>
    <row r="17" spans="1:8" s="293" customFormat="1" ht="12.75">
      <c r="A17" s="506"/>
      <c r="B17" s="432"/>
      <c r="C17" s="501"/>
      <c r="D17" s="501"/>
      <c r="E17" s="500"/>
      <c r="F17" s="501"/>
      <c r="G17" s="501"/>
      <c r="H17" s="501">
        <v>0</v>
      </c>
    </row>
    <row r="18" spans="1:8" ht="12.75">
      <c r="A18" s="242" t="s">
        <v>561</v>
      </c>
      <c r="B18" s="432">
        <v>0</v>
      </c>
      <c r="C18" s="432">
        <v>0</v>
      </c>
      <c r="D18" s="432">
        <v>0</v>
      </c>
      <c r="E18" s="464"/>
      <c r="F18" s="432">
        <v>0</v>
      </c>
      <c r="G18" s="432">
        <v>0</v>
      </c>
      <c r="H18" s="432">
        <v>0</v>
      </c>
    </row>
    <row r="19" spans="1:8" ht="12.75">
      <c r="A19" s="242" t="s">
        <v>562</v>
      </c>
      <c r="B19" s="432">
        <v>0</v>
      </c>
      <c r="C19" s="432">
        <v>0</v>
      </c>
      <c r="D19" s="432">
        <v>0</v>
      </c>
      <c r="E19" s="464"/>
      <c r="F19" s="432">
        <v>0</v>
      </c>
      <c r="G19" s="432">
        <v>0</v>
      </c>
      <c r="H19" s="432">
        <v>0</v>
      </c>
    </row>
    <row r="20" spans="1:8" ht="12.75">
      <c r="A20" s="242" t="s">
        <v>563</v>
      </c>
      <c r="B20" s="432">
        <v>0</v>
      </c>
      <c r="C20" s="432">
        <v>0</v>
      </c>
      <c r="D20" s="432">
        <v>0</v>
      </c>
      <c r="E20" s="464"/>
      <c r="F20" s="432">
        <v>0</v>
      </c>
      <c r="G20" s="432">
        <v>0</v>
      </c>
      <c r="H20" s="432">
        <v>0</v>
      </c>
    </row>
    <row r="21" spans="1:8" ht="12.75">
      <c r="A21" s="242" t="s">
        <v>564</v>
      </c>
      <c r="B21" s="432">
        <v>0</v>
      </c>
      <c r="C21" s="432">
        <v>0</v>
      </c>
      <c r="D21" s="432">
        <v>0</v>
      </c>
      <c r="E21" s="464"/>
      <c r="F21" s="432">
        <v>0</v>
      </c>
      <c r="G21" s="432">
        <v>0</v>
      </c>
      <c r="H21" s="432">
        <v>0</v>
      </c>
    </row>
    <row r="22" spans="1:8" ht="27.6" customHeight="1">
      <c r="A22" s="242" t="s">
        <v>565</v>
      </c>
      <c r="B22" s="432">
        <v>0</v>
      </c>
      <c r="C22" s="432">
        <v>0</v>
      </c>
      <c r="D22" s="432">
        <v>0</v>
      </c>
      <c r="E22" s="464"/>
      <c r="F22" s="432">
        <v>0</v>
      </c>
      <c r="G22" s="432">
        <v>0</v>
      </c>
      <c r="H22" s="432">
        <v>0</v>
      </c>
    </row>
    <row r="23" spans="1:8" ht="27.6" customHeight="1">
      <c r="A23" s="279" t="s">
        <v>418</v>
      </c>
      <c r="B23" s="432">
        <v>0</v>
      </c>
      <c r="C23" s="432">
        <v>0</v>
      </c>
      <c r="D23" s="432">
        <v>0</v>
      </c>
      <c r="E23" s="464"/>
      <c r="F23" s="432">
        <v>0</v>
      </c>
      <c r="G23" s="432">
        <v>0</v>
      </c>
      <c r="H23" s="432">
        <v>0</v>
      </c>
    </row>
    <row r="24" spans="1:8" ht="12.75">
      <c r="A24" s="242" t="s">
        <v>566</v>
      </c>
      <c r="B24" s="432">
        <v>0</v>
      </c>
      <c r="C24" s="432">
        <v>0</v>
      </c>
      <c r="D24" s="432">
        <v>0</v>
      </c>
      <c r="E24" s="464"/>
      <c r="F24" s="432">
        <v>0</v>
      </c>
      <c r="G24" s="432">
        <v>0</v>
      </c>
      <c r="H24" s="432">
        <v>0</v>
      </c>
    </row>
    <row r="25" spans="1:8" s="85" customFormat="1" ht="12.75">
      <c r="A25" s="70" t="s">
        <v>567</v>
      </c>
      <c r="B25" s="480">
        <v>0</v>
      </c>
      <c r="C25" s="434">
        <v>0</v>
      </c>
      <c r="D25" s="434">
        <v>0</v>
      </c>
      <c r="E25" s="465"/>
      <c r="F25" s="434">
        <v>0</v>
      </c>
      <c r="G25" s="434">
        <v>0</v>
      </c>
      <c r="H25" s="434">
        <v>0</v>
      </c>
    </row>
    <row r="26" spans="1:8" s="293" customFormat="1" ht="12.75">
      <c r="A26" s="506"/>
      <c r="B26" s="432"/>
      <c r="C26" s="501"/>
      <c r="D26" s="501"/>
      <c r="E26" s="500"/>
      <c r="F26" s="501"/>
      <c r="G26" s="501"/>
      <c r="H26" s="501">
        <v>0</v>
      </c>
    </row>
    <row r="27" spans="1:8" ht="27.6" customHeight="1">
      <c r="A27" s="242" t="s">
        <v>419</v>
      </c>
      <c r="B27" s="432">
        <v>0</v>
      </c>
      <c r="C27" s="432">
        <v>0</v>
      </c>
      <c r="D27" s="432">
        <v>0</v>
      </c>
      <c r="E27" s="464"/>
      <c r="F27" s="432">
        <v>0</v>
      </c>
      <c r="G27" s="432">
        <v>0</v>
      </c>
      <c r="H27" s="432">
        <v>0</v>
      </c>
    </row>
    <row r="28" spans="1:8" ht="12.75">
      <c r="A28" s="242" t="s">
        <v>420</v>
      </c>
      <c r="B28" s="432">
        <v>0</v>
      </c>
      <c r="C28" s="432">
        <v>0</v>
      </c>
      <c r="D28" s="432">
        <v>0</v>
      </c>
      <c r="E28" s="464"/>
      <c r="F28" s="432">
        <v>0</v>
      </c>
      <c r="G28" s="432">
        <v>0</v>
      </c>
      <c r="H28" s="432">
        <v>0</v>
      </c>
    </row>
    <row r="29" spans="1:8" ht="27.6" customHeight="1">
      <c r="A29" s="242" t="s">
        <v>421</v>
      </c>
      <c r="B29" s="432">
        <v>0</v>
      </c>
      <c r="C29" s="432">
        <v>0</v>
      </c>
      <c r="D29" s="432">
        <v>0</v>
      </c>
      <c r="E29" s="464"/>
      <c r="F29" s="432">
        <v>0</v>
      </c>
      <c r="G29" s="432">
        <v>0</v>
      </c>
      <c r="H29" s="432">
        <v>0</v>
      </c>
    </row>
    <row r="30" spans="1:8" s="85" customFormat="1" ht="12.75">
      <c r="A30" s="70" t="s">
        <v>568</v>
      </c>
      <c r="B30" s="480">
        <v>0</v>
      </c>
      <c r="C30" s="434">
        <v>0</v>
      </c>
      <c r="D30" s="434">
        <v>0</v>
      </c>
      <c r="E30" s="465"/>
      <c r="F30" s="434">
        <v>0</v>
      </c>
      <c r="G30" s="434">
        <v>0</v>
      </c>
      <c r="H30" s="434">
        <v>0</v>
      </c>
    </row>
    <row r="31" spans="1:8" s="293" customFormat="1" ht="12.75">
      <c r="A31" s="506"/>
      <c r="B31" s="432"/>
      <c r="C31" s="501"/>
      <c r="D31" s="501"/>
      <c r="E31" s="500"/>
      <c r="F31" s="501"/>
      <c r="G31" s="501"/>
      <c r="H31" s="501">
        <v>0</v>
      </c>
    </row>
    <row r="32" spans="1:8" s="85" customFormat="1" ht="12.75">
      <c r="A32" s="322" t="s">
        <v>569</v>
      </c>
      <c r="B32" s="454">
        <v>1362175844</v>
      </c>
      <c r="C32" s="446">
        <v>937969761</v>
      </c>
      <c r="D32" s="446">
        <v>424206083</v>
      </c>
      <c r="E32" s="466" t="s">
        <v>1424</v>
      </c>
      <c r="F32" s="446">
        <v>1362175844</v>
      </c>
      <c r="G32" s="446">
        <v>0</v>
      </c>
      <c r="H32" s="446">
        <v>0</v>
      </c>
    </row>
    <row r="33" spans="1:8" s="293" customFormat="1" ht="12.75">
      <c r="A33" s="506"/>
      <c r="B33" s="432"/>
      <c r="C33" s="501"/>
      <c r="D33" s="501"/>
      <c r="E33" s="500"/>
      <c r="F33" s="501"/>
      <c r="G33" s="501"/>
      <c r="H33" s="501">
        <v>0</v>
      </c>
    </row>
    <row r="34" spans="1:8" ht="27.6" customHeight="1">
      <c r="A34" s="242" t="s">
        <v>570</v>
      </c>
      <c r="B34" s="432">
        <v>0</v>
      </c>
      <c r="C34" s="432">
        <v>0</v>
      </c>
      <c r="D34" s="432">
        <v>0</v>
      </c>
      <c r="E34" s="464"/>
      <c r="F34" s="432">
        <v>0</v>
      </c>
      <c r="G34" s="432">
        <v>0</v>
      </c>
      <c r="H34" s="432">
        <v>0</v>
      </c>
    </row>
    <row r="35" spans="1:8" ht="12.75">
      <c r="A35" s="323"/>
      <c r="B35" s="324"/>
      <c r="C35" s="324"/>
      <c r="D35" s="324"/>
      <c r="E35" s="290"/>
      <c r="F35" s="324"/>
      <c r="G35" s="324"/>
      <c r="H35" s="324"/>
    </row>
    <row r="36" spans="1:8" ht="12.75">
      <c r="A36" s="463"/>
    </row>
    <row r="37" spans="1:8" ht="12.75">
      <c r="A37" s="745"/>
      <c r="B37" s="745"/>
      <c r="C37" s="745"/>
      <c r="D37" s="745"/>
      <c r="E37" s="745"/>
      <c r="F37" s="745"/>
      <c r="G37" s="745"/>
      <c r="H37" s="745"/>
    </row>
    <row r="38" spans="1:8" ht="12.75">
      <c r="A38" s="745"/>
      <c r="B38" s="745"/>
      <c r="C38" s="745"/>
      <c r="D38" s="745"/>
      <c r="E38" s="745"/>
      <c r="F38" s="745"/>
      <c r="G38" s="745"/>
      <c r="H38" s="745"/>
    </row>
    <row r="39" spans="1:8" ht="12.75">
      <c r="A39" s="745"/>
      <c r="B39" s="745"/>
      <c r="C39" s="745"/>
      <c r="D39" s="745"/>
      <c r="E39" s="745"/>
      <c r="F39" s="745"/>
      <c r="G39" s="745"/>
      <c r="H39" s="745"/>
    </row>
  </sheetData>
  <mergeCells count="15">
    <mergeCell ref="A37:H39"/>
    <mergeCell ref="A4:C4"/>
    <mergeCell ref="B5:C5"/>
    <mergeCell ref="A1:H1"/>
    <mergeCell ref="G3:H3"/>
    <mergeCell ref="G4:H5"/>
    <mergeCell ref="F4:F5"/>
    <mergeCell ref="A7:A8"/>
    <mergeCell ref="B7:B8"/>
    <mergeCell ref="C7:C8"/>
    <mergeCell ref="D7:D8"/>
    <mergeCell ref="E7:E8"/>
    <mergeCell ref="F7:F8"/>
    <mergeCell ref="G7:G8"/>
    <mergeCell ref="H7:H8"/>
  </mergeCell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7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6.42578125" style="95" customWidth="1" collapsed="1"/>
    <col min="3" max="3" width="19.85546875" style="95" customWidth="1" collapsed="1"/>
    <col min="4" max="4" width="24.5703125" style="95" customWidth="1" collapsed="1"/>
    <col min="5" max="16384" width="10.42578125" style="95" collapsed="1"/>
  </cols>
  <sheetData>
    <row r="1" spans="1:4" ht="18.75" customHeight="1">
      <c r="A1" s="847" t="s">
        <v>571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65" t="s">
        <v>359</v>
      </c>
      <c r="C7" s="855" t="s">
        <v>360</v>
      </c>
      <c r="D7" s="856" t="s">
        <v>387</v>
      </c>
    </row>
    <row r="8" spans="1:4" ht="12.75">
      <c r="A8" s="852"/>
      <c r="B8" s="866"/>
      <c r="C8" s="855"/>
      <c r="D8" s="856"/>
    </row>
    <row r="9" spans="1:4" ht="12.75">
      <c r="A9" s="469" t="s">
        <v>1425</v>
      </c>
      <c r="B9" s="478">
        <v>0</v>
      </c>
      <c r="C9" s="432">
        <v>0</v>
      </c>
      <c r="D9" s="464"/>
    </row>
    <row r="10" spans="1:4" ht="12.75">
      <c r="A10" s="469" t="s">
        <v>1426</v>
      </c>
      <c r="B10" s="478">
        <v>0</v>
      </c>
      <c r="C10" s="432">
        <v>0</v>
      </c>
      <c r="D10" s="464"/>
    </row>
    <row r="11" spans="1:4" ht="25.5" customHeight="1">
      <c r="A11" s="520" t="s">
        <v>1427</v>
      </c>
      <c r="B11" s="479">
        <v>0</v>
      </c>
      <c r="C11" s="480">
        <v>0</v>
      </c>
      <c r="D11" s="481"/>
    </row>
    <row r="12" spans="1:4" s="301" customFormat="1" ht="12.75" customHeight="1">
      <c r="A12" s="521"/>
      <c r="B12" s="495"/>
      <c r="C12" s="501"/>
      <c r="D12" s="500"/>
    </row>
    <row r="13" spans="1:4" ht="12.75">
      <c r="A13" s="469" t="s">
        <v>440</v>
      </c>
      <c r="B13" s="478">
        <v>0</v>
      </c>
      <c r="C13" s="432">
        <v>0</v>
      </c>
      <c r="D13" s="464"/>
    </row>
    <row r="14" spans="1:4" ht="12.75">
      <c r="A14" s="469" t="s">
        <v>441</v>
      </c>
      <c r="B14" s="478">
        <v>0</v>
      </c>
      <c r="C14" s="432">
        <v>0</v>
      </c>
      <c r="D14" s="464"/>
    </row>
    <row r="15" spans="1:4" ht="12.75">
      <c r="A15" s="469" t="s">
        <v>1428</v>
      </c>
      <c r="B15" s="478">
        <v>0</v>
      </c>
      <c r="C15" s="432">
        <v>0</v>
      </c>
      <c r="D15" s="464"/>
    </row>
    <row r="16" spans="1:4" ht="12.75">
      <c r="A16" s="469" t="s">
        <v>1429</v>
      </c>
      <c r="B16" s="478">
        <v>0</v>
      </c>
      <c r="C16" s="432">
        <v>0</v>
      </c>
      <c r="D16" s="464"/>
    </row>
    <row r="17" spans="1:4" ht="12.75">
      <c r="A17" s="469" t="s">
        <v>1430</v>
      </c>
      <c r="B17" s="478">
        <v>0</v>
      </c>
      <c r="C17" s="432">
        <v>0</v>
      </c>
      <c r="D17" s="464"/>
    </row>
    <row r="18" spans="1:4" ht="27.6" customHeight="1">
      <c r="A18" s="520" t="s">
        <v>1431</v>
      </c>
      <c r="B18" s="479">
        <v>0</v>
      </c>
      <c r="C18" s="480">
        <v>0</v>
      </c>
      <c r="D18" s="481"/>
    </row>
    <row r="19" spans="1:4" ht="12.75">
      <c r="A19" s="469" t="s">
        <v>130</v>
      </c>
      <c r="B19" s="478"/>
      <c r="C19" s="432"/>
      <c r="D19" s="464"/>
    </row>
    <row r="20" spans="1:4" ht="12.75">
      <c r="A20" s="224" t="s">
        <v>130</v>
      </c>
      <c r="B20" s="482">
        <v>0</v>
      </c>
      <c r="C20" s="483">
        <v>0</v>
      </c>
      <c r="D20" s="484">
        <v>0</v>
      </c>
    </row>
    <row r="21" spans="1:4" s="328" customFormat="1" ht="12.75">
      <c r="A21" s="325"/>
      <c r="B21" s="326"/>
      <c r="C21" s="326"/>
      <c r="D21" s="327"/>
    </row>
    <row r="22" spans="1:4" ht="12.75">
      <c r="A22" s="100" t="s">
        <v>305</v>
      </c>
    </row>
    <row r="23" spans="1:4" ht="12.75">
      <c r="A23" s="774"/>
      <c r="B23" s="846"/>
      <c r="C23" s="846"/>
      <c r="D23" s="846"/>
    </row>
    <row r="24" spans="1:4" ht="12.75">
      <c r="A24" s="846"/>
      <c r="B24" s="846"/>
      <c r="C24" s="846"/>
      <c r="D24" s="846"/>
    </row>
    <row r="25" spans="1:4" ht="12.75">
      <c r="A25" s="103"/>
    </row>
    <row r="26" spans="1:4" ht="12.75">
      <c r="A26" s="100" t="s">
        <v>572</v>
      </c>
    </row>
    <row r="27" spans="1:4" ht="12.75">
      <c r="A27" s="100"/>
    </row>
  </sheetData>
  <mergeCells count="9">
    <mergeCell ref="A23:D24"/>
    <mergeCell ref="A1:D1"/>
    <mergeCell ref="A3:B3"/>
    <mergeCell ref="A4:B4"/>
    <mergeCell ref="D4:D5"/>
    <mergeCell ref="A7:A8"/>
    <mergeCell ref="B7:B8"/>
    <mergeCell ref="C7:C8"/>
    <mergeCell ref="D7:D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44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9.5703125" style="95" customWidth="1" collapsed="1"/>
    <col min="3" max="3" width="19.140625" style="95" customWidth="1" collapsed="1"/>
    <col min="4" max="4" width="17" style="95" customWidth="1" collapsed="1"/>
    <col min="5" max="16384" width="10.42578125" style="95" collapsed="1"/>
  </cols>
  <sheetData>
    <row r="1" spans="1:5" ht="18.75" customHeight="1">
      <c r="A1" s="847" t="s">
        <v>573</v>
      </c>
      <c r="B1" s="847"/>
      <c r="C1" s="847"/>
      <c r="D1" s="847"/>
    </row>
    <row r="2" spans="1:5" ht="8.1" customHeight="1"/>
    <row r="3" spans="1:5" ht="12.75" customHeight="1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5" ht="15" customHeight="1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5" ht="15" customHeight="1">
      <c r="A5" s="95" t="s">
        <v>271</v>
      </c>
      <c r="B5" s="473" t="str">
        <f>+'Fiche de renseignement R1'!$J$10</f>
        <v>006495693</v>
      </c>
      <c r="D5" s="850"/>
    </row>
    <row r="6" spans="1:5" ht="8.1" customHeight="1"/>
    <row r="7" spans="1:5" ht="25.35" customHeight="1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5" ht="25.35" customHeight="1">
      <c r="A8" s="852"/>
      <c r="B8" s="854"/>
      <c r="C8" s="855"/>
      <c r="D8" s="856"/>
    </row>
    <row r="9" spans="1:5" s="329" customFormat="1" ht="25.35" customHeight="1">
      <c r="A9" s="259" t="s">
        <v>1090</v>
      </c>
      <c r="B9" s="522">
        <v>0</v>
      </c>
      <c r="C9" s="523">
        <v>0</v>
      </c>
      <c r="D9" s="524"/>
    </row>
    <row r="10" spans="1:5" ht="25.35" customHeight="1">
      <c r="A10" s="280" t="s">
        <v>574</v>
      </c>
      <c r="B10" s="478">
        <v>0</v>
      </c>
      <c r="C10" s="432">
        <v>0</v>
      </c>
      <c r="D10" s="464"/>
    </row>
    <row r="11" spans="1:5" ht="25.35" customHeight="1">
      <c r="A11" s="280" t="s">
        <v>575</v>
      </c>
      <c r="B11" s="478">
        <v>0</v>
      </c>
      <c r="C11" s="432">
        <v>0</v>
      </c>
      <c r="D11" s="464"/>
      <c r="E11" s="329"/>
    </row>
    <row r="12" spans="1:5" ht="25.35" customHeight="1">
      <c r="A12" s="280" t="s">
        <v>576</v>
      </c>
      <c r="B12" s="478">
        <v>0</v>
      </c>
      <c r="C12" s="432">
        <v>0</v>
      </c>
      <c r="D12" s="464"/>
    </row>
    <row r="13" spans="1:5" ht="25.35" customHeight="1">
      <c r="A13" s="99" t="s">
        <v>577</v>
      </c>
      <c r="B13" s="479">
        <v>0</v>
      </c>
      <c r="C13" s="480">
        <v>0</v>
      </c>
      <c r="D13" s="481"/>
      <c r="E13" s="329"/>
    </row>
    <row r="14" spans="1:5" s="301" customFormat="1" ht="12.75" customHeight="1">
      <c r="A14" s="521"/>
      <c r="B14" s="495"/>
      <c r="C14" s="501"/>
      <c r="D14" s="500"/>
      <c r="E14" s="95"/>
    </row>
    <row r="15" spans="1:5" s="329" customFormat="1" ht="25.35" customHeight="1">
      <c r="A15" s="259" t="s">
        <v>1090</v>
      </c>
      <c r="B15" s="522">
        <v>0</v>
      </c>
      <c r="C15" s="523">
        <v>0</v>
      </c>
      <c r="D15" s="524"/>
    </row>
    <row r="16" spans="1:5" ht="25.35" customHeight="1">
      <c r="A16" s="280" t="s">
        <v>574</v>
      </c>
      <c r="B16" s="478">
        <v>0</v>
      </c>
      <c r="C16" s="432">
        <v>0</v>
      </c>
      <c r="D16" s="464"/>
    </row>
    <row r="17" spans="1:5" ht="25.35" customHeight="1">
      <c r="A17" s="280" t="s">
        <v>575</v>
      </c>
      <c r="B17" s="478">
        <v>0</v>
      </c>
      <c r="C17" s="432">
        <v>0</v>
      </c>
      <c r="D17" s="464"/>
      <c r="E17" s="329"/>
    </row>
    <row r="18" spans="1:5" ht="25.35" customHeight="1">
      <c r="A18" s="280" t="s">
        <v>576</v>
      </c>
      <c r="B18" s="478">
        <v>0</v>
      </c>
      <c r="C18" s="432">
        <v>0</v>
      </c>
      <c r="D18" s="464"/>
    </row>
    <row r="19" spans="1:5" ht="25.35" customHeight="1">
      <c r="A19" s="281" t="s">
        <v>578</v>
      </c>
      <c r="B19" s="479">
        <v>0</v>
      </c>
      <c r="C19" s="480">
        <v>0</v>
      </c>
      <c r="D19" s="481"/>
      <c r="E19" s="329"/>
    </row>
    <row r="20" spans="1:5" s="301" customFormat="1" ht="12.75" customHeight="1">
      <c r="A20" s="521"/>
      <c r="B20" s="495"/>
      <c r="C20" s="501"/>
      <c r="D20" s="500"/>
      <c r="E20" s="95"/>
    </row>
    <row r="21" spans="1:5" s="329" customFormat="1" ht="25.35" customHeight="1">
      <c r="A21" s="259" t="s">
        <v>1090</v>
      </c>
      <c r="B21" s="522">
        <v>0</v>
      </c>
      <c r="C21" s="523">
        <v>0</v>
      </c>
      <c r="D21" s="524"/>
    </row>
    <row r="22" spans="1:5" ht="25.35" customHeight="1">
      <c r="A22" s="280" t="s">
        <v>574</v>
      </c>
      <c r="B22" s="478">
        <v>0</v>
      </c>
      <c r="C22" s="432">
        <v>0</v>
      </c>
      <c r="D22" s="464"/>
    </row>
    <row r="23" spans="1:5" ht="25.35" customHeight="1">
      <c r="A23" s="280" t="s">
        <v>575</v>
      </c>
      <c r="B23" s="478">
        <v>0</v>
      </c>
      <c r="C23" s="432">
        <v>0</v>
      </c>
      <c r="D23" s="464"/>
      <c r="E23" s="329"/>
    </row>
    <row r="24" spans="1:5" ht="25.35" customHeight="1">
      <c r="A24" s="280" t="s">
        <v>576</v>
      </c>
      <c r="B24" s="478">
        <v>0</v>
      </c>
      <c r="C24" s="432">
        <v>0</v>
      </c>
      <c r="D24" s="464"/>
    </row>
    <row r="25" spans="1:5" ht="25.35" customHeight="1">
      <c r="A25" s="99" t="s">
        <v>579</v>
      </c>
      <c r="B25" s="479">
        <v>0</v>
      </c>
      <c r="C25" s="480">
        <v>0</v>
      </c>
      <c r="D25" s="481"/>
      <c r="E25" s="329"/>
    </row>
    <row r="26" spans="1:5" s="301" customFormat="1" ht="12.75" customHeight="1">
      <c r="A26" s="521"/>
      <c r="B26" s="495"/>
      <c r="C26" s="501"/>
      <c r="D26" s="500"/>
      <c r="E26" s="95"/>
    </row>
    <row r="27" spans="1:5" ht="25.35" customHeight="1">
      <c r="A27" s="109" t="s">
        <v>580</v>
      </c>
      <c r="B27" s="478">
        <v>0</v>
      </c>
      <c r="C27" s="432">
        <v>0</v>
      </c>
      <c r="D27" s="464"/>
      <c r="E27" s="329"/>
    </row>
    <row r="28" spans="1:5" ht="12.75" customHeight="1">
      <c r="A28" s="525"/>
      <c r="B28" s="478"/>
      <c r="C28" s="432"/>
      <c r="D28" s="464"/>
    </row>
    <row r="29" spans="1:5" ht="12.75" customHeight="1">
      <c r="A29" s="525"/>
      <c r="B29" s="478"/>
      <c r="C29" s="432"/>
      <c r="D29" s="464"/>
      <c r="E29" s="329"/>
    </row>
    <row r="30" spans="1:5" ht="25.35" customHeight="1">
      <c r="A30" s="110" t="s">
        <v>581</v>
      </c>
      <c r="B30" s="479">
        <v>0</v>
      </c>
      <c r="C30" s="480">
        <v>0</v>
      </c>
      <c r="D30" s="481"/>
    </row>
    <row r="31" spans="1:5" s="301" customFormat="1" ht="12.75" customHeight="1">
      <c r="A31" s="526"/>
      <c r="B31" s="495"/>
      <c r="C31" s="501"/>
      <c r="D31" s="500"/>
      <c r="E31" s="329"/>
    </row>
    <row r="32" spans="1:5" ht="25.35" customHeight="1">
      <c r="A32" s="97" t="s">
        <v>152</v>
      </c>
      <c r="B32" s="478">
        <v>0</v>
      </c>
      <c r="C32" s="432">
        <v>0</v>
      </c>
      <c r="D32" s="464"/>
    </row>
    <row r="33" spans="1:5" ht="25.35" customHeight="1">
      <c r="A33" s="97" t="s">
        <v>154</v>
      </c>
      <c r="B33" s="478">
        <v>0</v>
      </c>
      <c r="C33" s="432">
        <v>0</v>
      </c>
      <c r="D33" s="464"/>
      <c r="E33" s="329"/>
    </row>
    <row r="34" spans="1:5" ht="25.35" customHeight="1">
      <c r="A34" s="97" t="s">
        <v>156</v>
      </c>
      <c r="B34" s="478">
        <v>42900</v>
      </c>
      <c r="C34" s="432">
        <v>1923100</v>
      </c>
      <c r="D34" s="464" t="s">
        <v>1432</v>
      </c>
    </row>
    <row r="35" spans="1:5" ht="25.35" customHeight="1">
      <c r="A35" s="110" t="s">
        <v>582</v>
      </c>
      <c r="B35" s="479">
        <v>42900</v>
      </c>
      <c r="C35" s="480">
        <v>1923100</v>
      </c>
      <c r="D35" s="481" t="s">
        <v>1432</v>
      </c>
      <c r="E35" s="329"/>
    </row>
    <row r="36" spans="1:5" s="301" customFormat="1" ht="12.75" customHeight="1">
      <c r="A36" s="526"/>
      <c r="B36" s="495"/>
      <c r="C36" s="501"/>
      <c r="D36" s="500"/>
      <c r="E36" s="95"/>
    </row>
    <row r="37" spans="1:5" ht="25.35" customHeight="1">
      <c r="A37" s="105" t="s">
        <v>98</v>
      </c>
      <c r="B37" s="482">
        <v>42900</v>
      </c>
      <c r="C37" s="483">
        <v>1923100</v>
      </c>
      <c r="D37" s="484" t="s">
        <v>1432</v>
      </c>
      <c r="E37" s="329"/>
    </row>
    <row r="38" spans="1:5" s="301" customFormat="1" ht="12.75" customHeight="1">
      <c r="A38" s="330"/>
      <c r="B38" s="304"/>
      <c r="C38" s="304"/>
      <c r="D38" s="303"/>
    </row>
    <row r="39" spans="1:5" ht="12.75">
      <c r="A39" s="100" t="s">
        <v>305</v>
      </c>
    </row>
    <row r="40" spans="1:5" ht="12.75">
      <c r="A40" s="774"/>
      <c r="B40" s="846"/>
      <c r="C40" s="846"/>
      <c r="D40" s="846"/>
    </row>
    <row r="41" spans="1:5" ht="12.75">
      <c r="A41" s="846"/>
      <c r="B41" s="846"/>
      <c r="C41" s="846"/>
      <c r="D41" s="846"/>
    </row>
    <row r="42" spans="1:5" ht="12.75">
      <c r="A42" s="103"/>
    </row>
    <row r="43" spans="1:5" ht="12.75">
      <c r="A43" s="100"/>
    </row>
    <row r="44" spans="1:5" ht="12.75">
      <c r="A44" s="100"/>
    </row>
  </sheetData>
  <mergeCells count="9">
    <mergeCell ref="A40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9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6.5703125" style="95" customWidth="1" collapsed="1"/>
    <col min="3" max="3" width="18.85546875" style="95" customWidth="1" collapsed="1"/>
    <col min="4" max="4" width="17.85546875" style="95" customWidth="1" collapsed="1"/>
    <col min="5" max="16384" width="10.42578125" style="95" collapsed="1"/>
  </cols>
  <sheetData>
    <row r="1" spans="1:5" ht="18.75" customHeight="1">
      <c r="A1" s="847" t="s">
        <v>583</v>
      </c>
      <c r="B1" s="847"/>
      <c r="C1" s="847"/>
      <c r="D1" s="847"/>
    </row>
    <row r="2" spans="1:5" ht="8.1" customHeight="1"/>
    <row r="3" spans="1:5" ht="12.75" customHeight="1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5" ht="15" customHeight="1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5" ht="15" customHeight="1">
      <c r="A5" s="95" t="s">
        <v>271</v>
      </c>
      <c r="B5" s="473" t="str">
        <f>+'Fiche de renseignement R1'!$J$10</f>
        <v>006495693</v>
      </c>
      <c r="D5" s="850"/>
    </row>
    <row r="6" spans="1:5" ht="8.1" customHeight="1"/>
    <row r="7" spans="1:5" ht="25.35" customHeight="1">
      <c r="A7" s="851" t="s">
        <v>131</v>
      </c>
      <c r="B7" s="865" t="s">
        <v>359</v>
      </c>
      <c r="C7" s="865" t="s">
        <v>360</v>
      </c>
      <c r="D7" s="869" t="s">
        <v>387</v>
      </c>
    </row>
    <row r="8" spans="1:5" ht="25.35" customHeight="1">
      <c r="A8" s="852"/>
      <c r="B8" s="866"/>
      <c r="C8" s="866"/>
      <c r="D8" s="870"/>
    </row>
    <row r="9" spans="1:5" s="329" customFormat="1" ht="20.100000000000001" customHeight="1">
      <c r="A9" s="259" t="s">
        <v>1091</v>
      </c>
      <c r="B9" s="522">
        <v>4554724</v>
      </c>
      <c r="C9" s="523">
        <v>0</v>
      </c>
      <c r="D9" s="524"/>
    </row>
    <row r="10" spans="1:5" ht="20.100000000000001" customHeight="1">
      <c r="A10" s="280" t="s">
        <v>1080</v>
      </c>
      <c r="B10" s="478">
        <v>0</v>
      </c>
      <c r="C10" s="432">
        <v>0</v>
      </c>
      <c r="D10" s="464"/>
    </row>
    <row r="11" spans="1:5" ht="20.100000000000001" customHeight="1">
      <c r="A11" s="280" t="s">
        <v>1079</v>
      </c>
      <c r="B11" s="478">
        <v>0</v>
      </c>
      <c r="C11" s="432">
        <v>0</v>
      </c>
      <c r="D11" s="464"/>
      <c r="E11" s="329"/>
    </row>
    <row r="12" spans="1:5" ht="25.35" customHeight="1">
      <c r="A12" s="281" t="s">
        <v>584</v>
      </c>
      <c r="B12" s="479">
        <v>4554724</v>
      </c>
      <c r="C12" s="480">
        <v>0</v>
      </c>
      <c r="D12" s="481"/>
    </row>
    <row r="13" spans="1:5" ht="20.100000000000001" customHeight="1">
      <c r="A13" s="527"/>
      <c r="B13" s="478"/>
      <c r="C13" s="432"/>
      <c r="D13" s="464"/>
      <c r="E13" s="329"/>
    </row>
    <row r="14" spans="1:5" ht="20.100000000000001" customHeight="1">
      <c r="A14" s="259" t="s">
        <v>1091</v>
      </c>
      <c r="B14" s="478">
        <v>0</v>
      </c>
      <c r="C14" s="432">
        <v>0</v>
      </c>
      <c r="D14" s="464"/>
    </row>
    <row r="15" spans="1:5" ht="20.100000000000001" customHeight="1">
      <c r="A15" s="280" t="s">
        <v>1080</v>
      </c>
      <c r="B15" s="478">
        <v>0</v>
      </c>
      <c r="C15" s="432">
        <v>0</v>
      </c>
      <c r="D15" s="464"/>
      <c r="E15" s="329"/>
    </row>
    <row r="16" spans="1:5" ht="20.100000000000001" customHeight="1">
      <c r="A16" s="280" t="s">
        <v>1079</v>
      </c>
      <c r="B16" s="478">
        <v>0</v>
      </c>
      <c r="C16" s="432">
        <v>0</v>
      </c>
      <c r="D16" s="464"/>
    </row>
    <row r="17" spans="1:5" ht="25.5" customHeight="1">
      <c r="A17" s="99" t="s">
        <v>585</v>
      </c>
      <c r="B17" s="479">
        <v>0</v>
      </c>
      <c r="C17" s="480">
        <v>0</v>
      </c>
      <c r="D17" s="481"/>
      <c r="E17" s="329"/>
    </row>
    <row r="18" spans="1:5" s="301" customFormat="1" ht="12.75" customHeight="1">
      <c r="A18" s="521"/>
      <c r="B18" s="495"/>
      <c r="C18" s="501"/>
      <c r="D18" s="500"/>
      <c r="E18" s="95"/>
    </row>
    <row r="19" spans="1:5" ht="20.100000000000001" customHeight="1">
      <c r="A19" s="97" t="s">
        <v>586</v>
      </c>
      <c r="B19" s="478">
        <v>0</v>
      </c>
      <c r="C19" s="432">
        <v>2508400</v>
      </c>
      <c r="D19" s="464" t="s">
        <v>1365</v>
      </c>
      <c r="E19" s="329"/>
    </row>
    <row r="20" spans="1:5" ht="20.100000000000001" customHeight="1">
      <c r="A20" s="97" t="s">
        <v>587</v>
      </c>
      <c r="B20" s="478">
        <v>0</v>
      </c>
      <c r="C20" s="432">
        <v>14230089</v>
      </c>
      <c r="D20" s="464" t="s">
        <v>1365</v>
      </c>
    </row>
    <row r="21" spans="1:5" ht="20.100000000000001" customHeight="1">
      <c r="A21" s="97" t="s">
        <v>588</v>
      </c>
      <c r="B21" s="478">
        <v>264853</v>
      </c>
      <c r="C21" s="432">
        <v>0</v>
      </c>
      <c r="D21" s="464"/>
      <c r="E21" s="329"/>
    </row>
    <row r="22" spans="1:5" ht="25.5" customHeight="1">
      <c r="A22" s="97" t="s">
        <v>589</v>
      </c>
      <c r="B22" s="478">
        <v>2345490</v>
      </c>
      <c r="C22" s="432">
        <v>0</v>
      </c>
      <c r="D22" s="464"/>
    </row>
    <row r="23" spans="1:5" ht="20.100000000000001" customHeight="1">
      <c r="A23" s="97" t="s">
        <v>590</v>
      </c>
      <c r="B23" s="478">
        <v>0</v>
      </c>
      <c r="C23" s="432">
        <v>0</v>
      </c>
      <c r="D23" s="464"/>
      <c r="E23" s="329"/>
    </row>
    <row r="24" spans="1:5" ht="20.100000000000001" customHeight="1">
      <c r="A24" s="97" t="s">
        <v>591</v>
      </c>
      <c r="B24" s="478">
        <v>0</v>
      </c>
      <c r="C24" s="432">
        <v>0</v>
      </c>
      <c r="D24" s="464"/>
    </row>
    <row r="25" spans="1:5" ht="20.100000000000001" customHeight="1">
      <c r="A25" s="97" t="s">
        <v>592</v>
      </c>
      <c r="B25" s="478">
        <v>18326723</v>
      </c>
      <c r="C25" s="432">
        <v>1225568</v>
      </c>
      <c r="D25" s="464" t="s">
        <v>1433</v>
      </c>
      <c r="E25" s="329"/>
    </row>
    <row r="26" spans="1:5" ht="20.100000000000001" customHeight="1">
      <c r="A26" s="97" t="s">
        <v>593</v>
      </c>
      <c r="B26" s="478">
        <v>0</v>
      </c>
      <c r="C26" s="432">
        <v>152900</v>
      </c>
      <c r="D26" s="464" t="s">
        <v>1365</v>
      </c>
    </row>
    <row r="27" spans="1:5" ht="20.100000000000001" customHeight="1">
      <c r="A27" s="97" t="s">
        <v>594</v>
      </c>
      <c r="B27" s="478">
        <v>0</v>
      </c>
      <c r="C27" s="432">
        <v>1426895</v>
      </c>
      <c r="D27" s="464" t="s">
        <v>1365</v>
      </c>
      <c r="E27" s="329"/>
    </row>
    <row r="28" spans="1:5" ht="20.100000000000001" customHeight="1">
      <c r="A28" s="97" t="s">
        <v>595</v>
      </c>
      <c r="B28" s="478">
        <v>3037240</v>
      </c>
      <c r="C28" s="432">
        <v>4511797</v>
      </c>
      <c r="D28" s="464" t="s">
        <v>1434</v>
      </c>
    </row>
    <row r="29" spans="1:5" ht="25.5" customHeight="1">
      <c r="A29" s="265" t="s">
        <v>1223</v>
      </c>
      <c r="B29" s="478">
        <v>253337736</v>
      </c>
      <c r="C29" s="432">
        <v>64691744</v>
      </c>
      <c r="D29" s="464" t="s">
        <v>1435</v>
      </c>
      <c r="E29" s="329"/>
    </row>
    <row r="30" spans="1:5" ht="20.100000000000001" customHeight="1">
      <c r="A30" s="97" t="s">
        <v>596</v>
      </c>
      <c r="B30" s="478">
        <v>3171750</v>
      </c>
      <c r="C30" s="432">
        <v>0</v>
      </c>
      <c r="D30" s="464"/>
    </row>
    <row r="31" spans="1:5" ht="20.100000000000001" customHeight="1">
      <c r="A31" s="97" t="s">
        <v>597</v>
      </c>
      <c r="B31" s="478">
        <v>0</v>
      </c>
      <c r="C31" s="432">
        <v>0</v>
      </c>
      <c r="D31" s="464"/>
      <c r="E31" s="329"/>
    </row>
    <row r="32" spans="1:5" ht="20.100000000000001" customHeight="1">
      <c r="A32" s="97" t="s">
        <v>598</v>
      </c>
      <c r="B32" s="478">
        <v>0</v>
      </c>
      <c r="C32" s="432">
        <v>0</v>
      </c>
      <c r="D32" s="464"/>
    </row>
    <row r="33" spans="1:5" ht="25.35" customHeight="1">
      <c r="A33" s="105" t="s">
        <v>599</v>
      </c>
      <c r="B33" s="482">
        <v>280483792</v>
      </c>
      <c r="C33" s="483">
        <v>88747393</v>
      </c>
      <c r="D33" s="484" t="s">
        <v>1436</v>
      </c>
      <c r="E33" s="329"/>
    </row>
    <row r="34" spans="1:5" s="301" customFormat="1" ht="12.75" customHeight="1">
      <c r="A34" s="330"/>
      <c r="B34" s="304"/>
      <c r="C34" s="304"/>
      <c r="D34" s="303"/>
    </row>
    <row r="35" spans="1:5" ht="12.75">
      <c r="A35" s="100" t="s">
        <v>305</v>
      </c>
    </row>
    <row r="36" spans="1:5" ht="12.75">
      <c r="A36" s="774"/>
      <c r="B36" s="846"/>
      <c r="C36" s="846"/>
      <c r="D36" s="846"/>
    </row>
    <row r="37" spans="1:5" ht="12.75">
      <c r="A37" s="846"/>
      <c r="B37" s="846"/>
      <c r="C37" s="846"/>
      <c r="D37" s="846"/>
    </row>
    <row r="38" spans="1:5" ht="12.75">
      <c r="A38" s="846"/>
      <c r="B38" s="846"/>
      <c r="C38" s="846"/>
      <c r="D38" s="846"/>
    </row>
    <row r="39" spans="1:5" ht="12.75">
      <c r="A39" s="100"/>
    </row>
  </sheetData>
  <mergeCells count="9">
    <mergeCell ref="A36:D3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0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8.140625" style="95" customWidth="1" collapsed="1"/>
    <col min="3" max="3" width="24.5703125" style="95" customWidth="1" collapsed="1"/>
    <col min="4" max="4" width="21.42578125" style="95" customWidth="1" collapsed="1"/>
    <col min="5" max="16384" width="10.42578125" style="95" collapsed="1"/>
  </cols>
  <sheetData>
    <row r="1" spans="1:4" ht="18.75" customHeight="1">
      <c r="A1" s="847" t="s">
        <v>600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259" t="s">
        <v>601</v>
      </c>
      <c r="B9" s="478">
        <v>7000057</v>
      </c>
      <c r="C9" s="432">
        <v>0</v>
      </c>
      <c r="D9" s="464"/>
    </row>
    <row r="10" spans="1:4" ht="12.75">
      <c r="A10" s="259" t="s">
        <v>602</v>
      </c>
      <c r="B10" s="478">
        <v>0</v>
      </c>
      <c r="C10" s="432">
        <v>0</v>
      </c>
      <c r="D10" s="464"/>
    </row>
    <row r="11" spans="1:4" ht="12.75">
      <c r="A11" s="259" t="s">
        <v>1224</v>
      </c>
      <c r="B11" s="478">
        <v>0</v>
      </c>
      <c r="C11" s="432">
        <v>0</v>
      </c>
      <c r="D11" s="464"/>
    </row>
    <row r="12" spans="1:4" ht="12.75">
      <c r="A12" s="259" t="s">
        <v>1225</v>
      </c>
      <c r="B12" s="478">
        <v>0</v>
      </c>
      <c r="C12" s="432">
        <v>0</v>
      </c>
      <c r="D12" s="464"/>
    </row>
    <row r="13" spans="1:4" ht="12.75">
      <c r="A13" s="280" t="s">
        <v>1092</v>
      </c>
      <c r="B13" s="492">
        <v>2538419</v>
      </c>
      <c r="C13" s="528">
        <v>2554135</v>
      </c>
      <c r="D13" s="529" t="s">
        <v>1437</v>
      </c>
    </row>
    <row r="14" spans="1:4" ht="12.75">
      <c r="A14" s="105" t="s">
        <v>603</v>
      </c>
      <c r="B14" s="530">
        <v>9538476</v>
      </c>
      <c r="C14" s="531">
        <v>2554135</v>
      </c>
      <c r="D14" s="532" t="s">
        <v>1438</v>
      </c>
    </row>
    <row r="15" spans="1:4" s="301" customFormat="1" ht="12.75">
      <c r="A15" s="330"/>
      <c r="B15" s="304"/>
      <c r="C15" s="304"/>
      <c r="D15" s="303"/>
    </row>
    <row r="16" spans="1:4" ht="12.75">
      <c r="A16" s="100" t="s">
        <v>305</v>
      </c>
    </row>
    <row r="17" spans="1:4" ht="12.75">
      <c r="A17" s="774"/>
      <c r="B17" s="846"/>
      <c r="C17" s="846"/>
      <c r="D17" s="846"/>
    </row>
    <row r="18" spans="1:4" ht="12.75">
      <c r="A18" s="846"/>
      <c r="B18" s="846"/>
      <c r="C18" s="846"/>
      <c r="D18" s="846"/>
    </row>
    <row r="19" spans="1:4" ht="12.75">
      <c r="A19" s="846"/>
      <c r="B19" s="846"/>
      <c r="C19" s="846"/>
      <c r="D19" s="846"/>
    </row>
    <row r="20" spans="1:4" ht="12.75">
      <c r="A20" s="100"/>
    </row>
  </sheetData>
  <mergeCells count="9">
    <mergeCell ref="A17:D1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showGridLines="0" topLeftCell="A7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3" style="95" customWidth="1" collapsed="1"/>
    <col min="3" max="3" width="17.42578125" style="95" customWidth="1" collapsed="1"/>
    <col min="4" max="4" width="19.140625" style="95" customWidth="1" collapsed="1"/>
    <col min="5" max="16384" width="10.42578125" style="95" collapsed="1"/>
  </cols>
  <sheetData>
    <row r="1" spans="1:4" ht="18.75" customHeight="1">
      <c r="A1" s="847" t="s">
        <v>604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265" t="s">
        <v>605</v>
      </c>
      <c r="B9" s="478">
        <v>0</v>
      </c>
      <c r="C9" s="432">
        <v>0</v>
      </c>
      <c r="D9" s="464"/>
    </row>
    <row r="10" spans="1:4" ht="12.75">
      <c r="A10" s="97" t="s">
        <v>606</v>
      </c>
      <c r="B10" s="478">
        <v>29515000</v>
      </c>
      <c r="C10" s="432">
        <v>17465948</v>
      </c>
      <c r="D10" s="464" t="s">
        <v>1439</v>
      </c>
    </row>
    <row r="11" spans="1:4" ht="12.75">
      <c r="A11" s="97" t="s">
        <v>607</v>
      </c>
      <c r="B11" s="478">
        <v>0</v>
      </c>
      <c r="C11" s="432">
        <v>0</v>
      </c>
      <c r="D11" s="464"/>
    </row>
    <row r="12" spans="1:4" ht="12.75">
      <c r="A12" s="97" t="s">
        <v>608</v>
      </c>
      <c r="B12" s="478">
        <v>3484932</v>
      </c>
      <c r="C12" s="432">
        <v>1678672</v>
      </c>
      <c r="D12" s="464" t="s">
        <v>1440</v>
      </c>
    </row>
    <row r="13" spans="1:4" ht="12.75">
      <c r="A13" s="97" t="s">
        <v>609</v>
      </c>
      <c r="B13" s="478">
        <v>565683</v>
      </c>
      <c r="C13" s="432">
        <v>571384</v>
      </c>
      <c r="D13" s="464" t="s">
        <v>1437</v>
      </c>
    </row>
    <row r="14" spans="1:4" ht="12.75">
      <c r="A14" s="97" t="s">
        <v>610</v>
      </c>
      <c r="B14" s="478">
        <v>152303</v>
      </c>
      <c r="C14" s="432">
        <v>0</v>
      </c>
      <c r="D14" s="464"/>
    </row>
    <row r="15" spans="1:4" ht="25.5" customHeight="1">
      <c r="A15" s="97" t="s">
        <v>611</v>
      </c>
      <c r="B15" s="478">
        <v>0</v>
      </c>
      <c r="C15" s="432">
        <v>0</v>
      </c>
      <c r="D15" s="464"/>
    </row>
    <row r="16" spans="1:4" ht="12.75">
      <c r="A16" s="97" t="s">
        <v>612</v>
      </c>
      <c r="B16" s="478">
        <v>115000</v>
      </c>
      <c r="C16" s="432">
        <v>107000</v>
      </c>
      <c r="D16" s="464" t="s">
        <v>1441</v>
      </c>
    </row>
    <row r="17" spans="1:4" ht="12.75">
      <c r="A17" s="97" t="s">
        <v>613</v>
      </c>
      <c r="B17" s="478">
        <v>1595480</v>
      </c>
      <c r="C17" s="432">
        <v>1920070</v>
      </c>
      <c r="D17" s="464" t="s">
        <v>1442</v>
      </c>
    </row>
    <row r="18" spans="1:4" ht="25.5" customHeight="1">
      <c r="A18" s="97" t="s">
        <v>614</v>
      </c>
      <c r="B18" s="478">
        <v>5028407</v>
      </c>
      <c r="C18" s="432">
        <v>1319707</v>
      </c>
      <c r="D18" s="464" t="s">
        <v>1443</v>
      </c>
    </row>
    <row r="19" spans="1:4" ht="12.75">
      <c r="A19" s="97" t="s">
        <v>615</v>
      </c>
      <c r="B19" s="478">
        <v>0</v>
      </c>
      <c r="C19" s="432">
        <v>0</v>
      </c>
      <c r="D19" s="464"/>
    </row>
    <row r="20" spans="1:4" ht="25.5" customHeight="1">
      <c r="A20" s="97" t="s">
        <v>616</v>
      </c>
      <c r="B20" s="478">
        <v>10713235</v>
      </c>
      <c r="C20" s="432">
        <v>14211364</v>
      </c>
      <c r="D20" s="464" t="s">
        <v>1444</v>
      </c>
    </row>
    <row r="21" spans="1:4" ht="12.75">
      <c r="A21" s="97" t="s">
        <v>617</v>
      </c>
      <c r="B21" s="478">
        <v>566698</v>
      </c>
      <c r="C21" s="432">
        <v>0</v>
      </c>
      <c r="D21" s="464"/>
    </row>
    <row r="22" spans="1:4" ht="12.75">
      <c r="A22" s="97" t="s">
        <v>618</v>
      </c>
      <c r="B22" s="478">
        <v>2516709</v>
      </c>
      <c r="C22" s="432">
        <v>7835644</v>
      </c>
      <c r="D22" s="464" t="s">
        <v>1445</v>
      </c>
    </row>
    <row r="23" spans="1:4" ht="12.75">
      <c r="A23" s="97"/>
      <c r="B23" s="478"/>
      <c r="C23" s="432"/>
      <c r="D23" s="464">
        <v>0</v>
      </c>
    </row>
    <row r="24" spans="1:4" ht="12.75">
      <c r="A24" s="105" t="s">
        <v>1232</v>
      </c>
      <c r="B24" s="482">
        <v>54253447</v>
      </c>
      <c r="C24" s="483">
        <v>45109789</v>
      </c>
      <c r="D24" s="484" t="s">
        <v>1446</v>
      </c>
    </row>
    <row r="25" spans="1:4" s="301" customFormat="1" ht="12.75">
      <c r="A25" s="330"/>
      <c r="B25" s="304"/>
      <c r="C25" s="304"/>
      <c r="D25" s="303"/>
    </row>
    <row r="26" spans="1:4" ht="12.75">
      <c r="A26" s="100" t="s">
        <v>305</v>
      </c>
    </row>
    <row r="27" spans="1:4" ht="12.75">
      <c r="A27" s="774"/>
      <c r="B27" s="846"/>
      <c r="C27" s="846"/>
      <c r="D27" s="846"/>
    </row>
    <row r="28" spans="1:4" ht="12.75">
      <c r="A28" s="846"/>
      <c r="B28" s="846"/>
      <c r="C28" s="846"/>
      <c r="D28" s="846"/>
    </row>
    <row r="29" spans="1:4" ht="12.75">
      <c r="A29" s="846"/>
      <c r="B29" s="846"/>
      <c r="C29" s="846"/>
      <c r="D29" s="846"/>
    </row>
    <row r="30" spans="1:4" ht="12.75">
      <c r="A30" s="100"/>
    </row>
  </sheetData>
  <mergeCells count="9">
    <mergeCell ref="A27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6.85546875" style="95" customWidth="1" collapsed="1"/>
    <col min="3" max="3" width="17.42578125" style="95" customWidth="1" collapsed="1"/>
    <col min="4" max="4" width="19.85546875" style="95" customWidth="1" collapsed="1"/>
    <col min="5" max="16384" width="10.42578125" style="95" collapsed="1"/>
  </cols>
  <sheetData>
    <row r="1" spans="1:4" ht="18.75" customHeight="1">
      <c r="A1" s="847" t="s">
        <v>619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97" t="s">
        <v>620</v>
      </c>
      <c r="B9" s="478">
        <v>1283333</v>
      </c>
      <c r="C9" s="432">
        <v>22745914</v>
      </c>
      <c r="D9" s="464" t="s">
        <v>1447</v>
      </c>
    </row>
    <row r="10" spans="1:4" ht="12.75">
      <c r="A10" s="97" t="s">
        <v>621</v>
      </c>
      <c r="B10" s="478">
        <v>0</v>
      </c>
      <c r="C10" s="432">
        <v>0</v>
      </c>
      <c r="D10" s="464"/>
    </row>
    <row r="11" spans="1:4" ht="12.75">
      <c r="A11" s="97" t="s">
        <v>622</v>
      </c>
      <c r="B11" s="478">
        <v>3566000</v>
      </c>
      <c r="C11" s="432">
        <v>25000</v>
      </c>
      <c r="D11" s="464" t="s">
        <v>1448</v>
      </c>
    </row>
    <row r="12" spans="1:4" ht="12.75">
      <c r="A12" s="97" t="s">
        <v>623</v>
      </c>
      <c r="B12" s="478">
        <v>200000</v>
      </c>
      <c r="C12" s="432">
        <v>0</v>
      </c>
      <c r="D12" s="464"/>
    </row>
    <row r="13" spans="1:4" ht="12.75">
      <c r="A13" s="97" t="s">
        <v>624</v>
      </c>
      <c r="B13" s="478">
        <v>0</v>
      </c>
      <c r="C13" s="432">
        <v>0</v>
      </c>
      <c r="D13" s="464"/>
    </row>
    <row r="14" spans="1:4" ht="12.75">
      <c r="A14" s="97"/>
      <c r="B14" s="213"/>
      <c r="C14" s="195"/>
      <c r="D14" s="107"/>
    </row>
    <row r="15" spans="1:4" ht="12.75">
      <c r="A15" s="105" t="s">
        <v>1232</v>
      </c>
      <c r="B15" s="482">
        <v>5049333</v>
      </c>
      <c r="C15" s="483">
        <v>22770914</v>
      </c>
      <c r="D15" s="484" t="s">
        <v>1449</v>
      </c>
    </row>
    <row r="16" spans="1:4" s="301" customFormat="1" ht="12.75">
      <c r="A16" s="330"/>
      <c r="B16" s="304"/>
      <c r="C16" s="304"/>
      <c r="D16" s="303"/>
    </row>
    <row r="17" spans="1:4" ht="12.75">
      <c r="A17" s="100" t="s">
        <v>305</v>
      </c>
    </row>
    <row r="18" spans="1:4" ht="12.75">
      <c r="A18" s="774"/>
      <c r="B18" s="846"/>
      <c r="C18" s="846"/>
      <c r="D18" s="846"/>
    </row>
    <row r="19" spans="1:4" ht="12.75">
      <c r="A19" s="846"/>
      <c r="B19" s="846"/>
      <c r="C19" s="846"/>
      <c r="D19" s="846"/>
    </row>
    <row r="20" spans="1:4" ht="12.75">
      <c r="A20" s="846"/>
      <c r="B20" s="846"/>
      <c r="C20" s="846"/>
      <c r="D20" s="846"/>
    </row>
    <row r="21" spans="1:4" ht="12.75">
      <c r="A21" s="100"/>
    </row>
    <row r="22" spans="1:4" ht="12.75">
      <c r="A22" s="100"/>
    </row>
  </sheetData>
  <mergeCells count="9">
    <mergeCell ref="A18:D2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showGridLines="0" workbookViewId="0">
      <selection sqref="A1:D1"/>
    </sheetView>
  </sheetViews>
  <sheetFormatPr baseColWidth="10" defaultColWidth="10.42578125" defaultRowHeight="13.7" customHeight="1"/>
  <cols>
    <col min="1" max="1" width="33.5703125" style="95" customWidth="1" collapsed="1"/>
    <col min="2" max="2" width="14.42578125" style="95" customWidth="1" collapsed="1"/>
    <col min="3" max="3" width="14.85546875" style="95" customWidth="1" collapsed="1"/>
    <col min="4" max="4" width="16.140625" style="95" customWidth="1" collapsed="1"/>
    <col min="5" max="16384" width="10.42578125" style="95" collapsed="1"/>
  </cols>
  <sheetData>
    <row r="1" spans="1:4" ht="18.75" customHeight="1">
      <c r="A1" s="847" t="s">
        <v>625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12.75">
      <c r="A9" s="97" t="s">
        <v>626</v>
      </c>
      <c r="B9" s="478">
        <v>0</v>
      </c>
      <c r="C9" s="432">
        <v>0</v>
      </c>
      <c r="D9" s="464"/>
    </row>
    <row r="10" spans="1:4" ht="12.75">
      <c r="A10" s="97" t="s">
        <v>627</v>
      </c>
      <c r="B10" s="478">
        <v>0</v>
      </c>
      <c r="C10" s="432">
        <v>0</v>
      </c>
      <c r="D10" s="464"/>
    </row>
    <row r="11" spans="1:4" ht="25.5" customHeight="1">
      <c r="A11" s="97" t="s">
        <v>628</v>
      </c>
      <c r="B11" s="478">
        <v>0</v>
      </c>
      <c r="C11" s="432">
        <v>0</v>
      </c>
      <c r="D11" s="464"/>
    </row>
    <row r="12" spans="1:4" ht="25.5" customHeight="1">
      <c r="A12" s="97" t="s">
        <v>629</v>
      </c>
      <c r="B12" s="478">
        <v>0</v>
      </c>
      <c r="C12" s="432">
        <v>0</v>
      </c>
      <c r="D12" s="464"/>
    </row>
    <row r="13" spans="1:4" ht="25.5" customHeight="1">
      <c r="A13" s="97" t="s">
        <v>630</v>
      </c>
      <c r="B13" s="478">
        <v>7395312</v>
      </c>
      <c r="C13" s="432">
        <v>0</v>
      </c>
      <c r="D13" s="464"/>
    </row>
    <row r="14" spans="1:4" ht="12.75">
      <c r="A14" s="97" t="s">
        <v>631</v>
      </c>
      <c r="B14" s="478">
        <v>1430000</v>
      </c>
      <c r="C14" s="432">
        <v>5130000</v>
      </c>
      <c r="D14" s="464" t="s">
        <v>1450</v>
      </c>
    </row>
    <row r="15" spans="1:4" ht="12.75">
      <c r="A15" s="97" t="s">
        <v>632</v>
      </c>
      <c r="B15" s="478">
        <v>562145</v>
      </c>
      <c r="C15" s="432">
        <v>5026988</v>
      </c>
      <c r="D15" s="464" t="s">
        <v>1451</v>
      </c>
    </row>
    <row r="16" spans="1:4" ht="38.25" customHeight="1">
      <c r="A16" s="97" t="s">
        <v>633</v>
      </c>
      <c r="B16" s="478">
        <v>0</v>
      </c>
      <c r="C16" s="432">
        <v>0</v>
      </c>
      <c r="D16" s="464"/>
    </row>
    <row r="17" spans="1:4" ht="12.75">
      <c r="A17" s="97"/>
      <c r="B17" s="213"/>
      <c r="C17" s="195"/>
      <c r="D17" s="107"/>
    </row>
    <row r="18" spans="1:4" ht="12.75">
      <c r="A18" s="105" t="s">
        <v>98</v>
      </c>
      <c r="B18" s="533">
        <v>9387457</v>
      </c>
      <c r="C18" s="503">
        <v>10156988</v>
      </c>
      <c r="D18" s="484" t="s">
        <v>1452</v>
      </c>
    </row>
    <row r="19" spans="1:4" s="301" customFormat="1" ht="12.75">
      <c r="A19" s="330"/>
      <c r="B19" s="305"/>
      <c r="C19" s="305"/>
      <c r="D19" s="303"/>
    </row>
    <row r="20" spans="1:4" ht="12.75">
      <c r="A20" s="100" t="s">
        <v>305</v>
      </c>
    </row>
    <row r="21" spans="1:4" ht="12.75">
      <c r="A21" s="774"/>
      <c r="B21" s="846"/>
      <c r="C21" s="846"/>
      <c r="D21" s="846"/>
    </row>
    <row r="22" spans="1:4" ht="12.75">
      <c r="A22" s="846"/>
      <c r="B22" s="846"/>
      <c r="C22" s="846"/>
      <c r="D22" s="846"/>
    </row>
    <row r="23" spans="1:4" ht="12.75">
      <c r="A23" s="846"/>
      <c r="B23" s="846"/>
      <c r="C23" s="846"/>
      <c r="D23" s="846"/>
    </row>
    <row r="24" spans="1:4" ht="12.75">
      <c r="A24" s="100"/>
    </row>
  </sheetData>
  <mergeCells count="9">
    <mergeCell ref="A21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workbookViewId="0">
      <selection activeCell="B13" sqref="B13"/>
    </sheetView>
  </sheetViews>
  <sheetFormatPr baseColWidth="10" defaultColWidth="10.42578125" defaultRowHeight="13.7" customHeight="1"/>
  <cols>
    <col min="1" max="1" width="33.5703125" style="95" customWidth="1" collapsed="1"/>
    <col min="2" max="2" width="15.5703125" style="95" customWidth="1" collapsed="1"/>
    <col min="3" max="3" width="16.42578125" style="95" customWidth="1" collapsed="1"/>
    <col min="4" max="4" width="18.140625" style="95" customWidth="1" collapsed="1"/>
    <col min="5" max="16384" width="10.42578125" style="95" collapsed="1"/>
  </cols>
  <sheetData>
    <row r="1" spans="1:4" ht="18.75" customHeight="1">
      <c r="A1" s="847" t="s">
        <v>634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53" t="s">
        <v>359</v>
      </c>
      <c r="C7" s="855" t="s">
        <v>360</v>
      </c>
      <c r="D7" s="856" t="s">
        <v>387</v>
      </c>
    </row>
    <row r="8" spans="1:4" ht="12.75">
      <c r="A8" s="852"/>
      <c r="B8" s="854"/>
      <c r="C8" s="855"/>
      <c r="D8" s="856"/>
    </row>
    <row r="9" spans="1:4" ht="25.5" customHeight="1">
      <c r="A9" s="97" t="s">
        <v>635</v>
      </c>
      <c r="B9" s="478">
        <v>0</v>
      </c>
      <c r="C9" s="432">
        <v>0</v>
      </c>
      <c r="D9" s="464"/>
    </row>
    <row r="10" spans="1:4" ht="25.5" customHeight="1">
      <c r="A10" s="97" t="s">
        <v>636</v>
      </c>
      <c r="B10" s="478">
        <v>0</v>
      </c>
      <c r="C10" s="432">
        <v>0</v>
      </c>
      <c r="D10" s="464"/>
    </row>
    <row r="11" spans="1:4" ht="12.75">
      <c r="A11" s="97" t="s">
        <v>637</v>
      </c>
      <c r="B11" s="478">
        <v>0</v>
      </c>
      <c r="C11" s="432">
        <v>0</v>
      </c>
      <c r="D11" s="464"/>
    </row>
    <row r="12" spans="1:4" ht="25.5" customHeight="1">
      <c r="A12" s="97" t="s">
        <v>638</v>
      </c>
      <c r="B12" s="478">
        <v>0</v>
      </c>
      <c r="C12" s="432">
        <v>0</v>
      </c>
      <c r="D12" s="464"/>
    </row>
    <row r="13" spans="1:4" ht="25.5" customHeight="1">
      <c r="A13" s="97" t="s">
        <v>639</v>
      </c>
      <c r="B13" s="478">
        <v>77442921</v>
      </c>
      <c r="C13" s="432">
        <v>0</v>
      </c>
      <c r="D13" s="464"/>
    </row>
    <row r="14" spans="1:4" ht="12.75">
      <c r="A14" s="97" t="s">
        <v>640</v>
      </c>
      <c r="B14" s="478">
        <v>0</v>
      </c>
      <c r="C14" s="432">
        <v>0</v>
      </c>
      <c r="D14" s="464"/>
    </row>
    <row r="15" spans="1:4" ht="12.75">
      <c r="A15" s="97"/>
      <c r="B15" s="478"/>
      <c r="C15" s="432"/>
      <c r="D15" s="464"/>
    </row>
    <row r="16" spans="1:4" ht="12.75">
      <c r="A16" s="105" t="s">
        <v>1232</v>
      </c>
      <c r="B16" s="482">
        <v>77442921</v>
      </c>
      <c r="C16" s="483">
        <v>0</v>
      </c>
      <c r="D16" s="484"/>
    </row>
    <row r="17" spans="1:4" s="301" customFormat="1" ht="12.75">
      <c r="A17" s="330"/>
      <c r="B17" s="304"/>
      <c r="C17" s="304"/>
      <c r="D17" s="303"/>
    </row>
    <row r="18" spans="1:4" ht="12.75">
      <c r="A18" s="100" t="s">
        <v>305</v>
      </c>
    </row>
    <row r="19" spans="1:4" ht="12.75">
      <c r="A19" s="774"/>
      <c r="B19" s="846"/>
      <c r="C19" s="846"/>
      <c r="D19" s="846"/>
    </row>
    <row r="20" spans="1:4" ht="12.75">
      <c r="A20" s="846"/>
      <c r="B20" s="846"/>
      <c r="C20" s="846"/>
      <c r="D20" s="846"/>
    </row>
    <row r="21" spans="1:4" ht="12.75">
      <c r="A21" s="846"/>
      <c r="B21" s="846"/>
      <c r="C21" s="846"/>
      <c r="D21" s="846"/>
    </row>
  </sheetData>
  <mergeCells count="9">
    <mergeCell ref="A19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zoomScale="85" zoomScaleNormal="85" workbookViewId="0">
      <selection activeCell="P32" sqref="P32"/>
    </sheetView>
  </sheetViews>
  <sheetFormatPr baseColWidth="10" defaultColWidth="10.42578125" defaultRowHeight="13.7" customHeight="1"/>
  <cols>
    <col min="1" max="1" width="4.5703125" style="95" bestFit="1" customWidth="1" collapsed="1"/>
    <col min="2" max="2" width="35.42578125" style="95" customWidth="1" collapsed="1"/>
    <col min="3" max="16" width="12" style="95" customWidth="1" collapsed="1"/>
    <col min="17" max="17" width="13.28515625" style="95" bestFit="1" customWidth="1" collapsed="1"/>
    <col min="18" max="16384" width="10.42578125" style="95" collapsed="1"/>
  </cols>
  <sheetData>
    <row r="1" spans="1:17" ht="18.75" customHeight="1">
      <c r="B1" s="847" t="s">
        <v>641</v>
      </c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</row>
    <row r="2" spans="1:17" ht="12.75"/>
    <row r="3" spans="1:17" ht="12.75">
      <c r="B3" s="95" t="s">
        <v>268</v>
      </c>
      <c r="C3" s="111"/>
      <c r="D3" s="111"/>
      <c r="E3" s="111"/>
      <c r="F3" s="111"/>
      <c r="K3" s="95" t="s">
        <v>269</v>
      </c>
      <c r="N3" s="947">
        <f>+'Fiche de renseignement R1'!$V$10</f>
        <v>45657</v>
      </c>
      <c r="O3" s="948"/>
      <c r="P3" s="948"/>
    </row>
    <row r="4" spans="1:17" ht="12.75">
      <c r="B4" s="949" t="str">
        <f>'Fiche de renseignement R1'!$J$4</f>
        <v>MANDINGA RESSOURCES SARL</v>
      </c>
      <c r="C4" s="948"/>
      <c r="D4" s="948"/>
      <c r="E4" s="948"/>
      <c r="F4" s="948"/>
      <c r="G4" s="948"/>
      <c r="H4" s="948"/>
    </row>
    <row r="5" spans="1:17" ht="12.75">
      <c r="B5" s="95" t="s">
        <v>271</v>
      </c>
      <c r="C5" s="949" t="str">
        <f>+'Fiche de renseignement R1'!$J$10</f>
        <v>006495693</v>
      </c>
      <c r="D5" s="948"/>
      <c r="E5" s="948"/>
      <c r="K5" s="95" t="s">
        <v>270</v>
      </c>
      <c r="M5" s="949">
        <f>+'Fiche de renseignement R1'!$AH$10</f>
        <v>12</v>
      </c>
      <c r="N5" s="948"/>
    </row>
    <row r="7" spans="1:17" s="112" customFormat="1" ht="12.75">
      <c r="A7" s="566"/>
      <c r="B7" s="950" t="s">
        <v>642</v>
      </c>
      <c r="C7" s="953" t="s">
        <v>643</v>
      </c>
      <c r="D7" s="954"/>
      <c r="E7" s="954"/>
      <c r="F7" s="954"/>
      <c r="G7" s="954"/>
      <c r="H7" s="954"/>
      <c r="I7" s="955"/>
      <c r="J7" s="954" t="s">
        <v>644</v>
      </c>
      <c r="K7" s="954"/>
      <c r="L7" s="954"/>
      <c r="M7" s="954"/>
      <c r="N7" s="954"/>
      <c r="O7" s="954"/>
      <c r="P7" s="956"/>
    </row>
    <row r="8" spans="1:17" s="112" customFormat="1" ht="12.75" customHeight="1">
      <c r="A8" s="566"/>
      <c r="B8" s="951"/>
      <c r="C8" s="957" t="s">
        <v>645</v>
      </c>
      <c r="D8" s="958"/>
      <c r="E8" s="959" t="s">
        <v>646</v>
      </c>
      <c r="F8" s="960"/>
      <c r="G8" s="957" t="s">
        <v>647</v>
      </c>
      <c r="H8" s="958"/>
      <c r="I8" s="567" t="s">
        <v>98</v>
      </c>
      <c r="J8" s="961" t="s">
        <v>645</v>
      </c>
      <c r="K8" s="958"/>
      <c r="L8" s="962" t="s">
        <v>646</v>
      </c>
      <c r="M8" s="963"/>
      <c r="N8" s="964" t="s">
        <v>647</v>
      </c>
      <c r="O8" s="965"/>
      <c r="P8" s="568" t="s">
        <v>98</v>
      </c>
    </row>
    <row r="9" spans="1:17" s="112" customFormat="1" ht="12.75">
      <c r="A9" s="566"/>
      <c r="B9" s="952"/>
      <c r="C9" s="569" t="s">
        <v>648</v>
      </c>
      <c r="D9" s="569" t="s">
        <v>263</v>
      </c>
      <c r="E9" s="569" t="s">
        <v>648</v>
      </c>
      <c r="F9" s="569" t="s">
        <v>263</v>
      </c>
      <c r="G9" s="569" t="s">
        <v>648</v>
      </c>
      <c r="H9" s="569" t="s">
        <v>263</v>
      </c>
      <c r="I9" s="570"/>
      <c r="J9" s="571" t="s">
        <v>648</v>
      </c>
      <c r="K9" s="569" t="s">
        <v>263</v>
      </c>
      <c r="L9" s="572" t="s">
        <v>648</v>
      </c>
      <c r="M9" s="572" t="s">
        <v>263</v>
      </c>
      <c r="N9" s="572" t="s">
        <v>648</v>
      </c>
      <c r="O9" s="572" t="s">
        <v>263</v>
      </c>
      <c r="P9" s="573"/>
    </row>
    <row r="10" spans="1:17" s="112" customFormat="1" ht="12.75">
      <c r="A10" s="574" t="s">
        <v>649</v>
      </c>
      <c r="B10" s="575" t="s">
        <v>650</v>
      </c>
      <c r="C10" s="584">
        <v>0</v>
      </c>
      <c r="D10" s="584">
        <v>0</v>
      </c>
      <c r="E10" s="584">
        <v>0</v>
      </c>
      <c r="F10" s="584">
        <v>0</v>
      </c>
      <c r="G10" s="584">
        <v>0</v>
      </c>
      <c r="H10" s="584">
        <v>0</v>
      </c>
      <c r="I10" s="584">
        <v>0</v>
      </c>
      <c r="J10" s="584">
        <v>0</v>
      </c>
      <c r="K10" s="584">
        <v>0</v>
      </c>
      <c r="L10" s="584">
        <v>0</v>
      </c>
      <c r="M10" s="584">
        <v>0</v>
      </c>
      <c r="N10" s="584">
        <v>0</v>
      </c>
      <c r="O10" s="584">
        <v>0</v>
      </c>
      <c r="P10" s="584">
        <v>0</v>
      </c>
    </row>
    <row r="11" spans="1:17" s="112" customFormat="1" ht="25.5" customHeight="1">
      <c r="A11" s="574" t="s">
        <v>651</v>
      </c>
      <c r="B11" s="575" t="s">
        <v>652</v>
      </c>
      <c r="C11" s="584">
        <v>0</v>
      </c>
      <c r="D11" s="584">
        <v>0</v>
      </c>
      <c r="E11" s="584">
        <v>0</v>
      </c>
      <c r="F11" s="584">
        <v>0</v>
      </c>
      <c r="G11" s="584">
        <v>0</v>
      </c>
      <c r="H11" s="584">
        <v>0</v>
      </c>
      <c r="I11" s="584">
        <v>0</v>
      </c>
      <c r="J11" s="584">
        <v>0</v>
      </c>
      <c r="K11" s="584">
        <v>0</v>
      </c>
      <c r="L11" s="584">
        <v>0</v>
      </c>
      <c r="M11" s="584">
        <v>0</v>
      </c>
      <c r="N11" s="584">
        <v>0</v>
      </c>
      <c r="O11" s="584">
        <v>0</v>
      </c>
      <c r="P11" s="584">
        <v>0</v>
      </c>
    </row>
    <row r="12" spans="1:17" s="112" customFormat="1" ht="25.5" customHeight="1">
      <c r="A12" s="574" t="s">
        <v>653</v>
      </c>
      <c r="B12" s="575" t="s">
        <v>654</v>
      </c>
      <c r="C12" s="584">
        <v>0</v>
      </c>
      <c r="D12" s="584">
        <v>0</v>
      </c>
      <c r="E12" s="584">
        <v>0</v>
      </c>
      <c r="F12" s="584">
        <v>0</v>
      </c>
      <c r="G12" s="584">
        <v>0</v>
      </c>
      <c r="H12" s="584">
        <v>0</v>
      </c>
      <c r="I12" s="584">
        <v>0</v>
      </c>
      <c r="J12" s="584">
        <v>0</v>
      </c>
      <c r="K12" s="584">
        <v>0</v>
      </c>
      <c r="L12" s="584">
        <v>0</v>
      </c>
      <c r="M12" s="584">
        <v>0</v>
      </c>
      <c r="N12" s="584">
        <v>0</v>
      </c>
      <c r="O12" s="584">
        <v>0</v>
      </c>
      <c r="P12" s="584">
        <v>0</v>
      </c>
    </row>
    <row r="13" spans="1:17" s="112" customFormat="1" ht="25.5" customHeight="1">
      <c r="A13" s="574" t="s">
        <v>655</v>
      </c>
      <c r="B13" s="575" t="s">
        <v>656</v>
      </c>
      <c r="C13" s="584">
        <v>0</v>
      </c>
      <c r="D13" s="584">
        <v>0</v>
      </c>
      <c r="E13" s="584">
        <v>0</v>
      </c>
      <c r="F13" s="584">
        <v>0</v>
      </c>
      <c r="G13" s="584">
        <v>0</v>
      </c>
      <c r="H13" s="584">
        <v>0</v>
      </c>
      <c r="I13" s="584">
        <v>0</v>
      </c>
      <c r="J13" s="584">
        <v>0</v>
      </c>
      <c r="K13" s="584">
        <v>0</v>
      </c>
      <c r="L13" s="584">
        <v>0</v>
      </c>
      <c r="M13" s="584">
        <v>0</v>
      </c>
      <c r="N13" s="584">
        <v>0</v>
      </c>
      <c r="O13" s="584">
        <v>0</v>
      </c>
      <c r="P13" s="584">
        <v>0</v>
      </c>
    </row>
    <row r="14" spans="1:17" s="112" customFormat="1" ht="12.75">
      <c r="A14" s="574" t="s">
        <v>657</v>
      </c>
      <c r="B14" s="576" t="s">
        <v>658</v>
      </c>
      <c r="C14" s="584">
        <f>SUM(C10:C13)</f>
        <v>0</v>
      </c>
      <c r="D14" s="584">
        <v>0</v>
      </c>
      <c r="E14" s="584">
        <v>0</v>
      </c>
      <c r="F14" s="584">
        <v>0</v>
      </c>
      <c r="G14" s="584">
        <v>0</v>
      </c>
      <c r="H14" s="584">
        <v>0</v>
      </c>
      <c r="I14" s="584">
        <v>0</v>
      </c>
      <c r="J14" s="584">
        <v>0</v>
      </c>
      <c r="K14" s="584">
        <v>0</v>
      </c>
      <c r="L14" s="584">
        <v>0</v>
      </c>
      <c r="M14" s="584">
        <v>0</v>
      </c>
      <c r="N14" s="584">
        <v>0</v>
      </c>
      <c r="O14" s="584">
        <v>0</v>
      </c>
      <c r="P14" s="584">
        <v>0</v>
      </c>
      <c r="Q14" s="354"/>
    </row>
    <row r="15" spans="1:17" s="112" customFormat="1" ht="12.75">
      <c r="A15" s="574"/>
      <c r="B15" s="577"/>
      <c r="C15" s="584">
        <v>0</v>
      </c>
      <c r="D15" s="584">
        <v>0</v>
      </c>
      <c r="E15" s="584">
        <v>0</v>
      </c>
      <c r="F15" s="584">
        <v>0</v>
      </c>
      <c r="G15" s="584">
        <v>0</v>
      </c>
      <c r="H15" s="584">
        <v>0</v>
      </c>
      <c r="I15" s="584">
        <v>0</v>
      </c>
      <c r="J15" s="584">
        <v>0</v>
      </c>
      <c r="K15" s="584">
        <v>0</v>
      </c>
      <c r="L15" s="584">
        <v>0</v>
      </c>
      <c r="M15" s="584">
        <v>0</v>
      </c>
      <c r="N15" s="584">
        <v>0</v>
      </c>
      <c r="O15" s="584">
        <v>0</v>
      </c>
      <c r="P15" s="584">
        <v>0</v>
      </c>
    </row>
    <row r="16" spans="1:17" s="112" customFormat="1" ht="12" customHeight="1">
      <c r="A16" s="574" t="s">
        <v>659</v>
      </c>
      <c r="B16" s="577" t="s">
        <v>1093</v>
      </c>
      <c r="C16" s="584">
        <v>0</v>
      </c>
      <c r="D16" s="584">
        <v>0</v>
      </c>
      <c r="E16" s="584">
        <v>0</v>
      </c>
      <c r="F16" s="584">
        <v>0</v>
      </c>
      <c r="G16" s="584">
        <v>0</v>
      </c>
      <c r="H16" s="584">
        <v>0</v>
      </c>
      <c r="I16" s="584">
        <v>0</v>
      </c>
      <c r="J16" s="584">
        <v>0</v>
      </c>
      <c r="K16" s="584">
        <v>0</v>
      </c>
      <c r="L16" s="584">
        <v>0</v>
      </c>
      <c r="M16" s="584">
        <v>0</v>
      </c>
      <c r="N16" s="584">
        <v>0</v>
      </c>
      <c r="O16" s="584">
        <v>0</v>
      </c>
      <c r="P16" s="584">
        <v>0</v>
      </c>
    </row>
    <row r="17" spans="1:17" s="112" customFormat="1" ht="12.75">
      <c r="A17" s="574" t="s">
        <v>660</v>
      </c>
      <c r="B17" s="577" t="s">
        <v>1094</v>
      </c>
      <c r="C17" s="584">
        <v>0</v>
      </c>
      <c r="D17" s="584">
        <v>0</v>
      </c>
      <c r="E17" s="584">
        <v>0</v>
      </c>
      <c r="F17" s="584">
        <v>0</v>
      </c>
      <c r="G17" s="584">
        <v>0</v>
      </c>
      <c r="H17" s="584">
        <v>0</v>
      </c>
      <c r="I17" s="584">
        <v>0</v>
      </c>
      <c r="J17" s="584">
        <v>0</v>
      </c>
      <c r="K17" s="584">
        <v>0</v>
      </c>
      <c r="L17" s="584">
        <v>0</v>
      </c>
      <c r="M17" s="584">
        <v>0</v>
      </c>
      <c r="N17" s="584">
        <v>0</v>
      </c>
      <c r="O17" s="584">
        <v>0</v>
      </c>
      <c r="P17" s="584">
        <v>0</v>
      </c>
      <c r="Q17" s="354"/>
    </row>
    <row r="18" spans="1:17" s="112" customFormat="1" ht="12.75">
      <c r="A18" s="578"/>
      <c r="B18" s="579"/>
      <c r="C18" s="566"/>
      <c r="D18" s="566"/>
      <c r="E18" s="566"/>
      <c r="F18" s="566"/>
      <c r="G18" s="566"/>
      <c r="H18" s="566"/>
      <c r="I18" s="566"/>
      <c r="J18" s="566"/>
      <c r="K18" s="566"/>
      <c r="L18" s="580"/>
      <c r="M18" s="580"/>
      <c r="N18" s="580"/>
      <c r="O18" s="580"/>
      <c r="P18" s="580"/>
    </row>
    <row r="19" spans="1:17" s="112" customFormat="1" ht="9.75" customHeight="1">
      <c r="A19" s="578"/>
      <c r="B19" s="581"/>
      <c r="C19" s="566"/>
      <c r="D19" s="566"/>
      <c r="E19" s="566"/>
      <c r="F19" s="566"/>
      <c r="G19" s="566"/>
      <c r="H19" s="566"/>
      <c r="I19" s="566"/>
      <c r="J19" s="566"/>
      <c r="K19" s="566"/>
      <c r="L19" s="580"/>
      <c r="M19" s="580"/>
      <c r="N19" s="580"/>
      <c r="O19" s="580"/>
      <c r="P19" s="580"/>
    </row>
    <row r="20" spans="1:17" s="112" customFormat="1" ht="23.25" customHeight="1">
      <c r="A20" s="578"/>
      <c r="B20" s="581" t="s">
        <v>661</v>
      </c>
      <c r="C20" s="566"/>
      <c r="D20" s="566"/>
      <c r="E20" s="566"/>
      <c r="F20" s="566"/>
      <c r="G20" s="566"/>
      <c r="H20" s="566"/>
      <c r="I20" s="582"/>
      <c r="J20" s="945" t="s">
        <v>662</v>
      </c>
      <c r="K20" s="946"/>
      <c r="L20" s="580"/>
      <c r="M20" s="580"/>
      <c r="N20" s="580"/>
      <c r="O20" s="580"/>
      <c r="P20" s="580"/>
    </row>
    <row r="21" spans="1:17" s="112" customFormat="1" ht="12.75">
      <c r="A21" s="574" t="s">
        <v>663</v>
      </c>
      <c r="B21" s="575" t="s">
        <v>650</v>
      </c>
      <c r="C21" s="584">
        <v>0</v>
      </c>
      <c r="D21" s="584">
        <v>0</v>
      </c>
      <c r="E21" s="584">
        <v>0</v>
      </c>
      <c r="F21" s="584">
        <v>0</v>
      </c>
      <c r="G21" s="584">
        <v>0</v>
      </c>
      <c r="H21" s="584">
        <v>0</v>
      </c>
      <c r="I21" s="584">
        <v>0</v>
      </c>
      <c r="J21" s="584">
        <v>0</v>
      </c>
      <c r="K21" s="584">
        <v>0</v>
      </c>
      <c r="L21" s="580"/>
      <c r="M21" s="580"/>
      <c r="N21" s="580"/>
      <c r="O21" s="580"/>
      <c r="P21" s="580"/>
    </row>
    <row r="22" spans="1:17" s="112" customFormat="1" ht="25.5" customHeight="1">
      <c r="A22" s="574" t="s">
        <v>664</v>
      </c>
      <c r="B22" s="575" t="s">
        <v>652</v>
      </c>
      <c r="C22" s="584">
        <v>0</v>
      </c>
      <c r="D22" s="584">
        <v>0</v>
      </c>
      <c r="E22" s="584">
        <v>0</v>
      </c>
      <c r="F22" s="584">
        <v>0</v>
      </c>
      <c r="G22" s="584">
        <v>0</v>
      </c>
      <c r="H22" s="584">
        <v>0</v>
      </c>
      <c r="I22" s="584">
        <v>16</v>
      </c>
      <c r="J22" s="584">
        <v>77442921</v>
      </c>
      <c r="K22" s="584">
        <v>0</v>
      </c>
      <c r="L22" s="580"/>
      <c r="M22" s="580"/>
      <c r="N22" s="580"/>
      <c r="O22" s="580"/>
      <c r="P22" s="580"/>
    </row>
    <row r="23" spans="1:17" s="112" customFormat="1" ht="25.5" customHeight="1">
      <c r="A23" s="574" t="s">
        <v>665</v>
      </c>
      <c r="B23" s="575" t="s">
        <v>654</v>
      </c>
      <c r="C23" s="584">
        <v>0</v>
      </c>
      <c r="D23" s="584">
        <v>0</v>
      </c>
      <c r="E23" s="584">
        <v>0</v>
      </c>
      <c r="F23" s="584">
        <v>0</v>
      </c>
      <c r="G23" s="584">
        <v>0</v>
      </c>
      <c r="H23" s="584">
        <v>0</v>
      </c>
      <c r="I23" s="584">
        <v>0</v>
      </c>
      <c r="J23" s="584">
        <v>0</v>
      </c>
      <c r="K23" s="584">
        <v>0</v>
      </c>
      <c r="L23" s="580"/>
      <c r="M23" s="580"/>
      <c r="N23" s="580"/>
      <c r="O23" s="580"/>
      <c r="P23" s="580"/>
    </row>
    <row r="24" spans="1:17" s="112" customFormat="1" ht="25.5" customHeight="1">
      <c r="A24" s="574" t="s">
        <v>666</v>
      </c>
      <c r="B24" s="575" t="s">
        <v>656</v>
      </c>
      <c r="C24" s="584">
        <f>SUM(C21:C23)</f>
        <v>0</v>
      </c>
      <c r="D24" s="584">
        <f t="shared" ref="D24:I24" si="0">SUM(D21:D23)</f>
        <v>0</v>
      </c>
      <c r="E24" s="584">
        <f t="shared" si="0"/>
        <v>0</v>
      </c>
      <c r="F24" s="584">
        <f t="shared" si="0"/>
        <v>0</v>
      </c>
      <c r="G24" s="584">
        <f t="shared" si="0"/>
        <v>0</v>
      </c>
      <c r="H24" s="584">
        <f t="shared" si="0"/>
        <v>0</v>
      </c>
      <c r="I24" s="584">
        <f t="shared" si="0"/>
        <v>16</v>
      </c>
      <c r="J24" s="584">
        <v>0</v>
      </c>
      <c r="K24" s="584">
        <v>0</v>
      </c>
      <c r="L24" s="580"/>
      <c r="M24" s="580"/>
      <c r="N24" s="580"/>
      <c r="O24" s="580"/>
      <c r="P24" s="580"/>
    </row>
    <row r="25" spans="1:17" s="112" customFormat="1" ht="12.75">
      <c r="A25" s="574" t="s">
        <v>667</v>
      </c>
      <c r="B25" s="576" t="s">
        <v>668</v>
      </c>
      <c r="C25" s="584">
        <f>SUM(C21:C24)</f>
        <v>0</v>
      </c>
      <c r="D25" s="584">
        <f t="shared" ref="D25:H25" si="1">SUM(D21:D24)</f>
        <v>0</v>
      </c>
      <c r="E25" s="584">
        <f t="shared" si="1"/>
        <v>0</v>
      </c>
      <c r="F25" s="584">
        <f t="shared" si="1"/>
        <v>0</v>
      </c>
      <c r="G25" s="584">
        <f t="shared" si="1"/>
        <v>0</v>
      </c>
      <c r="H25" s="584">
        <f t="shared" si="1"/>
        <v>0</v>
      </c>
      <c r="I25" s="584">
        <v>0</v>
      </c>
      <c r="J25" s="584">
        <v>0</v>
      </c>
      <c r="K25" s="584">
        <v>0</v>
      </c>
      <c r="L25" s="580"/>
      <c r="M25" s="580"/>
      <c r="N25" s="580"/>
      <c r="O25" s="580"/>
      <c r="P25" s="580"/>
    </row>
    <row r="26" spans="1:17" s="112" customFormat="1" ht="12.75">
      <c r="A26" s="574"/>
      <c r="B26" s="577"/>
      <c r="C26" s="584">
        <v>0</v>
      </c>
      <c r="D26" s="584">
        <v>0</v>
      </c>
      <c r="E26" s="584">
        <v>0</v>
      </c>
      <c r="F26" s="584">
        <v>0</v>
      </c>
      <c r="G26" s="584">
        <v>0</v>
      </c>
      <c r="H26" s="584">
        <v>0</v>
      </c>
      <c r="I26" s="584">
        <v>0</v>
      </c>
      <c r="J26" s="584">
        <v>0</v>
      </c>
      <c r="K26" s="584">
        <v>0</v>
      </c>
      <c r="L26" s="580"/>
      <c r="M26" s="580"/>
      <c r="N26" s="580"/>
      <c r="O26" s="580"/>
      <c r="P26" s="580"/>
    </row>
    <row r="27" spans="1:17" s="112" customFormat="1" ht="12.75">
      <c r="A27" s="574" t="s">
        <v>669</v>
      </c>
      <c r="B27" s="577" t="s">
        <v>1093</v>
      </c>
      <c r="C27" s="584">
        <v>0</v>
      </c>
      <c r="D27" s="584">
        <v>0</v>
      </c>
      <c r="E27" s="584">
        <v>0</v>
      </c>
      <c r="F27" s="584">
        <v>0</v>
      </c>
      <c r="G27" s="584">
        <v>0</v>
      </c>
      <c r="H27" s="584">
        <v>0</v>
      </c>
      <c r="I27" s="584">
        <v>0</v>
      </c>
      <c r="J27" s="584">
        <v>0</v>
      </c>
      <c r="K27" s="584">
        <v>0</v>
      </c>
      <c r="L27" s="580"/>
      <c r="M27" s="580"/>
      <c r="N27" s="580"/>
      <c r="O27" s="580"/>
      <c r="P27" s="580"/>
    </row>
    <row r="28" spans="1:17" s="113" customFormat="1" ht="12.75">
      <c r="A28" s="583" t="s">
        <v>670</v>
      </c>
      <c r="B28" s="577" t="s">
        <v>1094</v>
      </c>
      <c r="C28" s="584">
        <v>0</v>
      </c>
      <c r="D28" s="584">
        <v>0</v>
      </c>
      <c r="E28" s="584">
        <v>0</v>
      </c>
      <c r="F28" s="584">
        <v>0</v>
      </c>
      <c r="G28" s="584">
        <v>0</v>
      </c>
      <c r="H28" s="584">
        <v>0</v>
      </c>
      <c r="I28" s="584">
        <v>0</v>
      </c>
      <c r="J28" s="584">
        <v>0</v>
      </c>
      <c r="K28" s="584">
        <v>0</v>
      </c>
      <c r="L28" s="580"/>
      <c r="M28" s="580"/>
      <c r="N28" s="580"/>
      <c r="O28" s="580"/>
      <c r="P28" s="580"/>
      <c r="Q28" s="112"/>
    </row>
    <row r="29" spans="1:17" s="113" customFormat="1" ht="12.75">
      <c r="A29" s="583"/>
      <c r="B29" s="577"/>
      <c r="C29" s="584">
        <v>0</v>
      </c>
      <c r="D29" s="584">
        <v>0</v>
      </c>
      <c r="E29" s="584">
        <v>0</v>
      </c>
      <c r="F29" s="584">
        <v>0</v>
      </c>
      <c r="G29" s="584">
        <v>0</v>
      </c>
      <c r="H29" s="584">
        <v>0</v>
      </c>
      <c r="I29" s="584">
        <v>0</v>
      </c>
      <c r="J29" s="584">
        <v>0</v>
      </c>
      <c r="K29" s="584">
        <v>0</v>
      </c>
      <c r="L29" s="580"/>
      <c r="M29" s="580"/>
      <c r="N29" s="580"/>
      <c r="O29" s="580"/>
      <c r="P29" s="580"/>
      <c r="Q29" s="112"/>
    </row>
    <row r="30" spans="1:17" s="113" customFormat="1" ht="12.75">
      <c r="A30" s="583" t="s">
        <v>671</v>
      </c>
      <c r="B30" s="576" t="s">
        <v>672</v>
      </c>
      <c r="C30" s="584">
        <f>C14+C25</f>
        <v>0</v>
      </c>
      <c r="D30" s="584">
        <f t="shared" ref="D30:H30" si="2">D14+D25</f>
        <v>0</v>
      </c>
      <c r="E30" s="584">
        <f t="shared" si="2"/>
        <v>0</v>
      </c>
      <c r="F30" s="584">
        <f t="shared" si="2"/>
        <v>0</v>
      </c>
      <c r="G30" s="584">
        <f t="shared" si="2"/>
        <v>0</v>
      </c>
      <c r="H30" s="584">
        <f t="shared" si="2"/>
        <v>0</v>
      </c>
      <c r="I30" s="584">
        <v>16</v>
      </c>
      <c r="J30" s="584">
        <f>SUM(J21:J29)</f>
        <v>77442921</v>
      </c>
      <c r="K30" s="584">
        <v>0</v>
      </c>
      <c r="L30" s="580"/>
      <c r="M30" s="580"/>
      <c r="N30" s="580"/>
      <c r="O30" s="580"/>
      <c r="P30" s="580"/>
      <c r="Q30" s="112"/>
    </row>
    <row r="31" spans="1:17" s="337" customFormat="1" ht="12.75">
      <c r="A31" s="333"/>
      <c r="B31" s="334"/>
      <c r="C31" s="335"/>
      <c r="D31" s="335"/>
      <c r="E31" s="335"/>
      <c r="F31" s="335"/>
      <c r="G31" s="335"/>
      <c r="H31" s="335"/>
      <c r="I31" s="335"/>
      <c r="J31" s="336"/>
      <c r="K31" s="336"/>
    </row>
    <row r="32" spans="1:17" ht="14.45" customHeight="1">
      <c r="B32" s="100" t="s">
        <v>305</v>
      </c>
      <c r="C32" s="214"/>
      <c r="D32" s="214"/>
      <c r="E32" s="214"/>
      <c r="F32" s="214"/>
      <c r="G32" s="214"/>
      <c r="H32" s="214"/>
      <c r="I32" s="214"/>
      <c r="J32" s="214"/>
      <c r="K32" s="214"/>
    </row>
    <row r="33" spans="1:11" ht="12.75">
      <c r="A33" s="196"/>
      <c r="B33" s="774"/>
      <c r="C33" s="846"/>
      <c r="D33" s="846"/>
      <c r="E33" s="846"/>
      <c r="F33" s="846"/>
      <c r="G33" s="846"/>
      <c r="H33" s="846"/>
      <c r="I33" s="846"/>
      <c r="J33" s="846"/>
      <c r="K33" s="846"/>
    </row>
    <row r="34" spans="1:11" ht="12.75">
      <c r="A34" s="196"/>
      <c r="B34" s="846"/>
      <c r="C34" s="846"/>
      <c r="D34" s="846"/>
      <c r="E34" s="846"/>
      <c r="F34" s="846"/>
      <c r="G34" s="846"/>
      <c r="H34" s="846"/>
      <c r="I34" s="846"/>
      <c r="J34" s="846"/>
      <c r="K34" s="846"/>
    </row>
    <row r="35" spans="1:11" ht="12.75">
      <c r="A35" s="196"/>
      <c r="B35" s="846"/>
      <c r="C35" s="846"/>
      <c r="D35" s="846"/>
      <c r="E35" s="846"/>
      <c r="F35" s="846"/>
      <c r="G35" s="846"/>
      <c r="H35" s="846"/>
      <c r="I35" s="846"/>
      <c r="J35" s="846"/>
      <c r="K35" s="846"/>
    </row>
  </sheetData>
  <mergeCells count="16">
    <mergeCell ref="B33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1:I31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10:P17 C21:K30"/>
  </dataValidations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topLeftCell="A5" workbookViewId="0">
      <selection activeCell="G22" sqref="G22"/>
    </sheetView>
  </sheetViews>
  <sheetFormatPr baseColWidth="10" defaultColWidth="10.42578125" defaultRowHeight="13.35" customHeight="1"/>
  <cols>
    <col min="1" max="1" width="38.85546875" style="114" customWidth="1" collapsed="1"/>
    <col min="2" max="9" width="13.5703125" style="114" customWidth="1" collapsed="1"/>
    <col min="10" max="16384" width="10.42578125" style="114" collapsed="1"/>
  </cols>
  <sheetData>
    <row r="1" spans="1:9" s="95" customFormat="1" ht="18.75" customHeight="1">
      <c r="A1" s="847" t="s">
        <v>673</v>
      </c>
      <c r="B1" s="847"/>
      <c r="C1" s="847"/>
      <c r="D1" s="847"/>
      <c r="E1" s="847"/>
      <c r="F1" s="847"/>
      <c r="G1" s="847"/>
      <c r="H1" s="847"/>
      <c r="I1" s="847"/>
    </row>
    <row r="2" spans="1:9" s="95" customFormat="1" ht="13.7" customHeight="1"/>
    <row r="3" spans="1:9" s="95" customFormat="1" ht="13.7" customHeight="1">
      <c r="A3" s="848" t="s">
        <v>268</v>
      </c>
      <c r="B3" s="848"/>
      <c r="C3" s="848"/>
      <c r="G3" s="95" t="s">
        <v>269</v>
      </c>
      <c r="H3" s="824">
        <f>+'Fiche de renseignement R1'!$V$10</f>
        <v>45657</v>
      </c>
      <c r="I3" s="931"/>
    </row>
    <row r="4" spans="1:9" s="95" customFormat="1" ht="13.7" customHeight="1">
      <c r="A4" s="826" t="str">
        <f>'Fiche de renseignement R1'!$J$4</f>
        <v>MANDINGA RESSOURCES SARL</v>
      </c>
      <c r="B4" s="849"/>
      <c r="C4" s="849"/>
      <c r="G4" s="932" t="s">
        <v>270</v>
      </c>
      <c r="H4" s="716">
        <f>+'Fiche de renseignement R1'!$AH$10</f>
        <v>12</v>
      </c>
      <c r="I4" s="875"/>
    </row>
    <row r="5" spans="1:9" s="95" customFormat="1" ht="13.7" customHeight="1">
      <c r="A5" s="95" t="s">
        <v>271</v>
      </c>
      <c r="B5" s="831" t="str">
        <f>+'Fiche de renseignement R1'!$J$10</f>
        <v>006495693</v>
      </c>
      <c r="C5" s="876"/>
      <c r="G5" s="932"/>
      <c r="H5" s="850"/>
      <c r="I5" s="850"/>
    </row>
    <row r="7" spans="1:9" s="112" customFormat="1" ht="13.7" customHeight="1">
      <c r="A7" s="115" t="s">
        <v>311</v>
      </c>
      <c r="B7" s="116" t="s">
        <v>111</v>
      </c>
      <c r="C7" s="967" t="s">
        <v>230</v>
      </c>
      <c r="D7" s="968"/>
      <c r="E7" s="969"/>
      <c r="F7" s="967" t="s">
        <v>243</v>
      </c>
      <c r="G7" s="968"/>
      <c r="H7" s="969"/>
      <c r="I7" s="117" t="s">
        <v>674</v>
      </c>
    </row>
    <row r="8" spans="1:9" s="112" customFormat="1" ht="13.7" customHeight="1">
      <c r="A8" s="118"/>
      <c r="B8" s="970" t="s">
        <v>675</v>
      </c>
      <c r="C8" s="967" t="s">
        <v>676</v>
      </c>
      <c r="D8" s="968"/>
      <c r="E8" s="969"/>
      <c r="F8" s="967" t="s">
        <v>677</v>
      </c>
      <c r="G8" s="968"/>
      <c r="H8" s="969"/>
      <c r="I8" s="966" t="s">
        <v>678</v>
      </c>
    </row>
    <row r="9" spans="1:9" s="112" customFormat="1" ht="25.5" customHeight="1">
      <c r="A9" s="119" t="s">
        <v>679</v>
      </c>
      <c r="B9" s="970"/>
      <c r="C9" s="120" t="s">
        <v>680</v>
      </c>
      <c r="D9" s="121" t="s">
        <v>681</v>
      </c>
      <c r="E9" s="122" t="s">
        <v>682</v>
      </c>
      <c r="F9" s="120" t="s">
        <v>680</v>
      </c>
      <c r="G9" s="121" t="s">
        <v>681</v>
      </c>
      <c r="H9" s="122" t="s">
        <v>682</v>
      </c>
      <c r="I9" s="966"/>
    </row>
    <row r="10" spans="1:9" s="123" customFormat="1" ht="13.7" customHeight="1">
      <c r="A10" s="469" t="s">
        <v>1453</v>
      </c>
      <c r="B10" s="535">
        <v>0</v>
      </c>
      <c r="C10" s="536">
        <v>0</v>
      </c>
      <c r="D10" s="537">
        <v>0</v>
      </c>
      <c r="E10" s="535">
        <v>0</v>
      </c>
      <c r="F10" s="536">
        <v>0</v>
      </c>
      <c r="G10" s="537">
        <v>0</v>
      </c>
      <c r="H10" s="535">
        <v>0</v>
      </c>
      <c r="I10" s="538">
        <v>0</v>
      </c>
    </row>
    <row r="11" spans="1:9" s="123" customFormat="1" ht="25.5" customHeight="1">
      <c r="A11" s="469" t="s">
        <v>1454</v>
      </c>
      <c r="B11" s="535">
        <v>0</v>
      </c>
      <c r="C11" s="536">
        <v>0</v>
      </c>
      <c r="D11" s="537">
        <v>0</v>
      </c>
      <c r="E11" s="535">
        <v>0</v>
      </c>
      <c r="F11" s="536">
        <v>0</v>
      </c>
      <c r="G11" s="537">
        <v>0</v>
      </c>
      <c r="H11" s="535">
        <v>0</v>
      </c>
      <c r="I11" s="538">
        <v>0</v>
      </c>
    </row>
    <row r="12" spans="1:9" s="123" customFormat="1" ht="13.7" customHeight="1">
      <c r="A12" s="469" t="s">
        <v>1455</v>
      </c>
      <c r="B12" s="535">
        <v>0</v>
      </c>
      <c r="C12" s="536">
        <v>0</v>
      </c>
      <c r="D12" s="537">
        <v>0</v>
      </c>
      <c r="E12" s="535">
        <v>0</v>
      </c>
      <c r="F12" s="536">
        <v>0</v>
      </c>
      <c r="G12" s="537">
        <v>0</v>
      </c>
      <c r="H12" s="535">
        <v>0</v>
      </c>
      <c r="I12" s="538">
        <v>0</v>
      </c>
    </row>
    <row r="13" spans="1:9" s="123" customFormat="1" ht="13.7" customHeight="1">
      <c r="A13" s="520" t="s">
        <v>1456</v>
      </c>
      <c r="B13" s="539">
        <v>0</v>
      </c>
      <c r="C13" s="540">
        <v>0</v>
      </c>
      <c r="D13" s="541">
        <v>0</v>
      </c>
      <c r="E13" s="539">
        <v>0</v>
      </c>
      <c r="F13" s="540">
        <v>0</v>
      </c>
      <c r="G13" s="541">
        <v>0</v>
      </c>
      <c r="H13" s="539">
        <v>0</v>
      </c>
      <c r="I13" s="542">
        <v>0</v>
      </c>
    </row>
    <row r="14" spans="1:9" s="339" customFormat="1" ht="13.7" customHeight="1">
      <c r="A14" s="521"/>
      <c r="B14" s="543"/>
      <c r="C14" s="544"/>
      <c r="D14" s="545"/>
      <c r="E14" s="543"/>
      <c r="F14" s="544"/>
      <c r="G14" s="545"/>
      <c r="H14" s="543"/>
      <c r="I14" s="546"/>
    </row>
    <row r="15" spans="1:9" s="123" customFormat="1" ht="13.7" customHeight="1">
      <c r="A15" s="469" t="s">
        <v>1457</v>
      </c>
      <c r="B15" s="535">
        <v>0</v>
      </c>
      <c r="C15" s="536">
        <v>0</v>
      </c>
      <c r="D15" s="537">
        <v>0</v>
      </c>
      <c r="E15" s="535">
        <v>0</v>
      </c>
      <c r="F15" s="536">
        <v>0</v>
      </c>
      <c r="G15" s="537">
        <v>0</v>
      </c>
      <c r="H15" s="535">
        <v>0</v>
      </c>
      <c r="I15" s="538">
        <v>0</v>
      </c>
    </row>
    <row r="16" spans="1:9" s="123" customFormat="1" ht="13.7" customHeight="1">
      <c r="A16" s="469" t="s">
        <v>1458</v>
      </c>
      <c r="B16" s="535">
        <v>0</v>
      </c>
      <c r="C16" s="536">
        <v>0</v>
      </c>
      <c r="D16" s="537">
        <v>0</v>
      </c>
      <c r="E16" s="535">
        <v>0</v>
      </c>
      <c r="F16" s="536">
        <v>0</v>
      </c>
      <c r="G16" s="537">
        <v>0</v>
      </c>
      <c r="H16" s="535">
        <v>0</v>
      </c>
      <c r="I16" s="538">
        <v>0</v>
      </c>
    </row>
    <row r="17" spans="1:9" s="123" customFormat="1" ht="13.7" customHeight="1">
      <c r="A17" s="469" t="s">
        <v>1459</v>
      </c>
      <c r="B17" s="535">
        <v>0</v>
      </c>
      <c r="C17" s="536">
        <v>0</v>
      </c>
      <c r="D17" s="537">
        <v>0</v>
      </c>
      <c r="E17" s="535">
        <v>0</v>
      </c>
      <c r="F17" s="536">
        <v>0</v>
      </c>
      <c r="G17" s="537">
        <v>0</v>
      </c>
      <c r="H17" s="535">
        <v>0</v>
      </c>
      <c r="I17" s="538">
        <v>0</v>
      </c>
    </row>
    <row r="18" spans="1:9" s="123" customFormat="1" ht="13.7" customHeight="1">
      <c r="A18" s="469" t="s">
        <v>1460</v>
      </c>
      <c r="B18" s="535">
        <v>0</v>
      </c>
      <c r="C18" s="536">
        <v>0</v>
      </c>
      <c r="D18" s="537">
        <v>0</v>
      </c>
      <c r="E18" s="535">
        <v>0</v>
      </c>
      <c r="F18" s="536">
        <v>0</v>
      </c>
      <c r="G18" s="537">
        <v>0</v>
      </c>
      <c r="H18" s="535">
        <v>0</v>
      </c>
      <c r="I18" s="538">
        <v>0</v>
      </c>
    </row>
    <row r="19" spans="1:9" s="123" customFormat="1" ht="13.7" customHeight="1">
      <c r="A19" s="469" t="s">
        <v>1461</v>
      </c>
      <c r="B19" s="535">
        <v>0</v>
      </c>
      <c r="C19" s="536">
        <v>0</v>
      </c>
      <c r="D19" s="537">
        <v>0</v>
      </c>
      <c r="E19" s="535">
        <v>0</v>
      </c>
      <c r="F19" s="536">
        <v>0</v>
      </c>
      <c r="G19" s="537">
        <v>0</v>
      </c>
      <c r="H19" s="535">
        <v>0</v>
      </c>
      <c r="I19" s="538">
        <v>0</v>
      </c>
    </row>
    <row r="20" spans="1:9" s="123" customFormat="1" ht="13.7" customHeight="1">
      <c r="A20" s="469" t="s">
        <v>1462</v>
      </c>
      <c r="B20" s="535">
        <v>0</v>
      </c>
      <c r="C20" s="536">
        <v>0</v>
      </c>
      <c r="D20" s="537">
        <v>0</v>
      </c>
      <c r="E20" s="535">
        <v>0</v>
      </c>
      <c r="F20" s="536">
        <v>0</v>
      </c>
      <c r="G20" s="537">
        <v>0</v>
      </c>
      <c r="H20" s="535">
        <v>0</v>
      </c>
      <c r="I20" s="538">
        <v>0</v>
      </c>
    </row>
    <row r="21" spans="1:9" s="123" customFormat="1" ht="13.7" customHeight="1">
      <c r="A21" s="469" t="s">
        <v>1463</v>
      </c>
      <c r="B21" s="535">
        <v>0</v>
      </c>
      <c r="C21" s="536">
        <v>0</v>
      </c>
      <c r="D21" s="537">
        <v>0</v>
      </c>
      <c r="E21" s="535">
        <v>0</v>
      </c>
      <c r="F21" s="536">
        <v>0</v>
      </c>
      <c r="G21" s="537">
        <v>0</v>
      </c>
      <c r="H21" s="535">
        <v>0</v>
      </c>
      <c r="I21" s="538">
        <v>0</v>
      </c>
    </row>
    <row r="22" spans="1:9" s="123" customFormat="1" ht="25.5" customHeight="1">
      <c r="A22" s="469" t="s">
        <v>1464</v>
      </c>
      <c r="B22" s="535">
        <v>0</v>
      </c>
      <c r="C22" s="536">
        <v>0</v>
      </c>
      <c r="D22" s="537">
        <v>0</v>
      </c>
      <c r="E22" s="535">
        <v>0</v>
      </c>
      <c r="F22" s="536">
        <v>0</v>
      </c>
      <c r="G22" s="537">
        <v>0</v>
      </c>
      <c r="H22" s="535">
        <v>0</v>
      </c>
      <c r="I22" s="538">
        <v>0</v>
      </c>
    </row>
    <row r="23" spans="1:9" s="123" customFormat="1" ht="25.5" customHeight="1">
      <c r="A23" s="469" t="s">
        <v>1465</v>
      </c>
      <c r="B23" s="535">
        <v>0</v>
      </c>
      <c r="C23" s="536">
        <v>0</v>
      </c>
      <c r="D23" s="537">
        <v>0</v>
      </c>
      <c r="E23" s="535">
        <v>0</v>
      </c>
      <c r="F23" s="536">
        <v>0</v>
      </c>
      <c r="G23" s="537">
        <v>0</v>
      </c>
      <c r="H23" s="535">
        <v>0</v>
      </c>
      <c r="I23" s="538">
        <v>0</v>
      </c>
    </row>
    <row r="24" spans="1:9" s="123" customFormat="1" ht="25.5" customHeight="1">
      <c r="A24" s="469" t="s">
        <v>1466</v>
      </c>
      <c r="B24" s="535">
        <v>0</v>
      </c>
      <c r="C24" s="536">
        <v>0</v>
      </c>
      <c r="D24" s="537">
        <v>0</v>
      </c>
      <c r="E24" s="535">
        <v>0</v>
      </c>
      <c r="F24" s="536">
        <v>0</v>
      </c>
      <c r="G24" s="537">
        <v>0</v>
      </c>
      <c r="H24" s="535">
        <v>0</v>
      </c>
      <c r="I24" s="538">
        <v>0</v>
      </c>
    </row>
    <row r="25" spans="1:9" s="123" customFormat="1" ht="25.5" customHeight="1">
      <c r="A25" s="520" t="s">
        <v>1467</v>
      </c>
      <c r="B25" s="539">
        <v>0</v>
      </c>
      <c r="C25" s="540">
        <v>0</v>
      </c>
      <c r="D25" s="541">
        <v>0</v>
      </c>
      <c r="E25" s="539">
        <v>0</v>
      </c>
      <c r="F25" s="540">
        <v>0</v>
      </c>
      <c r="G25" s="541">
        <v>0</v>
      </c>
      <c r="H25" s="539">
        <v>0</v>
      </c>
      <c r="I25" s="542">
        <v>0</v>
      </c>
    </row>
    <row r="26" spans="1:9" s="123" customFormat="1" ht="13.7" customHeight="1">
      <c r="A26" s="525"/>
      <c r="B26" s="535"/>
      <c r="C26" s="536"/>
      <c r="D26" s="537"/>
      <c r="E26" s="535"/>
      <c r="F26" s="536"/>
      <c r="G26" s="537"/>
      <c r="H26" s="535"/>
      <c r="I26" s="538"/>
    </row>
    <row r="27" spans="1:9" s="112" customFormat="1" ht="13.7" customHeight="1">
      <c r="A27" s="547" t="s">
        <v>1468</v>
      </c>
      <c r="B27" s="548">
        <v>0</v>
      </c>
      <c r="C27" s="549">
        <v>0</v>
      </c>
      <c r="D27" s="550">
        <v>0</v>
      </c>
      <c r="E27" s="548">
        <v>0</v>
      </c>
      <c r="F27" s="549">
        <v>0</v>
      </c>
      <c r="G27" s="550">
        <v>0</v>
      </c>
      <c r="H27" s="548">
        <v>0</v>
      </c>
      <c r="I27" s="551">
        <v>0</v>
      </c>
    </row>
    <row r="28" spans="1:9" s="338" customFormat="1" ht="13.7" customHeight="1">
      <c r="A28" s="340"/>
      <c r="B28" s="341"/>
      <c r="C28" s="341"/>
      <c r="D28" s="341"/>
      <c r="E28" s="341"/>
      <c r="F28" s="341"/>
      <c r="G28" s="341"/>
      <c r="H28" s="341"/>
      <c r="I28" s="341"/>
    </row>
    <row r="29" spans="1:9" ht="13.7" customHeight="1">
      <c r="A29" s="100" t="s">
        <v>305</v>
      </c>
    </row>
    <row r="30" spans="1:9" ht="12.75">
      <c r="A30" s="774"/>
      <c r="B30" s="846"/>
      <c r="C30" s="846"/>
      <c r="D30" s="846"/>
      <c r="E30" s="846"/>
      <c r="F30" s="846"/>
      <c r="G30" s="846"/>
      <c r="H30" s="846"/>
      <c r="I30" s="846"/>
    </row>
    <row r="31" spans="1:9" ht="12.75">
      <c r="A31" s="846"/>
      <c r="B31" s="846"/>
      <c r="C31" s="846"/>
      <c r="D31" s="846"/>
      <c r="E31" s="846"/>
      <c r="F31" s="846"/>
      <c r="G31" s="846"/>
      <c r="H31" s="846"/>
      <c r="I31" s="846"/>
    </row>
    <row r="32" spans="1:9" ht="12.75">
      <c r="A32" s="846"/>
      <c r="B32" s="846"/>
      <c r="C32" s="846"/>
      <c r="D32" s="846"/>
      <c r="E32" s="846"/>
      <c r="F32" s="846"/>
      <c r="G32" s="846"/>
      <c r="H32" s="846"/>
      <c r="I32" s="846"/>
    </row>
    <row r="33" spans="1:9" ht="12.75">
      <c r="A33" s="846"/>
      <c r="B33" s="846"/>
      <c r="C33" s="846"/>
      <c r="D33" s="846"/>
      <c r="E33" s="846"/>
      <c r="F33" s="846"/>
      <c r="G33" s="846"/>
      <c r="H33" s="846"/>
      <c r="I33" s="846"/>
    </row>
  </sheetData>
  <mergeCells count="14">
    <mergeCell ref="A30:I33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7"/>
  <sheetViews>
    <sheetView showGridLines="0" topLeftCell="A7" workbookViewId="0">
      <selection sqref="A1:D1"/>
    </sheetView>
  </sheetViews>
  <sheetFormatPr baseColWidth="10" defaultColWidth="10.42578125" defaultRowHeight="13.7" customHeight="1"/>
  <cols>
    <col min="1" max="1" width="39.42578125" style="95" customWidth="1" collapsed="1"/>
    <col min="2" max="2" width="15.140625" style="95" customWidth="1" collapsed="1"/>
    <col min="3" max="3" width="17.85546875" style="95" customWidth="1" collapsed="1"/>
    <col min="4" max="4" width="17.5703125" style="95" customWidth="1" collapsed="1"/>
    <col min="5" max="16384" width="10.42578125" style="95" collapsed="1"/>
  </cols>
  <sheetData>
    <row r="1" spans="1:4" ht="18.75" customHeight="1">
      <c r="A1" s="847" t="s">
        <v>683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72">
        <f>+'Fiche de renseignement R1'!$V$10</f>
        <v>45657</v>
      </c>
    </row>
    <row r="4" spans="1:4" ht="12.75">
      <c r="A4" s="826" t="str">
        <f>'Fiche de renseignement R1'!$J$4</f>
        <v>MANDINGA RESSOURCES SARL</v>
      </c>
      <c r="B4" s="849"/>
      <c r="C4" s="95" t="s">
        <v>270</v>
      </c>
      <c r="D4" s="716">
        <f>+'Fiche de renseignement R1'!$AH$10</f>
        <v>12</v>
      </c>
    </row>
    <row r="5" spans="1:4" ht="12.75">
      <c r="A5" s="95" t="s">
        <v>271</v>
      </c>
      <c r="B5" s="473" t="str">
        <f>+'Fiche de renseignement R1'!$J$10</f>
        <v>006495693</v>
      </c>
      <c r="D5" s="850"/>
    </row>
    <row r="7" spans="1:4" ht="12.75">
      <c r="A7" s="851" t="s">
        <v>131</v>
      </c>
      <c r="B7" s="865" t="s">
        <v>359</v>
      </c>
      <c r="C7" s="865" t="s">
        <v>360</v>
      </c>
      <c r="D7" s="869" t="s">
        <v>387</v>
      </c>
    </row>
    <row r="8" spans="1:4" ht="12.75">
      <c r="A8" s="852"/>
      <c r="B8" s="866"/>
      <c r="C8" s="866"/>
      <c r="D8" s="870"/>
    </row>
    <row r="9" spans="1:4" ht="12.75">
      <c r="A9" s="97" t="s">
        <v>684</v>
      </c>
      <c r="B9" s="478">
        <v>0</v>
      </c>
      <c r="C9" s="432">
        <v>0</v>
      </c>
      <c r="D9" s="464"/>
    </row>
    <row r="10" spans="1:4" ht="12.75">
      <c r="A10" s="97" t="s">
        <v>685</v>
      </c>
      <c r="B10" s="478">
        <v>0</v>
      </c>
      <c r="C10" s="432">
        <v>0</v>
      </c>
      <c r="D10" s="464"/>
    </row>
    <row r="11" spans="1:4" ht="12.75">
      <c r="A11" s="97" t="s">
        <v>686</v>
      </c>
      <c r="B11" s="478">
        <v>0</v>
      </c>
      <c r="C11" s="432">
        <v>0</v>
      </c>
      <c r="D11" s="464"/>
    </row>
    <row r="12" spans="1:4" ht="12.75">
      <c r="A12" s="97" t="s">
        <v>687</v>
      </c>
      <c r="B12" s="478">
        <v>0</v>
      </c>
      <c r="C12" s="432">
        <v>0</v>
      </c>
      <c r="D12" s="464"/>
    </row>
    <row r="13" spans="1:4" ht="12.75">
      <c r="A13" s="97" t="s">
        <v>688</v>
      </c>
      <c r="B13" s="478">
        <v>0</v>
      </c>
      <c r="C13" s="432">
        <v>0</v>
      </c>
      <c r="D13" s="464"/>
    </row>
    <row r="14" spans="1:4" ht="12.75">
      <c r="A14" s="97" t="s">
        <v>689</v>
      </c>
      <c r="B14" s="478">
        <v>0</v>
      </c>
      <c r="C14" s="432">
        <v>0</v>
      </c>
      <c r="D14" s="464"/>
    </row>
    <row r="15" spans="1:4" ht="12.75">
      <c r="A15" s="97" t="s">
        <v>690</v>
      </c>
      <c r="B15" s="478">
        <v>0</v>
      </c>
      <c r="C15" s="432">
        <v>0</v>
      </c>
      <c r="D15" s="464"/>
    </row>
    <row r="16" spans="1:4" ht="25.5" customHeight="1">
      <c r="A16" s="97" t="s">
        <v>691</v>
      </c>
      <c r="B16" s="478">
        <v>0</v>
      </c>
      <c r="C16" s="432">
        <v>0</v>
      </c>
      <c r="D16" s="464"/>
    </row>
    <row r="17" spans="1:5" ht="12.75">
      <c r="A17" s="97" t="s">
        <v>692</v>
      </c>
      <c r="B17" s="478">
        <v>0</v>
      </c>
      <c r="C17" s="432">
        <v>0</v>
      </c>
      <c r="D17" s="464"/>
    </row>
    <row r="18" spans="1:5" ht="25.5" customHeight="1">
      <c r="A18" s="97" t="s">
        <v>693</v>
      </c>
      <c r="B18" s="478">
        <v>0</v>
      </c>
      <c r="C18" s="432">
        <v>0</v>
      </c>
      <c r="D18" s="464"/>
    </row>
    <row r="19" spans="1:5" ht="12.75">
      <c r="A19" s="110" t="s">
        <v>694</v>
      </c>
      <c r="B19" s="479">
        <v>0</v>
      </c>
      <c r="C19" s="480">
        <v>0</v>
      </c>
      <c r="D19" s="481"/>
    </row>
    <row r="20" spans="1:5" s="301" customFormat="1" ht="12.75">
      <c r="A20" s="331"/>
      <c r="B20" s="495"/>
      <c r="C20" s="501"/>
      <c r="D20" s="500"/>
      <c r="E20" s="95"/>
    </row>
    <row r="21" spans="1:5" ht="12.75">
      <c r="A21" s="97" t="s">
        <v>695</v>
      </c>
      <c r="B21" s="478">
        <v>0</v>
      </c>
      <c r="C21" s="432">
        <v>0</v>
      </c>
      <c r="D21" s="464"/>
    </row>
    <row r="22" spans="1:5" ht="12.75">
      <c r="A22" s="97" t="s">
        <v>696</v>
      </c>
      <c r="B22" s="478">
        <v>0</v>
      </c>
      <c r="C22" s="432">
        <v>0</v>
      </c>
      <c r="D22" s="464"/>
    </row>
    <row r="23" spans="1:5" ht="12.75">
      <c r="A23" s="97" t="s">
        <v>697</v>
      </c>
      <c r="B23" s="478">
        <v>0</v>
      </c>
      <c r="C23" s="432">
        <v>0</v>
      </c>
      <c r="D23" s="464"/>
    </row>
    <row r="24" spans="1:5" ht="12.75">
      <c r="A24" s="97" t="s">
        <v>698</v>
      </c>
      <c r="B24" s="478">
        <v>0</v>
      </c>
      <c r="C24" s="432">
        <v>0</v>
      </c>
      <c r="D24" s="464"/>
    </row>
    <row r="25" spans="1:5" ht="12.75">
      <c r="A25" s="282" t="s">
        <v>909</v>
      </c>
      <c r="B25" s="478">
        <v>0</v>
      </c>
      <c r="C25" s="432">
        <v>0</v>
      </c>
      <c r="D25" s="464"/>
    </row>
    <row r="26" spans="1:5" ht="12.75">
      <c r="A26" s="97" t="s">
        <v>699</v>
      </c>
      <c r="B26" s="478">
        <v>0</v>
      </c>
      <c r="C26" s="432">
        <v>0</v>
      </c>
      <c r="D26" s="464"/>
    </row>
    <row r="27" spans="1:5" ht="12.75">
      <c r="A27" s="97" t="s">
        <v>700</v>
      </c>
      <c r="B27" s="478">
        <v>0</v>
      </c>
      <c r="C27" s="432">
        <v>0</v>
      </c>
      <c r="D27" s="464"/>
    </row>
    <row r="28" spans="1:5" ht="12.75">
      <c r="A28" s="97" t="s">
        <v>701</v>
      </c>
      <c r="B28" s="478">
        <v>0</v>
      </c>
      <c r="C28" s="432">
        <v>0</v>
      </c>
      <c r="D28" s="464"/>
    </row>
    <row r="29" spans="1:5" ht="38.25" customHeight="1">
      <c r="A29" s="97" t="s">
        <v>702</v>
      </c>
      <c r="B29" s="478">
        <v>0</v>
      </c>
      <c r="C29" s="432">
        <v>0</v>
      </c>
      <c r="D29" s="464"/>
    </row>
    <row r="30" spans="1:5" ht="12.75">
      <c r="A30" s="110" t="s">
        <v>703</v>
      </c>
      <c r="B30" s="479">
        <v>0</v>
      </c>
      <c r="C30" s="480">
        <v>0</v>
      </c>
      <c r="D30" s="481"/>
    </row>
    <row r="31" spans="1:5" ht="12.75">
      <c r="A31" s="97"/>
      <c r="B31" s="478"/>
      <c r="C31" s="432"/>
      <c r="D31" s="464"/>
    </row>
    <row r="32" spans="1:5" ht="12.75">
      <c r="A32" s="105" t="s">
        <v>98</v>
      </c>
      <c r="B32" s="482">
        <v>0</v>
      </c>
      <c r="C32" s="483">
        <v>0</v>
      </c>
      <c r="D32" s="484"/>
    </row>
    <row r="33" spans="1:4" s="301" customFormat="1" ht="12.75">
      <c r="A33" s="330"/>
      <c r="B33" s="304"/>
      <c r="C33" s="304"/>
      <c r="D33" s="303"/>
    </row>
    <row r="34" spans="1:4" ht="12.75">
      <c r="A34" s="100" t="s">
        <v>305</v>
      </c>
    </row>
    <row r="35" spans="1:4" ht="12.75">
      <c r="A35" s="774"/>
      <c r="B35" s="846"/>
      <c r="C35" s="846"/>
      <c r="D35" s="846"/>
    </row>
    <row r="36" spans="1:4" ht="12.75">
      <c r="A36" s="846"/>
      <c r="B36" s="846"/>
      <c r="C36" s="846"/>
      <c r="D36" s="846"/>
    </row>
    <row r="37" spans="1:4" ht="12.75">
      <c r="A37" s="846"/>
      <c r="B37" s="846"/>
      <c r="C37" s="846"/>
      <c r="D37" s="846"/>
    </row>
  </sheetData>
  <mergeCells count="9">
    <mergeCell ref="A35:D3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35"/>
  <sheetViews>
    <sheetView showGridLines="0" topLeftCell="A7" workbookViewId="0">
      <selection sqref="A1:D1"/>
    </sheetView>
  </sheetViews>
  <sheetFormatPr baseColWidth="10" defaultColWidth="10.42578125" defaultRowHeight="13.7" customHeight="1"/>
  <cols>
    <col min="1" max="1" width="39.42578125" style="95" customWidth="1" collapsed="1"/>
    <col min="2" max="2" width="16.140625" style="95" customWidth="1" collapsed="1"/>
    <col min="3" max="3" width="19.140625" style="95" customWidth="1" collapsed="1"/>
    <col min="4" max="4" width="17.5703125" style="95" customWidth="1" collapsed="1"/>
    <col min="5" max="16384" width="10.42578125" style="95" collapsed="1"/>
  </cols>
  <sheetData>
    <row r="1" spans="1:4" ht="18.75" customHeight="1">
      <c r="A1" s="847" t="s">
        <v>704</v>
      </c>
      <c r="B1" s="847"/>
      <c r="C1" s="847"/>
      <c r="D1" s="847"/>
    </row>
    <row r="3" spans="1:4" ht="12.75">
      <c r="A3" s="848" t="s">
        <v>268</v>
      </c>
      <c r="B3" s="848"/>
      <c r="C3" s="95" t="s">
        <v>269</v>
      </c>
      <c r="D3" s="422">
        <f>+'Fiche de renseignement R1'!$V$10</f>
        <v>45657</v>
      </c>
    </row>
    <row r="4" spans="1:4" ht="12.75">
      <c r="A4" s="714" t="str">
        <f>'Fiche de renseignement R1'!$J$4</f>
        <v>MANDINGA RESSOURCES SARL</v>
      </c>
      <c r="B4" s="850"/>
      <c r="C4" s="95" t="s">
        <v>270</v>
      </c>
      <c r="D4" s="816">
        <f>+'Fiche de renseignement R1'!$AH$10</f>
        <v>12</v>
      </c>
    </row>
    <row r="5" spans="1:4" ht="12.75">
      <c r="A5" s="95" t="s">
        <v>271</v>
      </c>
      <c r="B5" s="493" t="str">
        <f>+'Fiche de renseignement R1'!$J$10</f>
        <v>006495693</v>
      </c>
      <c r="D5" s="971"/>
    </row>
    <row r="7" spans="1:4" ht="12.75">
      <c r="A7" s="851" t="s">
        <v>131</v>
      </c>
      <c r="B7" s="865" t="s">
        <v>359</v>
      </c>
      <c r="C7" s="865" t="s">
        <v>360</v>
      </c>
      <c r="D7" s="869" t="s">
        <v>387</v>
      </c>
    </row>
    <row r="8" spans="1:4" ht="12.75">
      <c r="A8" s="852"/>
      <c r="B8" s="866"/>
      <c r="C8" s="866"/>
      <c r="D8" s="870"/>
    </row>
    <row r="9" spans="1:4" ht="12.75">
      <c r="A9" s="469" t="s">
        <v>1469</v>
      </c>
      <c r="B9" s="478">
        <v>0</v>
      </c>
      <c r="C9" s="432">
        <v>0</v>
      </c>
      <c r="D9" s="464"/>
    </row>
    <row r="10" spans="1:4" ht="12.75">
      <c r="A10" s="469" t="s">
        <v>1470</v>
      </c>
      <c r="B10" s="478">
        <v>0</v>
      </c>
      <c r="C10" s="432">
        <v>0</v>
      </c>
      <c r="D10" s="464"/>
    </row>
    <row r="11" spans="1:4" ht="12.75">
      <c r="A11" s="469" t="s">
        <v>1470</v>
      </c>
      <c r="B11" s="478">
        <v>0</v>
      </c>
      <c r="C11" s="432">
        <v>0</v>
      </c>
      <c r="D11" s="464"/>
    </row>
    <row r="12" spans="1:4" ht="12.75">
      <c r="A12" s="469" t="s">
        <v>1471</v>
      </c>
      <c r="B12" s="478">
        <v>0</v>
      </c>
      <c r="C12" s="432">
        <v>0</v>
      </c>
      <c r="D12" s="464"/>
    </row>
    <row r="13" spans="1:4" ht="12.75">
      <c r="A13" s="469" t="s">
        <v>895</v>
      </c>
      <c r="B13" s="478">
        <v>0</v>
      </c>
      <c r="C13" s="432">
        <v>0</v>
      </c>
      <c r="D13" s="464"/>
    </row>
    <row r="14" spans="1:4" ht="12.75">
      <c r="A14" s="469" t="s">
        <v>1472</v>
      </c>
      <c r="B14" s="478">
        <v>0</v>
      </c>
      <c r="C14" s="432">
        <v>0</v>
      </c>
      <c r="D14" s="464"/>
    </row>
    <row r="15" spans="1:4" ht="12.75">
      <c r="A15" s="469" t="s">
        <v>1473</v>
      </c>
      <c r="B15" s="478">
        <v>0</v>
      </c>
      <c r="C15" s="432">
        <v>0</v>
      </c>
      <c r="D15" s="464"/>
    </row>
    <row r="16" spans="1:4" ht="12.75">
      <c r="A16" s="469" t="s">
        <v>1474</v>
      </c>
      <c r="B16" s="478">
        <v>0</v>
      </c>
      <c r="C16" s="432">
        <v>0</v>
      </c>
      <c r="D16" s="464"/>
    </row>
    <row r="17" spans="1:4" ht="12.75">
      <c r="A17" s="469" t="s">
        <v>1475</v>
      </c>
      <c r="B17" s="478">
        <v>0</v>
      </c>
      <c r="C17" s="432">
        <v>0</v>
      </c>
      <c r="D17" s="464"/>
    </row>
    <row r="18" spans="1:4" ht="12.75">
      <c r="A18" s="552" t="s">
        <v>1476</v>
      </c>
      <c r="B18" s="479">
        <v>0</v>
      </c>
      <c r="C18" s="480">
        <v>0</v>
      </c>
      <c r="D18" s="481"/>
    </row>
    <row r="19" spans="1:4" ht="12.75">
      <c r="A19" s="469" t="s">
        <v>1477</v>
      </c>
      <c r="B19" s="478">
        <v>0</v>
      </c>
      <c r="C19" s="432">
        <v>0</v>
      </c>
      <c r="D19" s="464"/>
    </row>
    <row r="20" spans="1:4" ht="12.75">
      <c r="A20" s="469" t="s">
        <v>1470</v>
      </c>
      <c r="B20" s="478">
        <v>0</v>
      </c>
      <c r="C20" s="432">
        <v>0</v>
      </c>
      <c r="D20" s="464"/>
    </row>
    <row r="21" spans="1:4" ht="12.75">
      <c r="A21" s="469" t="s">
        <v>1470</v>
      </c>
      <c r="B21" s="478">
        <v>0</v>
      </c>
      <c r="C21" s="432">
        <v>0</v>
      </c>
      <c r="D21" s="464"/>
    </row>
    <row r="22" spans="1:4" ht="12.75">
      <c r="A22" s="469" t="s">
        <v>1478</v>
      </c>
      <c r="B22" s="478">
        <v>0</v>
      </c>
      <c r="C22" s="432">
        <v>0</v>
      </c>
      <c r="D22" s="464"/>
    </row>
    <row r="23" spans="1:4" ht="12.75">
      <c r="A23" s="469" t="s">
        <v>1479</v>
      </c>
      <c r="B23" s="478">
        <v>0</v>
      </c>
      <c r="C23" s="432">
        <v>0</v>
      </c>
      <c r="D23" s="464"/>
    </row>
    <row r="24" spans="1:4" ht="12.75">
      <c r="A24" s="469" t="s">
        <v>1480</v>
      </c>
      <c r="B24" s="478">
        <v>0</v>
      </c>
      <c r="C24" s="432">
        <v>0</v>
      </c>
      <c r="D24" s="464"/>
    </row>
    <row r="25" spans="1:4" ht="27.6" customHeight="1">
      <c r="A25" s="469" t="s">
        <v>1481</v>
      </c>
      <c r="B25" s="478">
        <v>0</v>
      </c>
      <c r="C25" s="432">
        <v>0</v>
      </c>
      <c r="D25" s="464"/>
    </row>
    <row r="26" spans="1:4" ht="12.75" customHeight="1">
      <c r="A26" s="469" t="s">
        <v>1482</v>
      </c>
      <c r="B26" s="478">
        <v>0</v>
      </c>
      <c r="C26" s="432">
        <v>0</v>
      </c>
      <c r="D26" s="464"/>
    </row>
    <row r="27" spans="1:4" ht="12.75">
      <c r="A27" s="469" t="s">
        <v>1483</v>
      </c>
      <c r="B27" s="478">
        <v>0</v>
      </c>
      <c r="C27" s="432">
        <v>0</v>
      </c>
      <c r="D27" s="464"/>
    </row>
    <row r="28" spans="1:4" ht="12.75">
      <c r="A28" s="552" t="s">
        <v>1484</v>
      </c>
      <c r="B28" s="479">
        <v>0</v>
      </c>
      <c r="C28" s="480">
        <v>0</v>
      </c>
      <c r="D28" s="481"/>
    </row>
    <row r="29" spans="1:4" ht="12.75">
      <c r="A29" s="469"/>
      <c r="B29" s="478"/>
      <c r="C29" s="432"/>
      <c r="D29" s="464"/>
    </row>
    <row r="30" spans="1:4" ht="12.75">
      <c r="A30" s="547" t="s">
        <v>98</v>
      </c>
      <c r="B30" s="533">
        <v>0</v>
      </c>
      <c r="C30" s="503">
        <v>0</v>
      </c>
      <c r="D30" s="484"/>
    </row>
    <row r="31" spans="1:4" s="301" customFormat="1" ht="12.75">
      <c r="A31" s="332"/>
      <c r="B31" s="305"/>
      <c r="C31" s="305"/>
      <c r="D31" s="303"/>
    </row>
    <row r="32" spans="1:4" ht="12.75">
      <c r="A32" s="100" t="s">
        <v>305</v>
      </c>
    </row>
    <row r="33" spans="1:4" ht="12.75">
      <c r="A33" s="774"/>
      <c r="B33" s="846"/>
      <c r="C33" s="846"/>
      <c r="D33" s="846"/>
    </row>
    <row r="34" spans="1:4" ht="12.75">
      <c r="A34" s="846"/>
      <c r="B34" s="846"/>
      <c r="C34" s="846"/>
      <c r="D34" s="846"/>
    </row>
    <row r="35" spans="1:4" ht="12.75">
      <c r="A35" s="846"/>
      <c r="B35" s="846"/>
      <c r="C35" s="846"/>
      <c r="D35" s="846"/>
    </row>
  </sheetData>
  <mergeCells count="9">
    <mergeCell ref="A33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showGridLines="0" topLeftCell="A2" workbookViewId="0">
      <selection sqref="A1:F1"/>
    </sheetView>
  </sheetViews>
  <sheetFormatPr baseColWidth="10" defaultColWidth="10.42578125" defaultRowHeight="13.7" customHeight="1"/>
  <cols>
    <col min="1" max="1" width="58.85546875" style="126" customWidth="1" collapsed="1"/>
    <col min="2" max="6" width="12.5703125" style="126" customWidth="1" collapsed="1"/>
    <col min="7" max="16384" width="10.42578125" style="126" collapsed="1"/>
  </cols>
  <sheetData>
    <row r="1" spans="1:6" s="95" customFormat="1" ht="34.5" customHeight="1">
      <c r="A1" s="974" t="s">
        <v>705</v>
      </c>
      <c r="B1" s="974"/>
      <c r="C1" s="974"/>
      <c r="D1" s="974"/>
      <c r="E1" s="974"/>
      <c r="F1" s="974"/>
    </row>
    <row r="2" spans="1:6" s="95" customFormat="1" ht="8.1" customHeight="1"/>
    <row r="3" spans="1:6" s="95" customFormat="1" ht="12.75" customHeight="1">
      <c r="A3" s="848" t="s">
        <v>268</v>
      </c>
      <c r="B3" s="848"/>
      <c r="C3" s="848"/>
      <c r="D3" s="206" t="s">
        <v>269</v>
      </c>
      <c r="E3" s="824">
        <f>+'Fiche de renseignement R1'!$V$10</f>
        <v>45657</v>
      </c>
      <c r="F3" s="873"/>
    </row>
    <row r="4" spans="1:6" s="95" customFormat="1" ht="12.75">
      <c r="A4" s="826" t="str">
        <f>'Fiche de renseignement R1'!$J$4</f>
        <v>MANDINGA RESSOURCES SARL</v>
      </c>
      <c r="B4" s="849"/>
      <c r="C4" s="849"/>
      <c r="D4" s="932" t="s">
        <v>270</v>
      </c>
      <c r="E4" s="933">
        <f>+'Fiche de renseignement R1'!$AH$10</f>
        <v>12</v>
      </c>
      <c r="F4" s="934"/>
    </row>
    <row r="5" spans="1:6" s="95" customFormat="1" ht="12.75">
      <c r="A5" s="95" t="s">
        <v>271</v>
      </c>
      <c r="B5" s="831" t="str">
        <f>+'Fiche de renseignement R1'!$J$10</f>
        <v>006495693</v>
      </c>
      <c r="C5" s="876"/>
      <c r="D5" s="932"/>
      <c r="E5" s="935"/>
      <c r="F5" s="935"/>
    </row>
    <row r="6" spans="1:6" ht="5.25" customHeight="1"/>
    <row r="7" spans="1:6" ht="17.100000000000001" customHeight="1">
      <c r="A7" s="975" t="s">
        <v>825</v>
      </c>
      <c r="B7" s="972" t="s">
        <v>706</v>
      </c>
      <c r="C7" s="972" t="s">
        <v>707</v>
      </c>
      <c r="D7" s="972" t="s">
        <v>708</v>
      </c>
      <c r="E7" s="972" t="s">
        <v>709</v>
      </c>
      <c r="F7" s="972" t="s">
        <v>710</v>
      </c>
    </row>
    <row r="8" spans="1:6" ht="17.100000000000001" customHeight="1">
      <c r="A8" s="976"/>
      <c r="B8" s="973"/>
      <c r="C8" s="973"/>
      <c r="D8" s="973"/>
      <c r="E8" s="973"/>
      <c r="F8" s="973"/>
    </row>
    <row r="9" spans="1:6" ht="15" customHeight="1">
      <c r="A9" s="127" t="s">
        <v>826</v>
      </c>
      <c r="B9" s="480"/>
      <c r="C9" s="480"/>
      <c r="D9" s="480"/>
      <c r="E9" s="480"/>
      <c r="F9" s="480"/>
    </row>
    <row r="10" spans="1:6" ht="12.75">
      <c r="A10" s="128" t="s">
        <v>711</v>
      </c>
      <c r="B10" s="432">
        <v>1000000</v>
      </c>
      <c r="C10" s="432">
        <v>1000000</v>
      </c>
      <c r="D10" s="432">
        <v>0</v>
      </c>
      <c r="E10" s="432">
        <v>0</v>
      </c>
      <c r="F10" s="432">
        <v>0</v>
      </c>
    </row>
    <row r="11" spans="1:6" ht="12.75">
      <c r="A11" s="128" t="s">
        <v>712</v>
      </c>
      <c r="B11" s="432">
        <v>0</v>
      </c>
      <c r="C11" s="432">
        <v>0</v>
      </c>
      <c r="D11" s="432">
        <v>0</v>
      </c>
      <c r="E11" s="432">
        <v>0</v>
      </c>
      <c r="F11" s="432">
        <v>0</v>
      </c>
    </row>
    <row r="12" spans="1:6" ht="12.75">
      <c r="A12" s="128" t="s">
        <v>713</v>
      </c>
      <c r="B12" s="432">
        <v>0</v>
      </c>
      <c r="C12" s="432">
        <v>0</v>
      </c>
      <c r="D12" s="432">
        <v>0</v>
      </c>
      <c r="E12" s="432">
        <v>0</v>
      </c>
      <c r="F12" s="432">
        <v>0</v>
      </c>
    </row>
    <row r="13" spans="1:6" ht="12.75">
      <c r="A13" s="128" t="s">
        <v>714</v>
      </c>
      <c r="B13" s="432">
        <v>0</v>
      </c>
      <c r="C13" s="432">
        <v>0</v>
      </c>
      <c r="D13" s="432">
        <v>0</v>
      </c>
      <c r="E13" s="432">
        <v>0</v>
      </c>
      <c r="F13" s="432">
        <v>0</v>
      </c>
    </row>
    <row r="14" spans="1:6" ht="12.75">
      <c r="A14" s="129" t="s">
        <v>715</v>
      </c>
      <c r="B14" s="432">
        <v>0</v>
      </c>
      <c r="C14" s="432">
        <v>0</v>
      </c>
      <c r="D14" s="432">
        <v>0</v>
      </c>
      <c r="E14" s="432">
        <v>0</v>
      </c>
      <c r="F14" s="432">
        <v>0</v>
      </c>
    </row>
    <row r="15" spans="1:6" ht="12.75">
      <c r="A15" s="129" t="s">
        <v>716</v>
      </c>
      <c r="B15" s="432">
        <v>0</v>
      </c>
      <c r="C15" s="432">
        <v>0</v>
      </c>
      <c r="D15" s="432">
        <v>0</v>
      </c>
      <c r="E15" s="432">
        <v>0</v>
      </c>
      <c r="F15" s="432">
        <v>0</v>
      </c>
    </row>
    <row r="16" spans="1:6" ht="15" customHeight="1">
      <c r="A16" s="127" t="s">
        <v>827</v>
      </c>
      <c r="B16" s="480"/>
      <c r="C16" s="480"/>
      <c r="D16" s="480"/>
      <c r="E16" s="480"/>
      <c r="F16" s="480"/>
    </row>
    <row r="17" spans="1:6" ht="12.75">
      <c r="A17" s="128" t="s">
        <v>717</v>
      </c>
      <c r="B17" s="432">
        <v>0</v>
      </c>
      <c r="C17" s="432">
        <v>0</v>
      </c>
      <c r="D17" s="432">
        <v>0</v>
      </c>
      <c r="E17" s="432">
        <v>0</v>
      </c>
      <c r="F17" s="432">
        <v>0</v>
      </c>
    </row>
    <row r="18" spans="1:6" ht="24" customHeight="1">
      <c r="A18" s="128" t="s">
        <v>718</v>
      </c>
      <c r="B18" s="432">
        <v>-440667250</v>
      </c>
      <c r="C18" s="432">
        <v>0</v>
      </c>
      <c r="D18" s="432">
        <v>0</v>
      </c>
      <c r="E18" s="432">
        <v>0</v>
      </c>
      <c r="F18" s="432">
        <v>0</v>
      </c>
    </row>
    <row r="19" spans="1:6" ht="12.75">
      <c r="A19" s="128" t="s">
        <v>719</v>
      </c>
      <c r="B19" s="432">
        <v>0</v>
      </c>
      <c r="C19" s="432">
        <v>0</v>
      </c>
      <c r="D19" s="432">
        <v>0</v>
      </c>
      <c r="E19" s="432">
        <v>0</v>
      </c>
      <c r="F19" s="432">
        <v>0</v>
      </c>
    </row>
    <row r="20" spans="1:6" ht="12.75">
      <c r="A20" s="128" t="s">
        <v>720</v>
      </c>
      <c r="B20" s="432">
        <v>0</v>
      </c>
      <c r="C20" s="432">
        <v>0</v>
      </c>
      <c r="D20" s="432">
        <v>0</v>
      </c>
      <c r="E20" s="432">
        <v>0</v>
      </c>
      <c r="F20" s="432">
        <v>0</v>
      </c>
    </row>
    <row r="21" spans="1:6" ht="14.25" customHeight="1">
      <c r="A21" s="128" t="s">
        <v>828</v>
      </c>
      <c r="B21" s="432">
        <v>-29258243</v>
      </c>
      <c r="C21" s="432">
        <v>-27657980</v>
      </c>
      <c r="D21" s="432">
        <v>0</v>
      </c>
      <c r="E21" s="432">
        <v>0</v>
      </c>
      <c r="F21" s="432">
        <v>0</v>
      </c>
    </row>
    <row r="22" spans="1:6" ht="12.75">
      <c r="A22" s="127" t="s">
        <v>721</v>
      </c>
      <c r="B22" s="480"/>
      <c r="C22" s="480"/>
      <c r="D22" s="480"/>
      <c r="E22" s="480"/>
      <c r="F22" s="480"/>
    </row>
    <row r="23" spans="1:6" ht="15" customHeight="1">
      <c r="A23" s="130" t="s">
        <v>829</v>
      </c>
      <c r="B23" s="432">
        <v>0</v>
      </c>
      <c r="C23" s="432">
        <v>0</v>
      </c>
      <c r="D23" s="432">
        <v>0</v>
      </c>
      <c r="E23" s="432">
        <v>0</v>
      </c>
      <c r="F23" s="432">
        <v>0</v>
      </c>
    </row>
    <row r="24" spans="1:6" ht="12.75">
      <c r="A24" s="130" t="s">
        <v>722</v>
      </c>
      <c r="B24" s="432">
        <v>0</v>
      </c>
      <c r="C24" s="432">
        <v>0</v>
      </c>
      <c r="D24" s="432">
        <v>0</v>
      </c>
      <c r="E24" s="432">
        <v>0</v>
      </c>
      <c r="F24" s="432">
        <v>0</v>
      </c>
    </row>
    <row r="25" spans="1:6" ht="12.75">
      <c r="A25" s="127" t="s">
        <v>723</v>
      </c>
      <c r="B25" s="480"/>
      <c r="C25" s="480"/>
      <c r="D25" s="480"/>
      <c r="E25" s="480"/>
      <c r="F25" s="480"/>
    </row>
    <row r="26" spans="1:6" ht="15" customHeight="1">
      <c r="A26" s="130" t="s">
        <v>830</v>
      </c>
      <c r="B26" s="432">
        <v>0</v>
      </c>
      <c r="C26" s="432">
        <v>0</v>
      </c>
      <c r="D26" s="432">
        <v>0</v>
      </c>
      <c r="E26" s="432">
        <v>0</v>
      </c>
      <c r="F26" s="432">
        <v>0</v>
      </c>
    </row>
    <row r="27" spans="1:6" ht="12.75">
      <c r="A27" s="130" t="s">
        <v>724</v>
      </c>
      <c r="B27" s="432">
        <v>0</v>
      </c>
      <c r="C27" s="432">
        <v>0</v>
      </c>
      <c r="D27" s="432">
        <v>0</v>
      </c>
      <c r="E27" s="432">
        <v>0</v>
      </c>
      <c r="F27" s="432">
        <v>0</v>
      </c>
    </row>
    <row r="28" spans="1:6" ht="15" customHeight="1">
      <c r="A28" s="130" t="s">
        <v>831</v>
      </c>
      <c r="B28" s="432">
        <v>0</v>
      </c>
      <c r="C28" s="432">
        <v>0</v>
      </c>
      <c r="D28" s="432">
        <v>0</v>
      </c>
      <c r="E28" s="432">
        <v>0</v>
      </c>
      <c r="F28" s="432">
        <v>0</v>
      </c>
    </row>
    <row r="29" spans="1:6" ht="27.75" customHeight="1">
      <c r="A29" s="130" t="s">
        <v>832</v>
      </c>
      <c r="B29" s="432">
        <v>0</v>
      </c>
      <c r="C29" s="432">
        <v>0</v>
      </c>
      <c r="D29" s="432">
        <v>0</v>
      </c>
      <c r="E29" s="432">
        <v>0</v>
      </c>
      <c r="F29" s="432">
        <v>0</v>
      </c>
    </row>
    <row r="30" spans="1:6" ht="15" customHeight="1">
      <c r="A30" s="130" t="s">
        <v>833</v>
      </c>
      <c r="B30" s="432">
        <v>77442921</v>
      </c>
      <c r="C30" s="432">
        <v>0</v>
      </c>
      <c r="D30" s="432">
        <v>0</v>
      </c>
      <c r="E30" s="432">
        <v>0</v>
      </c>
      <c r="F30" s="432">
        <v>0</v>
      </c>
    </row>
    <row r="31" spans="1:6" ht="6" customHeight="1">
      <c r="B31" s="113"/>
      <c r="C31" s="113"/>
      <c r="D31" s="113"/>
      <c r="E31" s="113"/>
      <c r="F31" s="113"/>
    </row>
    <row r="32" spans="1:6" ht="8.1" customHeight="1">
      <c r="A32" s="131" t="s">
        <v>725</v>
      </c>
      <c r="B32" s="132"/>
      <c r="C32" s="131" t="s">
        <v>726</v>
      </c>
      <c r="D32" s="133"/>
      <c r="E32" s="133"/>
      <c r="F32" s="132"/>
    </row>
    <row r="33" spans="1:6" ht="8.1" customHeight="1">
      <c r="A33" s="131" t="s">
        <v>727</v>
      </c>
      <c r="B33" s="132"/>
      <c r="C33" s="131" t="s">
        <v>728</v>
      </c>
      <c r="D33" s="133"/>
      <c r="E33" s="133"/>
      <c r="F33" s="132"/>
    </row>
    <row r="34" spans="1:6" ht="8.1" customHeight="1">
      <c r="A34" s="131" t="s">
        <v>729</v>
      </c>
      <c r="B34" s="132"/>
      <c r="C34" s="131" t="s">
        <v>730</v>
      </c>
      <c r="D34" s="133"/>
      <c r="E34" s="133"/>
      <c r="F34" s="132"/>
    </row>
    <row r="35" spans="1:6" ht="8.1" customHeight="1">
      <c r="A35" s="131" t="s">
        <v>731</v>
      </c>
      <c r="B35" s="132"/>
      <c r="C35" s="131" t="s">
        <v>732</v>
      </c>
      <c r="D35" s="133"/>
      <c r="E35" s="133"/>
      <c r="F35" s="132"/>
    </row>
    <row r="36" spans="1:6" ht="8.1" customHeight="1">
      <c r="A36" s="131" t="s">
        <v>733</v>
      </c>
      <c r="B36" s="132"/>
      <c r="C36" s="134"/>
      <c r="D36" s="133"/>
      <c r="E36" s="133"/>
      <c r="F36" s="132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workbookViewId="0"/>
  </sheetViews>
  <sheetFormatPr baseColWidth="10" defaultColWidth="10.42578125" defaultRowHeight="13.7" customHeight="1"/>
  <cols>
    <col min="1" max="1" width="27.5703125" style="126" customWidth="1" collapsed="1"/>
    <col min="2" max="2" width="9.5703125" style="126" customWidth="1" collapsed="1"/>
    <col min="3" max="14" width="8.5703125" style="126" customWidth="1" collapsed="1"/>
    <col min="15" max="16384" width="10.42578125" style="126" collapsed="1"/>
  </cols>
  <sheetData>
    <row r="1" spans="1:14" s="95" customFormat="1" ht="18.75" customHeight="1">
      <c r="A1" s="974" t="s">
        <v>734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</row>
    <row r="2" spans="1:14" s="95" customFormat="1" ht="12.75"/>
    <row r="3" spans="1:14" s="95" customFormat="1" ht="12.75">
      <c r="A3" s="848" t="s">
        <v>268</v>
      </c>
      <c r="B3" s="848"/>
      <c r="C3" s="848"/>
      <c r="K3" s="104" t="s">
        <v>269</v>
      </c>
      <c r="L3" s="824">
        <f>+'Fiche de renseignement R1'!$V$10</f>
        <v>45657</v>
      </c>
      <c r="M3" s="873"/>
    </row>
    <row r="4" spans="1:14" s="95" customFormat="1" ht="12.75" customHeight="1">
      <c r="A4" s="714" t="str">
        <f>'Fiche de renseignement R1'!$J$4</f>
        <v>MANDINGA RESSOURCES SARL</v>
      </c>
      <c r="B4" s="850"/>
      <c r="C4" s="850"/>
      <c r="K4" s="874" t="s">
        <v>270</v>
      </c>
      <c r="L4" s="716">
        <f>+'Fiche de renseignement R1'!$AH$10</f>
        <v>12</v>
      </c>
      <c r="M4" s="875"/>
    </row>
    <row r="5" spans="1:14" s="95" customFormat="1" ht="12.75">
      <c r="A5" s="95" t="s">
        <v>271</v>
      </c>
      <c r="B5" s="718" t="str">
        <f>+'Fiche de renseignement R1'!$J$10</f>
        <v>006495693</v>
      </c>
      <c r="C5" s="995"/>
      <c r="K5" s="874"/>
      <c r="L5" s="850"/>
      <c r="M5" s="850"/>
    </row>
    <row r="7" spans="1:14" ht="34.5" customHeight="1">
      <c r="A7" s="972" t="s">
        <v>735</v>
      </c>
      <c r="B7" s="993" t="s">
        <v>736</v>
      </c>
      <c r="C7" s="985" t="s">
        <v>737</v>
      </c>
      <c r="D7" s="986"/>
      <c r="E7" s="985" t="s">
        <v>738</v>
      </c>
      <c r="F7" s="986"/>
      <c r="G7" s="985" t="s">
        <v>739</v>
      </c>
      <c r="H7" s="986"/>
      <c r="I7" s="985" t="s">
        <v>740</v>
      </c>
      <c r="J7" s="986"/>
      <c r="K7" s="985" t="s">
        <v>741</v>
      </c>
      <c r="L7" s="986"/>
      <c r="M7" s="985" t="s">
        <v>742</v>
      </c>
      <c r="N7" s="986"/>
    </row>
    <row r="8" spans="1:14" ht="25.5" customHeight="1">
      <c r="A8" s="973"/>
      <c r="B8" s="994"/>
      <c r="C8" s="135" t="s">
        <v>743</v>
      </c>
      <c r="D8" s="135" t="s">
        <v>744</v>
      </c>
      <c r="E8" s="135" t="s">
        <v>743</v>
      </c>
      <c r="F8" s="135" t="s">
        <v>744</v>
      </c>
      <c r="G8" s="135" t="s">
        <v>743</v>
      </c>
      <c r="H8" s="135" t="s">
        <v>744</v>
      </c>
      <c r="I8" s="135" t="s">
        <v>743</v>
      </c>
      <c r="J8" s="135" t="s">
        <v>744</v>
      </c>
      <c r="K8" s="135" t="s">
        <v>743</v>
      </c>
      <c r="L8" s="135" t="s">
        <v>744</v>
      </c>
      <c r="M8" s="135" t="s">
        <v>743</v>
      </c>
      <c r="N8" s="135" t="s">
        <v>744</v>
      </c>
    </row>
    <row r="9" spans="1:14" ht="12.75">
      <c r="A9" s="553"/>
      <c r="B9" s="554" t="s">
        <v>810</v>
      </c>
      <c r="C9" s="555">
        <v>0</v>
      </c>
      <c r="D9" s="555">
        <v>0</v>
      </c>
      <c r="E9" s="556">
        <v>0</v>
      </c>
      <c r="F9" s="555">
        <v>0</v>
      </c>
      <c r="G9" s="556">
        <v>0</v>
      </c>
      <c r="H9" s="555">
        <v>0</v>
      </c>
      <c r="I9" s="556">
        <v>0</v>
      </c>
      <c r="J9" s="555">
        <v>0</v>
      </c>
      <c r="K9" s="556">
        <v>0</v>
      </c>
      <c r="L9" s="555">
        <v>0</v>
      </c>
      <c r="M9" s="556">
        <v>0</v>
      </c>
      <c r="N9" s="555">
        <v>0</v>
      </c>
    </row>
    <row r="10" spans="1:14" ht="12.75">
      <c r="A10" s="553"/>
      <c r="B10" s="554" t="s">
        <v>810</v>
      </c>
      <c r="C10" s="555">
        <v>0</v>
      </c>
      <c r="D10" s="555">
        <v>0</v>
      </c>
      <c r="E10" s="556">
        <v>0</v>
      </c>
      <c r="F10" s="555">
        <v>0</v>
      </c>
      <c r="G10" s="556">
        <v>0</v>
      </c>
      <c r="H10" s="555">
        <v>0</v>
      </c>
      <c r="I10" s="556">
        <v>0</v>
      </c>
      <c r="J10" s="555">
        <v>0</v>
      </c>
      <c r="K10" s="556">
        <v>0</v>
      </c>
      <c r="L10" s="555">
        <v>0</v>
      </c>
      <c r="M10" s="556">
        <v>0</v>
      </c>
      <c r="N10" s="555">
        <v>0</v>
      </c>
    </row>
    <row r="11" spans="1:14" ht="12.75">
      <c r="A11" s="553"/>
      <c r="B11" s="554" t="s">
        <v>810</v>
      </c>
      <c r="C11" s="555">
        <v>0</v>
      </c>
      <c r="D11" s="555">
        <v>0</v>
      </c>
      <c r="E11" s="556">
        <v>0</v>
      </c>
      <c r="F11" s="555">
        <v>0</v>
      </c>
      <c r="G11" s="556">
        <v>0</v>
      </c>
      <c r="H11" s="555">
        <v>0</v>
      </c>
      <c r="I11" s="556">
        <v>0</v>
      </c>
      <c r="J11" s="555">
        <v>0</v>
      </c>
      <c r="K11" s="556">
        <v>0</v>
      </c>
      <c r="L11" s="555">
        <v>0</v>
      </c>
      <c r="M11" s="556">
        <v>0</v>
      </c>
      <c r="N11" s="555">
        <v>0</v>
      </c>
    </row>
    <row r="12" spans="1:14" ht="12.75">
      <c r="A12" s="553"/>
      <c r="B12" s="554" t="s">
        <v>810</v>
      </c>
      <c r="C12" s="555">
        <v>0</v>
      </c>
      <c r="D12" s="555">
        <v>0</v>
      </c>
      <c r="E12" s="556">
        <v>0</v>
      </c>
      <c r="F12" s="555">
        <v>0</v>
      </c>
      <c r="G12" s="556">
        <v>0</v>
      </c>
      <c r="H12" s="555">
        <v>0</v>
      </c>
      <c r="I12" s="556">
        <v>0</v>
      </c>
      <c r="J12" s="555">
        <v>0</v>
      </c>
      <c r="K12" s="556">
        <v>0</v>
      </c>
      <c r="L12" s="555">
        <v>0</v>
      </c>
      <c r="M12" s="556">
        <v>0</v>
      </c>
      <c r="N12" s="555">
        <v>0</v>
      </c>
    </row>
    <row r="13" spans="1:14" ht="12.75">
      <c r="A13" s="553"/>
      <c r="B13" s="554" t="s">
        <v>810</v>
      </c>
      <c r="C13" s="555">
        <v>0</v>
      </c>
      <c r="D13" s="555">
        <v>0</v>
      </c>
      <c r="E13" s="556">
        <v>0</v>
      </c>
      <c r="F13" s="555">
        <v>0</v>
      </c>
      <c r="G13" s="556">
        <v>0</v>
      </c>
      <c r="H13" s="555">
        <v>0</v>
      </c>
      <c r="I13" s="556">
        <v>0</v>
      </c>
      <c r="J13" s="555">
        <v>0</v>
      </c>
      <c r="K13" s="556">
        <v>0</v>
      </c>
      <c r="L13" s="555">
        <v>0</v>
      </c>
      <c r="M13" s="556">
        <v>0</v>
      </c>
      <c r="N13" s="555">
        <v>0</v>
      </c>
    </row>
    <row r="14" spans="1:14" ht="12.75">
      <c r="A14" s="553"/>
      <c r="B14" s="554" t="s">
        <v>810</v>
      </c>
      <c r="C14" s="555">
        <v>0</v>
      </c>
      <c r="D14" s="555">
        <v>0</v>
      </c>
      <c r="E14" s="556">
        <v>0</v>
      </c>
      <c r="F14" s="555">
        <v>0</v>
      </c>
      <c r="G14" s="556">
        <v>0</v>
      </c>
      <c r="H14" s="555">
        <v>0</v>
      </c>
      <c r="I14" s="556">
        <v>0</v>
      </c>
      <c r="J14" s="555">
        <v>0</v>
      </c>
      <c r="K14" s="556">
        <v>0</v>
      </c>
      <c r="L14" s="555">
        <v>0</v>
      </c>
      <c r="M14" s="556">
        <v>0</v>
      </c>
      <c r="N14" s="555">
        <v>0</v>
      </c>
    </row>
    <row r="15" spans="1:14" ht="12.75">
      <c r="A15" s="553"/>
      <c r="B15" s="554" t="s">
        <v>810</v>
      </c>
      <c r="C15" s="555">
        <v>0</v>
      </c>
      <c r="D15" s="555">
        <v>0</v>
      </c>
      <c r="E15" s="556">
        <v>0</v>
      </c>
      <c r="F15" s="555">
        <v>0</v>
      </c>
      <c r="G15" s="556">
        <v>0</v>
      </c>
      <c r="H15" s="555">
        <v>0</v>
      </c>
      <c r="I15" s="556">
        <v>0</v>
      </c>
      <c r="J15" s="555">
        <v>0</v>
      </c>
      <c r="K15" s="556">
        <v>0</v>
      </c>
      <c r="L15" s="555">
        <v>0</v>
      </c>
      <c r="M15" s="556">
        <v>0</v>
      </c>
      <c r="N15" s="555">
        <v>0</v>
      </c>
    </row>
    <row r="16" spans="1:14" ht="12.75">
      <c r="A16" s="553"/>
      <c r="B16" s="554" t="s">
        <v>810</v>
      </c>
      <c r="C16" s="555">
        <v>0</v>
      </c>
      <c r="D16" s="555">
        <v>0</v>
      </c>
      <c r="E16" s="556">
        <v>0</v>
      </c>
      <c r="F16" s="555">
        <v>0</v>
      </c>
      <c r="G16" s="556">
        <v>0</v>
      </c>
      <c r="H16" s="555">
        <v>0</v>
      </c>
      <c r="I16" s="556">
        <v>0</v>
      </c>
      <c r="J16" s="555">
        <v>0</v>
      </c>
      <c r="K16" s="556">
        <v>0</v>
      </c>
      <c r="L16" s="555">
        <v>0</v>
      </c>
      <c r="M16" s="556">
        <v>0</v>
      </c>
      <c r="N16" s="555">
        <v>0</v>
      </c>
    </row>
    <row r="17" spans="1:14" ht="12.75">
      <c r="A17" s="553"/>
      <c r="B17" s="557" t="s">
        <v>810</v>
      </c>
      <c r="C17" s="555">
        <v>0</v>
      </c>
      <c r="D17" s="555">
        <v>0</v>
      </c>
      <c r="E17" s="556">
        <v>0</v>
      </c>
      <c r="F17" s="555">
        <v>0</v>
      </c>
      <c r="G17" s="556">
        <v>0</v>
      </c>
      <c r="H17" s="555">
        <v>0</v>
      </c>
      <c r="I17" s="556">
        <v>0</v>
      </c>
      <c r="J17" s="555">
        <v>0</v>
      </c>
      <c r="K17" s="556">
        <v>0</v>
      </c>
      <c r="L17" s="555">
        <v>0</v>
      </c>
      <c r="M17" s="556">
        <v>0</v>
      </c>
      <c r="N17" s="555">
        <v>0</v>
      </c>
    </row>
    <row r="18" spans="1:14" ht="12.75">
      <c r="A18" s="553"/>
      <c r="B18" s="557" t="s">
        <v>810</v>
      </c>
      <c r="C18" s="555">
        <v>0</v>
      </c>
      <c r="D18" s="555">
        <v>0</v>
      </c>
      <c r="E18" s="556">
        <v>0</v>
      </c>
      <c r="F18" s="555">
        <v>0</v>
      </c>
      <c r="G18" s="556">
        <v>0</v>
      </c>
      <c r="H18" s="555">
        <v>0</v>
      </c>
      <c r="I18" s="556">
        <v>0</v>
      </c>
      <c r="J18" s="555">
        <v>0</v>
      </c>
      <c r="K18" s="556">
        <v>0</v>
      </c>
      <c r="L18" s="555">
        <v>0</v>
      </c>
      <c r="M18" s="556">
        <v>0</v>
      </c>
      <c r="N18" s="555">
        <v>0</v>
      </c>
    </row>
    <row r="19" spans="1:14" ht="12.75">
      <c r="A19" s="553"/>
      <c r="B19" s="557" t="s">
        <v>810</v>
      </c>
      <c r="C19" s="555">
        <v>0</v>
      </c>
      <c r="D19" s="555">
        <v>0</v>
      </c>
      <c r="E19" s="556">
        <v>0</v>
      </c>
      <c r="F19" s="555">
        <v>0</v>
      </c>
      <c r="G19" s="556">
        <v>0</v>
      </c>
      <c r="H19" s="555">
        <v>0</v>
      </c>
      <c r="I19" s="556">
        <v>0</v>
      </c>
      <c r="J19" s="555">
        <v>0</v>
      </c>
      <c r="K19" s="556">
        <v>0</v>
      </c>
      <c r="L19" s="555">
        <v>0</v>
      </c>
      <c r="M19" s="556">
        <v>0</v>
      </c>
      <c r="N19" s="555">
        <v>0</v>
      </c>
    </row>
    <row r="20" spans="1:14" ht="12.75">
      <c r="A20" s="553"/>
      <c r="B20" s="557" t="s">
        <v>810</v>
      </c>
      <c r="C20" s="555">
        <v>0</v>
      </c>
      <c r="D20" s="555">
        <v>0</v>
      </c>
      <c r="E20" s="556">
        <v>0</v>
      </c>
      <c r="F20" s="555">
        <v>0</v>
      </c>
      <c r="G20" s="556">
        <v>0</v>
      </c>
      <c r="H20" s="555">
        <v>0</v>
      </c>
      <c r="I20" s="556">
        <v>0</v>
      </c>
      <c r="J20" s="555">
        <v>0</v>
      </c>
      <c r="K20" s="556">
        <v>0</v>
      </c>
      <c r="L20" s="555">
        <v>0</v>
      </c>
      <c r="M20" s="556">
        <v>0</v>
      </c>
      <c r="N20" s="555">
        <v>0</v>
      </c>
    </row>
    <row r="21" spans="1:14" ht="12.75">
      <c r="A21" s="553"/>
      <c r="B21" s="557" t="s">
        <v>810</v>
      </c>
      <c r="C21" s="555">
        <v>0</v>
      </c>
      <c r="D21" s="555">
        <v>0</v>
      </c>
      <c r="E21" s="556">
        <v>0</v>
      </c>
      <c r="F21" s="555">
        <v>0</v>
      </c>
      <c r="G21" s="556">
        <v>0</v>
      </c>
      <c r="H21" s="555">
        <v>0</v>
      </c>
      <c r="I21" s="556">
        <v>0</v>
      </c>
      <c r="J21" s="555">
        <v>0</v>
      </c>
      <c r="K21" s="556">
        <v>0</v>
      </c>
      <c r="L21" s="555">
        <v>0</v>
      </c>
      <c r="M21" s="556">
        <v>0</v>
      </c>
      <c r="N21" s="555">
        <v>0</v>
      </c>
    </row>
    <row r="22" spans="1:14" ht="12.75">
      <c r="A22" s="553"/>
      <c r="B22" s="557" t="s">
        <v>810</v>
      </c>
      <c r="C22" s="555">
        <v>0</v>
      </c>
      <c r="D22" s="555">
        <v>0</v>
      </c>
      <c r="E22" s="556">
        <v>0</v>
      </c>
      <c r="F22" s="555">
        <v>0</v>
      </c>
      <c r="G22" s="556">
        <v>0</v>
      </c>
      <c r="H22" s="555">
        <v>0</v>
      </c>
      <c r="I22" s="556">
        <v>0</v>
      </c>
      <c r="J22" s="555">
        <v>0</v>
      </c>
      <c r="K22" s="556">
        <v>0</v>
      </c>
      <c r="L22" s="555">
        <v>0</v>
      </c>
      <c r="M22" s="556">
        <v>0</v>
      </c>
      <c r="N22" s="555">
        <v>0</v>
      </c>
    </row>
    <row r="23" spans="1:14" ht="12.75">
      <c r="A23" s="987" t="s">
        <v>745</v>
      </c>
      <c r="B23" s="989" t="s">
        <v>810</v>
      </c>
      <c r="C23" s="983">
        <v>0</v>
      </c>
      <c r="D23" s="983">
        <v>0</v>
      </c>
      <c r="E23" s="981">
        <v>0</v>
      </c>
      <c r="F23" s="983">
        <v>0</v>
      </c>
      <c r="G23" s="981">
        <v>0</v>
      </c>
      <c r="H23" s="983">
        <v>0</v>
      </c>
      <c r="I23" s="981">
        <v>0</v>
      </c>
      <c r="J23" s="983">
        <v>0</v>
      </c>
      <c r="K23" s="981">
        <v>0</v>
      </c>
      <c r="L23" s="983">
        <v>0</v>
      </c>
      <c r="M23" s="981">
        <v>0</v>
      </c>
      <c r="N23" s="983">
        <v>0</v>
      </c>
    </row>
    <row r="24" spans="1:14" ht="12.75">
      <c r="A24" s="988"/>
      <c r="B24" s="990"/>
      <c r="C24" s="984"/>
      <c r="D24" s="984"/>
      <c r="E24" s="982"/>
      <c r="F24" s="984"/>
      <c r="G24" s="982"/>
      <c r="H24" s="984"/>
      <c r="I24" s="982"/>
      <c r="J24" s="984"/>
      <c r="K24" s="982"/>
      <c r="L24" s="984"/>
      <c r="M24" s="982"/>
      <c r="N24" s="984"/>
    </row>
    <row r="25" spans="1:14" ht="12.75">
      <c r="A25" s="991">
        <v>0</v>
      </c>
      <c r="B25" s="977">
        <v>0</v>
      </c>
      <c r="C25" s="977">
        <v>0</v>
      </c>
      <c r="D25" s="977">
        <v>0</v>
      </c>
      <c r="E25" s="979">
        <v>0</v>
      </c>
      <c r="F25" s="977">
        <v>0</v>
      </c>
      <c r="G25" s="979">
        <v>0</v>
      </c>
      <c r="H25" s="977">
        <v>0</v>
      </c>
      <c r="I25" s="979">
        <v>0</v>
      </c>
      <c r="J25" s="977">
        <v>0</v>
      </c>
      <c r="K25" s="979">
        <v>0</v>
      </c>
      <c r="L25" s="977">
        <v>0</v>
      </c>
      <c r="M25" s="979">
        <v>0</v>
      </c>
      <c r="N25" s="977">
        <v>0</v>
      </c>
    </row>
    <row r="26" spans="1:14" ht="12.75">
      <c r="A26" s="992"/>
      <c r="B26" s="978"/>
      <c r="C26" s="978"/>
      <c r="D26" s="978"/>
      <c r="E26" s="980"/>
      <c r="F26" s="978"/>
      <c r="G26" s="980"/>
      <c r="H26" s="978"/>
      <c r="I26" s="980"/>
      <c r="J26" s="978"/>
      <c r="K26" s="980"/>
      <c r="L26" s="978"/>
      <c r="M26" s="980"/>
      <c r="N26" s="978"/>
    </row>
  </sheetData>
  <mergeCells count="43">
    <mergeCell ref="C25:C26"/>
    <mergeCell ref="D25:D26"/>
    <mergeCell ref="E25:E26"/>
    <mergeCell ref="G25:G26"/>
    <mergeCell ref="A1:N1"/>
    <mergeCell ref="A3:C3"/>
    <mergeCell ref="L3:M3"/>
    <mergeCell ref="A4:C4"/>
    <mergeCell ref="K4:K5"/>
    <mergeCell ref="L4:M5"/>
    <mergeCell ref="B5:C5"/>
    <mergeCell ref="C7:D7"/>
    <mergeCell ref="E7:F7"/>
    <mergeCell ref="G7:H7"/>
    <mergeCell ref="I7:J7"/>
    <mergeCell ref="C23:C24"/>
    <mergeCell ref="A23:A24"/>
    <mergeCell ref="B23:B24"/>
    <mergeCell ref="A25:A26"/>
    <mergeCell ref="B25:B26"/>
    <mergeCell ref="A7:A8"/>
    <mergeCell ref="B7:B8"/>
    <mergeCell ref="K7:L7"/>
    <mergeCell ref="K25:K26"/>
    <mergeCell ref="L25:L26"/>
    <mergeCell ref="M7:N7"/>
    <mergeCell ref="M25:M26"/>
    <mergeCell ref="N25:N26"/>
    <mergeCell ref="N23:N24"/>
    <mergeCell ref="K23:K24"/>
    <mergeCell ref="L23:L24"/>
    <mergeCell ref="M23:M24"/>
    <mergeCell ref="D23:D24"/>
    <mergeCell ref="E23:E24"/>
    <mergeCell ref="F23:F24"/>
    <mergeCell ref="G23:G24"/>
    <mergeCell ref="H23:H24"/>
    <mergeCell ref="F25:F26"/>
    <mergeCell ref="H25:H26"/>
    <mergeCell ref="I25:I26"/>
    <mergeCell ref="I23:I24"/>
    <mergeCell ref="J23:J24"/>
    <mergeCell ref="J25:J26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:N26 C25:C2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1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/>
  </sheetViews>
  <sheetFormatPr baseColWidth="10" defaultColWidth="10.42578125" defaultRowHeight="13.7" customHeight="1"/>
  <cols>
    <col min="1" max="1" width="27.5703125" style="126" customWidth="1" collapsed="1"/>
    <col min="2" max="2" width="11.5703125" style="126" customWidth="1" collapsed="1"/>
    <col min="3" max="8" width="8.5703125" style="126" customWidth="1" collapsed="1"/>
    <col min="9" max="9" width="11.5703125" style="126" customWidth="1" collapsed="1"/>
    <col min="10" max="16384" width="10.42578125" style="126" collapsed="1"/>
  </cols>
  <sheetData>
    <row r="1" spans="1:9" s="95" customFormat="1" ht="18.75" customHeight="1">
      <c r="A1" s="974" t="s">
        <v>746</v>
      </c>
      <c r="B1" s="974"/>
      <c r="C1" s="974"/>
      <c r="D1" s="974"/>
      <c r="E1" s="974"/>
      <c r="F1" s="974"/>
      <c r="G1" s="974"/>
      <c r="H1" s="974"/>
      <c r="I1" s="974"/>
    </row>
    <row r="2" spans="1:9" s="95" customFormat="1" ht="12.75"/>
    <row r="3" spans="1:9" s="95" customFormat="1" ht="12.75">
      <c r="A3" s="848" t="s">
        <v>268</v>
      </c>
      <c r="B3" s="848"/>
      <c r="C3" s="848"/>
      <c r="G3" s="96" t="s">
        <v>269</v>
      </c>
      <c r="H3" s="824">
        <f>+'Fiche de renseignement R1'!$V$10</f>
        <v>45657</v>
      </c>
      <c r="I3" s="931"/>
    </row>
    <row r="4" spans="1:9" s="95" customFormat="1" ht="12.75">
      <c r="A4" s="826" t="str">
        <f>'Fiche de renseignement R1'!$J$4</f>
        <v>MANDINGA RESSOURCES SARL</v>
      </c>
      <c r="B4" s="849"/>
      <c r="C4" s="849"/>
      <c r="G4" s="874" t="s">
        <v>270</v>
      </c>
      <c r="H4" s="933">
        <f>+'Fiche de renseignement R1'!$AH$10</f>
        <v>12</v>
      </c>
      <c r="I4" s="934"/>
    </row>
    <row r="5" spans="1:9" s="95" customFormat="1" ht="12.75">
      <c r="A5" s="95" t="s">
        <v>271</v>
      </c>
      <c r="B5" s="831" t="str">
        <f>+'Fiche de renseignement R1'!$J$10</f>
        <v>006495693</v>
      </c>
      <c r="C5" s="876"/>
      <c r="G5" s="874"/>
      <c r="H5" s="935"/>
      <c r="I5" s="935"/>
    </row>
    <row r="7" spans="1:9" ht="12.75">
      <c r="A7" s="1001" t="s">
        <v>747</v>
      </c>
      <c r="B7" s="1001" t="s">
        <v>736</v>
      </c>
      <c r="C7" s="1004" t="s">
        <v>748</v>
      </c>
      <c r="D7" s="1005"/>
      <c r="E7" s="1005"/>
      <c r="F7" s="1005"/>
      <c r="G7" s="1005"/>
      <c r="H7" s="1006"/>
      <c r="I7" s="1007" t="s">
        <v>749</v>
      </c>
    </row>
    <row r="8" spans="1:9" ht="12.75">
      <c r="A8" s="1002"/>
      <c r="B8" s="1002"/>
      <c r="C8" s="1010" t="s">
        <v>750</v>
      </c>
      <c r="D8" s="1011"/>
      <c r="E8" s="1004" t="s">
        <v>751</v>
      </c>
      <c r="F8" s="1005"/>
      <c r="G8" s="1005"/>
      <c r="H8" s="1006"/>
      <c r="I8" s="1008"/>
    </row>
    <row r="9" spans="1:9" ht="23.25" customHeight="1">
      <c r="A9" s="1002"/>
      <c r="B9" s="1002"/>
      <c r="C9" s="1012"/>
      <c r="D9" s="1013"/>
      <c r="E9" s="1014" t="s">
        <v>752</v>
      </c>
      <c r="F9" s="1015"/>
      <c r="G9" s="1016" t="s">
        <v>753</v>
      </c>
      <c r="H9" s="1017"/>
      <c r="I9" s="1009"/>
    </row>
    <row r="10" spans="1:9" ht="12.75">
      <c r="A10" s="1003"/>
      <c r="B10" s="1003"/>
      <c r="C10" s="135" t="s">
        <v>743</v>
      </c>
      <c r="D10" s="135" t="s">
        <v>744</v>
      </c>
      <c r="E10" s="135" t="s">
        <v>743</v>
      </c>
      <c r="F10" s="135" t="s">
        <v>744</v>
      </c>
      <c r="G10" s="135" t="s">
        <v>743</v>
      </c>
      <c r="H10" s="135" t="s">
        <v>744</v>
      </c>
      <c r="I10" s="135" t="s">
        <v>744</v>
      </c>
    </row>
    <row r="11" spans="1:9" ht="12.75">
      <c r="A11" s="553"/>
      <c r="B11" s="554" t="s">
        <v>810</v>
      </c>
      <c r="C11" s="556">
        <v>0</v>
      </c>
      <c r="D11" s="555">
        <v>0</v>
      </c>
      <c r="E11" s="556">
        <v>0</v>
      </c>
      <c r="F11" s="555">
        <v>0</v>
      </c>
      <c r="G11" s="556">
        <v>0</v>
      </c>
      <c r="H11" s="555">
        <v>0</v>
      </c>
      <c r="I11" s="555">
        <v>0</v>
      </c>
    </row>
    <row r="12" spans="1:9" ht="12.75">
      <c r="A12" s="553"/>
      <c r="B12" s="554" t="s">
        <v>810</v>
      </c>
      <c r="C12" s="556">
        <v>0</v>
      </c>
      <c r="D12" s="555">
        <v>0</v>
      </c>
      <c r="E12" s="556">
        <v>0</v>
      </c>
      <c r="F12" s="555">
        <v>0</v>
      </c>
      <c r="G12" s="556">
        <v>0</v>
      </c>
      <c r="H12" s="555">
        <v>0</v>
      </c>
      <c r="I12" s="555">
        <v>0</v>
      </c>
    </row>
    <row r="13" spans="1:9" ht="12.75">
      <c r="A13" s="553"/>
      <c r="B13" s="554" t="s">
        <v>810</v>
      </c>
      <c r="C13" s="556">
        <v>0</v>
      </c>
      <c r="D13" s="555">
        <v>0</v>
      </c>
      <c r="E13" s="556">
        <v>0</v>
      </c>
      <c r="F13" s="555">
        <v>0</v>
      </c>
      <c r="G13" s="556">
        <v>0</v>
      </c>
      <c r="H13" s="555">
        <v>0</v>
      </c>
      <c r="I13" s="555">
        <v>0</v>
      </c>
    </row>
    <row r="14" spans="1:9" ht="12.75">
      <c r="A14" s="553"/>
      <c r="B14" s="554" t="s">
        <v>810</v>
      </c>
      <c r="C14" s="556">
        <v>0</v>
      </c>
      <c r="D14" s="555">
        <v>0</v>
      </c>
      <c r="E14" s="556">
        <v>0</v>
      </c>
      <c r="F14" s="555">
        <v>0</v>
      </c>
      <c r="G14" s="556">
        <v>0</v>
      </c>
      <c r="H14" s="555">
        <v>0</v>
      </c>
      <c r="I14" s="555">
        <v>0</v>
      </c>
    </row>
    <row r="15" spans="1:9" ht="12.75">
      <c r="A15" s="553"/>
      <c r="B15" s="554" t="s">
        <v>810</v>
      </c>
      <c r="C15" s="556">
        <v>0</v>
      </c>
      <c r="D15" s="555">
        <v>0</v>
      </c>
      <c r="E15" s="556">
        <v>0</v>
      </c>
      <c r="F15" s="555">
        <v>0</v>
      </c>
      <c r="G15" s="556">
        <v>0</v>
      </c>
      <c r="H15" s="555">
        <v>0</v>
      </c>
      <c r="I15" s="555">
        <v>0</v>
      </c>
    </row>
    <row r="16" spans="1:9" ht="12.75">
      <c r="A16" s="553"/>
      <c r="B16" s="554" t="s">
        <v>810</v>
      </c>
      <c r="C16" s="556">
        <v>0</v>
      </c>
      <c r="D16" s="555">
        <v>0</v>
      </c>
      <c r="E16" s="556">
        <v>0</v>
      </c>
      <c r="F16" s="555">
        <v>0</v>
      </c>
      <c r="G16" s="556">
        <v>0</v>
      </c>
      <c r="H16" s="555">
        <v>0</v>
      </c>
      <c r="I16" s="555">
        <v>0</v>
      </c>
    </row>
    <row r="17" spans="1:9" ht="12.75">
      <c r="A17" s="553"/>
      <c r="B17" s="554" t="s">
        <v>810</v>
      </c>
      <c r="C17" s="556">
        <v>0</v>
      </c>
      <c r="D17" s="555">
        <v>0</v>
      </c>
      <c r="E17" s="556">
        <v>0</v>
      </c>
      <c r="F17" s="555">
        <v>0</v>
      </c>
      <c r="G17" s="556">
        <v>0</v>
      </c>
      <c r="H17" s="555">
        <v>0</v>
      </c>
      <c r="I17" s="555">
        <v>0</v>
      </c>
    </row>
    <row r="18" spans="1:9" ht="12.75">
      <c r="A18" s="553"/>
      <c r="B18" s="554" t="s">
        <v>810</v>
      </c>
      <c r="C18" s="556">
        <v>0</v>
      </c>
      <c r="D18" s="555">
        <v>0</v>
      </c>
      <c r="E18" s="556">
        <v>0</v>
      </c>
      <c r="F18" s="555">
        <v>0</v>
      </c>
      <c r="G18" s="556">
        <v>0</v>
      </c>
      <c r="H18" s="555">
        <v>0</v>
      </c>
      <c r="I18" s="555">
        <v>0</v>
      </c>
    </row>
    <row r="19" spans="1:9" ht="12.75">
      <c r="A19" s="553"/>
      <c r="B19" s="554" t="s">
        <v>810</v>
      </c>
      <c r="C19" s="556">
        <v>0</v>
      </c>
      <c r="D19" s="555">
        <v>0</v>
      </c>
      <c r="E19" s="556">
        <v>0</v>
      </c>
      <c r="F19" s="555">
        <v>0</v>
      </c>
      <c r="G19" s="556">
        <v>0</v>
      </c>
      <c r="H19" s="555">
        <v>0</v>
      </c>
      <c r="I19" s="555">
        <v>0</v>
      </c>
    </row>
    <row r="20" spans="1:9" ht="12.75">
      <c r="A20" s="553"/>
      <c r="B20" s="554" t="s">
        <v>810</v>
      </c>
      <c r="C20" s="556">
        <v>0</v>
      </c>
      <c r="D20" s="555">
        <v>0</v>
      </c>
      <c r="E20" s="556">
        <v>0</v>
      </c>
      <c r="F20" s="555">
        <v>0</v>
      </c>
      <c r="G20" s="556">
        <v>0</v>
      </c>
      <c r="H20" s="555">
        <v>0</v>
      </c>
      <c r="I20" s="555">
        <v>0</v>
      </c>
    </row>
    <row r="21" spans="1:9" ht="12.75">
      <c r="A21" s="553"/>
      <c r="B21" s="554" t="s">
        <v>810</v>
      </c>
      <c r="C21" s="556">
        <v>0</v>
      </c>
      <c r="D21" s="555">
        <v>0</v>
      </c>
      <c r="E21" s="556">
        <v>0</v>
      </c>
      <c r="F21" s="555">
        <v>0</v>
      </c>
      <c r="G21" s="556">
        <v>0</v>
      </c>
      <c r="H21" s="555">
        <v>0</v>
      </c>
      <c r="I21" s="555">
        <v>0</v>
      </c>
    </row>
    <row r="22" spans="1:9" ht="12.75">
      <c r="A22" s="553"/>
      <c r="B22" s="557" t="s">
        <v>810</v>
      </c>
      <c r="C22" s="556">
        <v>0</v>
      </c>
      <c r="D22" s="555">
        <v>0</v>
      </c>
      <c r="E22" s="556">
        <v>0</v>
      </c>
      <c r="F22" s="555">
        <v>0</v>
      </c>
      <c r="G22" s="556">
        <v>0</v>
      </c>
      <c r="H22" s="555">
        <v>0</v>
      </c>
      <c r="I22" s="555">
        <v>0</v>
      </c>
    </row>
    <row r="23" spans="1:9" ht="12.75">
      <c r="A23" s="553"/>
      <c r="B23" s="557" t="s">
        <v>810</v>
      </c>
      <c r="C23" s="556">
        <v>0</v>
      </c>
      <c r="D23" s="555">
        <v>0</v>
      </c>
      <c r="E23" s="556">
        <v>0</v>
      </c>
      <c r="F23" s="555">
        <v>0</v>
      </c>
      <c r="G23" s="556">
        <v>0</v>
      </c>
      <c r="H23" s="555">
        <v>0</v>
      </c>
      <c r="I23" s="555">
        <v>0</v>
      </c>
    </row>
    <row r="24" spans="1:9" ht="12.75">
      <c r="A24" s="553"/>
      <c r="B24" s="557" t="s">
        <v>810</v>
      </c>
      <c r="C24" s="556">
        <v>0</v>
      </c>
      <c r="D24" s="555">
        <v>0</v>
      </c>
      <c r="E24" s="556">
        <v>0</v>
      </c>
      <c r="F24" s="555">
        <v>0</v>
      </c>
      <c r="G24" s="556">
        <v>0</v>
      </c>
      <c r="H24" s="555">
        <v>0</v>
      </c>
      <c r="I24" s="555">
        <v>0</v>
      </c>
    </row>
    <row r="25" spans="1:9" ht="12.75">
      <c r="A25" s="987" t="s">
        <v>754</v>
      </c>
      <c r="B25" s="996">
        <v>0</v>
      </c>
      <c r="C25" s="1019">
        <v>0</v>
      </c>
      <c r="D25" s="1021">
        <v>0</v>
      </c>
      <c r="E25" s="1019">
        <v>0</v>
      </c>
      <c r="F25" s="1021">
        <v>0</v>
      </c>
      <c r="G25" s="1019">
        <v>0</v>
      </c>
      <c r="H25" s="1021">
        <v>0</v>
      </c>
      <c r="I25" s="1021">
        <v>0</v>
      </c>
    </row>
    <row r="26" spans="1:9" ht="12.75">
      <c r="A26" s="988"/>
      <c r="B26" s="997"/>
      <c r="C26" s="1020"/>
      <c r="D26" s="1022"/>
      <c r="E26" s="1020"/>
      <c r="F26" s="1022"/>
      <c r="G26" s="1020"/>
      <c r="H26" s="1022"/>
      <c r="I26" s="1022"/>
    </row>
    <row r="27" spans="1:9" ht="12.75">
      <c r="A27" s="998" t="s">
        <v>98</v>
      </c>
      <c r="B27" s="999"/>
      <c r="C27" s="1023"/>
      <c r="D27" s="1018"/>
      <c r="E27" s="1023"/>
      <c r="F27" s="1018"/>
      <c r="G27" s="1023"/>
      <c r="H27" s="1018"/>
      <c r="I27" s="1018"/>
    </row>
    <row r="28" spans="1:9" ht="12.75">
      <c r="A28" s="992"/>
      <c r="B28" s="1000"/>
      <c r="C28" s="980"/>
      <c r="D28" s="978"/>
      <c r="E28" s="980"/>
      <c r="F28" s="978"/>
      <c r="G28" s="980"/>
      <c r="H28" s="978"/>
      <c r="I28" s="978"/>
    </row>
  </sheetData>
  <mergeCells count="33">
    <mergeCell ref="H27:H28"/>
    <mergeCell ref="I27:I28"/>
    <mergeCell ref="C25:C26"/>
    <mergeCell ref="D25:D26"/>
    <mergeCell ref="E25:E26"/>
    <mergeCell ref="F25:F26"/>
    <mergeCell ref="G25:G26"/>
    <mergeCell ref="H25:H26"/>
    <mergeCell ref="I25:I26"/>
    <mergeCell ref="C27:C28"/>
    <mergeCell ref="D27:D28"/>
    <mergeCell ref="E27:E28"/>
    <mergeCell ref="F27:F28"/>
    <mergeCell ref="G27:G28"/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xWindow="710" yWindow="62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B28 H27 C27 D27 E27 F27 G27 C11:C25 D11:D25 E11:E25 F11:F25 G11:G25 H11:H25 I11:I25 I2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66"/>
  <sheetViews>
    <sheetView showGridLines="0" topLeftCell="A19" workbookViewId="0"/>
  </sheetViews>
  <sheetFormatPr baseColWidth="10" defaultColWidth="10.42578125" defaultRowHeight="13.7" customHeight="1"/>
  <cols>
    <col min="1" max="1" width="65.5703125" style="95" customWidth="1" collapsed="1"/>
    <col min="2" max="2" width="22.140625" style="95" customWidth="1" collapsed="1"/>
    <col min="3" max="4" width="15.5703125" style="95" customWidth="1" collapsed="1"/>
    <col min="5" max="16384" width="10.42578125" style="95" collapsed="1"/>
  </cols>
  <sheetData>
    <row r="1" spans="1:6" ht="21" customHeight="1">
      <c r="A1" s="847" t="s">
        <v>783</v>
      </c>
      <c r="B1" s="847"/>
      <c r="C1" s="847"/>
      <c r="D1" s="847"/>
    </row>
    <row r="2" spans="1:6" ht="8.1" customHeight="1"/>
    <row r="3" spans="1:6" ht="12.75" customHeight="1">
      <c r="A3" s="136" t="s">
        <v>268</v>
      </c>
      <c r="B3" s="207" t="s">
        <v>269</v>
      </c>
      <c r="C3" s="712">
        <f>+'Fiche de renseignement R1'!$V$10</f>
        <v>45657</v>
      </c>
      <c r="D3" s="850"/>
      <c r="E3" s="136"/>
    </row>
    <row r="4" spans="1:6" ht="15" customHeight="1">
      <c r="A4" s="423" t="str">
        <f>'Fiche de renseignement R1'!$J$4</f>
        <v>MANDINGA RESSOURCES SARL</v>
      </c>
      <c r="B4" s="137"/>
      <c r="C4" s="136" t="s">
        <v>270</v>
      </c>
      <c r="D4" s="558">
        <f>+'Fiche de renseignement R1'!$AH$10</f>
        <v>12</v>
      </c>
      <c r="E4" s="136"/>
      <c r="F4" s="137"/>
    </row>
    <row r="5" spans="1:6" ht="15" customHeight="1">
      <c r="A5" s="136" t="s">
        <v>271</v>
      </c>
      <c r="B5" s="1027" t="str">
        <f>+'Fiche de renseignement R1'!$J$10</f>
        <v>006495693</v>
      </c>
      <c r="C5" s="935"/>
      <c r="D5" s="137"/>
      <c r="E5" s="136"/>
      <c r="F5" s="137"/>
    </row>
    <row r="6" spans="1:6" ht="8.1" customHeight="1"/>
    <row r="7" spans="1:6" ht="25.35" customHeight="1">
      <c r="A7" s="197" t="s">
        <v>755</v>
      </c>
      <c r="B7" s="198" t="s">
        <v>359</v>
      </c>
      <c r="C7" s="199" t="s">
        <v>360</v>
      </c>
      <c r="D7" s="199" t="s">
        <v>387</v>
      </c>
    </row>
    <row r="8" spans="1:6" ht="20.100000000000001" customHeight="1">
      <c r="A8" s="1028" t="s">
        <v>756</v>
      </c>
      <c r="B8" s="1029">
        <v>0</v>
      </c>
      <c r="C8" s="1029">
        <v>0</v>
      </c>
      <c r="D8" s="1030"/>
    </row>
    <row r="9" spans="1:6" ht="25.35" customHeight="1">
      <c r="A9" s="138" t="s">
        <v>757</v>
      </c>
      <c r="B9" s="559"/>
      <c r="C9" s="560"/>
      <c r="D9" s="561"/>
    </row>
    <row r="10" spans="1:6" ht="12.75">
      <c r="A10" s="97" t="s">
        <v>758</v>
      </c>
      <c r="B10" s="478">
        <v>0</v>
      </c>
      <c r="C10" s="432">
        <v>0</v>
      </c>
      <c r="D10" s="464"/>
    </row>
    <row r="11" spans="1:6" ht="12.75">
      <c r="A11" s="97" t="s">
        <v>759</v>
      </c>
      <c r="B11" s="478">
        <v>-4554724</v>
      </c>
      <c r="C11" s="432">
        <v>0</v>
      </c>
      <c r="D11" s="464"/>
    </row>
    <row r="12" spans="1:6" ht="12.75">
      <c r="A12" s="97" t="s">
        <v>760</v>
      </c>
      <c r="B12" s="478">
        <v>-363224329</v>
      </c>
      <c r="C12" s="432">
        <v>0</v>
      </c>
      <c r="D12" s="464"/>
    </row>
    <row r="13" spans="1:6" ht="12.75">
      <c r="A13" s="97" t="s">
        <v>761</v>
      </c>
      <c r="B13" s="478">
        <v>-440667250</v>
      </c>
      <c r="C13" s="432">
        <v>0</v>
      </c>
      <c r="D13" s="464"/>
    </row>
    <row r="14" spans="1:6" ht="12.75">
      <c r="A14" s="97" t="s">
        <v>762</v>
      </c>
      <c r="B14" s="478">
        <v>-29258243</v>
      </c>
      <c r="C14" s="432">
        <v>-27657980</v>
      </c>
      <c r="D14" s="464" t="s">
        <v>1485</v>
      </c>
    </row>
    <row r="15" spans="1:6" ht="12.75">
      <c r="A15" s="97" t="s">
        <v>763</v>
      </c>
      <c r="B15" s="478">
        <v>0</v>
      </c>
      <c r="C15" s="432">
        <v>0</v>
      </c>
      <c r="D15" s="464"/>
    </row>
    <row r="16" spans="1:6" ht="12.75">
      <c r="A16" s="97" t="s">
        <v>764</v>
      </c>
      <c r="B16" s="478">
        <v>-29258243</v>
      </c>
      <c r="C16" s="432">
        <v>-27657980</v>
      </c>
      <c r="D16" s="464" t="s">
        <v>1485</v>
      </c>
    </row>
    <row r="17" spans="1:4" ht="12.75">
      <c r="A17" s="97" t="s">
        <v>765</v>
      </c>
      <c r="B17" s="478">
        <v>0</v>
      </c>
      <c r="C17" s="432">
        <v>0</v>
      </c>
      <c r="D17" s="464"/>
    </row>
    <row r="18" spans="1:4" ht="12.75">
      <c r="A18" s="97" t="s">
        <v>766</v>
      </c>
      <c r="B18" s="478">
        <v>-29258243</v>
      </c>
      <c r="C18" s="432">
        <v>-27657980</v>
      </c>
      <c r="D18" s="464" t="s">
        <v>1485</v>
      </c>
    </row>
    <row r="19" spans="1:4" ht="20.100000000000001" customHeight="1">
      <c r="A19" s="110" t="s">
        <v>767</v>
      </c>
      <c r="B19" s="479">
        <v>0</v>
      </c>
      <c r="C19" s="480">
        <v>0</v>
      </c>
      <c r="D19" s="562"/>
    </row>
    <row r="20" spans="1:4" ht="20.100000000000001" customHeight="1">
      <c r="A20" s="109" t="s">
        <v>1095</v>
      </c>
      <c r="B20" s="478">
        <v>-440667250</v>
      </c>
      <c r="C20" s="432">
        <v>0</v>
      </c>
      <c r="D20" s="481"/>
    </row>
    <row r="21" spans="1:4" ht="12.75">
      <c r="A21" s="342" t="s">
        <v>768</v>
      </c>
      <c r="B21" s="478">
        <v>0</v>
      </c>
      <c r="C21" s="432">
        <v>0</v>
      </c>
      <c r="D21" s="481"/>
    </row>
    <row r="22" spans="1:4" ht="12.75">
      <c r="A22" s="342" t="s">
        <v>769</v>
      </c>
      <c r="B22" s="478">
        <v>0</v>
      </c>
      <c r="C22" s="432">
        <v>0</v>
      </c>
      <c r="D22" s="481"/>
    </row>
    <row r="23" spans="1:4" ht="20.100000000000001" customHeight="1">
      <c r="A23" s="140" t="s">
        <v>770</v>
      </c>
      <c r="B23" s="479">
        <v>-440667250</v>
      </c>
      <c r="C23" s="479">
        <v>0</v>
      </c>
      <c r="D23" s="481"/>
    </row>
    <row r="24" spans="1:4" ht="12.75">
      <c r="A24" s="342" t="s">
        <v>771</v>
      </c>
      <c r="B24" s="478">
        <v>0</v>
      </c>
      <c r="C24" s="432">
        <v>0</v>
      </c>
      <c r="D24" s="481"/>
    </row>
    <row r="25" spans="1:4" ht="12.75">
      <c r="A25" s="342" t="s">
        <v>772</v>
      </c>
      <c r="B25" s="478">
        <v>0</v>
      </c>
      <c r="C25" s="432">
        <v>0</v>
      </c>
      <c r="D25" s="481"/>
    </row>
    <row r="26" spans="1:4" ht="12.75">
      <c r="A26" s="342" t="s">
        <v>773</v>
      </c>
      <c r="B26" s="478">
        <v>0</v>
      </c>
      <c r="C26" s="432">
        <v>0</v>
      </c>
      <c r="D26" s="481"/>
    </row>
    <row r="27" spans="1:4" ht="12.75">
      <c r="A27" s="343" t="s">
        <v>774</v>
      </c>
      <c r="B27" s="478">
        <v>0</v>
      </c>
      <c r="C27" s="432">
        <v>0</v>
      </c>
      <c r="D27" s="481"/>
    </row>
    <row r="28" spans="1:4" ht="12.75">
      <c r="A28" s="343" t="s">
        <v>907</v>
      </c>
      <c r="B28" s="478">
        <v>0</v>
      </c>
      <c r="C28" s="432">
        <v>0</v>
      </c>
      <c r="D28" s="481"/>
    </row>
    <row r="29" spans="1:4" ht="12.75">
      <c r="A29" s="342" t="s">
        <v>775</v>
      </c>
      <c r="B29" s="478">
        <v>0</v>
      </c>
      <c r="C29" s="432">
        <v>0</v>
      </c>
      <c r="D29" s="481"/>
    </row>
    <row r="30" spans="1:4" ht="12.75">
      <c r="A30" s="343" t="s">
        <v>776</v>
      </c>
      <c r="B30" s="478">
        <v>0</v>
      </c>
      <c r="C30" s="432">
        <v>0</v>
      </c>
      <c r="D30" s="481"/>
    </row>
    <row r="31" spans="1:4" ht="12.75">
      <c r="A31" s="344" t="s">
        <v>1096</v>
      </c>
      <c r="B31" s="478">
        <v>0</v>
      </c>
      <c r="C31" s="432">
        <v>0</v>
      </c>
      <c r="D31" s="481"/>
    </row>
    <row r="32" spans="1:4" ht="12.75">
      <c r="A32" s="343" t="s">
        <v>777</v>
      </c>
      <c r="B32" s="478">
        <v>0</v>
      </c>
      <c r="C32" s="432">
        <v>0</v>
      </c>
      <c r="D32" s="481"/>
    </row>
    <row r="33" spans="1:11" ht="12.75">
      <c r="A33" s="343" t="s">
        <v>778</v>
      </c>
      <c r="B33" s="478">
        <v>0</v>
      </c>
      <c r="C33" s="432">
        <v>0</v>
      </c>
      <c r="D33" s="481"/>
    </row>
    <row r="34" spans="1:11" ht="20.100000000000001" customHeight="1">
      <c r="A34" s="140" t="s">
        <v>779</v>
      </c>
      <c r="B34" s="479">
        <v>-440667250</v>
      </c>
      <c r="C34" s="479">
        <v>0</v>
      </c>
      <c r="D34" s="481"/>
    </row>
    <row r="35" spans="1:11" ht="15">
      <c r="A35" s="141" t="s">
        <v>780</v>
      </c>
      <c r="B35" s="478">
        <v>0</v>
      </c>
      <c r="C35" s="432">
        <v>0</v>
      </c>
      <c r="D35" s="464"/>
      <c r="G35" s="410"/>
      <c r="I35" s="410"/>
      <c r="J35" s="410"/>
      <c r="K35" s="410"/>
    </row>
    <row r="36" spans="1:11" ht="20.100000000000001" customHeight="1">
      <c r="A36" s="140" t="s">
        <v>781</v>
      </c>
      <c r="B36" s="479">
        <v>-440667250</v>
      </c>
      <c r="C36" s="479">
        <v>0</v>
      </c>
      <c r="D36" s="562"/>
      <c r="G36" s="217"/>
      <c r="H36" s="211"/>
      <c r="I36" s="217"/>
      <c r="J36" s="217"/>
      <c r="K36" s="217"/>
    </row>
    <row r="37" spans="1:11" ht="20.100000000000001" customHeight="1">
      <c r="A37" s="1024" t="s">
        <v>782</v>
      </c>
      <c r="B37" s="1025">
        <v>0</v>
      </c>
      <c r="C37" s="1025">
        <v>0</v>
      </c>
      <c r="D37" s="1026"/>
    </row>
    <row r="38" spans="1:11" ht="32.1" customHeight="1">
      <c r="A38" s="259"/>
      <c r="B38" s="478">
        <v>0</v>
      </c>
      <c r="C38" s="432">
        <v>0</v>
      </c>
      <c r="D38" s="464"/>
    </row>
    <row r="39" spans="1:11" ht="32.1" customHeight="1">
      <c r="A39" s="259"/>
      <c r="B39" s="478">
        <v>0</v>
      </c>
      <c r="C39" s="432">
        <v>0</v>
      </c>
      <c r="D39" s="464"/>
    </row>
    <row r="40" spans="1:11" ht="20.100000000000001" customHeight="1">
      <c r="A40" s="1024" t="s">
        <v>784</v>
      </c>
      <c r="B40" s="1025">
        <v>0</v>
      </c>
      <c r="C40" s="1025">
        <v>0</v>
      </c>
      <c r="D40" s="1026"/>
    </row>
    <row r="41" spans="1:11" ht="12.75">
      <c r="A41" s="345" t="s">
        <v>785</v>
      </c>
      <c r="B41" s="478">
        <v>-72826964</v>
      </c>
      <c r="C41" s="432">
        <v>-43568721</v>
      </c>
      <c r="D41" s="464" t="s">
        <v>1486</v>
      </c>
    </row>
    <row r="42" spans="1:11" ht="12.75">
      <c r="A42" s="342" t="s">
        <v>786</v>
      </c>
      <c r="B42" s="478">
        <v>0</v>
      </c>
      <c r="C42" s="432">
        <v>0</v>
      </c>
      <c r="D42" s="464"/>
    </row>
    <row r="43" spans="1:11" ht="12.75">
      <c r="A43" s="141" t="s">
        <v>787</v>
      </c>
      <c r="B43" s="478">
        <v>-72826964</v>
      </c>
      <c r="C43" s="478">
        <v>-630053</v>
      </c>
      <c r="D43" s="464" t="s">
        <v>1487</v>
      </c>
    </row>
    <row r="44" spans="1:11" ht="12.75">
      <c r="A44" s="141" t="s">
        <v>788</v>
      </c>
      <c r="B44" s="478">
        <v>1343337646</v>
      </c>
      <c r="C44" s="478">
        <v>928855749</v>
      </c>
      <c r="D44" s="464" t="s">
        <v>1488</v>
      </c>
    </row>
    <row r="45" spans="1:11" ht="20.100000000000001" customHeight="1">
      <c r="A45" s="140" t="s">
        <v>789</v>
      </c>
      <c r="B45" s="479">
        <v>-1416164610</v>
      </c>
      <c r="C45" s="479">
        <v>-929485802</v>
      </c>
      <c r="D45" s="481" t="s">
        <v>1489</v>
      </c>
    </row>
    <row r="46" spans="1:11" ht="12.75">
      <c r="A46" s="345" t="s">
        <v>790</v>
      </c>
      <c r="B46" s="478">
        <v>347223</v>
      </c>
      <c r="C46" s="432">
        <v>1180556</v>
      </c>
      <c r="D46" s="464" t="s">
        <v>1360</v>
      </c>
    </row>
    <row r="47" spans="1:11" ht="12.75">
      <c r="A47" s="342" t="s">
        <v>791</v>
      </c>
      <c r="B47" s="478">
        <v>-1416731661</v>
      </c>
      <c r="C47" s="432">
        <v>-948145016</v>
      </c>
      <c r="D47" s="464" t="s">
        <v>1490</v>
      </c>
    </row>
    <row r="48" spans="1:11" ht="12.75">
      <c r="A48" s="141" t="s">
        <v>792</v>
      </c>
      <c r="B48" s="478">
        <v>-1416384438</v>
      </c>
      <c r="C48" s="478">
        <v>-946964460</v>
      </c>
      <c r="D48" s="464" t="s">
        <v>1490</v>
      </c>
    </row>
    <row r="49" spans="1:5" ht="12.75">
      <c r="A49" s="345" t="s">
        <v>793</v>
      </c>
      <c r="B49" s="478">
        <v>0</v>
      </c>
      <c r="C49" s="478">
        <v>0</v>
      </c>
      <c r="D49" s="464"/>
    </row>
    <row r="50" spans="1:5" ht="12.75">
      <c r="A50" s="342" t="s">
        <v>794</v>
      </c>
      <c r="B50" s="478">
        <v>0</v>
      </c>
      <c r="C50" s="478">
        <v>0</v>
      </c>
      <c r="D50" s="464"/>
    </row>
    <row r="51" spans="1:5" ht="12.75">
      <c r="A51" s="141" t="s">
        <v>795</v>
      </c>
      <c r="B51" s="478">
        <v>0</v>
      </c>
      <c r="C51" s="478">
        <v>0</v>
      </c>
      <c r="D51" s="464"/>
    </row>
    <row r="52" spans="1:5" ht="20.100000000000001" customHeight="1">
      <c r="A52" s="140" t="s">
        <v>796</v>
      </c>
      <c r="B52" s="479">
        <v>-1416384438</v>
      </c>
      <c r="C52" s="479">
        <v>-946964460</v>
      </c>
      <c r="D52" s="481" t="s">
        <v>1490</v>
      </c>
    </row>
    <row r="53" spans="1:5" s="301" customFormat="1" ht="12" customHeight="1">
      <c r="A53" s="346"/>
      <c r="B53" s="495">
        <v>0</v>
      </c>
      <c r="C53" s="495">
        <v>0</v>
      </c>
      <c r="D53" s="500"/>
      <c r="E53" s="95"/>
    </row>
    <row r="54" spans="1:5" ht="20.100000000000001" customHeight="1">
      <c r="A54" s="140" t="s">
        <v>797</v>
      </c>
      <c r="B54" s="479">
        <v>219828</v>
      </c>
      <c r="C54" s="479">
        <v>17478658</v>
      </c>
      <c r="D54" s="481" t="s">
        <v>1364</v>
      </c>
    </row>
    <row r="55" spans="1:5" ht="12.75">
      <c r="A55" s="97" t="s">
        <v>798</v>
      </c>
      <c r="B55" s="478">
        <v>219828</v>
      </c>
      <c r="C55" s="432">
        <v>17478658</v>
      </c>
      <c r="D55" s="464" t="s">
        <v>1364</v>
      </c>
    </row>
    <row r="56" spans="1:5" ht="20.100000000000001" customHeight="1">
      <c r="A56" s="1024" t="s">
        <v>799</v>
      </c>
      <c r="B56" s="1025">
        <v>0</v>
      </c>
      <c r="C56" s="1025">
        <v>0</v>
      </c>
      <c r="D56" s="1026"/>
    </row>
    <row r="57" spans="1:5" ht="12.75">
      <c r="A57" s="142" t="s">
        <v>800</v>
      </c>
      <c r="B57" s="478">
        <v>28752728</v>
      </c>
      <c r="C57" s="432">
        <v>0</v>
      </c>
      <c r="D57" s="464"/>
    </row>
    <row r="58" spans="1:5" ht="12.75">
      <c r="A58" s="141" t="s">
        <v>801</v>
      </c>
      <c r="B58" s="478">
        <v>-402033937</v>
      </c>
      <c r="C58" s="432">
        <v>0</v>
      </c>
      <c r="D58" s="464"/>
    </row>
    <row r="59" spans="1:5" ht="12.75">
      <c r="A59" s="141" t="s">
        <v>802</v>
      </c>
      <c r="B59" s="478">
        <v>0</v>
      </c>
      <c r="C59" s="432">
        <v>0</v>
      </c>
      <c r="D59" s="464"/>
    </row>
    <row r="60" spans="1:5" ht="20.100000000000001" customHeight="1">
      <c r="A60" s="140" t="s">
        <v>803</v>
      </c>
      <c r="B60" s="479">
        <v>-373281209</v>
      </c>
      <c r="C60" s="479">
        <v>0</v>
      </c>
      <c r="D60" s="481"/>
    </row>
    <row r="61" spans="1:5" ht="20.100000000000001" customHeight="1">
      <c r="A61" s="1024" t="s">
        <v>804</v>
      </c>
      <c r="B61" s="1025">
        <v>0</v>
      </c>
      <c r="C61" s="1025">
        <v>0</v>
      </c>
      <c r="D61" s="1026"/>
    </row>
    <row r="62" spans="1:5" s="210" customFormat="1" ht="25.5" customHeight="1">
      <c r="A62" s="209" t="s">
        <v>805</v>
      </c>
      <c r="B62" s="534">
        <v>-219828</v>
      </c>
      <c r="C62" s="534">
        <v>-17478658</v>
      </c>
      <c r="D62" s="563">
        <v>-99</v>
      </c>
      <c r="E62" s="95"/>
    </row>
    <row r="63" spans="1:5" ht="25.35" customHeight="1">
      <c r="A63" s="143" t="s">
        <v>806</v>
      </c>
      <c r="B63" s="482">
        <v>0</v>
      </c>
      <c r="C63" s="483">
        <v>0</v>
      </c>
      <c r="D63" s="490"/>
    </row>
    <row r="64" spans="1:5" ht="12.75">
      <c r="A64" s="103" t="s">
        <v>807</v>
      </c>
      <c r="B64" s="212"/>
      <c r="C64" s="212"/>
      <c r="D64" s="212"/>
    </row>
    <row r="65" spans="1:1" ht="12.75">
      <c r="A65" s="103" t="s">
        <v>808</v>
      </c>
    </row>
    <row r="66" spans="1:1" ht="12.75">
      <c r="A66" s="103" t="s">
        <v>809</v>
      </c>
    </row>
  </sheetData>
  <mergeCells count="8">
    <mergeCell ref="A37:D37"/>
    <mergeCell ref="A40:D40"/>
    <mergeCell ref="A56:D56"/>
    <mergeCell ref="A61:D61"/>
    <mergeCell ref="A1:D1"/>
    <mergeCell ref="C3:D3"/>
    <mergeCell ref="B5:C5"/>
    <mergeCell ref="A8:D8"/>
  </mergeCells>
  <dataValidations count="4">
    <dataValidation type="whole" operator="notEqual" allowBlank="1" showInputMessage="1" showErrorMessage="1" sqref="B41:C53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3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3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showGridLines="0" topLeftCell="A10" workbookViewId="0"/>
  </sheetViews>
  <sheetFormatPr baseColWidth="10" defaultColWidth="9.140625" defaultRowHeight="13.7" customHeight="1"/>
  <cols>
    <col min="1" max="1" width="87.5703125" style="146" customWidth="1" collapsed="1"/>
    <col min="2" max="16384" width="9.140625" style="146" collapsed="1"/>
  </cols>
  <sheetData>
    <row r="1" spans="1:6" ht="37.5" customHeight="1">
      <c r="A1" s="145" t="s">
        <v>834</v>
      </c>
    </row>
    <row r="2" spans="1:6" ht="12.75">
      <c r="A2" s="147"/>
    </row>
    <row r="3" spans="1:6" s="95" customFormat="1" ht="12.75">
      <c r="A3" s="95" t="s">
        <v>268</v>
      </c>
      <c r="B3" s="874" t="s">
        <v>269</v>
      </c>
      <c r="C3" s="916">
        <f>+'Fiche de renseignement R1'!$V$10</f>
        <v>45657</v>
      </c>
      <c r="D3" s="1031"/>
    </row>
    <row r="4" spans="1:6" s="95" customFormat="1" ht="12.75">
      <c r="A4" s="423" t="str">
        <f>'Fiche de renseignement R1'!$J$4</f>
        <v>MANDINGA RESSOURCES SARL</v>
      </c>
      <c r="B4" s="874"/>
      <c r="C4" s="1031"/>
      <c r="D4" s="1031"/>
    </row>
    <row r="5" spans="1:6" s="95" customFormat="1" ht="12.75">
      <c r="A5" s="95" t="s">
        <v>271</v>
      </c>
      <c r="B5" s="874" t="s">
        <v>270</v>
      </c>
      <c r="C5" s="716">
        <f>+'Fiche de renseignement R1'!$AH$10</f>
        <v>12</v>
      </c>
      <c r="D5" s="137"/>
    </row>
    <row r="6" spans="1:6" s="95" customFormat="1" ht="12.75">
      <c r="A6" s="564" t="str">
        <f>+'Fiche de renseignement R1'!$J$10</f>
        <v>006495693</v>
      </c>
      <c r="B6" s="874"/>
      <c r="C6" s="1032"/>
      <c r="D6" s="125"/>
      <c r="E6" s="148"/>
      <c r="F6" s="148"/>
    </row>
    <row r="7" spans="1:6" ht="12.75">
      <c r="A7" s="95"/>
    </row>
    <row r="8" spans="1:6" ht="12.75">
      <c r="A8" s="149" t="s">
        <v>835</v>
      </c>
    </row>
    <row r="9" spans="1:6" ht="12.75">
      <c r="A9" s="150" t="s">
        <v>836</v>
      </c>
    </row>
    <row r="10" spans="1:6" ht="12.75">
      <c r="A10" s="151" t="s">
        <v>837</v>
      </c>
    </row>
    <row r="11" spans="1:6" ht="51" customHeight="1">
      <c r="A11" s="152" t="s">
        <v>838</v>
      </c>
    </row>
    <row r="12" spans="1:6" ht="38.25" customHeight="1">
      <c r="A12" s="152" t="s">
        <v>839</v>
      </c>
    </row>
    <row r="13" spans="1:6" ht="51" customHeight="1">
      <c r="A13" s="152" t="s">
        <v>840</v>
      </c>
    </row>
    <row r="14" spans="1:6" ht="38.25" customHeight="1">
      <c r="A14" s="152" t="s">
        <v>841</v>
      </c>
    </row>
    <row r="15" spans="1:6" ht="38.25" customHeight="1">
      <c r="A15" s="152" t="s">
        <v>842</v>
      </c>
    </row>
    <row r="16" spans="1:6" ht="12.75">
      <c r="A16" s="151" t="s">
        <v>843</v>
      </c>
    </row>
    <row r="17" spans="1:1" ht="76.5" customHeight="1">
      <c r="A17" s="152" t="s">
        <v>844</v>
      </c>
    </row>
    <row r="18" spans="1:1" ht="63.75" customHeight="1">
      <c r="A18" s="152" t="s">
        <v>845</v>
      </c>
    </row>
    <row r="19" spans="1:1" ht="76.5" customHeight="1">
      <c r="A19" s="152" t="s">
        <v>846</v>
      </c>
    </row>
    <row r="20" spans="1:1" ht="25.5" customHeight="1">
      <c r="A20" s="152" t="s">
        <v>847</v>
      </c>
    </row>
    <row r="21" spans="1:1" ht="25.5" customHeight="1">
      <c r="A21" s="152" t="s">
        <v>848</v>
      </c>
    </row>
    <row r="22" spans="1:1" ht="12.75">
      <c r="A22" s="151" t="s">
        <v>849</v>
      </c>
    </row>
    <row r="23" spans="1:1" ht="38.25" customHeight="1">
      <c r="A23" s="152" t="s">
        <v>850</v>
      </c>
    </row>
    <row r="24" spans="1:1" ht="51" customHeight="1">
      <c r="A24" s="152" t="s">
        <v>851</v>
      </c>
    </row>
    <row r="25" spans="1:1" ht="25.5" customHeight="1">
      <c r="A25" s="152" t="s">
        <v>852</v>
      </c>
    </row>
  </sheetData>
  <mergeCells count="4">
    <mergeCell ref="B3:B4"/>
    <mergeCell ref="C3:D4"/>
    <mergeCell ref="B5:B6"/>
    <mergeCell ref="C5:C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showGridLines="0" workbookViewId="0">
      <selection activeCell="A47" sqref="A47"/>
    </sheetView>
  </sheetViews>
  <sheetFormatPr baseColWidth="10" defaultColWidth="10.42578125" defaultRowHeight="13.7" customHeight="1"/>
  <cols>
    <col min="1" max="1" width="30.42578125" style="126" customWidth="1" collapsed="1"/>
    <col min="2" max="7" width="2.42578125" style="126" customWidth="1" collapsed="1"/>
    <col min="8" max="8" width="26.5703125" style="126" bestFit="1" customWidth="1" collapsed="1"/>
    <col min="9" max="14" width="2.42578125" style="126" customWidth="1" collapsed="1"/>
    <col min="15" max="16384" width="10.42578125" style="126" collapsed="1"/>
  </cols>
  <sheetData>
    <row r="1" spans="1:14" ht="18.75" customHeight="1">
      <c r="A1" s="1033" t="s">
        <v>853</v>
      </c>
      <c r="B1" s="1034"/>
      <c r="C1" s="1034"/>
      <c r="D1" s="1034"/>
      <c r="E1" s="1034"/>
      <c r="F1" s="1034"/>
      <c r="G1" s="1034"/>
      <c r="H1" s="1034"/>
      <c r="I1" s="1034"/>
      <c r="J1" s="1034"/>
      <c r="K1" s="1034"/>
      <c r="L1" s="1034"/>
      <c r="M1" s="1034"/>
      <c r="N1" s="1034"/>
    </row>
    <row r="5" spans="1:14" ht="12.75">
      <c r="A5" s="153"/>
      <c r="B5" s="154"/>
      <c r="C5" s="154"/>
      <c r="D5" s="154"/>
      <c r="E5" s="154"/>
      <c r="F5" s="154"/>
      <c r="G5" s="155"/>
      <c r="H5" s="153"/>
      <c r="I5" s="154"/>
      <c r="J5" s="154"/>
      <c r="K5" s="154"/>
      <c r="L5" s="154"/>
      <c r="M5" s="156"/>
      <c r="N5" s="155"/>
    </row>
    <row r="6" spans="1:14" ht="15" customHeight="1">
      <c r="A6" s="1035" t="s">
        <v>854</v>
      </c>
      <c r="B6" s="1036"/>
      <c r="C6" s="1036"/>
      <c r="D6" s="1036"/>
      <c r="E6" s="1036"/>
      <c r="F6" s="1036"/>
      <c r="G6" s="1037"/>
      <c r="H6" s="1035" t="s">
        <v>855</v>
      </c>
      <c r="I6" s="1036"/>
      <c r="J6" s="1036"/>
      <c r="K6" s="1036"/>
      <c r="L6" s="1036"/>
      <c r="M6" s="1036"/>
      <c r="N6" s="1037"/>
    </row>
    <row r="7" spans="1:14" ht="12.75">
      <c r="A7" s="157"/>
      <c r="G7" s="158"/>
      <c r="H7" s="157"/>
      <c r="N7" s="158"/>
    </row>
    <row r="8" spans="1:14" ht="12.75">
      <c r="A8" s="159" t="s">
        <v>856</v>
      </c>
      <c r="C8" s="160">
        <v>0</v>
      </c>
      <c r="D8" s="160"/>
      <c r="F8" s="160">
        <v>0</v>
      </c>
      <c r="G8" s="158"/>
      <c r="H8" s="159" t="s">
        <v>857</v>
      </c>
      <c r="K8" s="160"/>
      <c r="N8" s="158"/>
    </row>
    <row r="9" spans="1:14" ht="12.75">
      <c r="A9" s="159"/>
      <c r="G9" s="158"/>
      <c r="H9" s="159"/>
      <c r="N9" s="158"/>
    </row>
    <row r="10" spans="1:14" ht="12.75">
      <c r="A10" s="159" t="s">
        <v>858</v>
      </c>
      <c r="C10" s="160">
        <v>0</v>
      </c>
      <c r="D10" s="160"/>
      <c r="F10" s="160">
        <v>1</v>
      </c>
      <c r="G10" s="158"/>
      <c r="H10" s="159" t="s">
        <v>859</v>
      </c>
      <c r="J10" s="160">
        <v>2</v>
      </c>
      <c r="K10" s="160"/>
      <c r="M10" s="160">
        <v>1</v>
      </c>
      <c r="N10" s="158"/>
    </row>
    <row r="11" spans="1:14" ht="12.75">
      <c r="A11" s="159"/>
      <c r="G11" s="158"/>
      <c r="H11" s="159"/>
      <c r="N11" s="158"/>
    </row>
    <row r="12" spans="1:14" ht="12.75">
      <c r="A12" s="159" t="s">
        <v>860</v>
      </c>
      <c r="C12" s="160">
        <v>0</v>
      </c>
      <c r="D12" s="160"/>
      <c r="F12" s="160">
        <v>2</v>
      </c>
      <c r="G12" s="158"/>
      <c r="H12" s="159" t="s">
        <v>861</v>
      </c>
      <c r="J12" s="160">
        <v>2</v>
      </c>
      <c r="K12" s="160"/>
      <c r="M12" s="160">
        <v>3</v>
      </c>
      <c r="N12" s="158"/>
    </row>
    <row r="13" spans="1:14" ht="12.75">
      <c r="A13" s="159"/>
      <c r="G13" s="158"/>
      <c r="H13" s="159"/>
      <c r="N13" s="158"/>
    </row>
    <row r="14" spans="1:14" ht="12.75">
      <c r="A14" s="159" t="s">
        <v>862</v>
      </c>
      <c r="C14" s="160">
        <v>0</v>
      </c>
      <c r="D14" s="160"/>
      <c r="F14" s="160">
        <v>3</v>
      </c>
      <c r="G14" s="158"/>
      <c r="H14" s="159" t="s">
        <v>863</v>
      </c>
      <c r="J14" s="160">
        <v>3</v>
      </c>
      <c r="K14" s="160"/>
      <c r="M14" s="160">
        <v>9</v>
      </c>
      <c r="N14" s="158"/>
    </row>
    <row r="15" spans="1:14" ht="12.75">
      <c r="A15" s="159"/>
      <c r="G15" s="158"/>
      <c r="H15" s="159"/>
      <c r="N15" s="158"/>
    </row>
    <row r="16" spans="1:14" ht="12.75">
      <c r="A16" s="159" t="s">
        <v>864</v>
      </c>
      <c r="C16" s="160">
        <v>0</v>
      </c>
      <c r="D16" s="160"/>
      <c r="F16" s="160">
        <v>4</v>
      </c>
      <c r="G16" s="158"/>
      <c r="H16" s="159" t="s">
        <v>865</v>
      </c>
      <c r="J16" s="160">
        <v>4</v>
      </c>
      <c r="K16" s="160"/>
      <c r="M16" s="160">
        <v>0</v>
      </c>
      <c r="N16" s="158"/>
    </row>
    <row r="17" spans="1:14" ht="12.75">
      <c r="A17" s="159"/>
      <c r="G17" s="158"/>
      <c r="H17" s="159"/>
      <c r="N17" s="158"/>
    </row>
    <row r="18" spans="1:14" ht="12.75">
      <c r="A18" s="159" t="s">
        <v>866</v>
      </c>
      <c r="C18" s="160">
        <v>0</v>
      </c>
      <c r="D18" s="160"/>
      <c r="F18" s="160">
        <v>5</v>
      </c>
      <c r="G18" s="158"/>
      <c r="H18" s="159" t="s">
        <v>867</v>
      </c>
      <c r="J18" s="160">
        <v>4</v>
      </c>
      <c r="K18" s="160"/>
      <c r="M18" s="160">
        <v>1</v>
      </c>
      <c r="N18" s="158"/>
    </row>
    <row r="19" spans="1:14" ht="12.75">
      <c r="A19" s="159"/>
      <c r="G19" s="158"/>
      <c r="H19" s="159"/>
      <c r="N19" s="158"/>
    </row>
    <row r="20" spans="1:14" ht="12.75">
      <c r="A20" s="159" t="s">
        <v>868</v>
      </c>
      <c r="C20" s="160">
        <v>0</v>
      </c>
      <c r="D20" s="160"/>
      <c r="F20" s="160">
        <v>6</v>
      </c>
      <c r="G20" s="158"/>
      <c r="H20" s="159" t="s">
        <v>869</v>
      </c>
      <c r="J20" s="160">
        <v>4</v>
      </c>
      <c r="K20" s="160"/>
      <c r="M20" s="160">
        <v>9</v>
      </c>
      <c r="N20" s="158"/>
    </row>
    <row r="21" spans="1:14" ht="12.75">
      <c r="A21" s="159"/>
      <c r="G21" s="158"/>
      <c r="H21" s="159"/>
      <c r="N21" s="158"/>
    </row>
    <row r="22" spans="1:14" ht="12.75">
      <c r="A22" s="159" t="s">
        <v>870</v>
      </c>
      <c r="C22" s="160">
        <v>0</v>
      </c>
      <c r="D22" s="160"/>
      <c r="F22" s="160">
        <v>7</v>
      </c>
      <c r="G22" s="158"/>
      <c r="H22" s="159" t="s">
        <v>871</v>
      </c>
      <c r="J22" s="160">
        <v>5</v>
      </c>
      <c r="K22" s="160"/>
      <c r="M22" s="160">
        <v>0</v>
      </c>
      <c r="N22" s="158"/>
    </row>
    <row r="23" spans="1:14" ht="12.75">
      <c r="A23" s="159"/>
      <c r="C23" s="160"/>
      <c r="D23" s="160"/>
      <c r="F23" s="160"/>
      <c r="G23" s="158"/>
      <c r="H23" s="159"/>
      <c r="J23" s="160"/>
      <c r="K23" s="160"/>
      <c r="M23" s="160"/>
      <c r="N23" s="158"/>
    </row>
    <row r="24" spans="1:14" ht="12.75">
      <c r="A24" s="159" t="s">
        <v>872</v>
      </c>
      <c r="C24" s="160">
        <v>0</v>
      </c>
      <c r="D24" s="160"/>
      <c r="F24" s="160">
        <v>8</v>
      </c>
      <c r="G24" s="158"/>
      <c r="H24" s="159" t="s">
        <v>873</v>
      </c>
      <c r="J24" s="160">
        <v>9</v>
      </c>
      <c r="K24" s="160"/>
      <c r="M24" s="160">
        <v>9</v>
      </c>
      <c r="N24" s="158"/>
    </row>
    <row r="25" spans="1:14" ht="12.75">
      <c r="A25" s="159"/>
      <c r="G25" s="158"/>
      <c r="H25" s="159"/>
      <c r="N25" s="158"/>
    </row>
    <row r="26" spans="1:14" ht="12.75">
      <c r="A26" s="159" t="s">
        <v>874</v>
      </c>
      <c r="C26" s="160">
        <v>0</v>
      </c>
      <c r="D26" s="160"/>
      <c r="F26" s="160">
        <v>9</v>
      </c>
      <c r="G26" s="158"/>
      <c r="H26" s="159"/>
      <c r="J26" s="160"/>
      <c r="K26" s="160"/>
      <c r="M26" s="160"/>
      <c r="N26" s="158"/>
    </row>
    <row r="27" spans="1:14" ht="12.75">
      <c r="A27" s="159"/>
      <c r="C27" s="160"/>
      <c r="D27" s="160"/>
      <c r="F27" s="160"/>
      <c r="G27" s="158"/>
      <c r="H27" s="159"/>
      <c r="J27" s="160"/>
      <c r="K27" s="160"/>
      <c r="M27" s="160"/>
      <c r="N27" s="158"/>
    </row>
    <row r="28" spans="1:14" ht="12.75">
      <c r="A28" s="161" t="s">
        <v>875</v>
      </c>
      <c r="C28" s="160"/>
      <c r="D28" s="160"/>
      <c r="F28" s="160"/>
      <c r="G28" s="158"/>
      <c r="H28" s="159"/>
      <c r="J28" s="160"/>
      <c r="K28" s="160"/>
      <c r="M28" s="160"/>
      <c r="N28" s="158"/>
    </row>
    <row r="29" spans="1:14" ht="12.75">
      <c r="A29" s="159"/>
      <c r="C29" s="160"/>
      <c r="D29" s="160"/>
      <c r="F29" s="160"/>
      <c r="G29" s="158"/>
      <c r="H29" s="159"/>
      <c r="N29" s="158"/>
    </row>
    <row r="30" spans="1:14" ht="12.75">
      <c r="A30" s="159" t="s">
        <v>876</v>
      </c>
      <c r="C30" s="160"/>
      <c r="D30" s="160"/>
      <c r="F30" s="160">
        <v>1</v>
      </c>
      <c r="G30" s="158"/>
      <c r="H30" s="159"/>
      <c r="J30" s="160"/>
      <c r="K30" s="160"/>
      <c r="M30" s="160"/>
      <c r="N30" s="158"/>
    </row>
    <row r="31" spans="1:14" ht="12.75">
      <c r="A31" s="159"/>
      <c r="C31" s="160"/>
      <c r="D31" s="160"/>
      <c r="G31" s="158"/>
      <c r="H31" s="159"/>
      <c r="N31" s="158"/>
    </row>
    <row r="32" spans="1:14" ht="12.75">
      <c r="A32" s="159" t="s">
        <v>877</v>
      </c>
      <c r="C32" s="160"/>
      <c r="D32" s="160"/>
      <c r="F32" s="160">
        <v>2</v>
      </c>
      <c r="G32" s="158"/>
      <c r="H32" s="159"/>
      <c r="J32" s="160"/>
      <c r="K32" s="160"/>
      <c r="M32" s="160"/>
      <c r="N32" s="158"/>
    </row>
    <row r="33" spans="1:38" ht="12.75">
      <c r="A33" s="159"/>
      <c r="C33" s="160"/>
      <c r="D33" s="160"/>
      <c r="G33" s="158"/>
      <c r="H33" s="157"/>
      <c r="N33" s="158"/>
    </row>
    <row r="34" spans="1:38" ht="12.75">
      <c r="A34" s="159" t="s">
        <v>878</v>
      </c>
      <c r="C34" s="160"/>
      <c r="D34" s="160"/>
      <c r="F34" s="160">
        <v>3</v>
      </c>
      <c r="G34" s="158"/>
      <c r="H34" s="157"/>
      <c r="N34" s="158"/>
    </row>
    <row r="35" spans="1:38" ht="18.75" customHeight="1">
      <c r="A35" s="157"/>
      <c r="G35" s="158"/>
      <c r="H35" s="157"/>
      <c r="I35" s="162"/>
      <c r="J35" s="162"/>
      <c r="K35" s="162"/>
      <c r="L35" s="162"/>
      <c r="M35" s="162"/>
      <c r="N35" s="163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</row>
    <row r="36" spans="1:38" ht="12.75">
      <c r="A36" s="157" t="s">
        <v>879</v>
      </c>
      <c r="F36" s="160">
        <v>4</v>
      </c>
      <c r="G36" s="158"/>
      <c r="H36" s="157"/>
      <c r="N36" s="158"/>
    </row>
    <row r="37" spans="1:38" ht="12.75">
      <c r="A37" s="164"/>
      <c r="B37" s="165"/>
      <c r="C37" s="165"/>
      <c r="D37" s="165"/>
      <c r="E37" s="165"/>
      <c r="F37" s="165"/>
      <c r="G37" s="166"/>
      <c r="H37" s="164"/>
      <c r="I37" s="165"/>
      <c r="J37" s="165"/>
      <c r="K37" s="165"/>
      <c r="L37" s="165"/>
      <c r="M37" s="165"/>
      <c r="N37" s="166"/>
    </row>
    <row r="39" spans="1:38" s="358" customFormat="1" ht="15" customHeight="1">
      <c r="A39" s="357" t="s">
        <v>1099</v>
      </c>
    </row>
    <row r="40" spans="1:38" s="358" customFormat="1" ht="15" customHeight="1">
      <c r="A40" s="357" t="s">
        <v>1100</v>
      </c>
      <c r="B40" s="359"/>
      <c r="C40" s="359"/>
      <c r="D40" s="359"/>
    </row>
    <row r="41" spans="1:38" s="358" customFormat="1" ht="12.75">
      <c r="A41" s="360" t="s">
        <v>880</v>
      </c>
    </row>
    <row r="42" spans="1:38" s="358" customFormat="1" ht="12.75">
      <c r="A42" s="360" t="s">
        <v>881</v>
      </c>
      <c r="G42" s="361"/>
    </row>
  </sheetData>
  <mergeCells count="3">
    <mergeCell ref="A1:N1"/>
    <mergeCell ref="A6:G6"/>
    <mergeCell ref="H6:N6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44"/>
  <sheetViews>
    <sheetView showGridLines="0" workbookViewId="0">
      <selection activeCell="A19" sqref="A1:D86"/>
    </sheetView>
  </sheetViews>
  <sheetFormatPr baseColWidth="10" defaultColWidth="12.42578125" defaultRowHeight="11.25" customHeight="1"/>
  <cols>
    <col min="1" max="1" width="59.42578125" style="201" customWidth="1" collapsed="1"/>
    <col min="2" max="2" width="7.42578125" style="201" customWidth="1" collapsed="1"/>
    <col min="3" max="3" width="59.42578125" style="201" customWidth="1" collapsed="1"/>
    <col min="4" max="22" width="10.5703125" style="201" customWidth="1" collapsed="1"/>
    <col min="23" max="33" width="10.42578125" style="201" customWidth="1" collapsed="1"/>
    <col min="34" max="16384" width="12.42578125" style="201" collapsed="1"/>
  </cols>
  <sheetData>
    <row r="1" spans="1:33" ht="18.75" customHeight="1">
      <c r="A1" s="1038" t="s">
        <v>912</v>
      </c>
      <c r="B1" s="1038"/>
      <c r="C1" s="1038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</row>
    <row r="2" spans="1:33" ht="12.75" customHeight="1">
      <c r="A2" s="266"/>
      <c r="B2" s="266"/>
      <c r="C2" s="266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</row>
    <row r="3" spans="1:33" ht="12.75" customHeight="1">
      <c r="A3" s="267"/>
      <c r="B3" s="267"/>
      <c r="C3" s="267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</row>
    <row r="4" spans="1:33" ht="12.75" customHeight="1">
      <c r="A4" s="268" t="s">
        <v>913</v>
      </c>
      <c r="B4" s="1039"/>
      <c r="C4" s="272" t="s">
        <v>914</v>
      </c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</row>
    <row r="5" spans="1:33" ht="12.75" customHeight="1">
      <c r="A5" s="269" t="s">
        <v>915</v>
      </c>
      <c r="B5" s="1040"/>
      <c r="C5" s="273" t="s">
        <v>916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</row>
    <row r="6" spans="1:33" ht="12.75" customHeight="1">
      <c r="A6" s="269" t="s">
        <v>917</v>
      </c>
      <c r="B6" s="1040"/>
      <c r="C6" s="273" t="s">
        <v>918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</row>
    <row r="7" spans="1:33" ht="12.75" customHeight="1">
      <c r="A7" s="269" t="s">
        <v>919</v>
      </c>
      <c r="B7" s="1040"/>
      <c r="C7" s="273" t="s">
        <v>920</v>
      </c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</row>
    <row r="8" spans="1:33" ht="12.75" customHeight="1">
      <c r="A8" s="269" t="s">
        <v>921</v>
      </c>
      <c r="B8" s="1040"/>
      <c r="C8" s="274" t="s">
        <v>922</v>
      </c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</row>
    <row r="9" spans="1:33" ht="12.75" customHeight="1">
      <c r="A9" s="269" t="s">
        <v>923</v>
      </c>
      <c r="B9" s="1040"/>
      <c r="C9" s="275" t="s">
        <v>924</v>
      </c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</row>
    <row r="10" spans="1:33" ht="12.75" customHeight="1">
      <c r="A10" s="269" t="s">
        <v>925</v>
      </c>
      <c r="B10" s="1040"/>
      <c r="C10" s="273" t="s">
        <v>926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</row>
    <row r="11" spans="1:33" ht="12.75" customHeight="1">
      <c r="A11" s="270" t="s">
        <v>927</v>
      </c>
      <c r="B11" s="1040"/>
      <c r="C11" s="273" t="s">
        <v>928</v>
      </c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</row>
    <row r="12" spans="1:33" ht="12.75" customHeight="1">
      <c r="A12" s="269" t="s">
        <v>929</v>
      </c>
      <c r="B12" s="1040"/>
      <c r="C12" s="273" t="s">
        <v>930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</row>
    <row r="13" spans="1:33" ht="12.75" customHeight="1">
      <c r="A13" s="269" t="s">
        <v>931</v>
      </c>
      <c r="B13" s="1040"/>
      <c r="C13" s="274" t="s">
        <v>932</v>
      </c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</row>
    <row r="14" spans="1:33" ht="12.75" customHeight="1">
      <c r="A14" s="269" t="s">
        <v>933</v>
      </c>
      <c r="B14" s="1040"/>
      <c r="C14" s="273" t="s">
        <v>934</v>
      </c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</row>
    <row r="15" spans="1:33" ht="12.75" customHeight="1">
      <c r="A15" s="269" t="s">
        <v>935</v>
      </c>
      <c r="B15" s="1040"/>
      <c r="C15" s="273" t="s">
        <v>936</v>
      </c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</row>
    <row r="16" spans="1:33" ht="12.75" customHeight="1">
      <c r="A16" s="269" t="s">
        <v>937</v>
      </c>
      <c r="B16" s="1040"/>
      <c r="C16" s="274" t="s">
        <v>938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</row>
    <row r="17" spans="1:33" ht="12.75" customHeight="1">
      <c r="A17" s="269" t="s">
        <v>939</v>
      </c>
      <c r="B17" s="1040"/>
      <c r="C17" s="273" t="s">
        <v>940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</row>
    <row r="18" spans="1:33" ht="12.75" customHeight="1">
      <c r="A18" s="269" t="s">
        <v>941</v>
      </c>
      <c r="B18" s="1040"/>
      <c r="C18" s="273" t="s">
        <v>942</v>
      </c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</row>
    <row r="19" spans="1:33" ht="12.75" customHeight="1">
      <c r="A19" s="269" t="s">
        <v>943</v>
      </c>
      <c r="B19" s="1040"/>
      <c r="C19" s="273" t="s">
        <v>944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</row>
    <row r="20" spans="1:33" ht="12.75" customHeight="1">
      <c r="A20" s="269" t="s">
        <v>945</v>
      </c>
      <c r="B20" s="1040"/>
      <c r="C20" s="274" t="s">
        <v>946</v>
      </c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</row>
    <row r="21" spans="1:33" ht="12.75" customHeight="1">
      <c r="A21" s="269" t="s">
        <v>947</v>
      </c>
      <c r="B21" s="1040"/>
      <c r="C21" s="274" t="s">
        <v>948</v>
      </c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</row>
    <row r="22" spans="1:33" ht="12.75" customHeight="1">
      <c r="A22" s="269" t="s">
        <v>949</v>
      </c>
      <c r="B22" s="1040"/>
      <c r="C22" s="273" t="s">
        <v>950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</row>
    <row r="23" spans="1:33" ht="12.75" customHeight="1">
      <c r="A23" s="270" t="s">
        <v>951</v>
      </c>
      <c r="B23" s="1040"/>
      <c r="C23" s="273" t="s">
        <v>952</v>
      </c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</row>
    <row r="24" spans="1:33" ht="12.75" customHeight="1">
      <c r="A24" s="269" t="s">
        <v>953</v>
      </c>
      <c r="B24" s="1040"/>
      <c r="C24" s="274" t="s">
        <v>954</v>
      </c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</row>
    <row r="25" spans="1:33" ht="12.75" customHeight="1">
      <c r="A25" s="269" t="s">
        <v>955</v>
      </c>
      <c r="B25" s="1040"/>
      <c r="C25" s="273" t="s">
        <v>956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</row>
    <row r="26" spans="1:33" ht="12.75" customHeight="1">
      <c r="A26" s="269" t="s">
        <v>957</v>
      </c>
      <c r="B26" s="1040"/>
      <c r="C26" s="273" t="s">
        <v>958</v>
      </c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</row>
    <row r="27" spans="1:33" ht="12.75" customHeight="1">
      <c r="A27" s="269" t="s">
        <v>959</v>
      </c>
      <c r="B27" s="1040"/>
      <c r="C27" s="275" t="s">
        <v>960</v>
      </c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</row>
    <row r="28" spans="1:33" ht="12.75" customHeight="1">
      <c r="A28" s="269" t="s">
        <v>961</v>
      </c>
      <c r="B28" s="1040"/>
      <c r="C28" s="273" t="s">
        <v>962</v>
      </c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</row>
    <row r="29" spans="1:33" ht="12.75" customHeight="1">
      <c r="A29" s="270" t="s">
        <v>963</v>
      </c>
      <c r="B29" s="1040"/>
      <c r="C29" s="273" t="s">
        <v>964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</row>
    <row r="30" spans="1:33" ht="12.75" customHeight="1">
      <c r="A30" s="269" t="s">
        <v>965</v>
      </c>
      <c r="B30" s="1040"/>
      <c r="C30" s="274" t="s">
        <v>966</v>
      </c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</row>
    <row r="31" spans="1:33" ht="12.75" customHeight="1">
      <c r="A31" s="269" t="s">
        <v>967</v>
      </c>
      <c r="B31" s="1040"/>
      <c r="C31" s="273" t="s">
        <v>968</v>
      </c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</row>
    <row r="32" spans="1:33" ht="12.75" customHeight="1">
      <c r="A32" s="270" t="s">
        <v>969</v>
      </c>
      <c r="B32" s="1040"/>
      <c r="C32" s="273" t="s">
        <v>970</v>
      </c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</row>
    <row r="33" spans="1:33" ht="12.75" customHeight="1">
      <c r="A33" s="269" t="s">
        <v>971</v>
      </c>
      <c r="B33" s="1040"/>
      <c r="C33" s="273" t="s">
        <v>972</v>
      </c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</row>
    <row r="34" spans="1:33" ht="12.75" customHeight="1">
      <c r="A34" s="269" t="s">
        <v>973</v>
      </c>
      <c r="B34" s="1040"/>
      <c r="C34" s="275" t="s">
        <v>974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</row>
    <row r="35" spans="1:33" ht="12.75" customHeight="1">
      <c r="A35" s="270" t="s">
        <v>975</v>
      </c>
      <c r="B35" s="1040"/>
      <c r="C35" s="273" t="s">
        <v>976</v>
      </c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</row>
    <row r="36" spans="1:33" ht="12.75" customHeight="1">
      <c r="A36" s="269" t="s">
        <v>977</v>
      </c>
      <c r="B36" s="1040"/>
      <c r="C36" s="273" t="s">
        <v>978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</row>
    <row r="37" spans="1:33" ht="12.75" customHeight="1">
      <c r="A37" s="269" t="s">
        <v>979</v>
      </c>
      <c r="B37" s="1040"/>
      <c r="C37" s="275" t="s">
        <v>980</v>
      </c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</row>
    <row r="38" spans="1:33" ht="12.75" customHeight="1">
      <c r="A38" s="270" t="s">
        <v>981</v>
      </c>
      <c r="B38" s="1040"/>
      <c r="C38" s="273" t="s">
        <v>982</v>
      </c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</row>
    <row r="39" spans="1:33" ht="12.75" customHeight="1">
      <c r="A39" s="269" t="s">
        <v>983</v>
      </c>
      <c r="B39" s="1040"/>
      <c r="C39" s="273" t="s">
        <v>984</v>
      </c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</row>
    <row r="40" spans="1:33" ht="12.75" customHeight="1">
      <c r="A40" s="269" t="s">
        <v>985</v>
      </c>
      <c r="B40" s="1040"/>
      <c r="C40" s="273" t="s">
        <v>986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</row>
    <row r="41" spans="1:33" ht="12.75" customHeight="1">
      <c r="A41" s="270" t="s">
        <v>987</v>
      </c>
      <c r="B41" s="1040"/>
      <c r="C41" s="275" t="s">
        <v>988</v>
      </c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</row>
    <row r="42" spans="1:33" ht="12.75" customHeight="1">
      <c r="A42" s="269" t="s">
        <v>989</v>
      </c>
      <c r="B42" s="1040"/>
      <c r="C42" s="273" t="s">
        <v>990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</row>
    <row r="43" spans="1:33" ht="12.75" customHeight="1">
      <c r="A43" s="270" t="s">
        <v>991</v>
      </c>
      <c r="B43" s="1040"/>
      <c r="C43" s="273" t="s">
        <v>992</v>
      </c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</row>
    <row r="44" spans="1:33" ht="12.75" customHeight="1">
      <c r="A44" s="269" t="s">
        <v>993</v>
      </c>
      <c r="B44" s="1040"/>
      <c r="C44" s="275" t="s">
        <v>994</v>
      </c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</row>
    <row r="45" spans="1:33" ht="12.75" customHeight="1">
      <c r="A45" s="269" t="s">
        <v>995</v>
      </c>
      <c r="B45" s="1040"/>
      <c r="C45" s="276" t="s">
        <v>996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</row>
    <row r="46" spans="1:33" ht="12.75" customHeight="1">
      <c r="A46" s="270" t="s">
        <v>997</v>
      </c>
      <c r="B46" s="1040"/>
      <c r="C46" s="273" t="s">
        <v>998</v>
      </c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</row>
    <row r="47" spans="1:33" ht="12.75" customHeight="1">
      <c r="A47" s="269" t="s">
        <v>999</v>
      </c>
      <c r="B47" s="1040"/>
      <c r="C47" s="274" t="s">
        <v>1000</v>
      </c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</row>
    <row r="48" spans="1:33" ht="12.75" customHeight="1">
      <c r="A48" s="269" t="s">
        <v>1001</v>
      </c>
      <c r="B48" s="1040"/>
      <c r="C48" s="273" t="s">
        <v>1002</v>
      </c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</row>
    <row r="49" spans="1:33" ht="12.75" customHeight="1">
      <c r="A49" s="270" t="s">
        <v>1003</v>
      </c>
      <c r="B49" s="1040"/>
      <c r="C49" s="273" t="s">
        <v>1004</v>
      </c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</row>
    <row r="50" spans="1:33" ht="12.75" customHeight="1">
      <c r="A50" s="269" t="s">
        <v>1005</v>
      </c>
      <c r="B50" s="1040"/>
      <c r="C50" s="273" t="s">
        <v>1006</v>
      </c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</row>
    <row r="51" spans="1:33" ht="12.75" customHeight="1">
      <c r="A51" s="269" t="s">
        <v>1007</v>
      </c>
      <c r="B51" s="1040"/>
      <c r="C51" s="273" t="s">
        <v>1008</v>
      </c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</row>
    <row r="52" spans="1:33" ht="12.75" customHeight="1">
      <c r="A52" s="270" t="s">
        <v>1009</v>
      </c>
      <c r="B52" s="1040"/>
      <c r="C52" s="273" t="s">
        <v>1010</v>
      </c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</row>
    <row r="53" spans="1:33" ht="12.75" customHeight="1">
      <c r="A53" s="269" t="s">
        <v>1011</v>
      </c>
      <c r="B53" s="1040"/>
      <c r="C53" s="274" t="s">
        <v>1012</v>
      </c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</row>
    <row r="54" spans="1:33" ht="12.75" customHeight="1">
      <c r="A54" s="270" t="s">
        <v>1013</v>
      </c>
      <c r="B54" s="1040"/>
      <c r="C54" s="276" t="s">
        <v>1014</v>
      </c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</row>
    <row r="55" spans="1:33" ht="12.75" customHeight="1">
      <c r="A55" s="270" t="s">
        <v>1015</v>
      </c>
      <c r="B55" s="1040"/>
      <c r="C55" s="273" t="s">
        <v>1016</v>
      </c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</row>
    <row r="56" spans="1:33" ht="12.75" customHeight="1">
      <c r="A56" s="269" t="s">
        <v>1017</v>
      </c>
      <c r="B56" s="1040"/>
      <c r="C56" s="274" t="s">
        <v>1018</v>
      </c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</row>
    <row r="57" spans="1:33" ht="12.75" customHeight="1">
      <c r="A57" s="269" t="s">
        <v>1019</v>
      </c>
      <c r="B57" s="1040"/>
      <c r="C57" s="273" t="s">
        <v>1020</v>
      </c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</row>
    <row r="58" spans="1:33" ht="12.75" customHeight="1">
      <c r="A58" s="269" t="s">
        <v>1021</v>
      </c>
      <c r="B58" s="1040"/>
      <c r="C58" s="273" t="s">
        <v>1022</v>
      </c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</row>
    <row r="59" spans="1:33" ht="12.75" customHeight="1">
      <c r="A59" s="270" t="s">
        <v>1023</v>
      </c>
      <c r="B59" s="1040"/>
      <c r="C59" s="273" t="s">
        <v>1024</v>
      </c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</row>
    <row r="60" spans="1:33" ht="12.75" customHeight="1">
      <c r="A60" s="269" t="s">
        <v>1025</v>
      </c>
      <c r="B60" s="1040"/>
      <c r="C60" s="274" t="s">
        <v>1026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</row>
    <row r="61" spans="1:33" ht="12.75" customHeight="1">
      <c r="A61" s="269" t="s">
        <v>1027</v>
      </c>
      <c r="B61" s="1040"/>
      <c r="C61" s="273" t="s">
        <v>1028</v>
      </c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</row>
    <row r="62" spans="1:33" ht="12.75" customHeight="1">
      <c r="A62" s="269" t="s">
        <v>1029</v>
      </c>
      <c r="B62" s="1040"/>
      <c r="C62" s="273" t="s">
        <v>1030</v>
      </c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</row>
    <row r="63" spans="1:33" ht="12.75" customHeight="1">
      <c r="A63" s="270" t="s">
        <v>1031</v>
      </c>
      <c r="B63" s="1040"/>
      <c r="C63" s="274" t="s">
        <v>1032</v>
      </c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</row>
    <row r="64" spans="1:33" ht="12.75" customHeight="1">
      <c r="A64" s="269" t="s">
        <v>1033</v>
      </c>
      <c r="B64" s="1040"/>
      <c r="C64" s="273" t="s">
        <v>1034</v>
      </c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</row>
    <row r="65" spans="1:33" ht="12.75" customHeight="1">
      <c r="A65" s="270" t="s">
        <v>1035</v>
      </c>
      <c r="B65" s="1040"/>
      <c r="C65" s="273" t="s">
        <v>1036</v>
      </c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</row>
    <row r="66" spans="1:33" ht="12.75" customHeight="1">
      <c r="A66" s="269" t="s">
        <v>1037</v>
      </c>
      <c r="B66" s="1040"/>
      <c r="C66" s="273" t="s">
        <v>1038</v>
      </c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</row>
    <row r="67" spans="1:33" ht="12.75" customHeight="1">
      <c r="A67" s="269" t="s">
        <v>1039</v>
      </c>
      <c r="B67" s="1040"/>
      <c r="C67" s="274" t="s">
        <v>1040</v>
      </c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</row>
    <row r="68" spans="1:33" ht="12.75" customHeight="1">
      <c r="A68" s="270" t="s">
        <v>1041</v>
      </c>
      <c r="B68" s="1040"/>
      <c r="C68" s="273" t="s">
        <v>1042</v>
      </c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</row>
    <row r="69" spans="1:33" ht="12.75" customHeight="1">
      <c r="A69" s="269" t="s">
        <v>1043</v>
      </c>
      <c r="B69" s="1040"/>
      <c r="C69" s="273" t="s">
        <v>1044</v>
      </c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</row>
    <row r="70" spans="1:33" ht="12.75" customHeight="1">
      <c r="A70" s="269" t="s">
        <v>1045</v>
      </c>
      <c r="B70" s="1040"/>
      <c r="C70" s="273" t="s">
        <v>1046</v>
      </c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</row>
    <row r="71" spans="1:33" ht="12.75" customHeight="1">
      <c r="A71" s="270" t="s">
        <v>1047</v>
      </c>
      <c r="B71" s="1040"/>
      <c r="C71" s="275" t="s">
        <v>1048</v>
      </c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</row>
    <row r="72" spans="1:33" ht="12.75" customHeight="1">
      <c r="A72" s="269" t="s">
        <v>1049</v>
      </c>
      <c r="B72" s="1040"/>
      <c r="C72" s="276" t="s">
        <v>1050</v>
      </c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</row>
    <row r="73" spans="1:33" ht="12.75" customHeight="1">
      <c r="A73" s="269" t="s">
        <v>1051</v>
      </c>
      <c r="B73" s="1040"/>
      <c r="C73" s="274" t="s">
        <v>1052</v>
      </c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</row>
    <row r="74" spans="1:33" ht="12.75" customHeight="1">
      <c r="A74" s="269" t="s">
        <v>1053</v>
      </c>
      <c r="B74" s="1040"/>
      <c r="C74" s="273" t="s">
        <v>1054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</row>
    <row r="75" spans="1:33" ht="12.75" customHeight="1">
      <c r="A75" s="270" t="s">
        <v>1055</v>
      </c>
      <c r="B75" s="1040"/>
      <c r="C75" s="273" t="s">
        <v>1056</v>
      </c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</row>
    <row r="76" spans="1:33" ht="12.75" customHeight="1">
      <c r="A76" s="269" t="s">
        <v>1057</v>
      </c>
      <c r="B76" s="1040"/>
      <c r="C76" s="273" t="s">
        <v>1058</v>
      </c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</row>
    <row r="77" spans="1:33" ht="12.75" customHeight="1">
      <c r="A77" s="269" t="s">
        <v>1059</v>
      </c>
      <c r="B77" s="1040"/>
      <c r="C77" s="274" t="s">
        <v>1060</v>
      </c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</row>
    <row r="78" spans="1:33" ht="12.75" customHeight="1">
      <c r="A78" s="270" t="s">
        <v>1061</v>
      </c>
      <c r="B78" s="1040"/>
      <c r="C78" s="273" t="s">
        <v>1062</v>
      </c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</row>
    <row r="79" spans="1:33" ht="12.75" customHeight="1">
      <c r="A79" s="269" t="s">
        <v>1063</v>
      </c>
      <c r="B79" s="1040"/>
      <c r="C79" s="273" t="s">
        <v>1064</v>
      </c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</row>
    <row r="80" spans="1:33" ht="12.75" customHeight="1">
      <c r="A80" s="270" t="s">
        <v>1065</v>
      </c>
      <c r="B80" s="1040"/>
      <c r="C80" s="273" t="s">
        <v>1066</v>
      </c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</row>
    <row r="81" spans="1:33" ht="12.75" customHeight="1">
      <c r="A81" s="269" t="s">
        <v>1067</v>
      </c>
      <c r="B81" s="1040"/>
      <c r="C81" s="273" t="s">
        <v>1068</v>
      </c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</row>
    <row r="82" spans="1:33" ht="12.75" customHeight="1">
      <c r="A82" s="269" t="s">
        <v>1069</v>
      </c>
      <c r="B82" s="1040"/>
      <c r="C82" s="273" t="s">
        <v>1070</v>
      </c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</row>
    <row r="83" spans="1:33" ht="12.75" customHeight="1">
      <c r="A83" s="269" t="s">
        <v>1071</v>
      </c>
      <c r="B83" s="1040"/>
      <c r="C83" s="274" t="s">
        <v>1072</v>
      </c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</row>
    <row r="84" spans="1:33" ht="12.75" customHeight="1">
      <c r="A84" s="269" t="s">
        <v>1073</v>
      </c>
      <c r="B84" s="1040"/>
      <c r="C84" s="273" t="s">
        <v>1074</v>
      </c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</row>
    <row r="85" spans="1:33" ht="12.75" customHeight="1">
      <c r="A85" s="269" t="s">
        <v>1075</v>
      </c>
      <c r="B85" s="1040"/>
      <c r="C85" s="274" t="s">
        <v>1076</v>
      </c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</row>
    <row r="86" spans="1:33" ht="12.75" customHeight="1">
      <c r="A86" s="271"/>
      <c r="B86" s="1041"/>
      <c r="C86" s="277" t="s">
        <v>1077</v>
      </c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</row>
    <row r="87" spans="1:33" ht="12.7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</row>
    <row r="88" spans="1:33" ht="12.7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</row>
    <row r="89" spans="1:33" ht="12.7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</row>
    <row r="90" spans="1:33" ht="12.7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</row>
    <row r="91" spans="1:33" ht="12.7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</row>
    <row r="92" spans="1:33" ht="12.7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</row>
    <row r="93" spans="1:33" ht="12.7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</row>
    <row r="94" spans="1:33" ht="12.7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</row>
    <row r="95" spans="1:33" ht="12.7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</row>
    <row r="96" spans="1:33" ht="12.7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</row>
    <row r="97" spans="1:33" ht="12.7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</row>
    <row r="98" spans="1:33" ht="12.7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</row>
    <row r="99" spans="1:33" ht="12.7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</row>
    <row r="100" spans="1:33" ht="12.7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</row>
    <row r="101" spans="1:33" ht="12.7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</row>
    <row r="102" spans="1:33" ht="12.7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</row>
    <row r="103" spans="1:33" ht="12.7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</row>
    <row r="104" spans="1:33" ht="12.7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</row>
    <row r="105" spans="1:33" ht="12.7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</row>
    <row r="106" spans="1:33" ht="12.7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</row>
    <row r="107" spans="1:33" ht="12.7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</row>
    <row r="108" spans="1:33" ht="12.7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</row>
    <row r="109" spans="1:33" ht="12.7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</row>
    <row r="110" spans="1:33" ht="12.7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</row>
    <row r="111" spans="1:33" ht="12.7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</row>
    <row r="112" spans="1:33" ht="12.7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</row>
    <row r="113" spans="1:33" ht="12.7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</row>
    <row r="114" spans="1:33" ht="12.7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</row>
    <row r="115" spans="1:33" ht="12.7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</row>
    <row r="116" spans="1:33" ht="12.7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</row>
    <row r="117" spans="1:33" ht="12.7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</row>
    <row r="118" spans="1:33" ht="12.7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</row>
    <row r="119" spans="1:33" ht="12.7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</row>
    <row r="120" spans="1:33" ht="12.7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</row>
    <row r="121" spans="1:33" ht="12.7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</row>
    <row r="122" spans="1:33" ht="12.7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</row>
    <row r="123" spans="1:33" ht="12.7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</row>
    <row r="124" spans="1:33" ht="12.7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</row>
    <row r="125" spans="1:33" ht="12.7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</row>
    <row r="126" spans="1:33" ht="12.7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</row>
    <row r="127" spans="1:33" ht="12.7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</row>
    <row r="128" spans="1:33" ht="12.7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</row>
    <row r="129" spans="1:33" ht="12.7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</row>
    <row r="130" spans="1:33" ht="12.7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</row>
    <row r="131" spans="1:33" ht="12.7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</row>
    <row r="132" spans="1:33" ht="12.7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</row>
    <row r="133" spans="1:33" ht="12.7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</row>
    <row r="134" spans="1:33" ht="12.7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</row>
    <row r="135" spans="1:33" ht="12.7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</row>
    <row r="136" spans="1:33" ht="12.7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</row>
    <row r="137" spans="1:33" ht="12.7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</row>
    <row r="138" spans="1:33" ht="12.7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</row>
    <row r="139" spans="1:33" ht="12.7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</row>
    <row r="140" spans="1:33" ht="12.7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</row>
    <row r="141" spans="1:33" ht="12.7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</row>
    <row r="142" spans="1:33" ht="12.7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</row>
    <row r="143" spans="1:33" ht="12.7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</row>
    <row r="144" spans="1:33" ht="12.7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</row>
    <row r="145" spans="1:33" ht="12.7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</row>
    <row r="146" spans="1:33" ht="12.7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</row>
    <row r="147" spans="1:33" ht="12.7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</row>
    <row r="148" spans="1:33" ht="12.7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</row>
    <row r="149" spans="1:33" ht="12.7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</row>
    <row r="150" spans="1:33" ht="12.7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</row>
    <row r="151" spans="1:33" ht="12.7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</row>
    <row r="152" spans="1:33" ht="12.7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</row>
    <row r="153" spans="1:33" ht="12.7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</row>
    <row r="154" spans="1:33" ht="12.7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</row>
    <row r="155" spans="1:33" ht="12.7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</row>
    <row r="156" spans="1:33" ht="12.7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</row>
    <row r="157" spans="1:33" ht="12.7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</row>
    <row r="158" spans="1:33" ht="12.7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</row>
    <row r="159" spans="1:33" ht="12.7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</row>
    <row r="160" spans="1:33" ht="12.7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</row>
    <row r="161" spans="1:33" ht="12.7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</row>
    <row r="162" spans="1:33" ht="12.7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</row>
    <row r="163" spans="1:33" ht="12.7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</row>
    <row r="164" spans="1:33" ht="12.7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</row>
    <row r="165" spans="1:33" ht="12.7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</row>
    <row r="166" spans="1:33" ht="12.7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</row>
    <row r="167" spans="1:33" ht="12.7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</row>
    <row r="168" spans="1:33" ht="12.7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</row>
    <row r="169" spans="1:33" ht="12.7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</row>
    <row r="170" spans="1:33" ht="12.7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</row>
    <row r="171" spans="1:33" ht="12.7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</row>
    <row r="172" spans="1:33" ht="12.7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</row>
    <row r="173" spans="1:33" ht="12.7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</row>
    <row r="174" spans="1:33" ht="12.7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</row>
    <row r="175" spans="1:33" ht="12.7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</row>
    <row r="176" spans="1:33" ht="12.7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</row>
    <row r="177" spans="1:33" ht="12.7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</row>
    <row r="178" spans="1:33" ht="12.7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</row>
    <row r="179" spans="1:33" ht="12.7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</row>
    <row r="180" spans="1:33" ht="12.7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</row>
    <row r="181" spans="1:33" ht="12.7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</row>
    <row r="182" spans="1:33" ht="12.7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</row>
    <row r="183" spans="1:33" ht="12.7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</row>
    <row r="184" spans="1:33" ht="12.7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</row>
    <row r="185" spans="1:33" ht="12.7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</row>
    <row r="186" spans="1:33" ht="12.7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</row>
    <row r="187" spans="1:33" ht="12.7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</row>
    <row r="188" spans="1:33" ht="12.7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</row>
    <row r="189" spans="1:33" ht="12.7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</row>
    <row r="190" spans="1:33" ht="12.7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</row>
    <row r="191" spans="1:33" ht="12.7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</row>
    <row r="192" spans="1:33" ht="12.7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</row>
    <row r="193" spans="1:33" ht="12.7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</row>
    <row r="194" spans="1:33" ht="12.7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</row>
    <row r="195" spans="1:33" ht="12.7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</row>
    <row r="196" spans="1:33" ht="12.7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</row>
    <row r="197" spans="1:33" ht="12.7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</row>
    <row r="198" spans="1:33" ht="12.7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</row>
    <row r="199" spans="1:33" ht="12.7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</row>
    <row r="200" spans="1:33" ht="12.7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</row>
    <row r="201" spans="1:33" ht="12.7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</row>
    <row r="202" spans="1:33" ht="12.7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</row>
    <row r="203" spans="1:33" ht="12.7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</row>
    <row r="204" spans="1:33" ht="12.7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</row>
    <row r="205" spans="1:33" ht="12.7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</row>
    <row r="206" spans="1:33" ht="12.7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</row>
    <row r="207" spans="1:33" ht="12.7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</row>
    <row r="208" spans="1:33" ht="12.7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</row>
    <row r="209" spans="1:33" ht="12.7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</row>
    <row r="210" spans="1:33" ht="12.7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</row>
    <row r="211" spans="1:33" ht="12.7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</row>
    <row r="212" spans="1:33" ht="12.7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</row>
    <row r="213" spans="1:33" ht="12.7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</row>
    <row r="214" spans="1:33" ht="12.7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</row>
    <row r="215" spans="1:33" ht="12.7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</row>
    <row r="216" spans="1:33" ht="12.7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</row>
    <row r="217" spans="1:33" ht="12.7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</row>
    <row r="218" spans="1:33" ht="12.7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</row>
    <row r="219" spans="1:33" ht="12.7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</row>
    <row r="220" spans="1:33" ht="12.7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</row>
    <row r="221" spans="1:33" ht="12.7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</row>
    <row r="222" spans="1:33" ht="12.7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</row>
    <row r="223" spans="1:33" ht="12.7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</row>
    <row r="224" spans="1:33" ht="12.7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</row>
    <row r="225" spans="1:33" ht="12.7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</row>
    <row r="226" spans="1:33" ht="12.7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</row>
    <row r="227" spans="1:33" ht="12.7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</row>
    <row r="228" spans="1:33" ht="12.7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</row>
    <row r="229" spans="1:33" ht="12.7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</row>
    <row r="230" spans="1:33" ht="12.7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</row>
    <row r="231" spans="1:33" ht="12.7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</row>
    <row r="232" spans="1:33" ht="12.7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</row>
    <row r="233" spans="1:33" ht="12.7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</row>
    <row r="234" spans="1:33" ht="12.7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</row>
    <row r="235" spans="1:33" ht="12.7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</row>
    <row r="236" spans="1:33" ht="12.7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</row>
    <row r="237" spans="1:33" ht="12.7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</row>
    <row r="238" spans="1:33" ht="12.7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</row>
    <row r="239" spans="1:33" ht="12.7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</row>
    <row r="240" spans="1:33" ht="12.7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</row>
    <row r="241" spans="1:33" ht="12.7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</row>
    <row r="242" spans="1:33" ht="12.7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</row>
    <row r="243" spans="1:33" ht="12.7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</row>
    <row r="244" spans="1:33" ht="12.7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</row>
    <row r="245" spans="1:33" ht="12.7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</row>
    <row r="246" spans="1:33" ht="12.7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</row>
    <row r="247" spans="1:33" ht="12.7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</row>
    <row r="248" spans="1:33" ht="12.7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</row>
    <row r="249" spans="1:33" ht="12.7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</row>
    <row r="250" spans="1:33" ht="12.7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</row>
    <row r="251" spans="1:33" ht="12.7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</row>
    <row r="252" spans="1:33" ht="12.7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</row>
    <row r="253" spans="1:33" ht="12.7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</row>
    <row r="254" spans="1:33" ht="12.7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</row>
    <row r="255" spans="1:33" ht="12.7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</row>
    <row r="256" spans="1:33" ht="12.7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</row>
    <row r="257" spans="1:33" ht="12.7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</row>
    <row r="258" spans="1:33" ht="12.7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</row>
    <row r="259" spans="1:33" ht="12.7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</row>
    <row r="260" spans="1:33" ht="12.7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</row>
    <row r="261" spans="1:33" ht="12.7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</row>
    <row r="262" spans="1:33" ht="12.7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</row>
    <row r="263" spans="1:33" ht="12.7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</row>
    <row r="264" spans="1:33" ht="12.7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</row>
    <row r="265" spans="1:33" ht="12.7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</row>
    <row r="266" spans="1:33" ht="12.7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</row>
    <row r="267" spans="1:33" ht="12.7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</row>
    <row r="268" spans="1:33" ht="12.7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</row>
    <row r="269" spans="1:33" ht="12.7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</row>
    <row r="270" spans="1:33" ht="12.7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</row>
    <row r="271" spans="1:33" ht="12.7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</row>
    <row r="272" spans="1:33" ht="12.7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</row>
    <row r="273" spans="1:33" ht="12.7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</row>
    <row r="274" spans="1:33" ht="12.7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</row>
    <row r="275" spans="1:33" ht="12.7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</row>
    <row r="276" spans="1:33" ht="12.7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</row>
    <row r="277" spans="1:33" ht="12.7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</row>
    <row r="278" spans="1:33" ht="12.7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</row>
    <row r="279" spans="1:33" ht="12.7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</row>
    <row r="280" spans="1:33" ht="12.7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</row>
    <row r="281" spans="1:33" ht="12.7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</row>
    <row r="282" spans="1:33" ht="12.7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</row>
    <row r="283" spans="1:33" ht="12.7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</row>
    <row r="284" spans="1:33" ht="12.7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</row>
    <row r="285" spans="1:33" ht="12.7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</row>
    <row r="286" spans="1:33" ht="12.7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</row>
    <row r="287" spans="1:33" ht="12.7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</row>
    <row r="288" spans="1:33" ht="12.7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</row>
    <row r="289" spans="1:33" ht="12.7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</row>
    <row r="290" spans="1:33" ht="12.7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</row>
    <row r="291" spans="1:33" ht="12.7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</row>
    <row r="292" spans="1:33" ht="12.7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</row>
    <row r="293" spans="1:33" ht="12.7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</row>
    <row r="294" spans="1:33" ht="12.7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</row>
    <row r="295" spans="1:33" ht="12.7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</row>
    <row r="296" spans="1:33" ht="12.7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</row>
    <row r="297" spans="1:33" ht="12.7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</row>
    <row r="298" spans="1:33" ht="12.7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</row>
    <row r="299" spans="1:33" ht="12.7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</row>
    <row r="300" spans="1:33" ht="12.7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</row>
    <row r="301" spans="1:33" ht="12.7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</row>
    <row r="302" spans="1:33" ht="12.7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</row>
    <row r="303" spans="1:33" ht="12.7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</row>
    <row r="304" spans="1:33" ht="12.7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</row>
    <row r="305" spans="1:33" ht="12.7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</row>
    <row r="306" spans="1:33" ht="12.7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</row>
    <row r="307" spans="1:33" ht="12.7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</row>
    <row r="308" spans="1:33" ht="12.7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</row>
    <row r="309" spans="1:33" ht="12.7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</row>
    <row r="310" spans="1:33" ht="12.7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</row>
    <row r="311" spans="1:33" ht="12.7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</row>
    <row r="312" spans="1:33" ht="12.7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</row>
    <row r="313" spans="1:33" ht="12.7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</row>
    <row r="314" spans="1:33" ht="12.7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</row>
    <row r="315" spans="1:33" ht="12.7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</row>
    <row r="316" spans="1:33" ht="12.7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</row>
    <row r="317" spans="1:33" ht="12.7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</row>
    <row r="318" spans="1:33" ht="12.7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</row>
    <row r="319" spans="1:33" ht="12.7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</row>
    <row r="320" spans="1:33" ht="12.7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</row>
    <row r="321" spans="1:33" ht="12.7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</row>
    <row r="322" spans="1:33" ht="12.7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</row>
    <row r="323" spans="1:33" ht="12.7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</row>
    <row r="324" spans="1:33" ht="12.7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</row>
    <row r="325" spans="1:33" ht="12.7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</row>
    <row r="326" spans="1:33" ht="12.7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</row>
    <row r="327" spans="1:33" ht="12.7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</row>
    <row r="328" spans="1:33" ht="12.7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</row>
    <row r="329" spans="1:33" ht="12.7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</row>
    <row r="330" spans="1:33" ht="12.7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</row>
    <row r="331" spans="1:33" ht="12.7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</row>
    <row r="332" spans="1:33" ht="12.7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</row>
    <row r="333" spans="1:33" ht="12.7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</row>
    <row r="334" spans="1:33" ht="12.7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</row>
    <row r="335" spans="1:33" ht="12.7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</row>
    <row r="336" spans="1:33" ht="12.7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</row>
    <row r="337" spans="1:33" ht="12.7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</row>
    <row r="338" spans="1:33" ht="12.7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</row>
    <row r="339" spans="1:33" ht="12.7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</row>
    <row r="340" spans="1:33" ht="12.7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</row>
    <row r="341" spans="1:33" ht="12.7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</row>
    <row r="342" spans="1:33" ht="12.7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</row>
    <row r="343" spans="1:33" ht="12.7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</row>
    <row r="344" spans="1:33" ht="12.7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</row>
    <row r="345" spans="1:33" ht="12.7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</row>
    <row r="346" spans="1:33" ht="12.7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</row>
    <row r="347" spans="1:33" ht="12.7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</row>
    <row r="348" spans="1:33" ht="12.7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</row>
    <row r="349" spans="1:33" ht="12.7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</row>
    <row r="350" spans="1:33" ht="12.7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</row>
    <row r="351" spans="1:33" ht="12.7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</row>
    <row r="352" spans="1:33" ht="12.7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</row>
    <row r="353" spans="1:33" ht="12.7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</row>
    <row r="354" spans="1:33" ht="12.7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</row>
    <row r="355" spans="1:33" ht="12.7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</row>
    <row r="356" spans="1:33" ht="12.7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</row>
    <row r="357" spans="1:33" ht="12.7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</row>
    <row r="358" spans="1:33" ht="12.7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</row>
    <row r="359" spans="1:33" ht="12.7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</row>
    <row r="360" spans="1:33" ht="12.7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</row>
    <row r="361" spans="1:33" ht="12.7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</row>
    <row r="362" spans="1:33" ht="12.7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</row>
    <row r="363" spans="1:33" ht="12.7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</row>
    <row r="364" spans="1:33" ht="12.7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</row>
    <row r="365" spans="1:33" ht="12.7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</row>
    <row r="366" spans="1:33" ht="12.7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</row>
    <row r="367" spans="1:33" ht="12.7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</row>
    <row r="368" spans="1:33" ht="12.7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</row>
    <row r="369" spans="1:33" ht="12.7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</row>
    <row r="370" spans="1:33" ht="12.7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</row>
    <row r="371" spans="1:33" ht="12.7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</row>
    <row r="372" spans="1:33" ht="12.7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</row>
    <row r="373" spans="1:33" ht="12.7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</row>
    <row r="374" spans="1:33" ht="12.7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</row>
    <row r="375" spans="1:33" ht="12.7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</row>
    <row r="376" spans="1:33" ht="12.7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</row>
    <row r="377" spans="1:33" ht="12.7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</row>
    <row r="378" spans="1:33" ht="12.7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</row>
    <row r="379" spans="1:33" ht="12.7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</row>
    <row r="380" spans="1:33" ht="12.7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</row>
    <row r="381" spans="1:33" ht="12.7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</row>
    <row r="382" spans="1:33" ht="12.7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</row>
    <row r="383" spans="1:33" ht="12.7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</row>
    <row r="384" spans="1:33" ht="12.7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</row>
    <row r="385" spans="1:33" ht="12.7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</row>
    <row r="386" spans="1:33" ht="12.7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</row>
    <row r="387" spans="1:33" ht="12.7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</row>
    <row r="388" spans="1:33" ht="12.7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</row>
    <row r="389" spans="1:33" ht="12.7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</row>
    <row r="390" spans="1:33" ht="12.7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</row>
    <row r="391" spans="1:33" ht="12.7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</row>
    <row r="392" spans="1:33" ht="12.7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</row>
    <row r="393" spans="1:33" ht="12.7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</row>
    <row r="394" spans="1:33" ht="12.7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</row>
    <row r="395" spans="1:33" ht="12.7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</row>
    <row r="396" spans="1:33" ht="12.7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</row>
    <row r="397" spans="1:33" ht="12.7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</row>
    <row r="398" spans="1:33" ht="12.7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</row>
    <row r="399" spans="1:33" ht="12.7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</row>
    <row r="400" spans="1:33" ht="12.7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</row>
    <row r="401" spans="1:33" ht="12.7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</row>
    <row r="402" spans="1:33" ht="12.7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</row>
    <row r="403" spans="1:33" ht="12.7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</row>
    <row r="404" spans="1:33" ht="12.7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</row>
    <row r="405" spans="1:33" ht="12.7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</row>
    <row r="406" spans="1:33" ht="12.7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</row>
    <row r="407" spans="1:33" ht="12.7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</row>
    <row r="408" spans="1:33" ht="12.7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</row>
    <row r="409" spans="1:33" ht="12.7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</row>
    <row r="410" spans="1:33" ht="12.7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</row>
    <row r="411" spans="1:33" ht="12.7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</row>
    <row r="412" spans="1:33" ht="12.7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</row>
    <row r="413" spans="1:33" ht="12.7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</row>
    <row r="414" spans="1:33" ht="12.7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</row>
    <row r="415" spans="1:33" ht="12.7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</row>
    <row r="416" spans="1:33" ht="12.7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</row>
    <row r="417" spans="1:33" ht="12.7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</row>
    <row r="418" spans="1:33" ht="12.7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</row>
    <row r="419" spans="1:33" ht="12.7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</row>
    <row r="420" spans="1:33" ht="12.7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</row>
    <row r="421" spans="1:33" ht="12.7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</row>
    <row r="422" spans="1:33" ht="12.7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</row>
    <row r="423" spans="1:33" ht="12.7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</row>
    <row r="424" spans="1:33" ht="12.7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</row>
    <row r="425" spans="1:33" ht="12.7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</row>
    <row r="426" spans="1:33" ht="12.7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</row>
    <row r="427" spans="1:33" ht="12.7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</row>
    <row r="428" spans="1:33" ht="12.7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</row>
    <row r="429" spans="1:33" ht="12.7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</row>
    <row r="430" spans="1:33" ht="12.7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</row>
    <row r="431" spans="1:33" ht="12.7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</row>
    <row r="432" spans="1:33" ht="12.7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</row>
    <row r="433" spans="1:33" ht="12.7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</row>
    <row r="434" spans="1:33" ht="12.7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</row>
    <row r="435" spans="1:33" ht="12.7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</row>
    <row r="436" spans="1:33" ht="12.7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</row>
    <row r="437" spans="1:33" ht="12.7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</row>
    <row r="438" spans="1:33" ht="12.7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</row>
    <row r="439" spans="1:33" ht="12.7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</row>
    <row r="440" spans="1:33" ht="12.7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</row>
    <row r="441" spans="1:33" ht="12.7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</row>
    <row r="442" spans="1:33" ht="12.7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</row>
    <row r="443" spans="1:33" ht="12.7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</row>
    <row r="444" spans="1:33" ht="12.7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</row>
    <row r="445" spans="1:33" ht="12.7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</row>
    <row r="446" spans="1:33" ht="12.7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</row>
    <row r="447" spans="1:33" ht="12.7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</row>
    <row r="448" spans="1:33" ht="12.7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</row>
    <row r="449" spans="1:33" ht="12.7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</row>
    <row r="450" spans="1:33" ht="12.7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</row>
    <row r="451" spans="1:33" ht="12.7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</row>
    <row r="452" spans="1:33" ht="12.7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</row>
    <row r="453" spans="1:33" ht="12.7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</row>
    <row r="454" spans="1:33" ht="12.7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</row>
    <row r="455" spans="1:33" ht="12.7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</row>
    <row r="456" spans="1:33" ht="12.7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</row>
    <row r="457" spans="1:33" ht="12.7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</row>
    <row r="458" spans="1:33" ht="12.7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</row>
    <row r="459" spans="1:33" ht="12.7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</row>
    <row r="460" spans="1:33" ht="12.7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</row>
    <row r="461" spans="1:33" ht="12.7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</row>
    <row r="462" spans="1:33" ht="12.7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</row>
    <row r="463" spans="1:33" ht="12.7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</row>
    <row r="464" spans="1:33" ht="12.7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</row>
    <row r="465" spans="1:33" ht="12.7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</row>
    <row r="466" spans="1:33" ht="12.7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</row>
    <row r="467" spans="1:33" ht="12.7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</row>
    <row r="468" spans="1:33" ht="12.7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</row>
    <row r="469" spans="1:33" ht="12.7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</row>
    <row r="470" spans="1:33" ht="12.7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</row>
    <row r="471" spans="1:33" ht="12.7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</row>
    <row r="472" spans="1:33" ht="12.7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</row>
    <row r="473" spans="1:33" ht="12.7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</row>
    <row r="474" spans="1:33" ht="12.7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</row>
    <row r="475" spans="1:33" ht="12.7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</row>
    <row r="476" spans="1:33" ht="12.7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</row>
    <row r="477" spans="1:33" ht="12.7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</row>
    <row r="478" spans="1:33" ht="12.7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</row>
    <row r="479" spans="1:33" ht="12.7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</row>
    <row r="480" spans="1:33" ht="12.7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</row>
    <row r="481" spans="1:33" ht="12.7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</row>
    <row r="482" spans="1:33" ht="12.7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</row>
    <row r="483" spans="1:33" ht="12.7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</row>
    <row r="484" spans="1:33" ht="12.7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</row>
    <row r="485" spans="1:33" ht="12.7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</row>
    <row r="486" spans="1:33" ht="12.7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</row>
    <row r="487" spans="1:33" ht="12.7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</row>
    <row r="488" spans="1:33" ht="12.7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</row>
    <row r="489" spans="1:33" ht="12.7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</row>
    <row r="490" spans="1:33" ht="12.7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</row>
    <row r="491" spans="1:33" ht="12.7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</row>
    <row r="492" spans="1:33" ht="12.7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</row>
    <row r="493" spans="1:33" ht="12.7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</row>
    <row r="494" spans="1:33" ht="12.7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</row>
    <row r="495" spans="1:33" ht="12.7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</row>
    <row r="496" spans="1:33" ht="12.7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</row>
    <row r="497" spans="1:33" ht="12.7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</row>
    <row r="498" spans="1:33" ht="12.7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</row>
    <row r="499" spans="1:33" ht="12.7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</row>
    <row r="500" spans="1:33" ht="12.7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</row>
    <row r="501" spans="1:33" ht="12.7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</row>
    <row r="502" spans="1:33" ht="12.7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</row>
    <row r="503" spans="1:33" ht="12.7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</row>
    <row r="504" spans="1:33" ht="12.7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</row>
    <row r="505" spans="1:33" ht="12.7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</row>
    <row r="506" spans="1:33" ht="12.7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</row>
    <row r="507" spans="1:33" ht="12.7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</row>
    <row r="508" spans="1:33" ht="12.7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</row>
    <row r="509" spans="1:33" ht="12.7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</row>
    <row r="510" spans="1:33" ht="12.7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</row>
    <row r="511" spans="1:33" ht="12.7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</row>
    <row r="512" spans="1:33" ht="12.7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</row>
    <row r="513" spans="1:33" ht="12.7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</row>
    <row r="514" spans="1:33" ht="12.7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</row>
    <row r="515" spans="1:33" ht="12.7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</row>
    <row r="516" spans="1:33" ht="12.7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</row>
    <row r="517" spans="1:33" ht="12.7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</row>
    <row r="518" spans="1:33" ht="12.7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</row>
    <row r="519" spans="1:33" ht="12.7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</row>
    <row r="520" spans="1:33" ht="12.7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</row>
    <row r="521" spans="1:33" ht="12.7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</row>
    <row r="522" spans="1:33" ht="12.7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</row>
    <row r="523" spans="1:33" ht="12.7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</row>
    <row r="524" spans="1:33" ht="12.7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</row>
    <row r="525" spans="1:33" ht="12.7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</row>
    <row r="526" spans="1:33" ht="12.7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</row>
    <row r="527" spans="1:33" ht="12.7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</row>
    <row r="528" spans="1:33" ht="12.7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</row>
    <row r="529" spans="1:33" ht="12.7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</row>
    <row r="530" spans="1:33" ht="12.7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</row>
    <row r="531" spans="1:33" ht="12.7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</row>
    <row r="532" spans="1:33" ht="12.7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</row>
    <row r="533" spans="1:33" ht="12.7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</row>
    <row r="534" spans="1:33" ht="12.7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</row>
    <row r="535" spans="1:33" ht="12.7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</row>
    <row r="536" spans="1:33" ht="12.7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</row>
    <row r="537" spans="1:33" ht="12.7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</row>
    <row r="538" spans="1:33" ht="12.7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</row>
    <row r="539" spans="1:33" ht="12.7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</row>
    <row r="540" spans="1:33" ht="12.7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</row>
    <row r="541" spans="1:33" ht="12.7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</row>
    <row r="542" spans="1:33" ht="12.7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</row>
    <row r="543" spans="1:33" ht="12.7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</row>
    <row r="544" spans="1:33" ht="12.7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</row>
    <row r="545" spans="1:33" ht="12.7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</row>
    <row r="546" spans="1:33" ht="12.7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</row>
    <row r="547" spans="1:33" ht="12.7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</row>
    <row r="548" spans="1:33" ht="12.7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</row>
    <row r="549" spans="1:33" ht="12.7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</row>
    <row r="550" spans="1:33" ht="12.7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</row>
    <row r="551" spans="1:33" ht="12.7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</row>
    <row r="552" spans="1:33" ht="12.7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</row>
    <row r="553" spans="1:33" ht="12.7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</row>
    <row r="554" spans="1:33" ht="12.7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</row>
    <row r="555" spans="1:33" ht="12.7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</row>
    <row r="556" spans="1:33" ht="12.7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</row>
    <row r="557" spans="1:33" ht="12.7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</row>
    <row r="558" spans="1:33" ht="12.7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</row>
    <row r="559" spans="1:33" ht="12.7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</row>
    <row r="560" spans="1:33" ht="12.7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</row>
    <row r="561" spans="1:33" ht="12.7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</row>
    <row r="562" spans="1:33" ht="12.7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</row>
    <row r="563" spans="1:33" ht="12.7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</row>
    <row r="564" spans="1:33" ht="12.7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</row>
    <row r="565" spans="1:33" ht="12.7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</row>
    <row r="566" spans="1:33" ht="12.7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</row>
    <row r="567" spans="1:33" ht="12.7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</row>
    <row r="568" spans="1:33" ht="12.7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</row>
    <row r="569" spans="1:33" ht="12.7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</row>
    <row r="570" spans="1:33" ht="12.7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</row>
    <row r="571" spans="1:33" ht="12.7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</row>
    <row r="572" spans="1:33" ht="12.7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</row>
    <row r="573" spans="1:33" ht="12.7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</row>
    <row r="574" spans="1:33" ht="12.7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</row>
    <row r="575" spans="1:33" ht="12.7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</row>
    <row r="576" spans="1:33" ht="12.7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</row>
    <row r="577" spans="1:33" ht="12.7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</row>
    <row r="578" spans="1:33" ht="12.7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</row>
    <row r="579" spans="1:33" ht="12.7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</row>
    <row r="580" spans="1:33" ht="12.7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</row>
    <row r="581" spans="1:33" ht="12.7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</row>
    <row r="582" spans="1:33" ht="12.7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</row>
    <row r="583" spans="1:33" ht="12.7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</row>
    <row r="584" spans="1:33" ht="12.7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</row>
    <row r="585" spans="1:33" ht="12.7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</row>
    <row r="586" spans="1:33" ht="12.7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</row>
    <row r="587" spans="1:33" ht="12.7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</row>
    <row r="588" spans="1:33" ht="12.7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</row>
    <row r="589" spans="1:33" ht="12.7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</row>
    <row r="590" spans="1:33" ht="12.7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</row>
    <row r="591" spans="1:33" ht="12.7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</row>
    <row r="592" spans="1:33" ht="12.7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</row>
    <row r="593" spans="1:33" ht="12.7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</row>
    <row r="594" spans="1:33" ht="12.7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</row>
    <row r="595" spans="1:33" ht="12.7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</row>
    <row r="596" spans="1:33" ht="12.7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</row>
    <row r="597" spans="1:33" ht="12.7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</row>
    <row r="598" spans="1:33" ht="12.7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</row>
    <row r="599" spans="1:33" ht="12.7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</row>
    <row r="600" spans="1:33" ht="12.7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</row>
    <row r="601" spans="1:33" ht="12.7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</row>
    <row r="602" spans="1:33" ht="12.7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</row>
    <row r="603" spans="1:33" ht="12.7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</row>
    <row r="604" spans="1:33" ht="12.7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</row>
    <row r="605" spans="1:33" ht="12.7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</row>
    <row r="606" spans="1:33" ht="12.7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</row>
    <row r="607" spans="1:33" ht="12.7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</row>
    <row r="608" spans="1:33" ht="12.7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</row>
    <row r="609" spans="1:33" ht="12.7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</row>
    <row r="610" spans="1:33" ht="12.7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</row>
    <row r="611" spans="1:33" ht="12.7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</row>
    <row r="612" spans="1:33" ht="12.7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</row>
    <row r="613" spans="1:33" ht="12.7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</row>
    <row r="614" spans="1:33" ht="12.7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</row>
    <row r="615" spans="1:33" ht="12.7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</row>
    <row r="616" spans="1:33" ht="12.7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</row>
    <row r="617" spans="1:33" ht="12.7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</row>
    <row r="618" spans="1:33" ht="12.7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</row>
    <row r="619" spans="1:33" ht="12.7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</row>
    <row r="620" spans="1:33" ht="12.7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</row>
    <row r="621" spans="1:33" ht="12.7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</row>
    <row r="622" spans="1:33" ht="12.7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</row>
    <row r="623" spans="1:33" ht="12.7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</row>
    <row r="624" spans="1:33" ht="12.7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</row>
    <row r="625" spans="1:33" ht="12.7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</row>
    <row r="626" spans="1:33" ht="12.7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</row>
    <row r="627" spans="1:33" ht="12.7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</row>
    <row r="628" spans="1:33" ht="12.7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</row>
    <row r="629" spans="1:33" ht="12.7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</row>
    <row r="630" spans="1:33" ht="12.7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</row>
    <row r="631" spans="1:33" ht="12.7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</row>
    <row r="632" spans="1:33" ht="12.7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</row>
    <row r="633" spans="1:33" ht="12.7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</row>
    <row r="634" spans="1:33" ht="12.7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</row>
    <row r="635" spans="1:33" ht="12.7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</row>
    <row r="636" spans="1:33" ht="12.7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</row>
    <row r="637" spans="1:33" ht="12.7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</row>
    <row r="638" spans="1:33" ht="12.7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</row>
    <row r="639" spans="1:33" ht="12.7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</row>
    <row r="640" spans="1:33" ht="12.7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</row>
    <row r="641" spans="1:33" ht="12.7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</row>
    <row r="642" spans="1:33" ht="12.7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</row>
    <row r="643" spans="1:33" ht="12.7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</row>
    <row r="644" spans="1:33" ht="12.7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</row>
    <row r="645" spans="1:33" ht="12.7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</row>
    <row r="646" spans="1:33" ht="12.7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</row>
    <row r="647" spans="1:33" ht="12.7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</row>
    <row r="648" spans="1:33" ht="12.7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</row>
    <row r="649" spans="1:33" ht="12.7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</row>
    <row r="650" spans="1:33" ht="12.7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</row>
    <row r="651" spans="1:33" ht="12.7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</row>
    <row r="652" spans="1:33" ht="12.7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</row>
    <row r="653" spans="1:33" ht="12.7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</row>
    <row r="654" spans="1:33" ht="12.7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</row>
    <row r="655" spans="1:33" ht="12.7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</row>
    <row r="656" spans="1:33" ht="12.7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</row>
    <row r="657" spans="1:33" ht="12.7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</row>
    <row r="658" spans="1:33" ht="12.7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</row>
    <row r="659" spans="1:33" ht="12.7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</row>
    <row r="660" spans="1:33" ht="12.7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</row>
    <row r="661" spans="1:33" ht="12.7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</row>
    <row r="662" spans="1:33" ht="12.7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</row>
    <row r="663" spans="1:33" ht="12.7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</row>
    <row r="664" spans="1:33" ht="12.7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</row>
    <row r="665" spans="1:33" ht="12.7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</row>
    <row r="666" spans="1:33" ht="12.7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</row>
    <row r="667" spans="1:33" ht="12.7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</row>
    <row r="668" spans="1:33" ht="12.7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</row>
    <row r="669" spans="1:33" ht="12.7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</row>
    <row r="670" spans="1:33" ht="12.7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</row>
    <row r="671" spans="1:33" ht="12.7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</row>
    <row r="672" spans="1:33" ht="12.7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</row>
    <row r="673" spans="1:33" ht="12.7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</row>
    <row r="674" spans="1:33" ht="12.7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</row>
    <row r="675" spans="1:33" ht="12.7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</row>
    <row r="676" spans="1:33" ht="12.7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</row>
    <row r="677" spans="1:33" ht="12.7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</row>
    <row r="678" spans="1:33" ht="12.7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</row>
    <row r="679" spans="1:33" ht="12.7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</row>
    <row r="680" spans="1:33" ht="12.7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</row>
    <row r="681" spans="1:33" ht="12.7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</row>
    <row r="682" spans="1:33" ht="12.7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</row>
    <row r="683" spans="1:33" ht="12.7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</row>
    <row r="684" spans="1:33" ht="12.7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</row>
    <row r="685" spans="1:33" ht="12.7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</row>
    <row r="686" spans="1:33" ht="12.7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</row>
    <row r="687" spans="1:33" ht="12.7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</row>
    <row r="688" spans="1:33" ht="12.7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</row>
    <row r="689" spans="1:33" ht="12.7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</row>
    <row r="690" spans="1:33" ht="12.7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</row>
    <row r="691" spans="1:33" ht="12.7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</row>
    <row r="692" spans="1:33" ht="12.7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</row>
    <row r="693" spans="1:33" ht="12.7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</row>
    <row r="694" spans="1:33" ht="12.7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</row>
    <row r="695" spans="1:33" ht="12.7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</row>
    <row r="696" spans="1:33" ht="12.7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</row>
    <row r="697" spans="1:33" ht="12.7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</row>
    <row r="698" spans="1:33" ht="12.7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</row>
    <row r="699" spans="1:33" ht="12.7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</row>
    <row r="700" spans="1:33" ht="12.7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</row>
    <row r="701" spans="1:33" ht="12.7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</row>
    <row r="702" spans="1:33" ht="12.7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</row>
    <row r="703" spans="1:33" ht="12.7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</row>
    <row r="704" spans="1:33" ht="12.7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</row>
    <row r="705" spans="1:33" ht="12.7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</row>
    <row r="706" spans="1:33" ht="12.7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</row>
    <row r="707" spans="1:33" ht="12.7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</row>
    <row r="708" spans="1:33" ht="12.7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</row>
    <row r="709" spans="1:33" ht="12.7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</row>
    <row r="710" spans="1:33" ht="12.7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</row>
    <row r="711" spans="1:33" ht="12.7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</row>
    <row r="712" spans="1:33" ht="12.7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</row>
    <row r="713" spans="1:33" ht="12.7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</row>
    <row r="714" spans="1:33" ht="12.7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</row>
    <row r="715" spans="1:33" ht="12.7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</row>
    <row r="716" spans="1:33" ht="12.7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</row>
    <row r="717" spans="1:33" ht="12.7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</row>
    <row r="718" spans="1:33" ht="12.7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</row>
    <row r="719" spans="1:33" ht="12.7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</row>
    <row r="720" spans="1:33" ht="12.7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</row>
    <row r="721" spans="1:33" ht="12.7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</row>
    <row r="722" spans="1:33" ht="12.7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</row>
    <row r="723" spans="1:33" ht="12.7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</row>
    <row r="724" spans="1:33" ht="12.7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</row>
    <row r="725" spans="1:33" ht="12.7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</row>
    <row r="726" spans="1:33" ht="12.7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</row>
    <row r="727" spans="1:33" ht="12.7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</row>
    <row r="728" spans="1:33" ht="12.7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</row>
    <row r="729" spans="1:33" ht="12.7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</row>
    <row r="730" spans="1:33" ht="12.7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</row>
    <row r="731" spans="1:33" ht="12.7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</row>
    <row r="732" spans="1:33" ht="12.7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</row>
    <row r="733" spans="1:33" ht="12.7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</row>
    <row r="734" spans="1:33" ht="12.7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</row>
    <row r="735" spans="1:33" ht="12.7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</row>
    <row r="736" spans="1:33" ht="12.7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</row>
    <row r="737" spans="1:33" ht="12.7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</row>
    <row r="738" spans="1:33" ht="12.7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</row>
    <row r="739" spans="1:33" ht="12.7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</row>
    <row r="740" spans="1:33" ht="12.7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</row>
    <row r="741" spans="1:33" ht="12.7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</row>
    <row r="742" spans="1:33" ht="12.7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</row>
    <row r="743" spans="1:33" ht="12.7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</row>
    <row r="744" spans="1:33" ht="12.7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</row>
    <row r="745" spans="1:33" ht="12.7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</row>
    <row r="746" spans="1:33" ht="12.7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</row>
    <row r="747" spans="1:33" ht="12.7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</row>
    <row r="748" spans="1:33" ht="12.7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</row>
    <row r="749" spans="1:33" ht="12.7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</row>
    <row r="750" spans="1:33" ht="12.7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</row>
    <row r="751" spans="1:33" ht="12.7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</row>
    <row r="752" spans="1:33" ht="12.7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</row>
    <row r="753" spans="1:33" ht="12.7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</row>
    <row r="754" spans="1:33" ht="12.7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</row>
    <row r="755" spans="1:33" ht="12.7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</row>
    <row r="756" spans="1:33" ht="12.7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</row>
    <row r="757" spans="1:33" ht="12.7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</row>
    <row r="758" spans="1:33" ht="12.7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</row>
    <row r="759" spans="1:33" ht="12.7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</row>
    <row r="760" spans="1:33" ht="12.7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</row>
    <row r="761" spans="1:33" ht="12.7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</row>
    <row r="762" spans="1:33" ht="12.7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</row>
    <row r="763" spans="1:33" ht="12.7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</row>
    <row r="764" spans="1:33" ht="12.7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</row>
    <row r="765" spans="1:33" ht="12.7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</row>
    <row r="766" spans="1:33" ht="12.7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</row>
    <row r="767" spans="1:33" ht="12.7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</row>
    <row r="768" spans="1:33" ht="12.7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</row>
    <row r="769" spans="1:33" ht="12.7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</row>
    <row r="770" spans="1:33" ht="12.7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</row>
    <row r="771" spans="1:33" ht="12.7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</row>
    <row r="772" spans="1:33" ht="12.7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</row>
    <row r="773" spans="1:33" ht="12.7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</row>
    <row r="774" spans="1:33" ht="12.7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</row>
    <row r="775" spans="1:33" ht="12.7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</row>
    <row r="776" spans="1:33" ht="12.7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</row>
    <row r="777" spans="1:33" ht="12.7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</row>
    <row r="778" spans="1:33" ht="12.7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</row>
    <row r="779" spans="1:33" ht="12.7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</row>
    <row r="780" spans="1:33" ht="12.7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</row>
    <row r="781" spans="1:33" ht="12.7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</row>
    <row r="782" spans="1:33" ht="12.7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</row>
    <row r="783" spans="1:33" ht="12.7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</row>
    <row r="784" spans="1:33" ht="12.7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</row>
    <row r="785" spans="1:33" ht="12.7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</row>
    <row r="786" spans="1:33" ht="12.7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</row>
    <row r="787" spans="1:33" ht="12.7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</row>
    <row r="788" spans="1:33" ht="12.7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</row>
    <row r="789" spans="1:33" ht="12.7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</row>
    <row r="790" spans="1:33" ht="12.7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</row>
    <row r="791" spans="1:33" ht="12.7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</row>
    <row r="792" spans="1:33" ht="12.7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</row>
    <row r="793" spans="1:33" ht="12.7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</row>
    <row r="794" spans="1:33" ht="12.7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</row>
    <row r="795" spans="1:33" ht="12.7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</row>
    <row r="796" spans="1:33" ht="12.7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</row>
    <row r="797" spans="1:33" ht="12.7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</row>
    <row r="798" spans="1:33" ht="12.7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</row>
    <row r="799" spans="1:33" ht="12.7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</row>
    <row r="800" spans="1:33" ht="12.7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</row>
    <row r="801" spans="1:33" ht="12.7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</row>
    <row r="802" spans="1:33" ht="12.7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</row>
    <row r="803" spans="1:33" ht="12.7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</row>
    <row r="804" spans="1:33" ht="12.7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</row>
    <row r="805" spans="1:33" ht="12.7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</row>
    <row r="806" spans="1:33" ht="12.7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</row>
    <row r="807" spans="1:33" ht="12.7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</row>
    <row r="808" spans="1:33" ht="12.7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</row>
    <row r="809" spans="1:33" ht="12.7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</row>
    <row r="810" spans="1:33" ht="12.7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</row>
    <row r="811" spans="1:33" ht="12.7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</row>
    <row r="812" spans="1:33" ht="12.7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</row>
    <row r="813" spans="1:33" ht="12.7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</row>
    <row r="814" spans="1:33" ht="12.7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</row>
    <row r="815" spans="1:33" ht="12.7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</row>
    <row r="816" spans="1:33" ht="12.7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</row>
    <row r="817" spans="1:33" ht="12.7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</row>
    <row r="818" spans="1:33" ht="12.7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</row>
    <row r="819" spans="1:33" ht="12.7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</row>
    <row r="820" spans="1:33" ht="12.7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</row>
    <row r="821" spans="1:33" ht="12.7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</row>
    <row r="822" spans="1:33" ht="12.7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</row>
    <row r="823" spans="1:33" ht="12.7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</row>
    <row r="824" spans="1:33" ht="12.7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</row>
    <row r="825" spans="1:33" ht="12.7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</row>
    <row r="826" spans="1:33" ht="12.7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</row>
    <row r="827" spans="1:33" ht="12.7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</row>
    <row r="828" spans="1:33" ht="12.7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</row>
    <row r="829" spans="1:33" ht="12.7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</row>
    <row r="830" spans="1:33" ht="12.7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</row>
    <row r="831" spans="1:33" ht="12.7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</row>
    <row r="832" spans="1:33" ht="12.7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</row>
    <row r="833" spans="1:33" ht="12.7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</row>
    <row r="834" spans="1:33" ht="12.7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</row>
    <row r="835" spans="1:33" ht="12.7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</row>
    <row r="836" spans="1:33" ht="12.7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</row>
    <row r="837" spans="1:33" ht="12.7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</row>
    <row r="838" spans="1:33" ht="12.7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</row>
    <row r="839" spans="1:33" ht="12.7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</row>
    <row r="840" spans="1:33" ht="12.7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</row>
    <row r="841" spans="1:33" ht="12.7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</row>
    <row r="842" spans="1:33" ht="12.7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</row>
    <row r="843" spans="1:33" ht="12.7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</row>
    <row r="844" spans="1:33" ht="12.7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</row>
    <row r="845" spans="1:33" ht="12.7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</row>
    <row r="846" spans="1:33" ht="12.7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</row>
    <row r="847" spans="1:33" ht="12.7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</row>
    <row r="848" spans="1:33" ht="12.7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</row>
    <row r="849" spans="1:33" ht="12.7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</row>
    <row r="850" spans="1:33" ht="12.7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</row>
    <row r="851" spans="1:33" ht="12.7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</row>
    <row r="852" spans="1:33" ht="12.7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</row>
    <row r="853" spans="1:33" ht="12.7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</row>
    <row r="854" spans="1:33" ht="12.7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</row>
    <row r="855" spans="1:33" ht="12.7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</row>
    <row r="856" spans="1:33" ht="12.7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</row>
    <row r="857" spans="1:33" ht="12.7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</row>
    <row r="858" spans="1:33" ht="12.7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</row>
    <row r="859" spans="1:33" ht="12.7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</row>
    <row r="860" spans="1:33" ht="12.7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</row>
    <row r="861" spans="1:33" ht="12.7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</row>
    <row r="862" spans="1:33" ht="12.7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</row>
    <row r="863" spans="1:33" ht="12.7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</row>
    <row r="864" spans="1:33" ht="12.7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</row>
    <row r="865" spans="1:33" ht="12.7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</row>
    <row r="866" spans="1:33" ht="12.7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</row>
    <row r="867" spans="1:33" ht="12.7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</row>
    <row r="868" spans="1:33" ht="12.7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</row>
    <row r="869" spans="1:33" ht="12.7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</row>
    <row r="870" spans="1:33" ht="12.7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</row>
    <row r="871" spans="1:33" ht="12.7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</row>
    <row r="872" spans="1:33" ht="12.7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</row>
    <row r="873" spans="1:33" ht="12.7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</row>
    <row r="874" spans="1:33" ht="12.7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</row>
    <row r="875" spans="1:33" ht="12.7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</row>
    <row r="876" spans="1:33" ht="12.7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</row>
    <row r="877" spans="1:33" ht="12.7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</row>
    <row r="878" spans="1:33" ht="12.7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</row>
    <row r="879" spans="1:33" ht="12.7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</row>
    <row r="880" spans="1:33" ht="12.7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</row>
    <row r="881" spans="1:33" ht="12.7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</row>
    <row r="882" spans="1:33" ht="12.7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</row>
    <row r="883" spans="1:33" ht="12.7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</row>
    <row r="884" spans="1:33" ht="12.7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</row>
    <row r="885" spans="1:33" ht="12.7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</row>
    <row r="886" spans="1:33" ht="12.7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</row>
    <row r="887" spans="1:33" ht="12.7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</row>
    <row r="888" spans="1:33" ht="12.7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</row>
    <row r="889" spans="1:33" ht="12.7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</row>
    <row r="890" spans="1:33" ht="12.7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</row>
    <row r="891" spans="1:33" ht="12.7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</row>
    <row r="892" spans="1:33" ht="12.7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</row>
    <row r="893" spans="1:33" ht="12.7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</row>
    <row r="894" spans="1:33" ht="12.7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</row>
    <row r="895" spans="1:33" ht="12.7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</row>
    <row r="896" spans="1:33" ht="12.7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</row>
    <row r="897" spans="1:33" ht="12.7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</row>
    <row r="898" spans="1:33" ht="12.7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</row>
    <row r="899" spans="1:33" ht="12.7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</row>
    <row r="900" spans="1:33" ht="12.7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</row>
    <row r="901" spans="1:33" ht="12.7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</row>
    <row r="902" spans="1:33" ht="12.7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</row>
    <row r="903" spans="1:33" ht="12.7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</row>
    <row r="904" spans="1:33" ht="12.7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</row>
    <row r="905" spans="1:33" ht="12.7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</row>
    <row r="906" spans="1:33" ht="12.7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</row>
    <row r="907" spans="1:33" ht="12.7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</row>
    <row r="908" spans="1:33" ht="12.7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</row>
    <row r="909" spans="1:33" ht="12.7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</row>
    <row r="910" spans="1:33" ht="12.7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</row>
    <row r="911" spans="1:33" ht="12.7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</row>
    <row r="912" spans="1:33" ht="12.7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</row>
    <row r="913" spans="1:33" ht="12.7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</row>
    <row r="914" spans="1:33" ht="12.7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</row>
    <row r="915" spans="1:33" ht="12.7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</row>
    <row r="916" spans="1:33" ht="12.7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</row>
    <row r="917" spans="1:33" ht="12.7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</row>
    <row r="918" spans="1:33" ht="12.7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</row>
    <row r="919" spans="1:33" ht="12.7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</row>
    <row r="920" spans="1:33" ht="12.7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</row>
    <row r="921" spans="1:33" ht="12.7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</row>
    <row r="922" spans="1:33" ht="12.7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</row>
    <row r="923" spans="1:33" ht="12.7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</row>
    <row r="924" spans="1:33" ht="12.7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</row>
    <row r="925" spans="1:33" ht="12.7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</row>
    <row r="926" spans="1:33" ht="12.7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</row>
    <row r="927" spans="1:33" ht="12.7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</row>
    <row r="928" spans="1:33" ht="12.7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</row>
    <row r="929" spans="1:33" ht="12.7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</row>
    <row r="930" spans="1:33" ht="12.7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</row>
    <row r="931" spans="1:33" ht="12.7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</row>
    <row r="932" spans="1:33" ht="12.7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</row>
    <row r="933" spans="1:33" ht="12.7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</row>
    <row r="934" spans="1:33" ht="12.7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</row>
    <row r="935" spans="1:33" ht="12.7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</row>
    <row r="936" spans="1:33" ht="12.7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</row>
    <row r="937" spans="1:33" ht="12.7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</row>
    <row r="938" spans="1:33" ht="12.7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</row>
    <row r="939" spans="1:33" ht="12.7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</row>
    <row r="940" spans="1:33" ht="12.7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</row>
    <row r="941" spans="1:33" ht="12.7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</row>
    <row r="942" spans="1:33" ht="12.7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</row>
    <row r="943" spans="1:33" ht="12.7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</row>
    <row r="944" spans="1:33" ht="12.7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</row>
  </sheetData>
  <mergeCells count="2">
    <mergeCell ref="A1:C1"/>
    <mergeCell ref="B4:B86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52</vt:i4>
      </vt:variant>
    </vt:vector>
  </HeadingPairs>
  <TitlesOfParts>
    <vt:vector size="107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'Codes activités'!Zone_d_impression</vt:lpstr>
      <vt:lpstr>'COMPTE DE RESULTAT'!Zone_d_impression</vt:lpstr>
      <vt:lpstr>'Fiche de renseignement R1'!Zone_d_impression</vt:lpstr>
      <vt:lpstr>'FLUX DE TRESORERIE'!Zone_d_impression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15A'!Zone_d_impression</vt:lpstr>
      <vt:lpstr>'Note 15B'!Zone_d_impression</vt:lpstr>
      <vt:lpstr>'Note 16A'!Zone_d_impression</vt:lpstr>
      <vt:lpstr>'Note 16B'!Zone_d_impression</vt:lpstr>
      <vt:lpstr>'Note 16B bis'!Zone_d_impression</vt:lpstr>
      <vt:lpstr>'Note 16C'!Zone_d_impression</vt:lpstr>
      <vt:lpstr>'Note 17'!Zone_d_impression</vt:lpstr>
      <vt:lpstr>'Note 18'!Zone_d_impression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27A'!Zone_d_impression</vt:lpstr>
      <vt:lpstr>'Note 27B'!Zone_d_impression</vt:lpstr>
      <vt:lpstr>'Note 28'!Zone_d_impression</vt:lpstr>
      <vt:lpstr>'Note 29'!Zone_d_impression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36'!Zone_d_impression</vt:lpstr>
      <vt:lpstr>'Note 3A'!Zone_d_impression</vt:lpstr>
      <vt:lpstr>'Note 3B'!Zone_d_impression</vt:lpstr>
      <vt:lpstr>'Note 3C'!Zone_d_impression</vt:lpstr>
      <vt:lpstr>'Note 3D'!Zone_d_impression</vt:lpstr>
      <vt:lpstr>'Note 3E'!Zone_d_impression</vt:lpstr>
      <vt:lpstr>'Note 4'!Zone_d_impression</vt:lpstr>
      <vt:lpstr>'Note 5'!Zone_d_impression</vt:lpstr>
      <vt:lpstr>'Note 6'!Zone_d_impression</vt:lpstr>
      <vt:lpstr>'Note 7'!Zone_d_impression</vt:lpstr>
      <vt:lpstr>'Note 8'!Zone_d_impression</vt:lpstr>
      <vt:lpstr>'Note 8A'!Zone_d_impression</vt:lpstr>
      <vt:lpstr>'Note 9'!Zone_d_impression</vt:lpstr>
      <vt:lpstr>'Page de garde'!Zone_d_impression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 SUD TECHNOLOGY</dc:creator>
  <cp:lastModifiedBy>Mbaye Dione</cp:lastModifiedBy>
  <cp:lastPrinted>2025-03-05T09:17:47Z</cp:lastPrinted>
  <dcterms:created xsi:type="dcterms:W3CDTF">2020-06-03T12:37:04Z</dcterms:created>
  <dcterms:modified xsi:type="dcterms:W3CDTF">2025-06-02T15:36:35Z</dcterms:modified>
</cp:coreProperties>
</file>