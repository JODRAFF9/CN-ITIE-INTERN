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eye\Desktop\ADIEYE\MMBAYE\"/>
    </mc:Choice>
  </mc:AlternateContent>
  <workbookProtection lockStructure="1"/>
  <bookViews>
    <workbookView xWindow="-105" yWindow="-105" windowWidth="19425" windowHeight="10425" tabRatio="904" firstSheet="2" activeTab="6"/>
  </bookViews>
  <sheets>
    <sheet name="Page de garde" sheetId="56" r:id="rId1"/>
    <sheet name="Fiche de renseignement R1" sheetId="62" r:id="rId2"/>
    <sheet name="Activités de l'entreprise R2" sheetId="3" r:id="rId3"/>
    <sheet name="Dirigeants R3" sheetId="4" r:id="rId4"/>
    <sheet name="Tableau des Notes R4" sheetId="5" r:id="rId5"/>
    <sheet name="BILAN PAYSAGE" sheetId="73" r:id="rId6"/>
    <sheet name="COMPTE DE RESULTAT" sheetId="60" r:id="rId7"/>
    <sheet name="FLUX DE TRESORERIE" sheetId="61" r:id="rId8"/>
    <sheet name="Note 1" sheetId="71" r:id="rId9"/>
    <sheet name="Note 2" sheetId="10" r:id="rId10"/>
    <sheet name="Note 3A" sheetId="11" r:id="rId11"/>
    <sheet name="Note 3B" sheetId="12" r:id="rId12"/>
    <sheet name="Note 3C" sheetId="13" r:id="rId13"/>
    <sheet name="Note 3D" sheetId="14" r:id="rId14"/>
    <sheet name="Note 3E" sheetId="15" r:id="rId15"/>
    <sheet name="Note 4" sheetId="16" r:id="rId16"/>
    <sheet name="Note 5" sheetId="70" r:id="rId17"/>
    <sheet name="Note 6" sheetId="18" r:id="rId18"/>
    <sheet name="Note 7" sheetId="19" r:id="rId19"/>
    <sheet name="Note 8" sheetId="63" r:id="rId20"/>
    <sheet name="Note 8A" sheetId="64" r:id="rId21"/>
    <sheet name="Note 9" sheetId="22" r:id="rId22"/>
    <sheet name="Note 10" sheetId="23" r:id="rId23"/>
    <sheet name="Note 11" sheetId="24" r:id="rId24"/>
    <sheet name="Note 12" sheetId="25" r:id="rId25"/>
    <sheet name="Note 13" sheetId="26" r:id="rId26"/>
    <sheet name="Note 14" sheetId="65" r:id="rId27"/>
    <sheet name="Note 15A" sheetId="28" r:id="rId28"/>
    <sheet name="Note 15B" sheetId="29" r:id="rId29"/>
    <sheet name="Note 16A" sheetId="66" r:id="rId30"/>
    <sheet name="Note 16B" sheetId="31" r:id="rId31"/>
    <sheet name="Note 16B bis" sheetId="32" r:id="rId32"/>
    <sheet name="Note 16C" sheetId="33" r:id="rId33"/>
    <sheet name="Note 17" sheetId="67" r:id="rId34"/>
    <sheet name="Note 18" sheetId="68" r:id="rId35"/>
    <sheet name="Note 19" sheetId="69" r:id="rId36"/>
    <sheet name="Note 20" sheetId="37" r:id="rId37"/>
    <sheet name="Note 21" sheetId="38" r:id="rId38"/>
    <sheet name="Note 22" sheetId="39" r:id="rId39"/>
    <sheet name="Note 23" sheetId="40" r:id="rId40"/>
    <sheet name="Note 24" sheetId="41" r:id="rId41"/>
    <sheet name="Note 25" sheetId="42" r:id="rId42"/>
    <sheet name="Note 26" sheetId="43" r:id="rId43"/>
    <sheet name="Note 27A" sheetId="44" r:id="rId44"/>
    <sheet name="Note 27B" sheetId="45" r:id="rId45"/>
    <sheet name="Note 28" sheetId="46" r:id="rId46"/>
    <sheet name="Note 29" sheetId="47" r:id="rId47"/>
    <sheet name="Note 30" sheetId="48" r:id="rId48"/>
    <sheet name="Note 31" sheetId="49" r:id="rId49"/>
    <sheet name="Note 32" sheetId="50" r:id="rId50"/>
    <sheet name="Note 33" sheetId="51" r:id="rId51"/>
    <sheet name="Note 34" sheetId="52" r:id="rId52"/>
    <sheet name="Note 35" sheetId="53" r:id="rId53"/>
    <sheet name="Note 36" sheetId="54" r:id="rId54"/>
    <sheet name="Codes activités" sheetId="55" r:id="rId55"/>
  </sheets>
  <definedNames>
    <definedName name="_xlnm.Print_Area" localSheetId="2">'Activités de l''entreprise R2'!$A$4:$T$64</definedName>
    <definedName name="_xlnm.Print_Area" localSheetId="54">'Codes activités'!$A$1:$C$86</definedName>
    <definedName name="_xlnm.Print_Area" localSheetId="6">'COMPTE DE RESULTAT'!$A$7:$F$49</definedName>
    <definedName name="_xlnm.Print_Area" localSheetId="1">'Fiche de renseignement R1'!$A$1:$AM$83</definedName>
    <definedName name="_xlnm.Print_Area" localSheetId="7">'FLUX DE TRESORERIE'!$A$7:$F$37</definedName>
    <definedName name="_xlnm.Print_Area" localSheetId="8">'Note 1'!$A$1:$F$47</definedName>
    <definedName name="_xlnm.Print_Area" localSheetId="22">'Note 10'!$A$1:$D$23</definedName>
    <definedName name="_xlnm.Print_Area" localSheetId="23">'Note 11'!$A$1:$D$30</definedName>
    <definedName name="_xlnm.Print_Area" localSheetId="24">'Note 12'!$A$1:$G$38</definedName>
    <definedName name="_xlnm.Print_Area" localSheetId="25">'Note 13'!$A$1:$G$25</definedName>
    <definedName name="_xlnm.Print_Area" localSheetId="26">'Note 14'!$A$1:$G$30</definedName>
    <definedName name="_xlnm.Print_Area" localSheetId="27">'Note 15A'!$A$1:$H$34</definedName>
    <definedName name="_xlnm.Print_Area" localSheetId="28">'Note 15B'!$A$1:$G$25</definedName>
    <definedName name="_xlnm.Print_Area" localSheetId="29">'Note 16A'!$A$1:$H$46</definedName>
    <definedName name="_xlnm.Print_Area" localSheetId="30">'Note 16B'!$A$1:$F$42</definedName>
    <definedName name="_xlnm.Print_Area" localSheetId="31">'Note 16B bis'!$A$1:$E$28</definedName>
    <definedName name="_xlnm.Print_Area" localSheetId="32">'Note 16C'!$A$1:$D$20</definedName>
    <definedName name="_xlnm.Print_Area" localSheetId="33">'Note 17'!$A$1:$G$21</definedName>
    <definedName name="_xlnm.Print_Area" localSheetId="34">'Note 18'!$A$1:$H$29</definedName>
    <definedName name="_xlnm.Print_Area" localSheetId="35">'Note 19'!$A$1:$H$34</definedName>
    <definedName name="_xlnm.Print_Area" localSheetId="9">'Note 2'!$A$1:$D$14</definedName>
    <definedName name="_xlnm.Print_Area" localSheetId="36">'Note 20'!$A$1:$D$26</definedName>
    <definedName name="_xlnm.Print_Area" localSheetId="37">'Note 21'!$A$1:$D$37</definedName>
    <definedName name="_xlnm.Print_Area" localSheetId="38">'Note 22'!$A$1:$D$38</definedName>
    <definedName name="_xlnm.Print_Area" localSheetId="39">'Note 23'!$A$1:$D$19</definedName>
    <definedName name="_xlnm.Print_Area" localSheetId="40">'Note 24'!$A$1:$D$29</definedName>
    <definedName name="_xlnm.Print_Area" localSheetId="41">'Note 25'!$A$1:$D$20</definedName>
    <definedName name="_xlnm.Print_Area" localSheetId="42">'Note 26'!$A$1:$D$23</definedName>
    <definedName name="_xlnm.Print_Area" localSheetId="43">'Note 27A'!$A$1:$D$21</definedName>
    <definedName name="_xlnm.Print_Area" localSheetId="44">'Note 27B'!$A$1:$P$35</definedName>
    <definedName name="_xlnm.Print_Area" localSheetId="45">'Note 28'!$A$1:$I$33</definedName>
    <definedName name="_xlnm.Print_Area" localSheetId="46">'Note 29'!$A$1:$D$37</definedName>
    <definedName name="_xlnm.Print_Area" localSheetId="47">'Note 30'!$A$1:$D$35</definedName>
    <definedName name="_xlnm.Print_Area" localSheetId="48">'Note 31'!$A$1:$F$36</definedName>
    <definedName name="_xlnm.Print_Area" localSheetId="49">'Note 32'!$A$1:$N$26</definedName>
    <definedName name="_xlnm.Print_Area" localSheetId="50">'Note 33'!$A$1:$I$28</definedName>
    <definedName name="_xlnm.Print_Area" localSheetId="51">'Note 34'!$A$1:$D$66</definedName>
    <definedName name="_xlnm.Print_Area" localSheetId="52">'Note 35'!$A$1:$D$25</definedName>
    <definedName name="_xlnm.Print_Area" localSheetId="53">'Note 36'!$A$1:$N$37</definedName>
    <definedName name="_xlnm.Print_Area" localSheetId="10">'Note 3A'!$A$1:$H$37</definedName>
    <definedName name="_xlnm.Print_Area" localSheetId="11">'Note 3B'!$A$1:$I$26</definedName>
    <definedName name="_xlnm.Print_Area" localSheetId="12">'Note 3C'!$A$1:$E$29</definedName>
    <definedName name="_xlnm.Print_Area" localSheetId="13">'Note 3D'!$A$1:$F$30</definedName>
    <definedName name="_xlnm.Print_Area" localSheetId="14">'Note 3E'!$A$1:$C$25</definedName>
    <definedName name="_xlnm.Print_Area" localSheetId="15">'Note 4'!$A$1:$G$36</definedName>
    <definedName name="_xlnm.Print_Area" localSheetId="16">'Note 5'!$A$1:$G$34</definedName>
    <definedName name="_xlnm.Print_Area" localSheetId="17">'Note 6'!$A$1:$D$28</definedName>
    <definedName name="_xlnm.Print_Area" localSheetId="18">'Note 7'!$A$1:$G$29</definedName>
    <definedName name="_xlnm.Print_Area" localSheetId="19">'Note 8'!$A$1:$G$27</definedName>
    <definedName name="_xlnm.Print_Area" localSheetId="20">'Note 8A'!$A$1:$G$22</definedName>
    <definedName name="_xlnm.Print_Area" localSheetId="21">'Note 9'!$A$1:$D$25</definedName>
    <definedName name="_xlnm.Print_Area" localSheetId="0">'Page de garde'!$A$1:$AM$75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0" l="1"/>
  <c r="E41" i="66" l="1"/>
  <c r="E33" i="66"/>
  <c r="C5" i="53" l="1"/>
  <c r="D4" i="52"/>
  <c r="H4" i="51"/>
  <c r="L4" i="50"/>
  <c r="E4" i="49"/>
  <c r="D4" i="48"/>
  <c r="D4" i="47"/>
  <c r="H4" i="46"/>
  <c r="M5" i="45"/>
  <c r="D4" i="44"/>
  <c r="D4" i="43"/>
  <c r="D4" i="42"/>
  <c r="D4" i="41"/>
  <c r="D4" i="40"/>
  <c r="D4" i="39"/>
  <c r="D4" i="38"/>
  <c r="D4" i="37"/>
  <c r="G4" i="69"/>
  <c r="G4" i="68"/>
  <c r="F4" i="67"/>
  <c r="D4" i="33"/>
  <c r="E4" i="32"/>
  <c r="E4" i="31"/>
  <c r="F4" i="66"/>
  <c r="F4" i="29"/>
  <c r="F4" i="28"/>
  <c r="F4" i="65"/>
  <c r="F4" i="26"/>
  <c r="F4" i="25"/>
  <c r="D4" i="24"/>
  <c r="D4" i="23"/>
  <c r="D4" i="22"/>
  <c r="F4" i="64"/>
  <c r="F4" i="63"/>
  <c r="F4" i="19"/>
  <c r="D4" i="18"/>
  <c r="F4" i="70"/>
  <c r="F4" i="16"/>
  <c r="D4" i="15"/>
  <c r="E4" i="14"/>
  <c r="H4" i="12"/>
  <c r="F4" i="11"/>
  <c r="D4" i="10"/>
  <c r="F43" i="71"/>
  <c r="E43" i="71"/>
  <c r="E4" i="71"/>
  <c r="E4" i="61"/>
  <c r="E4" i="60"/>
  <c r="J4" i="73"/>
  <c r="E3" i="5"/>
  <c r="F5" i="4"/>
  <c r="L59" i="3"/>
  <c r="M51" i="3" s="1"/>
  <c r="M45" i="3"/>
  <c r="N8" i="3"/>
  <c r="M6" i="3"/>
  <c r="C4" i="3"/>
  <c r="V10" i="62"/>
  <c r="E3" i="71" s="1"/>
  <c r="J10" i="62"/>
  <c r="A6" i="53" s="1"/>
  <c r="AD7" i="62"/>
  <c r="E4" i="4" s="1"/>
  <c r="J7" i="62"/>
  <c r="B4" i="4" s="1"/>
  <c r="J4" i="62"/>
  <c r="A4" i="51" s="1"/>
  <c r="M54" i="3" l="1"/>
  <c r="M33" i="3"/>
  <c r="M42" i="3"/>
  <c r="B6" i="3"/>
  <c r="M36" i="3"/>
  <c r="M48" i="3"/>
  <c r="B5" i="4"/>
  <c r="B4" i="5"/>
  <c r="A4" i="60"/>
  <c r="B5" i="71"/>
  <c r="B5" i="11"/>
  <c r="A4" i="13"/>
  <c r="B5" i="14"/>
  <c r="A4" i="16"/>
  <c r="B5" i="18"/>
  <c r="A4" i="63"/>
  <c r="B5" i="22"/>
  <c r="A4" i="24"/>
  <c r="B5" i="26"/>
  <c r="A4" i="28"/>
  <c r="B5" i="66"/>
  <c r="A4" i="32"/>
  <c r="B5" i="67"/>
  <c r="A4" i="69"/>
  <c r="B5" i="38"/>
  <c r="A4" i="40"/>
  <c r="B5" i="42"/>
  <c r="A4" i="44"/>
  <c r="C5" i="45"/>
  <c r="A4" i="46"/>
  <c r="B5" i="48"/>
  <c r="A4" i="50"/>
  <c r="B5" i="52"/>
  <c r="B8" i="3"/>
  <c r="M39" i="3"/>
  <c r="B3" i="4"/>
  <c r="A4" i="73"/>
  <c r="B5" i="61"/>
  <c r="B5" i="10"/>
  <c r="A4" i="12"/>
  <c r="B5" i="13"/>
  <c r="A4" i="15"/>
  <c r="B5" i="70"/>
  <c r="A4" i="19"/>
  <c r="B5" i="64"/>
  <c r="A4" i="23"/>
  <c r="B5" i="25"/>
  <c r="A4" i="65"/>
  <c r="B5" i="29"/>
  <c r="A4" i="31"/>
  <c r="B5" i="33"/>
  <c r="A4" i="68"/>
  <c r="B5" i="37"/>
  <c r="A4" i="39"/>
  <c r="B5" i="41"/>
  <c r="A4" i="43"/>
  <c r="B5" i="47"/>
  <c r="A4" i="49"/>
  <c r="B5" i="51"/>
  <c r="A4" i="53"/>
  <c r="A3" i="5"/>
  <c r="B5" i="60"/>
  <c r="A4" i="71"/>
  <c r="A4" i="11"/>
  <c r="A4" i="14"/>
  <c r="B5" i="16"/>
  <c r="A4" i="18"/>
  <c r="B5" i="63"/>
  <c r="A4" i="22"/>
  <c r="B5" i="24"/>
  <c r="A4" i="26"/>
  <c r="B5" i="28"/>
  <c r="A4" i="66"/>
  <c r="B5" i="32"/>
  <c r="A4" i="67"/>
  <c r="B5" i="69"/>
  <c r="A4" i="38"/>
  <c r="B5" i="40"/>
  <c r="A4" i="42"/>
  <c r="B5" i="44"/>
  <c r="B5" i="46"/>
  <c r="A4" i="48"/>
  <c r="B5" i="50"/>
  <c r="A4" i="52"/>
  <c r="D5" i="73"/>
  <c r="A4" i="61"/>
  <c r="A4" i="10"/>
  <c r="B5" i="12"/>
  <c r="B5" i="15"/>
  <c r="A4" i="70"/>
  <c r="B5" i="19"/>
  <c r="A4" i="64"/>
  <c r="B5" i="23"/>
  <c r="A4" i="25"/>
  <c r="B5" i="65"/>
  <c r="A4" i="29"/>
  <c r="B5" i="31"/>
  <c r="A4" i="33"/>
  <c r="B5" i="68"/>
  <c r="A4" i="37"/>
  <c r="B5" i="39"/>
  <c r="A4" i="41"/>
  <c r="B5" i="43"/>
  <c r="B4" i="45"/>
  <c r="A4" i="47"/>
  <c r="B5" i="49"/>
  <c r="D3" i="15"/>
  <c r="F3" i="70"/>
  <c r="F3" i="64"/>
  <c r="F3" i="25"/>
  <c r="F3" i="65"/>
  <c r="E3" i="31"/>
  <c r="G3" i="68"/>
  <c r="D3" i="37"/>
  <c r="D3" i="41"/>
  <c r="N3" i="45"/>
  <c r="E3" i="13"/>
  <c r="E3" i="49"/>
  <c r="C3" i="53"/>
  <c r="E3" i="73"/>
  <c r="F3" i="67"/>
  <c r="F3" i="19"/>
  <c r="D3" i="23"/>
  <c r="F3" i="29"/>
  <c r="D3" i="33"/>
  <c r="D3" i="39"/>
  <c r="D3" i="43"/>
  <c r="F3" i="11"/>
  <c r="D3" i="47"/>
  <c r="H3" i="51"/>
  <c r="E3" i="61"/>
  <c r="E3" i="14"/>
  <c r="F3" i="16"/>
  <c r="D3" i="18"/>
  <c r="F3" i="63"/>
  <c r="D3" i="22"/>
  <c r="D3" i="24"/>
  <c r="F3" i="26"/>
  <c r="F3" i="28"/>
  <c r="F3" i="66"/>
  <c r="E3" i="32"/>
  <c r="G3" i="69"/>
  <c r="D3" i="38"/>
  <c r="D3" i="40"/>
  <c r="D3" i="42"/>
  <c r="D3" i="44"/>
  <c r="L8" i="3"/>
  <c r="D5" i="4"/>
  <c r="D3" i="10"/>
  <c r="H3" i="12"/>
  <c r="H3" i="46"/>
  <c r="D3" i="48"/>
  <c r="L3" i="50"/>
  <c r="C3" i="52"/>
  <c r="E2" i="5"/>
  <c r="E3" i="60"/>
  <c r="M59" i="3" l="1"/>
</calcChain>
</file>

<file path=xl/sharedStrings.xml><?xml version="1.0" encoding="utf-8"?>
<sst xmlns="http://schemas.openxmlformats.org/spreadsheetml/2006/main" count="2283" uniqueCount="1521">
  <si>
    <t xml:space="preserve">REPUBLIQUE </t>
  </si>
  <si>
    <t>MINISTERE</t>
  </si>
  <si>
    <t>DIRECTION</t>
  </si>
  <si>
    <t>ETATS FINANCIERS NORMALISES DU SYSTEME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</si>
  <si>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</si>
  <si>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</si>
  <si>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</si>
  <si>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</si>
  <si>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</si>
  <si>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</si>
  <si>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</si>
  <si>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</si>
  <si>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</si>
  <si>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</si>
  <si>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</si>
  <si>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</si>
  <si>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</si>
  <si>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</si>
  <si>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</si>
  <si>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</si>
  <si>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financier des ressources et emplois</t>
  </si>
  <si>
    <t>Etat supplémentaire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</si>
  <si>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</si>
  <si>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</si>
  <si>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</si>
  <si>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</si>
  <si>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</si>
  <si>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</si>
  <si>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N° d'identification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</si>
  <si>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</si>
  <si>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</si>
  <si>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</si>
  <si>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</si>
  <si>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</si>
  <si>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</si>
  <si>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</si>
  <si>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</si>
  <si>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</si>
  <si>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</si>
  <si>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</si>
  <si>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</si>
  <si>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</si>
  <si>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</si>
  <si>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</si>
  <si>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</si>
  <si>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N° de sécurité sociale</t>
  </si>
  <si>
    <t>N° Code employeur</t>
  </si>
  <si>
    <t>Code activité principale</t>
  </si>
  <si>
    <t>ZF</t>
  </si>
  <si>
    <t>Sigle</t>
  </si>
  <si>
    <t>ZG</t>
  </si>
  <si>
    <t>N° de téléphone</t>
  </si>
  <si>
    <t>Télécopie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</si>
  <si>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</si>
  <si>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</si>
  <si>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</si>
  <si>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</si>
  <si>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</si>
  <si>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</si>
  <si>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</si>
  <si>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% capacité production utilisée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</si>
  <si>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</si>
  <si>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</si>
  <si>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</si>
  <si>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</si>
  <si>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</si>
  <si>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</si>
  <si>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</si>
  <si>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</si>
  <si>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</si>
  <si>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</si>
  <si>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</si>
  <si>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</si>
  <si>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</si>
  <si>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</si>
  <si>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</si>
  <si>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</si>
  <si>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</si>
  <si>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</si>
  <si>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</si>
  <si>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</si>
  <si>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</si>
  <si>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</si>
  <si>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</si>
  <si>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</si>
  <si>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</si>
  <si>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</si>
  <si>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</si>
  <si>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</si>
  <si>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</si>
  <si>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</si>
  <si>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</si>
  <si>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</si>
  <si>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</si>
  <si>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</si>
  <si>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</si>
  <si>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</si>
  <si>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</si>
  <si>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</si>
  <si>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</si>
  <si>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</si>
  <si>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</si>
  <si>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</si>
  <si>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</si>
  <si>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</si>
  <si>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</si>
  <si>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</si>
  <si>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</si>
  <si>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</si>
  <si>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</si>
  <si>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</si>
  <si>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</si>
  <si>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</si>
  <si>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</si>
  <si>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</si>
  <si>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</si>
  <si>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</si>
  <si>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</si>
  <si>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</si>
  <si>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</si>
  <si>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IMMOBILISATIONS FINANCIERES</t>
  </si>
  <si>
    <t>STOCKS ET ENCOURS</t>
  </si>
  <si>
    <t>REF</t>
  </si>
  <si>
    <t>Note</t>
  </si>
  <si>
    <t>IMMOBILISATIONS INCORPORELLES</t>
  </si>
  <si>
    <t>Frais de développement et de prospection</t>
  </si>
  <si>
    <t>Brevets, licences, logiciels et droits similaires</t>
  </si>
  <si>
    <t>Fonds commercial et droit au bail</t>
  </si>
  <si>
    <t>Autres immobilisations incorporelles</t>
  </si>
  <si>
    <t>IMMOBILISATIONS CORPORELLES</t>
  </si>
  <si>
    <t>Réserves libres</t>
  </si>
  <si>
    <t>Report à nouveau</t>
  </si>
  <si>
    <t>Aménagements, agencements et installations</t>
  </si>
  <si>
    <t>Matériel, mobilier et actifs biologiques</t>
  </si>
  <si>
    <t>Matériel de transport</t>
  </si>
  <si>
    <t>Titres de participation</t>
  </si>
  <si>
    <t>Autres immobilisations financières</t>
  </si>
  <si>
    <t>Clients</t>
  </si>
  <si>
    <t>TOTAL GENERAL</t>
  </si>
  <si>
    <t>LIBELLES</t>
  </si>
  <si>
    <t>NOTE</t>
  </si>
  <si>
    <t>31/12/N</t>
  </si>
  <si>
    <t>31/12/N-1</t>
  </si>
  <si>
    <t>TA</t>
  </si>
  <si>
    <t>+</t>
  </si>
  <si>
    <t>RA</t>
  </si>
  <si>
    <t>Achats de marchandises</t>
  </si>
  <si>
    <t>-</t>
  </si>
  <si>
    <t>RB</t>
  </si>
  <si>
    <t>Variation de stocks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</si>
  <si>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</si>
  <si>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</si>
  <si>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</si>
  <si>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</si>
  <si>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</si>
  <si>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</si>
  <si>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</si>
  <si>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</si>
  <si>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</si>
  <si>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</si>
  <si>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</si>
  <si>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</si>
  <si>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</si>
  <si>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</si>
  <si>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</si>
  <si>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</si>
  <si>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</si>
  <si>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</si>
  <si>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</si>
  <si>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</si>
  <si>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</si>
  <si>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</si>
  <si>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</si>
  <si>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</si>
  <si>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</si>
  <si>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</si>
  <si>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</si>
  <si>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</si>
  <si>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</si>
  <si>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</si>
  <si>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</si>
  <si>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</si>
  <si>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</si>
  <si>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</si>
  <si>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</si>
  <si>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</si>
  <si>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</si>
  <si>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</si>
  <si>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</si>
  <si>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</si>
  <si>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</si>
  <si>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</si>
  <si>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</si>
  <si>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</si>
  <si>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</si>
  <si>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</si>
  <si>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</si>
  <si>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</si>
  <si>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</si>
  <si>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</si>
  <si>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</si>
  <si>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</si>
  <si>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</si>
  <si>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</si>
  <si>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</si>
  <si>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</si>
  <si>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</si>
  <si>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</si>
  <si>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</si>
  <si>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</si>
  <si>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</si>
  <si>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</si>
  <si>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</si>
  <si>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</si>
  <si>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</si>
  <si>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</si>
  <si>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</si>
  <si>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</si>
  <si>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</si>
  <si>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Charges H.A.O.</t>
  </si>
  <si>
    <t>XH</t>
  </si>
  <si>
    <t>RESULTAT HORS ACTIVITES ORDINAIRES (somme TN à RP)</t>
  </si>
  <si>
    <t>RQ</t>
  </si>
  <si>
    <t>Participations des travailleurs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</si>
  <si>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</si>
  <si>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</si>
  <si>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</si>
  <si>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</si>
  <si>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</si>
  <si>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</si>
  <si>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</si>
  <si>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</si>
  <si>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</si>
  <si>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</si>
  <si>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</si>
  <si>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</si>
  <si>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</si>
  <si>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</si>
  <si>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</si>
  <si>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</si>
  <si>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</si>
  <si>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</si>
  <si>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</si>
  <si>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</si>
  <si>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</si>
  <si>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</si>
  <si>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</si>
  <si>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</si>
  <si>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</si>
  <si>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</si>
  <si>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</si>
  <si>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</si>
  <si>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</si>
  <si>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</si>
  <si>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</si>
  <si>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</si>
  <si>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</si>
  <si>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</si>
  <si>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</si>
  <si>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</si>
  <si>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</si>
  <si>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</si>
  <si>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</si>
  <si>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du financement par les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</si>
  <si>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</si>
  <si>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</si>
  <si>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</si>
  <si>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</si>
  <si>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</si>
  <si>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</si>
  <si>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</si>
  <si>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</si>
  <si>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du financement par les capitaux étrangers (somme FO à FQ)</t>
  </si>
  <si>
    <t>Flux  de trésorerie provenant des capitaux étrangers (D + E)</t>
  </si>
  <si>
    <t>F</t>
  </si>
  <si>
    <t>VARIATION DE LA TRESORERIE NETTE DE LA PERIODE (B + C + F)</t>
  </si>
  <si>
    <t>Trésorerie nette au 31 décembre (G + A)
Contrôle : Trésorerie actif N - Trésorerie passif N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</si>
  <si>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</si>
  <si>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</si>
  <si>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</si>
  <si>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</si>
  <si>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</si>
  <si>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</si>
  <si>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</si>
  <si>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</si>
  <si>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</si>
  <si>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</si>
  <si>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Autres</t>
  </si>
  <si>
    <t>Dettes financières et ressources assimilées :</t>
  </si>
  <si>
    <t>Emprunts obligataires convertibles</t>
  </si>
  <si>
    <t>Autres emprunts obligataires</t>
  </si>
  <si>
    <t>Emprunts et dette des établissements de crédit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</si>
  <si>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</si>
  <si>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</si>
  <si>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</si>
  <si>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</si>
  <si>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</si>
  <si>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</si>
  <si>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</si>
  <si>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</si>
  <si>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</si>
  <si>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</si>
  <si>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</si>
  <si>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</si>
  <si>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</si>
  <si>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</si>
  <si>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</si>
  <si>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</si>
  <si>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</si>
  <si>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</si>
  <si>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</si>
  <si>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</si>
  <si>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</si>
  <si>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</si>
  <si>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</si>
  <si>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</si>
  <si>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</si>
  <si>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</si>
  <si>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</si>
  <si>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</si>
  <si>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</si>
  <si>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</si>
  <si>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</si>
  <si>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</si>
  <si>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</si>
  <si>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</si>
  <si>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</si>
  <si>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</si>
  <si>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</si>
  <si>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</si>
  <si>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</si>
  <si>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</si>
  <si>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</si>
  <si>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</si>
  <si>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</si>
  <si>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</si>
  <si>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</si>
  <si>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</si>
  <si>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</si>
  <si>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</si>
  <si>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</si>
  <si>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</si>
  <si>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</si>
  <si>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</si>
  <si>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</si>
  <si>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</si>
  <si>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</si>
  <si>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</si>
  <si>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</si>
  <si>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</si>
  <si>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</si>
  <si>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</si>
  <si>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</si>
  <si>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</si>
  <si>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</si>
  <si>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</si>
  <si>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</si>
  <si>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</si>
  <si>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</si>
  <si>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</si>
  <si>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</si>
  <si>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</si>
  <si>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</si>
  <si>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</si>
  <si>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</si>
  <si>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</si>
  <si>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</si>
  <si>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</si>
  <si>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</si>
  <si>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</si>
  <si>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</si>
  <si>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</si>
  <si>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</si>
  <si>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</si>
  <si>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</si>
  <si>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</si>
  <si>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</si>
  <si>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</si>
  <si>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</si>
  <si>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</si>
  <si>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</si>
  <si>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</si>
  <si>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</si>
  <si>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</si>
  <si>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</si>
  <si>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</si>
  <si>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</si>
  <si>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</si>
  <si>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</si>
  <si>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</si>
  <si>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</si>
  <si>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</si>
  <si>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</si>
  <si>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</si>
  <si>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</si>
  <si>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</si>
  <si>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</si>
  <si>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</si>
  <si>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</si>
  <si>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</si>
  <si>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</si>
  <si>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</si>
  <si>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</si>
  <si>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</si>
  <si>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</si>
  <si>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</si>
  <si>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</si>
  <si>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</si>
  <si>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</si>
  <si>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</si>
  <si>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</si>
  <si>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</si>
  <si>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</si>
  <si>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</si>
  <si>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</si>
  <si>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</si>
  <si>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</si>
  <si>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</si>
  <si>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Clients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</si>
  <si>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</si>
  <si>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</si>
  <si>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</si>
  <si>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</si>
  <si>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</si>
  <si>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</si>
  <si>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</si>
  <si>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</si>
  <si>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</si>
  <si>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</si>
  <si>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</si>
  <si>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Compte transitoire ajustement spécial lié à la révision du SYSCOHADA</t>
  </si>
  <si>
    <t>Comptes permanents non bloqués des établissements et des succursales</t>
  </si>
  <si>
    <t>Comptes de liaison charges et produits</t>
  </si>
  <si>
    <t>Comptes de liaison des sociétés en participation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</si>
  <si>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</si>
  <si>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</si>
  <si>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</si>
  <si>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</si>
  <si>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</si>
  <si>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</si>
  <si>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</si>
  <si>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</si>
  <si>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</si>
  <si>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</si>
  <si>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</si>
  <si>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</si>
  <si>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</si>
  <si>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</si>
  <si>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</si>
  <si>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</si>
  <si>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</si>
  <si>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</si>
  <si>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</si>
  <si>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</si>
  <si>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</si>
  <si>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</si>
  <si>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</si>
  <si>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</si>
  <si>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</si>
  <si>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</si>
  <si>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Intruments de trésorerie</t>
  </si>
  <si>
    <t>Caisse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</si>
  <si>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</si>
  <si>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</si>
  <si>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</si>
  <si>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</si>
  <si>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</si>
  <si>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</si>
  <si>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</si>
  <si>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</si>
  <si>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</si>
  <si>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</si>
  <si>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</si>
  <si>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</si>
  <si>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</si>
  <si>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</si>
  <si>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</si>
  <si>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</si>
  <si>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</si>
  <si>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</si>
  <si>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</si>
  <si>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NOTE 14 : PRIMES ET RESERVES</t>
  </si>
  <si>
    <t>VARIATION EN VALEUR ABSOLUE</t>
  </si>
  <si>
    <t>NOTE 15A : SUBVENTIONS ET PROVISIONS REGLEMENTEES</t>
  </si>
  <si>
    <t>Année N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</si>
  <si>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</si>
  <si>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</si>
  <si>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</si>
  <si>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</si>
  <si>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</si>
  <si>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</si>
  <si>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</si>
  <si>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</si>
  <si>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</si>
  <si>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</si>
  <si>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</si>
  <si>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</si>
  <si>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</si>
  <si>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</si>
  <si>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</si>
  <si>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</si>
  <si>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</si>
  <si>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Avances conditionnées</t>
  </si>
  <si>
    <t>Titres subordonnés à durée indéterminée (TSDI)</t>
  </si>
  <si>
    <t>Obligations remboursables en actions (ORA)</t>
  </si>
  <si>
    <t>(1) : Le cas échéant, une rubrique "Autres fonds propre" (montant des émissions de titres participatifs,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</si>
  <si>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</si>
  <si>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</si>
  <si>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</si>
  <si>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</si>
  <si>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</si>
  <si>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</si>
  <si>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</si>
  <si>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</si>
  <si>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</si>
  <si>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</si>
  <si>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</si>
  <si>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</si>
  <si>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</si>
  <si>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</si>
  <si>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</si>
  <si>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VARIATION DE LA VALEUR DE L'ENGAGEMENT DE RETRAITE AU COURS DE L'EXERCICE</t>
  </si>
  <si>
    <t>OBLIGATION AU TITRE DES ENGAGEMENTS DE RETRAITE A L'OUVERTURE</t>
  </si>
  <si>
    <t>Coût des services rendus aucours de l'exercice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</si>
  <si>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</si>
  <si>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</si>
  <si>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</si>
  <si>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</si>
  <si>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</si>
  <si>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</si>
  <si>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</si>
  <si>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</si>
  <si>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</si>
  <si>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</si>
  <si>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 (METHODE ACTURIELLE)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</si>
  <si>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</si>
  <si>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</si>
  <si>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</si>
  <si>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</si>
  <si>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</si>
  <si>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</si>
  <si>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</si>
  <si>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ACTIF EVENTUEL</t>
  </si>
  <si>
    <t>Litiges</t>
  </si>
  <si>
    <t>…………………………..</t>
  </si>
  <si>
    <t>PASSIF EVENTUEL</t>
  </si>
  <si>
    <t>NOTE 16C : ACTIFS ET PASSIFS EVENTUELS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</si>
  <si>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</si>
  <si>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</si>
  <si>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</si>
  <si>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</si>
  <si>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</si>
  <si>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</si>
  <si>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</si>
  <si>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</si>
  <si>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</si>
  <si>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</si>
  <si>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</si>
  <si>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</si>
  <si>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</si>
  <si>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</si>
  <si>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</si>
  <si>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</si>
  <si>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</si>
  <si>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</si>
  <si>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</si>
  <si>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</si>
  <si>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</si>
  <si>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</si>
  <si>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</si>
  <si>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</si>
  <si>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</si>
  <si>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</si>
  <si>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</si>
  <si>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</si>
  <si>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</si>
  <si>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</si>
  <si>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</si>
  <si>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 divers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</si>
  <si>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</si>
  <si>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</si>
  <si>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</si>
  <si>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</si>
  <si>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</si>
  <si>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</si>
  <si>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</si>
  <si>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</si>
  <si>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</si>
  <si>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</si>
  <si>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</si>
  <si>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PRODUITS FABRIQUES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</si>
  <si>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</si>
  <si>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</si>
  <si>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</si>
  <si>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</si>
  <si>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</si>
  <si>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</si>
  <si>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</si>
  <si>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</si>
  <si>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</si>
  <si>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</si>
  <si>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</si>
  <si>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</si>
  <si>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</si>
  <si>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</si>
  <si>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</si>
  <si>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</si>
  <si>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</si>
  <si>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d'études, prestations de services, de travaux matériel et équipements</t>
  </si>
  <si>
    <t>Achats d'emballages</t>
  </si>
  <si>
    <t>Frais sur achats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</si>
  <si>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</si>
  <si>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</si>
  <si>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</si>
  <si>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</si>
  <si>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</si>
  <si>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Transport du personnel</t>
  </si>
  <si>
    <t>Transport  de plis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</si>
  <si>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</si>
  <si>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</si>
  <si>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</si>
  <si>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</si>
  <si>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</si>
  <si>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</si>
  <si>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</si>
  <si>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</si>
  <si>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</si>
  <si>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</si>
  <si>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</si>
  <si>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</si>
  <si>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</si>
  <si>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</si>
  <si>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</si>
  <si>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</si>
  <si>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TOTAL SERVICES EXTERIEURS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</si>
  <si>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</si>
  <si>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</si>
  <si>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</si>
  <si>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</si>
  <si>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</si>
  <si>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</si>
  <si>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TOTAL IMPOTS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</si>
  <si>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</si>
  <si>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</si>
  <si>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</si>
  <si>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</si>
  <si>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</si>
  <si>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</si>
  <si>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</si>
  <si>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</si>
  <si>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</si>
  <si>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TOTAL AUTRES CHARGES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</si>
  <si>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</si>
  <si>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</si>
  <si>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</si>
  <si>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</si>
  <si>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</si>
  <si>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</si>
  <si>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</si>
  <si>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TOTAL CHARGES DE PERSONNEL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</si>
  <si>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</si>
  <si>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</si>
  <si>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</si>
  <si>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</si>
  <si>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</si>
  <si>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</si>
  <si>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</si>
  <si>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</si>
  <si>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</si>
  <si>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</si>
  <si>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</si>
  <si>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</si>
  <si>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</si>
  <si>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</si>
  <si>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</si>
  <si>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</si>
  <si>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</si>
  <si>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</si>
  <si>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</si>
  <si>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</si>
  <si>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</si>
  <si>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</si>
  <si>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</si>
  <si>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</si>
  <si>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</si>
  <si>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</si>
  <si>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</si>
  <si>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</si>
  <si>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</si>
  <si>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</si>
  <si>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</si>
  <si>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</si>
  <si>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</si>
  <si>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</si>
  <si>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</si>
  <si>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</si>
  <si>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</si>
  <si>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</si>
  <si>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</si>
  <si>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</si>
  <si>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</si>
  <si>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</si>
  <si>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</si>
  <si>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</si>
  <si>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</si>
  <si>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</si>
  <si>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</si>
  <si>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</si>
  <si>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</si>
  <si>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</si>
  <si>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</si>
  <si>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</si>
  <si>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</si>
  <si>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</si>
  <si>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</si>
  <si>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</si>
  <si>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</si>
  <si>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</si>
  <si>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</si>
  <si>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</si>
  <si>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</si>
  <si>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</si>
  <si>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</si>
  <si>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</si>
  <si>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NOTE 31 : REPARTITION DU RESULTAT ET AUTRES ELEMENTS CARACTERISTIQUES DES CINQ DERNIERS EXERCICES</t>
  </si>
  <si>
    <t>N</t>
  </si>
  <si>
    <t>N - 1</t>
  </si>
  <si>
    <t>N - 2</t>
  </si>
  <si>
    <t>N - 3</t>
  </si>
  <si>
    <t>N - 4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</si>
  <si>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</si>
  <si>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</si>
  <si>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</si>
  <si>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</si>
  <si>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</si>
  <si>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</si>
  <si>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</si>
  <si>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</si>
  <si>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</si>
  <si>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</si>
  <si>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</si>
  <si>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</si>
  <si>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PERSONNEL ET POLITIQUES SALARIALE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</si>
  <si>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</si>
  <si>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</si>
  <si>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</si>
  <si>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</si>
  <si>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</si>
  <si>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</si>
  <si>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</si>
  <si>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</si>
  <si>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</si>
  <si>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</si>
  <si>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</si>
  <si>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</si>
  <si>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</si>
  <si>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</si>
  <si>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</si>
  <si>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</si>
  <si>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</si>
  <si>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</si>
  <si>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</si>
  <si>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</si>
  <si>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</si>
  <si>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</si>
  <si>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</si>
  <si>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</si>
  <si>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</si>
  <si>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</si>
  <si>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</si>
  <si>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</si>
  <si>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</si>
  <si>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</si>
  <si>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</si>
  <si>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(EN MILIERS DE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</si>
  <si>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</si>
  <si>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</si>
  <si>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</si>
  <si>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</si>
  <si>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</si>
  <si>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</si>
  <si>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</si>
  <si>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</si>
  <si>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</si>
  <si>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</si>
  <si>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</si>
  <si>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</si>
  <si>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</si>
  <si>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</si>
  <si>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</si>
  <si>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</si>
  <si>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</si>
  <si>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</si>
  <si>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</si>
  <si>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</si>
  <si>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</si>
  <si>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</si>
  <si>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</si>
  <si>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</si>
  <si>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</si>
  <si>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</si>
  <si>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</si>
  <si>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NOTE 34 : FICHE DE SYNTHESE DES PRINCIPAUX INDICATEURS FINANCIERS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</si>
  <si>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</si>
  <si>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</si>
  <si>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</si>
  <si>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</si>
  <si>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</si>
  <si>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</si>
  <si>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</si>
  <si>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</si>
  <si>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</si>
  <si>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</si>
  <si>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</si>
  <si>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</si>
  <si>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</si>
  <si>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</si>
  <si>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</si>
  <si>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</si>
  <si>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</si>
  <si>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</si>
  <si>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</si>
  <si>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</si>
  <si>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</si>
  <si>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</si>
  <si>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</si>
  <si>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</si>
  <si>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</si>
  <si>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</si>
  <si>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0</t>
  </si>
  <si>
    <r>
      <t xml:space="preserve">Forme juridique </t>
    </r>
    <r>
      <rPr>
        <sz val="10"/>
        <color rgb="FF548235"/>
        <rFont val="Cambria"/>
        <family val="1"/>
      </rPr>
      <t>(1)</t>
    </r>
  </si>
  <si>
    <r>
      <t>Régime fiscal</t>
    </r>
    <r>
      <rPr>
        <sz val="10"/>
        <color rgb="FF548235"/>
        <rFont val="Cambria"/>
        <family val="1"/>
      </rPr>
      <t xml:space="preserve">  (1)</t>
    </r>
  </si>
  <si>
    <r>
      <t xml:space="preserve">Pays du siège social </t>
    </r>
    <r>
      <rPr>
        <sz val="10"/>
        <color rgb="FF548235"/>
        <rFont val="Cambria"/>
        <family val="1"/>
      </rPr>
      <t>(1)</t>
    </r>
  </si>
  <si>
    <r>
      <t xml:space="preserve">DESIGNATION DE L'ACTIVITE </t>
    </r>
    <r>
      <rPr>
        <b/>
        <sz val="10"/>
        <color rgb="FF548235"/>
        <rFont val="Cambria"/>
        <family val="1"/>
      </rPr>
      <t>(2)</t>
    </r>
  </si>
  <si>
    <r>
      <t xml:space="preserve">Code nomenclature d'activité </t>
    </r>
    <r>
      <rPr>
        <b/>
        <sz val="10"/>
        <color rgb="FF548235"/>
        <rFont val="Cambria"/>
        <family val="1"/>
      </rPr>
      <t>(1)</t>
    </r>
  </si>
  <si>
    <t>DIRIGEANTS (1)</t>
  </si>
  <si>
    <t>Gages/Autres</t>
  </si>
  <si>
    <r>
      <t>NOTE 6 : STOCKS ET ENCOURS</t>
    </r>
    <r>
      <rPr>
        <b/>
        <sz val="14"/>
        <color theme="0"/>
        <rFont val="Calibri"/>
        <family val="2"/>
      </rPr>
      <t>(1)</t>
    </r>
  </si>
  <si>
    <t>- Variation de l'actif circulant HAO (1)</t>
  </si>
  <si>
    <t>+ Variation du passif circulant (1)</t>
  </si>
  <si>
    <t xml:space="preserve">Ventes de marchandises               </t>
  </si>
  <si>
    <t xml:space="preserve">Ventes de produits fabriqués       </t>
  </si>
  <si>
    <t xml:space="preserve">Travaux, services vendus                           </t>
  </si>
  <si>
    <t xml:space="preserve">Produits accessoires     </t>
  </si>
  <si>
    <r>
      <t xml:space="preserve">EXERCICES CONCERNES </t>
    </r>
    <r>
      <rPr>
        <b/>
        <sz val="10"/>
        <color theme="0"/>
        <rFont val="Calibri"/>
        <family val="2"/>
      </rPr>
      <t>(1)</t>
    </r>
  </si>
  <si>
    <r>
      <t xml:space="preserve">STRUCTURE DU CAPITAL A LA CLOTURE DE L'EXERCICE </t>
    </r>
    <r>
      <rPr>
        <b/>
        <sz val="10"/>
        <rFont val="Calibri"/>
        <family val="2"/>
      </rPr>
      <t>(2)</t>
    </r>
  </si>
  <si>
    <r>
      <t xml:space="preserve">OPERATIONS ET RESULTATS DE L'EXERCICE </t>
    </r>
    <r>
      <rPr>
        <b/>
        <sz val="10"/>
        <rFont val="Calibri"/>
        <family val="2"/>
      </rPr>
      <t>(3)</t>
    </r>
  </si>
  <si>
    <r>
      <t xml:space="preserve">Résultat net </t>
    </r>
    <r>
      <rPr>
        <sz val="9"/>
        <rFont val="Calibri"/>
        <family val="2"/>
      </rPr>
      <t>(4)</t>
    </r>
  </si>
  <si>
    <r>
      <t>Résultat distribué</t>
    </r>
    <r>
      <rPr>
        <sz val="10"/>
        <rFont val="Calibri"/>
        <family val="2"/>
      </rPr>
      <t xml:space="preserve"> (5)</t>
    </r>
  </si>
  <si>
    <r>
      <t xml:space="preserve">Effectif moyen des travailleurs au cours de l'exercice </t>
    </r>
    <r>
      <rPr>
        <sz val="10"/>
        <rFont val="Calibri"/>
        <family val="2"/>
      </rPr>
      <t>(6)</t>
    </r>
  </si>
  <si>
    <r>
      <t xml:space="preserve">Masse salariale distribuée au cours de l'exercice </t>
    </r>
    <r>
      <rPr>
        <sz val="10"/>
        <rFont val="Calibri"/>
        <family val="2"/>
      </rPr>
      <t>(7)</t>
    </r>
  </si>
  <si>
    <r>
      <t xml:space="preserve">Avantages sociaux versés au cours de l'exercice </t>
    </r>
    <r>
      <rPr>
        <sz val="10"/>
        <rFont val="Calibri"/>
        <family val="2"/>
      </rPr>
      <t>(8)</t>
    </r>
    <r>
      <rPr>
        <sz val="10"/>
        <rFont val="Calibri"/>
        <family val="2"/>
      </rPr>
      <t xml:space="preserve"> {Sécurité sociale, œuvres sociales}</t>
    </r>
  </si>
  <si>
    <r>
      <t xml:space="preserve">Personnel extérieur facturé à l'entreprise </t>
    </r>
    <r>
      <rPr>
        <sz val="10"/>
        <rFont val="Calibri"/>
        <family val="2"/>
      </rPr>
      <t>(9)</t>
    </r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</si>
  <si>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</si>
  <si>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</si>
  <si>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</si>
  <si>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</si>
  <si>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</si>
  <si>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</si>
  <si>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</si>
  <si>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</si>
  <si>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</si>
  <si>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</si>
  <si>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</si>
  <si>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</si>
  <si>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</si>
  <si>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</si>
  <si>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</si>
  <si>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</si>
  <si>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</si>
  <si>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</si>
  <si>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</si>
  <si>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</si>
  <si>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sz val="10"/>
        <rFont val="Calibri"/>
        <family val="2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</si>
  <si>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</si>
  <si>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</si>
  <si>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sz val="8"/>
        <rFont val="Calibri"/>
        <family val="2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</si>
  <si>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</si>
  <si>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</si>
  <si>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</si>
  <si>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</si>
  <si>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</si>
  <si>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</si>
  <si>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</si>
  <si>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</si>
  <si>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</si>
  <si>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</si>
  <si>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</si>
  <si>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</si>
  <si>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</si>
  <si>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</si>
  <si>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</si>
  <si>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</si>
  <si>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</si>
  <si>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</si>
  <si>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</si>
  <si>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</si>
  <si>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</si>
  <si>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</si>
  <si>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</si>
  <si>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</si>
  <si>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r>
      <t xml:space="preserve">Ecarts de conversion actif :
</t>
    </r>
    <r>
      <rPr>
        <i/>
        <sz val="10"/>
        <color theme="1"/>
        <rFont val="Calibri"/>
        <family val="2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</si>
  <si>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</rPr>
      <t>Détailler les créances et dettes concernées</t>
    </r>
  </si>
  <si>
    <r>
      <t xml:space="preserve">Transferts de charges d'exploitation :
</t>
    </r>
    <r>
      <rPr>
        <i/>
        <sz val="10"/>
        <color theme="1"/>
        <rFont val="Calibri"/>
        <family val="2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</si>
  <si>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</rPr>
      <t>Détailler la nature des charges transférées</t>
    </r>
  </si>
  <si>
    <r>
      <t>NOTE 15B : AUTRES FONDS PROPRES</t>
    </r>
    <r>
      <rPr>
        <b/>
        <sz val="14"/>
        <color theme="0"/>
        <rFont val="Calibri"/>
        <family val="2"/>
      </rPr>
      <t>(1)</t>
    </r>
  </si>
  <si>
    <t>NOTE 3A : IMMOBILISATION BRUTE</t>
  </si>
  <si>
    <t>Fournisseurs et comptes rattachés</t>
  </si>
  <si>
    <t>Associés et groupe</t>
  </si>
  <si>
    <t xml:space="preserve">Excercice clos le :  </t>
  </si>
  <si>
    <t xml:space="preserve">Durée en mois : </t>
  </si>
  <si>
    <t>E</t>
  </si>
  <si>
    <t>G</t>
  </si>
  <si>
    <t>H</t>
  </si>
  <si>
    <t>Dons et libéralités accordés</t>
  </si>
  <si>
    <t>NOTE 8A 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</si>
  <si>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</si>
  <si>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</si>
  <si>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</si>
  <si>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</si>
  <si>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Durée d'étalement</t>
  </si>
  <si>
    <t>Exercice 2018</t>
  </si>
  <si>
    <t>Total exercice 2018</t>
  </si>
  <si>
    <t>Total exercice 2019</t>
  </si>
  <si>
    <t>Total exercice 2020</t>
  </si>
  <si>
    <t>Total exercice 2021</t>
  </si>
  <si>
    <t>Total exercice 2022</t>
  </si>
  <si>
    <t>Variations en valeurs absolues</t>
  </si>
  <si>
    <t>+Transferts de charges HAO</t>
  </si>
  <si>
    <t>Personnel congés à payer</t>
  </si>
  <si>
    <t>Intérêts dans loyers de location-financement</t>
  </si>
  <si>
    <t xml:space="preserve"> </t>
  </si>
  <si>
    <t>Caisse électronique mobile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</si>
  <si>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</si>
  <si>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</si>
  <si>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</si>
  <si>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</si>
  <si>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</si>
  <si>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</si>
  <si>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</si>
  <si>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</si>
  <si>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</si>
  <si>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</si>
  <si>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</si>
  <si>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</si>
  <si>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</si>
  <si>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</si>
  <si>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</si>
  <si>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</si>
  <si>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</si>
  <si>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</si>
  <si>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</si>
  <si>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</si>
  <si>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</si>
  <si>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</si>
  <si>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</si>
  <si>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</si>
  <si>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</si>
  <si>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</si>
  <si>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</si>
  <si>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</si>
  <si>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</si>
  <si>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</si>
  <si>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</si>
  <si>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</si>
  <si>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</si>
  <si>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</si>
  <si>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</si>
  <si>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</si>
  <si>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</si>
  <si>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</si>
  <si>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</si>
  <si>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</si>
  <si>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</si>
  <si>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</si>
  <si>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</si>
  <si>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</si>
  <si>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</si>
  <si>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</si>
  <si>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</si>
  <si>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</si>
  <si>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</si>
  <si>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</si>
  <si>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</si>
  <si>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</si>
  <si>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</si>
  <si>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</si>
  <si>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</si>
  <si>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</si>
  <si>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</si>
  <si>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</si>
  <si>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</si>
  <si>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</si>
  <si>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</si>
  <si>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</si>
  <si>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</si>
  <si>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</si>
  <si>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</si>
  <si>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</si>
  <si>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</si>
  <si>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</si>
  <si>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</si>
  <si>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</si>
  <si>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</si>
  <si>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</si>
  <si>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</si>
  <si>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</si>
  <si>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</si>
  <si>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</si>
  <si>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</si>
  <si>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</si>
  <si>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</si>
  <si>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</si>
  <si>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</si>
  <si>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</si>
  <si>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</si>
  <si>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</si>
  <si>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</si>
  <si>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</si>
  <si>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</si>
  <si>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</si>
  <si>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</si>
  <si>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</si>
  <si>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</si>
  <si>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</si>
  <si>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</si>
  <si>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</si>
  <si>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</si>
  <si>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</si>
  <si>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</si>
  <si>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</si>
  <si>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</si>
  <si>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</si>
  <si>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</si>
  <si>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</si>
  <si>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</si>
  <si>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</si>
  <si>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</si>
  <si>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</si>
  <si>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</si>
  <si>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</si>
  <si>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</si>
  <si>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</si>
  <si>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</si>
  <si>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</si>
  <si>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</si>
  <si>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</si>
  <si>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</si>
  <si>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</si>
  <si>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</si>
  <si>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</si>
  <si>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</si>
  <si>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</si>
  <si>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</si>
  <si>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</si>
  <si>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</si>
  <si>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</si>
  <si>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</si>
  <si>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</si>
  <si>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</si>
  <si>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</si>
  <si>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</si>
  <si>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</si>
  <si>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</si>
  <si>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</si>
  <si>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</si>
  <si>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</si>
  <si>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</si>
  <si>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</si>
  <si>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</si>
  <si>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</si>
  <si>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</si>
  <si>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</si>
  <si>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</si>
  <si>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</si>
  <si>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</si>
  <si>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</si>
  <si>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</si>
  <si>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</si>
  <si>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</si>
  <si>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</si>
  <si>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</si>
  <si>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</si>
  <si>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</si>
  <si>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</si>
  <si>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</si>
  <si>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</si>
  <si>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</si>
  <si>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</si>
  <si>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</si>
  <si>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</si>
  <si>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</si>
  <si>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</si>
  <si>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</si>
  <si>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</si>
  <si>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</si>
  <si>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</si>
  <si>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</si>
  <si>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</si>
  <si>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TOTAL DETTES FISACLE</t>
  </si>
  <si>
    <t xml:space="preserve"> TOTAL DETTES SOCIALES ET FISCACLE</t>
  </si>
  <si>
    <t>TOTAL DETTES SOCIALES</t>
  </si>
  <si>
    <t>Achats Groupe</t>
  </si>
  <si>
    <t>Achats hors région</t>
  </si>
  <si>
    <t>COMPTE DE RESULTAT</t>
  </si>
  <si>
    <t>FLUX DE TRESORERIE</t>
  </si>
  <si>
    <t>Clients effets à recevoir avec réserves de propriété</t>
  </si>
  <si>
    <t>TOTAL NET DE DEPRECIATIONS</t>
  </si>
  <si>
    <t>TOTAL NET  DE DEPRECIATIONS</t>
  </si>
  <si>
    <t xml:space="preserve">NOTE 13 : CAPITAL </t>
  </si>
  <si>
    <t>Titres  participatifs</t>
  </si>
  <si>
    <t>TOTAL AUTRES FONDS PROPRES</t>
  </si>
  <si>
    <t>Fournisseurs dettes en compte (hors groupe)</t>
  </si>
  <si>
    <t>Fournisseurs, dettes et effets à payer (groupe)</t>
  </si>
  <si>
    <t>Personnel rémunérations dues</t>
  </si>
  <si>
    <t>Ventes dans la région</t>
  </si>
  <si>
    <t>Achats dans la région</t>
  </si>
  <si>
    <t>Autres transports</t>
  </si>
  <si>
    <t>Permanents</t>
  </si>
  <si>
    <t>Saisonniers</t>
  </si>
  <si>
    <t>EBE</t>
  </si>
  <si>
    <t>- Charges HAO</t>
  </si>
  <si>
    <t xml:space="preserve">Total net de dépréciation </t>
  </si>
  <si>
    <t>NOTE 7 : CLIENTS</t>
  </si>
  <si>
    <r>
      <t>(1)</t>
    </r>
    <r>
      <rPr>
        <sz val="10"/>
        <rFont val="Calibri"/>
        <family val="2"/>
      </rPr>
      <t xml:space="preserve"> Remplacer le premier 0 par 1 si l'entité bénéficie d'un agrément prioritaire</t>
    </r>
  </si>
  <si>
    <r>
      <t>(2)</t>
    </r>
    <r>
      <rPr>
        <sz val="10"/>
        <rFont val="Calibri"/>
        <family val="2"/>
      </rPr>
      <t xml:space="preserve"> Bénin = 01; Burkina = 02; Côte d'Ivoire = 03; Guinée Bissau = 04; Mali = 05; Niger = 06; Sénégal = 07; Togo = 08</t>
    </r>
  </si>
  <si>
    <t>Page de garde</t>
  </si>
  <si>
    <t>Fiche R1</t>
  </si>
  <si>
    <t>Fiche R2</t>
  </si>
  <si>
    <t xml:space="preserve">FICHE D'IDENTIFICATION ET RENSEIGNEMENTS DIVERS 2 </t>
  </si>
  <si>
    <t>Fiche R3</t>
  </si>
  <si>
    <t>FICHE D'IDENTIFICATION ET RENSEIGNEMENTS DIVERS 3</t>
  </si>
  <si>
    <t>FICHE R4</t>
  </si>
  <si>
    <t xml:space="preserve">FICHE RECAPITULATIVE DES NOTES ANNEXES PRESENTEES </t>
  </si>
  <si>
    <t>BILAN PAYSAGE</t>
  </si>
  <si>
    <t>ACTIF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</si>
  <si>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</si>
  <si>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</si>
  <si>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</si>
  <si>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</si>
  <si>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</si>
  <si>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</si>
  <si>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</si>
  <si>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CA</t>
  </si>
  <si>
    <t>CAPITAL</t>
  </si>
  <si>
    <t>AE</t>
  </si>
  <si>
    <t>CB</t>
  </si>
  <si>
    <t>Apporteurs capital non appelé</t>
  </si>
  <si>
    <t>AF</t>
  </si>
  <si>
    <t>CD</t>
  </si>
  <si>
    <t>Primes liées au capital social</t>
  </si>
  <si>
    <t>AG</t>
  </si>
  <si>
    <t>CE</t>
  </si>
  <si>
    <t>Ecarts de réévaluation</t>
  </si>
  <si>
    <t>3e</t>
  </si>
  <si>
    <t>AH</t>
  </si>
  <si>
    <t>CF</t>
  </si>
  <si>
    <t>Réserves indisponibles</t>
  </si>
  <si>
    <t>AI</t>
  </si>
  <si>
    <t>CG</t>
  </si>
  <si>
    <t>AJ</t>
  </si>
  <si>
    <t xml:space="preserve">Terrains (1)
(1) dont placement en net   ………../………… </t>
  </si>
  <si>
    <t>CH</t>
  </si>
  <si>
    <t>AK</t>
  </si>
  <si>
    <t xml:space="preserve">Bâtiments
(1) dont placement en net   ………../………… </t>
  </si>
  <si>
    <t>CJ</t>
  </si>
  <si>
    <t>Résutat net de l'exercice (bénéfice + ou perte -)</t>
  </si>
  <si>
    <t>AL</t>
  </si>
  <si>
    <t>CL</t>
  </si>
  <si>
    <t>Subventions d'investissement</t>
  </si>
  <si>
    <t>AM</t>
  </si>
  <si>
    <t>CM</t>
  </si>
  <si>
    <t>Provisions réglementées et fonds assimilés</t>
  </si>
  <si>
    <t>AN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</si>
  <si>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</si>
  <si>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</si>
  <si>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</si>
  <si>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</si>
  <si>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</si>
  <si>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</si>
  <si>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</si>
  <si>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</si>
  <si>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</si>
  <si>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</si>
  <si>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DC</t>
  </si>
  <si>
    <t>Provisions pour risques et charges</t>
  </si>
  <si>
    <t>AS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</si>
  <si>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</si>
  <si>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</si>
  <si>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</si>
  <si>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</si>
  <si>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</si>
  <si>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</si>
  <si>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</si>
  <si>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</si>
  <si>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</si>
  <si>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</si>
  <si>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</si>
  <si>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</si>
  <si>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</si>
  <si>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</si>
  <si>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</si>
  <si>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</si>
  <si>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</si>
  <si>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</si>
  <si>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</si>
  <si>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</si>
  <si>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</si>
  <si>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</si>
  <si>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</si>
  <si>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</si>
  <si>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</si>
  <si>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</si>
  <si>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</si>
  <si>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</si>
  <si>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</si>
  <si>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</si>
  <si>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</si>
  <si>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</si>
  <si>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</si>
  <si>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</si>
  <si>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</si>
  <si>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</si>
  <si>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</si>
  <si>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</si>
  <si>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</si>
  <si>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</si>
  <si>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</si>
  <si>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</si>
  <si>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</si>
  <si>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</si>
  <si>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</si>
  <si>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</si>
  <si>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</si>
  <si>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</si>
  <si>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</si>
  <si>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</si>
  <si>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</si>
  <si>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DZ</t>
  </si>
  <si>
    <t>COMPTABLE OUEST AFRICAIN (SYSCOHADA)</t>
  </si>
  <si>
    <t>REPUBLIQUE DU SENEGAL</t>
  </si>
  <si>
    <t>FINANCES</t>
  </si>
  <si>
    <t>IMPOTS</t>
  </si>
  <si>
    <t>CENTRE DE DEPÔT: IMPOTS &amp; DOMAINES</t>
  </si>
  <si>
    <t>SOCIETE NOUVELLE DES SALINS DU SINE SALOUM</t>
  </si>
  <si>
    <t>SNSSS</t>
  </si>
  <si>
    <t>DIORHANE BP 200</t>
  </si>
  <si>
    <t>000018699</t>
  </si>
  <si>
    <t>8520</t>
  </si>
  <si>
    <t>SN-KLK-1965-B-10668</t>
  </si>
  <si>
    <t>1413865720</t>
  </si>
  <si>
    <t>030001</t>
  </si>
  <si>
    <t>33 941 19 04</t>
  </si>
  <si>
    <t>200</t>
  </si>
  <si>
    <t>KAOLACK</t>
  </si>
  <si>
    <t>DIORHANE BP 200,KAOLACK</t>
  </si>
  <si>
    <t>INDUSTRIES ALIMENTAIRES</t>
  </si>
  <si>
    <t>MAMADOU DIEYE   EXPETRT FISCAL TEL 77 523 64 00</t>
  </si>
  <si>
    <t>GAYE &amp; ASSOCIES SARL VILLA 10564 DAKAR SACRE COEUR 3 VDN</t>
  </si>
  <si>
    <t>ECOBANK</t>
  </si>
  <si>
    <t xml:space="preserve">0 </t>
  </si>
  <si>
    <t>1</t>
  </si>
  <si>
    <t>7</t>
  </si>
  <si>
    <t>3</t>
  </si>
  <si>
    <t>SYLLA</t>
  </si>
  <si>
    <t>TIDIANE</t>
  </si>
  <si>
    <t>DIENG</t>
  </si>
  <si>
    <t>ALPHA</t>
  </si>
  <si>
    <t>BOSSUYT</t>
  </si>
  <si>
    <t>ALAIN</t>
  </si>
  <si>
    <t>NOTE 1</t>
  </si>
  <si>
    <t>DETTES GARANTIES PAR DES SURETES REELLES</t>
  </si>
  <si>
    <t>NOTE 2</t>
  </si>
  <si>
    <t xml:space="preserve">INFORMATIONS OBLIGATOIRES </t>
  </si>
  <si>
    <t>NOTE 3A</t>
  </si>
  <si>
    <t>IMMOBILISATION BRUTE</t>
  </si>
  <si>
    <t>NOTE 3B</t>
  </si>
  <si>
    <t>BIENS PRIS EN LOCATION ACQUISITION</t>
  </si>
  <si>
    <t>NOTE 3C</t>
  </si>
  <si>
    <t xml:space="preserve">IMMOBILISATIONS : AMORTISSEMENTS </t>
  </si>
  <si>
    <t>NOTE 3D</t>
  </si>
  <si>
    <t>IMMOBILISATIONS : PLUS -VALUES ET MOINS VALUE DE CESSION</t>
  </si>
  <si>
    <t>NOTE 3E</t>
  </si>
  <si>
    <t>INFORMATION SUR LES REEVALUATIONS EFFECTUEES PAR L'ENTITE</t>
  </si>
  <si>
    <t>NOTE 4</t>
  </si>
  <si>
    <t xml:space="preserve">IMMOBILISATIONS FINANCIERES </t>
  </si>
  <si>
    <t>NOTE 5</t>
  </si>
  <si>
    <t xml:space="preserve">ACTIF CIRCULANT ET DETTES CIRCULANTES HAO </t>
  </si>
  <si>
    <t>NOTE 6</t>
  </si>
  <si>
    <t xml:space="preserve">STOCKS ET ENCOURS </t>
  </si>
  <si>
    <t>NOTE 7</t>
  </si>
  <si>
    <t xml:space="preserve">CLIENTS PRODUITS A RECEVOIR </t>
  </si>
  <si>
    <t>NOTE 8</t>
  </si>
  <si>
    <t xml:space="preserve">AUTRES CREANCES </t>
  </si>
  <si>
    <t>NOTE 8A</t>
  </si>
  <si>
    <t>TABLEAU D’ETALEMENT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</si>
  <si>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</si>
  <si>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</si>
  <si>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</si>
  <si>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</si>
  <si>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</si>
  <si>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</si>
  <si>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</si>
  <si>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 ET TRANSFERTS DE CHARGES</t>
  </si>
  <si>
    <t>NOTE 13</t>
  </si>
  <si>
    <t xml:space="preserve">CAPITAL: VALEUR NOMINALE DES ACTIONS OU PARTS </t>
  </si>
  <si>
    <t>NOTE 14</t>
  </si>
  <si>
    <t xml:space="preserve">PRIMES ET RESERVES </t>
  </si>
  <si>
    <t>NOTE 15A</t>
  </si>
  <si>
    <t>SUBVENTIONS ET PROVISIONS REGLEMENTEES</t>
  </si>
  <si>
    <t>NOTE 15B</t>
  </si>
  <si>
    <t>AUTRES FONDS PROPRES</t>
  </si>
  <si>
    <t>NOTE 16A</t>
  </si>
  <si>
    <t xml:space="preserve">DETTES FINANCIERES ET RESSOURCES ASSIMILEES </t>
  </si>
  <si>
    <t>NOTE 16B</t>
  </si>
  <si>
    <t xml:space="preserve">ENGAGEMENTS DE RETRAITE ET AVANTAGES ASSIMILES ( METHODE ACTUARIELLE ) </t>
  </si>
  <si>
    <t>NOTE 16B bis</t>
  </si>
  <si>
    <t>NOTE 16C</t>
  </si>
  <si>
    <t xml:space="preserve">ACTIFS ET PASSIFS EVENTUELS </t>
  </si>
  <si>
    <t>NOTE 17</t>
  </si>
  <si>
    <t xml:space="preserve">FOURNISSEURS D'EXPLOITATION </t>
  </si>
  <si>
    <t>NOTE 18</t>
  </si>
  <si>
    <t>DETTES FISCALES ET SOCIALES</t>
  </si>
  <si>
    <t>NOTE 19</t>
  </si>
  <si>
    <t>AUTRES DETTES ET PROVISIONS POUR RISQUES A COURT TERME</t>
  </si>
  <si>
    <t>NOTE 20</t>
  </si>
  <si>
    <t>BANQUES , CREDITS D'ESCOMPTE ET DE TRESORERIE</t>
  </si>
  <si>
    <t>NOTE 21</t>
  </si>
  <si>
    <t>CHIFFRES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</si>
  <si>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</si>
  <si>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</si>
  <si>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</si>
  <si>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</si>
  <si>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</si>
  <si>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</si>
  <si>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</si>
  <si>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</si>
  <si>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</si>
  <si>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 xml:space="preserve">AUTRES CHARGES </t>
  </si>
  <si>
    <t>NOTE 27A</t>
  </si>
  <si>
    <t>CHARGES DE PERSONNEL</t>
  </si>
  <si>
    <t>NOTE 27B</t>
  </si>
  <si>
    <t>EFFECTIFS 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</si>
  <si>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</si>
  <si>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</si>
  <si>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</si>
  <si>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</si>
  <si>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</si>
  <si>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 xml:space="preserve">AUTRES CHARGES ET PRODUITS HAO </t>
  </si>
  <si>
    <t>NOTE 31</t>
  </si>
  <si>
    <t xml:space="preserve">REPARTITION DU RESULTAT ET AUTRES ELEMENTS CARACTERISTIQUES DES CINQ DERNIERS EXCERCICES </t>
  </si>
  <si>
    <t>NOTE 32</t>
  </si>
  <si>
    <t>PRODUCTION DE L'EXERCICE</t>
  </si>
  <si>
    <t>NOTE 33</t>
  </si>
  <si>
    <t xml:space="preserve">ACHATS DESTINES A LA PRODUCTION </t>
  </si>
  <si>
    <t>NOTE 34</t>
  </si>
  <si>
    <t xml:space="preserve">FICHE DE SYNTHESE DES PRINCIPAUX INDICATEURS FINANCIERS </t>
  </si>
  <si>
    <t>NOTE 35</t>
  </si>
  <si>
    <t>LISTE DES INFORMATIONS SOCIALES , ENVIRONNEMENTALES ET SOCIETALES A FOURNIR</t>
  </si>
  <si>
    <t>NOTE 36</t>
  </si>
  <si>
    <t>TABLES DES CODES</t>
  </si>
  <si>
    <t>Les états financiers sont établis en conformité avec le Système comptable OHADA et l'acte uniforme relatif au droit comptable  et à l'information financière</t>
  </si>
  <si>
    <t>Les états financiers ont été confectionnés dans le respect desconventions, des postulats et des régles d'évaluation édictés par le SYSOHADA et l'acte uniforme</t>
  </si>
  <si>
    <t>Respect de tous les postulats et conventions comptables sans aucune dérogation</t>
  </si>
  <si>
    <t>Pas d'informations complémentaires relatives aux autres états financiers</t>
  </si>
  <si>
    <t>0 %</t>
  </si>
  <si>
    <t>Organismes sociaux</t>
  </si>
  <si>
    <t>État et Collectivités publiques</t>
  </si>
  <si>
    <t>Apporteurs, associés et groupe</t>
  </si>
  <si>
    <t>Autres débiteurs divers</t>
  </si>
  <si>
    <t>TOTAL BRUT AUTRES CREANCES</t>
  </si>
  <si>
    <t>Dépréciations des autres créances</t>
  </si>
  <si>
    <t>SENEGALAISE</t>
  </si>
  <si>
    <t>SALINS DU MIDI PARTICIPATION</t>
  </si>
  <si>
    <t>Primes d'apport</t>
  </si>
  <si>
    <t>Primes d'émission</t>
  </si>
  <si>
    <t>Primes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</si>
  <si>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</si>
  <si>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</si>
  <si>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</si>
  <si>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</si>
  <si>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</si>
  <si>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</si>
  <si>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</si>
  <si>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</si>
  <si>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</si>
  <si>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Emprunts obligataires</t>
  </si>
  <si>
    <t xml:space="preserve">Emprunts et dettes auprès des établissements de crédit </t>
  </si>
  <si>
    <t>Avances reçues de l'Etat</t>
  </si>
  <si>
    <t>Avances reçues et comptes courants bloqués</t>
  </si>
  <si>
    <t xml:space="preserve">Dépôts et cautionnement reçus </t>
  </si>
  <si>
    <t>Avances assorties de conditions particulières</t>
  </si>
  <si>
    <t xml:space="preserve">Autres emprunts et dettes </t>
  </si>
  <si>
    <t xml:space="preserve">Dettes liées à  des participations </t>
  </si>
  <si>
    <t xml:space="preserve">Comptes permanents bloqués des établissements et succursales </t>
  </si>
  <si>
    <t xml:space="preserve">TOTAL EMPRUNTS ET DETTES FINANCIERES </t>
  </si>
  <si>
    <t xml:space="preserve">Crédit bail immobilier </t>
  </si>
  <si>
    <t xml:space="preserve">Crédit bail mobilier </t>
  </si>
  <si>
    <t xml:space="preserve">Autres locations acquisitions </t>
  </si>
  <si>
    <t xml:space="preserve">Location vente </t>
  </si>
  <si>
    <t>TOTAL DETTES DE LOCATION ACQUISITION</t>
  </si>
  <si>
    <t xml:space="preserve">Provisions pour litiges </t>
  </si>
  <si>
    <t xml:space="preserve">Provisions pour garantie données aux clients </t>
  </si>
  <si>
    <t>Provisions pour pertes sur marchés à  achèvement futur</t>
  </si>
  <si>
    <t xml:space="preserve">Provisions pour perte de change </t>
  </si>
  <si>
    <t xml:space="preserve">Provisions pour impôts </t>
  </si>
  <si>
    <t xml:space="preserve">Provisions pour pensions et obligations assimilées </t>
  </si>
  <si>
    <t xml:space="preserve">Actif du régime de retraite </t>
  </si>
  <si>
    <t>Provisions pour amendes et pénalités</t>
  </si>
  <si>
    <t>Provisions de propre assureur</t>
  </si>
  <si>
    <t>Provisions pour démantèlement et remise en état</t>
  </si>
  <si>
    <t xml:space="preserve">Autres provisions </t>
  </si>
  <si>
    <t>Provisions pour restructuration</t>
  </si>
  <si>
    <t>Provisions de droits à déduction</t>
  </si>
  <si>
    <t>TOTAL PROVISIONS FINANCIERES POUR RISQUES ET CHARGES</t>
  </si>
  <si>
    <t>-20 %</t>
  </si>
  <si>
    <t>-100 %</t>
  </si>
  <si>
    <t>Escomptes de crédit de campagne</t>
  </si>
  <si>
    <t>Escomptes de crédit ordinaires</t>
  </si>
  <si>
    <t>TOTAL : BANQUES, CREDITS D'ESCOMPTE ET DE TRESORERIE</t>
  </si>
  <si>
    <t>Autres Banques</t>
  </si>
  <si>
    <t>Banques intérêts courus</t>
  </si>
  <si>
    <t>Crédit de trésorerie</t>
  </si>
  <si>
    <t>TOTAL BANQUES, CREDITS DE TRESORERIE</t>
  </si>
  <si>
    <t>1. Provisions réglementées</t>
  </si>
  <si>
    <t>2. Provisions financières pour risques et charges</t>
  </si>
  <si>
    <t>3. Dépréciations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</si>
  <si>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</si>
  <si>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</si>
  <si>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</si>
  <si>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</si>
  <si>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clients</t>
  </si>
  <si>
    <t>8. 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</si>
  <si>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</si>
  <si>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</si>
  <si>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</si>
  <si>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termes exploitation</t>
  </si>
  <si>
    <t>13. Dépréciations et provisions pour risques à court termes à caractére financier</t>
  </si>
  <si>
    <t>TOTAL: CHARGE POUR DEPRECIATIONS ET PROVISIONS A COURT TERME</t>
  </si>
  <si>
    <t>TOTAL PROVISIONS ET DEPRECIATIONS</t>
  </si>
  <si>
    <t>Charges HAO constatées (1) à détailler</t>
  </si>
  <si>
    <t>(1) ...........................................................</t>
  </si>
  <si>
    <t>Pertes sur créances HAO</t>
  </si>
  <si>
    <t>Abandons de créances consentis</t>
  </si>
  <si>
    <t>Charges provisionnées HAO</t>
  </si>
  <si>
    <t>Dotation hors activités ordinaires</t>
  </si>
  <si>
    <t>Participation des travailleurs</t>
  </si>
  <si>
    <t>SOUS TOTAL: AUTRES CHARGES HAO</t>
  </si>
  <si>
    <t>Produits HAO constatés (1) à détailler</t>
  </si>
  <si>
    <t>Dons et libéralités obtenus</t>
  </si>
  <si>
    <t>Abandons de créances obtenus</t>
  </si>
  <si>
    <t>Transferts de charges HAO</t>
  </si>
  <si>
    <t>Reprises des charges pour dépréciations et provisions à court terme HAO</t>
  </si>
  <si>
    <t>Reprises hors activités ordinaires</t>
  </si>
  <si>
    <t>Subventions d'équilibre</t>
  </si>
  <si>
    <t>SOUS TOTAL AUTRES PRODUITS HAO</t>
  </si>
  <si>
    <t>NEANT</t>
  </si>
  <si>
    <t>La méthode de l'amortissement linéaire est la seule utilisée.</t>
  </si>
  <si>
    <t>Toutes les sorties correspondent à des mises au rebut. Le résultat sur cession correpond à une valeur nette comptable.</t>
  </si>
  <si>
    <t>Salins du Sénégal SA (1)</t>
  </si>
  <si>
    <t>Chérifienne des sels (2)</t>
  </si>
  <si>
    <t>Kaolack, Sénégal</t>
  </si>
  <si>
    <t>Maroc</t>
  </si>
  <si>
    <t>néant</t>
  </si>
  <si>
    <t>(2) Absence d'informations sur cette société dont les actions sont totalement provisionnées.</t>
  </si>
  <si>
    <t>FRANCAISE</t>
  </si>
  <si>
    <t>Héritiers feu Idrissa Gueye</t>
  </si>
  <si>
    <t>Sénégalaise</t>
  </si>
  <si>
    <t>ORDINAIRES</t>
  </si>
  <si>
    <t>M. Moustapha Seck</t>
  </si>
  <si>
    <t>Mme Yaye Bani DIALLO-Veuve DIOP</t>
  </si>
  <si>
    <t>Héritiers Feu Abdoulaye Fofana</t>
  </si>
  <si>
    <t>Héritiers feu Amadou Ly</t>
  </si>
  <si>
    <t>Compagnie Commerciale des Sel Marins</t>
  </si>
  <si>
    <t>Française</t>
  </si>
  <si>
    <t>TIDIANE  SYLLA / ALPHA DIENG</t>
  </si>
  <si>
    <t>GUY  DESCHAMPS /OMAR GUEYE</t>
  </si>
  <si>
    <t>Sel ensaché et en camelle</t>
  </si>
  <si>
    <t>Production d'immobilisation</t>
  </si>
  <si>
    <t>Fabrication en cours de sel</t>
  </si>
  <si>
    <t>Tonnes</t>
  </si>
  <si>
    <t>Emballages</t>
  </si>
  <si>
    <t>Produits pétroliers</t>
  </si>
  <si>
    <t>Bois</t>
  </si>
  <si>
    <t>ALAIN BOSSUYT</t>
  </si>
  <si>
    <t>DIRECTEUR GENERAL</t>
  </si>
  <si>
    <t>BANQUE ATLANTIQUE</t>
  </si>
  <si>
    <t>B.I.C.I.S</t>
  </si>
  <si>
    <t>CREDIT DU SENEGAL</t>
  </si>
  <si>
    <t>B.O.A.S.</t>
  </si>
  <si>
    <t>S.G.B.S.</t>
  </si>
  <si>
    <t>CBAO</t>
  </si>
  <si>
    <t>UBA PLATEAU</t>
  </si>
  <si>
    <t>SN094 01001 100000230001 54</t>
  </si>
  <si>
    <t>SN137 01001 080135650005 49</t>
  </si>
  <si>
    <t>SN010 01520 000102000082 56</t>
  </si>
  <si>
    <t>SN 060 01030 165055062000 29</t>
  </si>
  <si>
    <t>SN100 01003 001017420007 82</t>
  </si>
  <si>
    <t>SN011 02030 005000000089 43</t>
  </si>
  <si>
    <t>SN012 02214 021436025526 11</t>
  </si>
  <si>
    <t>SN153 01303 303090005143 93</t>
  </si>
  <si>
    <t>Rolande AKA EKPONON</t>
  </si>
  <si>
    <t>DIRECTEUR GÉNÉRAL</t>
  </si>
  <si>
    <t>DIORHANE BP 200 KAOLACK</t>
  </si>
  <si>
    <t>Président</t>
  </si>
  <si>
    <t>FINACHEF</t>
  </si>
  <si>
    <t>COMPAGNIE COMERCIALE DES SELS MARINS</t>
  </si>
  <si>
    <t>COMPAGNIE DES SELS DU MIDI ET DES SALINES DE L'EST</t>
  </si>
  <si>
    <t>SALINS DU MIDI PARTICIPATIONS</t>
  </si>
  <si>
    <t>Administrateur</t>
  </si>
  <si>
    <t>Dakar</t>
  </si>
  <si>
    <r>
      <t xml:space="preserve">Les investissements ont porté :- sur la suite des travaux Kousmar phase 2 : digues, surverses, bois de planchéiage( </t>
    </r>
    <r>
      <rPr>
        <b/>
        <sz val="11"/>
        <color rgb="FF000000"/>
        <rFont val="Calibri"/>
        <family val="2"/>
      </rPr>
      <t>91,3 M</t>
    </r>
    <r>
      <rPr>
        <sz val="11"/>
        <color indexed="0"/>
        <rFont val="Calibri"/>
        <family val="2"/>
      </rPr>
      <t xml:space="preserve"> ); -L'installation d'une Centrale photovoltaïque pour alimentation pompes station I1 ,2 x 22KW ,(</t>
    </r>
    <r>
      <rPr>
        <b/>
        <sz val="11"/>
        <color rgb="FF000000"/>
        <rFont val="Calibri"/>
        <family val="2"/>
      </rPr>
      <t>87,1M</t>
    </r>
    <r>
      <rPr>
        <sz val="11"/>
        <color indexed="0"/>
        <rFont val="Calibri"/>
        <family val="2"/>
      </rPr>
      <t>)  ; - l'acquistion de Pièces de rechange Liebherr pour roue pelle (</t>
    </r>
    <r>
      <rPr>
        <b/>
        <sz val="11"/>
        <color rgb="FF000000"/>
        <rFont val="Calibri"/>
        <family val="2"/>
      </rPr>
      <t>25,8 M</t>
    </r>
    <r>
      <rPr>
        <sz val="11"/>
        <color indexed="0"/>
        <rFont val="Calibri"/>
        <family val="2"/>
      </rPr>
      <t>); -l'acquisition de Pompe VI350 – 1500m3/H – 22KW pour doublement capacité Station I1 (</t>
    </r>
    <r>
      <rPr>
        <b/>
        <sz val="11"/>
        <color rgb="FF000000"/>
        <rFont val="Calibri"/>
        <family val="2"/>
      </rPr>
      <t>24,4M</t>
    </r>
    <r>
      <rPr>
        <sz val="11"/>
        <color indexed="0"/>
        <rFont val="Calibri"/>
        <family val="2"/>
      </rPr>
      <t>); 2 jeux de chaînes de traction pour 2 pelles flottantes EIK (</t>
    </r>
    <r>
      <rPr>
        <b/>
        <sz val="11"/>
        <color rgb="FF000000"/>
        <rFont val="Calibri"/>
        <family val="2"/>
      </rPr>
      <t>25,5M</t>
    </r>
    <r>
      <rPr>
        <sz val="11"/>
        <color indexed="0"/>
        <rFont val="Calibri"/>
        <family val="2"/>
      </rPr>
      <t>); 1 train de roulement pour pelle Caterpillar 320D1 (</t>
    </r>
    <r>
      <rPr>
        <b/>
        <sz val="11"/>
        <color rgb="FF000000"/>
        <rFont val="Calibri"/>
        <family val="2"/>
      </rPr>
      <t>27,0M</t>
    </r>
    <r>
      <rPr>
        <sz val="11"/>
        <color indexed="0"/>
        <rFont val="Calibri"/>
        <family val="2"/>
      </rPr>
      <t>); 4 chaînes nues pour les récolteurs 744LL1 et 744LL2 (</t>
    </r>
    <r>
      <rPr>
        <b/>
        <sz val="11"/>
        <color rgb="FF000000"/>
        <rFont val="Calibri"/>
        <family val="2"/>
      </rPr>
      <t>21,6M</t>
    </r>
    <r>
      <rPr>
        <sz val="11"/>
        <color indexed="0"/>
        <rFont val="Calibri"/>
        <family val="2"/>
      </rPr>
      <t>); Pièces de rechanges pour récolteurs 744LL1 et 744LL2 (</t>
    </r>
    <r>
      <rPr>
        <b/>
        <sz val="11"/>
        <color rgb="FF000000"/>
        <rFont val="Calibri"/>
        <family val="2"/>
      </rPr>
      <t>38,9M</t>
    </r>
    <r>
      <rPr>
        <sz val="11"/>
        <color indexed="0"/>
        <rFont val="Calibri"/>
        <family val="2"/>
      </rPr>
      <t>); Acquisition d'outillage d’atelier mécanique, Gaussmètre (</t>
    </r>
    <r>
      <rPr>
        <b/>
        <sz val="11"/>
        <color rgb="FF000000"/>
        <rFont val="Calibri"/>
        <family val="2"/>
      </rPr>
      <t>17,9M</t>
    </r>
    <r>
      <rPr>
        <sz val="11"/>
        <color indexed="0"/>
        <rFont val="Calibri"/>
        <family val="2"/>
      </rPr>
      <t>); l'installation d'un portail coulissant (</t>
    </r>
    <r>
      <rPr>
        <b/>
        <sz val="11"/>
        <color rgb="FF000000"/>
        <rFont val="Calibri"/>
        <family val="2"/>
      </rPr>
      <t xml:space="preserve"> 10,2 M</t>
    </r>
    <r>
      <rPr>
        <sz val="11"/>
        <color indexed="0"/>
        <rFont val="Calibri"/>
        <family val="2"/>
      </rPr>
      <t>) .   En matière de Matériel de transport , nous avons effectué l'aquisition de 3 véhicules Toyota (</t>
    </r>
    <r>
      <rPr>
        <b/>
        <sz val="11"/>
        <color rgb="FF000000"/>
        <rFont val="Calibri"/>
        <family val="2"/>
      </rPr>
      <t>107, 8 M</t>
    </r>
    <r>
      <rPr>
        <sz val="11"/>
        <color indexed="0"/>
        <rFont val="Calibri"/>
        <family val="2"/>
      </rPr>
      <t>)                                                 .</t>
    </r>
  </si>
  <si>
    <t>Pas d'évolution signification sur les stocks</t>
  </si>
  <si>
    <t>cette hausse de créances clients de 9% s'explique principalement par des retards de paiement de moins de 60 jours, qui ont été soldé à 60% sur le 1ier trimestre 2025</t>
  </si>
  <si>
    <t>Le poste autre débiteur enrégistre une importante augmentation due essentiellement aux charges constatées d'avance.</t>
  </si>
  <si>
    <t>Diminution des effets à encaisser due à la baisse de volume de vente (Notons que sur Décembre il n'y a pas eu de vente vers la Côte d'Ivoire, le Bénin.</t>
  </si>
  <si>
    <t>Le capital social n'a pas connu d'évolution.</t>
  </si>
  <si>
    <t>L'Assemblée Générale Ordinaire (AGO) du 14-05-2024 avait décidé d'augmenter les réserves libres de 765 394 484 XOF</t>
  </si>
  <si>
    <t>Le chiffre d'affaire a connu une diminution en raison de la baisse du volume de vente de -15,20%.</t>
  </si>
  <si>
    <t>la diminution du volume de vente a aussi entrainé la diminution de la production d'où cette baisse constatée sur les achats</t>
  </si>
  <si>
    <t>la dimunition du transport sur vente s'explique par la baisse du volume d'activité vers la Côte d'Ivoire et le Bénin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</si>
</sst>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_-* #,##0\ _F_-;\-* #,##0\ _F_-;_-* &quot;-&quot;??\ _F_-;_-@_-"/>
    <numFmt numFmtId="165" formatCode="#,##0_ ;\-#,##0\ "/>
    <numFmt numFmtId="166" formatCode="#,##0\ _F"/>
    <numFmt numFmtId="167" formatCode="_ * #,##0_)\ _$_ ;_ * \(#,##0\)\ _$_ ;_ * &quot;-&quot;??_)\ _$_ ;_ @_ "/>
    <numFmt numFmtId="168" formatCode="_-* #,##0\ _€_-;\-* #,##0\ _€_-;_-* &quot;-&quot;??\ _€_-;_-@_-"/>
  </numFmts>
  <fonts count="133">
    <font>
      <sz val="11"/>
      <color theme="1"/>
      <name val="Calibri"/>
      <charset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8"/>
      <color theme="1"/>
      <name val="Cambria"/>
      <family val="1"/>
    </font>
    <font>
      <sz val="7"/>
      <color theme="1"/>
      <name val="Cambria"/>
      <family val="1"/>
    </font>
    <font>
      <sz val="10"/>
      <color rgb="FF548235"/>
      <name val="Cambria"/>
      <family val="1"/>
    </font>
    <font>
      <b/>
      <sz val="10"/>
      <color rgb="FF548235"/>
      <name val="Cambria"/>
      <family val="1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b/>
      <sz val="8"/>
      <color theme="1"/>
      <name val="Cambria"/>
      <family val="1"/>
    </font>
    <font>
      <b/>
      <sz val="11"/>
      <color theme="0"/>
      <name val="Cambria"/>
      <family val="1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9"/>
      <color theme="0"/>
      <name val="Calibri"/>
      <family val="2"/>
    </font>
    <font>
      <b/>
      <sz val="8"/>
      <color theme="0"/>
      <name val="Calibri"/>
      <family val="2"/>
    </font>
    <font>
      <b/>
      <sz val="10"/>
      <name val="Calibri"/>
      <family val="2"/>
    </font>
    <font>
      <sz val="10"/>
      <color theme="1"/>
      <name val="Symbol"/>
      <family val="1"/>
      <charset val="2"/>
    </font>
    <font>
      <sz val="10"/>
      <name val="CG Times"/>
      <charset val="1"/>
    </font>
    <font>
      <sz val="1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8"/>
      <name val="Calibri"/>
      <family val="2"/>
    </font>
    <font>
      <sz val="10"/>
      <name val="CG Times"/>
      <charset val="1"/>
    </font>
    <font>
      <sz val="6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4"/>
      <name val="Calibri"/>
      <family val="2"/>
    </font>
    <font>
      <i/>
      <sz val="10"/>
      <color theme="1"/>
      <name val="Calibri"/>
      <family val="2"/>
    </font>
    <font>
      <b/>
      <sz val="14"/>
      <color theme="4" tint="0.39991454817346722"/>
      <name val="Calibri"/>
      <family val="2"/>
    </font>
    <font>
      <b/>
      <sz val="12"/>
      <color theme="0"/>
      <name val="Calibri"/>
      <family val="2"/>
    </font>
    <font>
      <sz val="9"/>
      <color theme="1"/>
      <name val="Calibri"/>
      <family val="2"/>
    </font>
    <font>
      <b/>
      <u/>
      <sz val="12"/>
      <color theme="1"/>
      <name val="Cambria"/>
      <family val="1"/>
    </font>
    <font>
      <b/>
      <sz val="8"/>
      <color theme="1"/>
      <name val="Cambria Math"/>
      <family val="1"/>
    </font>
    <font>
      <b/>
      <sz val="12"/>
      <color indexed="0"/>
      <name val="Cambria"/>
      <family val="1"/>
    </font>
    <font>
      <sz val="10"/>
      <color indexed="0"/>
      <name val="Cambria"/>
      <family val="1"/>
    </font>
    <font>
      <sz val="11"/>
      <color indexed="0"/>
      <name val="Calibri"/>
      <family val="2"/>
    </font>
    <font>
      <sz val="10"/>
      <color indexed="0"/>
      <name val="Calibri"/>
      <family val="2"/>
    </font>
    <font>
      <b/>
      <sz val="10"/>
      <color indexed="0"/>
      <name val="Calibri"/>
      <family val="2"/>
    </font>
    <font>
      <sz val="8"/>
      <color indexed="0"/>
      <name val="Calibri"/>
      <family val="2"/>
    </font>
    <font>
      <b/>
      <sz val="8"/>
      <color indexed="0"/>
      <name val="Cambria Math"/>
      <family val="1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theme="1"/>
      <name val="Symbol"/>
      <family val="1"/>
      <charset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name val="CG Times"/>
      <charset val="1"/>
    </font>
    <font>
      <sz val="10"/>
      <name val="Calibri"/>
      <family val="2"/>
    </font>
    <font>
      <b/>
      <sz val="10"/>
      <name val="Calibri"/>
      <family val="2"/>
    </font>
    <font>
      <sz val="12"/>
      <color rgb="FFC6E0B4"/>
      <name val="Verdana"/>
      <family val="2"/>
    </font>
    <font>
      <b/>
      <sz val="12"/>
      <color theme="0"/>
      <name val="Cambria"/>
      <family val="1"/>
    </font>
    <font>
      <sz val="12"/>
      <color rgb="FFC6E0B4"/>
      <name val="Cambria"/>
      <family val="1"/>
    </font>
    <font>
      <sz val="10"/>
      <color rgb="FFC6E0B4"/>
      <name val="Cambria"/>
      <family val="1"/>
    </font>
    <font>
      <b/>
      <sz val="10"/>
      <color theme="0"/>
      <name val="Cambria"/>
      <family val="1"/>
    </font>
    <font>
      <b/>
      <sz val="10"/>
      <color rgb="FFC6E0B4"/>
      <name val="Cambria"/>
      <family val="1"/>
    </font>
    <font>
      <sz val="11"/>
      <color theme="1" tint="0.14996795556505021"/>
      <name val="Cambria"/>
      <family val="1"/>
    </font>
    <font>
      <b/>
      <sz val="11"/>
      <color theme="1" tint="0.14996795556505021"/>
      <name val="Cambria"/>
      <family val="1"/>
    </font>
    <font>
      <sz val="11"/>
      <color theme="0"/>
      <name val="Cambria"/>
      <family val="1"/>
    </font>
    <font>
      <b/>
      <sz val="11"/>
      <color theme="1"/>
      <name val="Cambria"/>
      <family val="1"/>
    </font>
    <font>
      <b/>
      <sz val="14"/>
      <color theme="0"/>
      <name val="Cambria"/>
      <family val="1"/>
    </font>
    <font>
      <b/>
      <sz val="12"/>
      <color indexed="0"/>
      <name val="Cambria"/>
      <family val="1"/>
    </font>
    <font>
      <sz val="11"/>
      <color indexed="0"/>
      <name val="Cambria"/>
      <family val="1"/>
    </font>
    <font>
      <sz val="11"/>
      <color indexed="0"/>
      <name val="Calibri"/>
      <family val="2"/>
    </font>
    <font>
      <b/>
      <sz val="12"/>
      <color indexed="1"/>
      <name val="Cambria"/>
      <family val="1"/>
    </font>
    <font>
      <sz val="10"/>
      <color indexed="0"/>
      <name val="Cambria"/>
      <family val="1"/>
    </font>
    <font>
      <sz val="12"/>
      <color rgb="FFC6E0B4"/>
      <name val="Cambria"/>
      <family val="1"/>
    </font>
    <font>
      <b/>
      <sz val="10"/>
      <color indexed="0"/>
      <name val="Calibri"/>
      <family val="2"/>
    </font>
    <font>
      <b/>
      <sz val="11"/>
      <color rgb="FF262626"/>
      <name val="Cambria"/>
      <family val="1"/>
    </font>
    <font>
      <sz val="11"/>
      <color rgb="FF262626"/>
      <name val="Cambria"/>
      <family val="1"/>
    </font>
    <font>
      <sz val="10"/>
      <color indexed="2"/>
      <name val="Cambria"/>
      <family val="1"/>
    </font>
    <font>
      <sz val="10"/>
      <color indexed="1"/>
      <name val="Cambria"/>
      <family val="1"/>
    </font>
    <font>
      <sz val="10"/>
      <color indexed="0"/>
      <name val="Calibri"/>
      <family val="2"/>
    </font>
    <font>
      <b/>
      <sz val="10"/>
      <color indexed="1"/>
      <name val="Calibri"/>
      <family val="2"/>
    </font>
    <font>
      <b/>
      <sz val="8"/>
      <color indexed="0"/>
      <name val="Calibri"/>
      <family val="2"/>
    </font>
    <font>
      <sz val="10"/>
      <color indexed="2"/>
      <name val="Calibri"/>
      <family val="2"/>
    </font>
    <font>
      <sz val="9"/>
      <color indexed="0"/>
      <name val="Calibri"/>
      <family val="2"/>
    </font>
    <font>
      <sz val="8"/>
      <color indexed="0"/>
      <name val="Calibri"/>
      <family val="2"/>
    </font>
    <font>
      <b/>
      <sz val="12"/>
      <color indexed="0"/>
      <name val="Calibri"/>
      <family val="2"/>
    </font>
    <font>
      <b/>
      <sz val="9"/>
      <color indexed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1454817346722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1454817346722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1454817346722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1454817346722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1454817346722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1454817346722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rgb="FFA8D08D"/>
      </patternFill>
    </fill>
    <fill>
      <patternFill patternType="solid">
        <fgColor rgb="FF54813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1"/>
      </patternFill>
    </fill>
    <fill>
      <patternFill patternType="solid">
        <fgColor rgb="FFC5E0B3"/>
      </patternFill>
    </fill>
    <fill>
      <patternFill patternType="solid">
        <fgColor rgb="FF548135"/>
      </patternFill>
    </fill>
    <fill>
      <patternFill patternType="solid">
        <fgColor rgb="FF548235"/>
      </patternFill>
    </fill>
    <fill>
      <patternFill patternType="solid">
        <fgColor rgb="FFA9D08E"/>
      </patternFill>
    </fill>
    <fill>
      <patternFill patternType="solid">
        <fgColor rgb="FFC6E0B4"/>
      </patternFill>
    </fill>
    <fill>
      <patternFill patternType="solid">
        <fgColor rgb="FFA8D08D"/>
      </patternFill>
    </fill>
  </fills>
  <borders count="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4">
    <xf numFmtId="0" fontId="0" fillId="0" borderId="0" applyAlignment="0" applyProtection="0"/>
    <xf numFmtId="0" fontId="4" fillId="0" borderId="0" applyAlignment="0" applyProtection="0"/>
    <xf numFmtId="0" fontId="5" fillId="0" borderId="1" applyAlignment="0" applyProtection="0"/>
    <xf numFmtId="0" fontId="6" fillId="0" borderId="2" applyAlignment="0" applyProtection="0"/>
    <xf numFmtId="0" fontId="7" fillId="0" borderId="3" applyAlignment="0" applyProtection="0"/>
    <xf numFmtId="0" fontId="7" fillId="0" borderId="0" applyAlignment="0" applyProtection="0"/>
    <xf numFmtId="0" fontId="8" fillId="2" borderId="0" applyAlignment="0" applyProtection="0"/>
    <xf numFmtId="0" fontId="9" fillId="3" borderId="0" applyAlignment="0" applyProtection="0"/>
    <xf numFmtId="0" fontId="10" fillId="4" borderId="0" applyAlignment="0" applyProtection="0"/>
    <xf numFmtId="0" fontId="11" fillId="5" borderId="4" applyAlignment="0" applyProtection="0"/>
    <xf numFmtId="0" fontId="12" fillId="6" borderId="5" applyAlignment="0" applyProtection="0"/>
    <xf numFmtId="0" fontId="13" fillId="6" borderId="4" applyAlignment="0" applyProtection="0"/>
    <xf numFmtId="0" fontId="14" fillId="0" borderId="6" applyAlignment="0" applyProtection="0"/>
    <xf numFmtId="0" fontId="15" fillId="7" borderId="7" applyAlignment="0" applyProtection="0"/>
    <xf numFmtId="0" fontId="16" fillId="0" borderId="0" applyAlignment="0" applyProtection="0"/>
    <xf numFmtId="0" fontId="3" fillId="8" borderId="8" applyAlignment="0" applyProtection="0"/>
    <xf numFmtId="0" fontId="17" fillId="0" borderId="0" applyAlignment="0" applyProtection="0"/>
    <xf numFmtId="0" fontId="18" fillId="0" borderId="9" applyAlignment="0" applyProtection="0"/>
    <xf numFmtId="0" fontId="19" fillId="9" borderId="0" applyAlignment="0" applyProtection="0"/>
    <xf numFmtId="0" fontId="3" fillId="10" borderId="0" applyAlignment="0" applyProtection="0"/>
    <xf numFmtId="0" fontId="3" fillId="11" borderId="0" applyAlignment="0" applyProtection="0"/>
    <xf numFmtId="0" fontId="19" fillId="12" borderId="0" applyAlignment="0" applyProtection="0"/>
    <xf numFmtId="0" fontId="19" fillId="13" borderId="0" applyAlignment="0" applyProtection="0"/>
    <xf numFmtId="0" fontId="3" fillId="14" borderId="0" applyAlignment="0" applyProtection="0"/>
    <xf numFmtId="0" fontId="3" fillId="15" borderId="0" applyAlignment="0" applyProtection="0"/>
    <xf numFmtId="0" fontId="19" fillId="16" borderId="0" applyAlignment="0" applyProtection="0"/>
    <xf numFmtId="0" fontId="19" fillId="17" borderId="0" applyAlignment="0" applyProtection="0"/>
    <xf numFmtId="0" fontId="3" fillId="18" borderId="0" applyAlignment="0" applyProtection="0"/>
    <xf numFmtId="0" fontId="3" fillId="19" borderId="0" applyAlignment="0" applyProtection="0"/>
    <xf numFmtId="0" fontId="19" fillId="20" borderId="0" applyAlignment="0" applyProtection="0"/>
    <xf numFmtId="0" fontId="19" fillId="21" borderId="0" applyAlignment="0" applyProtection="0"/>
    <xf numFmtId="0" fontId="3" fillId="22" borderId="0" applyAlignment="0" applyProtection="0"/>
    <xf numFmtId="0" fontId="3" fillId="23" borderId="0" applyAlignment="0" applyProtection="0"/>
    <xf numFmtId="0" fontId="19" fillId="24" borderId="0" applyAlignment="0" applyProtection="0"/>
    <xf numFmtId="0" fontId="19" fillId="25" borderId="0" applyAlignment="0" applyProtection="0"/>
    <xf numFmtId="0" fontId="3" fillId="26" borderId="0" applyAlignment="0" applyProtection="0"/>
    <xf numFmtId="0" fontId="3" fillId="27" borderId="0" applyAlignment="0" applyProtection="0"/>
    <xf numFmtId="0" fontId="19" fillId="28" borderId="0" applyAlignment="0" applyProtection="0"/>
    <xf numFmtId="0" fontId="19" fillId="29" borderId="0" applyAlignment="0" applyProtection="0"/>
    <xf numFmtId="0" fontId="3" fillId="30" borderId="0" applyAlignment="0" applyProtection="0"/>
    <xf numFmtId="0" fontId="3" fillId="31" borderId="0" applyAlignment="0" applyProtection="0"/>
    <xf numFmtId="0" fontId="19" fillId="32" borderId="0" applyAlignment="0" applyProtection="0"/>
    <xf numFmtId="0" fontId="3" fillId="0" borderId="0" applyAlignment="0" applyProtection="0"/>
    <xf numFmtId="43" fontId="3" fillId="0" borderId="0" applyAlignment="0" applyProtection="0"/>
    <xf numFmtId="0" fontId="44" fillId="0" borderId="0" applyAlignment="0" applyProtection="0"/>
    <xf numFmtId="0" fontId="47" fillId="0" borderId="0" applyAlignment="0" applyProtection="0"/>
    <xf numFmtId="0" fontId="53" fillId="0" borderId="0" applyAlignment="0" applyProtection="0"/>
    <xf numFmtId="0" fontId="2" fillId="0" borderId="0" applyAlignment="0" applyProtection="0"/>
    <xf numFmtId="0" fontId="1" fillId="0" borderId="0" applyAlignment="0" applyProtection="0"/>
    <xf numFmtId="0" fontId="88" fillId="0" borderId="0" applyAlignment="0" applyProtection="0"/>
    <xf numFmtId="43" fontId="126" fillId="0" borderId="0" applyFont="0" applyFill="0" applyBorder="0" applyAlignment="0" applyProtection="0"/>
    <xf numFmtId="0" fontId="93" fillId="0" borderId="0" applyAlignment="0" applyProtection="0"/>
    <xf numFmtId="0" fontId="96" fillId="0" borderId="0" applyNumberFormat="0" applyFill="0" applyBorder="0" applyAlignment="0" applyProtection="0"/>
    <xf numFmtId="9" fontId="127" fillId="0" borderId="0" applyFont="0" applyFill="0" applyBorder="0" applyAlignment="0" applyProtection="0"/>
  </cellStyleXfs>
  <cellXfs count="1101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11" xfId="0" applyFont="1" applyBorder="1"/>
    <xf numFmtId="0" fontId="24" fillId="0" borderId="12" xfId="0" applyFont="1" applyBorder="1"/>
    <xf numFmtId="0" fontId="24" fillId="0" borderId="13" xfId="0" applyFont="1" applyBorder="1"/>
    <xf numFmtId="0" fontId="24" fillId="0" borderId="14" xfId="0" applyFont="1" applyBorder="1"/>
    <xf numFmtId="0" fontId="24" fillId="0" borderId="15" xfId="0" applyFont="1" applyBorder="1"/>
    <xf numFmtId="0" fontId="24" fillId="0" borderId="14" xfId="0" applyFont="1" applyBorder="1" applyAlignment="1">
      <alignment horizontal="center"/>
    </xf>
    <xf numFmtId="0" fontId="24" fillId="0" borderId="16" xfId="0" applyFont="1" applyBorder="1"/>
    <xf numFmtId="0" fontId="24" fillId="0" borderId="23" xfId="0" applyFont="1" applyBorder="1"/>
    <xf numFmtId="0" fontId="24" fillId="0" borderId="17" xfId="0" applyFont="1" applyBorder="1"/>
    <xf numFmtId="0" fontId="24" fillId="0" borderId="18" xfId="0" applyFont="1" applyBorder="1"/>
    <xf numFmtId="0" fontId="31" fillId="0" borderId="10" xfId="0" applyFont="1" applyBorder="1" applyAlignment="1">
      <alignment horizontal="center" vertical="center" wrapText="1"/>
    </xf>
    <xf numFmtId="0" fontId="24" fillId="0" borderId="20" xfId="0" applyFont="1" applyBorder="1"/>
    <xf numFmtId="0" fontId="24" fillId="0" borderId="21" xfId="0" applyFont="1" applyBorder="1"/>
    <xf numFmtId="0" fontId="24" fillId="0" borderId="22" xfId="0" applyFont="1" applyBorder="1"/>
    <xf numFmtId="0" fontId="24" fillId="0" borderId="24" xfId="0" applyFont="1" applyBorder="1"/>
    <xf numFmtId="0" fontId="24" fillId="0" borderId="24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14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24" fillId="0" borderId="23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3" fillId="0" borderId="11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wrapText="1"/>
    </xf>
    <xf numFmtId="0" fontId="35" fillId="0" borderId="0" xfId="0" applyFont="1"/>
    <xf numFmtId="0" fontId="35" fillId="0" borderId="10" xfId="0" applyFont="1" applyBorder="1"/>
    <xf numFmtId="0" fontId="35" fillId="0" borderId="10" xfId="0" applyFont="1" applyBorder="1" applyAlignment="1">
      <alignment vertical="center" wrapText="1"/>
    </xf>
    <xf numFmtId="0" fontId="34" fillId="34" borderId="25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34" fillId="34" borderId="24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35" fillId="35" borderId="10" xfId="0" applyFont="1" applyFill="1" applyBorder="1" applyAlignment="1">
      <alignment vertical="center" wrapText="1"/>
    </xf>
    <xf numFmtId="0" fontId="35" fillId="34" borderId="10" xfId="0" applyFont="1" applyFill="1" applyBorder="1" applyAlignment="1">
      <alignment vertical="center" wrapText="1"/>
    </xf>
    <xf numFmtId="0" fontId="34" fillId="34" borderId="10" xfId="0" applyFont="1" applyFill="1" applyBorder="1"/>
    <xf numFmtId="0" fontId="35" fillId="0" borderId="0" xfId="0" applyFont="1" applyAlignment="1">
      <alignment vertical="center"/>
    </xf>
    <xf numFmtId="0" fontId="37" fillId="35" borderId="10" xfId="0" applyFont="1" applyFill="1" applyBorder="1"/>
    <xf numFmtId="0" fontId="37" fillId="35" borderId="10" xfId="0" applyFont="1" applyFill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37" fillId="34" borderId="10" xfId="0" applyFont="1" applyFill="1" applyBorder="1"/>
    <xf numFmtId="0" fontId="37" fillId="34" borderId="10" xfId="0" applyFont="1" applyFill="1" applyBorder="1" applyAlignment="1">
      <alignment vertical="center"/>
    </xf>
    <xf numFmtId="0" fontId="37" fillId="35" borderId="10" xfId="0" applyFont="1" applyFill="1" applyBorder="1" applyAlignment="1">
      <alignment vertical="center" wrapText="1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wrapText="1"/>
    </xf>
    <xf numFmtId="0" fontId="34" fillId="34" borderId="13" xfId="0" applyFont="1" applyFill="1" applyBorder="1" applyAlignment="1">
      <alignment horizontal="center" vertical="center"/>
    </xf>
    <xf numFmtId="0" fontId="35" fillId="34" borderId="10" xfId="0" applyFont="1" applyFill="1" applyBorder="1" applyAlignment="1">
      <alignment vertical="center"/>
    </xf>
    <xf numFmtId="0" fontId="35" fillId="35" borderId="10" xfId="0" applyFont="1" applyFill="1" applyBorder="1" applyAlignment="1">
      <alignment wrapText="1"/>
    </xf>
    <xf numFmtId="0" fontId="35" fillId="34" borderId="10" xfId="0" applyFont="1" applyFill="1" applyBorder="1" applyAlignment="1">
      <alignment wrapText="1"/>
    </xf>
    <xf numFmtId="0" fontId="34" fillId="34" borderId="25" xfId="0" applyFont="1" applyFill="1" applyBorder="1" applyAlignment="1">
      <alignment horizontal="center" vertical="center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0" xfId="0" applyFont="1" applyFill="1" applyBorder="1" applyAlignment="1">
      <alignment vertical="center"/>
    </xf>
    <xf numFmtId="0" fontId="36" fillId="34" borderId="21" xfId="0" applyFont="1" applyFill="1" applyBorder="1" applyAlignment="1">
      <alignment vertical="center"/>
    </xf>
    <xf numFmtId="0" fontId="36" fillId="34" borderId="10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5" fillId="0" borderId="12" xfId="0" applyFont="1" applyBorder="1"/>
    <xf numFmtId="0" fontId="37" fillId="0" borderId="12" xfId="0" applyFont="1" applyBorder="1"/>
    <xf numFmtId="0" fontId="37" fillId="0" borderId="0" xfId="0" applyFont="1"/>
    <xf numFmtId="0" fontId="34" fillId="34" borderId="10" xfId="0" applyFont="1" applyFill="1" applyBorder="1" applyAlignment="1">
      <alignment horizontal="left" vertical="center"/>
    </xf>
    <xf numFmtId="0" fontId="40" fillId="35" borderId="10" xfId="0" applyFont="1" applyFill="1" applyBorder="1"/>
    <xf numFmtId="0" fontId="34" fillId="34" borderId="10" xfId="0" applyFont="1" applyFill="1" applyBorder="1" applyAlignment="1">
      <alignment vertical="center"/>
    </xf>
    <xf numFmtId="3" fontId="34" fillId="34" borderId="10" xfId="0" applyNumberFormat="1" applyFont="1" applyFill="1" applyBorder="1" applyAlignment="1">
      <alignment vertical="center"/>
    </xf>
    <xf numFmtId="0" fontId="37" fillId="35" borderId="10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34" borderId="10" xfId="0" applyFont="1" applyFill="1" applyBorder="1" applyAlignment="1">
      <alignment vertical="center" wrapText="1"/>
    </xf>
    <xf numFmtId="0" fontId="40" fillId="35" borderId="10" xfId="0" applyFont="1" applyFill="1" applyBorder="1" applyAlignment="1">
      <alignment horizontal="center" vertical="center"/>
    </xf>
    <xf numFmtId="0" fontId="40" fillId="35" borderId="10" xfId="0" applyFont="1" applyFill="1" applyBorder="1" applyAlignment="1">
      <alignment vertical="center" wrapText="1"/>
    </xf>
    <xf numFmtId="0" fontId="35" fillId="0" borderId="0" xfId="42" applyFont="1" applyProtection="1">
      <protection locked="0"/>
    </xf>
    <xf numFmtId="0" fontId="35" fillId="0" borderId="0" xfId="42" applyFont="1" applyAlignment="1" applyProtection="1">
      <alignment horizontal="right"/>
      <protection locked="0"/>
    </xf>
    <xf numFmtId="0" fontId="35" fillId="0" borderId="10" xfId="42" applyFont="1" applyBorder="1" applyAlignment="1" applyProtection="1">
      <alignment vertical="center" wrapText="1"/>
      <protection locked="0"/>
    </xf>
    <xf numFmtId="0" fontId="37" fillId="37" borderId="10" xfId="42" applyFont="1" applyFill="1" applyBorder="1" applyAlignment="1" applyProtection="1">
      <alignment vertical="center" wrapText="1"/>
      <protection locked="0"/>
    </xf>
    <xf numFmtId="0" fontId="35" fillId="0" borderId="10" xfId="42" applyFont="1" applyBorder="1" applyAlignment="1" applyProtection="1">
      <alignment vertical="center"/>
      <protection locked="0"/>
    </xf>
    <xf numFmtId="0" fontId="37" fillId="0" borderId="0" xfId="42" applyFont="1" applyProtection="1">
      <protection locked="0"/>
    </xf>
    <xf numFmtId="0" fontId="41" fillId="0" borderId="0" xfId="42" applyFont="1" applyAlignment="1" applyProtection="1">
      <alignment horizontal="left" vertical="center"/>
      <protection locked="0"/>
    </xf>
    <xf numFmtId="0" fontId="35" fillId="0" borderId="0" xfId="42" applyFont="1" applyAlignment="1" applyProtection="1">
      <alignment horizontal="left"/>
      <protection locked="0"/>
    </xf>
    <xf numFmtId="0" fontId="35" fillId="0" borderId="0" xfId="42" applyFont="1" applyAlignment="1" applyProtection="1">
      <alignment horizontal="right" vertical="center"/>
      <protection locked="0"/>
    </xf>
    <xf numFmtId="0" fontId="37" fillId="36" borderId="10" xfId="42" applyFont="1" applyFill="1" applyBorder="1" applyAlignment="1" applyProtection="1">
      <alignment vertical="center"/>
      <protection locked="0"/>
    </xf>
    <xf numFmtId="0" fontId="35" fillId="37" borderId="20" xfId="42" applyFont="1" applyFill="1" applyBorder="1" applyAlignment="1" applyProtection="1">
      <alignment horizontal="center" vertical="center"/>
      <protection locked="0"/>
    </xf>
    <xf numFmtId="0" fontId="37" fillId="0" borderId="10" xfId="42" applyFont="1" applyBorder="1" applyAlignment="1" applyProtection="1">
      <alignment vertical="center" wrapText="1"/>
      <protection locked="0"/>
    </xf>
    <xf numFmtId="0" fontId="37" fillId="37" borderId="10" xfId="42" applyFont="1" applyFill="1" applyBorder="1" applyAlignment="1" applyProtection="1">
      <alignment vertical="center"/>
      <protection locked="0"/>
    </xf>
    <xf numFmtId="0" fontId="35" fillId="0" borderId="0" xfId="42" applyFont="1" applyAlignment="1" applyProtection="1">
      <alignment horizontal="center"/>
      <protection locked="0"/>
    </xf>
    <xf numFmtId="164" fontId="43" fillId="0" borderId="0" xfId="43" applyNumberFormat="1" applyFont="1" applyAlignment="1" applyProtection="1">
      <alignment vertical="center"/>
      <protection locked="0"/>
    </xf>
    <xf numFmtId="164" fontId="34" fillId="36" borderId="32" xfId="43" applyNumberFormat="1" applyFont="1" applyFill="1" applyBorder="1" applyAlignment="1" applyProtection="1">
      <alignment horizontal="center" vertical="center" wrapText="1"/>
      <protection locked="0"/>
    </xf>
    <xf numFmtId="3" fontId="34" fillId="36" borderId="15" xfId="43" applyNumberFormat="1" applyFont="1" applyFill="1" applyBorder="1" applyAlignment="1" applyProtection="1">
      <alignment horizontal="center" vertical="center" wrapText="1"/>
      <protection locked="0"/>
    </xf>
    <xf numFmtId="164" fontId="34" fillId="36" borderId="10" xfId="43" applyNumberFormat="1" applyFont="1" applyFill="1" applyBorder="1" applyAlignment="1" applyProtection="1">
      <alignment horizontal="center" vertical="center"/>
      <protection locked="0"/>
    </xf>
    <xf numFmtId="164" fontId="34" fillId="36" borderId="34" xfId="43" applyNumberFormat="1" applyFont="1" applyFill="1" applyBorder="1" applyAlignment="1" applyProtection="1">
      <alignment vertical="center"/>
      <protection locked="0"/>
    </xf>
    <xf numFmtId="164" fontId="34" fillId="36" borderId="13" xfId="43" applyNumberFormat="1" applyFont="1" applyFill="1" applyBorder="1" applyAlignment="1" applyProtection="1">
      <alignment horizontal="center" vertical="center"/>
      <protection locked="0"/>
    </xf>
    <xf numFmtId="3" fontId="34" fillId="36" borderId="10" xfId="43" applyNumberFormat="1" applyFont="1" applyFill="1" applyBorder="1" applyAlignment="1" applyProtection="1">
      <alignment horizontal="center" vertical="center"/>
      <protection locked="0"/>
    </xf>
    <xf numFmtId="3" fontId="34" fillId="36" borderId="18" xfId="43" applyNumberFormat="1" applyFont="1" applyFill="1" applyBorder="1" applyAlignment="1" applyProtection="1">
      <alignment vertical="center"/>
      <protection locked="0"/>
    </xf>
    <xf numFmtId="164" fontId="40" fillId="37" borderId="10" xfId="43" applyNumberFormat="1" applyFont="1" applyFill="1" applyBorder="1" applyAlignment="1" applyProtection="1">
      <alignment horizontal="center" vertical="center"/>
      <protection locked="0"/>
    </xf>
    <xf numFmtId="164" fontId="43" fillId="0" borderId="10" xfId="43" applyNumberFormat="1" applyFont="1" applyBorder="1" applyAlignment="1" applyProtection="1">
      <alignment vertical="center"/>
      <protection locked="0"/>
    </xf>
    <xf numFmtId="164" fontId="43" fillId="0" borderId="0" xfId="43" applyNumberFormat="1" applyFont="1" applyAlignment="1" applyProtection="1">
      <alignment horizontal="center" vertical="center"/>
      <protection locked="0"/>
    </xf>
    <xf numFmtId="3" fontId="43" fillId="0" borderId="0" xfId="43" applyNumberFormat="1" applyFont="1" applyAlignment="1" applyProtection="1">
      <alignment vertical="center"/>
      <protection locked="0"/>
    </xf>
    <xf numFmtId="164" fontId="40" fillId="0" borderId="0" xfId="43" applyNumberFormat="1" applyFont="1" applyAlignment="1" applyProtection="1">
      <alignment vertical="center"/>
      <protection locked="0"/>
    </xf>
    <xf numFmtId="3" fontId="40" fillId="37" borderId="10" xfId="43" applyNumberFormat="1" applyFont="1" applyFill="1" applyBorder="1" applyAlignment="1" applyProtection="1">
      <alignment horizontal="center" vertical="center"/>
      <protection locked="0"/>
    </xf>
    <xf numFmtId="164" fontId="40" fillId="0" borderId="10" xfId="43" applyNumberFormat="1" applyFont="1" applyBorder="1" applyAlignment="1" applyProtection="1">
      <alignment vertical="center"/>
      <protection locked="0"/>
    </xf>
    <xf numFmtId="164" fontId="42" fillId="0" borderId="0" xfId="43" applyNumberFormat="1" applyFont="1" applyAlignment="1" applyProtection="1">
      <alignment vertical="center"/>
      <protection locked="0"/>
    </xf>
    <xf numFmtId="164" fontId="34" fillId="36" borderId="25" xfId="43" applyNumberFormat="1" applyFont="1" applyFill="1" applyBorder="1" applyAlignment="1" applyProtection="1">
      <alignment horizontal="right" vertical="center"/>
      <protection locked="0"/>
    </xf>
    <xf numFmtId="164" fontId="34" fillId="36" borderId="35" xfId="43" applyNumberFormat="1" applyFont="1" applyFill="1" applyBorder="1" applyAlignment="1" applyProtection="1">
      <alignment horizontal="center" vertical="center"/>
      <protection locked="0"/>
    </xf>
    <xf numFmtId="164" fontId="34" fillId="36" borderId="22" xfId="43" applyNumberFormat="1" applyFont="1" applyFill="1" applyBorder="1" applyAlignment="1" applyProtection="1">
      <alignment horizontal="center" vertical="center"/>
      <protection locked="0"/>
    </xf>
    <xf numFmtId="164" fontId="34" fillId="36" borderId="24" xfId="43" applyNumberFormat="1" applyFont="1" applyFill="1" applyBorder="1" applyAlignment="1" applyProtection="1">
      <alignment horizontal="right" vertical="center"/>
      <protection locked="0"/>
    </xf>
    <xf numFmtId="164" fontId="34" fillId="36" borderId="23" xfId="43" applyNumberFormat="1" applyFont="1" applyFill="1" applyBorder="1" applyAlignment="1" applyProtection="1">
      <alignment vertical="center"/>
      <protection locked="0"/>
    </xf>
    <xf numFmtId="164" fontId="36" fillId="36" borderId="36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10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35" xfId="43" applyNumberFormat="1" applyFont="1" applyFill="1" applyBorder="1" applyAlignment="1" applyProtection="1">
      <alignment horizontal="center" vertical="center" wrapText="1"/>
      <protection locked="0"/>
    </xf>
    <xf numFmtId="164" fontId="43" fillId="0" borderId="0" xfId="43" applyNumberFormat="1" applyFont="1" applyAlignment="1" applyProtection="1">
      <alignment vertical="center" wrapText="1"/>
      <protection locked="0"/>
    </xf>
    <xf numFmtId="0" fontId="34" fillId="36" borderId="10" xfId="42" applyFont="1" applyFill="1" applyBorder="1" applyAlignment="1" applyProtection="1">
      <alignment horizontal="center" vertical="center" wrapText="1"/>
      <protection locked="0"/>
    </xf>
    <xf numFmtId="0" fontId="35" fillId="0" borderId="0" xfId="42" applyFont="1" applyAlignment="1" applyProtection="1">
      <alignment horizontal="center" vertical="center"/>
      <protection locked="0"/>
    </xf>
    <xf numFmtId="0" fontId="40" fillId="37" borderId="20" xfId="45" applyFont="1" applyFill="1" applyBorder="1" applyAlignment="1" applyProtection="1">
      <alignment vertical="center" wrapText="1"/>
      <protection locked="0"/>
    </xf>
    <xf numFmtId="0" fontId="45" fillId="0" borderId="20" xfId="45" applyFont="1" applyBorder="1" applyAlignment="1" applyProtection="1">
      <alignment vertical="center" wrapText="1"/>
      <protection locked="0"/>
    </xf>
    <xf numFmtId="0" fontId="45" fillId="0" borderId="20" xfId="45" quotePrefix="1" applyFont="1" applyBorder="1" applyAlignment="1" applyProtection="1">
      <alignment horizontal="left" vertical="center" wrapText="1"/>
      <protection locked="0"/>
    </xf>
    <xf numFmtId="0" fontId="43" fillId="0" borderId="20" xfId="45" applyFont="1" applyBorder="1" applyAlignment="1" applyProtection="1">
      <alignment vertical="center" wrapText="1"/>
      <protection locked="0"/>
    </xf>
    <xf numFmtId="0" fontId="43" fillId="0" borderId="0" xfId="45" applyFont="1" applyAlignment="1" applyProtection="1">
      <alignment vertical="center"/>
      <protection locked="0"/>
    </xf>
    <xf numFmtId="0" fontId="48" fillId="0" borderId="20" xfId="45" applyFont="1" applyBorder="1" applyAlignment="1" applyProtection="1">
      <alignment vertical="center"/>
      <protection locked="0"/>
    </xf>
    <xf numFmtId="0" fontId="43" fillId="0" borderId="22" xfId="45" applyFont="1" applyBorder="1" applyAlignment="1" applyProtection="1">
      <alignment vertical="center"/>
      <protection locked="0"/>
    </xf>
    <xf numFmtId="0" fontId="43" fillId="0" borderId="21" xfId="45" applyFont="1" applyBorder="1" applyAlignment="1" applyProtection="1">
      <alignment vertical="center"/>
      <protection locked="0"/>
    </xf>
    <xf numFmtId="0" fontId="43" fillId="0" borderId="20" xfId="45" applyFont="1" applyBorder="1" applyAlignment="1" applyProtection="1">
      <alignment vertical="center"/>
      <protection locked="0"/>
    </xf>
    <xf numFmtId="0" fontId="39" fillId="36" borderId="23" xfId="45" applyFont="1" applyFill="1" applyBorder="1" applyAlignment="1" applyProtection="1">
      <alignment horizontal="center" vertical="center"/>
      <protection locked="0"/>
    </xf>
    <xf numFmtId="0" fontId="35" fillId="0" borderId="0" xfId="42" applyFont="1" applyAlignment="1" applyProtection="1">
      <alignment vertical="center"/>
      <protection locked="0"/>
    </xf>
    <xf numFmtId="0" fontId="37" fillId="0" borderId="0" xfId="42" applyFont="1" applyAlignment="1" applyProtection="1">
      <alignment vertical="center"/>
      <protection locked="0"/>
    </xf>
    <xf numFmtId="0" fontId="40" fillId="38" borderId="10" xfId="42" applyFont="1" applyFill="1" applyBorder="1" applyAlignment="1" applyProtection="1">
      <alignment vertical="center"/>
      <protection locked="0"/>
    </xf>
    <xf numFmtId="0" fontId="37" fillId="37" borderId="10" xfId="42" quotePrefix="1" applyFont="1" applyFill="1" applyBorder="1" applyAlignment="1" applyProtection="1">
      <alignment horizontal="left" vertical="center" wrapText="1"/>
      <protection locked="0"/>
    </xf>
    <xf numFmtId="0" fontId="37" fillId="0" borderId="10" xfId="42" quotePrefix="1" applyFont="1" applyBorder="1" applyAlignment="1" applyProtection="1">
      <alignment horizontal="left" vertical="center" wrapText="1"/>
      <protection locked="0"/>
    </xf>
    <xf numFmtId="0" fontId="37" fillId="0" borderId="10" xfId="42" applyFont="1" applyBorder="1" applyAlignment="1" applyProtection="1">
      <alignment horizontal="left" vertical="center" wrapText="1"/>
      <protection locked="0"/>
    </xf>
    <xf numFmtId="0" fontId="52" fillId="36" borderId="10" xfId="42" quotePrefix="1" applyFont="1" applyFill="1" applyBorder="1" applyAlignment="1" applyProtection="1">
      <alignment horizontal="left" vertical="center"/>
      <protection locked="0"/>
    </xf>
    <xf numFmtId="0" fontId="35" fillId="36" borderId="10" xfId="42" applyFont="1" applyFill="1" applyBorder="1" applyAlignment="1" applyProtection="1">
      <alignment vertical="center"/>
      <protection locked="0"/>
    </xf>
    <xf numFmtId="0" fontId="54" fillId="36" borderId="37" xfId="46" applyFont="1" applyFill="1" applyBorder="1" applyAlignment="1" applyProtection="1">
      <alignment horizontal="center" vertical="top" wrapText="1"/>
      <protection locked="0"/>
    </xf>
    <xf numFmtId="0" fontId="55" fillId="0" borderId="0" xfId="46" applyFont="1" applyProtection="1">
      <protection locked="0"/>
    </xf>
    <xf numFmtId="0" fontId="55" fillId="0" borderId="38" xfId="46" applyFont="1" applyBorder="1" applyAlignment="1" applyProtection="1">
      <alignment vertical="top"/>
      <protection locked="0"/>
    </xf>
    <xf numFmtId="0" fontId="37" fillId="0" borderId="0" xfId="42" applyFont="1" applyAlignment="1" applyProtection="1">
      <alignment horizontal="left" vertical="center"/>
      <protection locked="0"/>
    </xf>
    <xf numFmtId="0" fontId="56" fillId="0" borderId="39" xfId="46" applyFont="1" applyBorder="1" applyAlignment="1" applyProtection="1">
      <alignment horizontal="center" vertical="top"/>
      <protection locked="0"/>
    </xf>
    <xf numFmtId="0" fontId="57" fillId="36" borderId="40" xfId="46" applyFont="1" applyFill="1" applyBorder="1" applyAlignment="1" applyProtection="1">
      <alignment horizontal="center" vertical="top"/>
      <protection locked="0"/>
    </xf>
    <xf numFmtId="0" fontId="56" fillId="37" borderId="40" xfId="46" applyFont="1" applyFill="1" applyBorder="1" applyAlignment="1" applyProtection="1">
      <alignment horizontal="center" vertical="top"/>
      <protection locked="0"/>
    </xf>
    <xf numFmtId="0" fontId="56" fillId="0" borderId="40" xfId="46" applyFont="1" applyBorder="1" applyAlignment="1" applyProtection="1">
      <alignment vertical="top" wrapText="1"/>
      <protection locked="0"/>
    </xf>
    <xf numFmtId="0" fontId="40" fillId="0" borderId="11" xfId="45" applyFont="1" applyBorder="1" applyAlignment="1" applyProtection="1">
      <alignment horizontal="centerContinuous" vertical="center"/>
      <protection locked="0"/>
    </xf>
    <xf numFmtId="0" fontId="40" fillId="0" borderId="12" xfId="45" applyFont="1" applyBorder="1" applyAlignment="1" applyProtection="1">
      <alignment horizontal="centerContinuous" vertical="center"/>
      <protection locked="0"/>
    </xf>
    <xf numFmtId="0" fontId="43" fillId="0" borderId="13" xfId="45" applyFont="1" applyBorder="1" applyAlignment="1" applyProtection="1">
      <alignment vertical="center"/>
      <protection locked="0"/>
    </xf>
    <xf numFmtId="0" fontId="43" fillId="0" borderId="12" xfId="45" applyFont="1" applyBorder="1" applyAlignment="1" applyProtection="1">
      <alignment vertical="center"/>
      <protection locked="0"/>
    </xf>
    <xf numFmtId="0" fontId="43" fillId="0" borderId="14" xfId="45" applyFont="1" applyBorder="1" applyAlignment="1" applyProtection="1">
      <alignment vertical="center"/>
      <protection locked="0"/>
    </xf>
    <xf numFmtId="0" fontId="43" fillId="0" borderId="15" xfId="45" applyFont="1" applyBorder="1" applyAlignment="1" applyProtection="1">
      <alignment vertical="center"/>
      <protection locked="0"/>
    </xf>
    <xf numFmtId="0" fontId="49" fillId="0" borderId="14" xfId="45" applyFont="1" applyBorder="1" applyAlignment="1" applyProtection="1">
      <alignment vertical="center"/>
      <protection locked="0"/>
    </xf>
    <xf numFmtId="0" fontId="40" fillId="0" borderId="0" xfId="45" applyFont="1" applyAlignment="1" applyProtection="1">
      <alignment horizontal="center" vertical="center"/>
      <protection locked="0"/>
    </xf>
    <xf numFmtId="0" fontId="40" fillId="0" borderId="14" xfId="45" applyFont="1" applyBorder="1" applyAlignment="1" applyProtection="1">
      <alignment vertical="center"/>
      <protection locked="0"/>
    </xf>
    <xf numFmtId="0" fontId="58" fillId="0" borderId="0" xfId="45" applyFont="1" applyAlignment="1" applyProtection="1">
      <alignment vertical="center"/>
      <protection locked="0"/>
    </xf>
    <xf numFmtId="0" fontId="58" fillId="0" borderId="15" xfId="45" applyFont="1" applyBorder="1" applyAlignment="1" applyProtection="1">
      <alignment vertical="center"/>
      <protection locked="0"/>
    </xf>
    <xf numFmtId="0" fontId="43" fillId="0" borderId="16" xfId="45" applyFont="1" applyBorder="1" applyAlignment="1" applyProtection="1">
      <alignment vertical="center"/>
      <protection locked="0"/>
    </xf>
    <xf numFmtId="0" fontId="43" fillId="0" borderId="17" xfId="45" applyFont="1" applyBorder="1" applyAlignment="1" applyProtection="1">
      <alignment vertical="center"/>
      <protection locked="0"/>
    </xf>
    <xf numFmtId="0" fontId="43" fillId="0" borderId="18" xfId="45" applyFont="1" applyBorder="1" applyAlignment="1" applyProtection="1">
      <alignment vertical="center"/>
      <protection locked="0"/>
    </xf>
    <xf numFmtId="0" fontId="35" fillId="37" borderId="22" xfId="42" applyFont="1" applyFill="1" applyBorder="1" applyAlignment="1" applyProtection="1">
      <alignment horizontal="center" vertical="center"/>
      <protection locked="0"/>
    </xf>
    <xf numFmtId="0" fontId="37" fillId="36" borderId="10" xfId="42" applyFont="1" applyFill="1" applyBorder="1" applyAlignment="1" applyProtection="1">
      <alignment vertical="center" wrapText="1"/>
      <protection locked="0"/>
    </xf>
    <xf numFmtId="0" fontId="33" fillId="0" borderId="0" xfId="42" applyFont="1" applyProtection="1">
      <protection locked="0"/>
    </xf>
    <xf numFmtId="0" fontId="61" fillId="36" borderId="20" xfId="42" applyFont="1" applyFill="1" applyBorder="1" applyAlignment="1" applyProtection="1">
      <alignment vertical="center"/>
      <protection locked="0"/>
    </xf>
    <xf numFmtId="0" fontId="34" fillId="36" borderId="21" xfId="42" applyFont="1" applyFill="1" applyBorder="1" applyAlignment="1" applyProtection="1">
      <alignment vertical="center" wrapText="1"/>
      <protection locked="0"/>
    </xf>
    <xf numFmtId="0" fontId="34" fillId="36" borderId="22" xfId="42" applyFont="1" applyFill="1" applyBorder="1" applyAlignment="1" applyProtection="1">
      <alignment vertical="center" wrapText="1"/>
      <protection locked="0"/>
    </xf>
    <xf numFmtId="0" fontId="38" fillId="0" borderId="14" xfId="42" applyFont="1" applyBorder="1" applyAlignment="1" applyProtection="1">
      <alignment vertical="center" wrapText="1"/>
      <protection locked="0"/>
    </xf>
    <xf numFmtId="0" fontId="38" fillId="0" borderId="0" xfId="42" applyFont="1" applyAlignment="1" applyProtection="1">
      <alignment vertical="center"/>
      <protection locked="0"/>
    </xf>
    <xf numFmtId="0" fontId="34" fillId="36" borderId="23" xfId="42" applyFont="1" applyFill="1" applyBorder="1" applyAlignment="1" applyProtection="1">
      <alignment vertical="center"/>
      <protection locked="0"/>
    </xf>
    <xf numFmtId="0" fontId="35" fillId="0" borderId="14" xfId="42" applyFont="1" applyBorder="1" applyAlignment="1" applyProtection="1">
      <alignment vertical="center"/>
      <protection locked="0"/>
    </xf>
    <xf numFmtId="0" fontId="35" fillId="0" borderId="14" xfId="42" applyFont="1" applyBorder="1" applyAlignment="1" applyProtection="1">
      <alignment horizontal="center" vertical="center"/>
      <protection locked="0"/>
    </xf>
    <xf numFmtId="0" fontId="38" fillId="0" borderId="14" xfId="42" applyFont="1" applyBorder="1" applyAlignment="1" applyProtection="1">
      <alignment vertical="center"/>
      <protection locked="0"/>
    </xf>
    <xf numFmtId="0" fontId="34" fillId="36" borderId="20" xfId="42" applyFont="1" applyFill="1" applyBorder="1" applyAlignment="1" applyProtection="1">
      <alignment vertical="center"/>
      <protection locked="0"/>
    </xf>
    <xf numFmtId="0" fontId="34" fillId="36" borderId="22" xfId="42" applyFont="1" applyFill="1" applyBorder="1" applyAlignment="1" applyProtection="1">
      <alignment vertical="center"/>
      <protection locked="0"/>
    </xf>
    <xf numFmtId="0" fontId="37" fillId="37" borderId="20" xfId="42" applyFont="1" applyFill="1" applyBorder="1" applyAlignment="1" applyProtection="1">
      <alignment vertical="center" wrapText="1"/>
      <protection locked="0"/>
    </xf>
    <xf numFmtId="0" fontId="37" fillId="37" borderId="22" xfId="42" applyFont="1" applyFill="1" applyBorder="1" applyAlignment="1" applyProtection="1">
      <alignment vertical="center" wrapText="1"/>
      <protection locked="0"/>
    </xf>
    <xf numFmtId="14" fontId="35" fillId="0" borderId="0" xfId="42" applyNumberFormat="1" applyFont="1" applyProtection="1">
      <protection locked="0"/>
    </xf>
    <xf numFmtId="0" fontId="34" fillId="36" borderId="22" xfId="42" applyFont="1" applyFill="1" applyBorder="1" applyAlignment="1" applyProtection="1">
      <alignment horizontal="center" vertical="center" wrapText="1"/>
      <protection locked="0"/>
    </xf>
    <xf numFmtId="0" fontId="34" fillId="36" borderId="20" xfId="42" applyFont="1" applyFill="1" applyBorder="1" applyAlignment="1" applyProtection="1">
      <alignment horizontal="center" vertical="center" wrapText="1"/>
      <protection locked="0"/>
    </xf>
    <xf numFmtId="0" fontId="35" fillId="37" borderId="10" xfId="42" applyFont="1" applyFill="1" applyBorder="1" applyAlignment="1" applyProtection="1">
      <alignment horizontal="center" vertical="center" wrapText="1"/>
      <protection locked="0"/>
    </xf>
    <xf numFmtId="0" fontId="35" fillId="0" borderId="20" xfId="42" applyFont="1" applyBorder="1" applyAlignment="1" applyProtection="1">
      <alignment vertical="center" wrapText="1"/>
      <protection locked="0"/>
    </xf>
    <xf numFmtId="0" fontId="62" fillId="0" borderId="0" xfId="42" applyFont="1" applyProtection="1">
      <protection locked="0"/>
    </xf>
    <xf numFmtId="0" fontId="61" fillId="0" borderId="0" xfId="42" applyFont="1" applyAlignment="1" applyProtection="1">
      <alignment horizontal="center" vertical="center" wrapText="1"/>
      <protection locked="0"/>
    </xf>
    <xf numFmtId="0" fontId="34" fillId="0" borderId="14" xfId="42" applyFont="1" applyBorder="1" applyAlignment="1" applyProtection="1">
      <alignment horizontal="center" vertical="center" wrapText="1"/>
      <protection locked="0"/>
    </xf>
    <xf numFmtId="0" fontId="38" fillId="0" borderId="0" xfId="42" applyFont="1" applyAlignment="1" applyProtection="1">
      <alignment vertical="center" wrapText="1"/>
      <protection locked="0"/>
    </xf>
    <xf numFmtId="3" fontId="35" fillId="0" borderId="10" xfId="42" applyNumberFormat="1" applyFont="1" applyBorder="1" applyAlignment="1" applyProtection="1">
      <alignment horizontal="right" vertical="center"/>
      <protection locked="0"/>
    </xf>
    <xf numFmtId="0" fontId="35" fillId="0" borderId="0" xfId="42" applyFont="1" applyAlignment="1" applyProtection="1">
      <alignment horizontal="left" vertical="top" wrapText="1"/>
      <protection locked="0"/>
    </xf>
    <xf numFmtId="0" fontId="40" fillId="38" borderId="10" xfId="42" applyFont="1" applyFill="1" applyBorder="1" applyAlignment="1" applyProtection="1">
      <alignment horizontal="center" vertical="center"/>
      <protection locked="0"/>
    </xf>
    <xf numFmtId="0" fontId="40" fillId="38" borderId="20" xfId="42" applyFont="1" applyFill="1" applyBorder="1" applyAlignment="1" applyProtection="1">
      <alignment horizontal="center" vertical="center" wrapText="1"/>
      <protection locked="0"/>
    </xf>
    <xf numFmtId="0" fontId="40" fillId="38" borderId="10" xfId="42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vertical="center"/>
    </xf>
    <xf numFmtId="0" fontId="0" fillId="0" borderId="0" xfId="0" applyAlignment="1"/>
    <xf numFmtId="0" fontId="50" fillId="0" borderId="0" xfId="0" applyFont="1"/>
    <xf numFmtId="0" fontId="50" fillId="0" borderId="0" xfId="0" applyFont="1" applyAlignment="1">
      <alignment vertical="center"/>
    </xf>
    <xf numFmtId="0" fontId="43" fillId="0" borderId="10" xfId="0" applyFont="1" applyBorder="1" applyAlignment="1">
      <alignment vertical="center"/>
    </xf>
    <xf numFmtId="0" fontId="43" fillId="0" borderId="10" xfId="0" applyFont="1" applyBorder="1" applyAlignment="1">
      <alignment horizontal="center" vertical="center"/>
    </xf>
    <xf numFmtId="0" fontId="43" fillId="0" borderId="10" xfId="43" applyNumberFormat="1" applyFont="1" applyBorder="1" applyAlignment="1" applyProtection="1">
      <alignment vertical="center" wrapText="1"/>
      <protection locked="0"/>
    </xf>
    <xf numFmtId="0" fontId="35" fillId="0" borderId="0" xfId="42" applyFont="1" applyAlignment="1" applyProtection="1">
      <protection locked="0"/>
    </xf>
    <xf numFmtId="0" fontId="50" fillId="0" borderId="0" xfId="42" applyFont="1" applyAlignment="1" applyProtection="1">
      <alignment horizontal="right" vertical="center"/>
      <protection locked="0"/>
    </xf>
    <xf numFmtId="14" fontId="24" fillId="0" borderId="0" xfId="0" applyNumberFormat="1" applyFont="1" applyAlignment="1">
      <alignment horizontal="center"/>
    </xf>
    <xf numFmtId="0" fontId="40" fillId="0" borderId="10" xfId="42" applyFont="1" applyBorder="1" applyAlignment="1" applyProtection="1">
      <alignment horizontal="left" vertical="top" wrapText="1"/>
      <protection locked="0"/>
    </xf>
    <xf numFmtId="0" fontId="37" fillId="0" borderId="0" xfId="42" applyFont="1" applyAlignment="1" applyProtection="1">
      <alignment horizontal="left"/>
      <protection locked="0"/>
    </xf>
    <xf numFmtId="0" fontId="64" fillId="0" borderId="0" xfId="0" applyFont="1"/>
    <xf numFmtId="4" fontId="35" fillId="0" borderId="0" xfId="42" applyNumberFormat="1" applyFont="1" applyProtection="1">
      <protection locked="0"/>
    </xf>
    <xf numFmtId="3" fontId="35" fillId="0" borderId="20" xfId="42" applyNumberFormat="1" applyFont="1" applyBorder="1" applyAlignment="1" applyProtection="1">
      <alignment horizontal="right" vertical="center"/>
      <protection locked="0"/>
    </xf>
    <xf numFmtId="0" fontId="24" fillId="0" borderId="1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67" fillId="0" borderId="0" xfId="0" applyFont="1" applyAlignment="1" applyProtection="1">
      <alignment horizontal="left"/>
      <protection locked="0"/>
    </xf>
    <xf numFmtId="0" fontId="66" fillId="0" borderId="0" xfId="0" applyFont="1" applyAlignment="1" applyProtection="1">
      <alignment horizontal="left"/>
      <protection locked="0"/>
    </xf>
    <xf numFmtId="0" fontId="68" fillId="0" borderId="0" xfId="0" applyFont="1" applyAlignment="1" applyProtection="1">
      <alignment horizontal="left" vertical="center"/>
      <protection locked="0"/>
    </xf>
    <xf numFmtId="3" fontId="68" fillId="0" borderId="0" xfId="0" applyNumberFormat="1" applyFont="1" applyAlignment="1" applyProtection="1">
      <alignment horizontal="right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66" fillId="0" borderId="44" xfId="0" applyFont="1" applyBorder="1" applyAlignment="1" applyProtection="1">
      <alignment horizontal="left"/>
      <protection locked="0"/>
    </xf>
    <xf numFmtId="0" fontId="66" fillId="0" borderId="45" xfId="0" applyFont="1" applyBorder="1" applyAlignment="1" applyProtection="1">
      <alignment horizontal="left"/>
      <protection locked="0"/>
    </xf>
    <xf numFmtId="0" fontId="66" fillId="0" borderId="46" xfId="0" applyFont="1" applyBorder="1" applyAlignment="1" applyProtection="1">
      <alignment horizontal="left"/>
      <protection locked="0"/>
    </xf>
    <xf numFmtId="0" fontId="66" fillId="0" borderId="47" xfId="0" applyFont="1" applyBorder="1" applyAlignment="1" applyProtection="1">
      <alignment horizontal="left"/>
      <protection locked="0"/>
    </xf>
    <xf numFmtId="3" fontId="68" fillId="0" borderId="49" xfId="0" applyNumberFormat="1" applyFont="1" applyBorder="1" applyAlignment="1" applyProtection="1">
      <alignment horizontal="right" vertical="center"/>
      <protection locked="0"/>
    </xf>
    <xf numFmtId="3" fontId="68" fillId="0" borderId="50" xfId="0" applyNumberFormat="1" applyFont="1" applyBorder="1" applyAlignment="1" applyProtection="1">
      <alignment horizontal="right" vertical="center"/>
      <protection locked="0"/>
    </xf>
    <xf numFmtId="0" fontId="69" fillId="40" borderId="49" xfId="0" applyFont="1" applyFill="1" applyBorder="1" applyAlignment="1" applyProtection="1">
      <alignment horizontal="left" vertical="center"/>
      <protection locked="0"/>
    </xf>
    <xf numFmtId="0" fontId="20" fillId="0" borderId="0" xfId="42" applyFont="1" applyProtection="1">
      <protection locked="0"/>
    </xf>
    <xf numFmtId="0" fontId="74" fillId="0" borderId="0" xfId="0" applyFont="1"/>
    <xf numFmtId="0" fontId="79" fillId="0" borderId="0" xfId="42" applyFont="1" applyProtection="1">
      <protection locked="0"/>
    </xf>
    <xf numFmtId="0" fontId="79" fillId="0" borderId="0" xfId="42" applyFont="1" applyAlignment="1" applyProtection="1">
      <alignment horizontal="right"/>
      <protection locked="0"/>
    </xf>
    <xf numFmtId="0" fontId="79" fillId="0" borderId="10" xfId="42" applyFont="1" applyBorder="1" applyAlignment="1" applyProtection="1">
      <alignment vertical="center" wrapText="1"/>
      <protection locked="0"/>
    </xf>
    <xf numFmtId="0" fontId="80" fillId="36" borderId="10" xfId="42" applyFont="1" applyFill="1" applyBorder="1" applyAlignment="1" applyProtection="1">
      <alignment vertical="center"/>
      <protection locked="0"/>
    </xf>
    <xf numFmtId="0" fontId="79" fillId="36" borderId="20" xfId="42" applyFont="1" applyFill="1" applyBorder="1" applyAlignment="1" applyProtection="1">
      <alignment vertical="center"/>
      <protection locked="0"/>
    </xf>
    <xf numFmtId="3" fontId="79" fillId="36" borderId="22" xfId="42" applyNumberFormat="1" applyFont="1" applyFill="1" applyBorder="1" applyAlignment="1" applyProtection="1">
      <alignment vertical="center"/>
      <protection locked="0"/>
    </xf>
    <xf numFmtId="0" fontId="79" fillId="36" borderId="21" xfId="42" applyFont="1" applyFill="1" applyBorder="1" applyAlignment="1" applyProtection="1">
      <alignment vertical="center"/>
      <protection locked="0"/>
    </xf>
    <xf numFmtId="0" fontId="80" fillId="0" borderId="0" xfId="42" applyFont="1" applyProtection="1">
      <protection locked="0"/>
    </xf>
    <xf numFmtId="0" fontId="83" fillId="0" borderId="0" xfId="42" applyFont="1" applyAlignment="1" applyProtection="1">
      <alignment horizontal="left" vertical="center"/>
      <protection locked="0"/>
    </xf>
    <xf numFmtId="0" fontId="79" fillId="0" borderId="0" xfId="42" applyFont="1" applyAlignment="1" applyProtection="1">
      <alignment horizontal="left"/>
      <protection locked="0"/>
    </xf>
    <xf numFmtId="0" fontId="20" fillId="0" borderId="0" xfId="0" applyFont="1"/>
    <xf numFmtId="0" fontId="20" fillId="0" borderId="10" xfId="0" applyFont="1" applyBorder="1"/>
    <xf numFmtId="0" fontId="20" fillId="35" borderId="10" xfId="0" applyFont="1" applyFill="1" applyBorder="1"/>
    <xf numFmtId="0" fontId="20" fillId="0" borderId="10" xfId="0" applyFont="1" applyBorder="1" applyAlignment="1">
      <alignment wrapText="1"/>
    </xf>
    <xf numFmtId="0" fontId="74" fillId="0" borderId="0" xfId="0" applyFont="1" applyAlignment="1">
      <alignment vertical="center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0" fontId="20" fillId="34" borderId="10" xfId="0" applyFont="1" applyFill="1" applyBorder="1" applyAlignment="1">
      <alignment vertical="center" wrapText="1"/>
    </xf>
    <xf numFmtId="0" fontId="20" fillId="35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/>
    <xf numFmtId="0" fontId="23" fillId="0" borderId="0" xfId="0" applyFont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wrapText="1"/>
    </xf>
    <xf numFmtId="0" fontId="37" fillId="0" borderId="0" xfId="0" applyFont="1" applyAlignment="1">
      <alignment horizontal="center" vertical="center"/>
    </xf>
    <xf numFmtId="0" fontId="40" fillId="0" borderId="0" xfId="43" applyNumberFormat="1" applyFont="1" applyAlignment="1" applyProtection="1">
      <alignment horizontal="left" vertical="top"/>
      <protection locked="0"/>
    </xf>
    <xf numFmtId="0" fontId="40" fillId="0" borderId="10" xfId="43" applyNumberFormat="1" applyFont="1" applyBorder="1" applyAlignment="1" applyProtection="1">
      <alignment horizontal="left" vertical="top"/>
      <protection locked="0"/>
    </xf>
    <xf numFmtId="0" fontId="43" fillId="0" borderId="10" xfId="43" applyNumberFormat="1" applyFont="1" applyBorder="1" applyAlignment="1" applyProtection="1">
      <alignment horizontal="left" vertical="top"/>
      <protection locked="0"/>
    </xf>
    <xf numFmtId="0" fontId="84" fillId="0" borderId="10" xfId="47" applyFont="1" applyBorder="1" applyAlignment="1" applyProtection="1">
      <alignment vertical="center" wrapText="1"/>
      <protection locked="0"/>
    </xf>
    <xf numFmtId="0" fontId="20" fillId="0" borderId="10" xfId="0" applyFont="1" applyBorder="1" applyAlignment="1">
      <alignment vertical="center"/>
    </xf>
    <xf numFmtId="0" fontId="43" fillId="0" borderId="10" xfId="0" applyFont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20" fillId="33" borderId="10" xfId="0" applyFont="1" applyFill="1" applyBorder="1"/>
    <xf numFmtId="0" fontId="20" fillId="33" borderId="10" xfId="0" applyFont="1" applyFill="1" applyBorder="1" applyAlignment="1"/>
    <xf numFmtId="0" fontId="20" fillId="0" borderId="10" xfId="42" applyFont="1" applyBorder="1" applyAlignment="1" applyProtection="1">
      <alignment vertical="center" wrapText="1"/>
      <protection locked="0"/>
    </xf>
    <xf numFmtId="0" fontId="89" fillId="0" borderId="0" xfId="49" applyFont="1" applyProtection="1">
      <protection locked="0"/>
    </xf>
    <xf numFmtId="0" fontId="90" fillId="0" borderId="39" xfId="49" applyFont="1" applyBorder="1" applyAlignment="1" applyProtection="1">
      <alignment vertical="top"/>
      <protection locked="0"/>
    </xf>
    <xf numFmtId="0" fontId="90" fillId="0" borderId="42" xfId="49" applyFont="1" applyBorder="1" applyAlignment="1" applyProtection="1">
      <alignment vertical="top"/>
      <protection locked="0"/>
    </xf>
    <xf numFmtId="0" fontId="89" fillId="0" borderId="47" xfId="49" applyFont="1" applyBorder="1" applyAlignment="1" applyProtection="1">
      <alignment vertical="top"/>
      <protection locked="0"/>
    </xf>
    <xf numFmtId="0" fontId="90" fillId="0" borderId="47" xfId="49" applyFont="1" applyBorder="1" applyAlignment="1" applyProtection="1">
      <alignment vertical="top"/>
      <protection locked="0"/>
    </xf>
    <xf numFmtId="0" fontId="89" fillId="0" borderId="51" xfId="49" applyFont="1" applyBorder="1" applyAlignment="1" applyProtection="1">
      <alignment horizontal="left" vertical="top"/>
      <protection locked="0"/>
    </xf>
    <xf numFmtId="0" fontId="90" fillId="0" borderId="43" xfId="49" applyFont="1" applyBorder="1" applyAlignment="1" applyProtection="1">
      <alignment vertical="top"/>
      <protection locked="0"/>
    </xf>
    <xf numFmtId="0" fontId="89" fillId="0" borderId="48" xfId="49" applyFont="1" applyBorder="1" applyAlignment="1" applyProtection="1">
      <alignment vertical="top"/>
      <protection locked="0"/>
    </xf>
    <xf numFmtId="0" fontId="90" fillId="0" borderId="48" xfId="49" applyFont="1" applyBorder="1" applyAlignment="1" applyProtection="1">
      <alignment vertical="top"/>
      <protection locked="0"/>
    </xf>
    <xf numFmtId="0" fontId="90" fillId="0" borderId="48" xfId="49" applyFont="1" applyBorder="1" applyAlignment="1" applyProtection="1">
      <alignment horizontal="left" vertical="top"/>
      <protection locked="0"/>
    </xf>
    <xf numFmtId="0" fontId="89" fillId="0" borderId="48" xfId="49" applyFont="1" applyBorder="1" applyAlignment="1" applyProtection="1">
      <alignment horizontal="left" vertical="top"/>
      <protection locked="0"/>
    </xf>
    <xf numFmtId="0" fontId="89" fillId="0" borderId="52" xfId="49" applyFont="1" applyBorder="1" applyAlignment="1" applyProtection="1">
      <alignment vertical="top"/>
      <protection locked="0"/>
    </xf>
    <xf numFmtId="0" fontId="43" fillId="0" borderId="10" xfId="0" applyFont="1" applyBorder="1"/>
    <xf numFmtId="0" fontId="43" fillId="0" borderId="10" xfId="0" applyFont="1" applyBorder="1" applyAlignment="1">
      <alignment vertical="center" wrapText="1"/>
    </xf>
    <xf numFmtId="0" fontId="91" fillId="0" borderId="10" xfId="47" applyFont="1" applyBorder="1" applyAlignment="1" applyProtection="1">
      <alignment vertical="center" wrapText="1"/>
      <protection locked="0"/>
    </xf>
    <xf numFmtId="0" fontId="40" fillId="37" borderId="10" xfId="42" applyFont="1" applyFill="1" applyBorder="1" applyAlignment="1" applyProtection="1">
      <alignment vertical="center" wrapText="1"/>
      <protection locked="0"/>
    </xf>
    <xf numFmtId="0" fontId="43" fillId="0" borderId="10" xfId="42" applyFont="1" applyBorder="1" applyAlignment="1" applyProtection="1">
      <alignment vertical="center" wrapText="1"/>
      <protection locked="0"/>
    </xf>
    <xf numFmtId="0" fontId="66" fillId="0" borderId="0" xfId="0" applyFont="1" applyAlignment="1" applyProtection="1">
      <alignment horizontal="right"/>
      <protection locked="0"/>
    </xf>
    <xf numFmtId="0" fontId="24" fillId="0" borderId="25" xfId="0" applyFont="1" applyBorder="1"/>
    <xf numFmtId="0" fontId="29" fillId="0" borderId="20" xfId="0" applyFont="1" applyBorder="1" applyAlignment="1">
      <alignment horizontal="center" vertical="center" wrapText="1"/>
    </xf>
    <xf numFmtId="0" fontId="66" fillId="0" borderId="14" xfId="0" applyFont="1" applyBorder="1" applyAlignment="1" applyProtection="1">
      <alignment horizontal="left"/>
      <protection locked="0"/>
    </xf>
    <xf numFmtId="0" fontId="35" fillId="0" borderId="22" xfId="42" applyFont="1" applyBorder="1" applyAlignment="1" applyProtection="1">
      <alignment horizontal="center" vertical="center"/>
      <protection locked="0"/>
    </xf>
    <xf numFmtId="3" fontId="35" fillId="0" borderId="22" xfId="42" applyNumberFormat="1" applyFont="1" applyBorder="1" applyAlignment="1" applyProtection="1">
      <alignment vertical="center"/>
      <protection locked="0"/>
    </xf>
    <xf numFmtId="0" fontId="20" fillId="0" borderId="0" xfId="0" applyFont="1" applyAlignment="1">
      <alignment horizontal="center" vertical="center"/>
    </xf>
    <xf numFmtId="0" fontId="20" fillId="42" borderId="10" xfId="0" applyFont="1" applyFill="1" applyBorder="1" applyAlignment="1">
      <alignment wrapText="1"/>
    </xf>
    <xf numFmtId="0" fontId="20" fillId="42" borderId="10" xfId="0" applyFont="1" applyFill="1" applyBorder="1"/>
    <xf numFmtId="0" fontId="20" fillId="42" borderId="0" xfId="0" applyFont="1" applyFill="1"/>
    <xf numFmtId="0" fontId="84" fillId="0" borderId="0" xfId="47" applyFont="1" applyProtection="1">
      <protection locked="0"/>
    </xf>
    <xf numFmtId="166" fontId="84" fillId="0" borderId="0" xfId="47" applyNumberFormat="1" applyFont="1" applyProtection="1">
      <protection locked="0"/>
    </xf>
    <xf numFmtId="0" fontId="84" fillId="0" borderId="0" xfId="47" applyFont="1" applyAlignment="1" applyProtection="1">
      <alignment vertical="center" wrapText="1"/>
      <protection locked="0"/>
    </xf>
    <xf numFmtId="0" fontId="84" fillId="0" borderId="0" xfId="47" applyFont="1" applyAlignment="1" applyProtection="1">
      <alignment vertical="center"/>
      <protection locked="0"/>
    </xf>
    <xf numFmtId="0" fontId="84" fillId="0" borderId="0" xfId="47" applyFont="1" applyAlignment="1" applyProtection="1">
      <alignment horizontal="left" vertical="center" wrapText="1"/>
      <protection locked="0"/>
    </xf>
    <xf numFmtId="3" fontId="20" fillId="42" borderId="0" xfId="0" applyNumberFormat="1" applyFont="1" applyFill="1" applyAlignment="1">
      <alignment horizontal="right" vertical="center"/>
    </xf>
    <xf numFmtId="0" fontId="37" fillId="42" borderId="10" xfId="42" applyFont="1" applyFill="1" applyBorder="1" applyAlignment="1" applyProtection="1">
      <alignment vertical="center" wrapText="1"/>
      <protection locked="0"/>
    </xf>
    <xf numFmtId="0" fontId="35" fillId="42" borderId="0" xfId="42" applyFont="1" applyFill="1" applyProtection="1">
      <protection locked="0"/>
    </xf>
    <xf numFmtId="0" fontId="37" fillId="42" borderId="0" xfId="42" applyFont="1" applyFill="1" applyAlignment="1" applyProtection="1">
      <alignment vertical="center" wrapText="1"/>
      <protection locked="0"/>
    </xf>
    <xf numFmtId="0" fontId="68" fillId="42" borderId="0" xfId="0" applyFont="1" applyFill="1" applyAlignment="1" applyProtection="1">
      <alignment horizontal="center" vertical="center"/>
      <protection locked="0"/>
    </xf>
    <xf numFmtId="3" fontId="68" fillId="42" borderId="0" xfId="0" applyNumberFormat="1" applyFont="1" applyFill="1" applyAlignment="1" applyProtection="1">
      <alignment horizontal="right" vertical="center"/>
      <protection locked="0"/>
    </xf>
    <xf numFmtId="0" fontId="68" fillId="42" borderId="0" xfId="0" applyFont="1" applyFill="1" applyAlignment="1" applyProtection="1">
      <alignment horizontal="right" vertical="center"/>
      <protection locked="0"/>
    </xf>
    <xf numFmtId="0" fontId="20" fillId="42" borderId="10" xfId="0" applyFont="1" applyFill="1" applyBorder="1" applyAlignment="1">
      <alignment vertical="center" wrapText="1"/>
    </xf>
    <xf numFmtId="0" fontId="20" fillId="42" borderId="0" xfId="0" applyFont="1" applyFill="1" applyAlignment="1">
      <alignment vertical="center" wrapText="1"/>
    </xf>
    <xf numFmtId="3" fontId="20" fillId="42" borderId="0" xfId="0" applyNumberFormat="1" applyFont="1" applyFill="1" applyAlignment="1">
      <alignment vertical="center"/>
    </xf>
    <xf numFmtId="0" fontId="20" fillId="42" borderId="0" xfId="0" applyFont="1" applyFill="1" applyAlignment="1">
      <alignment horizontal="center" vertical="center"/>
    </xf>
    <xf numFmtId="0" fontId="20" fillId="42" borderId="0" xfId="0" applyFont="1" applyFill="1" applyAlignment="1">
      <alignment vertical="center"/>
    </xf>
    <xf numFmtId="0" fontId="35" fillId="0" borderId="0" xfId="42" applyFont="1" applyAlignment="1" applyProtection="1">
      <alignment vertical="center" wrapText="1"/>
      <protection locked="0"/>
    </xf>
    <xf numFmtId="3" fontId="35" fillId="0" borderId="0" xfId="42" applyNumberFormat="1" applyFont="1" applyAlignment="1" applyProtection="1">
      <alignment horizontal="right" vertical="center"/>
      <protection locked="0"/>
    </xf>
    <xf numFmtId="0" fontId="35" fillId="42" borderId="0" xfId="42" applyFont="1" applyFill="1" applyAlignment="1" applyProtection="1">
      <alignment horizontal="center" vertical="center"/>
      <protection locked="0"/>
    </xf>
    <xf numFmtId="3" fontId="68" fillId="42" borderId="0" xfId="0" applyNumberFormat="1" applyFont="1" applyFill="1" applyAlignment="1" applyProtection="1">
      <alignment horizontal="right" vertical="center" wrapText="1"/>
      <protection locked="0"/>
    </xf>
    <xf numFmtId="0" fontId="35" fillId="42" borderId="0" xfId="42" applyFont="1" applyFill="1" applyAlignment="1" applyProtection="1">
      <alignment vertical="center"/>
      <protection locked="0"/>
    </xf>
    <xf numFmtId="0" fontId="35" fillId="0" borderId="0" xfId="42" applyFont="1" applyAlignment="1" applyProtection="1">
      <alignment horizontal="left" vertical="center" wrapText="1"/>
      <protection locked="0"/>
    </xf>
    <xf numFmtId="0" fontId="20" fillId="42" borderId="10" xfId="0" applyFont="1" applyFill="1" applyBorder="1" applyAlignment="1">
      <alignment horizontal="left" vertical="center" wrapText="1"/>
    </xf>
    <xf numFmtId="0" fontId="20" fillId="42" borderId="0" xfId="0" applyFont="1" applyFill="1" applyAlignment="1">
      <alignment horizontal="left" vertical="center" wrapText="1"/>
    </xf>
    <xf numFmtId="3" fontId="20" fillId="42" borderId="0" xfId="0" applyNumberFormat="1" applyFont="1" applyFill="1" applyAlignment="1">
      <alignment horizontal="right" vertical="center" wrapText="1"/>
    </xf>
    <xf numFmtId="0" fontId="20" fillId="42" borderId="0" xfId="0" applyFont="1" applyFill="1" applyAlignment="1">
      <alignment horizontal="center" vertical="center" wrapText="1"/>
    </xf>
    <xf numFmtId="0" fontId="37" fillId="35" borderId="10" xfId="0" applyFont="1" applyFill="1" applyBorder="1" applyAlignment="1">
      <alignment horizontal="left" vertical="center" wrapText="1"/>
    </xf>
    <xf numFmtId="0" fontId="37" fillId="34" borderId="10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87" fillId="42" borderId="0" xfId="0" applyFont="1" applyFill="1" applyAlignment="1" applyProtection="1">
      <alignment horizontal="left" vertical="center"/>
      <protection locked="0"/>
    </xf>
    <xf numFmtId="3" fontId="92" fillId="42" borderId="0" xfId="0" applyNumberFormat="1" applyFont="1" applyFill="1" applyAlignment="1" applyProtection="1">
      <alignment horizontal="right" vertical="center"/>
      <protection locked="0"/>
    </xf>
    <xf numFmtId="0" fontId="92" fillId="42" borderId="0" xfId="0" applyFont="1" applyFill="1" applyAlignment="1" applyProtection="1">
      <alignment horizontal="center" vertical="center"/>
      <protection locked="0"/>
    </xf>
    <xf numFmtId="0" fontId="92" fillId="42" borderId="0" xfId="42" applyFont="1" applyFill="1" applyProtection="1">
      <protection locked="0"/>
    </xf>
    <xf numFmtId="0" fontId="92" fillId="0" borderId="0" xfId="42" applyFont="1" applyProtection="1">
      <protection locked="0"/>
    </xf>
    <xf numFmtId="0" fontId="37" fillId="42" borderId="0" xfId="42" applyFont="1" applyFill="1" applyAlignment="1" applyProtection="1">
      <alignment vertical="center"/>
      <protection locked="0"/>
    </xf>
    <xf numFmtId="0" fontId="37" fillId="42" borderId="10" xfId="42" applyFont="1" applyFill="1" applyBorder="1" applyAlignment="1" applyProtection="1">
      <alignment vertical="center"/>
      <protection locked="0"/>
    </xf>
    <xf numFmtId="0" fontId="85" fillId="42" borderId="0" xfId="47" applyFont="1" applyFill="1" applyAlignment="1" applyProtection="1">
      <alignment vertical="center"/>
      <protection locked="0"/>
    </xf>
    <xf numFmtId="3" fontId="40" fillId="42" borderId="0" xfId="43" applyNumberFormat="1" applyFont="1" applyFill="1" applyAlignment="1" applyProtection="1">
      <alignment horizontal="center" vertical="center"/>
      <protection locked="0"/>
    </xf>
    <xf numFmtId="0" fontId="40" fillId="42" borderId="0" xfId="43" applyNumberFormat="1" applyFont="1" applyFill="1" applyAlignment="1" applyProtection="1">
      <alignment horizontal="left" vertical="top"/>
      <protection locked="0"/>
    </xf>
    <xf numFmtId="165" fontId="69" fillId="42" borderId="0" xfId="0" applyNumberFormat="1" applyFont="1" applyFill="1" applyAlignment="1" applyProtection="1">
      <alignment horizontal="right" vertical="center"/>
      <protection locked="0"/>
    </xf>
    <xf numFmtId="164" fontId="68" fillId="42" borderId="0" xfId="0" applyNumberFormat="1" applyFont="1" applyFill="1" applyAlignment="1" applyProtection="1">
      <alignment horizontal="right" vertical="center"/>
      <protection locked="0"/>
    </xf>
    <xf numFmtId="3" fontId="43" fillId="42" borderId="0" xfId="43" applyNumberFormat="1" applyFont="1" applyFill="1" applyAlignment="1" applyProtection="1">
      <alignment vertical="center"/>
      <protection locked="0"/>
    </xf>
    <xf numFmtId="164" fontId="43" fillId="42" borderId="0" xfId="43" applyNumberFormat="1" applyFont="1" applyFill="1" applyAlignment="1" applyProtection="1">
      <alignment vertical="center"/>
      <protection locked="0"/>
    </xf>
    <xf numFmtId="168" fontId="91" fillId="0" borderId="10" xfId="50" applyNumberFormat="1" applyFont="1" applyFill="1" applyBorder="1" applyAlignment="1" applyProtection="1">
      <alignment vertical="center"/>
      <protection locked="0"/>
    </xf>
    <xf numFmtId="164" fontId="43" fillId="42" borderId="0" xfId="43" applyNumberFormat="1" applyFont="1" applyFill="1" applyAlignment="1" applyProtection="1">
      <alignment vertical="center" wrapText="1"/>
      <protection locked="0"/>
    </xf>
    <xf numFmtId="0" fontId="69" fillId="42" borderId="0" xfId="0" applyFont="1" applyFill="1" applyAlignment="1" applyProtection="1">
      <alignment horizontal="left" vertical="center"/>
      <protection locked="0"/>
    </xf>
    <xf numFmtId="3" fontId="69" fillId="42" borderId="0" xfId="0" applyNumberFormat="1" applyFont="1" applyFill="1" applyAlignment="1" applyProtection="1">
      <alignment horizontal="right" vertical="center"/>
      <protection locked="0"/>
    </xf>
    <xf numFmtId="0" fontId="35" fillId="0" borderId="10" xfId="42" quotePrefix="1" applyFont="1" applyBorder="1" applyAlignment="1" applyProtection="1">
      <alignment horizontal="left" vertical="center" wrapText="1"/>
      <protection locked="0"/>
    </xf>
    <xf numFmtId="0" fontId="20" fillId="0" borderId="10" xfId="42" quotePrefix="1" applyFont="1" applyBorder="1" applyAlignment="1" applyProtection="1">
      <alignment horizontal="left" vertical="center" wrapText="1"/>
      <protection locked="0"/>
    </xf>
    <xf numFmtId="0" fontId="43" fillId="0" borderId="10" xfId="42" quotePrefix="1" applyFont="1" applyBorder="1" applyAlignment="1" applyProtection="1">
      <alignment horizontal="left" vertical="center" wrapText="1"/>
      <protection locked="0"/>
    </xf>
    <xf numFmtId="0" fontId="35" fillId="0" borderId="10" xfId="42" applyFont="1" applyBorder="1" applyAlignment="1" applyProtection="1">
      <alignment horizontal="left" vertical="center" wrapText="1"/>
      <protection locked="0"/>
    </xf>
    <xf numFmtId="0" fontId="37" fillId="42" borderId="10" xfId="42" quotePrefix="1" applyFont="1" applyFill="1" applyBorder="1" applyAlignment="1" applyProtection="1">
      <alignment horizontal="left" vertical="center" wrapText="1"/>
      <protection locked="0"/>
    </xf>
    <xf numFmtId="0" fontId="36" fillId="34" borderId="10" xfId="0" applyFont="1" applyFill="1" applyBorder="1"/>
    <xf numFmtId="0" fontId="36" fillId="0" borderId="0" xfId="0" applyFont="1"/>
    <xf numFmtId="0" fontId="68" fillId="42" borderId="0" xfId="0" applyFont="1" applyFill="1" applyAlignment="1" applyProtection="1">
      <alignment horizontal="left" vertical="center"/>
      <protection locked="0"/>
    </xf>
    <xf numFmtId="0" fontId="37" fillId="42" borderId="0" xfId="0" applyFont="1" applyFill="1" applyAlignment="1">
      <alignment vertical="center" wrapText="1"/>
    </xf>
    <xf numFmtId="3" fontId="37" fillId="42" borderId="0" xfId="0" applyNumberFormat="1" applyFont="1" applyFill="1" applyAlignment="1">
      <alignment vertical="center"/>
    </xf>
    <xf numFmtId="0" fontId="37" fillId="42" borderId="0" xfId="0" applyFont="1" applyFill="1" applyAlignment="1">
      <alignment horizontal="center" vertical="center"/>
    </xf>
    <xf numFmtId="0" fontId="37" fillId="42" borderId="0" xfId="0" applyFont="1" applyFill="1"/>
    <xf numFmtId="164" fontId="92" fillId="0" borderId="0" xfId="43" applyNumberFormat="1" applyFont="1" applyAlignment="1" applyProtection="1">
      <alignment vertical="center"/>
      <protection locked="0"/>
    </xf>
    <xf numFmtId="3" fontId="92" fillId="0" borderId="0" xfId="43" applyNumberFormat="1" applyFont="1" applyAlignment="1" applyProtection="1">
      <alignment vertical="center"/>
      <protection locked="0"/>
    </xf>
    <xf numFmtId="0" fontId="37" fillId="42" borderId="2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94" fillId="0" borderId="0" xfId="51" applyFont="1" applyAlignment="1" applyProtection="1">
      <alignment horizontal="left" vertical="center"/>
      <protection locked="0"/>
    </xf>
    <xf numFmtId="0" fontId="91" fillId="0" borderId="0" xfId="51" applyFont="1" applyAlignment="1" applyProtection="1">
      <alignment vertical="center"/>
      <protection locked="0"/>
    </xf>
    <xf numFmtId="0" fontId="95" fillId="0" borderId="0" xfId="51" applyFont="1" applyAlignment="1" applyProtection="1">
      <alignment horizontal="centerContinuous" vertical="center"/>
      <protection locked="0"/>
    </xf>
    <xf numFmtId="0" fontId="91" fillId="0" borderId="0" xfId="51" applyFont="1" applyAlignment="1" applyProtection="1">
      <alignment horizontal="left" vertical="center"/>
      <protection locked="0"/>
    </xf>
    <xf numFmtId="3" fontId="91" fillId="0" borderId="0" xfId="51" applyNumberFormat="1" applyFont="1" applyAlignment="1" applyProtection="1">
      <alignment vertical="center"/>
      <protection locked="0"/>
    </xf>
    <xf numFmtId="0" fontId="98" fillId="0" borderId="0" xfId="52" applyNumberFormat="1" applyFont="1" applyFill="1" applyBorder="1" applyAlignment="1" applyProtection="1">
      <protection locked="0"/>
    </xf>
    <xf numFmtId="0" fontId="98" fillId="0" borderId="0" xfId="52" applyNumberFormat="1" applyFont="1" applyFill="1" applyBorder="1" applyProtection="1">
      <protection locked="0"/>
    </xf>
    <xf numFmtId="0" fontId="97" fillId="42" borderId="0" xfId="52" applyNumberFormat="1" applyFont="1" applyFill="1" applyBorder="1" applyAlignment="1" applyProtection="1">
      <alignment horizontal="center" vertical="center"/>
      <protection locked="0"/>
    </xf>
    <xf numFmtId="0" fontId="98" fillId="42" borderId="0" xfId="52" applyNumberFormat="1" applyFont="1" applyFill="1" applyBorder="1" applyAlignment="1" applyProtection="1">
      <protection locked="0"/>
    </xf>
    <xf numFmtId="0" fontId="98" fillId="42" borderId="0" xfId="52" applyNumberFormat="1" applyFont="1" applyFill="1" applyBorder="1" applyProtection="1">
      <protection locked="0"/>
    </xf>
    <xf numFmtId="0" fontId="99" fillId="0" borderId="0" xfId="52" applyNumberFormat="1" applyFont="1" applyFill="1" applyBorder="1" applyAlignment="1" applyProtection="1">
      <protection locked="0"/>
    </xf>
    <xf numFmtId="0" fontId="97" fillId="42" borderId="0" xfId="52" applyNumberFormat="1" applyFont="1" applyFill="1" applyBorder="1" applyAlignment="1" applyProtection="1">
      <alignment horizontal="center" vertical="center" wrapText="1"/>
      <protection locked="0"/>
    </xf>
    <xf numFmtId="0" fontId="99" fillId="42" borderId="0" xfId="52" applyNumberFormat="1" applyFont="1" applyFill="1" applyBorder="1" applyAlignment="1" applyProtection="1"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4" fontId="66" fillId="0" borderId="0" xfId="0" applyNumberFormat="1" applyFont="1" applyAlignment="1" applyProtection="1">
      <alignment horizontal="center"/>
      <protection locked="0"/>
    </xf>
    <xf numFmtId="0" fontId="99" fillId="0" borderId="0" xfId="52" applyNumberFormat="1" applyFont="1" applyFill="1" applyBorder="1" applyProtection="1">
      <protection locked="0"/>
    </xf>
    <xf numFmtId="0" fontId="22" fillId="0" borderId="0" xfId="47" applyFont="1" applyAlignment="1" applyProtection="1">
      <alignment vertical="center"/>
      <protection locked="0"/>
    </xf>
    <xf numFmtId="0" fontId="102" fillId="0" borderId="0" xfId="47" applyFont="1" applyAlignment="1" applyProtection="1">
      <alignment vertical="center"/>
      <protection locked="0"/>
    </xf>
    <xf numFmtId="0" fontId="102" fillId="0" borderId="0" xfId="47" applyFont="1" applyAlignment="1" applyProtection="1">
      <alignment vertical="center" wrapText="1"/>
      <protection locked="0"/>
    </xf>
    <xf numFmtId="0" fontId="103" fillId="0" borderId="55" xfId="18" applyFont="1" applyFill="1" applyBorder="1" applyAlignment="1" applyProtection="1">
      <alignment vertical="center"/>
      <protection locked="0"/>
    </xf>
    <xf numFmtId="0" fontId="103" fillId="0" borderId="55" xfId="21" applyFont="1" applyFill="1" applyBorder="1" applyAlignment="1" applyProtection="1">
      <alignment horizontal="center" vertical="center" wrapText="1"/>
      <protection locked="0"/>
    </xf>
    <xf numFmtId="0" fontId="22" fillId="0" borderId="55" xfId="47" applyFont="1" applyBorder="1" applyAlignment="1" applyProtection="1">
      <alignment vertical="center"/>
      <protection locked="0"/>
    </xf>
    <xf numFmtId="0" fontId="103" fillId="0" borderId="0" xfId="47" applyFont="1" applyAlignment="1" applyProtection="1">
      <alignment horizontal="center"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14" fontId="65" fillId="0" borderId="0" xfId="0" applyNumberFormat="1" applyFont="1" applyAlignment="1" applyProtection="1">
      <alignment horizontal="center" vertical="center"/>
      <protection locked="0"/>
    </xf>
    <xf numFmtId="14" fontId="23" fillId="0" borderId="0" xfId="0" applyNumberFormat="1" applyFont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32" fillId="36" borderId="20" xfId="0" applyFont="1" applyFill="1" applyBorder="1" applyAlignment="1">
      <alignment horizontal="center" vertical="center"/>
    </xf>
    <xf numFmtId="0" fontId="32" fillId="36" borderId="21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/>
    </xf>
    <xf numFmtId="0" fontId="32" fillId="36" borderId="0" xfId="0" applyFont="1" applyFill="1" applyAlignment="1">
      <alignment horizontal="center" vertical="center" wrapText="1"/>
    </xf>
    <xf numFmtId="0" fontId="32" fillId="36" borderId="56" xfId="0" applyFont="1" applyFill="1" applyBorder="1" applyAlignment="1">
      <alignment horizontal="center" vertical="center" wrapText="1"/>
    </xf>
    <xf numFmtId="0" fontId="32" fillId="36" borderId="56" xfId="0" applyFont="1" applyFill="1" applyBorder="1" applyAlignment="1">
      <alignment horizontal="center" vertical="center"/>
    </xf>
    <xf numFmtId="0" fontId="105" fillId="0" borderId="56" xfId="0" applyFont="1" applyBorder="1" applyAlignment="1">
      <alignment horizontal="center" vertical="center"/>
    </xf>
    <xf numFmtId="0" fontId="105" fillId="0" borderId="56" xfId="0" applyFont="1" applyBorder="1" applyAlignment="1">
      <alignment vertical="center"/>
    </xf>
    <xf numFmtId="0" fontId="22" fillId="0" borderId="56" xfId="0" applyFont="1" applyBorder="1" applyAlignment="1">
      <alignment vertical="center"/>
    </xf>
    <xf numFmtId="0" fontId="22" fillId="0" borderId="56" xfId="0" applyFont="1" applyBorder="1" applyAlignment="1">
      <alignment vertical="center" wrapText="1"/>
    </xf>
    <xf numFmtId="0" fontId="22" fillId="0" borderId="56" xfId="0" applyFont="1" applyBorder="1" applyAlignment="1">
      <alignment horizontal="left" vertical="center" wrapText="1"/>
    </xf>
    <xf numFmtId="0" fontId="105" fillId="0" borderId="0" xfId="0" applyFont="1"/>
    <xf numFmtId="0" fontId="24" fillId="0" borderId="56" xfId="0" applyFont="1" applyBorder="1" applyAlignment="1">
      <alignment horizontal="center" vertical="center"/>
    </xf>
    <xf numFmtId="0" fontId="100" fillId="36" borderId="56" xfId="0" applyFont="1" applyFill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9" fillId="0" borderId="56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0" fontId="105" fillId="43" borderId="56" xfId="0" applyFont="1" applyFill="1" applyBorder="1" applyAlignment="1">
      <alignment horizontal="center" vertical="center"/>
    </xf>
    <xf numFmtId="0" fontId="29" fillId="43" borderId="56" xfId="0" applyFont="1" applyFill="1" applyBorder="1" applyAlignment="1">
      <alignment horizontal="center" vertical="center"/>
    </xf>
    <xf numFmtId="0" fontId="100" fillId="36" borderId="56" xfId="0" applyFont="1" applyFill="1" applyBorder="1" applyAlignment="1">
      <alignment vertical="center"/>
    </xf>
    <xf numFmtId="0" fontId="29" fillId="43" borderId="56" xfId="0" applyFont="1" applyFill="1" applyBorder="1" applyAlignment="1">
      <alignment vertical="center"/>
    </xf>
    <xf numFmtId="0" fontId="107" fillId="0" borderId="0" xfId="0" applyFont="1" applyAlignment="1" applyProtection="1">
      <alignment horizontal="left" vertical="center"/>
    </xf>
    <xf numFmtId="0" fontId="109" fillId="0" borderId="0" xfId="0" applyFont="1" applyAlignment="1" applyProtection="1">
      <alignment horizontal="left"/>
    </xf>
    <xf numFmtId="0" fontId="110" fillId="44" borderId="0" xfId="0" applyFont="1" applyFill="1" applyAlignment="1" applyProtection="1">
      <alignment horizontal="center" vertical="center" wrapText="1"/>
    </xf>
    <xf numFmtId="0" fontId="111" fillId="0" borderId="0" xfId="0" applyFont="1" applyAlignment="1" applyProtection="1">
      <alignment horizontal="left" vertical="center"/>
    </xf>
    <xf numFmtId="0" fontId="112" fillId="44" borderId="0" xfId="0" applyFont="1" applyFill="1" applyAlignment="1" applyProtection="1">
      <alignment horizontal="left" vertical="top" wrapText="1"/>
    </xf>
    <xf numFmtId="14" fontId="111" fillId="0" borderId="59" xfId="0" applyNumberFormat="1" applyFont="1" applyBorder="1" applyAlignment="1" applyProtection="1">
      <alignment horizontal="center"/>
    </xf>
    <xf numFmtId="0" fontId="111" fillId="0" borderId="60" xfId="0" applyFont="1" applyBorder="1" applyAlignment="1" applyProtection="1">
      <alignment horizontal="left"/>
    </xf>
    <xf numFmtId="0" fontId="111" fillId="0" borderId="62" xfId="0" applyFont="1" applyBorder="1" applyAlignment="1" applyProtection="1">
      <alignment horizontal="left"/>
    </xf>
    <xf numFmtId="0" fontId="111" fillId="0" borderId="60" xfId="0" applyFont="1" applyBorder="1" applyAlignment="1" applyProtection="1">
      <alignment horizontal="right"/>
    </xf>
    <xf numFmtId="0" fontId="111" fillId="0" borderId="61" xfId="0" applyFont="1" applyBorder="1" applyAlignment="1" applyProtection="1">
      <alignment horizontal="left"/>
    </xf>
    <xf numFmtId="0" fontId="111" fillId="0" borderId="0" xfId="0" applyFont="1" applyAlignment="1" applyProtection="1">
      <alignment horizontal="right"/>
    </xf>
    <xf numFmtId="10" fontId="111" fillId="0" borderId="64" xfId="0" applyNumberFormat="1" applyFont="1" applyBorder="1" applyAlignment="1" applyProtection="1">
      <alignment horizontal="right"/>
    </xf>
    <xf numFmtId="0" fontId="111" fillId="0" borderId="57" xfId="0" applyFont="1" applyBorder="1" applyAlignment="1" applyProtection="1">
      <alignment horizontal="right"/>
    </xf>
    <xf numFmtId="0" fontId="111" fillId="0" borderId="59" xfId="0" applyFont="1" applyBorder="1" applyAlignment="1" applyProtection="1">
      <alignment horizontal="center"/>
    </xf>
    <xf numFmtId="0" fontId="111" fillId="0" borderId="64" xfId="0" applyFont="1" applyBorder="1" applyAlignment="1" applyProtection="1">
      <alignment horizontal="left" vertical="center"/>
    </xf>
    <xf numFmtId="0" fontId="111" fillId="0" borderId="61" xfId="0" applyFont="1" applyBorder="1" applyAlignment="1" applyProtection="1">
      <alignment horizontal="center" vertical="center"/>
    </xf>
    <xf numFmtId="0" fontId="111" fillId="0" borderId="0" xfId="0" applyFont="1" applyAlignment="1" applyProtection="1">
      <alignment horizontal="left"/>
    </xf>
    <xf numFmtId="14" fontId="113" fillId="0" borderId="59" xfId="0" applyNumberFormat="1" applyFont="1" applyBorder="1" applyAlignment="1" applyProtection="1">
      <alignment horizontal="center" vertical="center"/>
    </xf>
    <xf numFmtId="0" fontId="113" fillId="0" borderId="59" xfId="0" applyFont="1" applyBorder="1" applyAlignment="1" applyProtection="1">
      <alignment horizontal="center" vertical="center"/>
    </xf>
    <xf numFmtId="0" fontId="114" fillId="0" borderId="67" xfId="0" applyFont="1" applyBorder="1" applyAlignment="1" applyProtection="1">
      <alignment horizontal="left" vertical="center"/>
    </xf>
    <xf numFmtId="0" fontId="115" fillId="0" borderId="67" xfId="0" applyFont="1" applyBorder="1" applyAlignment="1" applyProtection="1">
      <alignment horizontal="left" vertical="center" wrapText="1"/>
    </xf>
    <xf numFmtId="0" fontId="108" fillId="0" borderId="67" xfId="0" applyFont="1" applyBorder="1" applyAlignment="1" applyProtection="1">
      <alignment horizontal="left" vertical="center"/>
    </xf>
    <xf numFmtId="0" fontId="108" fillId="0" borderId="0" xfId="0" applyFont="1" applyAlignment="1" applyProtection="1">
      <alignment horizontal="left"/>
    </xf>
    <xf numFmtId="14" fontId="108" fillId="0" borderId="0" xfId="0" applyNumberFormat="1" applyFont="1" applyAlignment="1" applyProtection="1">
      <alignment horizontal="right"/>
    </xf>
    <xf numFmtId="3" fontId="111" fillId="45" borderId="67" xfId="0" applyNumberFormat="1" applyFont="1" applyFill="1" applyBorder="1" applyAlignment="1" applyProtection="1">
      <alignment horizontal="right" vertical="center"/>
    </xf>
    <xf numFmtId="3" fontId="111" fillId="0" borderId="67" xfId="0" applyNumberFormat="1" applyFont="1" applyBorder="1" applyAlignment="1" applyProtection="1">
      <alignment horizontal="right" vertical="center"/>
    </xf>
    <xf numFmtId="3" fontId="116" fillId="0" borderId="67" xfId="0" applyNumberFormat="1" applyFont="1" applyBorder="1" applyAlignment="1" applyProtection="1">
      <alignment horizontal="right" vertical="center"/>
    </xf>
    <xf numFmtId="3" fontId="117" fillId="46" borderId="67" xfId="0" applyNumberFormat="1" applyFont="1" applyFill="1" applyBorder="1" applyAlignment="1" applyProtection="1">
      <alignment horizontal="right" vertical="center"/>
    </xf>
    <xf numFmtId="3" fontId="118" fillId="0" borderId="67" xfId="0" applyNumberFormat="1" applyFont="1" applyBorder="1" applyAlignment="1" applyProtection="1">
      <alignment horizontal="right" vertical="center"/>
    </xf>
    <xf numFmtId="3" fontId="119" fillId="47" borderId="67" xfId="0" applyNumberFormat="1" applyFont="1" applyFill="1" applyBorder="1" applyAlignment="1" applyProtection="1">
      <alignment horizontal="right" vertical="center"/>
    </xf>
    <xf numFmtId="3" fontId="113" fillId="48" borderId="67" xfId="0" applyNumberFormat="1" applyFont="1" applyFill="1" applyBorder="1" applyAlignment="1" applyProtection="1">
      <alignment horizontal="right" vertical="center"/>
    </xf>
    <xf numFmtId="3" fontId="119" fillId="47" borderId="67" xfId="0" applyNumberFormat="1" applyFont="1" applyFill="1" applyBorder="1" applyAlignment="1" applyProtection="1">
      <alignment horizontal="right"/>
    </xf>
    <xf numFmtId="3" fontId="113" fillId="48" borderId="67" xfId="0" applyNumberFormat="1" applyFont="1" applyFill="1" applyBorder="1" applyAlignment="1" applyProtection="1">
      <alignment horizontal="right"/>
    </xf>
    <xf numFmtId="3" fontId="118" fillId="0" borderId="67" xfId="0" applyNumberFormat="1" applyFont="1" applyBorder="1" applyAlignment="1" applyProtection="1">
      <alignment horizontal="right"/>
    </xf>
    <xf numFmtId="0" fontId="118" fillId="49" borderId="67" xfId="0" applyFont="1" applyFill="1" applyBorder="1" applyAlignment="1" applyProtection="1">
      <alignment horizontal="left"/>
    </xf>
    <xf numFmtId="0" fontId="118" fillId="0" borderId="67" xfId="0" applyFont="1" applyBorder="1" applyAlignment="1" applyProtection="1">
      <alignment horizontal="right"/>
    </xf>
    <xf numFmtId="0" fontId="118" fillId="48" borderId="67" xfId="0" applyFont="1" applyFill="1" applyBorder="1" applyAlignment="1" applyProtection="1">
      <alignment horizontal="right"/>
    </xf>
    <xf numFmtId="0" fontId="118" fillId="44" borderId="67" xfId="0" applyFont="1" applyFill="1" applyBorder="1" applyAlignment="1" applyProtection="1">
      <alignment horizontal="left"/>
    </xf>
    <xf numFmtId="0" fontId="118" fillId="47" borderId="67" xfId="0" applyFont="1" applyFill="1" applyBorder="1" applyAlignment="1" applyProtection="1">
      <alignment horizontal="right"/>
    </xf>
    <xf numFmtId="0" fontId="118" fillId="44" borderId="0" xfId="0" applyFont="1" applyFill="1" applyAlignment="1" applyProtection="1">
      <alignment horizontal="left"/>
    </xf>
    <xf numFmtId="14" fontId="113" fillId="0" borderId="59" xfId="0" applyNumberFormat="1" applyFont="1" applyBorder="1" applyAlignment="1" applyProtection="1">
      <alignment horizontal="right"/>
    </xf>
    <xf numFmtId="14" fontId="113" fillId="0" borderId="59" xfId="0" applyNumberFormat="1" applyFont="1" applyBorder="1" applyAlignment="1" applyProtection="1">
      <alignment horizontal="right" vertical="center"/>
    </xf>
    <xf numFmtId="3" fontId="113" fillId="47" borderId="67" xfId="0" applyNumberFormat="1" applyFont="1" applyFill="1" applyBorder="1" applyAlignment="1" applyProtection="1">
      <alignment horizontal="right" vertical="center"/>
    </xf>
    <xf numFmtId="0" fontId="118" fillId="0" borderId="62" xfId="0" applyFont="1" applyBorder="1" applyAlignment="1" applyProtection="1">
      <alignment horizontal="right" vertical="center"/>
    </xf>
    <xf numFmtId="3" fontId="118" fillId="0" borderId="62" xfId="0" applyNumberFormat="1" applyFont="1" applyBorder="1" applyAlignment="1" applyProtection="1">
      <alignment horizontal="right" vertical="center"/>
    </xf>
    <xf numFmtId="0" fontId="118" fillId="0" borderId="67" xfId="0" applyFont="1" applyBorder="1" applyAlignment="1" applyProtection="1">
      <alignment horizontal="right" vertical="center"/>
    </xf>
    <xf numFmtId="0" fontId="118" fillId="48" borderId="67" xfId="0" applyFont="1" applyFill="1" applyBorder="1" applyAlignment="1" applyProtection="1">
      <alignment horizontal="right" vertical="center"/>
    </xf>
    <xf numFmtId="3" fontId="118" fillId="48" borderId="67" xfId="0" applyNumberFormat="1" applyFont="1" applyFill="1" applyBorder="1" applyAlignment="1" applyProtection="1">
      <alignment horizontal="right" vertical="center"/>
    </xf>
    <xf numFmtId="0" fontId="118" fillId="0" borderId="67" xfId="0" applyFont="1" applyBorder="1" applyAlignment="1" applyProtection="1">
      <alignment horizontal="left" vertical="center"/>
    </xf>
    <xf numFmtId="0" fontId="118" fillId="47" borderId="67" xfId="0" applyFont="1" applyFill="1" applyBorder="1" applyAlignment="1" applyProtection="1">
      <alignment horizontal="right" vertical="center"/>
    </xf>
    <xf numFmtId="3" fontId="118" fillId="47" borderId="67" xfId="0" applyNumberFormat="1" applyFont="1" applyFill="1" applyBorder="1" applyAlignment="1" applyProtection="1">
      <alignment horizontal="right" vertical="center"/>
    </xf>
    <xf numFmtId="3" fontId="118" fillId="48" borderId="67" xfId="0" applyNumberFormat="1" applyFont="1" applyFill="1" applyBorder="1" applyAlignment="1" applyProtection="1">
      <alignment horizontal="right"/>
    </xf>
    <xf numFmtId="3" fontId="118" fillId="47" borderId="67" xfId="0" applyNumberFormat="1" applyFont="1" applyFill="1" applyBorder="1" applyAlignment="1" applyProtection="1">
      <alignment horizontal="right"/>
    </xf>
    <xf numFmtId="0" fontId="118" fillId="0" borderId="67" xfId="0" applyFont="1" applyBorder="1" applyAlignment="1" applyProtection="1">
      <alignment horizontal="center"/>
    </xf>
    <xf numFmtId="0" fontId="118" fillId="0" borderId="67" xfId="0" applyFont="1" applyBorder="1" applyAlignment="1" applyProtection="1">
      <alignment horizontal="left"/>
    </xf>
    <xf numFmtId="0" fontId="118" fillId="48" borderId="67" xfId="0" applyFont="1" applyFill="1" applyBorder="1" applyAlignment="1" applyProtection="1">
      <alignment horizontal="left"/>
    </xf>
    <xf numFmtId="0" fontId="118" fillId="47" borderId="67" xfId="0" applyFont="1" applyFill="1" applyBorder="1" applyAlignment="1" applyProtection="1">
      <alignment horizontal="left"/>
    </xf>
    <xf numFmtId="0" fontId="118" fillId="0" borderId="0" xfId="0" applyFont="1" applyAlignment="1" applyProtection="1">
      <alignment horizontal="left"/>
    </xf>
    <xf numFmtId="0" fontId="118" fillId="0" borderId="67" xfId="0" applyFont="1" applyBorder="1" applyAlignment="1" applyProtection="1">
      <alignment horizontal="center" vertical="center"/>
    </xf>
    <xf numFmtId="0" fontId="118" fillId="48" borderId="67" xfId="0" applyFont="1" applyFill="1" applyBorder="1" applyAlignment="1" applyProtection="1">
      <alignment horizontal="center" vertical="center"/>
    </xf>
    <xf numFmtId="0" fontId="118" fillId="0" borderId="67" xfId="0" applyFont="1" applyBorder="1" applyAlignment="1" applyProtection="1">
      <alignment horizontal="left" vertical="center" wrapText="1"/>
    </xf>
    <xf numFmtId="0" fontId="118" fillId="48" borderId="67" xfId="0" applyFont="1" applyFill="1" applyBorder="1" applyAlignment="1" applyProtection="1">
      <alignment horizontal="left" vertical="center" wrapText="1"/>
    </xf>
    <xf numFmtId="0" fontId="118" fillId="47" borderId="67" xfId="0" applyFont="1" applyFill="1" applyBorder="1" applyAlignment="1" applyProtection="1">
      <alignment horizontal="left" vertical="center" wrapText="1"/>
    </xf>
    <xf numFmtId="14" fontId="113" fillId="0" borderId="59" xfId="0" applyNumberFormat="1" applyFont="1" applyBorder="1" applyAlignment="1" applyProtection="1">
      <alignment horizontal="center"/>
    </xf>
    <xf numFmtId="0" fontId="113" fillId="0" borderId="66" xfId="0" applyFont="1" applyBorder="1" applyAlignment="1" applyProtection="1">
      <alignment horizontal="left"/>
    </xf>
    <xf numFmtId="0" fontId="121" fillId="0" borderId="67" xfId="0" applyFont="1" applyBorder="1" applyAlignment="1" applyProtection="1">
      <alignment horizontal="left" vertical="center"/>
    </xf>
    <xf numFmtId="0" fontId="118" fillId="0" borderId="63" xfId="0" applyFont="1" applyBorder="1" applyAlignment="1" applyProtection="1">
      <alignment horizontal="left" vertical="center"/>
    </xf>
    <xf numFmtId="3" fontId="118" fillId="0" borderId="68" xfId="0" applyNumberFormat="1" applyFont="1" applyBorder="1" applyAlignment="1" applyProtection="1">
      <alignment horizontal="right" vertical="center"/>
    </xf>
    <xf numFmtId="0" fontId="118" fillId="0" borderId="69" xfId="0" applyFont="1" applyBorder="1" applyAlignment="1" applyProtection="1">
      <alignment horizontal="left" vertical="center"/>
    </xf>
    <xf numFmtId="3" fontId="118" fillId="0" borderId="63" xfId="0" applyNumberFormat="1" applyFont="1" applyBorder="1" applyAlignment="1" applyProtection="1">
      <alignment horizontal="right" vertical="center"/>
    </xf>
    <xf numFmtId="3" fontId="118" fillId="50" borderId="63" xfId="0" applyNumberFormat="1" applyFont="1" applyFill="1" applyBorder="1" applyAlignment="1" applyProtection="1">
      <alignment horizontal="right" vertical="center"/>
    </xf>
    <xf numFmtId="3" fontId="118" fillId="50" borderId="67" xfId="0" applyNumberFormat="1" applyFont="1" applyFill="1" applyBorder="1" applyAlignment="1" applyProtection="1">
      <alignment horizontal="right" vertical="center"/>
    </xf>
    <xf numFmtId="0" fontId="118" fillId="50" borderId="67" xfId="0" applyFont="1" applyFill="1" applyBorder="1" applyAlignment="1" applyProtection="1">
      <alignment horizontal="center" vertical="center"/>
    </xf>
    <xf numFmtId="3" fontId="118" fillId="46" borderId="63" xfId="0" applyNumberFormat="1" applyFont="1" applyFill="1" applyBorder="1" applyAlignment="1" applyProtection="1">
      <alignment horizontal="right" vertical="center"/>
    </xf>
    <xf numFmtId="3" fontId="118" fillId="46" borderId="67" xfId="0" applyNumberFormat="1" applyFont="1" applyFill="1" applyBorder="1" applyAlignment="1" applyProtection="1">
      <alignment horizontal="right" vertical="center"/>
    </xf>
    <xf numFmtId="0" fontId="118" fillId="46" borderId="67" xfId="0" applyFont="1" applyFill="1" applyBorder="1" applyAlignment="1" applyProtection="1">
      <alignment horizontal="center" vertical="center"/>
    </xf>
    <xf numFmtId="3" fontId="118" fillId="0" borderId="63" xfId="0" applyNumberFormat="1" applyFont="1" applyBorder="1" applyAlignment="1" applyProtection="1">
      <alignment horizontal="center" vertical="center"/>
    </xf>
    <xf numFmtId="3" fontId="118" fillId="0" borderId="67" xfId="0" applyNumberFormat="1" applyFont="1" applyBorder="1" applyAlignment="1" applyProtection="1">
      <alignment horizontal="center" vertical="center"/>
    </xf>
    <xf numFmtId="3" fontId="118" fillId="50" borderId="63" xfId="0" applyNumberFormat="1" applyFont="1" applyFill="1" applyBorder="1" applyAlignment="1" applyProtection="1">
      <alignment horizontal="center" vertical="center"/>
    </xf>
    <xf numFmtId="3" fontId="118" fillId="50" borderId="67" xfId="0" applyNumberFormat="1" applyFont="1" applyFill="1" applyBorder="1" applyAlignment="1" applyProtection="1">
      <alignment horizontal="center" vertical="center"/>
    </xf>
    <xf numFmtId="3" fontId="118" fillId="46" borderId="63" xfId="0" applyNumberFormat="1" applyFont="1" applyFill="1" applyBorder="1" applyAlignment="1" applyProtection="1">
      <alignment horizontal="center" vertical="center"/>
    </xf>
    <xf numFmtId="3" fontId="118" fillId="46" borderId="67" xfId="0" applyNumberFormat="1" applyFont="1" applyFill="1" applyBorder="1" applyAlignment="1" applyProtection="1">
      <alignment horizontal="center" vertical="center"/>
    </xf>
    <xf numFmtId="0" fontId="118" fillId="0" borderId="69" xfId="0" applyFont="1" applyBorder="1" applyAlignment="1" applyProtection="1">
      <alignment horizontal="center" vertical="center"/>
    </xf>
    <xf numFmtId="3" fontId="118" fillId="0" borderId="70" xfId="0" applyNumberFormat="1" applyFont="1" applyBorder="1" applyAlignment="1" applyProtection="1">
      <alignment horizontal="right" vertical="center"/>
    </xf>
    <xf numFmtId="0" fontId="113" fillId="0" borderId="66" xfId="0" applyFont="1" applyBorder="1" applyAlignment="1" applyProtection="1">
      <alignment horizontal="left" vertical="center"/>
    </xf>
    <xf numFmtId="0" fontId="118" fillId="50" borderId="67" xfId="0" applyFont="1" applyFill="1" applyBorder="1" applyAlignment="1" applyProtection="1">
      <alignment horizontal="left" vertical="center"/>
    </xf>
    <xf numFmtId="0" fontId="113" fillId="0" borderId="0" xfId="0" applyFont="1" applyAlignment="1" applyProtection="1">
      <alignment horizontal="left"/>
    </xf>
    <xf numFmtId="0" fontId="109" fillId="0" borderId="0" xfId="0" applyFont="1" applyAlignment="1" applyProtection="1">
      <alignment horizontal="right"/>
    </xf>
    <xf numFmtId="0" fontId="113" fillId="48" borderId="67" xfId="0" applyFont="1" applyFill="1" applyBorder="1" applyAlignment="1" applyProtection="1">
      <alignment horizontal="left"/>
    </xf>
    <xf numFmtId="3" fontId="118" fillId="44" borderId="63" xfId="0" applyNumberFormat="1" applyFont="1" applyFill="1" applyBorder="1" applyAlignment="1" applyProtection="1">
      <alignment horizontal="right" vertical="center"/>
    </xf>
    <xf numFmtId="0" fontId="118" fillId="0" borderId="67" xfId="0" applyFont="1" applyBorder="1" applyAlignment="1" applyProtection="1">
      <alignment horizontal="left" wrapText="1"/>
    </xf>
    <xf numFmtId="0" fontId="113" fillId="0" borderId="67" xfId="0" applyFont="1" applyBorder="1" applyAlignment="1" applyProtection="1">
      <alignment horizontal="left"/>
    </xf>
    <xf numFmtId="0" fontId="113" fillId="44" borderId="67" xfId="0" applyFont="1" applyFill="1" applyBorder="1" applyAlignment="1" applyProtection="1">
      <alignment horizontal="left"/>
    </xf>
    <xf numFmtId="0" fontId="118" fillId="50" borderId="67" xfId="0" applyFont="1" applyFill="1" applyBorder="1" applyAlignment="1" applyProtection="1">
      <alignment horizontal="right" vertical="center"/>
    </xf>
    <xf numFmtId="0" fontId="118" fillId="44" borderId="67" xfId="0" applyFont="1" applyFill="1" applyBorder="1" applyAlignment="1" applyProtection="1">
      <alignment horizontal="center" vertical="center"/>
    </xf>
    <xf numFmtId="3" fontId="118" fillId="44" borderId="67" xfId="0" applyNumberFormat="1" applyFont="1" applyFill="1" applyBorder="1" applyAlignment="1" applyProtection="1">
      <alignment horizontal="right" vertical="center"/>
    </xf>
    <xf numFmtId="0" fontId="118" fillId="44" borderId="67" xfId="0" applyFont="1" applyFill="1" applyBorder="1" applyAlignment="1" applyProtection="1">
      <alignment horizontal="right" vertical="center"/>
    </xf>
    <xf numFmtId="0" fontId="118" fillId="46" borderId="67" xfId="0" applyFont="1" applyFill="1" applyBorder="1" applyAlignment="1" applyProtection="1">
      <alignment horizontal="right" vertical="center"/>
    </xf>
    <xf numFmtId="0" fontId="118" fillId="46" borderId="67" xfId="0" applyFont="1" applyFill="1" applyBorder="1" applyAlignment="1" applyProtection="1">
      <alignment horizontal="left" vertical="center"/>
    </xf>
    <xf numFmtId="0" fontId="118" fillId="44" borderId="67" xfId="0" applyFont="1" applyFill="1" applyBorder="1" applyAlignment="1" applyProtection="1">
      <alignment horizontal="left" vertical="center" wrapText="1"/>
    </xf>
    <xf numFmtId="0" fontId="118" fillId="48" borderId="67" xfId="0" applyFont="1" applyFill="1" applyBorder="1" applyAlignment="1" applyProtection="1">
      <alignment horizontal="left" vertical="center"/>
    </xf>
    <xf numFmtId="3" fontId="118" fillId="50" borderId="68" xfId="0" applyNumberFormat="1" applyFont="1" applyFill="1" applyBorder="1" applyAlignment="1" applyProtection="1">
      <alignment horizontal="right" vertical="center"/>
    </xf>
    <xf numFmtId="3" fontId="118" fillId="50" borderId="67" xfId="0" applyNumberFormat="1" applyFont="1" applyFill="1" applyBorder="1" applyAlignment="1" applyProtection="1">
      <alignment horizontal="right" vertical="center" wrapText="1"/>
    </xf>
    <xf numFmtId="3" fontId="118" fillId="50" borderId="68" xfId="0" applyNumberFormat="1" applyFont="1" applyFill="1" applyBorder="1" applyAlignment="1" applyProtection="1">
      <alignment horizontal="center" vertical="center"/>
    </xf>
    <xf numFmtId="3" fontId="113" fillId="48" borderId="67" xfId="0" applyNumberFormat="1" applyFont="1" applyFill="1" applyBorder="1" applyAlignment="1" applyProtection="1">
      <alignment horizontal="right" vertical="center" wrapText="1"/>
    </xf>
    <xf numFmtId="3" fontId="118" fillId="44" borderId="67" xfId="0" applyNumberFormat="1" applyFont="1" applyFill="1" applyBorder="1" applyAlignment="1" applyProtection="1">
      <alignment horizontal="right" vertical="center" wrapText="1"/>
    </xf>
    <xf numFmtId="3" fontId="118" fillId="0" borderId="67" xfId="0" applyNumberFormat="1" applyFont="1" applyBorder="1" applyAlignment="1" applyProtection="1">
      <alignment horizontal="right" vertical="center" wrapText="1"/>
    </xf>
    <xf numFmtId="3" fontId="118" fillId="47" borderId="67" xfId="0" applyNumberFormat="1" applyFont="1" applyFill="1" applyBorder="1" applyAlignment="1" applyProtection="1">
      <alignment horizontal="right" vertical="center" wrapText="1"/>
    </xf>
    <xf numFmtId="0" fontId="113" fillId="44" borderId="62" xfId="0" applyFont="1" applyFill="1" applyBorder="1" applyAlignment="1" applyProtection="1">
      <alignment horizontal="center" vertical="center" wrapText="1"/>
    </xf>
    <xf numFmtId="0" fontId="113" fillId="50" borderId="67" xfId="0" applyFont="1" applyFill="1" applyBorder="1" applyAlignment="1" applyProtection="1">
      <alignment horizontal="left" vertical="center" wrapText="1"/>
    </xf>
    <xf numFmtId="0" fontId="113" fillId="44" borderId="67" xfId="0" applyFont="1" applyFill="1" applyBorder="1" applyAlignment="1" applyProtection="1">
      <alignment horizontal="left" vertical="center" wrapText="1"/>
    </xf>
    <xf numFmtId="0" fontId="121" fillId="0" borderId="67" xfId="0" applyFont="1" applyBorder="1" applyAlignment="1" applyProtection="1">
      <alignment horizontal="center" vertical="center"/>
    </xf>
    <xf numFmtId="0" fontId="113" fillId="0" borderId="67" xfId="0" applyFont="1" applyBorder="1" applyAlignment="1" applyProtection="1">
      <alignment horizontal="left" vertical="center" wrapText="1"/>
    </xf>
    <xf numFmtId="0" fontId="113" fillId="44" borderId="67" xfId="0" applyFont="1" applyFill="1" applyBorder="1" applyAlignment="1" applyProtection="1">
      <alignment horizontal="left" vertical="center"/>
    </xf>
    <xf numFmtId="0" fontId="121" fillId="0" borderId="67" xfId="0" applyFont="1" applyBorder="1" applyAlignment="1" applyProtection="1">
      <alignment horizontal="left" vertical="center" wrapText="1"/>
    </xf>
    <xf numFmtId="3" fontId="118" fillId="0" borderId="71" xfId="0" applyNumberFormat="1" applyFont="1" applyBorder="1" applyAlignment="1" applyProtection="1">
      <alignment horizontal="right" vertical="center"/>
    </xf>
    <xf numFmtId="3" fontId="118" fillId="46" borderId="60" xfId="0" applyNumberFormat="1" applyFont="1" applyFill="1" applyBorder="1" applyAlignment="1" applyProtection="1">
      <alignment horizontal="right" vertical="center"/>
    </xf>
    <xf numFmtId="3" fontId="118" fillId="46" borderId="62" xfId="0" applyNumberFormat="1" applyFont="1" applyFill="1" applyBorder="1" applyAlignment="1" applyProtection="1">
      <alignment horizontal="right" vertical="center"/>
    </xf>
    <xf numFmtId="0" fontId="118" fillId="46" borderId="63" xfId="0" applyFont="1" applyFill="1" applyBorder="1" applyAlignment="1" applyProtection="1">
      <alignment horizontal="right" vertical="center"/>
    </xf>
    <xf numFmtId="1" fontId="118" fillId="0" borderId="67" xfId="0" applyNumberFormat="1" applyFont="1" applyBorder="1" applyAlignment="1" applyProtection="1">
      <alignment horizontal="right" vertical="center"/>
    </xf>
    <xf numFmtId="164" fontId="118" fillId="0" borderId="72" xfId="0" applyNumberFormat="1" applyFont="1" applyBorder="1" applyAlignment="1" applyProtection="1">
      <alignment horizontal="center" vertical="center"/>
    </xf>
    <xf numFmtId="3" fontId="122" fillId="0" borderId="67" xfId="0" applyNumberFormat="1" applyFont="1" applyBorder="1" applyAlignment="1" applyProtection="1">
      <alignment horizontal="right" vertical="center"/>
    </xf>
    <xf numFmtId="164" fontId="113" fillId="0" borderId="67" xfId="0" applyNumberFormat="1" applyFont="1" applyBorder="1" applyAlignment="1" applyProtection="1">
      <alignment horizontal="right" vertical="center"/>
    </xf>
    <xf numFmtId="164" fontId="113" fillId="0" borderId="72" xfId="0" applyNumberFormat="1" applyFont="1" applyBorder="1" applyAlignment="1" applyProtection="1">
      <alignment horizontal="right" vertical="center"/>
    </xf>
    <xf numFmtId="164" fontId="113" fillId="0" borderId="68" xfId="0" applyNumberFormat="1" applyFont="1" applyBorder="1" applyAlignment="1" applyProtection="1">
      <alignment horizontal="right" vertical="center"/>
    </xf>
    <xf numFmtId="3" fontId="113" fillId="0" borderId="67" xfId="0" applyNumberFormat="1" applyFont="1" applyBorder="1" applyAlignment="1" applyProtection="1">
      <alignment horizontal="right" vertical="center"/>
    </xf>
    <xf numFmtId="164" fontId="118" fillId="0" borderId="72" xfId="0" applyNumberFormat="1" applyFont="1" applyBorder="1" applyAlignment="1" applyProtection="1">
      <alignment horizontal="right" vertical="center"/>
    </xf>
    <xf numFmtId="3" fontId="113" fillId="0" borderId="68" xfId="0" applyNumberFormat="1" applyFont="1" applyBorder="1" applyAlignment="1" applyProtection="1">
      <alignment horizontal="right" vertical="center"/>
    </xf>
    <xf numFmtId="165" fontId="118" fillId="0" borderId="67" xfId="0" applyNumberFormat="1" applyFont="1" applyBorder="1" applyAlignment="1" applyProtection="1">
      <alignment horizontal="right" vertical="center"/>
    </xf>
    <xf numFmtId="165" fontId="118" fillId="0" borderId="72" xfId="0" applyNumberFormat="1" applyFont="1" applyBorder="1" applyAlignment="1" applyProtection="1">
      <alignment horizontal="right" vertical="center"/>
    </xf>
    <xf numFmtId="165" fontId="118" fillId="0" borderId="73" xfId="0" applyNumberFormat="1" applyFont="1" applyBorder="1" applyAlignment="1" applyProtection="1">
      <alignment horizontal="right" vertical="center"/>
    </xf>
    <xf numFmtId="164" fontId="113" fillId="0" borderId="73" xfId="0" applyNumberFormat="1" applyFont="1" applyBorder="1" applyAlignment="1" applyProtection="1">
      <alignment horizontal="right" vertical="center"/>
    </xf>
    <xf numFmtId="165" fontId="113" fillId="0" borderId="67" xfId="0" applyNumberFormat="1" applyFont="1" applyBorder="1" applyAlignment="1" applyProtection="1">
      <alignment horizontal="right" vertical="center"/>
    </xf>
    <xf numFmtId="165" fontId="113" fillId="0" borderId="73" xfId="0" applyNumberFormat="1" applyFont="1" applyBorder="1" applyAlignment="1" applyProtection="1">
      <alignment horizontal="right" vertical="center"/>
    </xf>
    <xf numFmtId="164" fontId="118" fillId="50" borderId="73" xfId="0" applyNumberFormat="1" applyFont="1" applyFill="1" applyBorder="1" applyAlignment="1" applyProtection="1">
      <alignment horizontal="right" vertical="center"/>
    </xf>
    <xf numFmtId="164" fontId="118" fillId="50" borderId="67" xfId="0" applyNumberFormat="1" applyFont="1" applyFill="1" applyBorder="1" applyAlignment="1" applyProtection="1">
      <alignment horizontal="right" vertical="center"/>
    </xf>
    <xf numFmtId="164" fontId="113" fillId="50" borderId="73" xfId="0" applyNumberFormat="1" applyFont="1" applyFill="1" applyBorder="1" applyAlignment="1" applyProtection="1">
      <alignment horizontal="right" vertical="center"/>
    </xf>
    <xf numFmtId="164" fontId="113" fillId="50" borderId="67" xfId="0" applyNumberFormat="1" applyFont="1" applyFill="1" applyBorder="1" applyAlignment="1" applyProtection="1">
      <alignment horizontal="right" vertical="center"/>
    </xf>
    <xf numFmtId="3" fontId="113" fillId="0" borderId="72" xfId="0" applyNumberFormat="1" applyFont="1" applyBorder="1" applyAlignment="1" applyProtection="1">
      <alignment horizontal="right" vertical="center" wrapText="1"/>
    </xf>
    <xf numFmtId="3" fontId="113" fillId="0" borderId="73" xfId="0" applyNumberFormat="1" applyFont="1" applyBorder="1" applyAlignment="1" applyProtection="1">
      <alignment horizontal="right" vertical="center" wrapText="1"/>
    </xf>
    <xf numFmtId="3" fontId="113" fillId="0" borderId="67" xfId="0" applyNumberFormat="1" applyFont="1" applyBorder="1" applyAlignment="1" applyProtection="1">
      <alignment horizontal="right" vertical="center" wrapText="1"/>
    </xf>
    <xf numFmtId="3" fontId="113" fillId="0" borderId="68" xfId="0" applyNumberFormat="1" applyFont="1" applyBorder="1" applyAlignment="1" applyProtection="1">
      <alignment horizontal="right" vertical="center" wrapText="1"/>
    </xf>
    <xf numFmtId="3" fontId="113" fillId="50" borderId="72" xfId="0" applyNumberFormat="1" applyFont="1" applyFill="1" applyBorder="1" applyAlignment="1" applyProtection="1">
      <alignment horizontal="right" vertical="center" wrapText="1"/>
    </xf>
    <xf numFmtId="3" fontId="113" fillId="50" borderId="73" xfId="0" applyNumberFormat="1" applyFont="1" applyFill="1" applyBorder="1" applyAlignment="1" applyProtection="1">
      <alignment horizontal="right" vertical="center" wrapText="1"/>
    </xf>
    <xf numFmtId="3" fontId="113" fillId="50" borderId="67" xfId="0" applyNumberFormat="1" applyFont="1" applyFill="1" applyBorder="1" applyAlignment="1" applyProtection="1">
      <alignment horizontal="right" vertical="center" wrapText="1"/>
    </xf>
    <xf numFmtId="3" fontId="113" fillId="50" borderId="68" xfId="0" applyNumberFormat="1" applyFont="1" applyFill="1" applyBorder="1" applyAlignment="1" applyProtection="1">
      <alignment horizontal="right" vertical="center" wrapText="1"/>
    </xf>
    <xf numFmtId="3" fontId="113" fillId="44" borderId="72" xfId="0" applyNumberFormat="1" applyFont="1" applyFill="1" applyBorder="1" applyAlignment="1" applyProtection="1">
      <alignment horizontal="right" vertical="center" wrapText="1"/>
    </xf>
    <xf numFmtId="3" fontId="113" fillId="44" borderId="73" xfId="0" applyNumberFormat="1" applyFont="1" applyFill="1" applyBorder="1" applyAlignment="1" applyProtection="1">
      <alignment horizontal="right" vertical="center" wrapText="1"/>
    </xf>
    <xf numFmtId="3" fontId="113" fillId="44" borderId="67" xfId="0" applyNumberFormat="1" applyFont="1" applyFill="1" applyBorder="1" applyAlignment="1" applyProtection="1">
      <alignment horizontal="right" vertical="center" wrapText="1"/>
    </xf>
    <xf numFmtId="3" fontId="113" fillId="44" borderId="68" xfId="0" applyNumberFormat="1" applyFont="1" applyFill="1" applyBorder="1" applyAlignment="1" applyProtection="1">
      <alignment horizontal="right" vertical="center" wrapText="1"/>
    </xf>
    <xf numFmtId="0" fontId="113" fillId="46" borderId="67" xfId="0" applyFont="1" applyFill="1" applyBorder="1" applyAlignment="1" applyProtection="1">
      <alignment horizontal="left" vertical="center"/>
    </xf>
    <xf numFmtId="3" fontId="113" fillId="46" borderId="72" xfId="0" applyNumberFormat="1" applyFont="1" applyFill="1" applyBorder="1" applyAlignment="1" applyProtection="1">
      <alignment horizontal="right" vertical="center"/>
    </xf>
    <xf numFmtId="3" fontId="113" fillId="46" borderId="73" xfId="0" applyNumberFormat="1" applyFont="1" applyFill="1" applyBorder="1" applyAlignment="1" applyProtection="1">
      <alignment horizontal="right" vertical="center"/>
    </xf>
    <xf numFmtId="3" fontId="113" fillId="46" borderId="67" xfId="0" applyNumberFormat="1" applyFont="1" applyFill="1" applyBorder="1" applyAlignment="1" applyProtection="1">
      <alignment horizontal="right" vertical="center"/>
    </xf>
    <xf numFmtId="3" fontId="113" fillId="46" borderId="68" xfId="0" applyNumberFormat="1" applyFont="1" applyFill="1" applyBorder="1" applyAlignment="1" applyProtection="1">
      <alignment horizontal="right" vertical="center"/>
    </xf>
    <xf numFmtId="0" fontId="113" fillId="50" borderId="67" xfId="0" applyFont="1" applyFill="1" applyBorder="1" applyAlignment="1" applyProtection="1">
      <alignment horizontal="left" vertical="center"/>
    </xf>
    <xf numFmtId="0" fontId="118" fillId="0" borderId="0" xfId="0" applyFont="1" applyAlignment="1" applyProtection="1">
      <alignment horizontal="left" vertical="center"/>
    </xf>
    <xf numFmtId="0" fontId="123" fillId="0" borderId="63" xfId="0" applyFont="1" applyBorder="1" applyAlignment="1" applyProtection="1">
      <alignment horizontal="left" vertical="center" wrapText="1"/>
    </xf>
    <xf numFmtId="0" fontId="123" fillId="0" borderId="67" xfId="0" applyFont="1" applyBorder="1" applyAlignment="1" applyProtection="1">
      <alignment horizontal="right" vertical="center"/>
    </xf>
    <xf numFmtId="3" fontId="123" fillId="0" borderId="67" xfId="0" applyNumberFormat="1" applyFont="1" applyBorder="1" applyAlignment="1" applyProtection="1">
      <alignment horizontal="right" vertical="center"/>
    </xf>
    <xf numFmtId="4" fontId="123" fillId="0" borderId="67" xfId="0" applyNumberFormat="1" applyFont="1" applyBorder="1" applyAlignment="1" applyProtection="1">
      <alignment horizontal="right" vertical="center"/>
    </xf>
    <xf numFmtId="0" fontId="123" fillId="0" borderId="67" xfId="0" applyFont="1" applyBorder="1" applyAlignment="1" applyProtection="1">
      <alignment horizontal="left" vertical="center"/>
    </xf>
    <xf numFmtId="0" fontId="123" fillId="0" borderId="71" xfId="0" applyFont="1" applyBorder="1" applyAlignment="1" applyProtection="1">
      <alignment horizontal="center" vertical="center"/>
    </xf>
    <xf numFmtId="0" fontId="113" fillId="0" borderId="59" xfId="0" applyFont="1" applyBorder="1" applyAlignment="1" applyProtection="1">
      <alignment horizontal="right" vertical="center"/>
    </xf>
    <xf numFmtId="0" fontId="113" fillId="45" borderId="63" xfId="0" applyFont="1" applyFill="1" applyBorder="1" applyAlignment="1" applyProtection="1">
      <alignment horizontal="right" vertical="center"/>
    </xf>
    <xf numFmtId="0" fontId="113" fillId="45" borderId="67" xfId="0" applyFont="1" applyFill="1" applyBorder="1" applyAlignment="1" applyProtection="1">
      <alignment horizontal="right" vertical="center"/>
    </xf>
    <xf numFmtId="0" fontId="125" fillId="45" borderId="67" xfId="0" applyFont="1" applyFill="1" applyBorder="1" applyAlignment="1" applyProtection="1">
      <alignment horizontal="left" vertical="center" wrapText="1"/>
    </xf>
    <xf numFmtId="0" fontId="113" fillId="0" borderId="59" xfId="0" applyFont="1" applyBorder="1" applyAlignment="1" applyProtection="1">
      <alignment horizontal="center"/>
    </xf>
    <xf numFmtId="0" fontId="108" fillId="0" borderId="67" xfId="0" applyFont="1" applyBorder="1" applyAlignment="1" applyProtection="1">
      <alignment horizontal="center" vertical="center"/>
    </xf>
    <xf numFmtId="9" fontId="118" fillId="0" borderId="67" xfId="53" applyFont="1" applyBorder="1" applyAlignment="1" applyProtection="1">
      <alignment horizontal="center"/>
    </xf>
    <xf numFmtId="9" fontId="113" fillId="48" borderId="67" xfId="53" applyFont="1" applyFill="1" applyBorder="1" applyAlignment="1" applyProtection="1">
      <alignment horizontal="center"/>
    </xf>
    <xf numFmtId="9" fontId="119" fillId="47" borderId="67" xfId="53" applyFont="1" applyFill="1" applyBorder="1" applyAlignment="1" applyProtection="1">
      <alignment horizontal="center" vertical="center"/>
    </xf>
    <xf numFmtId="9" fontId="118" fillId="0" borderId="67" xfId="53" applyFont="1" applyBorder="1" applyAlignment="1" applyProtection="1">
      <alignment horizontal="right"/>
    </xf>
    <xf numFmtId="9" fontId="118" fillId="0" borderId="67" xfId="53" applyFont="1" applyBorder="1" applyAlignment="1" applyProtection="1">
      <alignment horizontal="center" vertical="center"/>
    </xf>
    <xf numFmtId="9" fontId="113" fillId="48" borderId="67" xfId="53" applyFont="1" applyFill="1" applyBorder="1" applyAlignment="1" applyProtection="1">
      <alignment horizontal="center" vertical="center"/>
    </xf>
    <xf numFmtId="9" fontId="113" fillId="47" borderId="67" xfId="53" applyFont="1" applyFill="1" applyBorder="1" applyAlignment="1" applyProtection="1">
      <alignment horizontal="center" vertical="center"/>
    </xf>
    <xf numFmtId="9" fontId="118" fillId="48" borderId="67" xfId="53" applyFont="1" applyFill="1" applyBorder="1" applyAlignment="1" applyProtection="1">
      <alignment horizontal="center" vertical="center"/>
    </xf>
    <xf numFmtId="9" fontId="118" fillId="47" borderId="67" xfId="53" applyFont="1" applyFill="1" applyBorder="1" applyAlignment="1" applyProtection="1">
      <alignment horizontal="center" vertical="center"/>
    </xf>
    <xf numFmtId="3" fontId="43" fillId="0" borderId="67" xfId="0" applyNumberFormat="1" applyFont="1" applyBorder="1" applyAlignment="1" applyProtection="1">
      <alignment horizontal="right" vertical="center"/>
    </xf>
    <xf numFmtId="9" fontId="43" fillId="0" borderId="67" xfId="53" applyFont="1" applyBorder="1" applyAlignment="1" applyProtection="1">
      <alignment horizontal="center" vertical="center"/>
    </xf>
    <xf numFmtId="9" fontId="118" fillId="50" borderId="67" xfId="53" applyFont="1" applyFill="1" applyBorder="1" applyAlignment="1" applyProtection="1">
      <alignment horizontal="center" vertical="center"/>
    </xf>
    <xf numFmtId="9" fontId="118" fillId="46" borderId="67" xfId="53" applyFont="1" applyFill="1" applyBorder="1" applyAlignment="1" applyProtection="1">
      <alignment horizontal="center" vertical="center"/>
    </xf>
    <xf numFmtId="0" fontId="43" fillId="0" borderId="67" xfId="0" applyFont="1" applyBorder="1" applyAlignment="1" applyProtection="1">
      <alignment horizontal="left" vertical="center"/>
    </xf>
    <xf numFmtId="0" fontId="43" fillId="0" borderId="67" xfId="0" applyFont="1" applyBorder="1" applyAlignment="1" applyProtection="1">
      <alignment horizontal="left" vertical="center" wrapText="1"/>
    </xf>
    <xf numFmtId="3" fontId="68" fillId="0" borderId="67" xfId="0" applyNumberFormat="1" applyFont="1" applyBorder="1" applyAlignment="1" applyProtection="1">
      <alignment horizontal="right" vertical="center"/>
    </xf>
    <xf numFmtId="0" fontId="43" fillId="50" borderId="67" xfId="0" applyFont="1" applyFill="1" applyBorder="1" applyAlignment="1" applyProtection="1">
      <alignment horizontal="left" vertical="center"/>
    </xf>
    <xf numFmtId="3" fontId="40" fillId="50" borderId="67" xfId="0" applyNumberFormat="1" applyFont="1" applyFill="1" applyBorder="1" applyAlignment="1" applyProtection="1">
      <alignment horizontal="right" vertical="center"/>
    </xf>
    <xf numFmtId="3" fontId="43" fillId="50" borderId="67" xfId="0" applyNumberFormat="1" applyFont="1" applyFill="1" applyBorder="1" applyAlignment="1" applyProtection="1">
      <alignment horizontal="right" vertical="center"/>
    </xf>
    <xf numFmtId="3" fontId="43" fillId="48" borderId="67" xfId="0" applyNumberFormat="1" applyFont="1" applyFill="1" applyBorder="1" applyAlignment="1" applyProtection="1">
      <alignment horizontal="right" vertical="center"/>
    </xf>
    <xf numFmtId="9" fontId="43" fillId="48" borderId="67" xfId="53" applyFont="1" applyFill="1" applyBorder="1" applyAlignment="1" applyProtection="1">
      <alignment horizontal="center" vertical="center"/>
    </xf>
    <xf numFmtId="0" fontId="43" fillId="0" borderId="67" xfId="0" applyFont="1" applyBorder="1" applyAlignment="1" applyProtection="1">
      <alignment horizontal="center" vertical="center"/>
    </xf>
    <xf numFmtId="3" fontId="40" fillId="48" borderId="67" xfId="0" applyNumberFormat="1" applyFont="1" applyFill="1" applyBorder="1" applyAlignment="1" applyProtection="1">
      <alignment horizontal="right" vertical="center"/>
    </xf>
    <xf numFmtId="3" fontId="43" fillId="44" borderId="67" xfId="0" applyNumberFormat="1" applyFont="1" applyFill="1" applyBorder="1" applyAlignment="1" applyProtection="1">
      <alignment horizontal="right" vertical="center"/>
    </xf>
    <xf numFmtId="0" fontId="43" fillId="44" borderId="67" xfId="0" applyFont="1" applyFill="1" applyBorder="1" applyAlignment="1" applyProtection="1">
      <alignment horizontal="center" vertical="center"/>
    </xf>
    <xf numFmtId="9" fontId="40" fillId="48" borderId="67" xfId="53" applyFont="1" applyFill="1" applyBorder="1" applyAlignment="1" applyProtection="1">
      <alignment horizontal="center" vertical="center"/>
    </xf>
    <xf numFmtId="9" fontId="43" fillId="44" borderId="67" xfId="53" applyFont="1" applyFill="1" applyBorder="1" applyAlignment="1" applyProtection="1">
      <alignment horizontal="center" vertical="center"/>
    </xf>
    <xf numFmtId="3" fontId="20" fillId="0" borderId="0" xfId="0" applyNumberFormat="1" applyFont="1"/>
    <xf numFmtId="0" fontId="43" fillId="0" borderId="67" xfId="0" applyFont="1" applyBorder="1" applyAlignment="1" applyProtection="1">
      <alignment horizontal="right" vertical="center"/>
    </xf>
    <xf numFmtId="167" fontId="43" fillId="0" borderId="67" xfId="0" applyNumberFormat="1" applyFont="1" applyBorder="1" applyAlignment="1" applyProtection="1">
      <alignment horizontal="right" vertical="center"/>
    </xf>
    <xf numFmtId="3" fontId="40" fillId="48" borderId="67" xfId="0" applyNumberFormat="1" applyFont="1" applyFill="1" applyBorder="1" applyAlignment="1" applyProtection="1">
      <alignment horizontal="right" vertical="center" wrapText="1"/>
    </xf>
    <xf numFmtId="3" fontId="43" fillId="44" borderId="67" xfId="0" applyNumberFormat="1" applyFont="1" applyFill="1" applyBorder="1" applyAlignment="1" applyProtection="1">
      <alignment horizontal="right" vertical="center" wrapText="1"/>
    </xf>
    <xf numFmtId="3" fontId="43" fillId="0" borderId="67" xfId="0" applyNumberFormat="1" applyFont="1" applyBorder="1" applyAlignment="1" applyProtection="1">
      <alignment horizontal="right" vertical="center" wrapText="1"/>
    </xf>
    <xf numFmtId="3" fontId="43" fillId="47" borderId="67" xfId="0" applyNumberFormat="1" applyFont="1" applyFill="1" applyBorder="1" applyAlignment="1" applyProtection="1">
      <alignment horizontal="right" vertical="center" wrapText="1"/>
    </xf>
    <xf numFmtId="9" fontId="113" fillId="44" borderId="62" xfId="53" applyFont="1" applyFill="1" applyBorder="1" applyAlignment="1" applyProtection="1">
      <alignment horizontal="center" vertical="center" wrapText="1"/>
    </xf>
    <xf numFmtId="9" fontId="118" fillId="44" borderId="67" xfId="53" applyFont="1" applyFill="1" applyBorder="1" applyAlignment="1" applyProtection="1">
      <alignment horizontal="center" vertical="center"/>
    </xf>
    <xf numFmtId="3" fontId="43" fillId="50" borderId="63" xfId="0" applyNumberFormat="1" applyFont="1" applyFill="1" applyBorder="1" applyAlignment="1" applyProtection="1">
      <alignment horizontal="right" vertical="center"/>
    </xf>
    <xf numFmtId="0" fontId="43" fillId="50" borderId="67" xfId="0" applyFont="1" applyFill="1" applyBorder="1" applyAlignment="1" applyProtection="1">
      <alignment horizontal="center" vertical="center"/>
    </xf>
    <xf numFmtId="3" fontId="43" fillId="0" borderId="63" xfId="0" applyNumberFormat="1" applyFont="1" applyBorder="1" applyAlignment="1" applyProtection="1">
      <alignment horizontal="right" vertical="center"/>
    </xf>
    <xf numFmtId="3" fontId="43" fillId="44" borderId="63" xfId="0" applyNumberFormat="1" applyFont="1" applyFill="1" applyBorder="1" applyAlignment="1" applyProtection="1">
      <alignment horizontal="right" vertical="center"/>
    </xf>
    <xf numFmtId="9" fontId="43" fillId="50" borderId="67" xfId="53" applyFont="1" applyFill="1" applyBorder="1" applyAlignment="1" applyProtection="1">
      <alignment horizontal="center" vertical="center"/>
    </xf>
    <xf numFmtId="3" fontId="43" fillId="46" borderId="63" xfId="0" applyNumberFormat="1" applyFont="1" applyFill="1" applyBorder="1" applyAlignment="1" applyProtection="1">
      <alignment horizontal="right" vertical="center"/>
    </xf>
    <xf numFmtId="3" fontId="43" fillId="46" borderId="67" xfId="0" applyNumberFormat="1" applyFont="1" applyFill="1" applyBorder="1" applyAlignment="1" applyProtection="1">
      <alignment horizontal="right" vertical="center"/>
    </xf>
    <xf numFmtId="9" fontId="43" fillId="46" borderId="67" xfId="53" applyFont="1" applyFill="1" applyBorder="1" applyAlignment="1" applyProtection="1">
      <alignment horizontal="center" vertical="center"/>
    </xf>
    <xf numFmtId="9" fontId="118" fillId="0" borderId="71" xfId="53" applyFont="1" applyBorder="1" applyAlignment="1" applyProtection="1">
      <alignment horizontal="center" vertical="center"/>
    </xf>
    <xf numFmtId="9" fontId="118" fillId="46" borderId="62" xfId="53" applyFont="1" applyFill="1" applyBorder="1" applyAlignment="1" applyProtection="1">
      <alignment horizontal="center" vertical="center"/>
    </xf>
    <xf numFmtId="9" fontId="35" fillId="0" borderId="10" xfId="53" applyFont="1" applyBorder="1" applyAlignment="1" applyProtection="1">
      <alignment horizontal="center" vertical="center"/>
      <protection locked="0"/>
    </xf>
    <xf numFmtId="0" fontId="130" fillId="42" borderId="75" xfId="0" applyFont="1" applyFill="1" applyBorder="1"/>
    <xf numFmtId="0" fontId="130" fillId="42" borderId="76" xfId="0" applyFont="1" applyFill="1" applyBorder="1"/>
    <xf numFmtId="0" fontId="70" fillId="0" borderId="63" xfId="0" applyFont="1" applyBorder="1" applyAlignment="1" applyProtection="1">
      <alignment horizontal="left" vertical="center" wrapText="1"/>
    </xf>
    <xf numFmtId="0" fontId="70" fillId="0" borderId="67" xfId="0" applyFont="1" applyBorder="1" applyAlignment="1" applyProtection="1">
      <alignment horizontal="right" vertical="center"/>
    </xf>
    <xf numFmtId="4" fontId="68" fillId="0" borderId="63" xfId="0" applyNumberFormat="1" applyFont="1" applyBorder="1" applyAlignment="1" applyProtection="1">
      <alignment horizontal="right" vertical="center"/>
    </xf>
    <xf numFmtId="4" fontId="118" fillId="0" borderId="63" xfId="0" applyNumberFormat="1" applyFont="1" applyBorder="1" applyAlignment="1" applyProtection="1">
      <alignment horizontal="right" vertical="center"/>
    </xf>
    <xf numFmtId="9" fontId="113" fillId="0" borderId="67" xfId="53" applyFont="1" applyBorder="1" applyAlignment="1" applyProtection="1">
      <alignment horizontal="center" vertical="center"/>
    </xf>
    <xf numFmtId="3" fontId="129" fillId="42" borderId="74" xfId="0" applyNumberFormat="1" applyFont="1" applyFill="1" applyBorder="1"/>
    <xf numFmtId="0" fontId="66" fillId="0" borderId="64" xfId="0" applyFont="1" applyBorder="1" applyAlignment="1" applyProtection="1">
      <alignment horizontal="left" vertical="center"/>
    </xf>
    <xf numFmtId="0" fontId="129" fillId="42" borderId="15" xfId="0" applyFont="1" applyFill="1" applyBorder="1" applyAlignment="1">
      <alignment horizontal="center"/>
    </xf>
    <xf numFmtId="0" fontId="131" fillId="42" borderId="24" xfId="0" applyFont="1" applyFill="1" applyBorder="1"/>
    <xf numFmtId="0" fontId="66" fillId="0" borderId="61" xfId="0" applyFont="1" applyBorder="1" applyAlignment="1" applyProtection="1">
      <alignment horizontal="left"/>
      <protection locked="0"/>
    </xf>
    <xf numFmtId="0" fontId="66" fillId="0" borderId="61" xfId="0" applyFont="1" applyBorder="1" applyAlignment="1" applyProtection="1">
      <alignment horizontal="left" vertical="center" wrapText="1"/>
      <protection locked="0"/>
    </xf>
    <xf numFmtId="0" fontId="24" fillId="0" borderId="14" xfId="0" applyFont="1" applyBorder="1" applyAlignment="1">
      <alignment horizontal="left" wrapText="1"/>
    </xf>
    <xf numFmtId="9" fontId="43" fillId="0" borderId="67" xfId="53" applyFont="1" applyBorder="1" applyAlignment="1" applyProtection="1">
      <alignment vertical="center"/>
    </xf>
    <xf numFmtId="9" fontId="40" fillId="48" borderId="67" xfId="53" applyFont="1" applyFill="1" applyBorder="1" applyAlignment="1" applyProtection="1">
      <alignment vertical="center" wrapText="1"/>
    </xf>
    <xf numFmtId="9" fontId="43" fillId="44" borderId="67" xfId="53" applyFont="1" applyFill="1" applyBorder="1" applyAlignment="1" applyProtection="1">
      <alignment vertical="center" wrapText="1"/>
    </xf>
    <xf numFmtId="9" fontId="43" fillId="0" borderId="67" xfId="53" applyFont="1" applyBorder="1" applyAlignment="1" applyProtection="1">
      <alignment vertical="center" wrapText="1"/>
    </xf>
    <xf numFmtId="9" fontId="43" fillId="47" borderId="67" xfId="53" applyFont="1" applyFill="1" applyBorder="1" applyAlignment="1" applyProtection="1">
      <alignment vertical="center" wrapText="1"/>
    </xf>
    <xf numFmtId="3" fontId="35" fillId="0" borderId="0" xfId="42" applyNumberFormat="1" applyFont="1" applyProtection="1">
      <protection locked="0"/>
    </xf>
    <xf numFmtId="9" fontId="35" fillId="0" borderId="0" xfId="53" applyFont="1" applyProtection="1">
      <protection locked="0"/>
    </xf>
    <xf numFmtId="3" fontId="35" fillId="0" borderId="0" xfId="0" applyNumberFormat="1" applyFont="1"/>
    <xf numFmtId="10" fontId="43" fillId="0" borderId="67" xfId="53" applyNumberFormat="1" applyFont="1" applyBorder="1" applyAlignment="1" applyProtection="1">
      <alignment horizontal="center" vertical="center"/>
    </xf>
    <xf numFmtId="0" fontId="43" fillId="0" borderId="0" xfId="0" applyFont="1" applyAlignment="1" applyProtection="1">
      <alignment horizontal="left" vertical="center"/>
    </xf>
    <xf numFmtId="0" fontId="97" fillId="36" borderId="0" xfId="52" applyNumberFormat="1" applyFont="1" applyFill="1" applyBorder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07" fillId="0" borderId="0" xfId="0" applyFont="1" applyAlignment="1" applyProtection="1">
      <alignment horizontal="left" vertical="center"/>
    </xf>
    <xf numFmtId="0" fontId="107" fillId="0" borderId="0" xfId="0" applyFont="1" applyAlignment="1" applyProtection="1">
      <alignment horizontal="center" vertical="center"/>
    </xf>
    <xf numFmtId="14" fontId="107" fillId="0" borderId="0" xfId="0" applyNumberFormat="1" applyFont="1" applyAlignment="1" applyProtection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23" fillId="0" borderId="0" xfId="0" applyNumberFormat="1" applyFont="1" applyAlignment="1">
      <alignment vertical="center"/>
    </xf>
    <xf numFmtId="0" fontId="63" fillId="0" borderId="0" xfId="0" applyFont="1" applyAlignment="1">
      <alignment horizontal="center" vertical="center"/>
    </xf>
    <xf numFmtId="0" fontId="22" fillId="0" borderId="1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108" fillId="0" borderId="58" xfId="0" applyFont="1" applyBorder="1" applyAlignment="1" applyProtection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108" fillId="0" borderId="57" xfId="0" applyFont="1" applyBorder="1" applyAlignment="1" applyProtection="1">
      <alignment horizontal="center" vertical="center"/>
    </xf>
    <xf numFmtId="0" fontId="97" fillId="36" borderId="0" xfId="52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14" fontId="111" fillId="0" borderId="60" xfId="0" applyNumberFormat="1" applyFont="1" applyBorder="1" applyAlignment="1" applyProtection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1" fillId="0" borderId="61" xfId="0" applyFont="1" applyBorder="1" applyAlignment="1" applyProtection="1">
      <alignment horizontal="left" vertical="center"/>
    </xf>
    <xf numFmtId="0" fontId="111" fillId="0" borderId="0" xfId="0" applyFont="1" applyAlignment="1" applyProtection="1">
      <alignment horizontal="left" vertical="center"/>
    </xf>
    <xf numFmtId="0" fontId="66" fillId="0" borderId="60" xfId="0" applyFont="1" applyBorder="1" applyAlignment="1" applyProtection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11" fillId="0" borderId="60" xfId="0" applyFont="1" applyBorder="1" applyAlignment="1" applyProtection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6" fillId="0" borderId="14" xfId="0" applyFont="1" applyBorder="1" applyAlignment="1">
      <alignment horizontal="left" wrapText="1"/>
    </xf>
    <xf numFmtId="0" fontId="26" fillId="0" borderId="0" xfId="0" applyFont="1" applyAlignment="1">
      <alignment horizontal="left" wrapText="1"/>
    </xf>
    <xf numFmtId="0" fontId="26" fillId="0" borderId="14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11" fillId="0" borderId="60" xfId="0" applyFont="1" applyBorder="1" applyAlignment="1" applyProtection="1">
      <alignment horizontal="left" vertical="center"/>
    </xf>
    <xf numFmtId="0" fontId="111" fillId="0" borderId="59" xfId="0" applyFont="1" applyBorder="1" applyAlignment="1" applyProtection="1">
      <alignment horizontal="center" vertical="center"/>
    </xf>
    <xf numFmtId="0" fontId="24" fillId="0" borderId="19" xfId="0" applyFont="1" applyBorder="1" applyAlignment="1">
      <alignment horizontal="center" vertical="center"/>
    </xf>
    <xf numFmtId="14" fontId="111" fillId="0" borderId="59" xfId="0" applyNumberFormat="1" applyFont="1" applyBorder="1" applyAlignment="1" applyProtection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0" fontId="100" fillId="36" borderId="0" xfId="52" applyNumberFormat="1" applyFont="1" applyFill="1" applyBorder="1" applyAlignment="1" applyProtection="1">
      <alignment horizontal="center" vertical="center"/>
      <protection locked="0"/>
    </xf>
    <xf numFmtId="0" fontId="29" fillId="0" borderId="11" xfId="0" applyFont="1" applyBorder="1" applyAlignment="1">
      <alignment horizontal="right"/>
    </xf>
    <xf numFmtId="0" fontId="29" fillId="0" borderId="12" xfId="0" applyFont="1" applyBorder="1" applyAlignment="1">
      <alignment horizontal="right"/>
    </xf>
    <xf numFmtId="0" fontId="29" fillId="0" borderId="13" xfId="0" applyFont="1" applyBorder="1" applyAlignment="1">
      <alignment horizontal="right"/>
    </xf>
    <xf numFmtId="0" fontId="24" fillId="0" borderId="21" xfId="0" applyFont="1" applyBorder="1"/>
    <xf numFmtId="0" fontId="111" fillId="0" borderId="59" xfId="0" applyFont="1" applyBorder="1" applyAlignment="1" applyProtection="1">
      <alignment horizontal="right"/>
    </xf>
    <xf numFmtId="0" fontId="24" fillId="0" borderId="19" xfId="0" applyFont="1" applyBorder="1"/>
    <xf numFmtId="0" fontId="111" fillId="0" borderId="63" xfId="0" applyFont="1" applyBorder="1" applyAlignment="1" applyProtection="1">
      <alignment horizontal="center"/>
    </xf>
    <xf numFmtId="0" fontId="24" fillId="0" borderId="22" xfId="0" applyFont="1" applyBorder="1" applyAlignment="1">
      <alignment horizontal="center"/>
    </xf>
    <xf numFmtId="0" fontId="29" fillId="0" borderId="0" xfId="0" applyFont="1" applyAlignment="1">
      <alignment horizontal="center" vertical="top"/>
    </xf>
    <xf numFmtId="0" fontId="29" fillId="0" borderId="10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66" fillId="0" borderId="47" xfId="0" applyFont="1" applyBorder="1" applyAlignment="1" applyProtection="1">
      <alignment horizontal="left"/>
      <protection locked="0"/>
    </xf>
    <xf numFmtId="0" fontId="66" fillId="0" borderId="0" xfId="0" applyFont="1" applyAlignment="1" applyProtection="1">
      <alignment horizontal="left"/>
      <protection locked="0"/>
    </xf>
    <xf numFmtId="0" fontId="101" fillId="0" borderId="0" xfId="52" applyNumberFormat="1" applyFont="1" applyFill="1" applyBorder="1" applyAlignment="1" applyProtection="1">
      <alignment horizontal="center" vertical="center"/>
      <protection locked="0"/>
    </xf>
    <xf numFmtId="0" fontId="99" fillId="0" borderId="0" xfId="52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103" fillId="0" borderId="0" xfId="47" applyFont="1" applyAlignment="1" applyProtection="1">
      <alignment horizontal="center"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32" fillId="36" borderId="14" xfId="47" applyFont="1" applyFill="1" applyBorder="1" applyAlignment="1" applyProtection="1">
      <alignment horizontal="center" vertical="center"/>
      <protection locked="0"/>
    </xf>
    <xf numFmtId="0" fontId="32" fillId="36" borderId="0" xfId="47" applyFont="1" applyFill="1" applyAlignment="1" applyProtection="1">
      <alignment horizontal="center" vertical="center"/>
      <protection locked="0"/>
    </xf>
    <xf numFmtId="0" fontId="84" fillId="0" borderId="0" xfId="47" applyFont="1" applyAlignment="1" applyProtection="1">
      <alignment horizontal="left"/>
      <protection locked="0"/>
    </xf>
    <xf numFmtId="14" fontId="113" fillId="0" borderId="59" xfId="0" applyNumberFormat="1" applyFont="1" applyBorder="1" applyAlignment="1" applyProtection="1">
      <alignment horizontal="center" vertical="center"/>
    </xf>
    <xf numFmtId="0" fontId="85" fillId="0" borderId="19" xfId="47" applyFont="1" applyBorder="1" applyAlignment="1" applyProtection="1">
      <alignment horizontal="center" vertical="center"/>
      <protection locked="0"/>
    </xf>
    <xf numFmtId="0" fontId="113" fillId="0" borderId="59" xfId="0" applyFont="1" applyBorder="1" applyAlignment="1" applyProtection="1">
      <alignment horizontal="center" vertical="center"/>
    </xf>
    <xf numFmtId="0" fontId="84" fillId="0" borderId="0" xfId="47" applyFont="1" applyAlignment="1" applyProtection="1">
      <alignment horizontal="center" vertical="center"/>
      <protection locked="0"/>
    </xf>
    <xf numFmtId="0" fontId="113" fillId="0" borderId="65" xfId="0" applyFont="1" applyBorder="1" applyAlignment="1" applyProtection="1">
      <alignment horizontal="center" vertical="center"/>
    </xf>
    <xf numFmtId="0" fontId="85" fillId="0" borderId="27" xfId="47" applyFont="1" applyBorder="1" applyAlignment="1" applyProtection="1">
      <alignment horizontal="center" vertical="center"/>
      <protection locked="0"/>
    </xf>
    <xf numFmtId="0" fontId="113" fillId="0" borderId="66" xfId="0" applyFont="1" applyBorder="1" applyAlignment="1" applyProtection="1">
      <alignment horizontal="center" vertical="center"/>
    </xf>
    <xf numFmtId="0" fontId="85" fillId="0" borderId="28" xfId="47" applyFont="1" applyBorder="1" applyAlignment="1" applyProtection="1">
      <alignment horizontal="center" vertical="center"/>
      <protection locked="0"/>
    </xf>
    <xf numFmtId="0" fontId="22" fillId="0" borderId="56" xfId="0" applyFont="1" applyBorder="1" applyAlignment="1">
      <alignment horizontal="center" vertical="center"/>
    </xf>
    <xf numFmtId="0" fontId="104" fillId="36" borderId="56" xfId="0" applyFont="1" applyFill="1" applyBorder="1" applyAlignment="1">
      <alignment horizontal="center" vertical="center"/>
    </xf>
    <xf numFmtId="0" fontId="106" fillId="3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8" fillId="0" borderId="0" xfId="0" applyFont="1" applyAlignment="1" applyProtection="1">
      <alignment horizontal="center" vertical="center"/>
    </xf>
    <xf numFmtId="0" fontId="32" fillId="36" borderId="56" xfId="0" applyFont="1" applyFill="1" applyBorder="1" applyAlignment="1">
      <alignment horizontal="center" vertical="center"/>
    </xf>
    <xf numFmtId="0" fontId="86" fillId="36" borderId="0" xfId="47" applyFont="1" applyFill="1" applyAlignment="1" applyProtection="1">
      <alignment horizontal="center" vertical="center"/>
      <protection locked="0"/>
    </xf>
    <xf numFmtId="0" fontId="84" fillId="0" borderId="0" xfId="47" applyFont="1" applyAlignment="1" applyProtection="1">
      <alignment horizontal="left" vertical="center"/>
      <protection locked="0"/>
    </xf>
    <xf numFmtId="0" fontId="84" fillId="0" borderId="0" xfId="47" applyFont="1" applyAlignment="1" applyProtection="1">
      <alignment horizontal="center" vertical="center" wrapText="1"/>
      <protection locked="0"/>
    </xf>
    <xf numFmtId="0" fontId="34" fillId="34" borderId="25" xfId="0" applyFont="1" applyFill="1" applyBorder="1" applyAlignment="1">
      <alignment horizontal="center" vertical="center"/>
    </xf>
    <xf numFmtId="0" fontId="34" fillId="34" borderId="24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113" fillId="0" borderId="0" xfId="0" applyFont="1" applyAlignment="1" applyProtection="1">
      <alignment horizontal="center"/>
    </xf>
    <xf numFmtId="0" fontId="37" fillId="0" borderId="0" xfId="0" applyFont="1" applyAlignment="1">
      <alignment horizontal="center"/>
    </xf>
    <xf numFmtId="14" fontId="113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 wrapText="1"/>
    </xf>
    <xf numFmtId="0" fontId="20" fillId="0" borderId="20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36" fillId="34" borderId="20" xfId="0" applyFont="1" applyFill="1" applyBorder="1" applyAlignment="1">
      <alignment horizontal="left" vertical="center"/>
    </xf>
    <xf numFmtId="0" fontId="36" fillId="34" borderId="21" xfId="0" applyFont="1" applyFill="1" applyBorder="1" applyAlignment="1">
      <alignment horizontal="left" vertical="center"/>
    </xf>
    <xf numFmtId="0" fontId="36" fillId="34" borderId="22" xfId="0" applyFont="1" applyFill="1" applyBorder="1" applyAlignment="1">
      <alignment horizontal="left" vertical="center"/>
    </xf>
    <xf numFmtId="0" fontId="21" fillId="34" borderId="0" xfId="0" applyFont="1" applyFill="1" applyAlignment="1">
      <alignment horizontal="center" vertical="center"/>
    </xf>
    <xf numFmtId="0" fontId="68" fillId="0" borderId="0" xfId="0" applyFont="1" applyAlignment="1" applyProtection="1">
      <alignment horizontal="left" vertical="top"/>
    </xf>
    <xf numFmtId="0" fontId="20" fillId="0" borderId="0" xfId="0" applyFont="1" applyAlignment="1">
      <alignment horizontal="left" vertical="top"/>
    </xf>
    <xf numFmtId="0" fontId="38" fillId="34" borderId="25" xfId="0" applyFont="1" applyFill="1" applyBorder="1" applyAlignment="1">
      <alignment horizontal="center" vertical="center"/>
    </xf>
    <xf numFmtId="0" fontId="38" fillId="34" borderId="23" xfId="0" applyFont="1" applyFill="1" applyBorder="1" applyAlignment="1">
      <alignment horizontal="center" vertical="center"/>
    </xf>
    <xf numFmtId="0" fontId="38" fillId="34" borderId="25" xfId="0" applyFont="1" applyFill="1" applyBorder="1" applyAlignment="1">
      <alignment horizontal="center" vertical="center" wrapText="1"/>
    </xf>
    <xf numFmtId="0" fontId="38" fillId="34" borderId="23" xfId="0" applyFont="1" applyFill="1" applyBorder="1" applyAlignment="1">
      <alignment horizontal="center" vertical="center" wrapText="1"/>
    </xf>
    <xf numFmtId="0" fontId="34" fillId="34" borderId="20" xfId="0" applyFont="1" applyFill="1" applyBorder="1" applyAlignment="1">
      <alignment horizontal="center" vertical="center"/>
    </xf>
    <xf numFmtId="0" fontId="34" fillId="34" borderId="21" xfId="0" applyFont="1" applyFill="1" applyBorder="1" applyAlignment="1">
      <alignment horizontal="center" vertical="center"/>
    </xf>
    <xf numFmtId="0" fontId="34" fillId="34" borderId="22" xfId="0" applyFont="1" applyFill="1" applyBorder="1" applyAlignment="1">
      <alignment horizontal="center" vertical="center"/>
    </xf>
    <xf numFmtId="0" fontId="118" fillId="0" borderId="63" xfId="0" applyFont="1" applyBorder="1" applyAlignment="1" applyProtection="1">
      <alignment horizontal="center" vertical="top" wrapText="1"/>
    </xf>
    <xf numFmtId="0" fontId="68" fillId="0" borderId="21" xfId="0" applyFont="1" applyBorder="1" applyAlignment="1" applyProtection="1">
      <alignment horizontal="center" vertical="top" wrapText="1"/>
      <protection locked="0"/>
    </xf>
    <xf numFmtId="0" fontId="68" fillId="0" borderId="22" xfId="0" applyFont="1" applyBorder="1" applyAlignment="1" applyProtection="1">
      <alignment horizontal="center" vertical="top" wrapText="1"/>
      <protection locked="0"/>
    </xf>
    <xf numFmtId="0" fontId="34" fillId="34" borderId="21" xfId="0" applyFont="1" applyFill="1" applyBorder="1" applyAlignment="1">
      <alignment horizontal="center"/>
    </xf>
    <xf numFmtId="0" fontId="34" fillId="34" borderId="20" xfId="0" applyFont="1" applyFill="1" applyBorder="1" applyAlignment="1">
      <alignment horizontal="center" vertical="center" wrapText="1"/>
    </xf>
    <xf numFmtId="0" fontId="34" fillId="34" borderId="21" xfId="0" applyFont="1" applyFill="1" applyBorder="1" applyAlignment="1">
      <alignment horizontal="center" vertical="center" wrapText="1"/>
    </xf>
    <xf numFmtId="0" fontId="35" fillId="0" borderId="0" xfId="0" applyFont="1"/>
    <xf numFmtId="0" fontId="72" fillId="0" borderId="19" xfId="0" applyFont="1" applyBorder="1" applyAlignment="1">
      <alignment horizontal="center" vertical="center"/>
    </xf>
    <xf numFmtId="0" fontId="33" fillId="34" borderId="0" xfId="0" applyFont="1" applyFill="1" applyAlignment="1">
      <alignment horizontal="center" vertical="center"/>
    </xf>
    <xf numFmtId="0" fontId="34" fillId="34" borderId="16" xfId="0" applyFont="1" applyFill="1" applyBorder="1" applyAlignment="1">
      <alignment horizontal="center"/>
    </xf>
    <xf numFmtId="0" fontId="34" fillId="34" borderId="17" xfId="0" applyFont="1" applyFill="1" applyBorder="1" applyAlignment="1">
      <alignment horizontal="center"/>
    </xf>
    <xf numFmtId="0" fontId="67" fillId="0" borderId="0" xfId="0" applyFont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34" fillId="34" borderId="10" xfId="0" applyFont="1" applyFill="1" applyBorder="1" applyAlignment="1">
      <alignment horizontal="center" vertical="center" wrapText="1"/>
    </xf>
    <xf numFmtId="0" fontId="34" fillId="34" borderId="26" xfId="0" applyFont="1" applyFill="1" applyBorder="1" applyAlignment="1">
      <alignment horizontal="right" vertical="top"/>
    </xf>
    <xf numFmtId="0" fontId="38" fillId="34" borderId="10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4" fontId="113" fillId="0" borderId="59" xfId="0" applyNumberFormat="1" applyFont="1" applyBorder="1" applyAlignment="1" applyProtection="1">
      <alignment horizontal="right" vertical="center"/>
    </xf>
    <xf numFmtId="0" fontId="72" fillId="0" borderId="19" xfId="0" applyFont="1" applyBorder="1" applyAlignment="1">
      <alignment vertical="center"/>
    </xf>
    <xf numFmtId="0" fontId="113" fillId="0" borderId="0" xfId="0" applyFont="1" applyAlignment="1" applyProtection="1">
      <alignment horizontal="right" vertical="center"/>
    </xf>
    <xf numFmtId="0" fontId="72" fillId="0" borderId="0" xfId="0" applyFont="1" applyAlignment="1">
      <alignment vertical="center"/>
    </xf>
    <xf numFmtId="0" fontId="92" fillId="0" borderId="0" xfId="0" applyFont="1" applyAlignment="1" applyProtection="1">
      <alignment horizontal="left" vertical="top" wrapText="1"/>
    </xf>
    <xf numFmtId="0" fontId="92" fillId="0" borderId="0" xfId="0" applyFont="1" applyAlignment="1">
      <alignment horizontal="left" vertical="top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3" xfId="0" applyFont="1" applyFill="1" applyBorder="1" applyAlignment="1">
      <alignment horizontal="center" vertical="center" wrapText="1"/>
    </xf>
    <xf numFmtId="0" fontId="34" fillId="34" borderId="10" xfId="0" applyFont="1" applyFill="1" applyBorder="1" applyAlignment="1">
      <alignment horizontal="center" vertical="center"/>
    </xf>
    <xf numFmtId="0" fontId="38" fillId="34" borderId="22" xfId="0" applyFont="1" applyFill="1" applyBorder="1" applyAlignment="1">
      <alignment horizontal="center" vertical="center" wrapText="1"/>
    </xf>
    <xf numFmtId="0" fontId="39" fillId="34" borderId="10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14" fontId="120" fillId="0" borderId="59" xfId="0" applyNumberFormat="1" applyFont="1" applyBorder="1" applyAlignment="1" applyProtection="1">
      <alignment horizontal="right" vertical="center"/>
    </xf>
    <xf numFmtId="0" fontId="73" fillId="0" borderId="19" xfId="0" applyFont="1" applyBorder="1" applyAlignment="1">
      <alignment vertical="center"/>
    </xf>
    <xf numFmtId="0" fontId="120" fillId="0" borderId="59" xfId="0" applyFont="1" applyBorder="1" applyAlignment="1" applyProtection="1">
      <alignment horizontal="center" vertical="center"/>
    </xf>
    <xf numFmtId="0" fontId="73" fillId="0" borderId="19" xfId="0" applyFont="1" applyBorder="1" applyAlignment="1">
      <alignment horizontal="center" vertical="center"/>
    </xf>
    <xf numFmtId="0" fontId="120" fillId="0" borderId="0" xfId="0" applyFont="1" applyAlignment="1" applyProtection="1">
      <alignment horizontal="right" vertical="center"/>
    </xf>
    <xf numFmtId="0" fontId="73" fillId="0" borderId="0" xfId="0" applyFont="1" applyAlignment="1">
      <alignment vertical="center"/>
    </xf>
    <xf numFmtId="0" fontId="118" fillId="0" borderId="0" xfId="0" applyFont="1" applyAlignment="1" applyProtection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4" fillId="34" borderId="10" xfId="0" applyFont="1" applyFill="1" applyBorder="1" applyAlignment="1">
      <alignment horizontal="center" wrapText="1"/>
    </xf>
    <xf numFmtId="0" fontId="69" fillId="0" borderId="0" xfId="0" applyFont="1" applyAlignment="1" applyProtection="1">
      <alignment horizontal="right" vertical="center"/>
      <protection locked="0"/>
    </xf>
    <xf numFmtId="14" fontId="72" fillId="0" borderId="19" xfId="0" applyNumberFormat="1" applyFont="1" applyBorder="1" applyAlignment="1">
      <alignment vertical="center"/>
    </xf>
    <xf numFmtId="0" fontId="128" fillId="42" borderId="0" xfId="0" applyFont="1" applyFill="1" applyAlignment="1">
      <alignment horizontal="left" vertical="top" wrapText="1"/>
    </xf>
    <xf numFmtId="0" fontId="34" fillId="34" borderId="25" xfId="0" applyFont="1" applyFill="1" applyBorder="1" applyAlignment="1">
      <alignment horizontal="center" vertical="center" wrapText="1"/>
    </xf>
    <xf numFmtId="0" fontId="118" fillId="0" borderId="67" xfId="0" applyFont="1" applyBorder="1" applyAlignment="1" applyProtection="1">
      <alignment horizontal="right"/>
    </xf>
    <xf numFmtId="0" fontId="35" fillId="0" borderId="10" xfId="0" applyFont="1" applyBorder="1"/>
    <xf numFmtId="0" fontId="118" fillId="0" borderId="0" xfId="0" applyFont="1" applyAlignment="1" applyProtection="1">
      <alignment horizontal="left" vertical="top"/>
    </xf>
    <xf numFmtId="0" fontId="118" fillId="47" borderId="63" xfId="0" applyFont="1" applyFill="1" applyBorder="1" applyAlignment="1" applyProtection="1">
      <alignment horizontal="center"/>
    </xf>
    <xf numFmtId="0" fontId="20" fillId="34" borderId="22" xfId="0" applyFont="1" applyFill="1" applyBorder="1" applyAlignment="1">
      <alignment horizontal="center"/>
    </xf>
    <xf numFmtId="0" fontId="118" fillId="0" borderId="63" xfId="0" applyFont="1" applyBorder="1" applyAlignment="1" applyProtection="1">
      <alignment horizontal="center"/>
    </xf>
    <xf numFmtId="0" fontId="20" fillId="0" borderId="22" xfId="0" applyFont="1" applyBorder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 vertical="center" wrapText="1"/>
    </xf>
    <xf numFmtId="14" fontId="118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18" fillId="0" borderId="0" xfId="0" applyFont="1" applyAlignment="1" applyProtection="1">
      <alignment horizontal="center"/>
    </xf>
    <xf numFmtId="0" fontId="118" fillId="0" borderId="0" xfId="0" applyFont="1" applyAlignment="1" applyProtection="1">
      <alignment horizontal="left"/>
    </xf>
    <xf numFmtId="0" fontId="20" fillId="0" borderId="0" xfId="0" applyFont="1" applyAlignment="1">
      <alignment horizontal="left"/>
    </xf>
    <xf numFmtId="0" fontId="36" fillId="34" borderId="25" xfId="0" applyFont="1" applyFill="1" applyBorder="1" applyAlignment="1">
      <alignment horizontal="center" vertical="center" wrapText="1"/>
    </xf>
    <xf numFmtId="0" fontId="36" fillId="34" borderId="23" xfId="0" applyFont="1" applyFill="1" applyBorder="1" applyAlignment="1">
      <alignment horizontal="center" vertical="center" wrapText="1"/>
    </xf>
    <xf numFmtId="0" fontId="36" fillId="34" borderId="11" xfId="0" applyFont="1" applyFill="1" applyBorder="1" applyAlignment="1">
      <alignment horizontal="center"/>
    </xf>
    <xf numFmtId="0" fontId="36" fillId="34" borderId="13" xfId="0" applyFont="1" applyFill="1" applyBorder="1" applyAlignment="1">
      <alignment horizontal="center"/>
    </xf>
    <xf numFmtId="0" fontId="36" fillId="34" borderId="16" xfId="0" applyFont="1" applyFill="1" applyBorder="1" applyAlignment="1">
      <alignment horizontal="center"/>
    </xf>
    <xf numFmtId="0" fontId="36" fillId="34" borderId="18" xfId="0" applyFont="1" applyFill="1" applyBorder="1" applyAlignment="1">
      <alignment horizontal="center"/>
    </xf>
    <xf numFmtId="0" fontId="68" fillId="0" borderId="0" xfId="0" applyFont="1" applyAlignment="1" applyProtection="1">
      <alignment horizontal="left" vertical="top" wrapText="1"/>
    </xf>
    <xf numFmtId="0" fontId="72" fillId="0" borderId="28" xfId="0" applyFont="1" applyBorder="1" applyAlignment="1">
      <alignment horizontal="center" vertical="center"/>
    </xf>
    <xf numFmtId="0" fontId="74" fillId="0" borderId="0" xfId="0" applyFont="1" applyAlignment="1">
      <alignment horizontal="left" vertical="top"/>
    </xf>
    <xf numFmtId="0" fontId="77" fillId="34" borderId="0" xfId="0" applyFont="1" applyFill="1" applyAlignment="1">
      <alignment horizontal="center" vertical="center"/>
    </xf>
    <xf numFmtId="14" fontId="118" fillId="0" borderId="0" xfId="0" applyNumberFormat="1" applyFont="1" applyAlignment="1" applyProtection="1">
      <alignment horizontal="center" vertical="center"/>
    </xf>
    <xf numFmtId="0" fontId="74" fillId="0" borderId="0" xfId="0" applyFont="1" applyAlignment="1">
      <alignment horizontal="center" vertical="center"/>
    </xf>
    <xf numFmtId="0" fontId="118" fillId="0" borderId="0" xfId="0" applyFont="1" applyAlignment="1" applyProtection="1">
      <alignment horizontal="center" vertical="center"/>
    </xf>
    <xf numFmtId="0" fontId="74" fillId="0" borderId="0" xfId="0" applyFont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/>
    </xf>
    <xf numFmtId="0" fontId="76" fillId="34" borderId="10" xfId="0" applyFont="1" applyFill="1" applyBorder="1" applyAlignment="1">
      <alignment horizontal="center" vertical="center" wrapText="1"/>
    </xf>
    <xf numFmtId="0" fontId="78" fillId="36" borderId="0" xfId="42" applyFont="1" applyFill="1" applyAlignment="1" applyProtection="1">
      <alignment horizontal="center"/>
      <protection locked="0"/>
    </xf>
    <xf numFmtId="0" fontId="79" fillId="0" borderId="0" xfId="42" applyFont="1" applyAlignment="1" applyProtection="1">
      <alignment horizontal="left"/>
      <protection locked="0"/>
    </xf>
    <xf numFmtId="14" fontId="113" fillId="0" borderId="59" xfId="0" applyNumberFormat="1" applyFont="1" applyBorder="1" applyAlignment="1" applyProtection="1">
      <alignment horizontal="center"/>
    </xf>
    <xf numFmtId="14" fontId="80" fillId="0" borderId="19" xfId="42" applyNumberFormat="1" applyFont="1" applyBorder="1" applyAlignment="1" applyProtection="1">
      <alignment horizontal="center"/>
      <protection locked="0"/>
    </xf>
    <xf numFmtId="0" fontId="113" fillId="0" borderId="59" xfId="0" applyFont="1" applyBorder="1" applyAlignment="1" applyProtection="1">
      <alignment horizontal="left"/>
    </xf>
    <xf numFmtId="0" fontId="80" fillId="0" borderId="19" xfId="42" applyFont="1" applyBorder="1" applyAlignment="1" applyProtection="1">
      <alignment horizontal="left"/>
      <protection locked="0"/>
    </xf>
    <xf numFmtId="0" fontId="79" fillId="0" borderId="0" xfId="42" applyFont="1" applyAlignment="1" applyProtection="1">
      <alignment horizontal="center" vertical="center" wrapText="1"/>
      <protection locked="0"/>
    </xf>
    <xf numFmtId="0" fontId="80" fillId="0" borderId="27" xfId="42" applyFont="1" applyBorder="1" applyAlignment="1" applyProtection="1">
      <alignment horizontal="center" vertical="center"/>
      <protection locked="0"/>
    </xf>
    <xf numFmtId="0" fontId="80" fillId="0" borderId="19" xfId="42" applyFont="1" applyBorder="1" applyAlignment="1" applyProtection="1">
      <alignment horizontal="center" vertical="center"/>
      <protection locked="0"/>
    </xf>
    <xf numFmtId="0" fontId="113" fillId="0" borderId="66" xfId="0" applyFont="1" applyBorder="1" applyAlignment="1" applyProtection="1">
      <alignment horizontal="left"/>
    </xf>
    <xf numFmtId="0" fontId="80" fillId="0" borderId="28" xfId="42" applyFont="1" applyBorder="1" applyAlignment="1" applyProtection="1">
      <alignment horizontal="left"/>
      <protection locked="0"/>
    </xf>
    <xf numFmtId="0" fontId="79" fillId="0" borderId="25" xfId="42" applyFont="1" applyBorder="1" applyAlignment="1" applyProtection="1">
      <alignment horizontal="left" vertical="center" wrapText="1"/>
      <protection locked="0"/>
    </xf>
    <xf numFmtId="0" fontId="79" fillId="0" borderId="24" xfId="42" applyFont="1" applyBorder="1" applyAlignment="1" applyProtection="1">
      <alignment horizontal="left" vertical="center" wrapText="1"/>
      <protection locked="0"/>
    </xf>
    <xf numFmtId="0" fontId="81" fillId="36" borderId="25" xfId="42" applyFont="1" applyFill="1" applyBorder="1" applyAlignment="1" applyProtection="1">
      <alignment horizontal="center" vertical="center"/>
      <protection locked="0"/>
    </xf>
    <xf numFmtId="0" fontId="81" fillId="36" borderId="23" xfId="42" applyFont="1" applyFill="1" applyBorder="1" applyAlignment="1" applyProtection="1">
      <alignment horizontal="center" vertical="center"/>
      <protection locked="0"/>
    </xf>
    <xf numFmtId="0" fontId="81" fillId="36" borderId="11" xfId="42" applyFont="1" applyFill="1" applyBorder="1" applyAlignment="1" applyProtection="1">
      <alignment horizontal="center" vertical="center" wrapText="1"/>
      <protection locked="0"/>
    </xf>
    <xf numFmtId="0" fontId="81" fillId="36" borderId="13" xfId="42" applyFont="1" applyFill="1" applyBorder="1" applyAlignment="1" applyProtection="1">
      <alignment horizontal="center" vertical="center" wrapText="1"/>
      <protection locked="0"/>
    </xf>
    <xf numFmtId="0" fontId="81" fillId="36" borderId="16" xfId="42" applyFont="1" applyFill="1" applyBorder="1" applyAlignment="1" applyProtection="1">
      <alignment horizontal="center" vertical="center" wrapText="1"/>
      <protection locked="0"/>
    </xf>
    <xf numFmtId="0" fontId="81" fillId="36" borderId="18" xfId="42" applyFont="1" applyFill="1" applyBorder="1" applyAlignment="1" applyProtection="1">
      <alignment horizontal="center" vertical="center" wrapText="1"/>
      <protection locked="0"/>
    </xf>
    <xf numFmtId="0" fontId="82" fillId="36" borderId="12" xfId="42" applyFont="1" applyFill="1" applyBorder="1" applyAlignment="1" applyProtection="1">
      <alignment horizontal="center" vertical="center" wrapText="1"/>
      <protection locked="0"/>
    </xf>
    <xf numFmtId="0" fontId="82" fillId="36" borderId="13" xfId="42" applyFont="1" applyFill="1" applyBorder="1" applyAlignment="1" applyProtection="1">
      <alignment horizontal="center" vertical="center" wrapText="1"/>
      <protection locked="0"/>
    </xf>
    <xf numFmtId="0" fontId="82" fillId="36" borderId="17" xfId="42" applyFont="1" applyFill="1" applyBorder="1" applyAlignment="1" applyProtection="1">
      <alignment horizontal="center" vertical="center" wrapText="1"/>
      <protection locked="0"/>
    </xf>
    <xf numFmtId="0" fontId="82" fillId="36" borderId="18" xfId="42" applyFont="1" applyFill="1" applyBorder="1" applyAlignment="1" applyProtection="1">
      <alignment horizontal="center" vertical="center" wrapText="1"/>
      <protection locked="0"/>
    </xf>
    <xf numFmtId="0" fontId="118" fillId="0" borderId="67" xfId="0" applyFont="1" applyBorder="1" applyAlignment="1" applyProtection="1">
      <alignment horizontal="center" vertical="center"/>
    </xf>
    <xf numFmtId="0" fontId="35" fillId="0" borderId="0" xfId="42" applyFont="1" applyAlignment="1" applyProtection="1">
      <alignment horizontal="left" vertical="top" wrapText="1"/>
      <protection locked="0"/>
    </xf>
    <xf numFmtId="0" fontId="33" fillId="36" borderId="0" xfId="42" applyFont="1" applyFill="1" applyAlignment="1" applyProtection="1">
      <alignment horizontal="center"/>
      <protection locked="0"/>
    </xf>
    <xf numFmtId="0" fontId="35" fillId="0" borderId="0" xfId="42" applyFont="1" applyAlignment="1" applyProtection="1">
      <alignment horizontal="left"/>
      <protection locked="0"/>
    </xf>
    <xf numFmtId="0" fontId="37" fillId="0" borderId="19" xfId="42" applyFont="1" applyBorder="1" applyAlignment="1" applyProtection="1">
      <alignment horizontal="left"/>
      <protection locked="0"/>
    </xf>
    <xf numFmtId="0" fontId="37" fillId="0" borderId="19" xfId="42" applyFont="1" applyBorder="1" applyAlignment="1" applyProtection="1">
      <alignment horizontal="center" vertical="center"/>
      <protection locked="0"/>
    </xf>
    <xf numFmtId="0" fontId="34" fillId="36" borderId="25" xfId="42" applyFont="1" applyFill="1" applyBorder="1" applyAlignment="1" applyProtection="1">
      <alignment horizontal="center" vertical="center"/>
      <protection locked="0"/>
    </xf>
    <xf numFmtId="0" fontId="34" fillId="36" borderId="23" xfId="42" applyFont="1" applyFill="1" applyBorder="1" applyAlignment="1" applyProtection="1">
      <alignment horizontal="center" vertical="center"/>
      <protection locked="0"/>
    </xf>
    <xf numFmtId="0" fontId="34" fillId="36" borderId="11" xfId="42" applyFont="1" applyFill="1" applyBorder="1" applyAlignment="1" applyProtection="1">
      <alignment horizontal="center" vertical="center" wrapText="1"/>
      <protection locked="0"/>
    </xf>
    <xf numFmtId="0" fontId="34" fillId="36" borderId="16" xfId="42" applyFont="1" applyFill="1" applyBorder="1" applyAlignment="1" applyProtection="1">
      <alignment horizontal="center" vertical="center" wrapText="1"/>
      <protection locked="0"/>
    </xf>
    <xf numFmtId="0" fontId="34" fillId="36" borderId="10" xfId="42" applyFont="1" applyFill="1" applyBorder="1" applyAlignment="1" applyProtection="1">
      <alignment horizontal="center" vertical="center" wrapText="1"/>
      <protection locked="0"/>
    </xf>
    <xf numFmtId="0" fontId="38" fillId="36" borderId="10" xfId="42" applyFont="1" applyFill="1" applyBorder="1" applyAlignment="1" applyProtection="1">
      <alignment horizontal="center" vertical="center" wrapText="1"/>
      <protection locked="0"/>
    </xf>
    <xf numFmtId="3" fontId="118" fillId="0" borderId="63" xfId="0" applyNumberFormat="1" applyFont="1" applyBorder="1" applyAlignment="1" applyProtection="1">
      <alignment horizontal="right" vertical="center"/>
    </xf>
    <xf numFmtId="3" fontId="35" fillId="0" borderId="22" xfId="42" applyNumberFormat="1" applyFont="1" applyBorder="1" applyAlignment="1" applyProtection="1">
      <alignment horizontal="right" vertical="center"/>
      <protection locked="0"/>
    </xf>
    <xf numFmtId="0" fontId="118" fillId="0" borderId="69" xfId="0" applyFont="1" applyBorder="1" applyAlignment="1" applyProtection="1">
      <alignment horizontal="center" vertical="center"/>
    </xf>
    <xf numFmtId="0" fontId="35" fillId="0" borderId="22" xfId="42" applyFont="1" applyBorder="1" applyAlignment="1" applyProtection="1">
      <alignment horizontal="center" vertical="center"/>
      <protection locked="0"/>
    </xf>
    <xf numFmtId="3" fontId="118" fillId="0" borderId="70" xfId="0" applyNumberFormat="1" applyFont="1" applyBorder="1" applyAlignment="1" applyProtection="1">
      <alignment horizontal="right" vertical="center"/>
    </xf>
    <xf numFmtId="3" fontId="35" fillId="0" borderId="13" xfId="42" applyNumberFormat="1" applyFont="1" applyBorder="1" applyAlignment="1" applyProtection="1">
      <alignment horizontal="right" vertical="center"/>
      <protection locked="0"/>
    </xf>
    <xf numFmtId="3" fontId="118" fillId="0" borderId="60" xfId="0" applyNumberFormat="1" applyFont="1" applyBorder="1" applyAlignment="1" applyProtection="1">
      <alignment horizontal="right" vertical="center"/>
    </xf>
    <xf numFmtId="3" fontId="35" fillId="0" borderId="18" xfId="42" applyNumberFormat="1" applyFont="1" applyBorder="1" applyAlignment="1" applyProtection="1">
      <alignment horizontal="right" vertical="center"/>
      <protection locked="0"/>
    </xf>
    <xf numFmtId="0" fontId="34" fillId="36" borderId="25" xfId="42" applyFont="1" applyFill="1" applyBorder="1" applyAlignment="1" applyProtection="1">
      <alignment horizontal="center" vertical="center" wrapText="1"/>
      <protection locked="0"/>
    </xf>
    <xf numFmtId="0" fontId="34" fillId="36" borderId="23" xfId="42" applyFont="1" applyFill="1" applyBorder="1" applyAlignment="1" applyProtection="1">
      <alignment horizontal="center" vertical="center" wrapText="1"/>
      <protection locked="0"/>
    </xf>
    <xf numFmtId="0" fontId="34" fillId="36" borderId="13" xfId="42" applyFont="1" applyFill="1" applyBorder="1" applyAlignment="1" applyProtection="1">
      <alignment horizontal="center" vertical="center" wrapText="1"/>
      <protection locked="0"/>
    </xf>
    <xf numFmtId="0" fontId="34" fillId="36" borderId="18" xfId="42" applyFont="1" applyFill="1" applyBorder="1" applyAlignment="1" applyProtection="1">
      <alignment horizontal="center" vertical="center" wrapText="1"/>
      <protection locked="0"/>
    </xf>
    <xf numFmtId="0" fontId="38" fillId="36" borderId="25" xfId="42" applyFont="1" applyFill="1" applyBorder="1" applyAlignment="1" applyProtection="1">
      <alignment horizontal="center" vertical="center" wrapText="1"/>
      <protection locked="0"/>
    </xf>
    <xf numFmtId="0" fontId="38" fillId="36" borderId="23" xfId="42" applyFont="1" applyFill="1" applyBorder="1" applyAlignment="1" applyProtection="1">
      <alignment horizontal="center" vertical="center" wrapText="1"/>
      <protection locked="0"/>
    </xf>
    <xf numFmtId="3" fontId="118" fillId="0" borderId="67" xfId="0" applyNumberFormat="1" applyFont="1" applyBorder="1" applyAlignment="1" applyProtection="1">
      <alignment horizontal="right" vertical="center"/>
    </xf>
    <xf numFmtId="3" fontId="68" fillId="0" borderId="10" xfId="0" applyNumberFormat="1" applyFont="1" applyBorder="1" applyAlignment="1" applyProtection="1">
      <alignment horizontal="right" vertical="center"/>
      <protection locked="0"/>
    </xf>
    <xf numFmtId="14" fontId="37" fillId="0" borderId="19" xfId="42" applyNumberFormat="1" applyFont="1" applyBorder="1" applyAlignment="1" applyProtection="1">
      <alignment horizontal="center"/>
      <protection locked="0"/>
    </xf>
    <xf numFmtId="0" fontId="35" fillId="0" borderId="0" xfId="42" applyFont="1" applyAlignment="1" applyProtection="1">
      <alignment horizontal="center" vertical="center" wrapText="1"/>
      <protection locked="0"/>
    </xf>
    <xf numFmtId="0" fontId="37" fillId="0" borderId="27" xfId="42" applyFont="1" applyBorder="1" applyAlignment="1" applyProtection="1">
      <alignment horizontal="center" vertical="center"/>
      <protection locked="0"/>
    </xf>
    <xf numFmtId="0" fontId="37" fillId="0" borderId="28" xfId="42" applyFont="1" applyBorder="1" applyAlignment="1" applyProtection="1">
      <alignment horizontal="left"/>
      <protection locked="0"/>
    </xf>
    <xf numFmtId="3" fontId="35" fillId="0" borderId="22" xfId="42" applyNumberFormat="1" applyFont="1" applyBorder="1" applyAlignment="1" applyProtection="1">
      <alignment vertical="center"/>
      <protection locked="0"/>
    </xf>
    <xf numFmtId="0" fontId="60" fillId="0" borderId="0" xfId="42" applyFont="1" applyAlignment="1" applyProtection="1">
      <alignment horizontal="center"/>
      <protection locked="0"/>
    </xf>
    <xf numFmtId="0" fontId="38" fillId="36" borderId="12" xfId="42" applyFont="1" applyFill="1" applyBorder="1" applyAlignment="1" applyProtection="1">
      <alignment horizontal="center" vertical="center" wrapText="1"/>
      <protection locked="0"/>
    </xf>
    <xf numFmtId="0" fontId="38" fillId="36" borderId="13" xfId="42" applyFont="1" applyFill="1" applyBorder="1" applyAlignment="1" applyProtection="1">
      <alignment horizontal="center" vertical="center" wrapText="1"/>
      <protection locked="0"/>
    </xf>
    <xf numFmtId="0" fontId="38" fillId="36" borderId="17" xfId="42" applyFont="1" applyFill="1" applyBorder="1" applyAlignment="1" applyProtection="1">
      <alignment horizontal="center" vertical="center" wrapText="1"/>
      <protection locked="0"/>
    </xf>
    <xf numFmtId="0" fontId="38" fillId="36" borderId="18" xfId="42" applyFont="1" applyFill="1" applyBorder="1" applyAlignment="1" applyProtection="1">
      <alignment horizontal="center" vertical="center" wrapText="1"/>
      <protection locked="0"/>
    </xf>
    <xf numFmtId="0" fontId="68" fillId="0" borderId="63" xfId="0" applyFont="1" applyBorder="1" applyAlignment="1" applyProtection="1">
      <alignment horizontal="left" vertical="center"/>
    </xf>
    <xf numFmtId="0" fontId="20" fillId="0" borderId="22" xfId="42" applyFont="1" applyBorder="1" applyAlignment="1" applyProtection="1">
      <alignment horizontal="left" vertical="center"/>
      <protection locked="0"/>
    </xf>
    <xf numFmtId="0" fontId="40" fillId="50" borderId="63" xfId="0" applyFont="1" applyFill="1" applyBorder="1" applyAlignment="1" applyProtection="1">
      <alignment horizontal="center" vertical="center"/>
    </xf>
    <xf numFmtId="0" fontId="40" fillId="37" borderId="22" xfId="42" applyFont="1" applyFill="1" applyBorder="1" applyAlignment="1" applyProtection="1">
      <alignment horizontal="center" vertical="center"/>
      <protection locked="0"/>
    </xf>
    <xf numFmtId="0" fontId="37" fillId="0" borderId="17" xfId="42" applyFont="1" applyBorder="1" applyAlignment="1" applyProtection="1">
      <alignment horizontal="center" vertical="top" wrapText="1"/>
      <protection locked="0"/>
    </xf>
    <xf numFmtId="0" fontId="39" fillId="36" borderId="25" xfId="42" applyFont="1" applyFill="1" applyBorder="1" applyAlignment="1" applyProtection="1">
      <alignment horizontal="center" vertical="center" wrapText="1"/>
      <protection locked="0"/>
    </xf>
    <xf numFmtId="0" fontId="39" fillId="36" borderId="23" xfId="42" applyFont="1" applyFill="1" applyBorder="1" applyAlignment="1" applyProtection="1">
      <alignment horizontal="center" vertical="center" wrapText="1"/>
      <protection locked="0"/>
    </xf>
    <xf numFmtId="0" fontId="21" fillId="36" borderId="0" xfId="42" applyFont="1" applyFill="1" applyAlignment="1" applyProtection="1">
      <alignment horizontal="center"/>
      <protection locked="0"/>
    </xf>
    <xf numFmtId="0" fontId="35" fillId="0" borderId="0" xfId="42" applyFont="1" applyAlignment="1" applyProtection="1">
      <alignment horizontal="left" vertical="center"/>
      <protection locked="0"/>
    </xf>
    <xf numFmtId="14" fontId="37" fillId="0" borderId="19" xfId="42" applyNumberFormat="1" applyFont="1" applyBorder="1" applyAlignment="1" applyProtection="1">
      <alignment horizontal="center" vertical="center"/>
      <protection locked="0"/>
    </xf>
    <xf numFmtId="0" fontId="113" fillId="0" borderId="66" xfId="0" applyFont="1" applyBorder="1" applyAlignment="1" applyProtection="1">
      <alignment horizontal="left" vertical="center"/>
    </xf>
    <xf numFmtId="0" fontId="37" fillId="0" borderId="28" xfId="42" applyFont="1" applyBorder="1" applyAlignment="1" applyProtection="1">
      <alignment horizontal="left" vertical="center"/>
      <protection locked="0"/>
    </xf>
    <xf numFmtId="3" fontId="118" fillId="48" borderId="63" xfId="0" applyNumberFormat="1" applyFont="1" applyFill="1" applyBorder="1" applyAlignment="1" applyProtection="1">
      <alignment horizontal="right" vertical="center"/>
    </xf>
    <xf numFmtId="3" fontId="20" fillId="35" borderId="22" xfId="0" applyNumberFormat="1" applyFont="1" applyFill="1" applyBorder="1" applyAlignment="1">
      <alignment horizontal="right" vertical="center"/>
    </xf>
    <xf numFmtId="3" fontId="20" fillId="0" borderId="22" xfId="0" applyNumberFormat="1" applyFont="1" applyBorder="1" applyAlignment="1">
      <alignment horizontal="right" vertical="center"/>
    </xf>
    <xf numFmtId="3" fontId="118" fillId="44" borderId="63" xfId="0" applyNumberFormat="1" applyFont="1" applyFill="1" applyBorder="1" applyAlignment="1" applyProtection="1">
      <alignment horizontal="right" vertical="center"/>
    </xf>
    <xf numFmtId="3" fontId="20" fillId="42" borderId="22" xfId="0" applyNumberFormat="1" applyFont="1" applyFill="1" applyBorder="1" applyAlignment="1">
      <alignment horizontal="right" vertical="center"/>
    </xf>
    <xf numFmtId="3" fontId="118" fillId="48" borderId="63" xfId="0" applyNumberFormat="1" applyFont="1" applyFill="1" applyBorder="1" applyAlignment="1" applyProtection="1">
      <alignment horizontal="right" vertical="center" wrapText="1"/>
    </xf>
    <xf numFmtId="3" fontId="20" fillId="35" borderId="22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left" vertical="top" wrapText="1"/>
    </xf>
    <xf numFmtId="0" fontId="38" fillId="34" borderId="11" xfId="0" applyFont="1" applyFill="1" applyBorder="1" applyAlignment="1">
      <alignment horizontal="center" vertical="center" wrapText="1"/>
    </xf>
    <xf numFmtId="0" fontId="38" fillId="34" borderId="13" xfId="0" applyFont="1" applyFill="1" applyBorder="1" applyAlignment="1">
      <alignment horizontal="center" vertical="center" wrapText="1"/>
    </xf>
    <xf numFmtId="0" fontId="38" fillId="34" borderId="16" xfId="0" applyFont="1" applyFill="1" applyBorder="1" applyAlignment="1">
      <alignment horizontal="center" vertical="center" wrapText="1"/>
    </xf>
    <xf numFmtId="0" fontId="38" fillId="34" borderId="18" xfId="0" applyFont="1" applyFill="1" applyBorder="1" applyAlignment="1">
      <alignment horizontal="center" vertical="center" wrapText="1"/>
    </xf>
    <xf numFmtId="3" fontId="118" fillId="0" borderId="63" xfId="0" applyNumberFormat="1" applyFont="1" applyBorder="1" applyAlignment="1" applyProtection="1">
      <alignment horizontal="center" vertical="center"/>
    </xf>
    <xf numFmtId="3" fontId="20" fillId="0" borderId="22" xfId="0" applyNumberFormat="1" applyFont="1" applyBorder="1" applyAlignment="1">
      <alignment horizontal="center" vertical="center"/>
    </xf>
    <xf numFmtId="3" fontId="118" fillId="44" borderId="63" xfId="0" applyNumberFormat="1" applyFont="1" applyFill="1" applyBorder="1" applyAlignment="1" applyProtection="1">
      <alignment horizontal="right" vertical="center" wrapText="1"/>
    </xf>
    <xf numFmtId="3" fontId="20" fillId="42" borderId="22" xfId="0" applyNumberFormat="1" applyFont="1" applyFill="1" applyBorder="1" applyAlignment="1">
      <alignment horizontal="right" vertical="center" wrapText="1"/>
    </xf>
    <xf numFmtId="3" fontId="118" fillId="44" borderId="63" xfId="0" applyNumberFormat="1" applyFont="1" applyFill="1" applyBorder="1" applyAlignment="1" applyProtection="1">
      <alignment horizontal="center" vertical="center"/>
    </xf>
    <xf numFmtId="3" fontId="20" fillId="42" borderId="22" xfId="0" applyNumberFormat="1" applyFont="1" applyFill="1" applyBorder="1" applyAlignment="1">
      <alignment horizontal="center" vertical="center"/>
    </xf>
    <xf numFmtId="0" fontId="20" fillId="0" borderId="0" xfId="42" applyFont="1" applyAlignment="1" applyProtection="1">
      <alignment horizontal="left" vertical="top" wrapText="1"/>
      <protection locked="0"/>
    </xf>
    <xf numFmtId="0" fontId="113" fillId="0" borderId="0" xfId="0" applyFont="1" applyAlignment="1" applyProtection="1">
      <alignment horizontal="center" vertical="center"/>
    </xf>
    <xf numFmtId="0" fontId="3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13" fillId="0" borderId="0" xfId="0" applyNumberFormat="1" applyFont="1" applyAlignment="1" applyProtection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0" fontId="35" fillId="0" borderId="20" xfId="42" applyFont="1" applyBorder="1" applyAlignment="1" applyProtection="1">
      <alignment vertical="center" wrapText="1"/>
      <protection locked="0"/>
    </xf>
    <xf numFmtId="0" fontId="35" fillId="0" borderId="22" xfId="42" applyFont="1" applyBorder="1" applyAlignment="1" applyProtection="1">
      <alignment vertical="center" wrapText="1"/>
      <protection locked="0"/>
    </xf>
    <xf numFmtId="3" fontId="118" fillId="0" borderId="68" xfId="0" applyNumberFormat="1" applyFont="1" applyBorder="1" applyAlignment="1" applyProtection="1">
      <alignment horizontal="right" vertical="center"/>
    </xf>
    <xf numFmtId="0" fontId="61" fillId="36" borderId="20" xfId="42" applyFont="1" applyFill="1" applyBorder="1" applyAlignment="1" applyProtection="1">
      <alignment horizontal="center" vertical="center" wrapText="1"/>
      <protection locked="0"/>
    </xf>
    <xf numFmtId="0" fontId="61" fillId="36" borderId="21" xfId="42" applyFont="1" applyFill="1" applyBorder="1" applyAlignment="1" applyProtection="1">
      <alignment horizontal="center" vertical="center" wrapText="1"/>
      <protection locked="0"/>
    </xf>
    <xf numFmtId="0" fontId="61" fillId="36" borderId="22" xfId="42" applyFont="1" applyFill="1" applyBorder="1" applyAlignment="1" applyProtection="1">
      <alignment horizontal="center" vertical="center" wrapText="1"/>
      <protection locked="0"/>
    </xf>
    <xf numFmtId="0" fontId="34" fillId="36" borderId="20" xfId="42" applyFont="1" applyFill="1" applyBorder="1" applyAlignment="1" applyProtection="1">
      <alignment horizontal="center" vertical="center" wrapText="1"/>
      <protection locked="0"/>
    </xf>
    <xf numFmtId="0" fontId="34" fillId="36" borderId="22" xfId="42" applyFont="1" applyFill="1" applyBorder="1" applyAlignment="1" applyProtection="1">
      <alignment horizontal="center" vertical="center" wrapText="1"/>
      <protection locked="0"/>
    </xf>
    <xf numFmtId="3" fontId="118" fillId="50" borderId="60" xfId="0" applyNumberFormat="1" applyFont="1" applyFill="1" applyBorder="1" applyAlignment="1" applyProtection="1">
      <alignment horizontal="right" vertical="center"/>
    </xf>
    <xf numFmtId="3" fontId="68" fillId="39" borderId="53" xfId="0" applyNumberFormat="1" applyFont="1" applyFill="1" applyBorder="1" applyAlignment="1" applyProtection="1">
      <alignment horizontal="right" vertical="center"/>
      <protection locked="0"/>
    </xf>
    <xf numFmtId="3" fontId="68" fillId="39" borderId="54" xfId="0" applyNumberFormat="1" applyFont="1" applyFill="1" applyBorder="1" applyAlignment="1" applyProtection="1">
      <alignment horizontal="right" vertical="center"/>
      <protection locked="0"/>
    </xf>
    <xf numFmtId="0" fontId="35" fillId="0" borderId="0" xfId="42" applyFont="1" applyAlignment="1" applyProtection="1">
      <alignment horizontal="left" vertical="top"/>
      <protection locked="0"/>
    </xf>
    <xf numFmtId="0" fontId="33" fillId="36" borderId="0" xfId="42" applyFont="1" applyFill="1" applyAlignment="1" applyProtection="1">
      <alignment horizontal="center" vertical="center" wrapText="1"/>
      <protection locked="0"/>
    </xf>
    <xf numFmtId="0" fontId="37" fillId="0" borderId="19" xfId="42" applyFont="1" applyBorder="1" applyAlignment="1" applyProtection="1">
      <alignment horizontal="center"/>
      <protection locked="0"/>
    </xf>
    <xf numFmtId="0" fontId="35" fillId="0" borderId="0" xfId="42" applyFont="1" applyAlignment="1" applyProtection="1">
      <alignment horizontal="center" vertical="center"/>
      <protection locked="0"/>
    </xf>
    <xf numFmtId="0" fontId="113" fillId="0" borderId="65" xfId="0" applyFont="1" applyBorder="1" applyAlignment="1" applyProtection="1">
      <alignment horizontal="left" vertical="center"/>
    </xf>
    <xf numFmtId="0" fontId="37" fillId="0" borderId="27" xfId="42" applyFont="1" applyBorder="1" applyAlignment="1" applyProtection="1">
      <alignment horizontal="left" vertical="center"/>
      <protection locked="0"/>
    </xf>
    <xf numFmtId="0" fontId="37" fillId="0" borderId="19" xfId="42" applyFont="1" applyBorder="1" applyAlignment="1" applyProtection="1">
      <alignment horizontal="left" vertical="center"/>
      <protection locked="0"/>
    </xf>
    <xf numFmtId="0" fontId="37" fillId="0" borderId="20" xfId="42" applyFont="1" applyBorder="1" applyAlignment="1" applyProtection="1">
      <alignment horizontal="left" vertical="center" wrapText="1"/>
      <protection locked="0"/>
    </xf>
    <xf numFmtId="0" fontId="37" fillId="0" borderId="22" xfId="42" applyFont="1" applyBorder="1" applyAlignment="1" applyProtection="1">
      <alignment horizontal="left" vertical="center" wrapText="1"/>
      <protection locked="0"/>
    </xf>
    <xf numFmtId="0" fontId="35" fillId="0" borderId="20" xfId="42" applyFont="1" applyBorder="1" applyAlignment="1" applyProtection="1">
      <alignment horizontal="left" vertical="center" wrapText="1"/>
      <protection locked="0"/>
    </xf>
    <xf numFmtId="0" fontId="35" fillId="0" borderId="22" xfId="42" applyFont="1" applyBorder="1" applyAlignment="1" applyProtection="1">
      <alignment horizontal="left" vertical="center" wrapText="1"/>
      <protection locked="0"/>
    </xf>
    <xf numFmtId="0" fontId="37" fillId="37" borderId="20" xfId="42" applyFont="1" applyFill="1" applyBorder="1" applyAlignment="1" applyProtection="1">
      <alignment horizontal="left" vertical="center" wrapText="1"/>
      <protection locked="0"/>
    </xf>
    <xf numFmtId="0" fontId="37" fillId="37" borderId="22" xfId="42" applyFont="1" applyFill="1" applyBorder="1" applyAlignment="1" applyProtection="1">
      <alignment horizontal="left" vertical="center" wrapText="1"/>
      <protection locked="0"/>
    </xf>
    <xf numFmtId="0" fontId="34" fillId="36" borderId="20" xfId="42" applyFont="1" applyFill="1" applyBorder="1" applyAlignment="1" applyProtection="1">
      <alignment horizontal="left" vertical="center"/>
      <protection locked="0"/>
    </xf>
    <xf numFmtId="0" fontId="34" fillId="36" borderId="22" xfId="42" applyFont="1" applyFill="1" applyBorder="1" applyAlignment="1" applyProtection="1">
      <alignment horizontal="left" vertical="center"/>
      <protection locked="0"/>
    </xf>
    <xf numFmtId="0" fontId="34" fillId="34" borderId="0" xfId="0" applyFont="1" applyFill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14" fontId="118" fillId="0" borderId="59" xfId="0" applyNumberFormat="1" applyFont="1" applyBorder="1" applyAlignment="1" applyProtection="1">
      <alignment horizontal="center"/>
    </xf>
    <xf numFmtId="0" fontId="35" fillId="0" borderId="19" xfId="42" applyFont="1" applyBorder="1" applyAlignment="1" applyProtection="1">
      <alignment horizontal="center"/>
      <protection locked="0"/>
    </xf>
    <xf numFmtId="0" fontId="118" fillId="0" borderId="59" xfId="0" applyFont="1" applyBorder="1" applyAlignment="1" applyProtection="1">
      <alignment horizontal="center"/>
    </xf>
    <xf numFmtId="164" fontId="34" fillId="36" borderId="29" xfId="43" applyNumberFormat="1" applyFont="1" applyFill="1" applyBorder="1" applyAlignment="1" applyProtection="1">
      <alignment horizontal="right" vertical="top"/>
      <protection locked="0"/>
    </xf>
    <xf numFmtId="164" fontId="34" fillId="36" borderId="31" xfId="43" applyNumberFormat="1" applyFont="1" applyFill="1" applyBorder="1" applyAlignment="1" applyProtection="1">
      <alignment horizontal="right" vertical="top"/>
      <protection locked="0"/>
    </xf>
    <xf numFmtId="164" fontId="34" fillId="36" borderId="33" xfId="43" applyNumberFormat="1" applyFont="1" applyFill="1" applyBorder="1" applyAlignment="1" applyProtection="1">
      <alignment horizontal="right" vertical="top"/>
      <protection locked="0"/>
    </xf>
    <xf numFmtId="164" fontId="34" fillId="36" borderId="20" xfId="43" applyNumberFormat="1" applyFont="1" applyFill="1" applyBorder="1" applyAlignment="1" applyProtection="1">
      <alignment horizontal="center" vertical="center"/>
      <protection locked="0"/>
    </xf>
    <xf numFmtId="164" fontId="34" fillId="36" borderId="21" xfId="43" applyNumberFormat="1" applyFont="1" applyFill="1" applyBorder="1" applyAlignment="1" applyProtection="1">
      <alignment horizontal="center" vertical="center"/>
      <protection locked="0"/>
    </xf>
    <xf numFmtId="164" fontId="34" fillId="36" borderId="30" xfId="43" applyNumberFormat="1" applyFont="1" applyFill="1" applyBorder="1" applyAlignment="1" applyProtection="1">
      <alignment horizontal="center" vertical="center"/>
      <protection locked="0"/>
    </xf>
    <xf numFmtId="164" fontId="34" fillId="36" borderId="22" xfId="43" applyNumberFormat="1" applyFont="1" applyFill="1" applyBorder="1" applyAlignment="1" applyProtection="1">
      <alignment horizontal="center" vertical="center"/>
      <protection locked="0"/>
    </xf>
    <xf numFmtId="164" fontId="38" fillId="36" borderId="20" xfId="43" applyNumberFormat="1" applyFont="1" applyFill="1" applyBorder="1" applyAlignment="1" applyProtection="1">
      <alignment horizontal="center" vertical="center" wrapText="1"/>
      <protection locked="0"/>
    </xf>
    <xf numFmtId="164" fontId="38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9" fillId="36" borderId="20" xfId="43" applyNumberFormat="1" applyFont="1" applyFill="1" applyBorder="1" applyAlignment="1" applyProtection="1">
      <alignment horizontal="center" vertical="center" wrapText="1"/>
      <protection locked="0"/>
    </xf>
    <xf numFmtId="164" fontId="39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8" fillId="36" borderId="21" xfId="43" applyNumberFormat="1" applyFont="1" applyFill="1" applyBorder="1" applyAlignment="1" applyProtection="1">
      <alignment horizontal="center" vertical="center" wrapText="1"/>
      <protection locked="0"/>
    </xf>
    <xf numFmtId="3" fontId="39" fillId="36" borderId="20" xfId="43" applyNumberFormat="1" applyFont="1" applyFill="1" applyBorder="1" applyAlignment="1" applyProtection="1">
      <alignment horizontal="center" vertical="center" wrapText="1"/>
      <protection locked="0"/>
    </xf>
    <xf numFmtId="3" fontId="39" fillId="36" borderId="22" xfId="43" applyNumberFormat="1" applyFont="1" applyFill="1" applyBorder="1" applyAlignment="1" applyProtection="1">
      <alignment horizontal="center" vertical="center" wrapText="1"/>
      <protection locked="0"/>
    </xf>
    <xf numFmtId="3" fontId="38" fillId="36" borderId="20" xfId="43" applyNumberFormat="1" applyFont="1" applyFill="1" applyBorder="1" applyAlignment="1" applyProtection="1">
      <alignment horizontal="center" vertical="center" wrapText="1"/>
      <protection locked="0"/>
    </xf>
    <xf numFmtId="3" fontId="38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4" fillId="36" borderId="36" xfId="43" applyNumberFormat="1" applyFont="1" applyFill="1" applyBorder="1" applyAlignment="1" applyProtection="1">
      <alignment horizontal="center" vertical="center"/>
      <protection locked="0"/>
    </xf>
    <xf numFmtId="164" fontId="34" fillId="36" borderId="10" xfId="43" applyNumberFormat="1" applyFont="1" applyFill="1" applyBorder="1" applyAlignment="1" applyProtection="1">
      <alignment horizontal="center" vertical="center"/>
      <protection locked="0"/>
    </xf>
    <xf numFmtId="164" fontId="34" fillId="36" borderId="35" xfId="43" applyNumberFormat="1" applyFont="1" applyFill="1" applyBorder="1" applyAlignment="1" applyProtection="1">
      <alignment horizontal="center" vertical="center"/>
      <protection locked="0"/>
    </xf>
    <xf numFmtId="164" fontId="36" fillId="36" borderId="35" xfId="43" applyNumberFormat="1" applyFont="1" applyFill="1" applyBorder="1" applyAlignment="1" applyProtection="1">
      <alignment horizontal="center" vertical="center" wrapText="1"/>
      <protection locked="0"/>
    </xf>
    <xf numFmtId="0" fontId="35" fillId="0" borderId="19" xfId="42" applyFont="1" applyBorder="1" applyAlignment="1" applyProtection="1">
      <alignment horizontal="center" vertical="center"/>
      <protection locked="0"/>
    </xf>
    <xf numFmtId="0" fontId="34" fillId="36" borderId="25" xfId="45" applyFont="1" applyFill="1" applyBorder="1" applyAlignment="1" applyProtection="1">
      <alignment horizontal="center" vertical="center"/>
      <protection locked="0"/>
    </xf>
    <xf numFmtId="0" fontId="34" fillId="36" borderId="23" xfId="45" applyFont="1" applyFill="1" applyBorder="1" applyAlignment="1" applyProtection="1">
      <alignment horizontal="center" vertical="center"/>
      <protection locked="0"/>
    </xf>
    <xf numFmtId="0" fontId="33" fillId="36" borderId="0" xfId="42" applyFont="1" applyFill="1" applyAlignment="1" applyProtection="1">
      <alignment horizontal="center" wrapText="1"/>
      <protection locked="0"/>
    </xf>
    <xf numFmtId="0" fontId="34" fillId="36" borderId="29" xfId="45" applyFont="1" applyFill="1" applyBorder="1" applyAlignment="1" applyProtection="1">
      <alignment horizontal="right" vertical="top"/>
      <protection locked="0"/>
    </xf>
    <xf numFmtId="0" fontId="34" fillId="36" borderId="33" xfId="45" applyFont="1" applyFill="1" applyBorder="1" applyAlignment="1" applyProtection="1">
      <alignment horizontal="right" vertical="top"/>
      <protection locked="0"/>
    </xf>
    <xf numFmtId="3" fontId="123" fillId="50" borderId="71" xfId="0" applyNumberFormat="1" applyFont="1" applyFill="1" applyBorder="1" applyAlignment="1" applyProtection="1">
      <alignment horizontal="center" vertical="center"/>
    </xf>
    <xf numFmtId="3" fontId="49" fillId="37" borderId="23" xfId="43" applyNumberFormat="1" applyFont="1" applyFill="1" applyBorder="1" applyAlignment="1" applyProtection="1">
      <alignment horizontal="center" vertical="center"/>
      <protection locked="0"/>
    </xf>
    <xf numFmtId="4" fontId="123" fillId="50" borderId="71" xfId="0" applyNumberFormat="1" applyFont="1" applyFill="1" applyBorder="1" applyAlignment="1" applyProtection="1">
      <alignment horizontal="center" vertical="center"/>
    </xf>
    <xf numFmtId="4" fontId="49" fillId="37" borderId="23" xfId="43" applyNumberFormat="1" applyFont="1" applyFill="1" applyBorder="1" applyAlignment="1" applyProtection="1">
      <alignment horizontal="center" vertical="center"/>
      <protection locked="0"/>
    </xf>
    <xf numFmtId="4" fontId="123" fillId="0" borderId="71" xfId="0" applyNumberFormat="1" applyFont="1" applyBorder="1" applyAlignment="1" applyProtection="1">
      <alignment horizontal="center" vertical="center"/>
    </xf>
    <xf numFmtId="4" fontId="49" fillId="0" borderId="23" xfId="43" applyNumberFormat="1" applyFont="1" applyBorder="1" applyAlignment="1" applyProtection="1">
      <alignment horizontal="center" vertical="center"/>
      <protection locked="0"/>
    </xf>
    <xf numFmtId="3" fontId="123" fillId="0" borderId="71" xfId="0" applyNumberFormat="1" applyFont="1" applyBorder="1" applyAlignment="1" applyProtection="1">
      <alignment horizontal="center" vertical="center"/>
    </xf>
    <xf numFmtId="3" fontId="49" fillId="0" borderId="23" xfId="43" applyNumberFormat="1" applyFont="1" applyBorder="1" applyAlignment="1" applyProtection="1">
      <alignment horizontal="center" vertical="center"/>
      <protection locked="0"/>
    </xf>
    <xf numFmtId="0" fontId="39" fillId="36" borderId="20" xfId="45" applyFont="1" applyFill="1" applyBorder="1" applyAlignment="1" applyProtection="1">
      <alignment horizontal="center" vertical="center" wrapText="1"/>
      <protection locked="0"/>
    </xf>
    <xf numFmtId="0" fontId="39" fillId="36" borderId="22" xfId="45" applyFont="1" applyFill="1" applyBorder="1" applyAlignment="1" applyProtection="1">
      <alignment horizontal="center" vertical="center" wrapText="1"/>
      <protection locked="0"/>
    </xf>
    <xf numFmtId="0" fontId="46" fillId="0" borderId="25" xfId="45" applyFont="1" applyBorder="1" applyAlignment="1" applyProtection="1">
      <alignment horizontal="center" vertical="center" wrapText="1"/>
      <protection locked="0"/>
    </xf>
    <xf numFmtId="0" fontId="46" fillId="0" borderId="23" xfId="45" applyFont="1" applyBorder="1" applyAlignment="1" applyProtection="1">
      <alignment horizontal="center" vertical="center" wrapText="1"/>
      <protection locked="0"/>
    </xf>
    <xf numFmtId="0" fontId="123" fillId="0" borderId="71" xfId="0" applyFont="1" applyBorder="1" applyAlignment="1" applyProtection="1">
      <alignment horizontal="center" vertical="center"/>
    </xf>
    <xf numFmtId="0" fontId="49" fillId="0" borderId="23" xfId="43" applyNumberFormat="1" applyFont="1" applyBorder="1" applyAlignment="1" applyProtection="1">
      <alignment horizontal="center" vertical="center"/>
      <protection locked="0"/>
    </xf>
    <xf numFmtId="0" fontId="120" fillId="50" borderId="71" xfId="0" applyFont="1" applyFill="1" applyBorder="1" applyAlignment="1" applyProtection="1">
      <alignment horizontal="center" vertical="center" wrapText="1"/>
    </xf>
    <xf numFmtId="0" fontId="46" fillId="37" borderId="23" xfId="45" applyFont="1" applyFill="1" applyBorder="1" applyAlignment="1" applyProtection="1">
      <alignment horizontal="center" vertical="center" wrapText="1"/>
      <protection locked="0"/>
    </xf>
    <xf numFmtId="0" fontId="38" fillId="36" borderId="25" xfId="45" applyFont="1" applyFill="1" applyBorder="1" applyAlignment="1" applyProtection="1">
      <alignment horizontal="center" vertical="center" wrapText="1"/>
      <protection locked="0"/>
    </xf>
    <xf numFmtId="0" fontId="38" fillId="36" borderId="23" xfId="45" applyFont="1" applyFill="1" applyBorder="1" applyAlignment="1" applyProtection="1">
      <alignment horizontal="center" vertical="center" wrapText="1"/>
      <protection locked="0"/>
    </xf>
    <xf numFmtId="0" fontId="37" fillId="0" borderId="28" xfId="42" applyFont="1" applyBorder="1" applyAlignment="1" applyProtection="1">
      <alignment horizontal="center" vertical="center"/>
      <protection locked="0"/>
    </xf>
    <xf numFmtId="0" fontId="123" fillId="0" borderId="67" xfId="0" applyFont="1" applyBorder="1" applyAlignment="1" applyProtection="1">
      <alignment horizontal="center" vertical="center"/>
    </xf>
    <xf numFmtId="0" fontId="49" fillId="0" borderId="10" xfId="43" applyNumberFormat="1" applyFont="1" applyBorder="1" applyAlignment="1" applyProtection="1">
      <alignment horizontal="center" vertical="center"/>
      <protection locked="0"/>
    </xf>
    <xf numFmtId="0" fontId="46" fillId="37" borderId="25" xfId="45" applyFont="1" applyFill="1" applyBorder="1" applyAlignment="1" applyProtection="1">
      <alignment horizontal="center" vertical="center" wrapText="1"/>
      <protection locked="0"/>
    </xf>
    <xf numFmtId="0" fontId="49" fillId="37" borderId="25" xfId="43" applyNumberFormat="1" applyFont="1" applyFill="1" applyBorder="1" applyAlignment="1" applyProtection="1">
      <alignment horizontal="center" vertical="center"/>
      <protection locked="0"/>
    </xf>
    <xf numFmtId="0" fontId="49" fillId="37" borderId="23" xfId="43" applyNumberFormat="1" applyFont="1" applyFill="1" applyBorder="1" applyAlignment="1" applyProtection="1">
      <alignment horizontal="center" vertical="center"/>
      <protection locked="0"/>
    </xf>
    <xf numFmtId="0" fontId="34" fillId="36" borderId="25" xfId="45" applyFont="1" applyFill="1" applyBorder="1" applyAlignment="1" applyProtection="1">
      <alignment horizontal="center" vertical="center" wrapText="1"/>
      <protection locked="0"/>
    </xf>
    <xf numFmtId="0" fontId="34" fillId="36" borderId="24" xfId="45" applyFont="1" applyFill="1" applyBorder="1" applyAlignment="1" applyProtection="1">
      <alignment horizontal="center" vertical="center" wrapText="1"/>
      <protection locked="0"/>
    </xf>
    <xf numFmtId="0" fontId="34" fillId="36" borderId="23" xfId="45" applyFont="1" applyFill="1" applyBorder="1" applyAlignment="1" applyProtection="1">
      <alignment horizontal="center" vertical="center" wrapText="1"/>
      <protection locked="0"/>
    </xf>
    <xf numFmtId="0" fontId="34" fillId="36" borderId="20" xfId="45" applyFont="1" applyFill="1" applyBorder="1" applyAlignment="1" applyProtection="1">
      <alignment horizontal="center" vertical="center"/>
      <protection locked="0"/>
    </xf>
    <xf numFmtId="0" fontId="34" fillId="36" borderId="21" xfId="45" applyFont="1" applyFill="1" applyBorder="1" applyAlignment="1" applyProtection="1">
      <alignment horizontal="center" vertical="center"/>
      <protection locked="0"/>
    </xf>
    <xf numFmtId="0" fontId="34" fillId="36" borderId="22" xfId="45" applyFont="1" applyFill="1" applyBorder="1" applyAlignment="1" applyProtection="1">
      <alignment horizontal="center" vertical="center"/>
      <protection locked="0"/>
    </xf>
    <xf numFmtId="0" fontId="39" fillId="36" borderId="25" xfId="45" applyFont="1" applyFill="1" applyBorder="1" applyAlignment="1" applyProtection="1">
      <alignment horizontal="center" vertical="center" wrapText="1"/>
      <protection locked="0"/>
    </xf>
    <xf numFmtId="0" fontId="3" fillId="36" borderId="24" xfId="42" applyFill="1" applyBorder="1" applyAlignment="1" applyProtection="1">
      <alignment horizontal="center" vertical="center"/>
      <protection locked="0"/>
    </xf>
    <xf numFmtId="0" fontId="3" fillId="36" borderId="23" xfId="42" applyFill="1" applyBorder="1" applyAlignment="1" applyProtection="1">
      <alignment horizontal="center" vertical="center"/>
      <protection locked="0"/>
    </xf>
    <xf numFmtId="0" fontId="34" fillId="36" borderId="11" xfId="45" applyFont="1" applyFill="1" applyBorder="1" applyAlignment="1" applyProtection="1">
      <alignment horizontal="center" vertical="center"/>
      <protection locked="0"/>
    </xf>
    <xf numFmtId="0" fontId="36" fillId="36" borderId="13" xfId="42" applyFont="1" applyFill="1" applyBorder="1" applyAlignment="1" applyProtection="1">
      <alignment horizontal="center" vertical="center"/>
      <protection locked="0"/>
    </xf>
    <xf numFmtId="0" fontId="36" fillId="36" borderId="16" xfId="42" applyFont="1" applyFill="1" applyBorder="1" applyAlignment="1" applyProtection="1">
      <alignment horizontal="center" vertical="center"/>
      <protection locked="0"/>
    </xf>
    <xf numFmtId="0" fontId="36" fillId="36" borderId="18" xfId="42" applyFont="1" applyFill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/>
      <protection locked="0"/>
    </xf>
    <xf numFmtId="0" fontId="38" fillId="36" borderId="22" xfId="45" applyFont="1" applyFill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 wrapText="1"/>
      <protection locked="0"/>
    </xf>
    <xf numFmtId="0" fontId="38" fillId="36" borderId="22" xfId="45" applyFont="1" applyFill="1" applyBorder="1" applyAlignment="1" applyProtection="1">
      <alignment horizontal="center" vertical="center" wrapText="1"/>
      <protection locked="0"/>
    </xf>
    <xf numFmtId="3" fontId="49" fillId="37" borderId="25" xfId="43" applyNumberFormat="1" applyFont="1" applyFill="1" applyBorder="1" applyAlignment="1" applyProtection="1">
      <alignment horizontal="center" vertical="center"/>
      <protection locked="0"/>
    </xf>
    <xf numFmtId="4" fontId="123" fillId="0" borderId="67" xfId="0" applyNumberFormat="1" applyFont="1" applyBorder="1" applyAlignment="1" applyProtection="1">
      <alignment horizontal="center" vertical="center"/>
    </xf>
    <xf numFmtId="4" fontId="70" fillId="0" borderId="10" xfId="0" applyNumberFormat="1" applyFont="1" applyBorder="1" applyAlignment="1" applyProtection="1">
      <alignment horizontal="center" vertical="center"/>
      <protection locked="0"/>
    </xf>
    <xf numFmtId="3" fontId="123" fillId="0" borderId="67" xfId="0" applyNumberFormat="1" applyFont="1" applyBorder="1" applyAlignment="1" applyProtection="1">
      <alignment horizontal="center" vertical="center"/>
    </xf>
    <xf numFmtId="3" fontId="70" fillId="0" borderId="10" xfId="0" applyNumberFormat="1" applyFont="1" applyBorder="1" applyAlignment="1" applyProtection="1">
      <alignment horizontal="center" vertical="center"/>
      <protection locked="0"/>
    </xf>
    <xf numFmtId="4" fontId="49" fillId="37" borderId="25" xfId="43" applyNumberFormat="1" applyFont="1" applyFill="1" applyBorder="1" applyAlignment="1" applyProtection="1">
      <alignment horizontal="center" vertical="center"/>
      <protection locked="0"/>
    </xf>
    <xf numFmtId="0" fontId="51" fillId="38" borderId="20" xfId="42" applyFont="1" applyFill="1" applyBorder="1" applyAlignment="1" applyProtection="1">
      <alignment horizontal="center" vertical="center"/>
      <protection locked="0"/>
    </xf>
    <xf numFmtId="0" fontId="124" fillId="45" borderId="69" xfId="0" applyFont="1" applyFill="1" applyBorder="1" applyAlignment="1" applyProtection="1">
      <alignment horizontal="center" vertical="center"/>
    </xf>
    <xf numFmtId="0" fontId="124" fillId="45" borderId="68" xfId="0" applyFont="1" applyFill="1" applyBorder="1" applyAlignment="1" applyProtection="1">
      <alignment horizontal="center" vertical="center"/>
    </xf>
    <xf numFmtId="0" fontId="113" fillId="0" borderId="59" xfId="0" applyFont="1" applyBorder="1" applyAlignment="1" applyProtection="1">
      <alignment horizontal="left" vertical="center"/>
    </xf>
    <xf numFmtId="0" fontId="51" fillId="37" borderId="20" xfId="42" applyFont="1" applyFill="1" applyBorder="1" applyAlignment="1" applyProtection="1">
      <alignment horizontal="center" vertical="center"/>
      <protection locked="0"/>
    </xf>
    <xf numFmtId="0" fontId="124" fillId="50" borderId="69" xfId="0" applyFont="1" applyFill="1" applyBorder="1" applyAlignment="1" applyProtection="1">
      <alignment horizontal="center" vertical="center"/>
    </xf>
    <xf numFmtId="0" fontId="124" fillId="50" borderId="68" xfId="0" applyFont="1" applyFill="1" applyBorder="1" applyAlignment="1" applyProtection="1">
      <alignment horizontal="center" vertical="center"/>
    </xf>
    <xf numFmtId="14" fontId="37" fillId="0" borderId="0" xfId="42" applyNumberFormat="1" applyFont="1" applyAlignment="1" applyProtection="1">
      <alignment horizontal="center" vertical="center"/>
      <protection locked="0"/>
    </xf>
    <xf numFmtId="0" fontId="37" fillId="0" borderId="0" xfId="42" applyFont="1" applyAlignment="1" applyProtection="1">
      <alignment horizontal="center" vertical="center"/>
      <protection locked="0"/>
    </xf>
    <xf numFmtId="0" fontId="54" fillId="36" borderId="41" xfId="46" applyFont="1" applyFill="1" applyBorder="1" applyAlignment="1" applyProtection="1">
      <alignment horizontal="center" vertical="top" wrapText="1"/>
      <protection locked="0"/>
    </xf>
    <xf numFmtId="0" fontId="54" fillId="36" borderId="0" xfId="46" applyFont="1" applyFill="1" applyAlignment="1" applyProtection="1">
      <alignment horizontal="center" vertical="top" wrapText="1"/>
      <protection locked="0"/>
    </xf>
    <xf numFmtId="0" fontId="40" fillId="0" borderId="14" xfId="45" applyFont="1" applyBorder="1" applyAlignment="1" applyProtection="1">
      <alignment horizontal="center" vertical="center"/>
      <protection locked="0"/>
    </xf>
    <xf numFmtId="0" fontId="40" fillId="0" borderId="0" xfId="45" applyFont="1" applyAlignment="1" applyProtection="1">
      <alignment horizontal="center" vertical="center"/>
      <protection locked="0"/>
    </xf>
    <xf numFmtId="0" fontId="40" fillId="0" borderId="15" xfId="45" applyFont="1" applyBorder="1" applyAlignment="1" applyProtection="1">
      <alignment horizontal="center" vertical="center"/>
      <protection locked="0"/>
    </xf>
    <xf numFmtId="0" fontId="54" fillId="36" borderId="0" xfId="49" applyFont="1" applyFill="1" applyAlignment="1" applyProtection="1">
      <alignment horizontal="center" vertical="top" wrapText="1"/>
      <protection locked="0"/>
    </xf>
    <xf numFmtId="0" fontId="89" fillId="41" borderId="38" xfId="49" applyFont="1" applyFill="1" applyBorder="1" applyAlignment="1" applyProtection="1">
      <alignment horizontal="center" vertical="top"/>
      <protection locked="0"/>
    </xf>
    <xf numFmtId="0" fontId="89" fillId="41" borderId="0" xfId="49" applyFont="1" applyFill="1" applyAlignment="1" applyProtection="1">
      <alignment horizontal="center" vertical="top"/>
      <protection locked="0"/>
    </xf>
    <xf numFmtId="0" fontId="89" fillId="41" borderId="17" xfId="49" applyFont="1" applyFill="1" applyBorder="1" applyAlignment="1" applyProtection="1">
      <alignment horizontal="center" vertical="top"/>
      <protection locked="0"/>
    </xf>
    <xf numFmtId="49" fontId="65" fillId="0" borderId="0" xfId="0" applyNumberFormat="1" applyFont="1" applyAlignment="1" applyProtection="1">
      <alignment horizontal="left" vertical="center"/>
    </xf>
  </cellXfs>
  <cellStyles count="5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Pourcentage" xfId="53" builtinId="5"/>
    <cellStyle name="Satisfaisant" xfId="6" builtinId="26" customBuiltin="1"/>
    <cellStyle name="Sortie" xfId="10" builtinId="21" customBuiltin="1"/>
    <cellStyle name="Style 1" xfId="50"/>
    <cellStyle name="Style 10" xfId="42"/>
    <cellStyle name="Style 11" xfId="44"/>
    <cellStyle name="Style 2" xfId="51"/>
    <cellStyle name="Style 3" xfId="52"/>
    <cellStyle name="Style 4" xfId="49"/>
    <cellStyle name="Style 5" xfId="47"/>
    <cellStyle name="Style 6" xfId="48"/>
    <cellStyle name="Style 7" xfId="43"/>
    <cellStyle name="Style 8" xfId="45"/>
    <cellStyle name="Style 9" xfId="46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C6E0B4"/>
      <color rgb="FFA9D08E"/>
      <color rgb="FF368236"/>
      <color rgb="FF548235"/>
      <color rgb="FF548237"/>
      <color rgb="FF000000"/>
      <color rgb="FFA8D08D"/>
      <color rgb="FF548135"/>
      <color rgb="FFC5E0B3"/>
      <color rgb="FF2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94690</xdr:rowOff>
    </xdr:from>
    <xdr:to>
      <xdr:col>1</xdr:col>
      <xdr:colOff>1295400</xdr:colOff>
      <xdr:row>8</xdr:row>
      <xdr:rowOff>134471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SpPr txBox="1"/>
      </xdr:nvSpPr>
      <xdr:spPr>
        <a:xfrm>
          <a:off x="350184" y="1271308"/>
          <a:ext cx="1247775" cy="196663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1</xdr:col>
      <xdr:colOff>0</xdr:colOff>
      <xdr:row>7</xdr:row>
      <xdr:rowOff>190500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3300-000003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43725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m="http://schemas.openxmlformats.org/officeDocument/2006/math" xmlns:a16="http://schemas.microsoft.com/office/drawing/2014/main" xmlns="">
        <xdr:sp textlink="" macro="">
          <xdr:nvSpPr>
            <xdr:cNvPr name="ZoneTexte 1" id="2">
              <a:extLst>
                <a:ext uri="{FF2B5EF4-FFF2-40B4-BE49-F238E27FC236}">
                  <a16:creationId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y="6943725" x="161925"/>
              <a:ext cy="352426" cx="3829050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é𝐜𝐨𝐧𝐨𝐦𝐢𝐪𝐮𝐞=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343775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m="http://schemas.openxmlformats.org/officeDocument/2006/math" xmlns:a16="http://schemas.microsoft.com/office/drawing/2014/main" xmlns="">
        <xdr:sp textlink="" macro="">
          <xdr:nvSpPr>
            <xdr:cNvPr name="ZoneTexte 2" id="3">
              <a:extLst>
                <a:ext uri="{FF2B5EF4-FFF2-40B4-BE49-F238E27FC236}">
                  <a16:creationId id="{00000000-0008-0000-3600-000003000000}"/>
                </a:ext>
              </a:extLst>
            </xdr:cNvPr>
            <xdr:cNvSpPr txBox="1"/>
          </xdr:nvSpPr>
          <xdr:spPr>
            <a:xfrm>
              <a:off y="7343775" x="114301"/>
              <a:ext cy="352426" cx="2428874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𝐟𝐢𝐧𝐚𝐧𝐜𝐢è𝐫𝒆=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𝐧𝐞𝐭)/(𝐜𝐚𝐩𝐢𝐭𝐚𝐮𝐱 𝐩𝐫𝐨𝐩𝐫𝐞𝐬)</a:t>
              </a:r>
              <a:endParaRPr i="0"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28" workbookViewId="0">
      <selection activeCell="I43" sqref="I43"/>
    </sheetView>
  </sheetViews>
  <sheetFormatPr baseColWidth="10" defaultColWidth="13.42578125" defaultRowHeight="15.75" customHeight="1"/>
  <cols>
    <col min="1" max="1" width="4.28515625" style="268" customWidth="1" collapsed="1"/>
    <col min="2" max="2" width="4.28515625" style="431" customWidth="1" collapsed="1"/>
    <col min="3" max="7" width="3.28515625" style="268" customWidth="1" collapsed="1"/>
    <col min="8" max="8" width="7" style="431" customWidth="1" collapsed="1"/>
    <col min="9" max="14" width="4.28515625" style="431" customWidth="1" collapsed="1"/>
    <col min="15" max="32" width="3.28515625" style="268" customWidth="1" collapsed="1"/>
    <col min="33" max="33" width="1.5703125" style="268" customWidth="1" collapsed="1"/>
    <col min="34" max="35" width="3.28515625" style="268" customWidth="1" collapsed="1"/>
    <col min="36" max="36" width="1.85546875" style="268" customWidth="1" collapsed="1"/>
    <col min="37" max="37" width="5.7109375" style="268" customWidth="1" collapsed="1"/>
    <col min="38" max="38" width="3.28515625" style="268" customWidth="1" collapsed="1"/>
    <col min="39" max="39" width="2.28515625" style="268" customWidth="1" collapsed="1"/>
    <col min="40" max="256" width="13.42578125" style="268" customWidth="1" collapsed="1"/>
    <col min="257" max="16384" width="13.42578125" style="268" collapsed="1"/>
  </cols>
  <sheetData>
    <row r="1" spans="1:256" s="386" customFormat="1" ht="32.65" customHeight="1">
      <c r="A1" s="671" t="s">
        <v>1126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  <c r="AJ1" s="671"/>
      <c r="AK1" s="671"/>
      <c r="AL1" s="671"/>
      <c r="AM1" s="671"/>
      <c r="AN1" s="385"/>
      <c r="AO1" s="385"/>
      <c r="AP1" s="385"/>
      <c r="AQ1" s="385"/>
      <c r="AR1" s="385"/>
      <c r="AS1" s="385"/>
      <c r="AT1" s="385"/>
      <c r="AU1" s="385"/>
      <c r="AV1" s="385"/>
      <c r="AW1" s="385"/>
      <c r="AX1" s="385"/>
      <c r="AY1" s="385"/>
      <c r="AZ1" s="385"/>
      <c r="BA1" s="385"/>
      <c r="BB1" s="385"/>
      <c r="BC1" s="385"/>
      <c r="BD1" s="385"/>
      <c r="BE1" s="385"/>
      <c r="BF1" s="385"/>
      <c r="BG1" s="385"/>
      <c r="BH1" s="385"/>
      <c r="BI1" s="385"/>
      <c r="BJ1" s="385"/>
      <c r="BK1" s="385"/>
      <c r="BL1" s="385"/>
      <c r="BM1" s="385"/>
      <c r="BN1" s="385"/>
      <c r="BO1" s="385"/>
      <c r="BP1" s="385"/>
      <c r="BQ1" s="385"/>
      <c r="BR1" s="385"/>
      <c r="BS1" s="385"/>
      <c r="BT1" s="385"/>
      <c r="BU1" s="385"/>
      <c r="BV1" s="385"/>
      <c r="BW1" s="385"/>
      <c r="BX1" s="385"/>
      <c r="BY1" s="385"/>
      <c r="BZ1" s="385"/>
      <c r="CA1" s="385"/>
      <c r="CB1" s="385"/>
      <c r="CC1" s="385"/>
      <c r="CD1" s="385"/>
      <c r="CE1" s="385"/>
      <c r="CF1" s="385"/>
      <c r="CG1" s="385"/>
      <c r="CH1" s="385"/>
      <c r="CI1" s="385"/>
      <c r="CJ1" s="385"/>
      <c r="CK1" s="385"/>
      <c r="CL1" s="385"/>
      <c r="CM1" s="385"/>
      <c r="CN1" s="385"/>
      <c r="CO1" s="385"/>
      <c r="CP1" s="385"/>
      <c r="CQ1" s="385"/>
      <c r="CR1" s="385"/>
      <c r="CS1" s="385"/>
      <c r="CT1" s="385"/>
      <c r="CU1" s="385"/>
      <c r="CV1" s="385"/>
      <c r="CW1" s="385"/>
      <c r="CX1" s="385"/>
      <c r="CY1" s="385"/>
      <c r="CZ1" s="385"/>
      <c r="DA1" s="385"/>
      <c r="DB1" s="385"/>
      <c r="DC1" s="385"/>
      <c r="DD1" s="385"/>
      <c r="DE1" s="385"/>
      <c r="DF1" s="385"/>
      <c r="DG1" s="385"/>
      <c r="DH1" s="385"/>
      <c r="DI1" s="385"/>
      <c r="DJ1" s="385"/>
      <c r="DK1" s="385"/>
      <c r="DL1" s="385"/>
      <c r="DM1" s="385"/>
      <c r="DN1" s="385"/>
      <c r="DO1" s="385"/>
      <c r="DP1" s="385"/>
      <c r="DQ1" s="385"/>
      <c r="DR1" s="385"/>
      <c r="DS1" s="385"/>
      <c r="DT1" s="385"/>
      <c r="DU1" s="385"/>
      <c r="DV1" s="385"/>
      <c r="DW1" s="385"/>
      <c r="DX1" s="385"/>
      <c r="DY1" s="385"/>
      <c r="DZ1" s="385"/>
      <c r="EA1" s="385"/>
      <c r="EB1" s="385"/>
      <c r="EC1" s="385"/>
      <c r="ED1" s="385"/>
      <c r="EE1" s="385"/>
      <c r="EF1" s="385"/>
      <c r="EG1" s="385"/>
      <c r="EH1" s="385"/>
      <c r="EI1" s="385"/>
      <c r="EJ1" s="385"/>
      <c r="EK1" s="385"/>
      <c r="EL1" s="385"/>
      <c r="EM1" s="385"/>
      <c r="EN1" s="385"/>
      <c r="EO1" s="385"/>
      <c r="EP1" s="385"/>
      <c r="EQ1" s="385"/>
      <c r="ER1" s="385"/>
      <c r="ES1" s="385"/>
      <c r="ET1" s="385"/>
      <c r="EU1" s="385"/>
      <c r="EV1" s="385"/>
      <c r="EW1" s="385"/>
      <c r="EX1" s="385"/>
      <c r="EY1" s="385"/>
      <c r="EZ1" s="385"/>
      <c r="FA1" s="385"/>
      <c r="FB1" s="385"/>
      <c r="FC1" s="385"/>
      <c r="FD1" s="385"/>
      <c r="FE1" s="385"/>
      <c r="FF1" s="385"/>
      <c r="FG1" s="385"/>
      <c r="FH1" s="385"/>
      <c r="FI1" s="385"/>
      <c r="FJ1" s="385"/>
      <c r="FK1" s="385"/>
      <c r="FL1" s="385"/>
      <c r="FM1" s="385"/>
      <c r="FN1" s="385"/>
      <c r="FO1" s="385"/>
      <c r="FP1" s="385"/>
      <c r="FQ1" s="385"/>
      <c r="FR1" s="385"/>
      <c r="FS1" s="385"/>
      <c r="FT1" s="385"/>
      <c r="FU1" s="385"/>
      <c r="FV1" s="385"/>
      <c r="FW1" s="385"/>
      <c r="FX1" s="385"/>
      <c r="FY1" s="385"/>
      <c r="FZ1" s="385"/>
      <c r="GA1" s="385"/>
      <c r="GB1" s="385"/>
      <c r="GC1" s="385"/>
      <c r="GD1" s="385"/>
      <c r="GE1" s="385"/>
      <c r="GF1" s="385"/>
      <c r="GG1" s="385"/>
      <c r="GH1" s="385"/>
      <c r="GI1" s="385"/>
      <c r="GJ1" s="385"/>
      <c r="GK1" s="385"/>
      <c r="GL1" s="385"/>
      <c r="GM1" s="385"/>
      <c r="GN1" s="385"/>
      <c r="GO1" s="385"/>
      <c r="GP1" s="385"/>
      <c r="GQ1" s="385"/>
      <c r="GR1" s="385"/>
      <c r="GS1" s="385"/>
      <c r="GT1" s="385"/>
      <c r="GU1" s="385"/>
      <c r="GV1" s="385"/>
      <c r="GW1" s="385"/>
      <c r="GX1" s="385"/>
      <c r="GY1" s="385"/>
      <c r="GZ1" s="385"/>
      <c r="HA1" s="385"/>
      <c r="HB1" s="385"/>
      <c r="HC1" s="385"/>
      <c r="HD1" s="385"/>
      <c r="HE1" s="385"/>
      <c r="HF1" s="385"/>
      <c r="HG1" s="385"/>
      <c r="HH1" s="385"/>
      <c r="HI1" s="385"/>
      <c r="HJ1" s="385"/>
      <c r="HK1" s="385"/>
      <c r="HL1" s="385"/>
      <c r="HM1" s="385"/>
      <c r="HN1" s="385"/>
      <c r="HO1" s="385"/>
      <c r="HP1" s="385"/>
      <c r="HQ1" s="385"/>
      <c r="HR1" s="385"/>
      <c r="HS1" s="385"/>
      <c r="HT1" s="385"/>
      <c r="HU1" s="385"/>
      <c r="HV1" s="385"/>
      <c r="HW1" s="385"/>
      <c r="HX1" s="385"/>
      <c r="HY1" s="385"/>
      <c r="HZ1" s="385"/>
      <c r="IA1" s="385"/>
      <c r="IB1" s="385"/>
      <c r="IC1" s="385"/>
      <c r="ID1" s="385"/>
      <c r="IE1" s="385"/>
      <c r="IF1" s="385"/>
      <c r="IG1" s="385"/>
      <c r="IH1" s="385"/>
      <c r="II1" s="385"/>
      <c r="IJ1" s="385"/>
      <c r="IK1" s="385"/>
      <c r="IL1" s="385"/>
      <c r="IM1" s="385"/>
      <c r="IN1" s="385"/>
      <c r="IO1" s="385"/>
      <c r="IP1" s="385"/>
      <c r="IQ1" s="385"/>
      <c r="IR1" s="385"/>
      <c r="IS1" s="385"/>
      <c r="IT1" s="385"/>
      <c r="IU1" s="385"/>
      <c r="IV1" s="385"/>
    </row>
    <row r="2" spans="1:256" s="389" customFormat="1" ht="12.75" customHeight="1">
      <c r="A2" s="387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7"/>
      <c r="AI2" s="387"/>
      <c r="AJ2" s="387"/>
      <c r="AK2" s="387"/>
      <c r="AL2" s="387"/>
      <c r="AM2" s="387"/>
      <c r="AN2" s="388"/>
      <c r="AO2" s="388"/>
      <c r="AP2" s="388"/>
      <c r="AQ2" s="388"/>
      <c r="AR2" s="388"/>
      <c r="AS2" s="388"/>
      <c r="AT2" s="388"/>
      <c r="AU2" s="388"/>
      <c r="AV2" s="388"/>
      <c r="AW2" s="388"/>
      <c r="AX2" s="388"/>
      <c r="AY2" s="388"/>
      <c r="AZ2" s="388"/>
      <c r="BA2" s="388"/>
      <c r="BB2" s="388"/>
      <c r="BC2" s="388"/>
      <c r="BD2" s="388"/>
      <c r="BE2" s="388"/>
      <c r="BF2" s="388"/>
      <c r="BG2" s="388"/>
      <c r="BH2" s="388"/>
      <c r="BI2" s="388"/>
      <c r="BJ2" s="388"/>
      <c r="BK2" s="388"/>
      <c r="BL2" s="388"/>
      <c r="BM2" s="388"/>
      <c r="BN2" s="388"/>
      <c r="BO2" s="388"/>
      <c r="BP2" s="388"/>
      <c r="BQ2" s="388"/>
      <c r="BR2" s="388"/>
      <c r="BS2" s="388"/>
      <c r="BT2" s="388"/>
      <c r="BU2" s="388"/>
      <c r="BV2" s="388"/>
      <c r="BW2" s="388"/>
      <c r="BX2" s="388"/>
      <c r="BY2" s="388"/>
      <c r="BZ2" s="388"/>
      <c r="CA2" s="388"/>
      <c r="CB2" s="388"/>
      <c r="CC2" s="388"/>
      <c r="CD2" s="388"/>
      <c r="CE2" s="388"/>
      <c r="CF2" s="388"/>
      <c r="CG2" s="388"/>
      <c r="CH2" s="388"/>
      <c r="CI2" s="388"/>
      <c r="CJ2" s="388"/>
      <c r="CK2" s="388"/>
      <c r="CL2" s="388"/>
      <c r="CM2" s="388"/>
      <c r="CN2" s="388"/>
      <c r="CO2" s="388"/>
      <c r="CP2" s="388"/>
      <c r="CQ2" s="388"/>
      <c r="CR2" s="388"/>
      <c r="CS2" s="388"/>
      <c r="CT2" s="388"/>
      <c r="CU2" s="388"/>
      <c r="CV2" s="388"/>
      <c r="CW2" s="388"/>
      <c r="CX2" s="388"/>
      <c r="CY2" s="388"/>
      <c r="CZ2" s="388"/>
      <c r="DA2" s="388"/>
      <c r="DB2" s="388"/>
      <c r="DC2" s="388"/>
      <c r="DD2" s="388"/>
      <c r="DE2" s="388"/>
      <c r="DF2" s="388"/>
      <c r="DG2" s="388"/>
      <c r="DH2" s="388"/>
      <c r="DI2" s="388"/>
      <c r="DJ2" s="388"/>
      <c r="DK2" s="388"/>
      <c r="DL2" s="388"/>
      <c r="DM2" s="388"/>
      <c r="DN2" s="388"/>
      <c r="DO2" s="388"/>
      <c r="DP2" s="388"/>
      <c r="DQ2" s="388"/>
      <c r="DR2" s="388"/>
      <c r="DS2" s="388"/>
      <c r="DT2" s="388"/>
      <c r="DU2" s="388"/>
      <c r="DV2" s="388"/>
      <c r="DW2" s="388"/>
      <c r="DX2" s="388"/>
      <c r="DY2" s="388"/>
      <c r="DZ2" s="388"/>
      <c r="EA2" s="388"/>
      <c r="EB2" s="388"/>
      <c r="EC2" s="388"/>
      <c r="ED2" s="388"/>
      <c r="EE2" s="388"/>
      <c r="EF2" s="388"/>
      <c r="EG2" s="388"/>
      <c r="EH2" s="388"/>
      <c r="EI2" s="388"/>
      <c r="EJ2" s="388"/>
      <c r="EK2" s="388"/>
      <c r="EL2" s="388"/>
      <c r="EM2" s="388"/>
      <c r="EN2" s="388"/>
      <c r="EO2" s="388"/>
      <c r="EP2" s="388"/>
      <c r="EQ2" s="388"/>
      <c r="ER2" s="388"/>
      <c r="ES2" s="388"/>
      <c r="ET2" s="388"/>
      <c r="EU2" s="388"/>
      <c r="EV2" s="388"/>
      <c r="EW2" s="388"/>
      <c r="EX2" s="388"/>
      <c r="EY2" s="388"/>
      <c r="EZ2" s="388"/>
      <c r="FA2" s="388"/>
      <c r="FB2" s="388"/>
      <c r="FC2" s="388"/>
      <c r="FD2" s="388"/>
      <c r="FE2" s="388"/>
      <c r="FF2" s="388"/>
      <c r="FG2" s="388"/>
      <c r="FH2" s="388"/>
      <c r="FI2" s="388"/>
      <c r="FJ2" s="388"/>
      <c r="FK2" s="388"/>
      <c r="FL2" s="388"/>
      <c r="FM2" s="388"/>
      <c r="FN2" s="388"/>
      <c r="FO2" s="388"/>
      <c r="FP2" s="388"/>
      <c r="FQ2" s="388"/>
      <c r="FR2" s="388"/>
      <c r="FS2" s="388"/>
      <c r="FT2" s="388"/>
      <c r="FU2" s="388"/>
      <c r="FV2" s="388"/>
      <c r="FW2" s="388"/>
      <c r="FX2" s="388"/>
      <c r="FY2" s="388"/>
      <c r="FZ2" s="388"/>
      <c r="GA2" s="388"/>
      <c r="GB2" s="388"/>
      <c r="GC2" s="388"/>
      <c r="GD2" s="388"/>
      <c r="GE2" s="388"/>
      <c r="GF2" s="388"/>
      <c r="GG2" s="388"/>
      <c r="GH2" s="388"/>
      <c r="GI2" s="388"/>
      <c r="GJ2" s="388"/>
      <c r="GK2" s="388"/>
      <c r="GL2" s="388"/>
      <c r="GM2" s="388"/>
      <c r="GN2" s="388"/>
      <c r="GO2" s="388"/>
      <c r="GP2" s="388"/>
      <c r="GQ2" s="388"/>
      <c r="GR2" s="388"/>
      <c r="GS2" s="388"/>
      <c r="GT2" s="388"/>
      <c r="GU2" s="388"/>
      <c r="GV2" s="388"/>
      <c r="GW2" s="388"/>
      <c r="GX2" s="388"/>
      <c r="GY2" s="388"/>
      <c r="GZ2" s="388"/>
      <c r="HA2" s="388"/>
      <c r="HB2" s="388"/>
      <c r="HC2" s="388"/>
      <c r="HD2" s="388"/>
      <c r="HE2" s="388"/>
      <c r="HF2" s="388"/>
      <c r="HG2" s="388"/>
      <c r="HH2" s="388"/>
      <c r="HI2" s="388"/>
      <c r="HJ2" s="388"/>
      <c r="HK2" s="388"/>
      <c r="HL2" s="388"/>
      <c r="HM2" s="388"/>
      <c r="HN2" s="388"/>
      <c r="HO2" s="388"/>
      <c r="HP2" s="388"/>
      <c r="HQ2" s="388"/>
      <c r="HR2" s="388"/>
      <c r="HS2" s="388"/>
      <c r="HT2" s="388"/>
      <c r="HU2" s="388"/>
      <c r="HV2" s="388"/>
      <c r="HW2" s="388"/>
      <c r="HX2" s="388"/>
      <c r="HY2" s="388"/>
      <c r="HZ2" s="388"/>
      <c r="IA2" s="388"/>
      <c r="IB2" s="388"/>
      <c r="IC2" s="388"/>
      <c r="ID2" s="388"/>
      <c r="IE2" s="388"/>
      <c r="IF2" s="388"/>
      <c r="IG2" s="388"/>
      <c r="IH2" s="388"/>
      <c r="II2" s="388"/>
      <c r="IJ2" s="388"/>
      <c r="IK2" s="388"/>
      <c r="IL2" s="388"/>
      <c r="IM2" s="388"/>
      <c r="IN2" s="388"/>
      <c r="IO2" s="388"/>
      <c r="IP2" s="388"/>
      <c r="IQ2" s="388"/>
      <c r="IR2" s="388"/>
      <c r="IS2" s="388"/>
      <c r="IT2" s="388"/>
      <c r="IU2" s="388"/>
      <c r="IV2" s="388"/>
    </row>
    <row r="3" spans="1:256" s="389" customFormat="1" ht="12.75" customHeight="1">
      <c r="A3" s="387"/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8"/>
      <c r="AO3" s="388"/>
      <c r="AP3" s="388"/>
      <c r="AQ3" s="388"/>
      <c r="AR3" s="388"/>
      <c r="AS3" s="388"/>
      <c r="AT3" s="388"/>
      <c r="AU3" s="388"/>
      <c r="AV3" s="388"/>
      <c r="AW3" s="388"/>
      <c r="AX3" s="388"/>
      <c r="AY3" s="388"/>
      <c r="AZ3" s="388"/>
      <c r="BA3" s="388"/>
      <c r="BB3" s="388"/>
      <c r="BC3" s="388"/>
      <c r="BD3" s="388"/>
      <c r="BE3" s="388"/>
      <c r="BF3" s="388"/>
      <c r="BG3" s="388"/>
      <c r="BH3" s="388"/>
      <c r="BI3" s="388"/>
      <c r="BJ3" s="388"/>
      <c r="BK3" s="388"/>
      <c r="BL3" s="388"/>
      <c r="BM3" s="388"/>
      <c r="BN3" s="388"/>
      <c r="BO3" s="388"/>
      <c r="BP3" s="388"/>
      <c r="BQ3" s="388"/>
      <c r="BR3" s="388"/>
      <c r="BS3" s="388"/>
      <c r="BT3" s="388"/>
      <c r="BU3" s="388"/>
      <c r="BV3" s="388"/>
      <c r="BW3" s="388"/>
      <c r="BX3" s="388"/>
      <c r="BY3" s="388"/>
      <c r="BZ3" s="388"/>
      <c r="CA3" s="388"/>
      <c r="CB3" s="388"/>
      <c r="CC3" s="388"/>
      <c r="CD3" s="388"/>
      <c r="CE3" s="388"/>
      <c r="CF3" s="388"/>
      <c r="CG3" s="388"/>
      <c r="CH3" s="388"/>
      <c r="CI3" s="388"/>
      <c r="CJ3" s="388"/>
      <c r="CK3" s="388"/>
      <c r="CL3" s="388"/>
      <c r="CM3" s="388"/>
      <c r="CN3" s="388"/>
      <c r="CO3" s="388"/>
      <c r="CP3" s="388"/>
      <c r="CQ3" s="388"/>
      <c r="CR3" s="388"/>
      <c r="CS3" s="388"/>
      <c r="CT3" s="388"/>
      <c r="CU3" s="388"/>
      <c r="CV3" s="388"/>
      <c r="CW3" s="388"/>
      <c r="CX3" s="388"/>
      <c r="CY3" s="388"/>
      <c r="CZ3" s="388"/>
      <c r="DA3" s="388"/>
      <c r="DB3" s="388"/>
      <c r="DC3" s="388"/>
      <c r="DD3" s="388"/>
      <c r="DE3" s="388"/>
      <c r="DF3" s="388"/>
      <c r="DG3" s="388"/>
      <c r="DH3" s="388"/>
      <c r="DI3" s="388"/>
      <c r="DJ3" s="388"/>
      <c r="DK3" s="388"/>
      <c r="DL3" s="388"/>
      <c r="DM3" s="388"/>
      <c r="DN3" s="388"/>
      <c r="DO3" s="388"/>
      <c r="DP3" s="388"/>
      <c r="DQ3" s="388"/>
      <c r="DR3" s="388"/>
      <c r="DS3" s="388"/>
      <c r="DT3" s="388"/>
      <c r="DU3" s="388"/>
      <c r="DV3" s="388"/>
      <c r="DW3" s="388"/>
      <c r="DX3" s="388"/>
      <c r="DY3" s="388"/>
      <c r="DZ3" s="388"/>
      <c r="EA3" s="388"/>
      <c r="EB3" s="388"/>
      <c r="EC3" s="388"/>
      <c r="ED3" s="388"/>
      <c r="EE3" s="388"/>
      <c r="EF3" s="388"/>
      <c r="EG3" s="388"/>
      <c r="EH3" s="388"/>
      <c r="EI3" s="388"/>
      <c r="EJ3" s="388"/>
      <c r="EK3" s="388"/>
      <c r="EL3" s="388"/>
      <c r="EM3" s="388"/>
      <c r="EN3" s="388"/>
      <c r="EO3" s="388"/>
      <c r="EP3" s="388"/>
      <c r="EQ3" s="388"/>
      <c r="ER3" s="388"/>
      <c r="ES3" s="388"/>
      <c r="ET3" s="388"/>
      <c r="EU3" s="388"/>
      <c r="EV3" s="388"/>
      <c r="EW3" s="388"/>
      <c r="EX3" s="388"/>
      <c r="EY3" s="388"/>
      <c r="EZ3" s="388"/>
      <c r="FA3" s="388"/>
      <c r="FB3" s="388"/>
      <c r="FC3" s="388"/>
      <c r="FD3" s="388"/>
      <c r="FE3" s="388"/>
      <c r="FF3" s="388"/>
      <c r="FG3" s="388"/>
      <c r="FH3" s="388"/>
      <c r="FI3" s="388"/>
      <c r="FJ3" s="388"/>
      <c r="FK3" s="388"/>
      <c r="FL3" s="388"/>
      <c r="FM3" s="388"/>
      <c r="FN3" s="388"/>
      <c r="FO3" s="388"/>
      <c r="FP3" s="388"/>
      <c r="FQ3" s="388"/>
      <c r="FR3" s="388"/>
      <c r="FS3" s="388"/>
      <c r="FT3" s="388"/>
      <c r="FU3" s="388"/>
      <c r="FV3" s="388"/>
      <c r="FW3" s="388"/>
      <c r="FX3" s="388"/>
      <c r="FY3" s="388"/>
      <c r="FZ3" s="388"/>
      <c r="GA3" s="388"/>
      <c r="GB3" s="388"/>
      <c r="GC3" s="388"/>
      <c r="GD3" s="388"/>
      <c r="GE3" s="388"/>
      <c r="GF3" s="388"/>
      <c r="GG3" s="388"/>
      <c r="GH3" s="388"/>
      <c r="GI3" s="388"/>
      <c r="GJ3" s="388"/>
      <c r="GK3" s="388"/>
      <c r="GL3" s="388"/>
      <c r="GM3" s="388"/>
      <c r="GN3" s="388"/>
      <c r="GO3" s="388"/>
      <c r="GP3" s="388"/>
      <c r="GQ3" s="388"/>
      <c r="GR3" s="388"/>
      <c r="GS3" s="388"/>
      <c r="GT3" s="388"/>
      <c r="GU3" s="388"/>
      <c r="GV3" s="388"/>
      <c r="GW3" s="388"/>
      <c r="GX3" s="388"/>
      <c r="GY3" s="388"/>
      <c r="GZ3" s="388"/>
      <c r="HA3" s="388"/>
      <c r="HB3" s="388"/>
      <c r="HC3" s="388"/>
      <c r="HD3" s="388"/>
      <c r="HE3" s="388"/>
      <c r="HF3" s="388"/>
      <c r="HG3" s="388"/>
      <c r="HH3" s="388"/>
      <c r="HI3" s="388"/>
      <c r="HJ3" s="388"/>
      <c r="HK3" s="388"/>
      <c r="HL3" s="388"/>
      <c r="HM3" s="388"/>
      <c r="HN3" s="388"/>
      <c r="HO3" s="388"/>
      <c r="HP3" s="388"/>
      <c r="HQ3" s="388"/>
      <c r="HR3" s="388"/>
      <c r="HS3" s="388"/>
      <c r="HT3" s="388"/>
      <c r="HU3" s="388"/>
      <c r="HV3" s="388"/>
      <c r="HW3" s="388"/>
      <c r="HX3" s="388"/>
      <c r="HY3" s="388"/>
      <c r="HZ3" s="388"/>
      <c r="IA3" s="388"/>
      <c r="IB3" s="388"/>
      <c r="IC3" s="388"/>
      <c r="ID3" s="388"/>
      <c r="IE3" s="388"/>
      <c r="IF3" s="388"/>
      <c r="IG3" s="388"/>
      <c r="IH3" s="388"/>
      <c r="II3" s="388"/>
      <c r="IJ3" s="388"/>
      <c r="IK3" s="388"/>
      <c r="IL3" s="388"/>
      <c r="IM3" s="388"/>
      <c r="IN3" s="388"/>
      <c r="IO3" s="388"/>
      <c r="IP3" s="388"/>
      <c r="IQ3" s="388"/>
      <c r="IR3" s="388"/>
      <c r="IS3" s="388"/>
      <c r="IT3" s="388"/>
      <c r="IU3" s="388"/>
      <c r="IV3" s="388"/>
    </row>
    <row r="4" spans="1:256" ht="12.75" customHeight="1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/>
    </row>
    <row r="5" spans="1:256" s="432" customFormat="1" ht="17.25" customHeight="1">
      <c r="A5" s="48"/>
      <c r="B5" s="675" t="s">
        <v>0</v>
      </c>
      <c r="C5" s="675"/>
      <c r="D5" s="675"/>
      <c r="E5" s="675"/>
      <c r="F5" s="675"/>
      <c r="G5" s="675"/>
      <c r="H5" s="268"/>
      <c r="I5" s="676" t="s">
        <v>1240</v>
      </c>
      <c r="J5" s="675"/>
      <c r="K5" s="675"/>
      <c r="L5" s="675"/>
      <c r="M5" s="675"/>
      <c r="N5" s="675"/>
      <c r="O5" s="675"/>
      <c r="P5" s="675"/>
      <c r="Q5" s="675"/>
      <c r="R5" s="675"/>
      <c r="S5" s="675"/>
      <c r="T5" s="675"/>
      <c r="U5" s="675"/>
      <c r="V5" s="675"/>
      <c r="W5" s="675"/>
      <c r="X5" s="675"/>
      <c r="Y5" s="675"/>
      <c r="AM5" s="49"/>
    </row>
    <row r="6" spans="1:256" ht="12.75" customHeight="1">
      <c r="A6" s="48"/>
      <c r="B6" s="268"/>
      <c r="H6" s="268"/>
      <c r="I6" s="268"/>
      <c r="J6" s="268"/>
      <c r="K6" s="268"/>
      <c r="L6" s="268"/>
      <c r="M6" s="268"/>
      <c r="N6" s="268"/>
      <c r="AM6" s="49"/>
    </row>
    <row r="7" spans="1:256" s="432" customFormat="1" ht="17.25" customHeight="1">
      <c r="A7" s="48"/>
      <c r="B7" s="675" t="s">
        <v>1</v>
      </c>
      <c r="C7" s="675"/>
      <c r="D7" s="675"/>
      <c r="E7" s="675"/>
      <c r="F7" s="675"/>
      <c r="G7" s="675"/>
      <c r="H7" s="268"/>
      <c r="I7" s="676" t="s">
        <v>1241</v>
      </c>
      <c r="J7" s="675"/>
      <c r="K7" s="675"/>
      <c r="L7" s="675"/>
      <c r="M7" s="675"/>
      <c r="N7" s="675"/>
      <c r="O7" s="675"/>
      <c r="P7" s="675"/>
      <c r="Q7" s="675"/>
      <c r="R7" s="675"/>
      <c r="S7" s="675"/>
      <c r="T7" s="675"/>
      <c r="U7" s="675"/>
      <c r="V7" s="675"/>
      <c r="W7" s="675"/>
      <c r="X7" s="675"/>
      <c r="Y7" s="675"/>
      <c r="AM7" s="49"/>
    </row>
    <row r="8" spans="1:256" ht="12.75" customHeight="1">
      <c r="A8" s="48"/>
      <c r="B8" s="268"/>
      <c r="H8" s="268"/>
      <c r="I8" s="268"/>
      <c r="J8" s="268"/>
      <c r="K8" s="268"/>
      <c r="L8" s="268"/>
      <c r="M8" s="268"/>
      <c r="N8" s="268"/>
      <c r="AM8" s="49"/>
    </row>
    <row r="9" spans="1:256" s="432" customFormat="1" ht="17.25" customHeight="1">
      <c r="A9" s="48"/>
      <c r="B9" s="675" t="s">
        <v>2</v>
      </c>
      <c r="C9" s="675"/>
      <c r="D9" s="675"/>
      <c r="E9" s="675"/>
      <c r="F9" s="675"/>
      <c r="G9" s="675"/>
      <c r="H9" s="268"/>
      <c r="I9" s="676" t="s">
        <v>1242</v>
      </c>
      <c r="J9" s="680"/>
      <c r="K9" s="680"/>
      <c r="L9" s="680"/>
      <c r="M9" s="680"/>
      <c r="N9" s="680"/>
      <c r="O9" s="680"/>
      <c r="P9" s="680"/>
      <c r="Q9" s="680"/>
      <c r="R9" s="680"/>
      <c r="S9" s="680"/>
      <c r="T9" s="680"/>
      <c r="U9" s="680"/>
      <c r="V9" s="680"/>
      <c r="W9" s="680"/>
      <c r="X9" s="680"/>
      <c r="Y9" s="680"/>
      <c r="Z9" s="680"/>
      <c r="AM9" s="49"/>
    </row>
    <row r="10" spans="1:256" ht="12.75" customHeight="1">
      <c r="A10" s="48"/>
      <c r="B10" s="268"/>
      <c r="H10" s="268"/>
      <c r="I10" s="268"/>
      <c r="J10" s="268"/>
      <c r="K10" s="268"/>
      <c r="L10" s="268"/>
      <c r="M10" s="268"/>
      <c r="N10" s="268"/>
      <c r="AM10" s="49"/>
    </row>
    <row r="11" spans="1:256" ht="12.75" customHeight="1">
      <c r="A11" s="48"/>
      <c r="B11" s="268"/>
      <c r="H11" s="268"/>
      <c r="I11" s="268"/>
      <c r="J11" s="268"/>
      <c r="K11" s="268"/>
      <c r="L11" s="268"/>
      <c r="M11" s="268"/>
      <c r="N11" s="268"/>
      <c r="AM11" s="49"/>
    </row>
    <row r="12" spans="1:256" ht="12.75" customHeight="1">
      <c r="A12" s="48"/>
      <c r="B12" s="268"/>
      <c r="H12" s="268"/>
      <c r="I12" s="268"/>
      <c r="J12" s="268"/>
      <c r="K12" s="268"/>
      <c r="L12" s="268"/>
      <c r="M12" s="268"/>
      <c r="N12" s="268"/>
      <c r="AM12" s="49"/>
    </row>
    <row r="13" spans="1:256" ht="12.75" customHeight="1">
      <c r="A13" s="48"/>
      <c r="B13" s="268"/>
      <c r="H13" s="268"/>
      <c r="I13" s="268"/>
      <c r="J13" s="268"/>
      <c r="K13" s="268"/>
      <c r="L13" s="268"/>
      <c r="M13" s="268"/>
      <c r="N13" s="268"/>
      <c r="AM13" s="49"/>
    </row>
    <row r="14" spans="1:256" ht="12.75" customHeight="1">
      <c r="A14" s="48"/>
      <c r="B14" s="268"/>
      <c r="H14" s="268"/>
      <c r="I14" s="268"/>
      <c r="J14" s="268"/>
      <c r="K14" s="268"/>
      <c r="L14" s="268"/>
      <c r="M14" s="268"/>
      <c r="N14" s="268"/>
      <c r="AM14" s="49"/>
    </row>
    <row r="15" spans="1:256" ht="12.75" customHeight="1">
      <c r="A15" s="48"/>
      <c r="B15" s="268"/>
      <c r="H15" s="268"/>
      <c r="I15" s="268"/>
      <c r="J15" s="268"/>
      <c r="K15" s="268"/>
      <c r="L15" s="268"/>
      <c r="M15" s="268"/>
      <c r="N15" s="268"/>
      <c r="AM15" s="49"/>
    </row>
    <row r="16" spans="1:256" ht="12.75" customHeight="1">
      <c r="A16" s="48"/>
      <c r="B16" s="268"/>
      <c r="H16" s="268"/>
      <c r="I16" s="268"/>
      <c r="J16" s="268"/>
      <c r="K16" s="268"/>
      <c r="L16" s="268"/>
      <c r="M16" s="268"/>
      <c r="N16" s="268"/>
      <c r="AM16" s="49"/>
    </row>
    <row r="17" spans="1:39" s="432" customFormat="1" ht="17.25" customHeight="1">
      <c r="A17" s="48"/>
      <c r="B17" s="677" t="s">
        <v>1243</v>
      </c>
      <c r="C17" s="673"/>
      <c r="D17" s="673"/>
      <c r="E17" s="673"/>
      <c r="F17" s="673"/>
      <c r="G17" s="673"/>
      <c r="H17" s="673"/>
      <c r="I17" s="673"/>
      <c r="J17" s="673"/>
      <c r="K17" s="673"/>
      <c r="L17" s="673"/>
      <c r="M17" s="673"/>
      <c r="N17" s="673"/>
      <c r="O17" s="673"/>
      <c r="P17" s="673"/>
      <c r="Q17" s="673"/>
      <c r="R17" s="673"/>
      <c r="S17" s="673"/>
      <c r="T17" s="673"/>
      <c r="U17" s="673"/>
      <c r="V17" s="673"/>
      <c r="W17" s="673"/>
      <c r="X17" s="673"/>
      <c r="Y17" s="673"/>
      <c r="Z17" s="673"/>
      <c r="AA17" s="673"/>
      <c r="AB17" s="673"/>
      <c r="AC17" s="673"/>
      <c r="AD17" s="673"/>
      <c r="AE17" s="673"/>
      <c r="AF17" s="673"/>
      <c r="AG17" s="673"/>
      <c r="AH17" s="673"/>
      <c r="AI17" s="673"/>
      <c r="AJ17" s="673"/>
      <c r="AK17" s="673"/>
      <c r="AL17" s="673"/>
      <c r="AM17" s="49"/>
    </row>
    <row r="18" spans="1:39" ht="12.75" customHeight="1">
      <c r="A18" s="48"/>
      <c r="B18" s="268"/>
      <c r="H18" s="268"/>
      <c r="I18" s="268"/>
      <c r="J18" s="268"/>
      <c r="K18" s="268"/>
      <c r="L18" s="268"/>
      <c r="M18" s="268"/>
      <c r="N18" s="268"/>
      <c r="AM18" s="49"/>
    </row>
    <row r="19" spans="1:39" ht="12.75" customHeight="1">
      <c r="A19" s="48"/>
      <c r="B19" s="268"/>
      <c r="H19" s="268"/>
      <c r="I19" s="268"/>
      <c r="J19" s="268"/>
      <c r="K19" s="268"/>
      <c r="L19" s="268"/>
      <c r="M19" s="268"/>
      <c r="N19" s="268"/>
      <c r="AM19" s="49"/>
    </row>
    <row r="20" spans="1:39" ht="12.75" customHeight="1">
      <c r="A20" s="48"/>
      <c r="B20" s="268"/>
      <c r="H20" s="268"/>
      <c r="I20" s="268"/>
      <c r="J20" s="268"/>
      <c r="K20" s="268"/>
      <c r="L20" s="268"/>
      <c r="M20" s="268"/>
      <c r="N20" s="268"/>
      <c r="AM20" s="49"/>
    </row>
    <row r="21" spans="1:39" ht="12.75" customHeight="1">
      <c r="A21" s="48"/>
      <c r="B21" s="268"/>
      <c r="H21" s="268"/>
      <c r="I21" s="268"/>
      <c r="J21" s="268"/>
      <c r="K21" s="268"/>
      <c r="L21" s="268"/>
      <c r="M21" s="268"/>
      <c r="N21" s="268"/>
      <c r="AM21" s="49"/>
    </row>
    <row r="22" spans="1:39" ht="12.75" customHeight="1">
      <c r="A22" s="48"/>
      <c r="B22" s="268"/>
      <c r="H22" s="268"/>
      <c r="I22" s="268"/>
      <c r="J22" s="268"/>
      <c r="K22" s="268"/>
      <c r="L22" s="268"/>
      <c r="M22" s="268"/>
      <c r="N22" s="268"/>
      <c r="AM22" s="49"/>
    </row>
    <row r="23" spans="1:39" ht="12.75" customHeight="1">
      <c r="A23" s="672" t="s">
        <v>3</v>
      </c>
      <c r="B23" s="673"/>
      <c r="C23" s="673"/>
      <c r="D23" s="673"/>
      <c r="E23" s="673"/>
      <c r="F23" s="673"/>
      <c r="G23" s="673"/>
      <c r="H23" s="673"/>
      <c r="I23" s="673"/>
      <c r="J23" s="673"/>
      <c r="K23" s="673"/>
      <c r="L23" s="673"/>
      <c r="M23" s="673"/>
      <c r="N23" s="673"/>
      <c r="O23" s="673"/>
      <c r="P23" s="673"/>
      <c r="Q23" s="673"/>
      <c r="R23" s="673"/>
      <c r="S23" s="673"/>
      <c r="T23" s="673"/>
      <c r="U23" s="673"/>
      <c r="V23" s="673"/>
      <c r="W23" s="673"/>
      <c r="X23" s="673"/>
      <c r="Y23" s="673"/>
      <c r="Z23" s="673"/>
      <c r="AA23" s="673"/>
      <c r="AB23" s="673"/>
      <c r="AC23" s="673"/>
      <c r="AD23" s="673"/>
      <c r="AE23" s="673"/>
      <c r="AF23" s="673"/>
      <c r="AG23" s="673"/>
      <c r="AH23" s="673"/>
      <c r="AI23" s="673"/>
      <c r="AJ23" s="673"/>
      <c r="AK23" s="673"/>
      <c r="AL23" s="673"/>
      <c r="AM23" s="674"/>
    </row>
    <row r="24" spans="1:39" ht="12.75" customHeight="1">
      <c r="A24" s="672" t="s">
        <v>1239</v>
      </c>
      <c r="B24" s="673"/>
      <c r="C24" s="673"/>
      <c r="D24" s="673"/>
      <c r="E24" s="673"/>
      <c r="F24" s="673"/>
      <c r="G24" s="673"/>
      <c r="H24" s="673"/>
      <c r="I24" s="673"/>
      <c r="J24" s="673"/>
      <c r="K24" s="673"/>
      <c r="L24" s="673"/>
      <c r="M24" s="673"/>
      <c r="N24" s="673"/>
      <c r="O24" s="673"/>
      <c r="P24" s="673"/>
      <c r="Q24" s="673"/>
      <c r="R24" s="673"/>
      <c r="S24" s="673"/>
      <c r="T24" s="673"/>
      <c r="U24" s="673"/>
      <c r="V24" s="673"/>
      <c r="W24" s="673"/>
      <c r="X24" s="673"/>
      <c r="Y24" s="673"/>
      <c r="Z24" s="673"/>
      <c r="AA24" s="673"/>
      <c r="AB24" s="673"/>
      <c r="AC24" s="673"/>
      <c r="AD24" s="673"/>
      <c r="AE24" s="673"/>
      <c r="AF24" s="673"/>
      <c r="AG24" s="673"/>
      <c r="AH24" s="673"/>
      <c r="AI24" s="673"/>
      <c r="AJ24" s="673"/>
      <c r="AK24" s="673"/>
      <c r="AL24" s="673"/>
      <c r="AM24" s="674"/>
    </row>
    <row r="25" spans="1:39" ht="12.75" customHeight="1">
      <c r="A25" s="404"/>
      <c r="B25" s="405"/>
      <c r="C25" s="405"/>
      <c r="D25" s="405"/>
      <c r="E25" s="405"/>
      <c r="F25" s="405"/>
      <c r="G25" s="405"/>
      <c r="H25" s="405"/>
      <c r="I25" s="405"/>
      <c r="J25" s="405"/>
      <c r="K25" s="405"/>
      <c r="L25" s="405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5"/>
      <c r="Y25" s="405"/>
      <c r="Z25" s="405"/>
      <c r="AA25" s="405"/>
      <c r="AB25" s="405"/>
      <c r="AC25" s="405"/>
      <c r="AD25" s="405"/>
      <c r="AE25" s="405"/>
      <c r="AF25" s="405"/>
      <c r="AG25" s="405"/>
      <c r="AH25" s="405"/>
      <c r="AI25" s="405"/>
      <c r="AJ25" s="405"/>
      <c r="AK25" s="405"/>
      <c r="AL25" s="405"/>
      <c r="AM25" s="406"/>
    </row>
    <row r="26" spans="1:39" ht="12.75" customHeight="1">
      <c r="A26" s="48"/>
      <c r="B26" s="268"/>
      <c r="H26" s="268"/>
      <c r="I26" s="268"/>
      <c r="J26" s="268"/>
      <c r="K26" s="268"/>
      <c r="L26" s="268"/>
      <c r="M26" s="268"/>
      <c r="N26" s="268"/>
      <c r="AM26" s="49"/>
    </row>
    <row r="27" spans="1:39" s="432" customFormat="1" ht="17.25" customHeight="1">
      <c r="A27" s="48"/>
      <c r="B27" s="675" t="s">
        <v>4</v>
      </c>
      <c r="C27" s="675"/>
      <c r="D27" s="675"/>
      <c r="E27" s="675"/>
      <c r="F27" s="675"/>
      <c r="G27" s="675"/>
      <c r="H27" s="675"/>
      <c r="I27" s="675"/>
      <c r="J27" s="675"/>
      <c r="K27" s="675"/>
      <c r="L27" s="268"/>
      <c r="M27" s="678">
        <v>45657</v>
      </c>
      <c r="N27" s="679"/>
      <c r="O27" s="679"/>
      <c r="P27" s="679"/>
      <c r="Q27" s="679"/>
      <c r="R27" s="679"/>
      <c r="S27" s="679"/>
      <c r="T27" s="679"/>
      <c r="U27" s="679"/>
      <c r="V27" s="679"/>
      <c r="W27" s="679"/>
      <c r="X27" s="679"/>
      <c r="Y27" s="679"/>
      <c r="Z27" s="679"/>
      <c r="AA27" s="679"/>
      <c r="AB27" s="679"/>
      <c r="AC27" s="679"/>
      <c r="AD27" s="679"/>
      <c r="AE27" s="679"/>
      <c r="AF27" s="679"/>
      <c r="AG27" s="679"/>
      <c r="AH27" s="679"/>
      <c r="AI27" s="679"/>
      <c r="AJ27" s="679"/>
      <c r="AK27" s="679"/>
      <c r="AM27" s="49"/>
    </row>
    <row r="28" spans="1:39" ht="12.75" customHeight="1">
      <c r="A28" s="48"/>
      <c r="B28" s="268"/>
      <c r="H28" s="268"/>
      <c r="I28" s="268"/>
      <c r="J28" s="268"/>
      <c r="K28" s="268"/>
      <c r="L28" s="268"/>
      <c r="M28" s="407"/>
      <c r="N28" s="408"/>
      <c r="O28" s="408"/>
      <c r="P28" s="408"/>
      <c r="Q28" s="408"/>
      <c r="R28" s="408"/>
      <c r="S28" s="408"/>
      <c r="T28" s="408"/>
      <c r="U28" s="408"/>
      <c r="V28" s="408"/>
      <c r="W28" s="408"/>
      <c r="X28" s="408"/>
      <c r="Y28" s="408"/>
      <c r="Z28" s="408"/>
      <c r="AA28" s="408"/>
      <c r="AB28" s="408"/>
      <c r="AC28" s="408"/>
      <c r="AD28" s="408"/>
      <c r="AE28" s="408"/>
      <c r="AF28" s="408"/>
      <c r="AG28" s="408"/>
      <c r="AH28" s="408"/>
      <c r="AI28" s="408"/>
      <c r="AJ28" s="408"/>
      <c r="AK28" s="408"/>
      <c r="AM28" s="49"/>
    </row>
    <row r="29" spans="1:39" ht="12.75" customHeight="1">
      <c r="A29" s="48"/>
      <c r="B29" s="268"/>
      <c r="H29" s="268"/>
      <c r="I29" s="268"/>
      <c r="J29" s="268"/>
      <c r="K29" s="268"/>
      <c r="L29" s="268"/>
      <c r="M29" s="407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  <c r="AM29" s="49"/>
    </row>
    <row r="30" spans="1:39" ht="12.75" customHeight="1">
      <c r="A30" s="672" t="s">
        <v>5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73"/>
      <c r="AB30" s="673"/>
      <c r="AC30" s="673"/>
      <c r="AD30" s="673"/>
      <c r="AE30" s="673"/>
      <c r="AF30" s="673"/>
      <c r="AG30" s="673"/>
      <c r="AH30" s="673"/>
      <c r="AI30" s="673"/>
      <c r="AJ30" s="673"/>
      <c r="AK30" s="673"/>
      <c r="AL30" s="673"/>
      <c r="AM30" s="674"/>
    </row>
    <row r="31" spans="1:39" ht="12.75" customHeight="1">
      <c r="A31" s="48"/>
      <c r="B31" s="268"/>
      <c r="H31" s="268"/>
      <c r="I31" s="268"/>
      <c r="J31" s="268"/>
      <c r="K31" s="268"/>
      <c r="L31" s="268"/>
      <c r="M31" s="268"/>
      <c r="N31" s="268"/>
      <c r="AM31" s="49"/>
    </row>
    <row r="32" spans="1:39" ht="12.75" customHeight="1">
      <c r="A32" s="48"/>
      <c r="B32" s="268"/>
      <c r="H32" s="268"/>
      <c r="I32" s="268"/>
      <c r="J32" s="268"/>
      <c r="K32" s="268"/>
      <c r="L32" s="268"/>
      <c r="M32" s="268"/>
      <c r="N32" s="268"/>
      <c r="AM32" s="49"/>
    </row>
    <row r="33" spans="1:39" ht="12.75" customHeight="1">
      <c r="A33" s="48"/>
      <c r="B33" s="268"/>
      <c r="H33" s="268"/>
      <c r="I33" s="268"/>
      <c r="J33" s="268"/>
      <c r="K33" s="268"/>
      <c r="L33" s="268"/>
      <c r="M33" s="268"/>
      <c r="N33" s="268"/>
      <c r="AM33" s="49"/>
    </row>
    <row r="34" spans="1:39" ht="12.75" customHeight="1">
      <c r="A34" s="48"/>
      <c r="B34" s="268"/>
      <c r="H34" s="268"/>
      <c r="I34" s="268"/>
      <c r="J34" s="268"/>
      <c r="K34" s="268"/>
      <c r="L34" s="268"/>
      <c r="M34" s="268"/>
      <c r="N34" s="268"/>
      <c r="AM34" s="49"/>
    </row>
    <row r="35" spans="1:39" s="432" customFormat="1" ht="17.25" customHeight="1">
      <c r="A35" s="48"/>
      <c r="B35" s="268"/>
      <c r="C35" s="675" t="s">
        <v>6</v>
      </c>
      <c r="D35" s="675"/>
      <c r="E35" s="675"/>
      <c r="F35" s="675"/>
      <c r="G35" s="675"/>
      <c r="H35" s="675"/>
      <c r="I35" s="675"/>
      <c r="J35" s="675"/>
      <c r="K35" s="675"/>
      <c r="L35" s="676" t="s">
        <v>1244</v>
      </c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75"/>
      <c r="AB35" s="675"/>
      <c r="AC35" s="675"/>
      <c r="AD35" s="675"/>
      <c r="AE35" s="675"/>
      <c r="AF35" s="675"/>
      <c r="AG35" s="675"/>
      <c r="AH35" s="675"/>
      <c r="AI35" s="675"/>
      <c r="AJ35" s="675"/>
      <c r="AK35" s="675"/>
      <c r="AM35" s="49"/>
    </row>
    <row r="36" spans="1:39" ht="12.75" customHeight="1">
      <c r="A36" s="48"/>
      <c r="B36" s="268"/>
      <c r="C36" s="675" t="s">
        <v>7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AM36" s="49"/>
    </row>
    <row r="37" spans="1:39" ht="12.75" customHeight="1">
      <c r="A37" s="48"/>
      <c r="B37" s="268"/>
      <c r="H37" s="268"/>
      <c r="I37" s="268"/>
      <c r="J37" s="268"/>
      <c r="K37" s="268"/>
      <c r="L37" s="268"/>
      <c r="M37" s="268"/>
      <c r="N37" s="268"/>
      <c r="AM37" s="49"/>
    </row>
    <row r="38" spans="1:39" ht="12.75" customHeight="1">
      <c r="A38" s="48"/>
      <c r="B38" s="268"/>
      <c r="H38" s="268"/>
      <c r="I38" s="268"/>
      <c r="J38" s="268"/>
      <c r="K38" s="268"/>
      <c r="L38" s="268"/>
      <c r="M38" s="268"/>
      <c r="N38" s="268"/>
      <c r="AM38" s="49"/>
    </row>
    <row r="39" spans="1:39" ht="12.75" customHeight="1">
      <c r="A39" s="48"/>
      <c r="B39" s="268"/>
      <c r="H39" s="268"/>
      <c r="I39" s="268"/>
      <c r="J39" s="268"/>
      <c r="K39" s="268"/>
      <c r="L39" s="268"/>
      <c r="M39" s="268"/>
      <c r="N39" s="268"/>
      <c r="AM39" s="49"/>
    </row>
    <row r="40" spans="1:39" ht="12.75" customHeight="1">
      <c r="A40" s="48"/>
      <c r="B40" s="268"/>
      <c r="H40" s="268"/>
      <c r="I40" s="268"/>
      <c r="J40" s="268"/>
      <c r="K40" s="268"/>
      <c r="L40" s="268"/>
      <c r="M40" s="268"/>
      <c r="N40" s="268"/>
      <c r="AM40" s="49"/>
    </row>
    <row r="41" spans="1:39" s="432" customFormat="1" ht="17.25" customHeight="1">
      <c r="A41" s="48"/>
      <c r="B41" s="268"/>
      <c r="C41" s="675" t="s">
        <v>8</v>
      </c>
      <c r="D41" s="675"/>
      <c r="E41" s="675"/>
      <c r="F41" s="675"/>
      <c r="G41" s="675"/>
      <c r="H41" s="677" t="s">
        <v>1245</v>
      </c>
      <c r="I41" s="673"/>
      <c r="J41" s="673"/>
      <c r="K41" s="673"/>
      <c r="L41" s="673"/>
      <c r="M41" s="673"/>
      <c r="N41" s="673"/>
      <c r="O41" s="673"/>
      <c r="P41" s="673"/>
      <c r="Q41" s="673"/>
      <c r="R41" s="673"/>
      <c r="S41" s="673"/>
      <c r="T41" s="673"/>
      <c r="U41" s="673"/>
      <c r="V41" s="673"/>
      <c r="W41" s="673"/>
      <c r="X41" s="673"/>
      <c r="Y41" s="673"/>
      <c r="Z41" s="673"/>
      <c r="AA41" s="673"/>
      <c r="AB41" s="673"/>
      <c r="AC41" s="673"/>
      <c r="AD41" s="673"/>
      <c r="AE41" s="673"/>
      <c r="AF41" s="673"/>
      <c r="AG41" s="673"/>
      <c r="AH41" s="673"/>
      <c r="AI41" s="673"/>
      <c r="AJ41" s="673"/>
      <c r="AK41" s="673"/>
      <c r="AM41" s="49"/>
    </row>
    <row r="42" spans="1:39" ht="12.75" customHeight="1">
      <c r="A42" s="48"/>
      <c r="B42" s="268"/>
      <c r="H42" s="268"/>
      <c r="I42" s="268"/>
      <c r="J42" s="268"/>
      <c r="K42" s="268"/>
      <c r="L42" s="268"/>
      <c r="M42" s="268"/>
      <c r="N42" s="268"/>
      <c r="AM42" s="49"/>
    </row>
    <row r="43" spans="1:39" ht="12.75" customHeight="1">
      <c r="A43" s="48"/>
      <c r="B43" s="268"/>
      <c r="H43" s="268"/>
      <c r="I43" s="268"/>
      <c r="J43" s="268"/>
      <c r="K43" s="268"/>
      <c r="L43" s="268"/>
      <c r="M43" s="268"/>
      <c r="N43" s="268"/>
      <c r="AM43" s="49"/>
    </row>
    <row r="44" spans="1:39" ht="12.75" customHeight="1">
      <c r="A44" s="48"/>
      <c r="B44" s="268"/>
      <c r="H44" s="268"/>
      <c r="I44" s="268"/>
      <c r="J44" s="268"/>
      <c r="K44" s="268"/>
      <c r="L44" s="268"/>
      <c r="M44" s="268"/>
      <c r="N44" s="268"/>
      <c r="AM44" s="49"/>
    </row>
    <row r="45" spans="1:39" ht="12.75" customHeight="1">
      <c r="A45" s="48"/>
      <c r="B45" s="268"/>
      <c r="H45" s="268"/>
      <c r="I45" s="268"/>
      <c r="J45" s="268"/>
      <c r="K45" s="268"/>
      <c r="L45" s="268"/>
      <c r="M45" s="268"/>
      <c r="N45" s="268"/>
      <c r="AM45" s="49"/>
    </row>
    <row r="46" spans="1:39" s="432" customFormat="1" ht="17.25" customHeight="1">
      <c r="A46" s="48"/>
      <c r="B46" s="268"/>
      <c r="C46" s="675" t="s">
        <v>9</v>
      </c>
      <c r="D46" s="675"/>
      <c r="E46" s="675"/>
      <c r="F46" s="675"/>
      <c r="G46" s="675"/>
      <c r="H46" s="675"/>
      <c r="I46" s="675"/>
      <c r="J46" s="676" t="s">
        <v>1246</v>
      </c>
      <c r="K46" s="675"/>
      <c r="L46" s="675"/>
      <c r="M46" s="675"/>
      <c r="N46" s="675"/>
      <c r="O46" s="675"/>
      <c r="P46" s="675"/>
      <c r="Q46" s="675"/>
      <c r="R46" s="675"/>
      <c r="S46" s="675"/>
      <c r="T46" s="675"/>
      <c r="U46" s="675"/>
      <c r="V46" s="675"/>
      <c r="W46" s="675"/>
      <c r="X46" s="675"/>
      <c r="Y46" s="675"/>
      <c r="Z46" s="675"/>
      <c r="AA46" s="675"/>
      <c r="AB46" s="675"/>
      <c r="AC46" s="675"/>
      <c r="AD46" s="675"/>
      <c r="AE46" s="675"/>
      <c r="AF46" s="675"/>
      <c r="AG46" s="675"/>
      <c r="AH46" s="675"/>
      <c r="AI46" s="675"/>
      <c r="AJ46" s="675"/>
      <c r="AK46" s="675"/>
      <c r="AM46" s="49"/>
    </row>
    <row r="47" spans="1:39" ht="12.75" customHeight="1">
      <c r="A47" s="48"/>
      <c r="B47" s="268"/>
      <c r="H47" s="268"/>
      <c r="I47" s="268"/>
      <c r="J47" s="268"/>
      <c r="K47" s="268"/>
      <c r="L47" s="268"/>
      <c r="M47" s="268"/>
      <c r="N47" s="268"/>
      <c r="AM47" s="49"/>
    </row>
    <row r="48" spans="1:39" ht="12.75" customHeight="1">
      <c r="A48" s="48"/>
      <c r="B48" s="268"/>
      <c r="H48" s="268"/>
      <c r="I48" s="268"/>
      <c r="J48" s="268"/>
      <c r="K48" s="268"/>
      <c r="L48" s="268"/>
      <c r="M48" s="268"/>
      <c r="N48" s="268"/>
      <c r="AM48" s="49"/>
    </row>
    <row r="49" spans="1:39" ht="12.75" customHeight="1">
      <c r="A49" s="48"/>
      <c r="B49" s="268"/>
      <c r="H49" s="268"/>
      <c r="I49" s="268"/>
      <c r="J49" s="268"/>
      <c r="K49" s="268"/>
      <c r="L49" s="268"/>
      <c r="M49" s="268"/>
      <c r="N49" s="268"/>
      <c r="AM49" s="49"/>
    </row>
    <row r="50" spans="1:39" ht="12.75" customHeight="1">
      <c r="A50" s="48"/>
      <c r="B50" s="268"/>
      <c r="H50" s="268"/>
      <c r="I50" s="268"/>
      <c r="J50" s="268"/>
      <c r="K50" s="268"/>
      <c r="L50" s="268"/>
      <c r="M50" s="268"/>
      <c r="N50" s="268"/>
      <c r="AM50" s="49"/>
    </row>
    <row r="51" spans="1:39" s="432" customFormat="1" ht="17.25" customHeight="1">
      <c r="A51" s="48"/>
      <c r="B51" s="268"/>
      <c r="C51" s="675" t="s">
        <v>10</v>
      </c>
      <c r="D51" s="675"/>
      <c r="E51" s="675"/>
      <c r="F51" s="675"/>
      <c r="G51" s="675"/>
      <c r="H51" s="675"/>
      <c r="I51" s="675"/>
      <c r="J51" s="675"/>
      <c r="K51" s="675"/>
      <c r="L51" s="675"/>
      <c r="M51" s="675"/>
      <c r="N51" s="1100" t="s">
        <v>1247</v>
      </c>
      <c r="O51" s="685"/>
      <c r="P51" s="685"/>
      <c r="Q51" s="685"/>
      <c r="R51" s="685"/>
      <c r="S51" s="685"/>
      <c r="T51" s="685"/>
      <c r="U51" s="685"/>
      <c r="V51" s="685"/>
      <c r="W51" s="685"/>
      <c r="X51" s="685"/>
      <c r="Y51" s="685"/>
      <c r="Z51" s="685"/>
      <c r="AA51" s="685"/>
      <c r="AB51" s="685"/>
      <c r="AC51" s="685"/>
      <c r="AD51" s="685"/>
      <c r="AE51" s="685"/>
      <c r="AF51" s="685"/>
      <c r="AG51" s="685"/>
      <c r="AH51" s="685"/>
      <c r="AI51" s="685"/>
      <c r="AJ51" s="685"/>
      <c r="AM51" s="49"/>
    </row>
    <row r="52" spans="1:39" ht="12.75" customHeight="1">
      <c r="A52" s="48"/>
      <c r="B52" s="268"/>
      <c r="H52" s="268"/>
      <c r="I52" s="268"/>
      <c r="J52" s="268"/>
      <c r="K52" s="268"/>
      <c r="L52" s="268"/>
      <c r="M52" s="268"/>
      <c r="N52" s="268"/>
      <c r="AM52" s="49"/>
    </row>
    <row r="53" spans="1:39" ht="12.75" customHeight="1">
      <c r="A53" s="48"/>
      <c r="B53" s="268"/>
      <c r="H53" s="268"/>
      <c r="I53" s="268"/>
      <c r="J53" s="268"/>
      <c r="K53" s="268"/>
      <c r="L53" s="268"/>
      <c r="M53" s="268"/>
      <c r="N53" s="268"/>
      <c r="AM53" s="49"/>
    </row>
    <row r="54" spans="1:39" ht="12.75" customHeight="1">
      <c r="A54" s="48"/>
      <c r="B54" s="268"/>
      <c r="H54" s="268"/>
      <c r="I54" s="268"/>
      <c r="J54" s="268"/>
      <c r="K54" s="268"/>
      <c r="L54" s="268"/>
      <c r="M54" s="268"/>
      <c r="N54" s="268"/>
      <c r="AM54" s="49"/>
    </row>
    <row r="55" spans="1:39" ht="12.75" customHeight="1">
      <c r="A55" s="48"/>
      <c r="B55" s="268"/>
      <c r="C55" s="686" t="s">
        <v>11</v>
      </c>
      <c r="D55" s="686"/>
      <c r="E55" s="686"/>
      <c r="F55" s="686"/>
      <c r="G55" s="686"/>
      <c r="H55" s="686"/>
      <c r="I55" s="686"/>
      <c r="J55" s="686"/>
      <c r="K55" s="686"/>
      <c r="L55" s="686"/>
      <c r="M55" s="686"/>
      <c r="N55" s="686"/>
      <c r="O55" s="686"/>
      <c r="P55" s="686"/>
      <c r="Q55" s="686"/>
      <c r="R55" s="686"/>
      <c r="S55" s="686"/>
      <c r="T55" s="686"/>
      <c r="U55" s="686"/>
      <c r="V55" s="686"/>
      <c r="W55" s="686"/>
      <c r="X55" s="686"/>
      <c r="Y55" s="686"/>
      <c r="Z55" s="686"/>
      <c r="AA55" s="686"/>
      <c r="AB55" s="686"/>
      <c r="AC55" s="686"/>
      <c r="AD55" s="686"/>
      <c r="AE55" s="686"/>
      <c r="AF55" s="686"/>
      <c r="AG55" s="686"/>
      <c r="AH55" s="686"/>
      <c r="AI55" s="686"/>
      <c r="AJ55" s="686"/>
      <c r="AK55" s="686"/>
      <c r="AL55" s="686"/>
      <c r="AM55" s="49"/>
    </row>
    <row r="56" spans="1:39" ht="12.75" customHeight="1">
      <c r="A56" s="48"/>
      <c r="B56" s="268"/>
      <c r="H56" s="268"/>
      <c r="I56" s="268"/>
      <c r="J56" s="268"/>
      <c r="K56" s="268"/>
      <c r="L56" s="268"/>
      <c r="M56" s="268"/>
      <c r="N56" s="268"/>
      <c r="AM56" s="49"/>
    </row>
    <row r="57" spans="1:39" ht="12.75" customHeight="1">
      <c r="A57" s="48"/>
      <c r="B57" s="268"/>
      <c r="H57" s="268"/>
      <c r="I57" s="268"/>
      <c r="J57" s="268"/>
      <c r="K57" s="268"/>
      <c r="L57" s="268"/>
      <c r="M57" s="268"/>
      <c r="N57" s="268"/>
      <c r="AM57" s="49"/>
    </row>
    <row r="58" spans="1:39" ht="12.75" customHeight="1">
      <c r="A58" s="48"/>
      <c r="B58" s="268"/>
      <c r="H58" s="268"/>
      <c r="I58" s="268"/>
      <c r="J58" s="268"/>
      <c r="K58" s="268"/>
      <c r="L58" s="268"/>
      <c r="M58" s="268"/>
      <c r="N58" s="268"/>
      <c r="AM58" s="49"/>
    </row>
    <row r="59" spans="1:39" ht="12.75" customHeight="1">
      <c r="A59" s="48"/>
      <c r="B59" s="268"/>
      <c r="C59" s="673" t="s">
        <v>12</v>
      </c>
      <c r="D59" s="673"/>
      <c r="E59" s="673"/>
      <c r="F59" s="673"/>
      <c r="G59" s="673"/>
      <c r="H59" s="673"/>
      <c r="I59" s="673"/>
      <c r="J59" s="673"/>
      <c r="K59" s="673"/>
      <c r="L59" s="673"/>
      <c r="M59" s="673"/>
      <c r="N59" s="673"/>
      <c r="O59" s="673"/>
      <c r="P59" s="673"/>
      <c r="Q59" s="673"/>
      <c r="R59" s="673"/>
      <c r="S59" s="673"/>
      <c r="T59" s="673"/>
      <c r="V59" s="673" t="s">
        <v>13</v>
      </c>
      <c r="W59" s="673"/>
      <c r="X59" s="673"/>
      <c r="Y59" s="673"/>
      <c r="Z59" s="673"/>
      <c r="AA59" s="673"/>
      <c r="AB59" s="673"/>
      <c r="AC59" s="673"/>
      <c r="AD59" s="673"/>
      <c r="AE59" s="673"/>
      <c r="AF59" s="673"/>
      <c r="AG59" s="673"/>
      <c r="AH59" s="673"/>
      <c r="AI59" s="673"/>
      <c r="AJ59" s="673"/>
      <c r="AK59" s="673"/>
      <c r="AL59" s="673"/>
      <c r="AM59" s="49"/>
    </row>
    <row r="60" spans="1:39" ht="12.75" customHeight="1">
      <c r="A60" s="48"/>
      <c r="B60" s="268"/>
      <c r="H60" s="268"/>
      <c r="I60" s="268"/>
      <c r="J60" s="268"/>
      <c r="K60" s="268"/>
      <c r="L60" s="268"/>
      <c r="M60" s="268"/>
      <c r="N60" s="268"/>
      <c r="AM60" s="49"/>
    </row>
    <row r="61" spans="1:39" ht="12.75" customHeight="1">
      <c r="A61" s="48"/>
      <c r="B61" s="268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0"/>
      <c r="S61" s="51"/>
      <c r="T61" s="52"/>
      <c r="U61" s="270"/>
      <c r="V61" s="50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47"/>
    </row>
    <row r="62" spans="1:39" ht="12.75" customHeight="1">
      <c r="A62" s="48"/>
      <c r="B62" s="268"/>
      <c r="C62" s="681" t="s">
        <v>14</v>
      </c>
      <c r="D62" s="682"/>
      <c r="E62" s="682"/>
      <c r="F62" s="682"/>
      <c r="G62" s="682"/>
      <c r="H62" s="682"/>
      <c r="I62" s="682"/>
      <c r="J62" s="682"/>
      <c r="K62" s="682"/>
      <c r="L62" s="682"/>
      <c r="M62" s="682"/>
      <c r="N62" s="682"/>
      <c r="O62" s="682"/>
      <c r="P62" s="682"/>
      <c r="Q62" s="682"/>
      <c r="R62" s="269"/>
      <c r="S62" s="1" t="s">
        <v>15</v>
      </c>
      <c r="T62" s="271"/>
      <c r="U62" s="270"/>
      <c r="V62" s="683" t="s">
        <v>16</v>
      </c>
      <c r="W62" s="684"/>
      <c r="X62" s="684"/>
      <c r="Y62" s="684"/>
      <c r="Z62" s="684"/>
      <c r="AA62" s="684"/>
      <c r="AB62" s="684"/>
      <c r="AC62" s="684"/>
      <c r="AD62" s="684"/>
      <c r="AE62" s="684"/>
      <c r="AF62" s="684"/>
      <c r="AG62" s="684"/>
      <c r="AH62" s="684"/>
      <c r="AI62" s="684"/>
      <c r="AJ62" s="684"/>
      <c r="AK62" s="684"/>
      <c r="AL62" s="684"/>
      <c r="AM62" s="49"/>
    </row>
    <row r="63" spans="1:39" ht="12.75" customHeight="1">
      <c r="A63" s="48"/>
      <c r="B63" s="268"/>
      <c r="C63" s="269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69"/>
      <c r="S63" s="270"/>
      <c r="T63" s="271"/>
      <c r="U63" s="270"/>
      <c r="V63" s="272"/>
      <c r="W63" s="273"/>
      <c r="X63" s="273"/>
      <c r="Y63" s="273"/>
      <c r="Z63" s="273"/>
      <c r="AA63" s="273"/>
      <c r="AB63" s="273"/>
      <c r="AC63" s="273"/>
      <c r="AD63" s="273"/>
      <c r="AE63" s="273"/>
      <c r="AF63" s="273"/>
      <c r="AG63" s="273"/>
      <c r="AH63" s="273"/>
      <c r="AI63" s="273"/>
      <c r="AJ63" s="273"/>
      <c r="AK63" s="273"/>
      <c r="AL63" s="273"/>
      <c r="AM63" s="49"/>
    </row>
    <row r="64" spans="1:39" ht="12.75" customHeight="1">
      <c r="A64" s="48"/>
      <c r="B64" s="268"/>
      <c r="C64" s="681" t="s">
        <v>17</v>
      </c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2"/>
      <c r="Q64" s="682"/>
      <c r="R64" s="269"/>
      <c r="S64" s="1" t="s">
        <v>15</v>
      </c>
      <c r="T64" s="271"/>
      <c r="U64" s="270"/>
      <c r="V64" s="272"/>
      <c r="W64" s="684"/>
      <c r="X64" s="684"/>
      <c r="Y64" s="684"/>
      <c r="Z64" s="684"/>
      <c r="AA64" s="684"/>
      <c r="AB64" s="684"/>
      <c r="AC64" s="684"/>
      <c r="AD64" s="684"/>
      <c r="AE64" s="684"/>
      <c r="AF64" s="684"/>
      <c r="AG64" s="684"/>
      <c r="AH64" s="684"/>
      <c r="AI64" s="684"/>
      <c r="AJ64" s="684"/>
      <c r="AK64" s="684"/>
      <c r="AL64" s="273"/>
      <c r="AM64" s="49"/>
    </row>
    <row r="65" spans="1:39" ht="12.75" customHeight="1">
      <c r="A65" s="48"/>
      <c r="B65" s="268"/>
      <c r="C65" s="269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69"/>
      <c r="S65" s="270"/>
      <c r="T65" s="271"/>
      <c r="U65" s="270"/>
      <c r="V65" s="272"/>
      <c r="W65" s="273"/>
      <c r="X65" s="273"/>
      <c r="Y65" s="273"/>
      <c r="Z65" s="273"/>
      <c r="AA65" s="273"/>
      <c r="AB65" s="273"/>
      <c r="AC65" s="273"/>
      <c r="AD65" s="273"/>
      <c r="AE65" s="273"/>
      <c r="AF65" s="273"/>
      <c r="AG65" s="273"/>
      <c r="AH65" s="273"/>
      <c r="AI65" s="273"/>
      <c r="AJ65" s="273"/>
      <c r="AK65" s="273"/>
      <c r="AL65" s="273"/>
      <c r="AM65" s="49"/>
    </row>
    <row r="66" spans="1:39" ht="12.75" customHeight="1">
      <c r="A66" s="48"/>
      <c r="B66" s="268"/>
      <c r="C66" s="681" t="s">
        <v>18</v>
      </c>
      <c r="D66" s="682"/>
      <c r="E66" s="682"/>
      <c r="F66" s="682"/>
      <c r="G66" s="682"/>
      <c r="H66" s="682"/>
      <c r="I66" s="682"/>
      <c r="J66" s="682"/>
      <c r="K66" s="682"/>
      <c r="L66" s="682"/>
      <c r="M66" s="682"/>
      <c r="N66" s="682"/>
      <c r="O66" s="682"/>
      <c r="P66" s="682"/>
      <c r="Q66" s="682"/>
      <c r="R66" s="269"/>
      <c r="S66" s="1" t="s">
        <v>15</v>
      </c>
      <c r="T66" s="271"/>
      <c r="U66" s="270"/>
      <c r="V66" s="692" t="s">
        <v>19</v>
      </c>
      <c r="W66" s="693"/>
      <c r="X66" s="693"/>
      <c r="Y66" s="693"/>
      <c r="Z66" s="693"/>
      <c r="AA66" s="693"/>
      <c r="AB66" s="693"/>
      <c r="AC66" s="693"/>
      <c r="AD66" s="693"/>
      <c r="AE66" s="693"/>
      <c r="AF66" s="693"/>
      <c r="AG66" s="693"/>
      <c r="AH66" s="693"/>
      <c r="AI66" s="693"/>
      <c r="AJ66" s="693"/>
      <c r="AK66" s="693"/>
      <c r="AL66" s="694"/>
      <c r="AM66" s="49"/>
    </row>
    <row r="67" spans="1:39" ht="12.75" customHeight="1">
      <c r="A67" s="48"/>
      <c r="B67" s="268"/>
      <c r="C67" s="269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69"/>
      <c r="S67" s="270"/>
      <c r="T67" s="271"/>
      <c r="U67" s="270"/>
      <c r="V67" s="683"/>
      <c r="W67" s="684"/>
      <c r="X67" s="684"/>
      <c r="Y67" s="684"/>
      <c r="Z67" s="684"/>
      <c r="AA67" s="684"/>
      <c r="AB67" s="684"/>
      <c r="AC67" s="684"/>
      <c r="AD67" s="684"/>
      <c r="AE67" s="684"/>
      <c r="AF67" s="684"/>
      <c r="AG67" s="684"/>
      <c r="AH67" s="684"/>
      <c r="AI67" s="684"/>
      <c r="AJ67" s="684"/>
      <c r="AK67" s="684"/>
      <c r="AL67" s="695"/>
      <c r="AM67" s="49"/>
    </row>
    <row r="68" spans="1:39" ht="12.75" customHeight="1">
      <c r="A68" s="48"/>
      <c r="B68" s="268"/>
      <c r="C68" s="681" t="s">
        <v>20</v>
      </c>
      <c r="D68" s="682"/>
      <c r="E68" s="682"/>
      <c r="F68" s="682"/>
      <c r="G68" s="682"/>
      <c r="H68" s="682"/>
      <c r="I68" s="682"/>
      <c r="J68" s="682"/>
      <c r="K68" s="682"/>
      <c r="L68" s="682"/>
      <c r="M68" s="682"/>
      <c r="N68" s="682"/>
      <c r="O68" s="682"/>
      <c r="P68" s="682"/>
      <c r="Q68" s="682"/>
      <c r="R68" s="269"/>
      <c r="S68" s="1" t="s">
        <v>15</v>
      </c>
      <c r="T68" s="271"/>
      <c r="U68" s="270"/>
      <c r="V68" s="272"/>
      <c r="W68" s="684"/>
      <c r="X68" s="684"/>
      <c r="Y68" s="684"/>
      <c r="Z68" s="684"/>
      <c r="AA68" s="684"/>
      <c r="AB68" s="684"/>
      <c r="AC68" s="684"/>
      <c r="AD68" s="684"/>
      <c r="AE68" s="684"/>
      <c r="AF68" s="684"/>
      <c r="AG68" s="684"/>
      <c r="AH68" s="684"/>
      <c r="AI68" s="684"/>
      <c r="AJ68" s="684"/>
      <c r="AK68" s="684"/>
      <c r="AL68" s="274"/>
      <c r="AM68" s="49"/>
    </row>
    <row r="69" spans="1:39" ht="12.75" customHeight="1">
      <c r="A69" s="48"/>
      <c r="B69" s="268"/>
      <c r="C69" s="269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69"/>
      <c r="S69" s="270"/>
      <c r="T69" s="271"/>
      <c r="U69" s="270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9"/>
    </row>
    <row r="70" spans="1:39" ht="12.75" customHeight="1">
      <c r="A70" s="48"/>
      <c r="B70" s="268"/>
      <c r="C70" s="681" t="s">
        <v>21</v>
      </c>
      <c r="D70" s="682"/>
      <c r="E70" s="682"/>
      <c r="F70" s="682"/>
      <c r="G70" s="682"/>
      <c r="H70" s="682"/>
      <c r="I70" s="682"/>
      <c r="J70" s="682"/>
      <c r="K70" s="682"/>
      <c r="L70" s="682"/>
      <c r="M70" s="682"/>
      <c r="N70" s="682"/>
      <c r="O70" s="682"/>
      <c r="P70" s="682"/>
      <c r="Q70" s="682"/>
      <c r="R70" s="269"/>
      <c r="S70" s="1" t="s">
        <v>15</v>
      </c>
      <c r="T70" s="271"/>
      <c r="U70" s="270"/>
      <c r="V70" s="683" t="s">
        <v>22</v>
      </c>
      <c r="W70" s="684"/>
      <c r="X70" s="684"/>
      <c r="Y70" s="684"/>
      <c r="Z70" s="684"/>
      <c r="AA70" s="684"/>
      <c r="AB70" s="684"/>
      <c r="AC70" s="684"/>
      <c r="AD70" s="684"/>
      <c r="AE70" s="684"/>
      <c r="AF70" s="684"/>
      <c r="AG70" s="684"/>
      <c r="AH70" s="684"/>
      <c r="AI70" s="684"/>
      <c r="AJ70" s="684"/>
      <c r="AK70" s="684"/>
      <c r="AL70" s="684"/>
      <c r="AM70" s="49"/>
    </row>
    <row r="71" spans="1:39" ht="12.75" customHeight="1">
      <c r="A71" s="48"/>
      <c r="B71" s="268"/>
      <c r="C71" s="269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69"/>
      <c r="S71" s="270"/>
      <c r="T71" s="271"/>
      <c r="U71" s="270"/>
      <c r="V71" s="272"/>
      <c r="W71" s="273"/>
      <c r="X71" s="273"/>
      <c r="Y71" s="273"/>
      <c r="Z71" s="273"/>
      <c r="AA71" s="273"/>
      <c r="AB71" s="273"/>
      <c r="AC71" s="273"/>
      <c r="AD71" s="273"/>
      <c r="AE71" s="273"/>
      <c r="AF71" s="273"/>
      <c r="AG71" s="273"/>
      <c r="AH71" s="273"/>
      <c r="AI71" s="273"/>
      <c r="AJ71" s="273"/>
      <c r="AK71" s="273"/>
      <c r="AL71" s="273"/>
      <c r="AM71" s="49"/>
    </row>
    <row r="72" spans="1:39" ht="12.75" customHeight="1">
      <c r="A72" s="48"/>
      <c r="B72" s="268"/>
      <c r="C72" s="696" t="s">
        <v>23</v>
      </c>
      <c r="D72" s="697"/>
      <c r="E72" s="697"/>
      <c r="F72" s="697"/>
      <c r="G72" s="697"/>
      <c r="H72" s="697"/>
      <c r="I72" s="697"/>
      <c r="J72" s="697"/>
      <c r="K72" s="697"/>
      <c r="L72" s="697"/>
      <c r="M72" s="697"/>
      <c r="N72" s="697"/>
      <c r="O72" s="697"/>
      <c r="P72" s="697"/>
      <c r="Q72" s="697"/>
      <c r="R72" s="698" t="s">
        <v>829</v>
      </c>
      <c r="S72" s="693"/>
      <c r="T72" s="694"/>
      <c r="U72" s="270"/>
      <c r="V72" s="272"/>
      <c r="W72" s="684"/>
      <c r="X72" s="684"/>
      <c r="Y72" s="684"/>
      <c r="Z72" s="684"/>
      <c r="AA72" s="684"/>
      <c r="AB72" s="684"/>
      <c r="AC72" s="684"/>
      <c r="AD72" s="684"/>
      <c r="AE72" s="684"/>
      <c r="AF72" s="684"/>
      <c r="AG72" s="684"/>
      <c r="AH72" s="684"/>
      <c r="AI72" s="684"/>
      <c r="AJ72" s="684"/>
      <c r="AK72" s="684"/>
      <c r="AL72" s="273"/>
      <c r="AM72" s="49"/>
    </row>
    <row r="73" spans="1:39" ht="12.75" customHeight="1">
      <c r="A73" s="48"/>
      <c r="B73" s="268"/>
      <c r="C73" s="687" t="s">
        <v>24</v>
      </c>
      <c r="D73" s="688"/>
      <c r="E73" s="688"/>
      <c r="F73" s="688"/>
      <c r="G73" s="688"/>
      <c r="H73" s="688"/>
      <c r="I73" s="688"/>
      <c r="J73" s="688"/>
      <c r="K73" s="688"/>
      <c r="L73" s="688"/>
      <c r="M73" s="688"/>
      <c r="N73" s="688"/>
      <c r="O73" s="688"/>
      <c r="P73" s="688"/>
      <c r="Q73" s="688"/>
      <c r="R73" s="689" t="s">
        <v>829</v>
      </c>
      <c r="S73" s="690"/>
      <c r="T73" s="691"/>
      <c r="U73" s="270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55"/>
    </row>
    <row r="74" spans="1:39" ht="12.75" customHeight="1">
      <c r="A74" s="48"/>
      <c r="B74" s="268"/>
      <c r="H74" s="268"/>
      <c r="I74" s="268"/>
      <c r="J74" s="268"/>
      <c r="K74" s="268"/>
      <c r="L74" s="268"/>
      <c r="M74" s="268"/>
      <c r="N74" s="268"/>
      <c r="AM74" s="49"/>
    </row>
    <row r="75" spans="1:39" ht="12.75" customHeight="1" thickBot="1">
      <c r="A75" s="5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5"/>
    </row>
  </sheetData>
  <mergeCells count="40">
    <mergeCell ref="C73:Q73"/>
    <mergeCell ref="R73:T73"/>
    <mergeCell ref="C64:Q64"/>
    <mergeCell ref="W64:AK64"/>
    <mergeCell ref="C66:Q66"/>
    <mergeCell ref="V66:AL67"/>
    <mergeCell ref="C68:Q68"/>
    <mergeCell ref="W68:AK68"/>
    <mergeCell ref="C70:Q70"/>
    <mergeCell ref="V70:AL70"/>
    <mergeCell ref="C72:Q72"/>
    <mergeCell ref="R72:T72"/>
    <mergeCell ref="W72:AK72"/>
    <mergeCell ref="C62:Q62"/>
    <mergeCell ref="V62:AL62"/>
    <mergeCell ref="C35:K35"/>
    <mergeCell ref="L35:AK35"/>
    <mergeCell ref="C36:O36"/>
    <mergeCell ref="C41:G41"/>
    <mergeCell ref="H41:AK41"/>
    <mergeCell ref="C46:I46"/>
    <mergeCell ref="J46:AK46"/>
    <mergeCell ref="C51:M51"/>
    <mergeCell ref="N51:AJ51"/>
    <mergeCell ref="C55:AL55"/>
    <mergeCell ref="C59:T59"/>
    <mergeCell ref="V59:AL59"/>
    <mergeCell ref="A1:AM1"/>
    <mergeCell ref="A30:AM30"/>
    <mergeCell ref="B5:G5"/>
    <mergeCell ref="I5:Y5"/>
    <mergeCell ref="B7:G7"/>
    <mergeCell ref="I7:Y7"/>
    <mergeCell ref="B9:G9"/>
    <mergeCell ref="B17:AL17"/>
    <mergeCell ref="A23:AM23"/>
    <mergeCell ref="A24:AM24"/>
    <mergeCell ref="B27:K27"/>
    <mergeCell ref="M27:AK27"/>
    <mergeCell ref="I9:Z9"/>
  </mergeCells>
  <pageMargins left="0.2362204724409" right="0.2362204724409" top="0.74803149606300001" bottom="0.74803149606300001" header="0.31496062992129997" footer="0.31496062992129997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4"/>
  <sheetViews>
    <sheetView showGridLines="0" workbookViewId="0">
      <selection activeCell="D52" sqref="D52:AM52"/>
    </sheetView>
  </sheetViews>
  <sheetFormatPr baseColWidth="10" defaultRowHeight="15" customHeight="1"/>
  <cols>
    <col min="1" max="3" width="2.85546875" customWidth="1" collapsed="1"/>
    <col min="4" max="4" width="2.85546875" style="432" customWidth="1" collapsed="1"/>
    <col min="5" max="5" width="2.85546875" customWidth="1" collapsed="1"/>
    <col min="6" max="6" width="4.85546875" style="432" customWidth="1" collapsed="1"/>
    <col min="7" max="7" width="2.85546875" style="432" customWidth="1" collapsed="1"/>
    <col min="8" max="8" width="2.85546875" customWidth="1" collapsed="1"/>
    <col min="9" max="10" width="2.85546875" style="432" customWidth="1" collapsed="1"/>
    <col min="11" max="16" width="2.85546875" customWidth="1" collapsed="1"/>
    <col min="17" max="17" width="2.85546875" style="432" customWidth="1" collapsed="1"/>
    <col min="18" max="19" width="2.85546875" customWidth="1" collapsed="1"/>
    <col min="20" max="20" width="14.7109375" style="432" customWidth="1" collapsed="1"/>
    <col min="21" max="21" width="2.85546875" style="432" customWidth="1" collapsed="1"/>
    <col min="22" max="24" width="2.85546875" customWidth="1" collapsed="1"/>
    <col min="25" max="25" width="2.85546875" style="432" customWidth="1" collapsed="1"/>
    <col min="26" max="26" width="2.85546875" customWidth="1" collapsed="1"/>
    <col min="27" max="27" width="3.85546875" style="432" customWidth="1" collapsed="1"/>
    <col min="28" max="29" width="2.85546875" customWidth="1" collapsed="1"/>
    <col min="30" max="31" width="2.85546875" style="432" customWidth="1" collapsed="1"/>
    <col min="32" max="33" width="2.85546875" customWidth="1" collapsed="1"/>
    <col min="34" max="34" width="2.85546875" style="432" customWidth="1" collapsed="1"/>
    <col min="35" max="40" width="2.85546875" customWidth="1" collapsed="1"/>
  </cols>
  <sheetData>
    <row r="1" spans="1:257" s="386" customFormat="1" ht="12.75" customHeight="1">
      <c r="A1" s="699" t="s">
        <v>1127</v>
      </c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699"/>
      <c r="S1" s="699"/>
      <c r="T1" s="699"/>
      <c r="U1" s="699"/>
      <c r="V1" s="699"/>
      <c r="W1" s="699"/>
      <c r="X1" s="699"/>
      <c r="Y1" s="699"/>
      <c r="Z1" s="699"/>
      <c r="AA1" s="699"/>
      <c r="AB1" s="699"/>
      <c r="AC1" s="699"/>
      <c r="AD1" s="699"/>
      <c r="AE1" s="699"/>
      <c r="AF1" s="699"/>
      <c r="AG1" s="699"/>
      <c r="AH1" s="699"/>
      <c r="AI1" s="699"/>
      <c r="AJ1" s="699"/>
      <c r="AK1" s="699"/>
      <c r="AL1" s="699"/>
      <c r="AM1" s="699"/>
      <c r="AN1" s="699"/>
      <c r="AO1" s="390"/>
      <c r="AP1" s="390"/>
      <c r="AQ1" s="390"/>
      <c r="AR1" s="390"/>
      <c r="AS1" s="390"/>
      <c r="AT1" s="390"/>
      <c r="AU1" s="390"/>
      <c r="AV1" s="390"/>
      <c r="AW1" s="390"/>
      <c r="AX1" s="390"/>
      <c r="AY1" s="390"/>
      <c r="AZ1" s="390"/>
      <c r="BA1" s="390"/>
      <c r="BB1" s="390"/>
      <c r="BC1" s="390"/>
      <c r="BD1" s="390"/>
      <c r="BE1" s="390"/>
      <c r="BF1" s="390"/>
      <c r="BG1" s="390"/>
      <c r="BH1" s="390"/>
      <c r="BI1" s="390"/>
      <c r="BJ1" s="390"/>
      <c r="BK1" s="390"/>
      <c r="BL1" s="390"/>
      <c r="BM1" s="390"/>
      <c r="BN1" s="390"/>
      <c r="BO1" s="390"/>
      <c r="BP1" s="390"/>
      <c r="BQ1" s="390"/>
      <c r="BR1" s="390"/>
      <c r="BS1" s="390"/>
      <c r="BT1" s="390"/>
      <c r="BU1" s="390"/>
      <c r="BV1" s="390"/>
      <c r="BW1" s="390"/>
      <c r="BX1" s="390"/>
      <c r="BY1" s="390"/>
      <c r="BZ1" s="390"/>
      <c r="CA1" s="390"/>
      <c r="CB1" s="390"/>
      <c r="CC1" s="390"/>
      <c r="CD1" s="390"/>
      <c r="CE1" s="390"/>
      <c r="CF1" s="390"/>
      <c r="CG1" s="390"/>
      <c r="CH1" s="390"/>
      <c r="CI1" s="390"/>
      <c r="CJ1" s="390"/>
      <c r="CK1" s="390"/>
      <c r="CL1" s="390"/>
      <c r="CM1" s="390"/>
      <c r="CN1" s="390"/>
      <c r="CO1" s="390"/>
      <c r="CP1" s="390"/>
      <c r="CQ1" s="390"/>
      <c r="CR1" s="390"/>
      <c r="CS1" s="390"/>
      <c r="CT1" s="390"/>
      <c r="CU1" s="390"/>
      <c r="CV1" s="390"/>
      <c r="CW1" s="390"/>
      <c r="CX1" s="390"/>
      <c r="CY1" s="390"/>
      <c r="CZ1" s="390"/>
      <c r="DA1" s="390"/>
      <c r="DB1" s="390"/>
      <c r="DC1" s="390"/>
      <c r="DD1" s="390"/>
      <c r="DE1" s="390"/>
      <c r="DF1" s="390"/>
      <c r="DG1" s="390"/>
      <c r="DH1" s="390"/>
      <c r="DI1" s="390"/>
      <c r="DJ1" s="390"/>
      <c r="DK1" s="390"/>
      <c r="DL1" s="390"/>
      <c r="DM1" s="390"/>
      <c r="DN1" s="390"/>
      <c r="DO1" s="390"/>
      <c r="DP1" s="390"/>
      <c r="DQ1" s="390"/>
      <c r="DR1" s="390"/>
      <c r="DS1" s="390"/>
      <c r="DT1" s="390"/>
      <c r="DU1" s="390"/>
      <c r="DV1" s="390"/>
      <c r="DW1" s="390"/>
      <c r="DX1" s="390"/>
      <c r="DY1" s="390"/>
      <c r="DZ1" s="390"/>
      <c r="EA1" s="390"/>
      <c r="EB1" s="390"/>
      <c r="EC1" s="390"/>
      <c r="ED1" s="390"/>
      <c r="EE1" s="390"/>
      <c r="EF1" s="390"/>
      <c r="EG1" s="390"/>
      <c r="EH1" s="390"/>
      <c r="EI1" s="390"/>
      <c r="EJ1" s="390"/>
      <c r="EK1" s="390"/>
      <c r="EL1" s="390"/>
      <c r="EM1" s="390"/>
      <c r="EN1" s="390"/>
      <c r="EO1" s="390"/>
      <c r="EP1" s="390"/>
      <c r="EQ1" s="390"/>
      <c r="ER1" s="390"/>
      <c r="ES1" s="390"/>
      <c r="ET1" s="390"/>
      <c r="EU1" s="390"/>
      <c r="EV1" s="390"/>
      <c r="EW1" s="390"/>
      <c r="EX1" s="390"/>
      <c r="EY1" s="390"/>
      <c r="EZ1" s="390"/>
      <c r="FA1" s="390"/>
      <c r="FB1" s="390"/>
      <c r="FC1" s="390"/>
      <c r="FD1" s="390"/>
      <c r="FE1" s="390"/>
      <c r="FF1" s="390"/>
      <c r="FG1" s="390"/>
      <c r="FH1" s="390"/>
      <c r="FI1" s="390"/>
      <c r="FJ1" s="390"/>
      <c r="FK1" s="390"/>
      <c r="FL1" s="390"/>
      <c r="FM1" s="390"/>
      <c r="FN1" s="390"/>
      <c r="FO1" s="390"/>
      <c r="FP1" s="390"/>
      <c r="FQ1" s="390"/>
      <c r="FR1" s="390"/>
      <c r="FS1" s="390"/>
      <c r="FT1" s="390"/>
      <c r="FU1" s="390"/>
      <c r="FV1" s="390"/>
      <c r="FW1" s="390"/>
      <c r="FX1" s="390"/>
      <c r="FY1" s="390"/>
      <c r="FZ1" s="390"/>
      <c r="GA1" s="390"/>
      <c r="GB1" s="390"/>
      <c r="GC1" s="390"/>
      <c r="GD1" s="390"/>
      <c r="GE1" s="390"/>
      <c r="GF1" s="390"/>
      <c r="GG1" s="390"/>
      <c r="GH1" s="390"/>
      <c r="GI1" s="390"/>
      <c r="GJ1" s="390"/>
      <c r="GK1" s="390"/>
      <c r="GL1" s="390"/>
      <c r="GM1" s="390"/>
      <c r="GN1" s="390"/>
      <c r="GO1" s="390"/>
      <c r="GP1" s="390"/>
      <c r="GQ1" s="390"/>
      <c r="GR1" s="390"/>
      <c r="GS1" s="390"/>
      <c r="GT1" s="390"/>
      <c r="GU1" s="390"/>
      <c r="GV1" s="390"/>
      <c r="GW1" s="390"/>
      <c r="GX1" s="390"/>
      <c r="GY1" s="390"/>
      <c r="GZ1" s="390"/>
      <c r="HA1" s="390"/>
      <c r="HB1" s="390"/>
      <c r="HC1" s="390"/>
      <c r="HD1" s="390"/>
      <c r="HE1" s="390"/>
      <c r="HF1" s="390"/>
      <c r="HG1" s="390"/>
      <c r="HH1" s="390"/>
      <c r="HI1" s="390"/>
      <c r="HJ1" s="390"/>
      <c r="HK1" s="390"/>
      <c r="HL1" s="390"/>
      <c r="HM1" s="390"/>
      <c r="HN1" s="390"/>
      <c r="HO1" s="390"/>
      <c r="HP1" s="390"/>
      <c r="HQ1" s="390"/>
      <c r="HR1" s="390"/>
      <c r="HS1" s="390"/>
      <c r="HT1" s="390"/>
      <c r="HU1" s="390"/>
      <c r="HV1" s="390"/>
      <c r="HW1" s="390"/>
      <c r="HX1" s="390"/>
      <c r="HY1" s="390"/>
      <c r="HZ1" s="390"/>
      <c r="IA1" s="390"/>
      <c r="IB1" s="390"/>
      <c r="IC1" s="390"/>
      <c r="ID1" s="390"/>
      <c r="IE1" s="390"/>
      <c r="IF1" s="390"/>
      <c r="IG1" s="390"/>
      <c r="IH1" s="390"/>
      <c r="II1" s="390"/>
      <c r="IJ1" s="390"/>
      <c r="IK1" s="390"/>
      <c r="IL1" s="390"/>
      <c r="IM1" s="390"/>
      <c r="IN1" s="390"/>
      <c r="IO1" s="390"/>
      <c r="IP1" s="390"/>
      <c r="IQ1" s="390"/>
      <c r="IR1" s="390"/>
      <c r="IS1" s="390"/>
      <c r="IT1" s="390"/>
      <c r="IU1" s="390"/>
      <c r="IV1" s="390"/>
      <c r="IW1" s="390"/>
    </row>
    <row r="2" spans="1:257" s="386" customFormat="1" ht="12.75" customHeight="1">
      <c r="A2" s="699"/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  <c r="Y2" s="699"/>
      <c r="Z2" s="699"/>
      <c r="AA2" s="699"/>
      <c r="AB2" s="699"/>
      <c r="AC2" s="699"/>
      <c r="AD2" s="699"/>
      <c r="AE2" s="699"/>
      <c r="AF2" s="699"/>
      <c r="AG2" s="699"/>
      <c r="AH2" s="699"/>
      <c r="AI2" s="699"/>
      <c r="AJ2" s="699"/>
      <c r="AK2" s="699"/>
      <c r="AL2" s="699"/>
      <c r="AM2" s="699"/>
      <c r="AN2" s="699"/>
      <c r="AO2" s="390"/>
      <c r="AP2" s="390"/>
      <c r="AQ2" s="390"/>
      <c r="AR2" s="390"/>
      <c r="AS2" s="390"/>
      <c r="AT2" s="390"/>
      <c r="AU2" s="390"/>
      <c r="AV2" s="390"/>
      <c r="AW2" s="390"/>
      <c r="AX2" s="390"/>
      <c r="AY2" s="390"/>
      <c r="AZ2" s="390"/>
      <c r="BA2" s="390"/>
      <c r="BB2" s="390"/>
      <c r="BC2" s="390"/>
      <c r="BD2" s="390"/>
      <c r="BE2" s="390"/>
      <c r="BF2" s="390"/>
      <c r="BG2" s="390"/>
      <c r="BH2" s="390"/>
      <c r="BI2" s="390"/>
      <c r="BJ2" s="390"/>
      <c r="BK2" s="390"/>
      <c r="BL2" s="390"/>
      <c r="BM2" s="390"/>
      <c r="BN2" s="390"/>
      <c r="BO2" s="390"/>
      <c r="BP2" s="390"/>
      <c r="BQ2" s="390"/>
      <c r="BR2" s="390"/>
      <c r="BS2" s="390"/>
      <c r="BT2" s="390"/>
      <c r="BU2" s="390"/>
      <c r="BV2" s="390"/>
      <c r="BW2" s="390"/>
      <c r="BX2" s="390"/>
      <c r="BY2" s="390"/>
      <c r="BZ2" s="390"/>
      <c r="CA2" s="390"/>
      <c r="CB2" s="390"/>
      <c r="CC2" s="390"/>
      <c r="CD2" s="390"/>
      <c r="CE2" s="390"/>
      <c r="CF2" s="390"/>
      <c r="CG2" s="390"/>
      <c r="CH2" s="390"/>
      <c r="CI2" s="390"/>
      <c r="CJ2" s="390"/>
      <c r="CK2" s="390"/>
      <c r="CL2" s="390"/>
      <c r="CM2" s="390"/>
      <c r="CN2" s="390"/>
      <c r="CO2" s="390"/>
      <c r="CP2" s="390"/>
      <c r="CQ2" s="390"/>
      <c r="CR2" s="390"/>
      <c r="CS2" s="390"/>
      <c r="CT2" s="390"/>
      <c r="CU2" s="390"/>
      <c r="CV2" s="390"/>
      <c r="CW2" s="390"/>
      <c r="CX2" s="390"/>
      <c r="CY2" s="390"/>
      <c r="CZ2" s="390"/>
      <c r="DA2" s="390"/>
      <c r="DB2" s="390"/>
      <c r="DC2" s="390"/>
      <c r="DD2" s="390"/>
      <c r="DE2" s="390"/>
      <c r="DF2" s="390"/>
      <c r="DG2" s="390"/>
      <c r="DH2" s="390"/>
      <c r="DI2" s="390"/>
      <c r="DJ2" s="390"/>
      <c r="DK2" s="390"/>
      <c r="DL2" s="390"/>
      <c r="DM2" s="390"/>
      <c r="DN2" s="390"/>
      <c r="DO2" s="390"/>
      <c r="DP2" s="390"/>
      <c r="DQ2" s="390"/>
      <c r="DR2" s="390"/>
      <c r="DS2" s="390"/>
      <c r="DT2" s="390"/>
      <c r="DU2" s="390"/>
      <c r="DV2" s="390"/>
      <c r="DW2" s="390"/>
      <c r="DX2" s="390"/>
      <c r="DY2" s="390"/>
      <c r="DZ2" s="390"/>
      <c r="EA2" s="390"/>
      <c r="EB2" s="390"/>
      <c r="EC2" s="390"/>
      <c r="ED2" s="390"/>
      <c r="EE2" s="390"/>
      <c r="EF2" s="390"/>
      <c r="EG2" s="390"/>
      <c r="EH2" s="390"/>
      <c r="EI2" s="390"/>
      <c r="EJ2" s="390"/>
      <c r="EK2" s="390"/>
      <c r="EL2" s="390"/>
      <c r="EM2" s="390"/>
      <c r="EN2" s="390"/>
      <c r="EO2" s="390"/>
      <c r="EP2" s="390"/>
      <c r="EQ2" s="390"/>
      <c r="ER2" s="390"/>
      <c r="ES2" s="390"/>
      <c r="ET2" s="390"/>
      <c r="EU2" s="390"/>
      <c r="EV2" s="390"/>
      <c r="EW2" s="390"/>
      <c r="EX2" s="390"/>
      <c r="EY2" s="390"/>
      <c r="EZ2" s="390"/>
      <c r="FA2" s="390"/>
      <c r="FB2" s="390"/>
      <c r="FC2" s="390"/>
      <c r="FD2" s="390"/>
      <c r="FE2" s="390"/>
      <c r="FF2" s="390"/>
      <c r="FG2" s="390"/>
      <c r="FH2" s="390"/>
      <c r="FI2" s="390"/>
      <c r="FJ2" s="390"/>
      <c r="FK2" s="390"/>
      <c r="FL2" s="390"/>
      <c r="FM2" s="390"/>
      <c r="FN2" s="390"/>
      <c r="FO2" s="390"/>
      <c r="FP2" s="390"/>
      <c r="FQ2" s="390"/>
      <c r="FR2" s="390"/>
      <c r="FS2" s="390"/>
      <c r="FT2" s="390"/>
      <c r="FU2" s="390"/>
      <c r="FV2" s="390"/>
      <c r="FW2" s="390"/>
      <c r="FX2" s="390"/>
      <c r="FY2" s="390"/>
      <c r="FZ2" s="390"/>
      <c r="GA2" s="390"/>
      <c r="GB2" s="390"/>
      <c r="GC2" s="390"/>
      <c r="GD2" s="390"/>
      <c r="GE2" s="390"/>
      <c r="GF2" s="390"/>
      <c r="GG2" s="390"/>
      <c r="GH2" s="390"/>
      <c r="GI2" s="390"/>
      <c r="GJ2" s="390"/>
      <c r="GK2" s="390"/>
      <c r="GL2" s="390"/>
      <c r="GM2" s="390"/>
      <c r="GN2" s="390"/>
      <c r="GO2" s="390"/>
      <c r="GP2" s="390"/>
      <c r="GQ2" s="390"/>
      <c r="GR2" s="390"/>
      <c r="GS2" s="390"/>
      <c r="GT2" s="390"/>
      <c r="GU2" s="390"/>
      <c r="GV2" s="390"/>
      <c r="GW2" s="390"/>
      <c r="GX2" s="390"/>
      <c r="GY2" s="390"/>
      <c r="GZ2" s="390"/>
      <c r="HA2" s="390"/>
      <c r="HB2" s="390"/>
      <c r="HC2" s="390"/>
      <c r="HD2" s="390"/>
      <c r="HE2" s="390"/>
      <c r="HF2" s="390"/>
      <c r="HG2" s="390"/>
      <c r="HH2" s="390"/>
      <c r="HI2" s="390"/>
      <c r="HJ2" s="390"/>
      <c r="HK2" s="390"/>
      <c r="HL2" s="390"/>
      <c r="HM2" s="390"/>
      <c r="HN2" s="390"/>
      <c r="HO2" s="390"/>
      <c r="HP2" s="390"/>
      <c r="HQ2" s="390"/>
      <c r="HR2" s="390"/>
      <c r="HS2" s="390"/>
      <c r="HT2" s="390"/>
      <c r="HU2" s="390"/>
      <c r="HV2" s="390"/>
      <c r="HW2" s="390"/>
      <c r="HX2" s="390"/>
      <c r="HY2" s="390"/>
      <c r="HZ2" s="390"/>
      <c r="IA2" s="390"/>
      <c r="IB2" s="390"/>
      <c r="IC2" s="390"/>
      <c r="ID2" s="390"/>
      <c r="IE2" s="390"/>
      <c r="IF2" s="390"/>
      <c r="IG2" s="390"/>
      <c r="IH2" s="390"/>
      <c r="II2" s="390"/>
      <c r="IJ2" s="390"/>
      <c r="IK2" s="390"/>
      <c r="IL2" s="390"/>
      <c r="IM2" s="390"/>
      <c r="IN2" s="390"/>
      <c r="IO2" s="390"/>
      <c r="IP2" s="390"/>
      <c r="IQ2" s="390"/>
      <c r="IR2" s="390"/>
      <c r="IS2" s="390"/>
      <c r="IT2" s="390"/>
      <c r="IU2" s="390"/>
      <c r="IV2" s="390"/>
      <c r="IW2" s="390"/>
    </row>
    <row r="3" spans="1:257" s="435" customFormat="1" ht="12.75" customHeight="1">
      <c r="A3" s="391"/>
      <c r="B3" s="391"/>
      <c r="C3" s="391"/>
      <c r="D3" s="391"/>
      <c r="E3" s="391"/>
      <c r="F3" s="391"/>
      <c r="G3" s="391"/>
      <c r="H3" s="391"/>
      <c r="I3" s="391"/>
      <c r="J3" s="433" t="s">
        <v>1244</v>
      </c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1"/>
      <c r="AL3" s="391"/>
      <c r="AM3" s="391"/>
      <c r="AN3" s="391"/>
      <c r="AO3" s="392"/>
      <c r="AP3" s="392"/>
      <c r="AQ3" s="392"/>
      <c r="AR3" s="392"/>
      <c r="AS3" s="392"/>
      <c r="AT3" s="392"/>
      <c r="AU3" s="392"/>
      <c r="AV3" s="392"/>
      <c r="AW3" s="392"/>
      <c r="AX3" s="392"/>
      <c r="AY3" s="392"/>
      <c r="AZ3" s="392"/>
      <c r="BA3" s="392"/>
      <c r="BB3" s="392"/>
      <c r="BC3" s="392"/>
      <c r="BD3" s="392"/>
      <c r="BE3" s="392"/>
      <c r="BF3" s="392"/>
      <c r="BG3" s="392"/>
      <c r="BH3" s="392"/>
      <c r="BI3" s="392"/>
      <c r="BJ3" s="392"/>
      <c r="BK3" s="392"/>
      <c r="BL3" s="392"/>
      <c r="BM3" s="392"/>
      <c r="BN3" s="392"/>
      <c r="BO3" s="392"/>
      <c r="BP3" s="392"/>
      <c r="BQ3" s="392"/>
      <c r="BR3" s="392"/>
      <c r="BS3" s="392"/>
      <c r="BT3" s="392"/>
      <c r="BU3" s="392"/>
      <c r="BV3" s="392"/>
      <c r="BW3" s="392"/>
      <c r="BX3" s="392"/>
      <c r="BY3" s="392"/>
      <c r="BZ3" s="392"/>
      <c r="CA3" s="392"/>
      <c r="CB3" s="392"/>
      <c r="CC3" s="392"/>
      <c r="CD3" s="392"/>
      <c r="CE3" s="392"/>
      <c r="CF3" s="392"/>
      <c r="CG3" s="392"/>
      <c r="CH3" s="392"/>
      <c r="CI3" s="392"/>
      <c r="CJ3" s="392"/>
      <c r="CK3" s="392"/>
      <c r="CL3" s="392"/>
      <c r="CM3" s="392"/>
      <c r="CN3" s="392"/>
      <c r="CO3" s="392"/>
      <c r="CP3" s="392"/>
      <c r="CQ3" s="392"/>
      <c r="CR3" s="392"/>
      <c r="CS3" s="392"/>
      <c r="CT3" s="392"/>
      <c r="CU3" s="392"/>
      <c r="CV3" s="392"/>
      <c r="CW3" s="392"/>
      <c r="CX3" s="392"/>
      <c r="CY3" s="392"/>
      <c r="CZ3" s="392"/>
      <c r="DA3" s="392"/>
      <c r="DB3" s="392"/>
      <c r="DC3" s="392"/>
      <c r="DD3" s="392"/>
      <c r="DE3" s="392"/>
      <c r="DF3" s="392"/>
      <c r="DG3" s="392"/>
      <c r="DH3" s="392"/>
      <c r="DI3" s="392"/>
      <c r="DJ3" s="392"/>
      <c r="DK3" s="392"/>
      <c r="DL3" s="392"/>
      <c r="DM3" s="392"/>
      <c r="DN3" s="392"/>
      <c r="DO3" s="392"/>
      <c r="DP3" s="392"/>
      <c r="DQ3" s="392"/>
      <c r="DR3" s="392"/>
      <c r="DS3" s="392"/>
      <c r="DT3" s="392"/>
      <c r="DU3" s="392"/>
      <c r="DV3" s="392"/>
      <c r="DW3" s="392"/>
      <c r="DX3" s="392"/>
      <c r="DY3" s="392"/>
      <c r="DZ3" s="392"/>
      <c r="EA3" s="392"/>
      <c r="EB3" s="392"/>
      <c r="EC3" s="392"/>
      <c r="ED3" s="392"/>
      <c r="EE3" s="392"/>
      <c r="EF3" s="392"/>
      <c r="EG3" s="392"/>
      <c r="EH3" s="392"/>
      <c r="EI3" s="392"/>
      <c r="EJ3" s="392"/>
      <c r="EK3" s="392"/>
      <c r="EL3" s="392"/>
      <c r="EM3" s="392"/>
      <c r="EN3" s="392"/>
      <c r="EO3" s="392"/>
      <c r="EP3" s="392"/>
      <c r="EQ3" s="392"/>
      <c r="ER3" s="392"/>
      <c r="ES3" s="392"/>
      <c r="ET3" s="392"/>
      <c r="EU3" s="392"/>
      <c r="EV3" s="392"/>
      <c r="EW3" s="392"/>
      <c r="EX3" s="392"/>
      <c r="EY3" s="392"/>
      <c r="EZ3" s="392"/>
      <c r="FA3" s="392"/>
      <c r="FB3" s="392"/>
      <c r="FC3" s="392"/>
      <c r="FD3" s="392"/>
      <c r="FE3" s="392"/>
      <c r="FF3" s="392"/>
      <c r="FG3" s="392"/>
      <c r="FH3" s="392"/>
      <c r="FI3" s="392"/>
      <c r="FJ3" s="392"/>
      <c r="FK3" s="392"/>
      <c r="FL3" s="392"/>
      <c r="FM3" s="392"/>
      <c r="FN3" s="392"/>
      <c r="FO3" s="392"/>
      <c r="FP3" s="392"/>
      <c r="FQ3" s="392"/>
      <c r="FR3" s="392"/>
      <c r="FS3" s="392"/>
      <c r="FT3" s="392"/>
      <c r="FU3" s="392"/>
      <c r="FV3" s="392"/>
      <c r="FW3" s="392"/>
      <c r="FX3" s="392"/>
      <c r="FY3" s="392"/>
      <c r="FZ3" s="392"/>
      <c r="GA3" s="392"/>
      <c r="GB3" s="392"/>
      <c r="GC3" s="392"/>
      <c r="GD3" s="392"/>
      <c r="GE3" s="392"/>
      <c r="GF3" s="392"/>
      <c r="GG3" s="392"/>
      <c r="GH3" s="392"/>
      <c r="GI3" s="392"/>
      <c r="GJ3" s="392"/>
      <c r="GK3" s="392"/>
      <c r="GL3" s="392"/>
      <c r="GM3" s="392"/>
      <c r="GN3" s="392"/>
      <c r="GO3" s="392"/>
      <c r="GP3" s="392"/>
      <c r="GQ3" s="392"/>
      <c r="GR3" s="392"/>
      <c r="GS3" s="392"/>
      <c r="GT3" s="392"/>
      <c r="GU3" s="392"/>
      <c r="GV3" s="392"/>
      <c r="GW3" s="392"/>
      <c r="GX3" s="392"/>
      <c r="GY3" s="392"/>
      <c r="GZ3" s="392"/>
      <c r="HA3" s="392"/>
      <c r="HB3" s="392"/>
      <c r="HC3" s="392"/>
      <c r="HD3" s="392"/>
      <c r="HE3" s="392"/>
      <c r="HF3" s="392"/>
      <c r="HG3" s="392"/>
      <c r="HH3" s="392"/>
      <c r="HI3" s="392"/>
      <c r="HJ3" s="392"/>
      <c r="HK3" s="392"/>
      <c r="HL3" s="392"/>
      <c r="HM3" s="392"/>
      <c r="HN3" s="392"/>
      <c r="HO3" s="392"/>
      <c r="HP3" s="392"/>
      <c r="HQ3" s="392"/>
      <c r="HR3" s="392"/>
      <c r="HS3" s="392"/>
      <c r="HT3" s="392"/>
      <c r="HU3" s="392"/>
      <c r="HV3" s="392"/>
      <c r="HW3" s="392"/>
      <c r="HX3" s="392"/>
      <c r="HY3" s="392"/>
      <c r="HZ3" s="392"/>
      <c r="IA3" s="392"/>
      <c r="IB3" s="392"/>
      <c r="IC3" s="392"/>
      <c r="ID3" s="392"/>
      <c r="IE3" s="392"/>
      <c r="IF3" s="392"/>
      <c r="IG3" s="392"/>
      <c r="IH3" s="392"/>
      <c r="II3" s="392"/>
      <c r="IJ3" s="392"/>
      <c r="IK3" s="392"/>
      <c r="IL3" s="392"/>
      <c r="IM3" s="392"/>
      <c r="IN3" s="392"/>
      <c r="IO3" s="392"/>
      <c r="IP3" s="392"/>
      <c r="IQ3" s="392"/>
      <c r="IR3" s="392"/>
      <c r="IS3" s="392"/>
      <c r="IT3" s="392"/>
      <c r="IU3" s="392"/>
      <c r="IV3" s="392"/>
      <c r="IW3" s="392"/>
    </row>
    <row r="4" spans="1:257" ht="12.75" customHeight="1">
      <c r="A4" s="232"/>
      <c r="B4" s="700" t="s">
        <v>25</v>
      </c>
      <c r="C4" s="700"/>
      <c r="D4" s="700"/>
      <c r="E4" s="700"/>
      <c r="F4" s="700"/>
      <c r="G4" s="700"/>
      <c r="H4" s="700"/>
      <c r="I4" s="700"/>
      <c r="J4" s="734" t="str">
        <f>+'Page de garde'!L35</f>
        <v>SOCIETE NOUVELLE DES SALINS DU SINE SALOUM</v>
      </c>
      <c r="K4" s="735"/>
      <c r="L4" s="735"/>
      <c r="M4" s="735"/>
      <c r="N4" s="735"/>
      <c r="O4" s="735"/>
      <c r="P4" s="735"/>
      <c r="Q4" s="735"/>
      <c r="R4" s="735"/>
      <c r="S4" s="735"/>
      <c r="T4" s="735"/>
      <c r="U4" s="735"/>
      <c r="V4" s="735"/>
      <c r="W4" s="735"/>
      <c r="X4" s="735"/>
      <c r="Y4" s="735"/>
      <c r="Z4" s="735"/>
      <c r="AA4" s="735"/>
      <c r="AB4" s="735"/>
      <c r="AC4" s="735"/>
      <c r="AD4" s="735"/>
      <c r="AE4" s="735"/>
      <c r="AF4" s="735"/>
      <c r="AG4" s="735"/>
      <c r="AH4" s="735"/>
      <c r="AI4" s="735"/>
      <c r="AJ4" s="735"/>
      <c r="AK4" s="735"/>
      <c r="AL4" s="735"/>
      <c r="AM4" s="735"/>
    </row>
    <row r="5" spans="1:257" ht="12.75" customHeight="1">
      <c r="A5" s="5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226"/>
    </row>
    <row r="6" spans="1:257" ht="12.75" customHeight="1">
      <c r="A6" s="5"/>
      <c r="B6" s="226"/>
      <c r="C6" s="226"/>
      <c r="D6" s="226"/>
      <c r="E6" s="226"/>
      <c r="F6" s="226"/>
      <c r="G6" s="226"/>
      <c r="H6" s="226"/>
      <c r="I6" s="226"/>
      <c r="J6" s="434" t="s">
        <v>1246</v>
      </c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434" t="s">
        <v>1245</v>
      </c>
      <c r="AE6" s="226"/>
      <c r="AF6" s="226"/>
      <c r="AG6" s="226"/>
      <c r="AH6" s="226"/>
      <c r="AI6" s="226"/>
      <c r="AJ6" s="226"/>
      <c r="AK6" s="226"/>
      <c r="AL6" s="226"/>
      <c r="AM6" s="226"/>
    </row>
    <row r="7" spans="1:257" ht="12.75" customHeight="1">
      <c r="A7" s="232"/>
      <c r="B7" s="226"/>
      <c r="C7" s="700" t="s">
        <v>26</v>
      </c>
      <c r="D7" s="700"/>
      <c r="E7" s="700"/>
      <c r="F7" s="700"/>
      <c r="G7" s="700"/>
      <c r="H7" s="700"/>
      <c r="I7" s="700"/>
      <c r="J7" s="734" t="str">
        <f>'Page de garde'!J46</f>
        <v>DIORHANE BP 200</v>
      </c>
      <c r="K7" s="735"/>
      <c r="L7" s="735"/>
      <c r="M7" s="735"/>
      <c r="N7" s="735"/>
      <c r="O7" s="735"/>
      <c r="P7" s="735"/>
      <c r="Q7" s="735"/>
      <c r="R7" s="735"/>
      <c r="S7" s="735"/>
      <c r="T7" s="735"/>
      <c r="U7" s="735"/>
      <c r="V7" s="735"/>
      <c r="W7" s="735"/>
      <c r="X7" s="735"/>
      <c r="Y7" s="735"/>
      <c r="Z7" s="226"/>
      <c r="AA7" s="712" t="s">
        <v>27</v>
      </c>
      <c r="AB7" s="712"/>
      <c r="AC7" s="712"/>
      <c r="AD7" s="734" t="str">
        <f>+'Page de garde'!H41</f>
        <v>SNSSS</v>
      </c>
      <c r="AE7" s="735"/>
      <c r="AF7" s="735"/>
      <c r="AG7" s="735"/>
      <c r="AH7" s="735"/>
      <c r="AI7" s="735"/>
      <c r="AJ7" s="735"/>
      <c r="AK7" s="735"/>
      <c r="AL7" s="735"/>
      <c r="AM7" s="735"/>
    </row>
    <row r="8" spans="1:257" ht="7.9" customHeight="1">
      <c r="A8" s="5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</row>
    <row r="9" spans="1:257" ht="12.75" customHeight="1">
      <c r="A9" s="5"/>
      <c r="B9" s="226"/>
      <c r="C9" s="226"/>
      <c r="D9" s="226"/>
      <c r="E9" s="226"/>
      <c r="F9" s="226"/>
      <c r="G9" s="226"/>
      <c r="H9" s="226"/>
      <c r="I9" s="226"/>
      <c r="J9" s="434" t="s">
        <v>1247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</row>
    <row r="10" spans="1:257" ht="12.75" customHeight="1">
      <c r="A10" s="232"/>
      <c r="B10" s="226"/>
      <c r="C10" s="226"/>
      <c r="D10" s="700" t="s">
        <v>28</v>
      </c>
      <c r="E10" s="700"/>
      <c r="F10" s="700"/>
      <c r="G10" s="700"/>
      <c r="H10" s="700"/>
      <c r="I10" s="700"/>
      <c r="J10" s="734" t="str">
        <f>+'Page de garde'!N51</f>
        <v>000018699</v>
      </c>
      <c r="K10" s="735"/>
      <c r="L10" s="735"/>
      <c r="M10" s="735"/>
      <c r="N10" s="735"/>
      <c r="O10" s="735"/>
      <c r="P10" s="735"/>
      <c r="Q10" s="226"/>
      <c r="R10" s="700" t="s">
        <v>29</v>
      </c>
      <c r="S10" s="700"/>
      <c r="T10" s="700"/>
      <c r="U10" s="700"/>
      <c r="V10" s="736">
        <f>+'Page de garde'!M27</f>
        <v>45657</v>
      </c>
      <c r="W10" s="737"/>
      <c r="X10" s="737"/>
      <c r="Y10" s="737"/>
      <c r="Z10" s="737"/>
      <c r="AA10" s="737"/>
      <c r="AB10" s="737"/>
      <c r="AC10" s="700" t="s">
        <v>30</v>
      </c>
      <c r="AD10" s="700"/>
      <c r="AE10" s="700"/>
      <c r="AF10" s="700"/>
      <c r="AG10" s="700"/>
      <c r="AH10" s="734">
        <v>12</v>
      </c>
      <c r="AI10" s="735"/>
      <c r="AJ10" s="735"/>
      <c r="AK10" s="735"/>
      <c r="AL10" s="735"/>
      <c r="AM10" s="735"/>
    </row>
    <row r="11" spans="1:257" ht="12.75" customHeight="1">
      <c r="A11" s="5"/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</row>
    <row r="12" spans="1:257" ht="12.75" customHeight="1">
      <c r="A12" s="5"/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</row>
    <row r="13" spans="1:257" ht="12.75" customHeight="1">
      <c r="A13" s="232"/>
      <c r="B13" s="6" t="s">
        <v>31</v>
      </c>
      <c r="C13" s="226"/>
      <c r="D13" s="226"/>
      <c r="E13" s="700" t="s">
        <v>32</v>
      </c>
      <c r="F13" s="700"/>
      <c r="G13" s="700"/>
      <c r="H13" s="700"/>
      <c r="I13" s="700"/>
      <c r="J13" s="700"/>
      <c r="K13" s="700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700" t="s">
        <v>33</v>
      </c>
      <c r="X13" s="700"/>
      <c r="Y13" s="709">
        <v>45292</v>
      </c>
      <c r="Z13" s="710"/>
      <c r="AA13" s="710"/>
      <c r="AB13" s="710"/>
      <c r="AC13" s="710"/>
      <c r="AD13" s="711"/>
      <c r="AE13" s="226"/>
      <c r="AF13" s="700" t="s">
        <v>34</v>
      </c>
      <c r="AG13" s="700"/>
      <c r="AH13" s="709">
        <v>45657</v>
      </c>
      <c r="AI13" s="710"/>
      <c r="AJ13" s="710"/>
      <c r="AK13" s="710"/>
      <c r="AL13" s="710"/>
      <c r="AM13" s="711"/>
    </row>
    <row r="14" spans="1:257" ht="7.9" customHeight="1">
      <c r="A14" s="5"/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</row>
    <row r="15" spans="1:257" ht="12.75" customHeight="1">
      <c r="A15" s="5"/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</row>
    <row r="16" spans="1:257" ht="12.75" customHeight="1">
      <c r="A16" s="232"/>
      <c r="B16" s="6" t="s">
        <v>35</v>
      </c>
      <c r="C16" s="226"/>
      <c r="D16" s="226"/>
      <c r="E16" s="700" t="s">
        <v>36</v>
      </c>
      <c r="F16" s="700"/>
      <c r="G16" s="700"/>
      <c r="H16" s="700"/>
      <c r="I16" s="700"/>
      <c r="J16" s="700"/>
      <c r="K16" s="700"/>
      <c r="L16" s="700"/>
      <c r="M16" s="700"/>
      <c r="N16" s="700"/>
      <c r="O16" s="700"/>
      <c r="P16" s="700"/>
      <c r="Q16" s="226"/>
      <c r="R16" s="226"/>
      <c r="S16" s="226"/>
      <c r="T16" s="226"/>
      <c r="U16" s="709">
        <v>45657</v>
      </c>
      <c r="V16" s="710"/>
      <c r="W16" s="710"/>
      <c r="X16" s="710"/>
      <c r="Y16" s="710"/>
      <c r="Z16" s="711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</row>
    <row r="17" spans="1:39" ht="7.9" customHeight="1">
      <c r="A17" s="5"/>
      <c r="B17" s="226"/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</row>
    <row r="18" spans="1:39" ht="7.9" customHeight="1">
      <c r="A18" s="5"/>
      <c r="B18" s="226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</row>
    <row r="19" spans="1:39" ht="12.75" customHeight="1">
      <c r="A19" s="5"/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</row>
    <row r="20" spans="1:39" ht="12.75" customHeight="1">
      <c r="A20" s="232"/>
      <c r="B20" s="6" t="s">
        <v>37</v>
      </c>
      <c r="C20" s="226"/>
      <c r="D20" s="226"/>
      <c r="E20" s="700" t="s">
        <v>38</v>
      </c>
      <c r="F20" s="700"/>
      <c r="G20" s="700"/>
      <c r="H20" s="700"/>
      <c r="I20" s="700"/>
      <c r="J20" s="700"/>
      <c r="K20" s="700"/>
      <c r="L20" s="700"/>
      <c r="M20" s="700"/>
      <c r="N20" s="226"/>
      <c r="O20" s="226"/>
      <c r="P20" s="226"/>
      <c r="Q20" s="709">
        <v>45291</v>
      </c>
      <c r="R20" s="710"/>
      <c r="S20" s="710"/>
      <c r="T20" s="710"/>
      <c r="U20" s="710"/>
      <c r="V20" s="711"/>
      <c r="W20" s="226"/>
      <c r="X20" s="226"/>
      <c r="Y20" s="226"/>
      <c r="Z20" s="700" t="s">
        <v>39</v>
      </c>
      <c r="AA20" s="700"/>
      <c r="AB20" s="700"/>
      <c r="AC20" s="700"/>
      <c r="AD20" s="700"/>
      <c r="AE20" s="700"/>
      <c r="AF20" s="700"/>
      <c r="AG20" s="700"/>
      <c r="AH20" s="700"/>
      <c r="AI20" s="700"/>
      <c r="AJ20" s="700"/>
      <c r="AK20" s="700"/>
      <c r="AL20" s="720">
        <v>12</v>
      </c>
      <c r="AM20" s="717"/>
    </row>
    <row r="21" spans="1:39" ht="7.9" customHeight="1">
      <c r="A21" s="5"/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</row>
    <row r="22" spans="1:39" ht="7.9" customHeight="1">
      <c r="A22" s="5"/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</row>
    <row r="23" spans="1:39" ht="7.9" customHeight="1">
      <c r="A23" s="5"/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</row>
    <row r="24" spans="1:39" ht="12.75" customHeight="1">
      <c r="A24" s="232"/>
      <c r="B24" s="6" t="s">
        <v>40</v>
      </c>
      <c r="C24" s="226"/>
      <c r="D24" s="226"/>
      <c r="E24" s="226"/>
      <c r="F24" s="720" t="s">
        <v>1248</v>
      </c>
      <c r="G24" s="716"/>
      <c r="H24" s="716"/>
      <c r="I24" s="720" t="s">
        <v>1249</v>
      </c>
      <c r="J24" s="716"/>
      <c r="K24" s="716"/>
      <c r="L24" s="716"/>
      <c r="M24" s="716"/>
      <c r="N24" s="716"/>
      <c r="O24" s="716"/>
      <c r="P24" s="717"/>
      <c r="Q24" s="226"/>
      <c r="R24" s="226"/>
      <c r="S24" s="226"/>
      <c r="T24" s="226"/>
      <c r="U24" s="226"/>
      <c r="V24" s="226"/>
      <c r="W24" s="720" t="s">
        <v>829</v>
      </c>
      <c r="X24" s="716"/>
      <c r="Y24" s="716"/>
      <c r="Z24" s="716"/>
      <c r="AA24" s="716"/>
      <c r="AB24" s="716"/>
      <c r="AC24" s="716"/>
      <c r="AD24" s="716"/>
      <c r="AE24" s="716"/>
      <c r="AF24" s="716"/>
      <c r="AG24" s="716"/>
      <c r="AH24" s="716"/>
      <c r="AI24" s="716"/>
      <c r="AJ24" s="716"/>
      <c r="AK24" s="717"/>
      <c r="AL24" s="226"/>
      <c r="AM24" s="226"/>
    </row>
    <row r="25" spans="1:39" ht="12.75" customHeight="1">
      <c r="A25" s="5"/>
      <c r="B25" s="226"/>
      <c r="C25" s="226"/>
      <c r="D25" s="226"/>
      <c r="E25" s="226"/>
      <c r="F25" s="712" t="s">
        <v>41</v>
      </c>
      <c r="G25" s="712"/>
      <c r="H25" s="712"/>
      <c r="I25" s="712" t="s">
        <v>42</v>
      </c>
      <c r="J25" s="712"/>
      <c r="K25" s="712"/>
      <c r="L25" s="712"/>
      <c r="M25" s="712"/>
      <c r="N25" s="712"/>
      <c r="O25" s="712"/>
      <c r="P25" s="712"/>
      <c r="Q25" s="226"/>
      <c r="R25" s="226"/>
      <c r="S25" s="226"/>
      <c r="T25" s="226"/>
      <c r="U25" s="226"/>
      <c r="V25" s="226"/>
      <c r="W25" s="712" t="s">
        <v>43</v>
      </c>
      <c r="X25" s="712"/>
      <c r="Y25" s="712"/>
      <c r="Z25" s="712"/>
      <c r="AA25" s="712"/>
      <c r="AB25" s="712"/>
      <c r="AC25" s="712"/>
      <c r="AD25" s="712"/>
      <c r="AE25" s="712"/>
      <c r="AF25" s="712"/>
      <c r="AG25" s="712"/>
      <c r="AH25" s="712"/>
      <c r="AI25" s="712"/>
      <c r="AJ25" s="712"/>
      <c r="AK25" s="712"/>
      <c r="AL25" s="226"/>
      <c r="AM25" s="226"/>
    </row>
    <row r="26" spans="1:39" ht="7.9" customHeight="1">
      <c r="A26" s="5"/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</row>
    <row r="27" spans="1:39" ht="12.75" customHeight="1">
      <c r="A27" s="5"/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</row>
    <row r="28" spans="1:39" ht="12.75" customHeight="1">
      <c r="A28" s="232"/>
      <c r="B28" s="6" t="s">
        <v>44</v>
      </c>
      <c r="C28" s="226"/>
      <c r="D28" s="226"/>
      <c r="E28" s="226"/>
      <c r="F28" s="226"/>
      <c r="G28" s="720" t="s">
        <v>1250</v>
      </c>
      <c r="H28" s="716"/>
      <c r="I28" s="716"/>
      <c r="J28" s="716"/>
      <c r="K28" s="716"/>
      <c r="L28" s="716"/>
      <c r="M28" s="716"/>
      <c r="N28" s="717"/>
      <c r="O28" s="226"/>
      <c r="P28" s="226"/>
      <c r="Q28" s="226"/>
      <c r="R28" s="226"/>
      <c r="S28" s="720"/>
      <c r="T28" s="716"/>
      <c r="U28" s="716"/>
      <c r="V28" s="716"/>
      <c r="W28" s="716"/>
      <c r="X28" s="716"/>
      <c r="Y28" s="716"/>
      <c r="Z28" s="717"/>
      <c r="AA28" s="226"/>
      <c r="AB28" s="226"/>
      <c r="AC28" s="226"/>
      <c r="AD28" s="226"/>
      <c r="AE28" s="720" t="s">
        <v>1251</v>
      </c>
      <c r="AF28" s="716"/>
      <c r="AG28" s="716"/>
      <c r="AH28" s="716"/>
      <c r="AI28" s="716"/>
      <c r="AJ28" s="716"/>
      <c r="AK28" s="716"/>
      <c r="AL28" s="717"/>
      <c r="AM28" s="226"/>
    </row>
    <row r="29" spans="1:39" ht="12.75" customHeight="1">
      <c r="A29" s="5"/>
      <c r="B29" s="226"/>
      <c r="C29" s="226"/>
      <c r="D29" s="226"/>
      <c r="E29" s="226"/>
      <c r="F29" s="226"/>
      <c r="G29" s="712" t="s">
        <v>45</v>
      </c>
      <c r="H29" s="712"/>
      <c r="I29" s="712"/>
      <c r="J29" s="712"/>
      <c r="K29" s="712"/>
      <c r="L29" s="712"/>
      <c r="M29" s="712"/>
      <c r="N29" s="712"/>
      <c r="O29" s="226"/>
      <c r="P29" s="226"/>
      <c r="Q29" s="226"/>
      <c r="R29" s="226"/>
      <c r="S29" s="712" t="s">
        <v>46</v>
      </c>
      <c r="T29" s="712"/>
      <c r="U29" s="712"/>
      <c r="V29" s="712"/>
      <c r="W29" s="712"/>
      <c r="X29" s="712"/>
      <c r="Y29" s="712"/>
      <c r="Z29" s="712"/>
      <c r="AA29" s="226"/>
      <c r="AB29" s="226"/>
      <c r="AC29" s="226"/>
      <c r="AD29" s="226"/>
      <c r="AE29" s="712" t="s">
        <v>47</v>
      </c>
      <c r="AF29" s="712"/>
      <c r="AG29" s="712"/>
      <c r="AH29" s="712"/>
      <c r="AI29" s="712"/>
      <c r="AJ29" s="712"/>
      <c r="AK29" s="712"/>
      <c r="AL29" s="712"/>
      <c r="AM29" s="226"/>
    </row>
    <row r="30" spans="1:39" ht="7.9" customHeight="1">
      <c r="A30" s="5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</row>
    <row r="31" spans="1:39" ht="7.9" customHeight="1">
      <c r="A31" s="5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</row>
    <row r="32" spans="1:39" ht="12.75" customHeight="1">
      <c r="A32" s="232"/>
      <c r="B32" s="6" t="s">
        <v>48</v>
      </c>
      <c r="C32" s="226"/>
      <c r="D32" s="720" t="s">
        <v>1244</v>
      </c>
      <c r="E32" s="716"/>
      <c r="F32" s="716"/>
      <c r="G32" s="716"/>
      <c r="H32" s="716"/>
      <c r="I32" s="716"/>
      <c r="J32" s="716"/>
      <c r="K32" s="716"/>
      <c r="L32" s="716"/>
      <c r="M32" s="716"/>
      <c r="N32" s="716"/>
      <c r="O32" s="716"/>
      <c r="P32" s="716"/>
      <c r="Q32" s="716"/>
      <c r="R32" s="716"/>
      <c r="S32" s="716"/>
      <c r="T32" s="716"/>
      <c r="U32" s="716"/>
      <c r="V32" s="716"/>
      <c r="W32" s="716"/>
      <c r="X32" s="716"/>
      <c r="Y32" s="716"/>
      <c r="Z32" s="716"/>
      <c r="AA32" s="716"/>
      <c r="AB32" s="716"/>
      <c r="AC32" s="716"/>
      <c r="AD32" s="716"/>
      <c r="AE32" s="720" t="s">
        <v>1245</v>
      </c>
      <c r="AF32" s="716"/>
      <c r="AG32" s="716"/>
      <c r="AH32" s="716"/>
      <c r="AI32" s="716"/>
      <c r="AJ32" s="716"/>
      <c r="AK32" s="716"/>
      <c r="AL32" s="716"/>
      <c r="AM32" s="717"/>
    </row>
    <row r="33" spans="1:39" ht="12.75" customHeight="1">
      <c r="A33" s="5"/>
      <c r="B33" s="226"/>
      <c r="C33" s="226"/>
      <c r="D33" s="700" t="s">
        <v>25</v>
      </c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0"/>
      <c r="P33" s="700"/>
      <c r="Q33" s="700"/>
      <c r="R33" s="700"/>
      <c r="S33" s="700"/>
      <c r="T33" s="700"/>
      <c r="U33" s="700"/>
      <c r="V33" s="700"/>
      <c r="W33" s="700"/>
      <c r="X33" s="700"/>
      <c r="Y33" s="700"/>
      <c r="Z33" s="700"/>
      <c r="AA33" s="700"/>
      <c r="AB33" s="700"/>
      <c r="AC33" s="700"/>
      <c r="AD33" s="700"/>
      <c r="AE33" s="700" t="s">
        <v>49</v>
      </c>
      <c r="AF33" s="700"/>
      <c r="AG33" s="700"/>
      <c r="AH33" s="700"/>
      <c r="AI33" s="700"/>
      <c r="AJ33" s="700"/>
      <c r="AK33" s="700"/>
      <c r="AL33" s="700"/>
      <c r="AM33" s="700"/>
    </row>
    <row r="34" spans="1:39" ht="7.9" customHeight="1">
      <c r="A34" s="5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26"/>
    </row>
    <row r="35" spans="1:39" ht="7.9" customHeight="1">
      <c r="A35" s="5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</row>
    <row r="36" spans="1:39" ht="12.75" customHeight="1">
      <c r="A36" s="232"/>
      <c r="B36" s="6" t="s">
        <v>50</v>
      </c>
      <c r="C36" s="226"/>
      <c r="D36" s="226"/>
      <c r="E36" s="226"/>
      <c r="F36" s="226"/>
      <c r="G36" s="733" t="s">
        <v>1252</v>
      </c>
      <c r="H36" s="703"/>
      <c r="I36" s="703"/>
      <c r="J36" s="703"/>
      <c r="K36" s="703"/>
      <c r="L36" s="703"/>
      <c r="M36" s="703"/>
      <c r="N36" s="704"/>
      <c r="O36" s="226"/>
      <c r="P36" s="226"/>
      <c r="Q36" s="702"/>
      <c r="R36" s="703"/>
      <c r="S36" s="703"/>
      <c r="T36" s="703"/>
      <c r="U36" s="703"/>
      <c r="V36" s="704"/>
      <c r="W36" s="226"/>
      <c r="X36" s="226"/>
      <c r="Y36" s="724"/>
      <c r="Z36" s="717"/>
      <c r="AA36" s="720" t="s">
        <v>1253</v>
      </c>
      <c r="AB36" s="716"/>
      <c r="AC36" s="716"/>
      <c r="AD36" s="717"/>
      <c r="AE36" s="720" t="s">
        <v>1254</v>
      </c>
      <c r="AF36" s="716"/>
      <c r="AG36" s="716"/>
      <c r="AH36" s="716"/>
      <c r="AI36" s="716"/>
      <c r="AJ36" s="716"/>
      <c r="AK36" s="716"/>
      <c r="AL36" s="716"/>
      <c r="AM36" s="717"/>
    </row>
    <row r="37" spans="1:39" ht="12.75" customHeight="1">
      <c r="A37" s="5"/>
      <c r="B37" s="226"/>
      <c r="C37" s="226"/>
      <c r="D37" s="226"/>
      <c r="E37" s="226"/>
      <c r="F37" s="226"/>
      <c r="G37" s="700" t="s">
        <v>51</v>
      </c>
      <c r="H37" s="700"/>
      <c r="I37" s="700"/>
      <c r="J37" s="700"/>
      <c r="K37" s="700"/>
      <c r="L37" s="700"/>
      <c r="M37" s="700"/>
      <c r="N37" s="700"/>
      <c r="O37" s="226"/>
      <c r="P37" s="226"/>
      <c r="Q37" s="712" t="s">
        <v>52</v>
      </c>
      <c r="R37" s="712"/>
      <c r="S37" s="712"/>
      <c r="T37" s="712"/>
      <c r="U37" s="712"/>
      <c r="V37" s="712"/>
      <c r="W37" s="226"/>
      <c r="X37" s="226"/>
      <c r="Y37" s="712" t="s">
        <v>53</v>
      </c>
      <c r="Z37" s="712"/>
      <c r="AA37" s="712" t="s">
        <v>54</v>
      </c>
      <c r="AB37" s="712"/>
      <c r="AC37" s="712"/>
      <c r="AD37" s="712"/>
      <c r="AE37" s="712" t="s">
        <v>55</v>
      </c>
      <c r="AF37" s="712"/>
      <c r="AG37" s="712"/>
      <c r="AH37" s="712"/>
      <c r="AI37" s="712"/>
      <c r="AJ37" s="712"/>
      <c r="AK37" s="712"/>
      <c r="AL37" s="712"/>
      <c r="AM37" s="712"/>
    </row>
    <row r="38" spans="1:39" ht="7.9" customHeight="1">
      <c r="A38" s="5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</row>
    <row r="39" spans="1:39" ht="7.9" customHeight="1">
      <c r="A39" s="5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</row>
    <row r="40" spans="1:39" ht="12.75" customHeight="1">
      <c r="A40" s="232"/>
      <c r="B40" s="6" t="s">
        <v>56</v>
      </c>
      <c r="C40" s="226"/>
      <c r="D40" s="720" t="s">
        <v>1255</v>
      </c>
      <c r="E40" s="716"/>
      <c r="F40" s="716"/>
      <c r="G40" s="716"/>
      <c r="H40" s="716"/>
      <c r="I40" s="716"/>
      <c r="J40" s="716"/>
      <c r="K40" s="716"/>
      <c r="L40" s="716"/>
      <c r="M40" s="716"/>
      <c r="N40" s="716"/>
      <c r="O40" s="716"/>
      <c r="P40" s="716"/>
      <c r="Q40" s="716"/>
      <c r="R40" s="716"/>
      <c r="S40" s="716"/>
      <c r="T40" s="716"/>
      <c r="U40" s="716"/>
      <c r="V40" s="716"/>
      <c r="W40" s="716"/>
      <c r="X40" s="716"/>
      <c r="Y40" s="716"/>
      <c r="Z40" s="716"/>
      <c r="AA40" s="716"/>
      <c r="AB40" s="716"/>
      <c r="AC40" s="716"/>
      <c r="AD40" s="716"/>
      <c r="AE40" s="716"/>
      <c r="AF40" s="716"/>
      <c r="AG40" s="716"/>
      <c r="AH40" s="716"/>
      <c r="AI40" s="716"/>
      <c r="AJ40" s="716"/>
      <c r="AK40" s="716"/>
      <c r="AL40" s="716"/>
      <c r="AM40" s="717"/>
    </row>
    <row r="41" spans="1:39" ht="12.75" customHeight="1">
      <c r="A41" s="5"/>
      <c r="B41" s="226"/>
      <c r="C41" s="226"/>
      <c r="D41" s="700" t="s">
        <v>57</v>
      </c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0"/>
      <c r="V41" s="700"/>
      <c r="W41" s="700"/>
      <c r="X41" s="700"/>
      <c r="Y41" s="700"/>
      <c r="Z41" s="700"/>
      <c r="AA41" s="700"/>
      <c r="AB41" s="700"/>
      <c r="AC41" s="700"/>
      <c r="AD41" s="700"/>
      <c r="AE41" s="700"/>
      <c r="AF41" s="700"/>
      <c r="AG41" s="700"/>
      <c r="AH41" s="700"/>
      <c r="AI41" s="700"/>
      <c r="AJ41" s="700"/>
      <c r="AK41" s="700"/>
      <c r="AL41" s="700"/>
      <c r="AM41" s="700"/>
    </row>
    <row r="42" spans="1:39" ht="7.9" customHeight="1">
      <c r="A42" s="5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  <c r="AB42" s="226"/>
      <c r="AC42" s="226"/>
      <c r="AD42" s="226"/>
      <c r="AE42" s="226"/>
      <c r="AF42" s="226"/>
      <c r="AG42" s="226"/>
      <c r="AH42" s="226"/>
      <c r="AI42" s="226"/>
      <c r="AJ42" s="226"/>
      <c r="AK42" s="226"/>
      <c r="AL42" s="226"/>
      <c r="AM42" s="226"/>
    </row>
    <row r="43" spans="1:39" ht="7.9" customHeight="1">
      <c r="A43" s="5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</row>
    <row r="44" spans="1:39" ht="12.75" customHeight="1">
      <c r="A44" s="232"/>
      <c r="B44" s="6" t="s">
        <v>58</v>
      </c>
      <c r="C44" s="226"/>
      <c r="D44" s="720" t="s">
        <v>1256</v>
      </c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716"/>
      <c r="AB44" s="716"/>
      <c r="AC44" s="716"/>
      <c r="AD44" s="716"/>
      <c r="AE44" s="702"/>
      <c r="AF44" s="703"/>
      <c r="AG44" s="703"/>
      <c r="AH44" s="703"/>
      <c r="AI44" s="703"/>
      <c r="AJ44" s="703"/>
      <c r="AK44" s="703"/>
      <c r="AL44" s="703"/>
      <c r="AM44" s="704"/>
    </row>
    <row r="45" spans="1:39" ht="12.75" customHeight="1">
      <c r="A45" s="5"/>
      <c r="B45" s="226"/>
      <c r="C45" s="226"/>
      <c r="D45" s="712" t="s">
        <v>59</v>
      </c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712"/>
      <c r="AB45" s="712"/>
      <c r="AC45" s="712"/>
      <c r="AD45" s="712"/>
      <c r="AE45" s="700" t="s">
        <v>60</v>
      </c>
      <c r="AF45" s="700"/>
      <c r="AG45" s="700"/>
      <c r="AH45" s="700"/>
      <c r="AI45" s="700"/>
      <c r="AJ45" s="700"/>
      <c r="AK45" s="700"/>
      <c r="AL45" s="700"/>
      <c r="AM45" s="700"/>
    </row>
    <row r="46" spans="1:39" ht="7.9" customHeight="1">
      <c r="A46" s="5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26"/>
    </row>
    <row r="47" spans="1:39" ht="7.9" customHeight="1">
      <c r="A47" s="5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</row>
    <row r="48" spans="1:39" ht="12.75" customHeight="1">
      <c r="A48" s="232"/>
      <c r="B48" s="226"/>
      <c r="C48" s="226"/>
      <c r="D48" s="720" t="s">
        <v>1501</v>
      </c>
      <c r="E48" s="716"/>
      <c r="F48" s="716"/>
      <c r="G48" s="716"/>
      <c r="H48" s="716"/>
      <c r="I48" s="716"/>
      <c r="J48" s="716"/>
      <c r="K48" s="716"/>
      <c r="L48" s="716"/>
      <c r="M48" s="716"/>
      <c r="N48" s="716"/>
      <c r="O48" s="716"/>
      <c r="P48" s="716"/>
      <c r="Q48" s="716"/>
      <c r="R48" s="716"/>
      <c r="S48" s="716"/>
      <c r="T48" s="716"/>
      <c r="U48" s="716"/>
      <c r="V48" s="716"/>
      <c r="W48" s="716"/>
      <c r="X48" s="716"/>
      <c r="Y48" s="716"/>
      <c r="Z48" s="716"/>
      <c r="AA48" s="716"/>
      <c r="AB48" s="716"/>
      <c r="AC48" s="716"/>
      <c r="AD48" s="716"/>
      <c r="AE48" s="716"/>
      <c r="AF48" s="716"/>
      <c r="AG48" s="716"/>
      <c r="AH48" s="716"/>
      <c r="AI48" s="716"/>
      <c r="AJ48" s="716"/>
      <c r="AK48" s="716"/>
      <c r="AL48" s="716"/>
      <c r="AM48" s="717"/>
    </row>
    <row r="49" spans="1:39" ht="12.75" customHeight="1">
      <c r="A49" s="5"/>
      <c r="B49" s="226"/>
      <c r="C49" s="226"/>
      <c r="D49" s="712" t="s">
        <v>61</v>
      </c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712"/>
      <c r="AB49" s="712"/>
      <c r="AC49" s="712"/>
      <c r="AD49" s="712"/>
      <c r="AE49" s="712"/>
      <c r="AF49" s="712"/>
      <c r="AG49" s="712"/>
      <c r="AH49" s="712"/>
      <c r="AI49" s="712"/>
      <c r="AJ49" s="712"/>
      <c r="AK49" s="712"/>
      <c r="AL49" s="712"/>
      <c r="AM49" s="712"/>
    </row>
    <row r="50" spans="1:39" ht="7.9" customHeight="1">
      <c r="A50" s="5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226"/>
      <c r="AK50" s="226"/>
      <c r="AL50" s="226"/>
      <c r="AM50" s="226"/>
    </row>
    <row r="51" spans="1:39" ht="7.9" customHeight="1">
      <c r="A51" s="5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</row>
    <row r="52" spans="1:39" ht="12.75" customHeight="1">
      <c r="A52" s="232"/>
      <c r="B52" s="226"/>
      <c r="C52" s="226"/>
      <c r="D52" s="720" t="s">
        <v>1257</v>
      </c>
      <c r="E52" s="716"/>
      <c r="F52" s="716"/>
      <c r="G52" s="716"/>
      <c r="H52" s="716"/>
      <c r="I52" s="716"/>
      <c r="J52" s="716"/>
      <c r="K52" s="716"/>
      <c r="L52" s="716"/>
      <c r="M52" s="716"/>
      <c r="N52" s="716"/>
      <c r="O52" s="716"/>
      <c r="P52" s="716"/>
      <c r="Q52" s="716"/>
      <c r="R52" s="716"/>
      <c r="S52" s="716"/>
      <c r="T52" s="716"/>
      <c r="U52" s="716"/>
      <c r="V52" s="716"/>
      <c r="W52" s="716"/>
      <c r="X52" s="716"/>
      <c r="Y52" s="716"/>
      <c r="Z52" s="716"/>
      <c r="AA52" s="716"/>
      <c r="AB52" s="716"/>
      <c r="AC52" s="716"/>
      <c r="AD52" s="716"/>
      <c r="AE52" s="716"/>
      <c r="AF52" s="716"/>
      <c r="AG52" s="716"/>
      <c r="AH52" s="716"/>
      <c r="AI52" s="716"/>
      <c r="AJ52" s="716"/>
      <c r="AK52" s="716"/>
      <c r="AL52" s="716"/>
      <c r="AM52" s="717"/>
    </row>
    <row r="53" spans="1:39" ht="12.75" customHeight="1">
      <c r="A53" s="56"/>
      <c r="B53" s="231"/>
      <c r="C53" s="231"/>
      <c r="D53" s="732" t="s">
        <v>62</v>
      </c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</row>
    <row r="54" spans="1:39" ht="7.9" customHeight="1">
      <c r="A54" s="5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6"/>
    </row>
    <row r="55" spans="1:39" ht="7.9" customHeight="1">
      <c r="A55" s="5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26"/>
    </row>
    <row r="56" spans="1:39" ht="12.75" customHeight="1">
      <c r="A56" s="5"/>
      <c r="B56" s="226"/>
      <c r="C56" s="226"/>
      <c r="D56" s="720" t="s">
        <v>1258</v>
      </c>
      <c r="E56" s="716"/>
      <c r="F56" s="716"/>
      <c r="G56" s="716"/>
      <c r="H56" s="716"/>
      <c r="I56" s="716"/>
      <c r="J56" s="716"/>
      <c r="K56" s="716"/>
      <c r="L56" s="716"/>
      <c r="M56" s="716"/>
      <c r="N56" s="716"/>
      <c r="O56" s="716"/>
      <c r="P56" s="716"/>
      <c r="Q56" s="716"/>
      <c r="R56" s="716"/>
      <c r="S56" s="716"/>
      <c r="T56" s="716"/>
      <c r="U56" s="716"/>
      <c r="V56" s="716"/>
      <c r="W56" s="716"/>
      <c r="X56" s="716"/>
      <c r="Y56" s="716"/>
      <c r="Z56" s="716"/>
      <c r="AA56" s="716"/>
      <c r="AB56" s="716"/>
      <c r="AC56" s="716"/>
      <c r="AD56" s="716"/>
      <c r="AE56" s="716"/>
      <c r="AF56" s="716"/>
      <c r="AG56" s="716"/>
      <c r="AH56" s="716"/>
      <c r="AI56" s="716"/>
      <c r="AJ56" s="716"/>
      <c r="AK56" s="716"/>
      <c r="AL56" s="716"/>
      <c r="AM56" s="717"/>
    </row>
    <row r="57" spans="1:39" ht="12.75" customHeight="1">
      <c r="A57" s="5"/>
      <c r="B57" s="226"/>
      <c r="C57" s="226"/>
      <c r="D57" s="712" t="s">
        <v>63</v>
      </c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712"/>
      <c r="AB57" s="712"/>
      <c r="AC57" s="712"/>
      <c r="AD57" s="712"/>
      <c r="AE57" s="712"/>
      <c r="AF57" s="712"/>
      <c r="AG57" s="712"/>
      <c r="AH57" s="712"/>
      <c r="AI57" s="712"/>
      <c r="AJ57" s="712"/>
      <c r="AK57" s="712"/>
      <c r="AL57" s="712"/>
      <c r="AM57" s="712"/>
    </row>
    <row r="58" spans="1:39" ht="7.9" customHeight="1">
      <c r="A58" s="5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6"/>
    </row>
    <row r="59" spans="1:39" ht="12.75" customHeight="1">
      <c r="A59" s="5"/>
      <c r="B59" s="226"/>
      <c r="C59" s="226"/>
      <c r="D59" s="724"/>
      <c r="E59" s="716"/>
      <c r="F59" s="716"/>
      <c r="G59" s="716"/>
      <c r="H59" s="716"/>
      <c r="I59" s="716"/>
      <c r="J59" s="716"/>
      <c r="K59" s="716"/>
      <c r="L59" s="716"/>
      <c r="M59" s="716"/>
      <c r="N59" s="716"/>
      <c r="O59" s="716"/>
      <c r="P59" s="716"/>
      <c r="Q59" s="716"/>
      <c r="R59" s="716"/>
      <c r="S59" s="716"/>
      <c r="T59" s="716"/>
      <c r="U59" s="716"/>
      <c r="V59" s="716"/>
      <c r="W59" s="716"/>
      <c r="X59" s="716"/>
      <c r="Y59" s="716"/>
      <c r="Z59" s="716"/>
      <c r="AA59" s="716"/>
      <c r="AB59" s="716"/>
      <c r="AC59" s="716"/>
      <c r="AD59" s="716"/>
      <c r="AE59" s="716"/>
      <c r="AF59" s="716"/>
      <c r="AG59" s="716"/>
      <c r="AH59" s="716"/>
      <c r="AI59" s="716"/>
      <c r="AJ59" s="716"/>
      <c r="AK59" s="716"/>
      <c r="AL59" s="716"/>
      <c r="AM59" s="717"/>
    </row>
    <row r="60" spans="1:39" ht="7.9" customHeight="1">
      <c r="A60" s="5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6"/>
    </row>
    <row r="61" spans="1:39" ht="7.9" customHeight="1">
      <c r="A61" s="5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</row>
    <row r="62" spans="1:39" ht="7.9" customHeight="1">
      <c r="A62" s="5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  <c r="AM62" s="226"/>
    </row>
    <row r="63" spans="1:39" ht="7.9" customHeight="1">
      <c r="A63" s="5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  <c r="AM63" s="226"/>
    </row>
    <row r="64" spans="1:39" ht="12.75" customHeight="1">
      <c r="A64" s="5"/>
      <c r="B64" s="226"/>
      <c r="C64" s="225"/>
      <c r="D64" s="11"/>
      <c r="E64" s="725" t="s">
        <v>64</v>
      </c>
      <c r="F64" s="726"/>
      <c r="G64" s="726"/>
      <c r="H64" s="226"/>
      <c r="I64" s="226"/>
      <c r="J64" s="11"/>
      <c r="K64" s="725" t="s">
        <v>65</v>
      </c>
      <c r="L64" s="726"/>
      <c r="M64" s="226"/>
      <c r="N64" s="11"/>
      <c r="O64" s="727" t="s">
        <v>66</v>
      </c>
      <c r="P64" s="728"/>
      <c r="Q64" s="728"/>
      <c r="R64" s="226"/>
      <c r="S64" s="11" t="s">
        <v>15</v>
      </c>
      <c r="T64" s="729" t="s">
        <v>67</v>
      </c>
      <c r="U64" s="729"/>
      <c r="V64" s="729"/>
      <c r="W64" s="226"/>
      <c r="X64" s="225"/>
      <c r="Y64" s="11"/>
      <c r="Z64" s="730" t="s">
        <v>64</v>
      </c>
      <c r="AA64" s="731"/>
      <c r="AB64" s="731"/>
      <c r="AC64" s="226"/>
      <c r="AD64" s="226"/>
      <c r="AE64" s="226"/>
      <c r="AF64" s="11"/>
      <c r="AG64" s="730" t="s">
        <v>68</v>
      </c>
      <c r="AH64" s="731"/>
      <c r="AI64" s="226"/>
      <c r="AJ64" s="226"/>
      <c r="AK64" s="11" t="s">
        <v>15</v>
      </c>
      <c r="AL64" s="10" t="s">
        <v>69</v>
      </c>
      <c r="AM64" s="227"/>
    </row>
    <row r="65" spans="1:39" ht="12.75" customHeight="1">
      <c r="A65" s="5"/>
      <c r="B65" s="226"/>
      <c r="C65" s="228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8"/>
      <c r="Y65" s="229"/>
      <c r="Z65" s="229"/>
      <c r="AA65" s="229"/>
      <c r="AB65" s="229"/>
      <c r="AC65" s="229"/>
      <c r="AD65" s="229"/>
      <c r="AE65" s="229"/>
      <c r="AF65" s="229"/>
      <c r="AG65" s="229"/>
      <c r="AH65" s="229"/>
      <c r="AI65" s="229"/>
      <c r="AJ65" s="229"/>
      <c r="AK65" s="229"/>
      <c r="AL65" s="229"/>
      <c r="AM65" s="230"/>
    </row>
    <row r="66" spans="1:39" ht="12.75" customHeight="1">
      <c r="A66" s="5"/>
      <c r="B66" s="226"/>
      <c r="C66" s="718" t="s">
        <v>70</v>
      </c>
      <c r="D66" s="718"/>
      <c r="E66" s="718"/>
      <c r="F66" s="718"/>
      <c r="G66" s="718"/>
      <c r="H66" s="718"/>
      <c r="I66" s="718"/>
      <c r="J66" s="718"/>
      <c r="K66" s="718"/>
      <c r="L66" s="718"/>
      <c r="M66" s="718"/>
      <c r="N66" s="718"/>
      <c r="O66" s="718"/>
      <c r="P66" s="718"/>
      <c r="Q66" s="718"/>
      <c r="R66" s="718"/>
      <c r="S66" s="718"/>
      <c r="T66" s="718"/>
      <c r="U66" s="718"/>
      <c r="V66" s="718"/>
      <c r="W66" s="718"/>
      <c r="X66" s="719" t="s">
        <v>71</v>
      </c>
      <c r="Y66" s="719"/>
      <c r="Z66" s="719"/>
      <c r="AA66" s="719"/>
      <c r="AB66" s="719"/>
      <c r="AC66" s="719"/>
      <c r="AD66" s="719"/>
      <c r="AE66" s="719"/>
      <c r="AF66" s="719"/>
      <c r="AG66" s="719"/>
      <c r="AH66" s="719"/>
      <c r="AI66" s="719"/>
      <c r="AJ66" s="719"/>
      <c r="AK66" s="719"/>
      <c r="AL66" s="719"/>
      <c r="AM66" s="719"/>
    </row>
    <row r="67" spans="1:39" ht="7.9" customHeight="1">
      <c r="A67" s="5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  <c r="AM67" s="226"/>
    </row>
    <row r="68" spans="1:39" ht="7.9" customHeight="1">
      <c r="A68" s="5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  <c r="AJ68" s="226"/>
      <c r="AK68" s="226"/>
      <c r="AL68" s="226"/>
      <c r="AM68" s="226"/>
    </row>
    <row r="69" spans="1:39" ht="12.75" customHeight="1">
      <c r="A69" s="232"/>
      <c r="B69" s="226"/>
      <c r="C69" s="226"/>
      <c r="D69" s="720" t="s">
        <v>1484</v>
      </c>
      <c r="E69" s="716"/>
      <c r="F69" s="716"/>
      <c r="G69" s="716"/>
      <c r="H69" s="716"/>
      <c r="I69" s="716"/>
      <c r="J69" s="716"/>
      <c r="K69" s="716"/>
      <c r="L69" s="716"/>
      <c r="M69" s="716"/>
      <c r="N69" s="716"/>
      <c r="O69" s="716"/>
      <c r="P69" s="716"/>
      <c r="Q69" s="717"/>
      <c r="R69" s="226"/>
      <c r="S69" s="226"/>
      <c r="T69" s="721" t="s">
        <v>72</v>
      </c>
      <c r="U69" s="722"/>
      <c r="V69" s="722"/>
      <c r="W69" s="722"/>
      <c r="X69" s="722"/>
      <c r="Y69" s="722"/>
      <c r="Z69" s="722"/>
      <c r="AA69" s="722"/>
      <c r="AB69" s="722"/>
      <c r="AC69" s="722"/>
      <c r="AD69" s="722"/>
      <c r="AE69" s="722"/>
      <c r="AF69" s="722"/>
      <c r="AG69" s="722"/>
      <c r="AH69" s="722"/>
      <c r="AI69" s="722"/>
      <c r="AJ69" s="722"/>
      <c r="AK69" s="722"/>
      <c r="AL69" s="722"/>
      <c r="AM69" s="723"/>
    </row>
    <row r="70" spans="1:39" ht="12.75" customHeight="1">
      <c r="A70" s="5"/>
      <c r="B70" s="226"/>
      <c r="C70" s="226"/>
      <c r="D70" s="712" t="s">
        <v>73</v>
      </c>
      <c r="E70" s="712"/>
      <c r="F70" s="712"/>
      <c r="G70" s="712"/>
      <c r="H70" s="712"/>
      <c r="I70" s="712"/>
      <c r="J70" s="712"/>
      <c r="K70" s="712"/>
      <c r="L70" s="712"/>
      <c r="M70" s="712"/>
      <c r="N70" s="712"/>
      <c r="O70" s="712"/>
      <c r="P70" s="712"/>
      <c r="Q70" s="712"/>
      <c r="R70" s="226"/>
      <c r="S70" s="226"/>
      <c r="T70" s="721" t="s">
        <v>74</v>
      </c>
      <c r="U70" s="722"/>
      <c r="V70" s="722"/>
      <c r="W70" s="722"/>
      <c r="X70" s="722"/>
      <c r="Y70" s="722"/>
      <c r="Z70" s="722"/>
      <c r="AA70" s="722"/>
      <c r="AB70" s="722"/>
      <c r="AC70" s="723"/>
      <c r="AD70" s="722" t="s">
        <v>75</v>
      </c>
      <c r="AE70" s="722"/>
      <c r="AF70" s="722"/>
      <c r="AG70" s="722"/>
      <c r="AH70" s="722"/>
      <c r="AI70" s="722"/>
      <c r="AJ70" s="722"/>
      <c r="AK70" s="722"/>
      <c r="AL70" s="722"/>
      <c r="AM70" s="723"/>
    </row>
    <row r="71" spans="1:39" ht="12.75" customHeight="1">
      <c r="A71" s="232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713" t="s">
        <v>1259</v>
      </c>
      <c r="U71" s="700"/>
      <c r="V71" s="700"/>
      <c r="W71" s="700"/>
      <c r="X71" s="700"/>
      <c r="Y71" s="700"/>
      <c r="Z71" s="700"/>
      <c r="AA71" s="700"/>
      <c r="AB71" s="700"/>
      <c r="AC71" s="701"/>
      <c r="AD71" s="714" t="s">
        <v>1493</v>
      </c>
      <c r="AE71" s="700"/>
      <c r="AF71" s="700"/>
      <c r="AG71" s="700"/>
      <c r="AH71" s="700"/>
      <c r="AI71" s="700"/>
      <c r="AJ71" s="700"/>
      <c r="AK71" s="700"/>
      <c r="AL71" s="700"/>
      <c r="AM71" s="701"/>
    </row>
    <row r="72" spans="1:39" ht="12.75" customHeight="1">
      <c r="A72" s="232"/>
      <c r="B72" s="226"/>
      <c r="C72" s="226"/>
      <c r="D72" s="715" t="s">
        <v>1485</v>
      </c>
      <c r="E72" s="716"/>
      <c r="F72" s="716"/>
      <c r="G72" s="716"/>
      <c r="H72" s="716"/>
      <c r="I72" s="716"/>
      <c r="J72" s="716"/>
      <c r="K72" s="716"/>
      <c r="L72" s="716"/>
      <c r="M72" s="716"/>
      <c r="N72" s="716"/>
      <c r="O72" s="716"/>
      <c r="P72" s="716"/>
      <c r="Q72" s="717"/>
      <c r="R72" s="226"/>
      <c r="S72" s="226"/>
      <c r="T72" s="713" t="s">
        <v>1486</v>
      </c>
      <c r="U72" s="700"/>
      <c r="V72" s="700"/>
      <c r="W72" s="700"/>
      <c r="X72" s="700"/>
      <c r="Y72" s="700"/>
      <c r="Z72" s="700"/>
      <c r="AA72" s="700"/>
      <c r="AB72" s="700"/>
      <c r="AC72" s="701"/>
      <c r="AD72" s="714" t="s">
        <v>1494</v>
      </c>
      <c r="AE72" s="700"/>
      <c r="AF72" s="700"/>
      <c r="AG72" s="700"/>
      <c r="AH72" s="700"/>
      <c r="AI72" s="700"/>
      <c r="AJ72" s="700"/>
      <c r="AK72" s="700"/>
      <c r="AL72" s="700"/>
      <c r="AM72" s="701"/>
    </row>
    <row r="73" spans="1:39" ht="12.75" customHeight="1">
      <c r="A73" s="232"/>
      <c r="B73" s="226"/>
      <c r="C73" s="226"/>
      <c r="D73" s="712" t="s">
        <v>76</v>
      </c>
      <c r="E73" s="712"/>
      <c r="F73" s="712"/>
      <c r="G73" s="712"/>
      <c r="H73" s="712"/>
      <c r="I73" s="712"/>
      <c r="J73" s="712"/>
      <c r="K73" s="712"/>
      <c r="L73" s="712"/>
      <c r="M73" s="712"/>
      <c r="N73" s="712"/>
      <c r="O73" s="712"/>
      <c r="P73" s="712"/>
      <c r="Q73" s="712"/>
      <c r="R73" s="226"/>
      <c r="S73" s="226"/>
      <c r="T73" s="713" t="s">
        <v>1487</v>
      </c>
      <c r="U73" s="700"/>
      <c r="V73" s="700"/>
      <c r="W73" s="700"/>
      <c r="X73" s="700"/>
      <c r="Y73" s="700"/>
      <c r="Z73" s="700"/>
      <c r="AA73" s="700"/>
      <c r="AB73" s="700"/>
      <c r="AC73" s="701"/>
      <c r="AD73" s="714" t="s">
        <v>1495</v>
      </c>
      <c r="AE73" s="700"/>
      <c r="AF73" s="700"/>
      <c r="AG73" s="700"/>
      <c r="AH73" s="700"/>
      <c r="AI73" s="700"/>
      <c r="AJ73" s="700"/>
      <c r="AK73" s="700"/>
      <c r="AL73" s="700"/>
      <c r="AM73" s="701"/>
    </row>
    <row r="74" spans="1:39" ht="12.75" customHeight="1">
      <c r="A74" s="5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705" t="s">
        <v>1488</v>
      </c>
      <c r="U74" s="700"/>
      <c r="V74" s="700"/>
      <c r="W74" s="700"/>
      <c r="X74" s="700"/>
      <c r="Y74" s="700"/>
      <c r="Z74" s="700"/>
      <c r="AA74" s="700"/>
      <c r="AB74" s="700"/>
      <c r="AC74" s="701"/>
      <c r="AD74" s="700" t="s">
        <v>1496</v>
      </c>
      <c r="AE74" s="700"/>
      <c r="AF74" s="700"/>
      <c r="AG74" s="700"/>
      <c r="AH74" s="700"/>
      <c r="AI74" s="700"/>
      <c r="AJ74" s="700"/>
      <c r="AK74" s="700"/>
      <c r="AL74" s="700"/>
      <c r="AM74" s="701"/>
    </row>
    <row r="75" spans="1:39" ht="12.75" customHeight="1">
      <c r="A75" s="232"/>
      <c r="B75" s="226"/>
      <c r="C75" s="226"/>
      <c r="D75" s="709">
        <v>45712</v>
      </c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0"/>
      <c r="P75" s="710"/>
      <c r="Q75" s="711"/>
      <c r="R75" s="226"/>
      <c r="S75" s="226"/>
      <c r="T75" s="705" t="s">
        <v>1489</v>
      </c>
      <c r="U75" s="700"/>
      <c r="V75" s="700"/>
      <c r="W75" s="700"/>
      <c r="X75" s="700"/>
      <c r="Y75" s="700"/>
      <c r="Z75" s="700"/>
      <c r="AA75" s="700"/>
      <c r="AB75" s="700"/>
      <c r="AC75" s="701"/>
      <c r="AD75" s="700" t="s">
        <v>1497</v>
      </c>
      <c r="AE75" s="700"/>
      <c r="AF75" s="700"/>
      <c r="AG75" s="700"/>
      <c r="AH75" s="700"/>
      <c r="AI75" s="700"/>
      <c r="AJ75" s="700"/>
      <c r="AK75" s="700"/>
      <c r="AL75" s="700"/>
      <c r="AM75" s="701"/>
    </row>
    <row r="76" spans="1:39" ht="12.75" customHeight="1">
      <c r="A76" s="5"/>
      <c r="B76" s="226"/>
      <c r="C76" s="226"/>
      <c r="D76" s="712" t="s">
        <v>77</v>
      </c>
      <c r="E76" s="712"/>
      <c r="F76" s="712"/>
      <c r="G76" s="712"/>
      <c r="H76" s="712"/>
      <c r="I76" s="712"/>
      <c r="J76" s="712"/>
      <c r="K76" s="712"/>
      <c r="L76" s="712"/>
      <c r="M76" s="712"/>
      <c r="N76" s="712"/>
      <c r="O76" s="712"/>
      <c r="P76" s="712"/>
      <c r="Q76" s="712"/>
      <c r="R76" s="226"/>
      <c r="S76" s="226"/>
      <c r="T76" s="705" t="s">
        <v>1490</v>
      </c>
      <c r="U76" s="700"/>
      <c r="V76" s="700"/>
      <c r="W76" s="700"/>
      <c r="X76" s="700"/>
      <c r="Y76" s="700"/>
      <c r="Z76" s="700"/>
      <c r="AA76" s="700"/>
      <c r="AB76" s="700"/>
      <c r="AC76" s="701"/>
      <c r="AD76" s="700" t="s">
        <v>1498</v>
      </c>
      <c r="AE76" s="700"/>
      <c r="AF76" s="700"/>
      <c r="AG76" s="700"/>
      <c r="AH76" s="700"/>
      <c r="AI76" s="700"/>
      <c r="AJ76" s="700"/>
      <c r="AK76" s="700"/>
      <c r="AL76" s="700"/>
      <c r="AM76" s="701"/>
    </row>
    <row r="77" spans="1:39" ht="12.75" customHeight="1">
      <c r="A77" s="5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705" t="s">
        <v>1491</v>
      </c>
      <c r="U77" s="700"/>
      <c r="V77" s="700"/>
      <c r="W77" s="700"/>
      <c r="X77" s="700"/>
      <c r="Y77" s="700"/>
      <c r="Z77" s="700"/>
      <c r="AA77" s="700"/>
      <c r="AB77" s="700"/>
      <c r="AC77" s="701"/>
      <c r="AD77" s="700" t="s">
        <v>1499</v>
      </c>
      <c r="AE77" s="700"/>
      <c r="AF77" s="700"/>
      <c r="AG77" s="700"/>
      <c r="AH77" s="700"/>
      <c r="AI77" s="700"/>
      <c r="AJ77" s="700"/>
      <c r="AK77" s="700"/>
      <c r="AL77" s="700"/>
      <c r="AM77" s="701"/>
    </row>
    <row r="78" spans="1:39" ht="12.75" customHeight="1">
      <c r="A78" s="5"/>
      <c r="B78" s="226"/>
      <c r="C78" s="226"/>
      <c r="D78" s="706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8"/>
      <c r="R78" s="226"/>
      <c r="S78" s="226"/>
      <c r="T78" s="705" t="s">
        <v>1492</v>
      </c>
      <c r="U78" s="700"/>
      <c r="V78" s="700"/>
      <c r="W78" s="700"/>
      <c r="X78" s="700"/>
      <c r="Y78" s="700"/>
      <c r="Z78" s="700"/>
      <c r="AA78" s="700"/>
      <c r="AB78" s="700"/>
      <c r="AC78" s="701"/>
      <c r="AD78" s="700" t="s">
        <v>1500</v>
      </c>
      <c r="AE78" s="700"/>
      <c r="AF78" s="700"/>
      <c r="AG78" s="700"/>
      <c r="AH78" s="700"/>
      <c r="AI78" s="700"/>
      <c r="AJ78" s="700"/>
      <c r="AK78" s="700"/>
      <c r="AL78" s="700"/>
      <c r="AM78" s="701"/>
    </row>
    <row r="79" spans="1:39" ht="12.75" customHeight="1">
      <c r="A79" s="5"/>
      <c r="B79" s="226"/>
      <c r="C79" s="226"/>
      <c r="D79" s="705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0"/>
      <c r="P79" s="700"/>
      <c r="Q79" s="701"/>
      <c r="R79" s="226"/>
      <c r="S79" s="226"/>
      <c r="T79" s="705"/>
      <c r="U79" s="700"/>
      <c r="V79" s="700"/>
      <c r="W79" s="700"/>
      <c r="X79" s="700"/>
      <c r="Y79" s="700"/>
      <c r="Z79" s="700"/>
      <c r="AA79" s="700"/>
      <c r="AB79" s="700"/>
      <c r="AC79" s="701"/>
      <c r="AD79" s="700"/>
      <c r="AE79" s="700"/>
      <c r="AF79" s="700"/>
      <c r="AG79" s="700"/>
      <c r="AH79" s="700"/>
      <c r="AI79" s="700"/>
      <c r="AJ79" s="700"/>
      <c r="AK79" s="700"/>
      <c r="AL79" s="700"/>
      <c r="AM79" s="701"/>
    </row>
    <row r="80" spans="1:39" ht="12.75" customHeight="1">
      <c r="A80" s="5"/>
      <c r="B80" s="226"/>
      <c r="C80" s="226"/>
      <c r="D80" s="705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0"/>
      <c r="P80" s="700"/>
      <c r="Q80" s="701"/>
      <c r="R80" s="226"/>
      <c r="S80" s="226"/>
      <c r="T80" s="705"/>
      <c r="U80" s="700"/>
      <c r="V80" s="700"/>
      <c r="W80" s="700"/>
      <c r="X80" s="700"/>
      <c r="Y80" s="700"/>
      <c r="Z80" s="700"/>
      <c r="AA80" s="700"/>
      <c r="AB80" s="700"/>
      <c r="AC80" s="701"/>
      <c r="AD80" s="700"/>
      <c r="AE80" s="700"/>
      <c r="AF80" s="700"/>
      <c r="AG80" s="700"/>
      <c r="AH80" s="700"/>
      <c r="AI80" s="700"/>
      <c r="AJ80" s="700"/>
      <c r="AK80" s="700"/>
      <c r="AL80" s="700"/>
      <c r="AM80" s="701"/>
    </row>
    <row r="81" spans="1:39" ht="12.75" customHeight="1">
      <c r="A81" s="5"/>
      <c r="B81" s="226"/>
      <c r="C81" s="226"/>
      <c r="D81" s="705"/>
      <c r="E81" s="700"/>
      <c r="F81" s="700"/>
      <c r="G81" s="700"/>
      <c r="H81" s="700"/>
      <c r="I81" s="700"/>
      <c r="J81" s="700"/>
      <c r="K81" s="700"/>
      <c r="L81" s="700"/>
      <c r="M81" s="700"/>
      <c r="N81" s="700"/>
      <c r="O81" s="700"/>
      <c r="P81" s="700"/>
      <c r="Q81" s="701"/>
      <c r="R81" s="226"/>
      <c r="S81" s="226"/>
      <c r="T81" s="705"/>
      <c r="U81" s="700"/>
      <c r="V81" s="700"/>
      <c r="W81" s="700"/>
      <c r="X81" s="700"/>
      <c r="Y81" s="700"/>
      <c r="Z81" s="700"/>
      <c r="AA81" s="700"/>
      <c r="AB81" s="700"/>
      <c r="AC81" s="701"/>
      <c r="AD81" s="700"/>
      <c r="AE81" s="700"/>
      <c r="AF81" s="700"/>
      <c r="AG81" s="700"/>
      <c r="AH81" s="700"/>
      <c r="AI81" s="700"/>
      <c r="AJ81" s="700"/>
      <c r="AK81" s="700"/>
      <c r="AL81" s="700"/>
      <c r="AM81" s="701"/>
    </row>
    <row r="82" spans="1:39" ht="12.75" customHeight="1">
      <c r="A82" s="5"/>
      <c r="B82" s="226"/>
      <c r="C82" s="226"/>
      <c r="D82" s="702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4"/>
      <c r="R82" s="226"/>
      <c r="S82" s="226"/>
      <c r="T82" s="702"/>
      <c r="U82" s="703"/>
      <c r="V82" s="703"/>
      <c r="W82" s="703"/>
      <c r="X82" s="703"/>
      <c r="Y82" s="703"/>
      <c r="Z82" s="703"/>
      <c r="AA82" s="703"/>
      <c r="AB82" s="703"/>
      <c r="AC82" s="704"/>
      <c r="AD82" s="703"/>
      <c r="AE82" s="703"/>
      <c r="AF82" s="703"/>
      <c r="AG82" s="703"/>
      <c r="AH82" s="703"/>
      <c r="AI82" s="703"/>
      <c r="AJ82" s="703"/>
      <c r="AK82" s="703"/>
      <c r="AL82" s="703"/>
      <c r="AM82" s="704"/>
    </row>
    <row r="83" spans="1:39" ht="12.75" customHeight="1">
      <c r="A83" s="5"/>
      <c r="B83" s="226"/>
      <c r="C83" s="226"/>
      <c r="D83" s="700" t="s">
        <v>78</v>
      </c>
      <c r="E83" s="700"/>
      <c r="F83" s="700"/>
      <c r="G83" s="700"/>
      <c r="H83" s="700"/>
      <c r="I83" s="700"/>
      <c r="J83" s="700"/>
      <c r="K83" s="700"/>
      <c r="L83" s="700"/>
      <c r="M83" s="700"/>
      <c r="N83" s="700"/>
      <c r="O83" s="700"/>
      <c r="P83" s="700"/>
      <c r="Q83" s="700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6"/>
    </row>
    <row r="84" spans="1:39">
      <c r="A84" s="5"/>
      <c r="B84" s="5"/>
      <c r="C84" s="5"/>
      <c r="D84" s="235"/>
      <c r="E84" s="5"/>
      <c r="F84" s="235"/>
      <c r="G84" s="235"/>
      <c r="H84" s="5"/>
      <c r="I84" s="235"/>
      <c r="J84" s="235"/>
      <c r="K84" s="235"/>
      <c r="L84" s="235"/>
      <c r="M84" s="235"/>
      <c r="N84" s="235"/>
      <c r="O84" s="5"/>
      <c r="P84" s="5"/>
      <c r="Q84" s="235"/>
      <c r="R84" s="5"/>
      <c r="S84" s="235"/>
      <c r="T84" s="235"/>
      <c r="U84" s="235"/>
      <c r="V84" s="5"/>
      <c r="W84" s="5"/>
      <c r="X84" s="5"/>
      <c r="Y84" s="235"/>
      <c r="Z84" s="5"/>
      <c r="AA84" s="235"/>
      <c r="AB84" s="5"/>
      <c r="AC84" s="5"/>
      <c r="AD84" s="235"/>
      <c r="AE84" s="235"/>
      <c r="AF84" s="5"/>
      <c r="AG84" s="5"/>
      <c r="AH84" s="235"/>
      <c r="AI84" s="5"/>
      <c r="AJ84" s="5"/>
      <c r="AK84" s="5"/>
      <c r="AL84" s="5"/>
      <c r="AM84" s="5"/>
    </row>
  </sheetData>
  <mergeCells count="106">
    <mergeCell ref="D10:I10"/>
    <mergeCell ref="J10:P10"/>
    <mergeCell ref="R10:U10"/>
    <mergeCell ref="V10:AB10"/>
    <mergeCell ref="AC10:AG10"/>
    <mergeCell ref="AH10:AM10"/>
    <mergeCell ref="B4:I4"/>
    <mergeCell ref="J4:AM4"/>
    <mergeCell ref="C7:I7"/>
    <mergeCell ref="J7:Y7"/>
    <mergeCell ref="AA7:AC7"/>
    <mergeCell ref="AD7:AM7"/>
    <mergeCell ref="E20:M20"/>
    <mergeCell ref="Q20:V20"/>
    <mergeCell ref="Z20:AK20"/>
    <mergeCell ref="AL20:AM20"/>
    <mergeCell ref="F24:H24"/>
    <mergeCell ref="I24:P24"/>
    <mergeCell ref="W24:AK24"/>
    <mergeCell ref="E13:K13"/>
    <mergeCell ref="W13:X13"/>
    <mergeCell ref="Y13:AD13"/>
    <mergeCell ref="AF13:AG13"/>
    <mergeCell ref="AH13:AM13"/>
    <mergeCell ref="E16:P16"/>
    <mergeCell ref="U16:Z16"/>
    <mergeCell ref="G29:N29"/>
    <mergeCell ref="S29:Z29"/>
    <mergeCell ref="AE29:AL29"/>
    <mergeCell ref="D32:AD32"/>
    <mergeCell ref="AE32:AM32"/>
    <mergeCell ref="D33:AD33"/>
    <mergeCell ref="AE33:AM33"/>
    <mergeCell ref="F25:H25"/>
    <mergeCell ref="I25:P25"/>
    <mergeCell ref="W25:AK25"/>
    <mergeCell ref="G28:N28"/>
    <mergeCell ref="S28:Z28"/>
    <mergeCell ref="AE28:AL28"/>
    <mergeCell ref="D40:AM40"/>
    <mergeCell ref="D41:AM41"/>
    <mergeCell ref="D44:AD44"/>
    <mergeCell ref="AE44:AM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59:AM59"/>
    <mergeCell ref="E64:G64"/>
    <mergeCell ref="K64:L64"/>
    <mergeCell ref="O64:Q64"/>
    <mergeCell ref="T64:V64"/>
    <mergeCell ref="Z64:AB64"/>
    <mergeCell ref="AG64:AH64"/>
    <mergeCell ref="D48:AM48"/>
    <mergeCell ref="D49:AM49"/>
    <mergeCell ref="D52:AM52"/>
    <mergeCell ref="D53:AM53"/>
    <mergeCell ref="D56:AM56"/>
    <mergeCell ref="D57:AM57"/>
    <mergeCell ref="AD71:AM71"/>
    <mergeCell ref="D72:Q72"/>
    <mergeCell ref="T72:AC72"/>
    <mergeCell ref="AD72:AM72"/>
    <mergeCell ref="D73:Q73"/>
    <mergeCell ref="T73:AC73"/>
    <mergeCell ref="AD73:AM73"/>
    <mergeCell ref="C66:W66"/>
    <mergeCell ref="X66:AM66"/>
    <mergeCell ref="D69:Q69"/>
    <mergeCell ref="T69:AM69"/>
    <mergeCell ref="D70:Q70"/>
    <mergeCell ref="T70:AC70"/>
    <mergeCell ref="AD70:AM70"/>
    <mergeCell ref="A1:AN2"/>
    <mergeCell ref="AD81:AM81"/>
    <mergeCell ref="T82:AC82"/>
    <mergeCell ref="AD82:AM82"/>
    <mergeCell ref="D83:Q83"/>
    <mergeCell ref="T77:AC77"/>
    <mergeCell ref="AD77:AM77"/>
    <mergeCell ref="D78:Q82"/>
    <mergeCell ref="T78:AC78"/>
    <mergeCell ref="AD78:AM78"/>
    <mergeCell ref="T79:AC79"/>
    <mergeCell ref="AD79:AM79"/>
    <mergeCell ref="T80:AC80"/>
    <mergeCell ref="AD80:AM80"/>
    <mergeCell ref="T81:AC81"/>
    <mergeCell ref="T74:AC74"/>
    <mergeCell ref="AD74:AM74"/>
    <mergeCell ref="D75:Q75"/>
    <mergeCell ref="T75:AC75"/>
    <mergeCell ref="AD75:AM75"/>
    <mergeCell ref="D76:Q76"/>
    <mergeCell ref="T76:AC76"/>
    <mergeCell ref="AD76:AM76"/>
    <mergeCell ref="T71:AC71"/>
  </mergeCells>
  <pageMargins left="0.70866141732279997" right="0.70866141732279997" top="0.74803149606300001" bottom="0.74803149606300001" header="0.31496062992129997" footer="0.31496062992129997"/>
  <pageSetup paperSize="9"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showGridLines="0" topLeftCell="A8" workbookViewId="0">
      <selection sqref="A1:T2"/>
    </sheetView>
  </sheetViews>
  <sheetFormatPr baseColWidth="10" defaultColWidth="11.42578125" defaultRowHeight="15.75" customHeight="1"/>
  <cols>
    <col min="1" max="1" width="4.85546875" style="13" customWidth="1" collapsed="1"/>
    <col min="2" max="2" width="47.5703125" style="13" customWidth="1" collapsed="1"/>
    <col min="3" max="3" width="1.5703125" style="233" customWidth="1" collapsed="1"/>
    <col min="4" max="9" width="3.28515625" style="13" customWidth="1" collapsed="1"/>
    <col min="10" max="10" width="1.5703125" style="13" customWidth="1" collapsed="1"/>
    <col min="11" max="11" width="4.28515625" style="13" customWidth="1" collapsed="1"/>
    <col min="12" max="12" width="25.7109375" style="13" customWidth="1" collapsed="1"/>
    <col min="13" max="13" width="20.5703125" style="13" customWidth="1" collapsed="1"/>
    <col min="14" max="19" width="2.5703125" style="13" customWidth="1" collapsed="1"/>
    <col min="20" max="20" width="4.28515625" style="13" customWidth="1" collapsed="1"/>
    <col min="21" max="256" width="11.42578125" style="13" customWidth="1" collapsed="1"/>
    <col min="257" max="16384" width="11.42578125" style="13" collapsed="1"/>
  </cols>
  <sheetData>
    <row r="1" spans="1:256" s="386" customFormat="1" ht="12.75" customHeight="1">
      <c r="A1" s="738" t="s">
        <v>1128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390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90"/>
      <c r="AO1" s="390"/>
      <c r="AP1" s="390"/>
      <c r="AQ1" s="390"/>
      <c r="AR1" s="390"/>
      <c r="AS1" s="390"/>
      <c r="AT1" s="390"/>
      <c r="AU1" s="390"/>
      <c r="AV1" s="390"/>
      <c r="AW1" s="390"/>
      <c r="AX1" s="390"/>
      <c r="AY1" s="390"/>
      <c r="AZ1" s="390"/>
      <c r="BA1" s="390"/>
      <c r="BB1" s="390"/>
      <c r="BC1" s="390"/>
      <c r="BD1" s="390"/>
      <c r="BE1" s="390"/>
      <c r="BF1" s="390"/>
      <c r="BG1" s="390"/>
      <c r="BH1" s="390"/>
      <c r="BI1" s="390"/>
      <c r="BJ1" s="390"/>
      <c r="BK1" s="390"/>
      <c r="BL1" s="390"/>
      <c r="BM1" s="390"/>
      <c r="BN1" s="390"/>
      <c r="BO1" s="390"/>
      <c r="BP1" s="390"/>
      <c r="BQ1" s="390"/>
      <c r="BR1" s="390"/>
      <c r="BS1" s="390"/>
      <c r="BT1" s="390"/>
      <c r="BU1" s="390"/>
      <c r="BV1" s="390"/>
      <c r="BW1" s="390"/>
      <c r="BX1" s="390"/>
      <c r="BY1" s="390"/>
      <c r="BZ1" s="390"/>
      <c r="CA1" s="390"/>
      <c r="CB1" s="390"/>
      <c r="CC1" s="390"/>
      <c r="CD1" s="390"/>
      <c r="CE1" s="390"/>
      <c r="CF1" s="390"/>
      <c r="CG1" s="390"/>
      <c r="CH1" s="390"/>
      <c r="CI1" s="390"/>
      <c r="CJ1" s="390"/>
      <c r="CK1" s="390"/>
      <c r="CL1" s="390"/>
      <c r="CM1" s="390"/>
      <c r="CN1" s="390"/>
      <c r="CO1" s="390"/>
      <c r="CP1" s="390"/>
      <c r="CQ1" s="390"/>
      <c r="CR1" s="390"/>
      <c r="CS1" s="390"/>
      <c r="CT1" s="390"/>
      <c r="CU1" s="390"/>
      <c r="CV1" s="390"/>
      <c r="CW1" s="390"/>
      <c r="CX1" s="390"/>
      <c r="CY1" s="390"/>
      <c r="CZ1" s="390"/>
      <c r="DA1" s="390"/>
      <c r="DB1" s="390"/>
      <c r="DC1" s="390"/>
      <c r="DD1" s="390"/>
      <c r="DE1" s="390"/>
      <c r="DF1" s="390"/>
      <c r="DG1" s="390"/>
      <c r="DH1" s="390"/>
      <c r="DI1" s="390"/>
      <c r="DJ1" s="390"/>
      <c r="DK1" s="390"/>
      <c r="DL1" s="390"/>
      <c r="DM1" s="390"/>
      <c r="DN1" s="390"/>
      <c r="DO1" s="390"/>
      <c r="DP1" s="390"/>
      <c r="DQ1" s="390"/>
      <c r="DR1" s="390"/>
      <c r="DS1" s="390"/>
      <c r="DT1" s="390"/>
      <c r="DU1" s="390"/>
      <c r="DV1" s="390"/>
      <c r="DW1" s="390"/>
      <c r="DX1" s="390"/>
      <c r="DY1" s="390"/>
      <c r="DZ1" s="390"/>
      <c r="EA1" s="390"/>
      <c r="EB1" s="390"/>
      <c r="EC1" s="390"/>
      <c r="ED1" s="390"/>
      <c r="EE1" s="390"/>
      <c r="EF1" s="390"/>
      <c r="EG1" s="390"/>
      <c r="EH1" s="390"/>
      <c r="EI1" s="390"/>
      <c r="EJ1" s="390"/>
      <c r="EK1" s="390"/>
      <c r="EL1" s="390"/>
      <c r="EM1" s="390"/>
      <c r="EN1" s="390"/>
      <c r="EO1" s="390"/>
      <c r="EP1" s="390"/>
      <c r="EQ1" s="390"/>
      <c r="ER1" s="390"/>
      <c r="ES1" s="390"/>
      <c r="ET1" s="390"/>
      <c r="EU1" s="390"/>
      <c r="EV1" s="390"/>
      <c r="EW1" s="390"/>
      <c r="EX1" s="390"/>
      <c r="EY1" s="390"/>
      <c r="EZ1" s="390"/>
      <c r="FA1" s="390"/>
      <c r="FB1" s="390"/>
      <c r="FC1" s="390"/>
      <c r="FD1" s="390"/>
      <c r="FE1" s="390"/>
      <c r="FF1" s="390"/>
      <c r="FG1" s="390"/>
      <c r="FH1" s="390"/>
      <c r="FI1" s="390"/>
      <c r="FJ1" s="390"/>
      <c r="FK1" s="390"/>
      <c r="FL1" s="390"/>
      <c r="FM1" s="390"/>
      <c r="FN1" s="390"/>
      <c r="FO1" s="390"/>
      <c r="FP1" s="390"/>
      <c r="FQ1" s="390"/>
      <c r="FR1" s="390"/>
      <c r="FS1" s="390"/>
      <c r="FT1" s="390"/>
      <c r="FU1" s="390"/>
      <c r="FV1" s="390"/>
      <c r="FW1" s="390"/>
      <c r="FX1" s="390"/>
      <c r="FY1" s="390"/>
      <c r="FZ1" s="390"/>
      <c r="GA1" s="390"/>
      <c r="GB1" s="390"/>
      <c r="GC1" s="390"/>
      <c r="GD1" s="390"/>
      <c r="GE1" s="390"/>
      <c r="GF1" s="390"/>
      <c r="GG1" s="390"/>
      <c r="GH1" s="390"/>
      <c r="GI1" s="390"/>
      <c r="GJ1" s="390"/>
      <c r="GK1" s="390"/>
      <c r="GL1" s="390"/>
      <c r="GM1" s="390"/>
      <c r="GN1" s="390"/>
      <c r="GO1" s="390"/>
      <c r="GP1" s="390"/>
      <c r="GQ1" s="390"/>
      <c r="GR1" s="390"/>
      <c r="GS1" s="390"/>
      <c r="GT1" s="390"/>
      <c r="GU1" s="390"/>
      <c r="GV1" s="390"/>
      <c r="GW1" s="390"/>
      <c r="GX1" s="390"/>
      <c r="GY1" s="390"/>
      <c r="GZ1" s="390"/>
      <c r="HA1" s="390"/>
      <c r="HB1" s="390"/>
      <c r="HC1" s="390"/>
      <c r="HD1" s="390"/>
      <c r="HE1" s="390"/>
      <c r="HF1" s="390"/>
      <c r="HG1" s="390"/>
      <c r="HH1" s="390"/>
      <c r="HI1" s="390"/>
      <c r="HJ1" s="390"/>
      <c r="HK1" s="390"/>
      <c r="HL1" s="390"/>
      <c r="HM1" s="390"/>
      <c r="HN1" s="390"/>
      <c r="HO1" s="390"/>
      <c r="HP1" s="390"/>
      <c r="HQ1" s="390"/>
      <c r="HR1" s="390"/>
      <c r="HS1" s="390"/>
      <c r="HT1" s="390"/>
      <c r="HU1" s="390"/>
      <c r="HV1" s="390"/>
      <c r="HW1" s="390"/>
      <c r="HX1" s="390"/>
      <c r="HY1" s="390"/>
      <c r="HZ1" s="390"/>
      <c r="IA1" s="390"/>
      <c r="IB1" s="390"/>
      <c r="IC1" s="390"/>
      <c r="ID1" s="390"/>
      <c r="IE1" s="390"/>
      <c r="IF1" s="390"/>
      <c r="IG1" s="390"/>
      <c r="IH1" s="390"/>
      <c r="II1" s="390"/>
      <c r="IJ1" s="390"/>
      <c r="IK1" s="390"/>
      <c r="IL1" s="390"/>
      <c r="IM1" s="390"/>
      <c r="IN1" s="390"/>
      <c r="IO1" s="390"/>
      <c r="IP1" s="390"/>
      <c r="IQ1" s="390"/>
      <c r="IR1" s="390"/>
      <c r="IS1" s="390"/>
      <c r="IT1" s="390"/>
      <c r="IU1" s="390"/>
      <c r="IV1" s="390"/>
    </row>
    <row r="2" spans="1:256" s="386" customFormat="1" ht="14.65" customHeight="1">
      <c r="A2" s="738"/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390"/>
      <c r="V2" s="390"/>
      <c r="W2" s="390"/>
      <c r="X2" s="390"/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0"/>
      <c r="AT2" s="390"/>
      <c r="AU2" s="390"/>
      <c r="AV2" s="390"/>
      <c r="AW2" s="390"/>
      <c r="AX2" s="390"/>
      <c r="AY2" s="390"/>
      <c r="AZ2" s="390"/>
      <c r="BA2" s="390"/>
      <c r="BB2" s="390"/>
      <c r="BC2" s="390"/>
      <c r="BD2" s="390"/>
      <c r="BE2" s="390"/>
      <c r="BF2" s="390"/>
      <c r="BG2" s="390"/>
      <c r="BH2" s="390"/>
      <c r="BI2" s="390"/>
      <c r="BJ2" s="390"/>
      <c r="BK2" s="390"/>
      <c r="BL2" s="390"/>
      <c r="BM2" s="390"/>
      <c r="BN2" s="390"/>
      <c r="BO2" s="390"/>
      <c r="BP2" s="390"/>
      <c r="BQ2" s="390"/>
      <c r="BR2" s="390"/>
      <c r="BS2" s="390"/>
      <c r="BT2" s="390"/>
      <c r="BU2" s="390"/>
      <c r="BV2" s="390"/>
      <c r="BW2" s="390"/>
      <c r="BX2" s="390"/>
      <c r="BY2" s="390"/>
      <c r="BZ2" s="390"/>
      <c r="CA2" s="390"/>
      <c r="CB2" s="390"/>
      <c r="CC2" s="390"/>
      <c r="CD2" s="390"/>
      <c r="CE2" s="390"/>
      <c r="CF2" s="390"/>
      <c r="CG2" s="390"/>
      <c r="CH2" s="390"/>
      <c r="CI2" s="390"/>
      <c r="CJ2" s="390"/>
      <c r="CK2" s="390"/>
      <c r="CL2" s="390"/>
      <c r="CM2" s="390"/>
      <c r="CN2" s="390"/>
      <c r="CO2" s="390"/>
      <c r="CP2" s="390"/>
      <c r="CQ2" s="390"/>
      <c r="CR2" s="390"/>
      <c r="CS2" s="390"/>
      <c r="CT2" s="390"/>
      <c r="CU2" s="390"/>
      <c r="CV2" s="390"/>
      <c r="CW2" s="390"/>
      <c r="CX2" s="390"/>
      <c r="CY2" s="390"/>
      <c r="CZ2" s="390"/>
      <c r="DA2" s="390"/>
      <c r="DB2" s="390"/>
      <c r="DC2" s="390"/>
      <c r="DD2" s="390"/>
      <c r="DE2" s="390"/>
      <c r="DF2" s="390"/>
      <c r="DG2" s="390"/>
      <c r="DH2" s="390"/>
      <c r="DI2" s="390"/>
      <c r="DJ2" s="390"/>
      <c r="DK2" s="390"/>
      <c r="DL2" s="390"/>
      <c r="DM2" s="390"/>
      <c r="DN2" s="390"/>
      <c r="DO2" s="390"/>
      <c r="DP2" s="390"/>
      <c r="DQ2" s="390"/>
      <c r="DR2" s="390"/>
      <c r="DS2" s="390"/>
      <c r="DT2" s="390"/>
      <c r="DU2" s="390"/>
      <c r="DV2" s="390"/>
      <c r="DW2" s="390"/>
      <c r="DX2" s="390"/>
      <c r="DY2" s="390"/>
      <c r="DZ2" s="390"/>
      <c r="EA2" s="390"/>
      <c r="EB2" s="390"/>
      <c r="EC2" s="390"/>
      <c r="ED2" s="390"/>
      <c r="EE2" s="390"/>
      <c r="EF2" s="390"/>
      <c r="EG2" s="390"/>
      <c r="EH2" s="390"/>
      <c r="EI2" s="390"/>
      <c r="EJ2" s="390"/>
      <c r="EK2" s="390"/>
      <c r="EL2" s="390"/>
      <c r="EM2" s="390"/>
      <c r="EN2" s="390"/>
      <c r="EO2" s="390"/>
      <c r="EP2" s="390"/>
      <c r="EQ2" s="390"/>
      <c r="ER2" s="390"/>
      <c r="ES2" s="390"/>
      <c r="ET2" s="390"/>
      <c r="EU2" s="390"/>
      <c r="EV2" s="390"/>
      <c r="EW2" s="390"/>
      <c r="EX2" s="390"/>
      <c r="EY2" s="390"/>
      <c r="EZ2" s="390"/>
      <c r="FA2" s="390"/>
      <c r="FB2" s="390"/>
      <c r="FC2" s="390"/>
      <c r="FD2" s="390"/>
      <c r="FE2" s="390"/>
      <c r="FF2" s="390"/>
      <c r="FG2" s="390"/>
      <c r="FH2" s="390"/>
      <c r="FI2" s="390"/>
      <c r="FJ2" s="390"/>
      <c r="FK2" s="390"/>
      <c r="FL2" s="390"/>
      <c r="FM2" s="390"/>
      <c r="FN2" s="390"/>
      <c r="FO2" s="390"/>
      <c r="FP2" s="390"/>
      <c r="FQ2" s="390"/>
      <c r="FR2" s="390"/>
      <c r="FS2" s="390"/>
      <c r="FT2" s="390"/>
      <c r="FU2" s="390"/>
      <c r="FV2" s="390"/>
      <c r="FW2" s="390"/>
      <c r="FX2" s="390"/>
      <c r="FY2" s="390"/>
      <c r="FZ2" s="390"/>
      <c r="GA2" s="390"/>
      <c r="GB2" s="390"/>
      <c r="GC2" s="390"/>
      <c r="GD2" s="390"/>
      <c r="GE2" s="390"/>
      <c r="GF2" s="390"/>
      <c r="GG2" s="390"/>
      <c r="GH2" s="390"/>
      <c r="GI2" s="390"/>
      <c r="GJ2" s="390"/>
      <c r="GK2" s="390"/>
      <c r="GL2" s="390"/>
      <c r="GM2" s="390"/>
      <c r="GN2" s="390"/>
      <c r="GO2" s="390"/>
      <c r="GP2" s="390"/>
      <c r="GQ2" s="390"/>
      <c r="GR2" s="390"/>
      <c r="GS2" s="390"/>
      <c r="GT2" s="390"/>
      <c r="GU2" s="390"/>
      <c r="GV2" s="390"/>
      <c r="GW2" s="390"/>
      <c r="GX2" s="390"/>
      <c r="GY2" s="390"/>
      <c r="GZ2" s="390"/>
      <c r="HA2" s="390"/>
      <c r="HB2" s="390"/>
      <c r="HC2" s="390"/>
      <c r="HD2" s="390"/>
      <c r="HE2" s="390"/>
      <c r="HF2" s="390"/>
      <c r="HG2" s="390"/>
      <c r="HH2" s="390"/>
      <c r="HI2" s="390"/>
      <c r="HJ2" s="390"/>
      <c r="HK2" s="390"/>
      <c r="HL2" s="390"/>
      <c r="HM2" s="390"/>
      <c r="HN2" s="390"/>
      <c r="HO2" s="390"/>
      <c r="HP2" s="390"/>
      <c r="HQ2" s="390"/>
      <c r="HR2" s="390"/>
      <c r="HS2" s="390"/>
      <c r="HT2" s="390"/>
      <c r="HU2" s="390"/>
      <c r="HV2" s="390"/>
      <c r="HW2" s="390"/>
      <c r="HX2" s="390"/>
      <c r="HY2" s="390"/>
      <c r="HZ2" s="390"/>
      <c r="IA2" s="390"/>
      <c r="IB2" s="390"/>
      <c r="IC2" s="390"/>
      <c r="ID2" s="390"/>
      <c r="IE2" s="390"/>
      <c r="IF2" s="390"/>
      <c r="IG2" s="390"/>
      <c r="IH2" s="390"/>
      <c r="II2" s="390"/>
      <c r="IJ2" s="390"/>
      <c r="IK2" s="390"/>
      <c r="IL2" s="390"/>
      <c r="IM2" s="390"/>
      <c r="IN2" s="390"/>
      <c r="IO2" s="390"/>
      <c r="IP2" s="390"/>
      <c r="IQ2" s="390"/>
      <c r="IR2" s="390"/>
      <c r="IS2" s="390"/>
      <c r="IT2" s="390"/>
      <c r="IU2" s="390"/>
      <c r="IV2" s="390"/>
    </row>
    <row r="4" spans="1:256" ht="17.100000000000001" customHeight="1">
      <c r="B4" s="13" t="s">
        <v>79</v>
      </c>
      <c r="C4" s="734" t="str">
        <f>+'Page de garde'!L35</f>
        <v>SOCIETE NOUVELLE DES SALINS DU SINE SALOUM</v>
      </c>
      <c r="D4" s="735"/>
      <c r="E4" s="735"/>
      <c r="F4" s="735"/>
      <c r="G4" s="735"/>
      <c r="H4" s="735"/>
      <c r="I4" s="735"/>
      <c r="J4" s="735"/>
      <c r="K4" s="735"/>
      <c r="L4" s="735"/>
      <c r="M4" s="735"/>
      <c r="N4" s="735"/>
      <c r="O4" s="735"/>
      <c r="P4" s="735"/>
      <c r="Q4" s="735"/>
      <c r="R4" s="735"/>
      <c r="S4" s="735"/>
    </row>
    <row r="5" spans="1:256" ht="17.100000000000001" customHeight="1">
      <c r="B5" s="13" t="s">
        <v>80</v>
      </c>
    </row>
    <row r="6" spans="1:256" ht="17.100000000000001" customHeight="1">
      <c r="B6" s="734" t="str">
        <f>'Fiche de renseignement R1'!J7</f>
        <v>DIORHANE BP 200</v>
      </c>
      <c r="C6" s="735"/>
      <c r="D6" s="735"/>
      <c r="E6" s="735"/>
      <c r="F6" s="735"/>
      <c r="G6" s="735"/>
      <c r="H6" s="735"/>
      <c r="I6" s="735"/>
      <c r="J6" s="735"/>
      <c r="K6" s="735"/>
      <c r="L6" s="14" t="s">
        <v>81</v>
      </c>
      <c r="M6" s="734" t="str">
        <f>+'Page de garde'!H41</f>
        <v>SNSSS</v>
      </c>
      <c r="N6" s="735"/>
      <c r="O6" s="735"/>
      <c r="P6" s="735"/>
      <c r="Q6" s="735"/>
      <c r="R6" s="735"/>
      <c r="S6" s="735"/>
    </row>
    <row r="7" spans="1:256" ht="17.100000000000001" customHeight="1">
      <c r="B7" s="13" t="s">
        <v>82</v>
      </c>
      <c r="L7" s="13" t="s">
        <v>83</v>
      </c>
      <c r="M7" s="219"/>
    </row>
    <row r="8" spans="1:256" ht="17.100000000000001" customHeight="1">
      <c r="B8" s="734" t="str">
        <f>+'Fiche de renseignement R1'!$J$10</f>
        <v>000018699</v>
      </c>
      <c r="C8" s="735"/>
      <c r="D8" s="735"/>
      <c r="E8" s="735"/>
      <c r="F8" s="735"/>
      <c r="G8" s="735"/>
      <c r="H8" s="735"/>
      <c r="I8" s="735"/>
      <c r="L8" s="436">
        <f>'Fiche de renseignement R1'!V10</f>
        <v>45657</v>
      </c>
      <c r="M8" s="13" t="s">
        <v>30</v>
      </c>
      <c r="N8" s="743">
        <f>'Fiche de renseignement R1'!AH10</f>
        <v>12</v>
      </c>
      <c r="O8" s="744"/>
      <c r="P8" s="744"/>
      <c r="Q8" s="744"/>
      <c r="R8" s="744"/>
      <c r="S8" s="744"/>
    </row>
    <row r="9" spans="1:256" ht="17.100000000000001" customHeight="1">
      <c r="B9" s="393"/>
      <c r="C9" s="379"/>
      <c r="D9" s="379"/>
      <c r="E9" s="379"/>
      <c r="F9" s="379"/>
      <c r="G9" s="379"/>
      <c r="H9" s="379"/>
      <c r="I9" s="379"/>
      <c r="L9" s="394"/>
      <c r="N9" s="305"/>
    </row>
    <row r="10" spans="1:256" ht="17.100000000000001" customHeight="1">
      <c r="A10" s="751" t="s">
        <v>1129</v>
      </c>
      <c r="B10" s="751"/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  <c r="O10" s="751"/>
      <c r="P10" s="751"/>
      <c r="Q10" s="751"/>
    </row>
    <row r="11" spans="1:256" ht="17.100000000000001" customHeight="1"/>
    <row r="12" spans="1:256" ht="17.100000000000001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26"/>
      <c r="L12" s="742" t="s">
        <v>84</v>
      </c>
      <c r="M12" s="742"/>
      <c r="N12" s="742"/>
      <c r="O12" s="742"/>
      <c r="P12" s="742"/>
      <c r="Q12" s="742"/>
      <c r="R12" s="27"/>
      <c r="S12" s="28"/>
    </row>
    <row r="13" spans="1:256" ht="8.1" customHeight="1">
      <c r="A13" s="18"/>
      <c r="C13" s="13"/>
      <c r="K13" s="18"/>
      <c r="S13" s="19"/>
    </row>
    <row r="14" spans="1:256" ht="17.100000000000001" customHeight="1">
      <c r="A14" s="20" t="s">
        <v>85</v>
      </c>
      <c r="B14" s="13" t="s">
        <v>830</v>
      </c>
      <c r="C14" s="13"/>
      <c r="F14" s="437" t="s">
        <v>1260</v>
      </c>
      <c r="G14" s="438" t="s">
        <v>1261</v>
      </c>
      <c r="K14" s="18" t="s">
        <v>86</v>
      </c>
      <c r="L14" s="13" t="s">
        <v>87</v>
      </c>
      <c r="Q14" s="745"/>
      <c r="R14" s="746"/>
      <c r="S14" s="19"/>
    </row>
    <row r="15" spans="1:256" ht="17.100000000000001" customHeight="1">
      <c r="A15" s="20"/>
      <c r="C15" s="13"/>
      <c r="K15" s="18"/>
      <c r="S15" s="19"/>
    </row>
    <row r="16" spans="1:256" ht="17.100000000000001" customHeight="1">
      <c r="A16" s="20" t="s">
        <v>88</v>
      </c>
      <c r="B16" s="13" t="s">
        <v>831</v>
      </c>
      <c r="C16" s="13"/>
      <c r="F16" s="438" t="s">
        <v>1261</v>
      </c>
      <c r="K16" s="18" t="s">
        <v>89</v>
      </c>
      <c r="L16" s="13" t="s">
        <v>90</v>
      </c>
      <c r="Q16" s="745" t="s">
        <v>15</v>
      </c>
      <c r="R16" s="746"/>
      <c r="S16" s="19"/>
    </row>
    <row r="17" spans="1:20" ht="17.100000000000001" customHeight="1">
      <c r="A17" s="20"/>
      <c r="C17" s="13"/>
      <c r="K17" s="18"/>
      <c r="S17" s="19"/>
    </row>
    <row r="18" spans="1:20" ht="17.100000000000001" customHeight="1">
      <c r="A18" s="20" t="s">
        <v>91</v>
      </c>
      <c r="B18" s="13" t="s">
        <v>832</v>
      </c>
      <c r="C18" s="13"/>
      <c r="F18" s="437" t="s">
        <v>829</v>
      </c>
      <c r="G18" s="438" t="s">
        <v>1262</v>
      </c>
      <c r="K18" s="18" t="s">
        <v>92</v>
      </c>
      <c r="L18" s="13" t="s">
        <v>93</v>
      </c>
      <c r="Q18" s="745"/>
      <c r="R18" s="746"/>
      <c r="S18" s="19"/>
    </row>
    <row r="19" spans="1:20" ht="17.100000000000001" customHeight="1">
      <c r="A19" s="20"/>
      <c r="C19" s="13"/>
      <c r="K19" s="18"/>
      <c r="S19" s="19"/>
    </row>
    <row r="20" spans="1:20" ht="17.100000000000001" customHeight="1">
      <c r="A20" s="20" t="s">
        <v>94</v>
      </c>
      <c r="B20" s="13" t="s">
        <v>95</v>
      </c>
      <c r="C20" s="13"/>
      <c r="F20" s="437" t="s">
        <v>1261</v>
      </c>
      <c r="G20" s="438" t="s">
        <v>1261</v>
      </c>
      <c r="K20" s="18"/>
      <c r="S20" s="19"/>
    </row>
    <row r="21" spans="1:20" ht="17.100000000000001" customHeight="1">
      <c r="A21" s="20"/>
      <c r="C21" s="13"/>
      <c r="K21" s="18"/>
      <c r="S21" s="19"/>
    </row>
    <row r="22" spans="1:20" ht="17.100000000000001" customHeight="1">
      <c r="A22" s="20" t="s">
        <v>96</v>
      </c>
      <c r="B22" s="13" t="s">
        <v>97</v>
      </c>
      <c r="C22" s="13"/>
      <c r="F22" s="439">
        <v>0</v>
      </c>
      <c r="G22" s="438" t="s">
        <v>829</v>
      </c>
      <c r="K22" s="18"/>
      <c r="S22" s="19"/>
    </row>
    <row r="23" spans="1:20" ht="17.100000000000001" customHeight="1">
      <c r="A23" s="20"/>
      <c r="B23" s="13" t="s">
        <v>98</v>
      </c>
      <c r="C23" s="13"/>
      <c r="K23" s="18"/>
      <c r="S23" s="19"/>
    </row>
    <row r="24" spans="1:20" ht="17.100000000000001" customHeight="1">
      <c r="A24" s="20"/>
      <c r="C24" s="13"/>
      <c r="K24" s="18"/>
      <c r="S24" s="19"/>
    </row>
    <row r="25" spans="1:20" ht="17.100000000000001" customHeight="1">
      <c r="A25" s="20" t="s">
        <v>99</v>
      </c>
      <c r="B25" s="13" t="s">
        <v>100</v>
      </c>
      <c r="C25" s="13"/>
      <c r="E25" s="437" t="s">
        <v>829</v>
      </c>
      <c r="F25" s="438" t="s">
        <v>829</v>
      </c>
      <c r="G25" s="437" t="s">
        <v>829</v>
      </c>
      <c r="H25" s="438" t="s">
        <v>829</v>
      </c>
      <c r="K25" s="18"/>
      <c r="S25" s="19"/>
    </row>
    <row r="26" spans="1:20" ht="17.100000000000001" customHeight="1">
      <c r="A26" s="21"/>
      <c r="B26" s="23"/>
      <c r="C26" s="23"/>
      <c r="D26" s="23"/>
      <c r="E26" s="23"/>
      <c r="F26" s="23"/>
      <c r="G26" s="23"/>
      <c r="H26" s="23"/>
      <c r="I26" s="23"/>
      <c r="J26" s="23"/>
      <c r="K26" s="21"/>
      <c r="L26" s="23"/>
      <c r="M26" s="23"/>
      <c r="N26" s="23"/>
      <c r="O26" s="23"/>
      <c r="P26" s="23"/>
      <c r="Q26" s="23"/>
      <c r="R26" s="23"/>
      <c r="S26" s="24"/>
    </row>
    <row r="27" spans="1:20" ht="17.100000000000001" customHeight="1"/>
    <row r="28" spans="1:20" ht="17.100000000000001" customHeight="1">
      <c r="A28" s="747" t="s">
        <v>101</v>
      </c>
      <c r="B28" s="747"/>
      <c r="C28" s="747"/>
      <c r="D28" s="747"/>
      <c r="E28" s="747"/>
      <c r="F28" s="747"/>
      <c r="G28" s="747"/>
      <c r="H28" s="747"/>
      <c r="I28" s="747"/>
      <c r="J28" s="747"/>
      <c r="K28" s="747"/>
      <c r="L28" s="747"/>
      <c r="M28" s="747"/>
      <c r="N28" s="747"/>
      <c r="O28" s="747"/>
      <c r="P28" s="747"/>
      <c r="Q28" s="747"/>
      <c r="R28" s="747"/>
      <c r="S28" s="747"/>
      <c r="T28" s="747"/>
    </row>
    <row r="29" spans="1:20" ht="17.100000000000001" customHeight="1"/>
    <row r="30" spans="1:20" ht="29.1" customHeight="1">
      <c r="B30" s="307" t="s">
        <v>833</v>
      </c>
      <c r="C30" s="748" t="s">
        <v>834</v>
      </c>
      <c r="D30" s="748"/>
      <c r="E30" s="748"/>
      <c r="F30" s="748"/>
      <c r="G30" s="748"/>
      <c r="H30" s="748"/>
      <c r="I30" s="748"/>
      <c r="J30" s="748"/>
      <c r="K30" s="749" t="s">
        <v>102</v>
      </c>
      <c r="L30" s="750"/>
      <c r="M30" s="25" t="s">
        <v>103</v>
      </c>
    </row>
    <row r="31" spans="1:20" ht="17.100000000000001" customHeight="1">
      <c r="B31" s="18"/>
      <c r="C31" s="15"/>
      <c r="D31" s="16"/>
      <c r="E31" s="16"/>
      <c r="F31" s="16"/>
      <c r="G31" s="16"/>
      <c r="H31" s="16"/>
      <c r="I31" s="16"/>
      <c r="J31" s="17"/>
      <c r="K31" s="15"/>
      <c r="L31" s="16"/>
      <c r="M31" s="29"/>
    </row>
    <row r="32" spans="1:20" ht="17.100000000000001" customHeight="1">
      <c r="B32" s="18"/>
      <c r="C32" s="18"/>
      <c r="J32" s="19"/>
      <c r="K32" s="18"/>
      <c r="M32" s="29"/>
    </row>
    <row r="33" spans="2:13" ht="17.100000000000001" customHeight="1">
      <c r="B33" s="440" t="s">
        <v>1256</v>
      </c>
      <c r="C33" s="308"/>
      <c r="D33" s="437" t="s">
        <v>829</v>
      </c>
      <c r="E33" s="438" t="s">
        <v>1263</v>
      </c>
      <c r="F33" s="437" t="s">
        <v>829</v>
      </c>
      <c r="G33" s="438" t="s">
        <v>829</v>
      </c>
      <c r="H33" s="437" t="s">
        <v>829</v>
      </c>
      <c r="I33" s="438" t="s">
        <v>1261</v>
      </c>
      <c r="J33" s="19"/>
      <c r="K33" s="18"/>
      <c r="L33" s="441">
        <v>15118888788</v>
      </c>
      <c r="M33" s="442">
        <f>+L33/$L$59</f>
        <v>1</v>
      </c>
    </row>
    <row r="34" spans="2:13" ht="17.100000000000001" customHeight="1">
      <c r="B34" s="18"/>
      <c r="C34" s="18"/>
      <c r="J34" s="19"/>
      <c r="K34" s="18"/>
      <c r="M34" s="29"/>
    </row>
    <row r="35" spans="2:13" ht="17.100000000000001" customHeight="1">
      <c r="B35" s="18"/>
      <c r="C35" s="18"/>
      <c r="J35" s="19"/>
      <c r="K35" s="18"/>
      <c r="M35" s="29"/>
    </row>
    <row r="36" spans="2:13" ht="17.100000000000001" customHeight="1">
      <c r="B36" s="308"/>
      <c r="C36" s="18"/>
      <c r="D36" s="237"/>
      <c r="E36" s="238"/>
      <c r="F36" s="237"/>
      <c r="G36" s="238"/>
      <c r="H36" s="237"/>
      <c r="I36" s="238"/>
      <c r="J36" s="19"/>
      <c r="K36" s="18"/>
      <c r="L36" s="305"/>
      <c r="M36" s="442">
        <f>+L36/$L$59</f>
        <v>0</v>
      </c>
    </row>
    <row r="37" spans="2:13" ht="17.100000000000001" customHeight="1">
      <c r="B37" s="18"/>
      <c r="C37" s="18"/>
      <c r="J37" s="19"/>
      <c r="K37" s="18"/>
      <c r="M37" s="29"/>
    </row>
    <row r="38" spans="2:13" ht="17.100000000000001" customHeight="1">
      <c r="B38" s="18"/>
      <c r="C38" s="18"/>
      <c r="J38" s="19"/>
      <c r="K38" s="18"/>
      <c r="M38" s="29"/>
    </row>
    <row r="39" spans="2:13" ht="17.100000000000001" customHeight="1">
      <c r="B39" s="308"/>
      <c r="C39" s="18"/>
      <c r="D39" s="237"/>
      <c r="E39" s="238"/>
      <c r="F39" s="237"/>
      <c r="G39" s="238"/>
      <c r="H39" s="237"/>
      <c r="I39" s="238"/>
      <c r="J39" s="19"/>
      <c r="K39" s="18"/>
      <c r="L39" s="305"/>
      <c r="M39" s="442">
        <f>+L39/$L$59</f>
        <v>0</v>
      </c>
    </row>
    <row r="40" spans="2:13" ht="17.100000000000001" customHeight="1">
      <c r="B40" s="18"/>
      <c r="C40" s="18"/>
      <c r="J40" s="19"/>
      <c r="K40" s="18"/>
      <c r="M40" s="29"/>
    </row>
    <row r="41" spans="2:13" ht="17.100000000000001" customHeight="1">
      <c r="B41" s="18"/>
      <c r="C41" s="18"/>
      <c r="J41" s="19"/>
      <c r="K41" s="18"/>
      <c r="M41" s="29"/>
    </row>
    <row r="42" spans="2:13" ht="17.100000000000001" customHeight="1">
      <c r="B42" s="18"/>
      <c r="C42" s="18"/>
      <c r="D42" s="21"/>
      <c r="E42" s="22"/>
      <c r="F42" s="21"/>
      <c r="G42" s="22"/>
      <c r="H42" s="21"/>
      <c r="I42" s="22"/>
      <c r="J42" s="19"/>
      <c r="K42" s="18"/>
      <c r="M42" s="442">
        <f>+L42/$L$59</f>
        <v>0</v>
      </c>
    </row>
    <row r="43" spans="2:13" ht="17.100000000000001" customHeight="1">
      <c r="B43" s="18"/>
      <c r="C43" s="18"/>
      <c r="J43" s="19"/>
      <c r="K43" s="18"/>
      <c r="M43" s="29"/>
    </row>
    <row r="44" spans="2:13" ht="17.100000000000001" customHeight="1">
      <c r="B44" s="18"/>
      <c r="C44" s="18"/>
      <c r="J44" s="19"/>
      <c r="K44" s="18"/>
      <c r="M44" s="29"/>
    </row>
    <row r="45" spans="2:13" ht="17.100000000000001" customHeight="1">
      <c r="B45" s="18"/>
      <c r="C45" s="18"/>
      <c r="D45" s="21"/>
      <c r="E45" s="22"/>
      <c r="F45" s="21"/>
      <c r="G45" s="22"/>
      <c r="H45" s="21"/>
      <c r="I45" s="22"/>
      <c r="J45" s="19"/>
      <c r="K45" s="18"/>
      <c r="M45" s="442">
        <f>+L45/$L$59</f>
        <v>0</v>
      </c>
    </row>
    <row r="46" spans="2:13" ht="17.100000000000001" customHeight="1">
      <c r="B46" s="18"/>
      <c r="C46" s="18"/>
      <c r="J46" s="19"/>
      <c r="K46" s="18"/>
      <c r="M46" s="29"/>
    </row>
    <row r="47" spans="2:13" ht="17.100000000000001" customHeight="1">
      <c r="B47" s="18"/>
      <c r="C47" s="18"/>
      <c r="J47" s="19"/>
      <c r="K47" s="18"/>
      <c r="M47" s="29"/>
    </row>
    <row r="48" spans="2:13" ht="17.100000000000001" customHeight="1">
      <c r="B48" s="18"/>
      <c r="C48" s="18"/>
      <c r="D48" s="21"/>
      <c r="E48" s="22"/>
      <c r="F48" s="21"/>
      <c r="G48" s="22"/>
      <c r="H48" s="21"/>
      <c r="I48" s="22"/>
      <c r="J48" s="19"/>
      <c r="K48" s="18"/>
      <c r="M48" s="442">
        <f>+L48/$L$59</f>
        <v>0</v>
      </c>
    </row>
    <row r="49" spans="2:13" ht="17.100000000000001" customHeight="1">
      <c r="B49" s="18"/>
      <c r="C49" s="18"/>
      <c r="J49" s="19"/>
      <c r="K49" s="18"/>
      <c r="M49" s="29"/>
    </row>
    <row r="50" spans="2:13" ht="17.100000000000001" customHeight="1">
      <c r="B50" s="18"/>
      <c r="C50" s="18"/>
      <c r="J50" s="19"/>
      <c r="K50" s="18"/>
      <c r="M50" s="29"/>
    </row>
    <row r="51" spans="2:13" ht="17.100000000000001" customHeight="1">
      <c r="B51" s="18"/>
      <c r="C51" s="18"/>
      <c r="D51" s="21"/>
      <c r="E51" s="22"/>
      <c r="F51" s="21"/>
      <c r="G51" s="22"/>
      <c r="H51" s="21"/>
      <c r="I51" s="22"/>
      <c r="J51" s="19"/>
      <c r="K51" s="18"/>
      <c r="M51" s="442">
        <f>+L51/$L$59</f>
        <v>0</v>
      </c>
    </row>
    <row r="52" spans="2:13" ht="17.100000000000001" customHeight="1">
      <c r="B52" s="18"/>
      <c r="C52" s="18"/>
      <c r="J52" s="19"/>
      <c r="K52" s="18"/>
      <c r="M52" s="29"/>
    </row>
    <row r="53" spans="2:13" ht="17.100000000000001" customHeight="1">
      <c r="B53" s="18"/>
      <c r="C53" s="18"/>
      <c r="J53" s="19"/>
      <c r="K53" s="18"/>
      <c r="M53" s="29"/>
    </row>
    <row r="54" spans="2:13" ht="17.100000000000001" customHeight="1">
      <c r="B54" s="18"/>
      <c r="C54" s="18"/>
      <c r="D54" s="21"/>
      <c r="E54" s="22"/>
      <c r="F54" s="21"/>
      <c r="G54" s="22"/>
      <c r="H54" s="21"/>
      <c r="I54" s="22"/>
      <c r="J54" s="19"/>
      <c r="K54" s="18"/>
      <c r="M54" s="442">
        <f>+L54/$L$59</f>
        <v>0</v>
      </c>
    </row>
    <row r="55" spans="2:13" ht="17.100000000000001" customHeight="1">
      <c r="B55" s="18"/>
      <c r="C55" s="18"/>
      <c r="J55" s="19"/>
      <c r="K55" s="18"/>
      <c r="M55" s="29"/>
    </row>
    <row r="56" spans="2:13" ht="17.100000000000001" customHeight="1">
      <c r="B56" s="21"/>
      <c r="C56" s="21"/>
      <c r="D56" s="23"/>
      <c r="E56" s="23"/>
      <c r="F56" s="23"/>
      <c r="G56" s="23"/>
      <c r="H56" s="23"/>
      <c r="I56" s="23"/>
      <c r="J56" s="24"/>
      <c r="K56" s="21"/>
      <c r="L56" s="23"/>
      <c r="M56" s="29"/>
    </row>
    <row r="57" spans="2:13" ht="17.100000000000001" customHeight="1">
      <c r="B57" s="15" t="s">
        <v>104</v>
      </c>
      <c r="C57" s="15"/>
      <c r="D57" s="16"/>
      <c r="E57" s="16"/>
      <c r="F57" s="16"/>
      <c r="G57" s="16"/>
      <c r="H57" s="16"/>
      <c r="I57" s="16"/>
      <c r="J57" s="17"/>
      <c r="K57" s="15"/>
      <c r="L57" s="16"/>
      <c r="M57" s="306"/>
    </row>
    <row r="58" spans="2:13" ht="17.100000000000001" customHeight="1">
      <c r="B58" s="21"/>
      <c r="C58" s="21"/>
      <c r="D58" s="23"/>
      <c r="E58" s="23"/>
      <c r="F58" s="23"/>
      <c r="G58" s="23"/>
      <c r="H58" s="23"/>
      <c r="I58" s="23"/>
      <c r="J58" s="24"/>
      <c r="K58" s="21"/>
      <c r="L58" s="23"/>
      <c r="M58" s="22"/>
    </row>
    <row r="59" spans="2:13" ht="17.100000000000001" customHeight="1">
      <c r="B59" s="18"/>
      <c r="C59" s="739" t="s">
        <v>105</v>
      </c>
      <c r="D59" s="740"/>
      <c r="E59" s="740"/>
      <c r="F59" s="740"/>
      <c r="G59" s="740"/>
      <c r="H59" s="740"/>
      <c r="I59" s="740"/>
      <c r="J59" s="741"/>
      <c r="K59" s="15"/>
      <c r="L59" s="443">
        <f>SUM(L32:L56)</f>
        <v>15118888788</v>
      </c>
      <c r="M59" s="442">
        <f>SUM(M32:M57)</f>
        <v>1</v>
      </c>
    </row>
    <row r="60" spans="2:13" ht="17.100000000000001" customHeight="1">
      <c r="B60" s="21"/>
      <c r="C60" s="21"/>
      <c r="D60" s="23"/>
      <c r="E60" s="23"/>
      <c r="F60" s="23"/>
      <c r="G60" s="23"/>
      <c r="H60" s="23"/>
      <c r="I60" s="23"/>
      <c r="J60" s="24"/>
      <c r="K60" s="21"/>
      <c r="L60" s="23"/>
      <c r="M60" s="22"/>
    </row>
    <row r="61" spans="2:13" ht="17.100000000000001" customHeight="1"/>
    <row r="62" spans="2:13" ht="17.100000000000001" customHeight="1">
      <c r="B62" s="13" t="s">
        <v>106</v>
      </c>
    </row>
    <row r="63" spans="2:13" ht="17.100000000000001" customHeight="1">
      <c r="B63" s="13" t="s">
        <v>107</v>
      </c>
    </row>
    <row r="64" spans="2:13" ht="17.100000000000001" customHeight="1">
      <c r="B64" s="13" t="s">
        <v>108</v>
      </c>
    </row>
  </sheetData>
  <mergeCells count="15">
    <mergeCell ref="A1:T2"/>
    <mergeCell ref="C59:J59"/>
    <mergeCell ref="L12:Q12"/>
    <mergeCell ref="C4:S4"/>
    <mergeCell ref="B6:K6"/>
    <mergeCell ref="M6:S6"/>
    <mergeCell ref="B8:I8"/>
    <mergeCell ref="N8:S8"/>
    <mergeCell ref="Q14:R14"/>
    <mergeCell ref="Q16:R16"/>
    <mergeCell ref="Q18:R18"/>
    <mergeCell ref="A28:T28"/>
    <mergeCell ref="C30:J30"/>
    <mergeCell ref="K30:L30"/>
    <mergeCell ref="A10:Q10"/>
  </mergeCells>
  <pageMargins left="0.70866141732279997" right="0.70866141732279997" top="0.74803149606300001" bottom="0.74803149606300001" header="0.31496062992129997" footer="0.31496062992129997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showGridLines="0" topLeftCell="A20" workbookViewId="0">
      <selection activeCell="E36" sqref="E36:F37"/>
    </sheetView>
  </sheetViews>
  <sheetFormatPr baseColWidth="10" defaultColWidth="11.42578125" defaultRowHeight="12.75"/>
  <cols>
    <col min="1" max="1" width="22.28515625" style="13" customWidth="1" collapsed="1"/>
    <col min="2" max="2" width="15.140625" style="13" customWidth="1" collapsed="1"/>
    <col min="3" max="3" width="25.7109375" style="447" customWidth="1" collapsed="1"/>
    <col min="4" max="5" width="15.140625" style="13" customWidth="1" collapsed="1"/>
    <col min="6" max="256" width="11.42578125" style="13" customWidth="1" collapsed="1"/>
    <col min="257" max="16384" width="11.42578125" style="13" collapsed="1"/>
  </cols>
  <sheetData>
    <row r="1" spans="1:256" s="395" customFormat="1" ht="20.65" customHeight="1">
      <c r="A1" s="738" t="s">
        <v>1130</v>
      </c>
      <c r="B1" s="738"/>
      <c r="C1" s="738"/>
      <c r="D1" s="738"/>
      <c r="E1" s="738"/>
      <c r="F1" s="738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90"/>
      <c r="AO1" s="390"/>
      <c r="AP1" s="390"/>
      <c r="AQ1" s="390"/>
      <c r="AR1" s="390"/>
      <c r="AS1" s="390"/>
      <c r="AT1" s="390"/>
      <c r="AU1" s="390"/>
      <c r="AV1" s="390"/>
      <c r="AW1" s="390"/>
      <c r="AX1" s="390"/>
      <c r="AY1" s="390"/>
      <c r="AZ1" s="390"/>
      <c r="BA1" s="390"/>
      <c r="BB1" s="390"/>
      <c r="BC1" s="390"/>
      <c r="BD1" s="390"/>
      <c r="BE1" s="390"/>
      <c r="BF1" s="390"/>
      <c r="BG1" s="390"/>
      <c r="BH1" s="390"/>
      <c r="BI1" s="390"/>
      <c r="BJ1" s="390"/>
      <c r="BK1" s="390"/>
      <c r="BL1" s="390"/>
      <c r="BM1" s="390"/>
      <c r="BN1" s="390"/>
      <c r="BO1" s="390"/>
      <c r="BP1" s="390"/>
      <c r="BQ1" s="390"/>
      <c r="BR1" s="390"/>
      <c r="BS1" s="390"/>
      <c r="BT1" s="390"/>
      <c r="BU1" s="390"/>
      <c r="BV1" s="390"/>
      <c r="BW1" s="390"/>
      <c r="BX1" s="390"/>
      <c r="BY1" s="390"/>
      <c r="BZ1" s="390"/>
      <c r="CA1" s="390"/>
      <c r="CB1" s="390"/>
      <c r="CC1" s="390"/>
      <c r="CD1" s="390"/>
      <c r="CE1" s="390"/>
      <c r="CF1" s="390"/>
      <c r="CG1" s="390"/>
      <c r="CH1" s="390"/>
      <c r="CI1" s="390"/>
      <c r="CJ1" s="390"/>
      <c r="CK1" s="390"/>
      <c r="CL1" s="390"/>
      <c r="CM1" s="390"/>
      <c r="CN1" s="390"/>
      <c r="CO1" s="390"/>
      <c r="CP1" s="390"/>
      <c r="CQ1" s="390"/>
      <c r="CR1" s="390"/>
      <c r="CS1" s="390"/>
      <c r="CT1" s="390"/>
      <c r="CU1" s="390"/>
      <c r="CV1" s="390"/>
      <c r="CW1" s="390"/>
      <c r="CX1" s="390"/>
      <c r="CY1" s="390"/>
      <c r="CZ1" s="390"/>
      <c r="DA1" s="390"/>
      <c r="DB1" s="390"/>
      <c r="DC1" s="390"/>
      <c r="DD1" s="390"/>
      <c r="DE1" s="390"/>
      <c r="DF1" s="390"/>
      <c r="DG1" s="390"/>
      <c r="DH1" s="390"/>
      <c r="DI1" s="390"/>
      <c r="DJ1" s="390"/>
      <c r="DK1" s="390"/>
      <c r="DL1" s="390"/>
      <c r="DM1" s="390"/>
      <c r="DN1" s="390"/>
      <c r="DO1" s="390"/>
      <c r="DP1" s="390"/>
      <c r="DQ1" s="390"/>
      <c r="DR1" s="390"/>
      <c r="DS1" s="390"/>
      <c r="DT1" s="390"/>
      <c r="DU1" s="390"/>
      <c r="DV1" s="390"/>
      <c r="DW1" s="390"/>
      <c r="DX1" s="390"/>
      <c r="DY1" s="390"/>
      <c r="DZ1" s="390"/>
      <c r="EA1" s="390"/>
      <c r="EB1" s="390"/>
      <c r="EC1" s="390"/>
      <c r="ED1" s="390"/>
      <c r="EE1" s="390"/>
      <c r="EF1" s="390"/>
      <c r="EG1" s="390"/>
      <c r="EH1" s="390"/>
      <c r="EI1" s="390"/>
      <c r="EJ1" s="390"/>
      <c r="EK1" s="390"/>
      <c r="EL1" s="390"/>
      <c r="EM1" s="390"/>
      <c r="EN1" s="390"/>
      <c r="EO1" s="390"/>
      <c r="EP1" s="390"/>
      <c r="EQ1" s="390"/>
      <c r="ER1" s="390"/>
      <c r="ES1" s="390"/>
      <c r="ET1" s="390"/>
      <c r="EU1" s="390"/>
      <c r="EV1" s="390"/>
      <c r="EW1" s="390"/>
      <c r="EX1" s="390"/>
      <c r="EY1" s="390"/>
      <c r="EZ1" s="390"/>
      <c r="FA1" s="390"/>
      <c r="FB1" s="390"/>
      <c r="FC1" s="390"/>
      <c r="FD1" s="390"/>
      <c r="FE1" s="390"/>
      <c r="FF1" s="390"/>
      <c r="FG1" s="390"/>
      <c r="FH1" s="390"/>
      <c r="FI1" s="390"/>
      <c r="FJ1" s="390"/>
      <c r="FK1" s="390"/>
      <c r="FL1" s="390"/>
      <c r="FM1" s="390"/>
      <c r="FN1" s="390"/>
      <c r="FO1" s="390"/>
      <c r="FP1" s="390"/>
      <c r="FQ1" s="390"/>
      <c r="FR1" s="390"/>
      <c r="FS1" s="390"/>
      <c r="FT1" s="390"/>
      <c r="FU1" s="390"/>
      <c r="FV1" s="390"/>
      <c r="FW1" s="390"/>
      <c r="FX1" s="390"/>
      <c r="FY1" s="390"/>
      <c r="FZ1" s="390"/>
      <c r="GA1" s="390"/>
      <c r="GB1" s="390"/>
      <c r="GC1" s="390"/>
      <c r="GD1" s="390"/>
      <c r="GE1" s="390"/>
      <c r="GF1" s="390"/>
      <c r="GG1" s="390"/>
      <c r="GH1" s="390"/>
      <c r="GI1" s="390"/>
      <c r="GJ1" s="390"/>
      <c r="GK1" s="390"/>
      <c r="GL1" s="390"/>
      <c r="GM1" s="390"/>
      <c r="GN1" s="390"/>
      <c r="GO1" s="390"/>
      <c r="GP1" s="390"/>
      <c r="GQ1" s="390"/>
      <c r="GR1" s="390"/>
      <c r="GS1" s="390"/>
      <c r="GT1" s="390"/>
      <c r="GU1" s="390"/>
      <c r="GV1" s="390"/>
      <c r="GW1" s="390"/>
      <c r="GX1" s="390"/>
      <c r="GY1" s="390"/>
      <c r="GZ1" s="390"/>
      <c r="HA1" s="390"/>
      <c r="HB1" s="390"/>
      <c r="HC1" s="390"/>
      <c r="HD1" s="390"/>
      <c r="HE1" s="390"/>
      <c r="HF1" s="390"/>
      <c r="HG1" s="390"/>
      <c r="HH1" s="390"/>
      <c r="HI1" s="390"/>
      <c r="HJ1" s="390"/>
      <c r="HK1" s="390"/>
      <c r="HL1" s="390"/>
      <c r="HM1" s="390"/>
      <c r="HN1" s="390"/>
      <c r="HO1" s="390"/>
      <c r="HP1" s="390"/>
      <c r="HQ1" s="390"/>
      <c r="HR1" s="390"/>
      <c r="HS1" s="390"/>
      <c r="HT1" s="390"/>
      <c r="HU1" s="390"/>
      <c r="HV1" s="390"/>
      <c r="HW1" s="390"/>
      <c r="HX1" s="390"/>
      <c r="HY1" s="390"/>
      <c r="HZ1" s="390"/>
      <c r="IA1" s="390"/>
      <c r="IB1" s="390"/>
      <c r="IC1" s="390"/>
      <c r="ID1" s="390"/>
      <c r="IE1" s="390"/>
      <c r="IF1" s="390"/>
      <c r="IG1" s="390"/>
      <c r="IH1" s="390"/>
      <c r="II1" s="390"/>
      <c r="IJ1" s="390"/>
      <c r="IK1" s="390"/>
      <c r="IL1" s="390"/>
      <c r="IM1" s="390"/>
      <c r="IN1" s="390"/>
      <c r="IO1" s="390"/>
      <c r="IP1" s="390"/>
      <c r="IQ1" s="390"/>
      <c r="IR1" s="390"/>
      <c r="IS1" s="390"/>
      <c r="IT1" s="390"/>
      <c r="IU1" s="390"/>
      <c r="IV1" s="390"/>
    </row>
    <row r="2" spans="1:256">
      <c r="C2" s="13"/>
    </row>
    <row r="3" spans="1:256" ht="16.350000000000001" customHeight="1">
      <c r="A3" s="13" t="s">
        <v>25</v>
      </c>
      <c r="B3" s="734" t="str">
        <f>'Fiche de renseignement R1'!$J$4</f>
        <v>SOCIETE NOUVELLE DES SALINS DU SINE SALOUM</v>
      </c>
      <c r="C3" s="735"/>
      <c r="D3" s="735"/>
      <c r="E3" s="735"/>
      <c r="F3" s="735"/>
    </row>
    <row r="4" spans="1:256" ht="17.100000000000001" customHeight="1">
      <c r="A4" s="13" t="s">
        <v>26</v>
      </c>
      <c r="B4" s="734" t="str">
        <f>'Fiche de renseignement R1'!J7</f>
        <v>DIORHANE BP 200</v>
      </c>
      <c r="C4" s="735"/>
      <c r="D4" s="13" t="s">
        <v>27</v>
      </c>
      <c r="E4" s="734" t="str">
        <f>'Fiche de renseignement R1'!AD7</f>
        <v>SNSSS</v>
      </c>
      <c r="F4" s="712"/>
    </row>
    <row r="5" spans="1:256" ht="16.350000000000001" customHeight="1">
      <c r="A5" s="13" t="s">
        <v>109</v>
      </c>
      <c r="B5" s="444" t="str">
        <f>+'Fiche de renseignement R1'!$J$10</f>
        <v>000018699</v>
      </c>
      <c r="C5" s="13" t="s">
        <v>29</v>
      </c>
      <c r="D5" s="436">
        <f>'Fiche de renseignement R1'!V10</f>
        <v>45657</v>
      </c>
      <c r="E5" s="13" t="s">
        <v>30</v>
      </c>
      <c r="F5" s="444">
        <f>'Fiche de renseignement R1'!AH10</f>
        <v>12</v>
      </c>
    </row>
    <row r="6" spans="1:256" ht="16.350000000000001" customHeight="1"/>
    <row r="7" spans="1:256" s="395" customFormat="1" ht="18.600000000000001" customHeight="1">
      <c r="A7" s="757" t="s">
        <v>1131</v>
      </c>
      <c r="B7" s="758"/>
      <c r="C7" s="758"/>
      <c r="D7" s="758"/>
      <c r="E7" s="758"/>
      <c r="F7" s="758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  <c r="EB7" s="390"/>
      <c r="EC7" s="390"/>
      <c r="ED7" s="390"/>
      <c r="EE7" s="390"/>
      <c r="EF7" s="390"/>
      <c r="EG7" s="390"/>
      <c r="EH7" s="390"/>
      <c r="EI7" s="390"/>
      <c r="EJ7" s="390"/>
      <c r="EK7" s="390"/>
      <c r="EL7" s="390"/>
      <c r="EM7" s="390"/>
      <c r="EN7" s="390"/>
      <c r="EO7" s="390"/>
      <c r="EP7" s="390"/>
      <c r="EQ7" s="390"/>
      <c r="ER7" s="390"/>
      <c r="ES7" s="390"/>
      <c r="ET7" s="390"/>
      <c r="EU7" s="390"/>
      <c r="EV7" s="390"/>
      <c r="EW7" s="390"/>
      <c r="EX7" s="390"/>
      <c r="EY7" s="390"/>
      <c r="EZ7" s="390"/>
      <c r="FA7" s="390"/>
      <c r="FB7" s="390"/>
      <c r="FC7" s="390"/>
      <c r="FD7" s="390"/>
      <c r="FE7" s="390"/>
      <c r="FF7" s="390"/>
      <c r="FG7" s="390"/>
      <c r="FH7" s="390"/>
      <c r="FI7" s="390"/>
      <c r="FJ7" s="390"/>
      <c r="FK7" s="390"/>
      <c r="FL7" s="390"/>
      <c r="FM7" s="390"/>
      <c r="FN7" s="390"/>
      <c r="FO7" s="390"/>
      <c r="FP7" s="390"/>
      <c r="FQ7" s="390"/>
      <c r="FR7" s="390"/>
      <c r="FS7" s="390"/>
      <c r="FT7" s="390"/>
      <c r="FU7" s="390"/>
      <c r="FV7" s="390"/>
      <c r="FW7" s="390"/>
      <c r="FX7" s="390"/>
      <c r="FY7" s="390"/>
      <c r="FZ7" s="390"/>
      <c r="GA7" s="390"/>
      <c r="GB7" s="390"/>
      <c r="GC7" s="390"/>
      <c r="GD7" s="390"/>
      <c r="GE7" s="390"/>
      <c r="GF7" s="390"/>
      <c r="GG7" s="390"/>
      <c r="GH7" s="390"/>
      <c r="GI7" s="390"/>
      <c r="GJ7" s="390"/>
      <c r="GK7" s="390"/>
      <c r="GL7" s="390"/>
      <c r="GM7" s="390"/>
      <c r="GN7" s="390"/>
      <c r="GO7" s="390"/>
      <c r="GP7" s="390"/>
      <c r="GQ7" s="390"/>
      <c r="GR7" s="390"/>
      <c r="GS7" s="390"/>
      <c r="GT7" s="390"/>
      <c r="GU7" s="390"/>
      <c r="GV7" s="390"/>
      <c r="GW7" s="390"/>
      <c r="GX7" s="390"/>
      <c r="GY7" s="390"/>
      <c r="GZ7" s="390"/>
      <c r="HA7" s="390"/>
      <c r="HB7" s="390"/>
      <c r="HC7" s="390"/>
      <c r="HD7" s="390"/>
      <c r="HE7" s="390"/>
      <c r="HF7" s="390"/>
      <c r="HG7" s="390"/>
      <c r="HH7" s="390"/>
      <c r="HI7" s="390"/>
      <c r="HJ7" s="390"/>
      <c r="HK7" s="390"/>
      <c r="HL7" s="390"/>
      <c r="HM7" s="390"/>
      <c r="HN7" s="390"/>
      <c r="HO7" s="390"/>
      <c r="HP7" s="390"/>
      <c r="HQ7" s="390"/>
      <c r="HR7" s="390"/>
      <c r="HS7" s="390"/>
      <c r="HT7" s="390"/>
      <c r="HU7" s="390"/>
      <c r="HV7" s="390"/>
      <c r="HW7" s="390"/>
      <c r="HX7" s="390"/>
      <c r="HY7" s="390"/>
      <c r="HZ7" s="390"/>
      <c r="IA7" s="390"/>
      <c r="IB7" s="390"/>
      <c r="IC7" s="390"/>
      <c r="ID7" s="390"/>
      <c r="IE7" s="390"/>
      <c r="IF7" s="390"/>
      <c r="IG7" s="390"/>
      <c r="IH7" s="390"/>
      <c r="II7" s="390"/>
      <c r="IJ7" s="390"/>
      <c r="IK7" s="390"/>
      <c r="IL7" s="390"/>
      <c r="IM7" s="390"/>
      <c r="IN7" s="390"/>
      <c r="IO7" s="390"/>
      <c r="IP7" s="390"/>
      <c r="IQ7" s="390"/>
      <c r="IR7" s="390"/>
      <c r="IS7" s="390"/>
      <c r="IT7" s="390"/>
      <c r="IU7" s="390"/>
      <c r="IV7" s="390"/>
    </row>
    <row r="8" spans="1:256" ht="8.25" customHeight="1">
      <c r="A8" s="751"/>
      <c r="B8" s="751"/>
      <c r="C8" s="751"/>
      <c r="D8" s="751"/>
      <c r="E8" s="751"/>
      <c r="F8" s="751"/>
    </row>
    <row r="9" spans="1:256" ht="17.100000000000001" customHeight="1">
      <c r="A9" s="759" t="s">
        <v>835</v>
      </c>
      <c r="B9" s="759"/>
      <c r="C9" s="759"/>
      <c r="D9" s="759"/>
      <c r="E9" s="759"/>
      <c r="F9" s="759"/>
    </row>
    <row r="10" spans="1:256" ht="8.1" customHeight="1"/>
    <row r="11" spans="1:256" ht="17.100000000000001" customHeight="1">
      <c r="A11" s="11" t="s">
        <v>110</v>
      </c>
      <c r="B11" s="11" t="s">
        <v>111</v>
      </c>
      <c r="C11" s="11" t="s">
        <v>112</v>
      </c>
      <c r="D11" s="34" t="s">
        <v>109</v>
      </c>
      <c r="E11" s="721" t="s">
        <v>113</v>
      </c>
      <c r="F11" s="723"/>
    </row>
    <row r="12" spans="1:256" ht="17.100000000000001" customHeight="1">
      <c r="A12" s="655" t="s">
        <v>1268</v>
      </c>
      <c r="B12" s="655" t="s">
        <v>1269</v>
      </c>
      <c r="C12" s="656" t="s">
        <v>1502</v>
      </c>
      <c r="D12" s="655"/>
      <c r="E12" s="657" t="s">
        <v>1503</v>
      </c>
      <c r="F12" s="33"/>
    </row>
    <row r="13" spans="1:256" ht="17.100000000000001" customHeight="1">
      <c r="A13" s="445"/>
      <c r="B13" s="445"/>
      <c r="C13" s="445"/>
      <c r="D13" s="445"/>
      <c r="E13" s="446"/>
      <c r="F13" s="33"/>
    </row>
    <row r="14" spans="1:256" ht="17.100000000000001" customHeight="1">
      <c r="A14" s="445"/>
      <c r="B14" s="445"/>
      <c r="C14" s="445"/>
      <c r="D14" s="445"/>
      <c r="E14" s="446"/>
      <c r="F14" s="33"/>
    </row>
    <row r="15" spans="1:256" ht="17.100000000000001" customHeight="1">
      <c r="A15" s="445"/>
      <c r="B15" s="445"/>
      <c r="C15" s="445"/>
      <c r="D15" s="445"/>
      <c r="E15" s="446"/>
      <c r="F15" s="33"/>
    </row>
    <row r="16" spans="1:256" ht="17.100000000000001" customHeight="1">
      <c r="A16" s="445"/>
      <c r="B16" s="445"/>
      <c r="C16" s="445"/>
      <c r="D16" s="445"/>
      <c r="E16" s="446"/>
      <c r="F16" s="33"/>
    </row>
    <row r="17" spans="1:6" ht="17.100000000000001" customHeight="1">
      <c r="A17" s="445"/>
      <c r="B17" s="445"/>
      <c r="C17" s="445"/>
      <c r="D17" s="445"/>
      <c r="E17" s="446"/>
      <c r="F17" s="33"/>
    </row>
    <row r="18" spans="1:6" ht="17.100000000000001" customHeight="1">
      <c r="A18" s="445"/>
      <c r="B18" s="445"/>
      <c r="C18" s="445"/>
      <c r="D18" s="445"/>
      <c r="E18" s="446"/>
      <c r="F18" s="33"/>
    </row>
    <row r="19" spans="1:6" ht="17.100000000000001" customHeight="1">
      <c r="A19" s="35"/>
      <c r="B19" s="35"/>
      <c r="C19" s="35"/>
      <c r="D19" s="30"/>
      <c r="E19" s="32"/>
      <c r="F19" s="33"/>
    </row>
    <row r="20" spans="1:6" ht="17.100000000000001" customHeight="1">
      <c r="A20" s="35"/>
      <c r="B20" s="35"/>
      <c r="C20" s="35"/>
      <c r="D20" s="30"/>
      <c r="E20" s="32"/>
      <c r="F20" s="33"/>
    </row>
    <row r="21" spans="1:6" ht="17.100000000000001" customHeight="1">
      <c r="A21" s="35"/>
      <c r="B21" s="35"/>
      <c r="C21" s="35"/>
      <c r="D21" s="30"/>
      <c r="E21" s="32"/>
      <c r="F21" s="33"/>
    </row>
    <row r="22" spans="1:6" ht="17.100000000000001" customHeight="1">
      <c r="A22" s="35"/>
      <c r="B22" s="35"/>
      <c r="C22" s="35"/>
      <c r="D22" s="30"/>
      <c r="E22" s="32"/>
      <c r="F22" s="33"/>
    </row>
    <row r="23" spans="1:6" ht="17.100000000000001" customHeight="1">
      <c r="A23" s="35"/>
      <c r="B23" s="35"/>
      <c r="C23" s="35"/>
      <c r="D23" s="30"/>
      <c r="E23" s="32"/>
      <c r="F23" s="33"/>
    </row>
    <row r="24" spans="1:6" ht="17.100000000000001" customHeight="1">
      <c r="A24" s="35"/>
      <c r="B24" s="35"/>
      <c r="C24" s="35"/>
      <c r="D24" s="30"/>
      <c r="E24" s="32"/>
      <c r="F24" s="33"/>
    </row>
    <row r="25" spans="1:6" ht="17.100000000000001" customHeight="1">
      <c r="A25" s="35"/>
      <c r="B25" s="35"/>
      <c r="C25" s="35"/>
      <c r="D25" s="30"/>
      <c r="E25" s="32"/>
      <c r="F25" s="33"/>
    </row>
    <row r="26" spans="1:6" ht="17.100000000000001" customHeight="1">
      <c r="A26" s="36"/>
      <c r="B26" s="36"/>
      <c r="C26" s="36"/>
      <c r="D26" s="31"/>
      <c r="E26" s="7"/>
      <c r="F26" s="8"/>
    </row>
    <row r="27" spans="1:6" ht="11.25" customHeight="1">
      <c r="A27" s="13" t="s">
        <v>114</v>
      </c>
    </row>
    <row r="28" spans="1:6" ht="8.1" customHeight="1"/>
    <row r="29" spans="1:6" ht="17.100000000000001" customHeight="1">
      <c r="A29" s="760" t="s">
        <v>115</v>
      </c>
      <c r="B29" s="760"/>
      <c r="C29" s="760"/>
      <c r="D29" s="760"/>
      <c r="E29" s="760"/>
      <c r="F29" s="760"/>
    </row>
    <row r="30" spans="1:6" ht="8.1" customHeight="1"/>
    <row r="31" spans="1:6" ht="17.100000000000001" customHeight="1">
      <c r="A31" s="9" t="s">
        <v>110</v>
      </c>
      <c r="B31" s="11" t="s">
        <v>111</v>
      </c>
      <c r="C31" s="721" t="s">
        <v>112</v>
      </c>
      <c r="D31" s="723"/>
      <c r="E31" s="722" t="s">
        <v>113</v>
      </c>
      <c r="F31" s="723"/>
    </row>
    <row r="32" spans="1:6" ht="17.100000000000001" customHeight="1">
      <c r="A32" s="240" t="s">
        <v>1265</v>
      </c>
      <c r="B32" s="239" t="s">
        <v>1264</v>
      </c>
      <c r="C32" s="755" t="s">
        <v>1504</v>
      </c>
      <c r="D32" s="753"/>
      <c r="E32" s="756" t="s">
        <v>1510</v>
      </c>
      <c r="F32" s="753"/>
    </row>
    <row r="33" spans="1:6" ht="23.25" customHeight="1">
      <c r="A33" s="658" t="s">
        <v>1505</v>
      </c>
      <c r="B33" s="239"/>
      <c r="C33" s="755" t="s">
        <v>1509</v>
      </c>
      <c r="D33" s="753"/>
      <c r="E33" s="756" t="s">
        <v>880</v>
      </c>
      <c r="F33" s="753"/>
    </row>
    <row r="34" spans="1:6" ht="23.25" customHeight="1">
      <c r="A34" s="659" t="s">
        <v>1506</v>
      </c>
      <c r="B34" s="239"/>
      <c r="C34" s="755" t="s">
        <v>1509</v>
      </c>
      <c r="D34" s="753"/>
      <c r="E34" s="756" t="s">
        <v>880</v>
      </c>
      <c r="F34" s="753"/>
    </row>
    <row r="35" spans="1:6" ht="24.75" customHeight="1">
      <c r="A35" s="38" t="s">
        <v>1267</v>
      </c>
      <c r="B35" s="37" t="s">
        <v>1266</v>
      </c>
      <c r="C35" s="755" t="s">
        <v>1509</v>
      </c>
      <c r="D35" s="753"/>
      <c r="E35" s="754" t="s">
        <v>1510</v>
      </c>
      <c r="F35" s="753"/>
    </row>
    <row r="36" spans="1:6" ht="27.75" customHeight="1">
      <c r="A36" s="660" t="s">
        <v>1507</v>
      </c>
      <c r="B36" s="38"/>
      <c r="C36" s="755" t="s">
        <v>1509</v>
      </c>
      <c r="D36" s="753"/>
      <c r="E36" s="756" t="s">
        <v>880</v>
      </c>
      <c r="F36" s="753"/>
    </row>
    <row r="37" spans="1:6" ht="17.100000000000001" customHeight="1">
      <c r="A37" s="37" t="s">
        <v>1508</v>
      </c>
      <c r="B37" s="38"/>
      <c r="C37" s="755" t="s">
        <v>1509</v>
      </c>
      <c r="D37" s="753"/>
      <c r="E37" s="756" t="s">
        <v>880</v>
      </c>
      <c r="F37" s="753"/>
    </row>
    <row r="38" spans="1:6" ht="17.100000000000001" customHeight="1">
      <c r="A38" s="37"/>
      <c r="B38" s="38"/>
      <c r="C38" s="752"/>
      <c r="D38" s="753"/>
      <c r="E38" s="754"/>
      <c r="F38" s="753"/>
    </row>
    <row r="39" spans="1:6" ht="17.100000000000001" customHeight="1">
      <c r="A39" s="37"/>
      <c r="B39" s="38"/>
      <c r="C39" s="752"/>
      <c r="D39" s="753"/>
      <c r="E39" s="754"/>
      <c r="F39" s="753"/>
    </row>
    <row r="40" spans="1:6" ht="17.100000000000001" customHeight="1">
      <c r="A40" s="37"/>
      <c r="B40" s="38"/>
      <c r="C40" s="752"/>
      <c r="D40" s="753"/>
      <c r="E40" s="754"/>
      <c r="F40" s="753"/>
    </row>
    <row r="41" spans="1:6" ht="17.100000000000001" customHeight="1">
      <c r="A41" s="37"/>
      <c r="B41" s="38"/>
      <c r="C41" s="752"/>
      <c r="D41" s="753"/>
      <c r="E41" s="754"/>
      <c r="F41" s="753"/>
    </row>
    <row r="42" spans="1:6" ht="17.100000000000001" customHeight="1">
      <c r="A42" s="37"/>
      <c r="B42" s="38"/>
      <c r="C42" s="752"/>
      <c r="D42" s="753"/>
      <c r="E42" s="754"/>
      <c r="F42" s="753"/>
    </row>
    <row r="43" spans="1:6" ht="17.100000000000001" customHeight="1">
      <c r="A43" s="37"/>
      <c r="B43" s="38"/>
      <c r="C43" s="752"/>
      <c r="D43" s="753"/>
      <c r="E43" s="754"/>
      <c r="F43" s="753"/>
    </row>
    <row r="44" spans="1:6" ht="17.100000000000001" customHeight="1">
      <c r="A44" s="37"/>
      <c r="B44" s="38"/>
      <c r="C44" s="752"/>
      <c r="D44" s="753"/>
      <c r="E44" s="754"/>
      <c r="F44" s="753"/>
    </row>
    <row r="45" spans="1:6" ht="17.100000000000001" customHeight="1">
      <c r="A45" s="37"/>
      <c r="B45" s="38"/>
      <c r="C45" s="752"/>
      <c r="D45" s="753"/>
      <c r="E45" s="754"/>
      <c r="F45" s="753"/>
    </row>
    <row r="46" spans="1:6" ht="17.100000000000001" customHeight="1">
      <c r="A46" s="37"/>
      <c r="B46" s="38"/>
      <c r="C46" s="752"/>
      <c r="D46" s="753"/>
      <c r="E46" s="754"/>
      <c r="F46" s="753"/>
    </row>
    <row r="47" spans="1:6" ht="17.100000000000001" customHeight="1">
      <c r="A47" s="37"/>
      <c r="B47" s="38"/>
      <c r="C47" s="752"/>
      <c r="D47" s="753"/>
      <c r="E47" s="39"/>
      <c r="F47" s="40"/>
    </row>
    <row r="48" spans="1:6" ht="17.100000000000001" customHeight="1">
      <c r="A48" s="37"/>
      <c r="B48" s="38"/>
      <c r="C48" s="37"/>
      <c r="D48" s="40"/>
      <c r="E48" s="39"/>
      <c r="F48" s="40"/>
    </row>
    <row r="49" spans="1:6" ht="17.100000000000001" customHeight="1">
      <c r="A49" s="41"/>
      <c r="B49" s="42"/>
      <c r="C49" s="41"/>
      <c r="D49" s="43"/>
      <c r="E49" s="44"/>
      <c r="F49" s="43"/>
    </row>
    <row r="50" spans="1:6" ht="8.1" customHeight="1"/>
  </sheetData>
  <mergeCells count="42">
    <mergeCell ref="A1:F1"/>
    <mergeCell ref="A8:F8"/>
    <mergeCell ref="A7:F7"/>
    <mergeCell ref="C31:D31"/>
    <mergeCell ref="E31:F31"/>
    <mergeCell ref="B3:F3"/>
    <mergeCell ref="B4:C4"/>
    <mergeCell ref="A9:F9"/>
    <mergeCell ref="E11:F11"/>
    <mergeCell ref="A29:F29"/>
    <mergeCell ref="E4:F4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7:D47"/>
    <mergeCell ref="C44:D44"/>
    <mergeCell ref="E44:F44"/>
    <mergeCell ref="C45:D45"/>
    <mergeCell ref="E45:F45"/>
    <mergeCell ref="C46:D46"/>
    <mergeCell ref="E46:F46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showGridLines="0" topLeftCell="A31" zoomScale="80" zoomScaleNormal="80" workbookViewId="0">
      <selection activeCell="C54" sqref="C54"/>
    </sheetView>
  </sheetViews>
  <sheetFormatPr baseColWidth="10" defaultColWidth="10.28515625" defaultRowHeight="14.25" customHeight="1"/>
  <cols>
    <col min="1" max="1" width="16.5703125" style="12" customWidth="1" collapsed="1"/>
    <col min="2" max="2" width="60.28515625" style="57" customWidth="1" collapsed="1"/>
    <col min="3" max="3" width="10.28515625" style="12" collapsed="1"/>
    <col min="4" max="4" width="14.7109375" style="12" customWidth="1" collapsed="1"/>
    <col min="5" max="16384" width="10.28515625" style="12" collapsed="1"/>
  </cols>
  <sheetData>
    <row r="1" spans="1:6" s="396" customFormat="1" ht="20.100000000000001" customHeight="1">
      <c r="A1" s="763" t="s">
        <v>1132</v>
      </c>
      <c r="B1" s="764"/>
      <c r="C1" s="764"/>
      <c r="D1" s="764"/>
      <c r="E1" s="764"/>
      <c r="F1" s="764"/>
    </row>
    <row r="2" spans="1:6" s="396" customFormat="1">
      <c r="A2" s="765" t="s">
        <v>279</v>
      </c>
      <c r="B2" s="765"/>
      <c r="C2" s="765"/>
      <c r="D2" s="315" t="s">
        <v>280</v>
      </c>
      <c r="E2" s="766">
        <f>'Fiche de renseignement R1'!V10</f>
        <v>45657</v>
      </c>
      <c r="F2" s="767"/>
    </row>
    <row r="3" spans="1:6" s="396" customFormat="1">
      <c r="A3" s="768" t="str">
        <f>'Fiche de renseignement R1'!$J$4</f>
        <v>SOCIETE NOUVELLE DES SALINS DU SINE SALOUM</v>
      </c>
      <c r="B3" s="767"/>
      <c r="C3" s="767"/>
      <c r="D3" s="769" t="s">
        <v>281</v>
      </c>
      <c r="E3" s="770">
        <f>'Fiche de renseignement R1'!AH10</f>
        <v>12</v>
      </c>
      <c r="F3" s="771"/>
    </row>
    <row r="4" spans="1:6" s="396" customFormat="1" ht="25.5" customHeight="1">
      <c r="A4" s="317" t="s">
        <v>282</v>
      </c>
      <c r="B4" s="772" t="str">
        <f>+'Fiche de renseignement R1'!$J$10</f>
        <v>000018699</v>
      </c>
      <c r="C4" s="773"/>
      <c r="D4" s="769"/>
      <c r="E4" s="767"/>
      <c r="F4" s="767"/>
    </row>
    <row r="5" spans="1:6" s="396" customFormat="1">
      <c r="A5" s="397"/>
      <c r="B5" s="398"/>
    </row>
    <row r="6" spans="1:6" s="396" customFormat="1" ht="22.15" customHeight="1">
      <c r="A6" s="761" t="s">
        <v>1133</v>
      </c>
      <c r="B6" s="762"/>
      <c r="C6" s="762"/>
      <c r="D6" s="762"/>
    </row>
    <row r="7" spans="1:6" s="396" customFormat="1" ht="22.15" customHeight="1">
      <c r="A7" s="402"/>
      <c r="B7" s="403"/>
      <c r="C7" s="403"/>
      <c r="D7" s="403"/>
    </row>
    <row r="8" spans="1:6" s="396" customFormat="1">
      <c r="A8" s="399" t="s">
        <v>116</v>
      </c>
      <c r="B8" s="400" t="s">
        <v>117</v>
      </c>
      <c r="C8" s="401" t="s">
        <v>118</v>
      </c>
      <c r="D8" s="401" t="s">
        <v>119</v>
      </c>
    </row>
    <row r="9" spans="1:6" ht="28.5" customHeight="1">
      <c r="A9" s="450" t="s">
        <v>1270</v>
      </c>
      <c r="B9" s="451" t="s">
        <v>1271</v>
      </c>
      <c r="C9" s="452"/>
      <c r="D9" s="599" t="s">
        <v>15</v>
      </c>
    </row>
    <row r="10" spans="1:6" ht="28.5" customHeight="1">
      <c r="A10" s="450" t="s">
        <v>1272</v>
      </c>
      <c r="B10" s="451" t="s">
        <v>1273</v>
      </c>
      <c r="C10" s="599" t="s">
        <v>15</v>
      </c>
      <c r="D10" s="599"/>
    </row>
    <row r="11" spans="1:6">
      <c r="A11" s="450" t="s">
        <v>1274</v>
      </c>
      <c r="B11" s="451" t="s">
        <v>1275</v>
      </c>
      <c r="C11" s="599" t="s">
        <v>15</v>
      </c>
      <c r="D11" s="599"/>
    </row>
    <row r="12" spans="1:6">
      <c r="A12" s="450" t="s">
        <v>1276</v>
      </c>
      <c r="B12" s="451" t="s">
        <v>1277</v>
      </c>
      <c r="C12" s="452"/>
      <c r="D12" s="599" t="s">
        <v>15</v>
      </c>
    </row>
    <row r="13" spans="1:6">
      <c r="A13" s="450" t="s">
        <v>1278</v>
      </c>
      <c r="B13" s="451" t="s">
        <v>1279</v>
      </c>
      <c r="C13" s="599" t="s">
        <v>15</v>
      </c>
      <c r="D13" s="599"/>
    </row>
    <row r="14" spans="1:6" ht="28.5" customHeight="1">
      <c r="A14" s="450" t="s">
        <v>1280</v>
      </c>
      <c r="B14" s="451" t="s">
        <v>1281</v>
      </c>
      <c r="C14" s="599" t="s">
        <v>15</v>
      </c>
      <c r="D14" s="599"/>
    </row>
    <row r="15" spans="1:6" ht="28.5" customHeight="1">
      <c r="A15" s="450" t="s">
        <v>1282</v>
      </c>
      <c r="B15" s="451" t="s">
        <v>1283</v>
      </c>
      <c r="C15" s="452"/>
      <c r="D15" s="599" t="s">
        <v>15</v>
      </c>
    </row>
    <row r="16" spans="1:6" s="232" customFormat="1" ht="37.5" customHeight="1">
      <c r="A16" s="450" t="s">
        <v>1284</v>
      </c>
      <c r="B16" s="451" t="s">
        <v>1285</v>
      </c>
      <c r="C16" s="599" t="s">
        <v>15</v>
      </c>
      <c r="D16" s="599"/>
    </row>
    <row r="17" spans="1:4">
      <c r="A17" s="450" t="s">
        <v>1286</v>
      </c>
      <c r="B17" s="451" t="s">
        <v>1287</v>
      </c>
      <c r="C17" s="452"/>
      <c r="D17" s="599" t="s">
        <v>15</v>
      </c>
    </row>
    <row r="18" spans="1:4">
      <c r="A18" s="450" t="s">
        <v>1288</v>
      </c>
      <c r="B18" s="451" t="s">
        <v>1289</v>
      </c>
      <c r="C18" s="599" t="s">
        <v>15</v>
      </c>
      <c r="D18" s="599"/>
    </row>
    <row r="19" spans="1:4">
      <c r="A19" s="450" t="s">
        <v>1290</v>
      </c>
      <c r="B19" s="451" t="s">
        <v>1291</v>
      </c>
      <c r="C19" s="599" t="s">
        <v>15</v>
      </c>
      <c r="D19" s="599"/>
    </row>
    <row r="20" spans="1:4">
      <c r="A20" s="450" t="s">
        <v>1292</v>
      </c>
      <c r="B20" s="451" t="s">
        <v>1293</v>
      </c>
      <c r="C20" s="599" t="s">
        <v>15</v>
      </c>
      <c r="D20" s="599"/>
    </row>
    <row r="21" spans="1:4">
      <c r="A21" s="450" t="s">
        <v>1294</v>
      </c>
      <c r="B21" s="451" t="s">
        <v>1295</v>
      </c>
      <c r="C21" s="452"/>
      <c r="D21" s="599" t="s">
        <v>15</v>
      </c>
    </row>
    <row r="22" spans="1:4">
      <c r="A22" s="450" t="s">
        <v>1296</v>
      </c>
      <c r="B22" s="451" t="s">
        <v>1297</v>
      </c>
      <c r="C22" s="452"/>
      <c r="D22" s="599" t="s">
        <v>15</v>
      </c>
    </row>
    <row r="23" spans="1:4">
      <c r="A23" s="450" t="s">
        <v>1298</v>
      </c>
      <c r="B23" s="451" t="s">
        <v>1299</v>
      </c>
      <c r="C23" s="599" t="s">
        <v>15</v>
      </c>
      <c r="D23" s="599"/>
    </row>
    <row r="24" spans="1:4">
      <c r="A24" s="450" t="s">
        <v>1300</v>
      </c>
      <c r="B24" s="451" t="s">
        <v>1301</v>
      </c>
      <c r="C24" s="599" t="s">
        <v>15</v>
      </c>
      <c r="D24" s="599"/>
    </row>
    <row r="25" spans="1:4">
      <c r="A25" s="450" t="s">
        <v>1302</v>
      </c>
      <c r="B25" s="451" t="s">
        <v>1303</v>
      </c>
      <c r="C25" s="452"/>
      <c r="D25" s="599" t="s">
        <v>15</v>
      </c>
    </row>
    <row r="26" spans="1:4" ht="28.5" customHeight="1">
      <c r="A26" s="450" t="s">
        <v>1304</v>
      </c>
      <c r="B26" s="451" t="s">
        <v>1305</v>
      </c>
      <c r="C26" s="599" t="s">
        <v>15</v>
      </c>
      <c r="D26" s="599"/>
    </row>
    <row r="27" spans="1:4" ht="28.5" customHeight="1">
      <c r="A27" s="450" t="s">
        <v>1306</v>
      </c>
      <c r="B27" s="451" t="s">
        <v>1307</v>
      </c>
      <c r="C27" s="599" t="s">
        <v>15</v>
      </c>
      <c r="D27" s="599"/>
    </row>
    <row r="28" spans="1:4">
      <c r="A28" s="450" t="s">
        <v>1308</v>
      </c>
      <c r="B28" s="451" t="s">
        <v>1309</v>
      </c>
      <c r="C28" s="452"/>
      <c r="D28" s="599" t="s">
        <v>15</v>
      </c>
    </row>
    <row r="29" spans="1:4">
      <c r="A29" s="450" t="s">
        <v>1310</v>
      </c>
      <c r="B29" s="451" t="s">
        <v>1311</v>
      </c>
      <c r="C29" s="452"/>
      <c r="D29" s="599" t="s">
        <v>15</v>
      </c>
    </row>
    <row r="30" spans="1:4">
      <c r="A30" s="450" t="s">
        <v>1312</v>
      </c>
      <c r="B30" s="451" t="s">
        <v>1313</v>
      </c>
      <c r="C30" s="599" t="s">
        <v>15</v>
      </c>
      <c r="D30" s="599"/>
    </row>
    <row r="31" spans="1:4" ht="28.5" customHeight="1">
      <c r="A31" s="450" t="s">
        <v>1314</v>
      </c>
      <c r="B31" s="451" t="s">
        <v>1315</v>
      </c>
      <c r="C31" s="452"/>
      <c r="D31" s="599" t="s">
        <v>15</v>
      </c>
    </row>
    <row r="32" spans="1:4" ht="28.5" customHeight="1">
      <c r="A32" s="450" t="s">
        <v>1316</v>
      </c>
      <c r="B32" s="451" t="s">
        <v>1315</v>
      </c>
      <c r="C32" s="452"/>
      <c r="D32" s="599" t="s">
        <v>15</v>
      </c>
    </row>
    <row r="33" spans="1:4">
      <c r="A33" s="450" t="s">
        <v>1317</v>
      </c>
      <c r="B33" s="451" t="s">
        <v>1318</v>
      </c>
      <c r="C33" s="452"/>
      <c r="D33" s="599" t="s">
        <v>15</v>
      </c>
    </row>
    <row r="34" spans="1:4">
      <c r="A34" s="450" t="s">
        <v>1319</v>
      </c>
      <c r="B34" s="451" t="s">
        <v>1320</v>
      </c>
      <c r="C34" s="599" t="s">
        <v>15</v>
      </c>
      <c r="D34" s="599"/>
    </row>
    <row r="35" spans="1:4">
      <c r="A35" s="450" t="s">
        <v>1321</v>
      </c>
      <c r="B35" s="451" t="s">
        <v>1322</v>
      </c>
      <c r="C35" s="599" t="s">
        <v>15</v>
      </c>
      <c r="D35" s="599"/>
    </row>
    <row r="36" spans="1:4" ht="28.5" customHeight="1">
      <c r="A36" s="450" t="s">
        <v>1323</v>
      </c>
      <c r="B36" s="451" t="s">
        <v>1324</v>
      </c>
      <c r="C36" s="599" t="s">
        <v>15</v>
      </c>
      <c r="D36" s="599"/>
    </row>
    <row r="37" spans="1:4">
      <c r="A37" s="450" t="s">
        <v>1325</v>
      </c>
      <c r="B37" s="451" t="s">
        <v>1326</v>
      </c>
      <c r="C37" s="452"/>
      <c r="D37" s="599" t="s">
        <v>15</v>
      </c>
    </row>
    <row r="38" spans="1:4">
      <c r="A38" s="450" t="s">
        <v>1327</v>
      </c>
      <c r="B38" s="451" t="s">
        <v>1328</v>
      </c>
      <c r="C38" s="599" t="s">
        <v>15</v>
      </c>
      <c r="D38" s="599"/>
    </row>
    <row r="39" spans="1:4">
      <c r="A39" s="450" t="s">
        <v>1329</v>
      </c>
      <c r="B39" s="451" t="s">
        <v>1330</v>
      </c>
      <c r="C39" s="599" t="s">
        <v>15</v>
      </c>
      <c r="D39" s="599"/>
    </row>
    <row r="40" spans="1:4">
      <c r="A40" s="450" t="s">
        <v>1331</v>
      </c>
      <c r="B40" s="451" t="s">
        <v>1332</v>
      </c>
      <c r="C40" s="599" t="s">
        <v>15</v>
      </c>
      <c r="D40" s="599"/>
    </row>
    <row r="41" spans="1:4">
      <c r="A41" s="450" t="s">
        <v>1333</v>
      </c>
      <c r="B41" s="451" t="s">
        <v>1334</v>
      </c>
      <c r="C41" s="599" t="s">
        <v>15</v>
      </c>
      <c r="D41" s="599"/>
    </row>
    <row r="42" spans="1:4">
      <c r="A42" s="450" t="s">
        <v>1335</v>
      </c>
      <c r="B42" s="451" t="s">
        <v>1336</v>
      </c>
      <c r="C42" s="599" t="s">
        <v>15</v>
      </c>
      <c r="D42" s="599"/>
    </row>
    <row r="43" spans="1:4">
      <c r="A43" s="450" t="s">
        <v>1337</v>
      </c>
      <c r="B43" s="451" t="s">
        <v>1338</v>
      </c>
      <c r="C43" s="599" t="s">
        <v>15</v>
      </c>
      <c r="D43" s="599"/>
    </row>
    <row r="44" spans="1:4" ht="28.5" customHeight="1">
      <c r="A44" s="450" t="s">
        <v>1339</v>
      </c>
      <c r="B44" s="451" t="s">
        <v>1340</v>
      </c>
      <c r="C44" s="599" t="s">
        <v>15</v>
      </c>
      <c r="D44" s="599"/>
    </row>
    <row r="45" spans="1:4">
      <c r="A45" s="450" t="s">
        <v>1341</v>
      </c>
      <c r="B45" s="451" t="s">
        <v>1342</v>
      </c>
      <c r="C45" s="599" t="s">
        <v>15</v>
      </c>
      <c r="D45" s="599"/>
    </row>
    <row r="46" spans="1:4">
      <c r="A46" s="450" t="s">
        <v>1343</v>
      </c>
      <c r="B46" s="451" t="s">
        <v>1344</v>
      </c>
      <c r="C46" s="599" t="s">
        <v>15</v>
      </c>
      <c r="D46" s="599"/>
    </row>
    <row r="47" spans="1:4" ht="28.5" customHeight="1">
      <c r="A47" s="450" t="s">
        <v>1345</v>
      </c>
      <c r="B47" s="451" t="s">
        <v>1346</v>
      </c>
      <c r="C47" s="599" t="s">
        <v>15</v>
      </c>
      <c r="D47" s="599"/>
    </row>
    <row r="48" spans="1:4" ht="28.5" customHeight="1">
      <c r="A48" s="450" t="s">
        <v>1347</v>
      </c>
      <c r="B48" s="451" t="s">
        <v>1348</v>
      </c>
      <c r="C48" s="452"/>
      <c r="D48" s="599" t="s">
        <v>15</v>
      </c>
    </row>
    <row r="49" spans="1:4" ht="28.5" customHeight="1">
      <c r="A49" s="450" t="s">
        <v>1349</v>
      </c>
      <c r="B49" s="451" t="s">
        <v>1350</v>
      </c>
      <c r="C49" s="599" t="s">
        <v>15</v>
      </c>
      <c r="D49" s="599"/>
    </row>
    <row r="50" spans="1:4">
      <c r="A50" s="450" t="s">
        <v>1351</v>
      </c>
      <c r="B50" s="451" t="s">
        <v>1352</v>
      </c>
      <c r="C50" s="599" t="s">
        <v>15</v>
      </c>
      <c r="D50" s="599"/>
    </row>
    <row r="51" spans="1:4" ht="14.25" customHeight="1">
      <c r="A51" s="450" t="s">
        <v>1353</v>
      </c>
      <c r="B51" s="451" t="s">
        <v>1354</v>
      </c>
      <c r="C51" s="599" t="s">
        <v>15</v>
      </c>
      <c r="D51" s="599"/>
    </row>
    <row r="52" spans="1:4" s="432" customFormat="1" ht="28.5" customHeight="1">
      <c r="A52" s="450" t="s">
        <v>1355</v>
      </c>
      <c r="B52" s="451" t="s">
        <v>1356</v>
      </c>
      <c r="C52" s="599" t="s">
        <v>15</v>
      </c>
      <c r="D52" s="599"/>
    </row>
    <row r="53" spans="1:4" s="432" customFormat="1" ht="28.5" customHeight="1">
      <c r="A53" s="450" t="s">
        <v>1357</v>
      </c>
      <c r="B53" s="451" t="s">
        <v>1358</v>
      </c>
      <c r="C53" s="599" t="s">
        <v>15</v>
      </c>
      <c r="D53" s="599"/>
    </row>
    <row r="54" spans="1:4" ht="14.25" customHeight="1">
      <c r="A54" s="450" t="s">
        <v>1359</v>
      </c>
      <c r="B54" s="451" t="s">
        <v>1360</v>
      </c>
      <c r="C54" s="599" t="s">
        <v>15</v>
      </c>
      <c r="D54" s="599"/>
    </row>
    <row r="55" spans="1:4">
      <c r="A55" s="453"/>
      <c r="B55" s="453"/>
      <c r="C55" s="453"/>
      <c r="D55" s="453"/>
    </row>
  </sheetData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L37"/>
  <sheetViews>
    <sheetView topLeftCell="E19" zoomScale="80" zoomScaleNormal="80" workbookViewId="0">
      <selection activeCell="F34" sqref="F34"/>
    </sheetView>
  </sheetViews>
  <sheetFormatPr baseColWidth="10" defaultColWidth="11.42578125" defaultRowHeight="14.25" customHeight="1"/>
  <cols>
    <col min="1" max="1" width="9.28515625" style="273" customWidth="1" collapsed="1"/>
    <col min="2" max="2" width="71.5703125" style="12" customWidth="1" collapsed="1"/>
    <col min="3" max="3" width="4.7109375" style="273" customWidth="1" collapsed="1"/>
    <col min="4" max="6" width="15.7109375" style="12" customWidth="1" collapsed="1"/>
    <col min="7" max="7" width="17.7109375" style="12" customWidth="1" collapsed="1"/>
    <col min="8" max="8" width="4.7109375" style="273" customWidth="1" collapsed="1"/>
    <col min="9" max="9" width="55.85546875" style="12" customWidth="1" collapsed="1"/>
    <col min="10" max="10" width="4.7109375" style="273" customWidth="1" collapsed="1"/>
    <col min="11" max="11" width="19.5703125" style="12" customWidth="1" collapsed="1"/>
    <col min="12" max="12" width="17.7109375" style="12" customWidth="1" collapsed="1"/>
    <col min="13" max="16384" width="11.42578125" style="12" collapsed="1"/>
  </cols>
  <sheetData>
    <row r="1" spans="1:12" ht="27" customHeight="1">
      <c r="A1" s="776" t="s">
        <v>1134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76"/>
    </row>
    <row r="3" spans="1:12">
      <c r="A3" s="777" t="s">
        <v>279</v>
      </c>
      <c r="B3" s="777"/>
      <c r="E3" s="454">
        <f>+'Fiche de renseignement R1'!$V$10</f>
        <v>45657</v>
      </c>
      <c r="I3" s="12" t="s">
        <v>280</v>
      </c>
      <c r="J3" s="684">
        <v>0</v>
      </c>
      <c r="K3" s="684"/>
    </row>
    <row r="4" spans="1:12">
      <c r="A4" s="778" t="str">
        <f>'Fiche de renseignement R1'!$J$4</f>
        <v>SOCIETE NOUVELLE DES SALINS DU SINE SALOUM</v>
      </c>
      <c r="B4" s="684"/>
      <c r="I4" s="777" t="s">
        <v>281</v>
      </c>
      <c r="J4" s="778">
        <f>+'Fiche de renseignement R1'!$AH$10</f>
        <v>12</v>
      </c>
      <c r="K4" s="684"/>
    </row>
    <row r="5" spans="1:12">
      <c r="A5" s="777" t="s">
        <v>282</v>
      </c>
      <c r="B5" s="777"/>
      <c r="D5" s="778" t="str">
        <f>+'Fiche de renseignement R1'!$J$10</f>
        <v>000018699</v>
      </c>
      <c r="E5" s="684"/>
      <c r="F5" s="684"/>
      <c r="I5" s="777"/>
      <c r="J5" s="684"/>
      <c r="K5" s="684"/>
    </row>
    <row r="7" spans="1:12" s="273" customFormat="1" ht="35.450000000000003" customHeight="1">
      <c r="A7" s="774" t="s">
        <v>122</v>
      </c>
      <c r="B7" s="409" t="s">
        <v>1135</v>
      </c>
      <c r="C7" s="775" t="s">
        <v>123</v>
      </c>
      <c r="D7" s="410"/>
      <c r="E7" s="411" t="s">
        <v>1136</v>
      </c>
      <c r="F7" s="412"/>
      <c r="G7" s="413" t="s">
        <v>1137</v>
      </c>
      <c r="H7" s="774" t="s">
        <v>122</v>
      </c>
      <c r="I7" s="409" t="s">
        <v>1138</v>
      </c>
      <c r="J7" s="779" t="s">
        <v>123</v>
      </c>
      <c r="K7" s="414" t="s">
        <v>1136</v>
      </c>
      <c r="L7" s="414" t="s">
        <v>1137</v>
      </c>
    </row>
    <row r="8" spans="1:12" s="273" customFormat="1" ht="25.5" customHeight="1">
      <c r="A8" s="774"/>
      <c r="B8" s="409"/>
      <c r="C8" s="775"/>
      <c r="D8" s="415" t="s">
        <v>1139</v>
      </c>
      <c r="E8" s="414" t="s">
        <v>1140</v>
      </c>
      <c r="F8" s="415" t="s">
        <v>1141</v>
      </c>
      <c r="G8" s="415" t="s">
        <v>1141</v>
      </c>
      <c r="H8" s="774"/>
      <c r="I8" s="409"/>
      <c r="J8" s="779"/>
      <c r="K8" s="415" t="s">
        <v>1141</v>
      </c>
      <c r="L8" s="415" t="s">
        <v>1141</v>
      </c>
    </row>
    <row r="9" spans="1:12" ht="20.25" customHeight="1">
      <c r="A9" s="428" t="s">
        <v>1142</v>
      </c>
      <c r="B9" s="430" t="s">
        <v>124</v>
      </c>
      <c r="C9" s="428">
        <v>3</v>
      </c>
      <c r="D9" s="455">
        <v>83951848</v>
      </c>
      <c r="E9" s="455">
        <v>22265627</v>
      </c>
      <c r="F9" s="455">
        <v>61686221</v>
      </c>
      <c r="G9" s="455">
        <v>61351638</v>
      </c>
      <c r="H9" s="379" t="s">
        <v>1143</v>
      </c>
      <c r="I9" s="426" t="s">
        <v>1144</v>
      </c>
      <c r="J9" s="422">
        <v>13</v>
      </c>
      <c r="K9" s="456">
        <v>554420000</v>
      </c>
      <c r="L9" s="456">
        <v>554420000</v>
      </c>
    </row>
    <row r="10" spans="1:12" ht="20.25" customHeight="1">
      <c r="A10" s="409" t="s">
        <v>1145</v>
      </c>
      <c r="B10" s="418" t="s">
        <v>125</v>
      </c>
      <c r="C10" s="422"/>
      <c r="D10" s="456">
        <v>26937701</v>
      </c>
      <c r="E10" s="456">
        <v>0</v>
      </c>
      <c r="F10" s="456">
        <v>26937701</v>
      </c>
      <c r="G10" s="456">
        <v>26937701</v>
      </c>
      <c r="H10" s="422" t="s">
        <v>1146</v>
      </c>
      <c r="I10" s="426" t="s">
        <v>1147</v>
      </c>
      <c r="J10" s="422">
        <v>13</v>
      </c>
      <c r="K10" s="457">
        <v>0</v>
      </c>
      <c r="L10" s="457">
        <v>0</v>
      </c>
    </row>
    <row r="11" spans="1:12" ht="20.25" customHeight="1">
      <c r="A11" s="409" t="s">
        <v>1148</v>
      </c>
      <c r="B11" s="418" t="s">
        <v>126</v>
      </c>
      <c r="C11" s="422"/>
      <c r="D11" s="456">
        <v>23214147</v>
      </c>
      <c r="E11" s="456">
        <v>22265627</v>
      </c>
      <c r="F11" s="456">
        <v>948520</v>
      </c>
      <c r="G11" s="456">
        <v>613937</v>
      </c>
      <c r="H11" s="422" t="s">
        <v>1149</v>
      </c>
      <c r="I11" s="426" t="s">
        <v>1150</v>
      </c>
      <c r="J11" s="422">
        <v>14</v>
      </c>
      <c r="K11" s="456">
        <v>0</v>
      </c>
      <c r="L11" s="456">
        <v>0</v>
      </c>
    </row>
    <row r="12" spans="1:12" ht="20.25" customHeight="1">
      <c r="A12" s="409" t="s">
        <v>1151</v>
      </c>
      <c r="B12" s="418" t="s">
        <v>127</v>
      </c>
      <c r="C12" s="422"/>
      <c r="D12" s="456">
        <v>0</v>
      </c>
      <c r="E12" s="456">
        <v>0</v>
      </c>
      <c r="F12" s="456">
        <v>0</v>
      </c>
      <c r="G12" s="456">
        <v>0</v>
      </c>
      <c r="H12" s="422" t="s">
        <v>1152</v>
      </c>
      <c r="I12" s="426" t="s">
        <v>1153</v>
      </c>
      <c r="J12" s="422" t="s">
        <v>1154</v>
      </c>
      <c r="K12" s="456">
        <v>0</v>
      </c>
      <c r="L12" s="456">
        <v>0</v>
      </c>
    </row>
    <row r="13" spans="1:12" ht="20.25" customHeight="1">
      <c r="A13" s="409" t="s">
        <v>1155</v>
      </c>
      <c r="B13" s="418" t="s">
        <v>128</v>
      </c>
      <c r="C13" s="422"/>
      <c r="D13" s="456">
        <v>33800000</v>
      </c>
      <c r="E13" s="456">
        <v>0</v>
      </c>
      <c r="F13" s="456">
        <v>33800000</v>
      </c>
      <c r="G13" s="456">
        <v>33800000</v>
      </c>
      <c r="H13" s="422" t="s">
        <v>1156</v>
      </c>
      <c r="I13" s="426" t="s">
        <v>1157</v>
      </c>
      <c r="J13" s="422">
        <v>14</v>
      </c>
      <c r="K13" s="456">
        <v>112600000</v>
      </c>
      <c r="L13" s="456">
        <v>112600000</v>
      </c>
    </row>
    <row r="14" spans="1:12" ht="20.25" customHeight="1">
      <c r="A14" s="428" t="s">
        <v>1158</v>
      </c>
      <c r="B14" s="430" t="s">
        <v>129</v>
      </c>
      <c r="C14" s="428">
        <v>3</v>
      </c>
      <c r="D14" s="455">
        <v>10773653852</v>
      </c>
      <c r="E14" s="455">
        <v>7890614507</v>
      </c>
      <c r="F14" s="455">
        <v>2883039345</v>
      </c>
      <c r="G14" s="455">
        <v>2837221684</v>
      </c>
      <c r="H14" s="422" t="s">
        <v>1159</v>
      </c>
      <c r="I14" s="426" t="s">
        <v>130</v>
      </c>
      <c r="J14" s="422">
        <v>14</v>
      </c>
      <c r="K14" s="456">
        <v>4665384806</v>
      </c>
      <c r="L14" s="456">
        <v>3899990322</v>
      </c>
    </row>
    <row r="15" spans="1:12" ht="32.25" customHeight="1">
      <c r="A15" s="409" t="s">
        <v>1160</v>
      </c>
      <c r="B15" s="419" t="s">
        <v>1161</v>
      </c>
      <c r="C15" s="422"/>
      <c r="D15" s="456">
        <v>1150375194</v>
      </c>
      <c r="E15" s="456">
        <v>888883591</v>
      </c>
      <c r="F15" s="456">
        <v>261491603</v>
      </c>
      <c r="G15" s="456">
        <v>358944554</v>
      </c>
      <c r="H15" s="422" t="s">
        <v>1162</v>
      </c>
      <c r="I15" s="426" t="s">
        <v>131</v>
      </c>
      <c r="J15" s="422">
        <v>14</v>
      </c>
      <c r="K15" s="456">
        <v>0</v>
      </c>
      <c r="L15" s="456">
        <v>0</v>
      </c>
    </row>
    <row r="16" spans="1:12" ht="32.25" customHeight="1">
      <c r="A16" s="409" t="s">
        <v>1163</v>
      </c>
      <c r="B16" s="420" t="s">
        <v>1164</v>
      </c>
      <c r="C16" s="422"/>
      <c r="D16" s="456">
        <v>1202980009</v>
      </c>
      <c r="E16" s="456">
        <v>390975978</v>
      </c>
      <c r="F16" s="456">
        <v>812004031</v>
      </c>
      <c r="G16" s="456">
        <v>701901602</v>
      </c>
      <c r="H16" s="422" t="s">
        <v>1165</v>
      </c>
      <c r="I16" s="426" t="s">
        <v>1166</v>
      </c>
      <c r="J16" s="422"/>
      <c r="K16" s="456">
        <v>3693778426</v>
      </c>
      <c r="L16" s="456">
        <v>4369124484</v>
      </c>
    </row>
    <row r="17" spans="1:12" ht="20.25" customHeight="1">
      <c r="A17" s="409" t="s">
        <v>1167</v>
      </c>
      <c r="B17" s="418" t="s">
        <v>132</v>
      </c>
      <c r="C17" s="422"/>
      <c r="D17" s="456">
        <v>1411661925</v>
      </c>
      <c r="E17" s="456">
        <v>699436255</v>
      </c>
      <c r="F17" s="456">
        <v>712225670</v>
      </c>
      <c r="G17" s="456">
        <v>759335572</v>
      </c>
      <c r="H17" s="422" t="s">
        <v>1168</v>
      </c>
      <c r="I17" s="426" t="s">
        <v>1169</v>
      </c>
      <c r="J17" s="422">
        <v>15</v>
      </c>
      <c r="K17" s="456">
        <v>0</v>
      </c>
      <c r="L17" s="456">
        <v>0</v>
      </c>
    </row>
    <row r="18" spans="1:12" ht="20.25" customHeight="1">
      <c r="A18" s="409" t="s">
        <v>1170</v>
      </c>
      <c r="B18" s="418" t="s">
        <v>133</v>
      </c>
      <c r="C18" s="422"/>
      <c r="D18" s="456">
        <v>6698804860</v>
      </c>
      <c r="E18" s="456">
        <v>5722626288</v>
      </c>
      <c r="F18" s="456">
        <v>976178572</v>
      </c>
      <c r="G18" s="456">
        <v>980520500</v>
      </c>
      <c r="H18" s="422" t="s">
        <v>1171</v>
      </c>
      <c r="I18" s="426" t="s">
        <v>1172</v>
      </c>
      <c r="J18" s="422">
        <v>15</v>
      </c>
      <c r="K18" s="456">
        <v>0</v>
      </c>
      <c r="L18" s="456">
        <v>0</v>
      </c>
    </row>
    <row r="19" spans="1:12" ht="20.25" customHeight="1">
      <c r="A19" s="409" t="s">
        <v>1173</v>
      </c>
      <c r="B19" s="418" t="s">
        <v>134</v>
      </c>
      <c r="C19" s="422"/>
      <c r="D19" s="456">
        <v>292836864</v>
      </c>
      <c r="E19" s="456">
        <v>180697395</v>
      </c>
      <c r="F19" s="456">
        <v>112139469</v>
      </c>
      <c r="G19" s="456">
        <v>30219456</v>
      </c>
      <c r="H19" s="428" t="s">
        <v>1174</v>
      </c>
      <c r="I19" s="430" t="s">
        <v>1175</v>
      </c>
      <c r="J19" s="427"/>
      <c r="K19" s="455">
        <v>9026183232</v>
      </c>
      <c r="L19" s="455">
        <v>8936134806</v>
      </c>
    </row>
    <row r="20" spans="1:12" ht="20.25" customHeight="1">
      <c r="A20" s="416" t="s">
        <v>1176</v>
      </c>
      <c r="B20" s="417" t="s">
        <v>1177</v>
      </c>
      <c r="C20" s="424">
        <v>3</v>
      </c>
      <c r="D20" s="456">
        <v>16995000</v>
      </c>
      <c r="E20" s="456">
        <v>7995000</v>
      </c>
      <c r="F20" s="456">
        <v>9000000</v>
      </c>
      <c r="G20" s="456">
        <v>6300000</v>
      </c>
      <c r="H20" s="422" t="s">
        <v>1178</v>
      </c>
      <c r="I20" s="426" t="s">
        <v>1179</v>
      </c>
      <c r="J20" s="422">
        <v>16</v>
      </c>
      <c r="K20" s="456">
        <v>0</v>
      </c>
      <c r="L20" s="456">
        <v>0</v>
      </c>
    </row>
    <row r="21" spans="1:12" s="421" customFormat="1" ht="20.25" customHeight="1">
      <c r="A21" s="428" t="s">
        <v>1180</v>
      </c>
      <c r="B21" s="430" t="s">
        <v>120</v>
      </c>
      <c r="C21" s="428">
        <v>4</v>
      </c>
      <c r="D21" s="455">
        <v>185805618</v>
      </c>
      <c r="E21" s="455">
        <v>50237009</v>
      </c>
      <c r="F21" s="455">
        <v>135568609</v>
      </c>
      <c r="G21" s="455">
        <v>135568609</v>
      </c>
      <c r="H21" s="424" t="s">
        <v>1181</v>
      </c>
      <c r="I21" s="425" t="s">
        <v>1182</v>
      </c>
      <c r="J21" s="424">
        <v>16</v>
      </c>
      <c r="K21" s="456">
        <v>0</v>
      </c>
      <c r="L21" s="456">
        <v>0</v>
      </c>
    </row>
    <row r="22" spans="1:12" ht="20.25" customHeight="1">
      <c r="A22" s="409" t="s">
        <v>1183</v>
      </c>
      <c r="B22" s="418" t="s">
        <v>135</v>
      </c>
      <c r="C22" s="422"/>
      <c r="D22" s="456">
        <v>115827689</v>
      </c>
      <c r="E22" s="456">
        <v>50227689</v>
      </c>
      <c r="F22" s="456">
        <v>65600000</v>
      </c>
      <c r="G22" s="456">
        <v>65595340</v>
      </c>
      <c r="H22" s="422" t="s">
        <v>1184</v>
      </c>
      <c r="I22" s="426" t="s">
        <v>1185</v>
      </c>
      <c r="J22" s="422">
        <v>16</v>
      </c>
      <c r="K22" s="456">
        <v>1678869395</v>
      </c>
      <c r="L22" s="456">
        <v>1677152885</v>
      </c>
    </row>
    <row r="23" spans="1:12" ht="20.25" customHeight="1">
      <c r="A23" s="409" t="s">
        <v>1186</v>
      </c>
      <c r="B23" s="418" t="s">
        <v>136</v>
      </c>
      <c r="C23" s="422"/>
      <c r="D23" s="456">
        <v>69977929</v>
      </c>
      <c r="E23" s="456">
        <v>9320</v>
      </c>
      <c r="F23" s="456">
        <v>69968609</v>
      </c>
      <c r="G23" s="456">
        <v>69973269</v>
      </c>
      <c r="H23" s="428" t="s">
        <v>1187</v>
      </c>
      <c r="I23" s="430" t="s">
        <v>1188</v>
      </c>
      <c r="J23" s="427"/>
      <c r="K23" s="455">
        <v>1678869395</v>
      </c>
      <c r="L23" s="455">
        <v>1677152885</v>
      </c>
    </row>
    <row r="24" spans="1:12" s="421" customFormat="1" ht="20.25" customHeight="1">
      <c r="A24" s="423" t="s">
        <v>1189</v>
      </c>
      <c r="B24" s="429" t="s">
        <v>1190</v>
      </c>
      <c r="C24" s="423"/>
      <c r="D24" s="458">
        <v>11043411318</v>
      </c>
      <c r="E24" s="458">
        <v>7963117143</v>
      </c>
      <c r="F24" s="458">
        <v>3080294175</v>
      </c>
      <c r="G24" s="458">
        <v>3034158551</v>
      </c>
      <c r="H24" s="423" t="s">
        <v>1191</v>
      </c>
      <c r="I24" s="429" t="s">
        <v>1192</v>
      </c>
      <c r="J24" s="415"/>
      <c r="K24" s="458">
        <v>10705052627</v>
      </c>
      <c r="L24" s="458">
        <v>10613287691</v>
      </c>
    </row>
    <row r="25" spans="1:12" ht="20.25" customHeight="1">
      <c r="A25" s="422" t="s">
        <v>1193</v>
      </c>
      <c r="B25" s="426" t="s">
        <v>1194</v>
      </c>
      <c r="C25" s="422">
        <v>5</v>
      </c>
      <c r="D25" s="456">
        <v>0</v>
      </c>
      <c r="E25" s="456">
        <v>0</v>
      </c>
      <c r="F25" s="456">
        <v>0</v>
      </c>
      <c r="G25" s="456">
        <v>0</v>
      </c>
      <c r="H25" s="422" t="s">
        <v>1195</v>
      </c>
      <c r="I25" s="426" t="s">
        <v>1196</v>
      </c>
      <c r="J25" s="422">
        <v>5</v>
      </c>
      <c r="K25" s="456">
        <v>0</v>
      </c>
      <c r="L25" s="456">
        <v>0</v>
      </c>
    </row>
    <row r="26" spans="1:12" ht="20.25" customHeight="1">
      <c r="A26" s="422" t="s">
        <v>1197</v>
      </c>
      <c r="B26" s="426" t="s">
        <v>121</v>
      </c>
      <c r="C26" s="422">
        <v>6</v>
      </c>
      <c r="D26" s="456">
        <v>5661958301</v>
      </c>
      <c r="E26" s="456">
        <v>193239513</v>
      </c>
      <c r="F26" s="456">
        <v>5468718788</v>
      </c>
      <c r="G26" s="456">
        <v>5434145929</v>
      </c>
      <c r="H26" s="422" t="s">
        <v>1198</v>
      </c>
      <c r="I26" s="426" t="s">
        <v>1199</v>
      </c>
      <c r="J26" s="422">
        <v>7</v>
      </c>
      <c r="K26" s="456">
        <v>100649106</v>
      </c>
      <c r="L26" s="456">
        <v>130101598</v>
      </c>
    </row>
    <row r="27" spans="1:12" ht="20.25" customHeight="1">
      <c r="A27" s="422" t="s">
        <v>1200</v>
      </c>
      <c r="B27" s="426" t="s">
        <v>1201</v>
      </c>
      <c r="C27" s="422"/>
      <c r="D27" s="456">
        <v>589493628</v>
      </c>
      <c r="E27" s="456">
        <v>0</v>
      </c>
      <c r="F27" s="456">
        <v>589493628</v>
      </c>
      <c r="G27" s="456">
        <v>502573136</v>
      </c>
      <c r="H27" s="422" t="s">
        <v>1202</v>
      </c>
      <c r="I27" s="426" t="s">
        <v>1203</v>
      </c>
      <c r="J27" s="422">
        <v>17</v>
      </c>
      <c r="K27" s="456">
        <v>658207070</v>
      </c>
      <c r="L27" s="456">
        <v>895063997</v>
      </c>
    </row>
    <row r="28" spans="1:12" ht="20.25" customHeight="1">
      <c r="A28" s="422" t="s">
        <v>1204</v>
      </c>
      <c r="B28" s="426" t="s">
        <v>1205</v>
      </c>
      <c r="C28" s="422">
        <v>17</v>
      </c>
      <c r="D28" s="456">
        <v>72960138</v>
      </c>
      <c r="E28" s="456">
        <v>0</v>
      </c>
      <c r="F28" s="456">
        <v>72960138</v>
      </c>
      <c r="G28" s="456">
        <v>40979446</v>
      </c>
      <c r="H28" s="422" t="s">
        <v>1206</v>
      </c>
      <c r="I28" s="426" t="s">
        <v>1207</v>
      </c>
      <c r="J28" s="422">
        <v>18</v>
      </c>
      <c r="K28" s="456">
        <v>1039280617</v>
      </c>
      <c r="L28" s="456">
        <v>1105229702</v>
      </c>
    </row>
    <row r="29" spans="1:12" ht="20.25" customHeight="1">
      <c r="A29" s="422" t="s">
        <v>1208</v>
      </c>
      <c r="B29" s="426" t="s">
        <v>137</v>
      </c>
      <c r="C29" s="422">
        <v>7</v>
      </c>
      <c r="D29" s="456">
        <v>401035558</v>
      </c>
      <c r="E29" s="456">
        <v>0</v>
      </c>
      <c r="F29" s="456">
        <v>401035558</v>
      </c>
      <c r="G29" s="456">
        <v>368525336</v>
      </c>
      <c r="H29" s="422" t="s">
        <v>1209</v>
      </c>
      <c r="I29" s="426" t="s">
        <v>1210</v>
      </c>
      <c r="J29" s="422">
        <v>19</v>
      </c>
      <c r="K29" s="456">
        <v>55426179</v>
      </c>
      <c r="L29" s="456">
        <v>10027048</v>
      </c>
    </row>
    <row r="30" spans="1:12" ht="20.25" customHeight="1">
      <c r="A30" s="422" t="s">
        <v>1211</v>
      </c>
      <c r="B30" s="426" t="s">
        <v>1212</v>
      </c>
      <c r="C30" s="422">
        <v>8</v>
      </c>
      <c r="D30" s="456">
        <v>115497932</v>
      </c>
      <c r="E30" s="456">
        <v>0</v>
      </c>
      <c r="F30" s="456">
        <v>115497932</v>
      </c>
      <c r="G30" s="456">
        <v>93068354</v>
      </c>
      <c r="H30" s="422" t="s">
        <v>1213</v>
      </c>
      <c r="I30" s="426" t="s">
        <v>1214</v>
      </c>
      <c r="J30" s="422">
        <v>19</v>
      </c>
      <c r="K30" s="456">
        <v>0</v>
      </c>
      <c r="L30" s="456">
        <v>0</v>
      </c>
    </row>
    <row r="31" spans="1:12" s="421" customFormat="1" ht="20.25" customHeight="1">
      <c r="A31" s="423" t="s">
        <v>1215</v>
      </c>
      <c r="B31" s="429" t="s">
        <v>1216</v>
      </c>
      <c r="C31" s="423"/>
      <c r="D31" s="458">
        <v>6251451929</v>
      </c>
      <c r="E31" s="458">
        <v>193239513</v>
      </c>
      <c r="F31" s="458">
        <v>6058212416</v>
      </c>
      <c r="G31" s="458">
        <v>5936719065</v>
      </c>
      <c r="H31" s="423" t="s">
        <v>1217</v>
      </c>
      <c r="I31" s="429" t="s">
        <v>1218</v>
      </c>
      <c r="J31" s="415"/>
      <c r="K31" s="458">
        <v>1853562972</v>
      </c>
      <c r="L31" s="458">
        <v>2140422345</v>
      </c>
    </row>
    <row r="32" spans="1:12" ht="20.25" customHeight="1">
      <c r="A32" s="422" t="s">
        <v>1219</v>
      </c>
      <c r="B32" s="426" t="s">
        <v>1220</v>
      </c>
      <c r="C32" s="422">
        <v>9</v>
      </c>
      <c r="D32" s="456">
        <v>0</v>
      </c>
      <c r="E32" s="456">
        <v>0</v>
      </c>
      <c r="F32" s="456">
        <v>0</v>
      </c>
      <c r="G32" s="456">
        <v>0</v>
      </c>
      <c r="H32" s="422"/>
      <c r="I32" s="426"/>
      <c r="J32" s="422"/>
      <c r="K32" s="456">
        <v>0</v>
      </c>
      <c r="L32" s="456">
        <v>0</v>
      </c>
    </row>
    <row r="33" spans="1:12" ht="20.25" customHeight="1">
      <c r="A33" s="422" t="s">
        <v>1221</v>
      </c>
      <c r="B33" s="426" t="s">
        <v>1222</v>
      </c>
      <c r="C33" s="422">
        <v>10</v>
      </c>
      <c r="D33" s="456">
        <v>647200000</v>
      </c>
      <c r="E33" s="456">
        <v>0</v>
      </c>
      <c r="F33" s="456">
        <v>647200000</v>
      </c>
      <c r="G33" s="456">
        <v>1127750000</v>
      </c>
      <c r="H33" s="422" t="s">
        <v>1223</v>
      </c>
      <c r="I33" s="426" t="s">
        <v>1224</v>
      </c>
      <c r="J33" s="422">
        <v>20</v>
      </c>
      <c r="K33" s="456">
        <v>0</v>
      </c>
      <c r="L33" s="456">
        <v>0</v>
      </c>
    </row>
    <row r="34" spans="1:12" ht="20.25" customHeight="1">
      <c r="A34" s="422" t="s">
        <v>1225</v>
      </c>
      <c r="B34" s="426" t="s">
        <v>1226</v>
      </c>
      <c r="C34" s="422">
        <v>11</v>
      </c>
      <c r="D34" s="456">
        <v>2780738330</v>
      </c>
      <c r="E34" s="456">
        <v>7829322</v>
      </c>
      <c r="F34" s="456">
        <v>2772909008</v>
      </c>
      <c r="G34" s="456">
        <v>2655082420</v>
      </c>
      <c r="H34" s="422" t="s">
        <v>1227</v>
      </c>
      <c r="I34" s="426" t="s">
        <v>1228</v>
      </c>
      <c r="J34" s="422">
        <v>20</v>
      </c>
      <c r="K34" s="456"/>
      <c r="L34" s="456"/>
    </row>
    <row r="35" spans="1:12" s="421" customFormat="1" ht="20.25" customHeight="1">
      <c r="A35" s="423" t="s">
        <v>1229</v>
      </c>
      <c r="B35" s="429" t="s">
        <v>1230</v>
      </c>
      <c r="C35" s="423"/>
      <c r="D35" s="458">
        <v>3427938330</v>
      </c>
      <c r="E35" s="458">
        <v>7829322</v>
      </c>
      <c r="F35" s="458">
        <v>3420109008</v>
      </c>
      <c r="G35" s="458">
        <v>3782832420</v>
      </c>
      <c r="H35" s="423" t="s">
        <v>1231</v>
      </c>
      <c r="I35" s="429" t="s">
        <v>1232</v>
      </c>
      <c r="J35" s="415"/>
      <c r="K35" s="458">
        <v>0</v>
      </c>
      <c r="L35" s="458">
        <v>0</v>
      </c>
    </row>
    <row r="36" spans="1:12" ht="20.25" customHeight="1">
      <c r="A36" s="422" t="s">
        <v>1233</v>
      </c>
      <c r="B36" s="426" t="s">
        <v>1234</v>
      </c>
      <c r="C36" s="422">
        <v>12</v>
      </c>
      <c r="D36" s="456">
        <v>0</v>
      </c>
      <c r="E36" s="456">
        <v>0</v>
      </c>
      <c r="F36" s="456">
        <v>0</v>
      </c>
      <c r="G36" s="456">
        <v>0</v>
      </c>
      <c r="H36" s="422" t="s">
        <v>1235</v>
      </c>
      <c r="I36" s="426" t="s">
        <v>1236</v>
      </c>
      <c r="J36" s="422">
        <v>12</v>
      </c>
      <c r="K36" s="456">
        <v>0</v>
      </c>
      <c r="L36" s="456">
        <v>0</v>
      </c>
    </row>
    <row r="37" spans="1:12" s="421" customFormat="1" ht="20.25" customHeight="1">
      <c r="A37" s="423" t="s">
        <v>1237</v>
      </c>
      <c r="B37" s="429" t="s">
        <v>138</v>
      </c>
      <c r="C37" s="429"/>
      <c r="D37" s="458">
        <v>20722801577</v>
      </c>
      <c r="E37" s="458">
        <v>8164185978</v>
      </c>
      <c r="F37" s="458">
        <v>12558615599</v>
      </c>
      <c r="G37" s="458">
        <v>12753710036</v>
      </c>
      <c r="H37" s="423" t="s">
        <v>1238</v>
      </c>
      <c r="I37" s="429" t="s">
        <v>138</v>
      </c>
      <c r="J37" s="415"/>
      <c r="K37" s="458">
        <v>12558615599</v>
      </c>
      <c r="L37" s="458">
        <v>12753710036</v>
      </c>
    </row>
  </sheetData>
  <mergeCells count="12">
    <mergeCell ref="A7:A8"/>
    <mergeCell ref="C7:C8"/>
    <mergeCell ref="A1:L1"/>
    <mergeCell ref="A3:B3"/>
    <mergeCell ref="A5:B5"/>
    <mergeCell ref="D5:F5"/>
    <mergeCell ref="J3:K3"/>
    <mergeCell ref="I4:I5"/>
    <mergeCell ref="J4:K5"/>
    <mergeCell ref="H7:H8"/>
    <mergeCell ref="J7:J8"/>
    <mergeCell ref="A4:B4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F49"/>
  <sheetViews>
    <sheetView showGridLines="0" tabSelected="1" workbookViewId="0">
      <selection activeCell="E15" sqref="E15"/>
    </sheetView>
  </sheetViews>
  <sheetFormatPr baseColWidth="10" defaultColWidth="11.42578125" defaultRowHeight="12.75"/>
  <cols>
    <col min="1" max="1" width="4.140625" style="95" customWidth="1" collapsed="1"/>
    <col min="2" max="2" width="56" style="58" customWidth="1" collapsed="1"/>
    <col min="3" max="3" width="3.140625" style="58" customWidth="1" collapsed="1"/>
    <col min="4" max="4" width="8.28515625" style="58" customWidth="1" collapsed="1"/>
    <col min="5" max="6" width="13.85546875" style="58" customWidth="1" collapsed="1"/>
    <col min="7" max="16384" width="11.42578125" style="58" collapsed="1"/>
  </cols>
  <sheetData>
    <row r="1" spans="1:6" s="315" customFormat="1" ht="24.6" customHeight="1">
      <c r="A1" s="780" t="s">
        <v>1104</v>
      </c>
      <c r="B1" s="780"/>
      <c r="C1" s="780"/>
      <c r="D1" s="780"/>
      <c r="E1" s="780"/>
      <c r="F1" s="780"/>
    </row>
    <row r="2" spans="1:6" s="315" customFormat="1" ht="8.1" customHeight="1">
      <c r="C2" s="316"/>
    </row>
    <row r="3" spans="1:6" s="315" customFormat="1" ht="25.5" customHeight="1">
      <c r="A3" s="765" t="s">
        <v>279</v>
      </c>
      <c r="B3" s="765"/>
      <c r="C3" s="765"/>
      <c r="D3" s="315" t="s">
        <v>280</v>
      </c>
      <c r="E3" s="766">
        <f>+'Fiche de renseignement R1'!$V$10</f>
        <v>45657</v>
      </c>
      <c r="F3" s="767"/>
    </row>
    <row r="4" spans="1:6" s="315" customFormat="1" ht="15" customHeight="1">
      <c r="A4" s="768" t="str">
        <f>'Fiche de renseignement R1'!$J$4</f>
        <v>SOCIETE NOUVELLE DES SALINS DU SINE SALOUM</v>
      </c>
      <c r="B4" s="767"/>
      <c r="C4" s="767"/>
      <c r="D4" s="769" t="s">
        <v>281</v>
      </c>
      <c r="E4" s="770">
        <f>+'Fiche de renseignement R1'!$AH$10</f>
        <v>12</v>
      </c>
      <c r="F4" s="771"/>
    </row>
    <row r="5" spans="1:6" s="315" customFormat="1" ht="30.95" customHeight="1">
      <c r="A5" s="317" t="s">
        <v>282</v>
      </c>
      <c r="B5" s="772" t="str">
        <f>+'Fiche de renseignement R1'!$J$10</f>
        <v>000018699</v>
      </c>
      <c r="C5" s="773"/>
      <c r="D5" s="769"/>
      <c r="E5" s="767"/>
      <c r="F5" s="767"/>
    </row>
    <row r="7" spans="1:6" ht="18" customHeight="1">
      <c r="A7" s="62" t="s">
        <v>122</v>
      </c>
      <c r="B7" s="92" t="s">
        <v>139</v>
      </c>
      <c r="C7" s="92"/>
      <c r="D7" s="62" t="s">
        <v>140</v>
      </c>
      <c r="E7" s="93" t="s">
        <v>141</v>
      </c>
      <c r="F7" s="93" t="s">
        <v>142</v>
      </c>
    </row>
    <row r="8" spans="1:6">
      <c r="A8" s="75" t="s">
        <v>143</v>
      </c>
      <c r="B8" s="71" t="s">
        <v>840</v>
      </c>
      <c r="C8" s="75" t="s">
        <v>144</v>
      </c>
      <c r="D8" s="75">
        <v>21</v>
      </c>
      <c r="E8" s="459">
        <v>0</v>
      </c>
      <c r="F8" s="459">
        <v>0</v>
      </c>
    </row>
    <row r="9" spans="1:6">
      <c r="A9" s="75" t="s">
        <v>145</v>
      </c>
      <c r="B9" s="71" t="s">
        <v>146</v>
      </c>
      <c r="C9" s="75" t="s">
        <v>147</v>
      </c>
      <c r="D9" s="75">
        <v>22</v>
      </c>
      <c r="E9" s="459">
        <v>0</v>
      </c>
      <c r="F9" s="459">
        <v>0</v>
      </c>
    </row>
    <row r="10" spans="1:6">
      <c r="A10" s="75" t="s">
        <v>148</v>
      </c>
      <c r="B10" s="71" t="s">
        <v>149</v>
      </c>
      <c r="C10" s="75" t="s">
        <v>150</v>
      </c>
      <c r="D10" s="75">
        <v>6</v>
      </c>
      <c r="E10" s="459">
        <v>0</v>
      </c>
      <c r="F10" s="459">
        <v>0</v>
      </c>
    </row>
    <row r="11" spans="1:6">
      <c r="A11" s="62" t="s">
        <v>151</v>
      </c>
      <c r="B11" s="92" t="s">
        <v>152</v>
      </c>
      <c r="C11" s="62"/>
      <c r="D11" s="62"/>
      <c r="E11" s="460">
        <v>0</v>
      </c>
      <c r="F11" s="460">
        <v>0</v>
      </c>
    </row>
    <row r="12" spans="1:6">
      <c r="A12" s="75" t="s">
        <v>153</v>
      </c>
      <c r="B12" s="71" t="s">
        <v>841</v>
      </c>
      <c r="C12" s="75" t="s">
        <v>144</v>
      </c>
      <c r="D12" s="75">
        <v>21</v>
      </c>
      <c r="E12" s="459">
        <v>15098202108</v>
      </c>
      <c r="F12" s="459">
        <v>17748425468</v>
      </c>
    </row>
    <row r="13" spans="1:6">
      <c r="A13" s="75" t="s">
        <v>154</v>
      </c>
      <c r="B13" s="71" t="s">
        <v>842</v>
      </c>
      <c r="C13" s="75" t="s">
        <v>144</v>
      </c>
      <c r="D13" s="75">
        <v>21</v>
      </c>
      <c r="E13" s="459">
        <v>0</v>
      </c>
      <c r="F13" s="459">
        <v>0</v>
      </c>
    </row>
    <row r="14" spans="1:6">
      <c r="A14" s="75" t="s">
        <v>155</v>
      </c>
      <c r="B14" s="71" t="s">
        <v>843</v>
      </c>
      <c r="C14" s="75" t="s">
        <v>144</v>
      </c>
      <c r="D14" s="75">
        <v>21</v>
      </c>
      <c r="E14" s="459">
        <v>20686680</v>
      </c>
      <c r="F14" s="459">
        <v>12712</v>
      </c>
    </row>
    <row r="15" spans="1:6">
      <c r="A15" s="62" t="s">
        <v>156</v>
      </c>
      <c r="B15" s="92" t="s">
        <v>157</v>
      </c>
      <c r="C15" s="62"/>
      <c r="D15" s="62"/>
      <c r="E15" s="460">
        <v>15118888788</v>
      </c>
      <c r="F15" s="460">
        <v>17748438180</v>
      </c>
    </row>
    <row r="16" spans="1:6">
      <c r="A16" s="75" t="s">
        <v>158</v>
      </c>
      <c r="B16" s="71" t="s">
        <v>159</v>
      </c>
      <c r="C16" s="75" t="s">
        <v>150</v>
      </c>
      <c r="D16" s="75">
        <v>6</v>
      </c>
      <c r="E16" s="459">
        <v>237085553</v>
      </c>
      <c r="F16" s="459">
        <v>100359957</v>
      </c>
    </row>
    <row r="17" spans="1:6">
      <c r="A17" s="75" t="s">
        <v>160</v>
      </c>
      <c r="B17" s="71" t="s">
        <v>161</v>
      </c>
      <c r="C17" s="75"/>
      <c r="D17" s="75">
        <v>21</v>
      </c>
      <c r="E17" s="459">
        <v>63508535</v>
      </c>
      <c r="F17" s="459">
        <v>31315159</v>
      </c>
    </row>
    <row r="18" spans="1:6">
      <c r="A18" s="75" t="s">
        <v>162</v>
      </c>
      <c r="B18" s="71" t="s">
        <v>163</v>
      </c>
      <c r="C18" s="75"/>
      <c r="D18" s="75">
        <v>21</v>
      </c>
      <c r="E18" s="459">
        <v>0</v>
      </c>
      <c r="F18" s="459">
        <v>0</v>
      </c>
    </row>
    <row r="19" spans="1:6">
      <c r="A19" s="75" t="s">
        <v>164</v>
      </c>
      <c r="B19" s="71" t="s">
        <v>165</v>
      </c>
      <c r="C19" s="75" t="s">
        <v>144</v>
      </c>
      <c r="D19" s="75">
        <v>21</v>
      </c>
      <c r="E19" s="459">
        <v>1000949</v>
      </c>
      <c r="F19" s="459">
        <v>531038</v>
      </c>
    </row>
    <row r="20" spans="1:6" s="256" customFormat="1">
      <c r="A20" s="262" t="s">
        <v>166</v>
      </c>
      <c r="B20" s="282" t="s">
        <v>167</v>
      </c>
      <c r="C20" s="262" t="s">
        <v>144</v>
      </c>
      <c r="D20" s="262">
        <v>12</v>
      </c>
      <c r="E20" s="459">
        <v>0</v>
      </c>
      <c r="F20" s="459">
        <v>53520000</v>
      </c>
    </row>
    <row r="21" spans="1:6">
      <c r="A21" s="75" t="s">
        <v>168</v>
      </c>
      <c r="B21" s="71" t="s">
        <v>169</v>
      </c>
      <c r="C21" s="75" t="s">
        <v>147</v>
      </c>
      <c r="D21" s="75">
        <v>22</v>
      </c>
      <c r="E21" s="459">
        <v>0</v>
      </c>
      <c r="F21" s="459">
        <v>0</v>
      </c>
    </row>
    <row r="22" spans="1:6">
      <c r="A22" s="75" t="s">
        <v>170</v>
      </c>
      <c r="B22" s="71" t="s">
        <v>171</v>
      </c>
      <c r="C22" s="75" t="s">
        <v>150</v>
      </c>
      <c r="D22" s="75">
        <v>6</v>
      </c>
      <c r="E22" s="459">
        <v>0</v>
      </c>
      <c r="F22" s="459">
        <v>0</v>
      </c>
    </row>
    <row r="23" spans="1:6">
      <c r="A23" s="75" t="s">
        <v>172</v>
      </c>
      <c r="B23" s="71" t="s">
        <v>173</v>
      </c>
      <c r="C23" s="75" t="s">
        <v>147</v>
      </c>
      <c r="D23" s="75">
        <v>22</v>
      </c>
      <c r="E23" s="459">
        <v>-3585894455</v>
      </c>
      <c r="F23" s="459">
        <v>-4237015280</v>
      </c>
    </row>
    <row r="24" spans="1:6">
      <c r="A24" s="75" t="s">
        <v>174</v>
      </c>
      <c r="B24" s="71" t="s">
        <v>175</v>
      </c>
      <c r="C24" s="75" t="s">
        <v>150</v>
      </c>
      <c r="D24" s="75">
        <v>6</v>
      </c>
      <c r="E24" s="459">
        <v>119698651</v>
      </c>
      <c r="F24" s="459">
        <v>330742202</v>
      </c>
    </row>
    <row r="25" spans="1:6">
      <c r="A25" s="75" t="s">
        <v>176</v>
      </c>
      <c r="B25" s="71" t="s">
        <v>177</v>
      </c>
      <c r="C25" s="75" t="s">
        <v>147</v>
      </c>
      <c r="D25" s="75">
        <v>23</v>
      </c>
      <c r="E25" s="459">
        <v>-3453328573</v>
      </c>
      <c r="F25" s="459">
        <v>-4753977481</v>
      </c>
    </row>
    <row r="26" spans="1:6">
      <c r="A26" s="75" t="s">
        <v>178</v>
      </c>
      <c r="B26" s="71" t="s">
        <v>179</v>
      </c>
      <c r="C26" s="75" t="s">
        <v>147</v>
      </c>
      <c r="D26" s="75">
        <v>24</v>
      </c>
      <c r="E26" s="459">
        <v>-831356141</v>
      </c>
      <c r="F26" s="459">
        <v>-818209910</v>
      </c>
    </row>
    <row r="27" spans="1:6">
      <c r="A27" s="75" t="s">
        <v>180</v>
      </c>
      <c r="B27" s="71" t="s">
        <v>181</v>
      </c>
      <c r="C27" s="75" t="s">
        <v>147</v>
      </c>
      <c r="D27" s="75">
        <v>25</v>
      </c>
      <c r="E27" s="459">
        <v>-12622427</v>
      </c>
      <c r="F27" s="459">
        <v>-126423698</v>
      </c>
    </row>
    <row r="28" spans="1:6">
      <c r="A28" s="75" t="s">
        <v>182</v>
      </c>
      <c r="B28" s="71" t="s">
        <v>183</v>
      </c>
      <c r="C28" s="75" t="s">
        <v>147</v>
      </c>
      <c r="D28" s="75">
        <v>26</v>
      </c>
      <c r="E28" s="459">
        <v>-206216425</v>
      </c>
      <c r="F28" s="459">
        <v>-107531581</v>
      </c>
    </row>
    <row r="29" spans="1:6">
      <c r="A29" s="62" t="s">
        <v>184</v>
      </c>
      <c r="B29" s="92" t="s">
        <v>185</v>
      </c>
      <c r="C29" s="62"/>
      <c r="D29" s="62"/>
      <c r="E29" s="460">
        <v>7450764455</v>
      </c>
      <c r="F29" s="460">
        <v>8221748586</v>
      </c>
    </row>
    <row r="30" spans="1:6">
      <c r="A30" s="75" t="s">
        <v>186</v>
      </c>
      <c r="B30" s="71" t="s">
        <v>187</v>
      </c>
      <c r="C30" s="75" t="s">
        <v>147</v>
      </c>
      <c r="D30" s="75">
        <v>27</v>
      </c>
      <c r="E30" s="459">
        <v>-2313753672</v>
      </c>
      <c r="F30" s="459">
        <v>-2215358068</v>
      </c>
    </row>
    <row r="31" spans="1:6">
      <c r="A31" s="62" t="s">
        <v>188</v>
      </c>
      <c r="B31" s="92" t="s">
        <v>189</v>
      </c>
      <c r="C31" s="62"/>
      <c r="D31" s="62"/>
      <c r="E31" s="460">
        <v>5137010783</v>
      </c>
      <c r="F31" s="460">
        <v>6006390518</v>
      </c>
    </row>
    <row r="32" spans="1:6">
      <c r="A32" s="215" t="s">
        <v>190</v>
      </c>
      <c r="B32" s="214" t="s">
        <v>191</v>
      </c>
      <c r="C32" s="215" t="s">
        <v>144</v>
      </c>
      <c r="D32" s="215">
        <v>28</v>
      </c>
      <c r="E32" s="459">
        <v>82283490</v>
      </c>
      <c r="F32" s="459">
        <v>582203207</v>
      </c>
    </row>
    <row r="33" spans="1:6" s="256" customFormat="1">
      <c r="A33" s="262" t="s">
        <v>192</v>
      </c>
      <c r="B33" s="282" t="s">
        <v>193</v>
      </c>
      <c r="C33" s="262" t="s">
        <v>147</v>
      </c>
      <c r="D33" s="262" t="s">
        <v>194</v>
      </c>
      <c r="E33" s="459">
        <v>-861586282</v>
      </c>
      <c r="F33" s="459">
        <v>-874274421</v>
      </c>
    </row>
    <row r="34" spans="1:6">
      <c r="A34" s="62" t="s">
        <v>195</v>
      </c>
      <c r="B34" s="92" t="s">
        <v>196</v>
      </c>
      <c r="C34" s="62"/>
      <c r="D34" s="62"/>
      <c r="E34" s="460">
        <v>4357707991</v>
      </c>
      <c r="F34" s="460">
        <v>5714319304</v>
      </c>
    </row>
    <row r="35" spans="1:6">
      <c r="A35" s="75" t="s">
        <v>197</v>
      </c>
      <c r="B35" s="71" t="s">
        <v>198</v>
      </c>
      <c r="C35" s="75" t="s">
        <v>144</v>
      </c>
      <c r="D35" s="75">
        <v>29</v>
      </c>
      <c r="E35" s="459">
        <v>23880790</v>
      </c>
      <c r="F35" s="459">
        <v>12452925</v>
      </c>
    </row>
    <row r="36" spans="1:6">
      <c r="A36" s="75" t="s">
        <v>199</v>
      </c>
      <c r="B36" s="71" t="s">
        <v>200</v>
      </c>
      <c r="C36" s="75" t="s">
        <v>144</v>
      </c>
      <c r="D36" s="75">
        <v>28</v>
      </c>
      <c r="E36" s="459">
        <v>0</v>
      </c>
      <c r="F36" s="459">
        <v>0</v>
      </c>
    </row>
    <row r="37" spans="1:6">
      <c r="A37" s="75" t="s">
        <v>201</v>
      </c>
      <c r="B37" s="71" t="s">
        <v>202</v>
      </c>
      <c r="C37" s="75" t="s">
        <v>144</v>
      </c>
      <c r="D37" s="75">
        <v>12</v>
      </c>
      <c r="E37" s="459">
        <v>0</v>
      </c>
      <c r="F37" s="459">
        <v>0</v>
      </c>
    </row>
    <row r="38" spans="1:6">
      <c r="A38" s="75" t="s">
        <v>203</v>
      </c>
      <c r="B38" s="71" t="s">
        <v>204</v>
      </c>
      <c r="C38" s="75" t="s">
        <v>147</v>
      </c>
      <c r="D38" s="75">
        <v>29</v>
      </c>
      <c r="E38" s="459">
        <v>0</v>
      </c>
      <c r="F38" s="459">
        <v>-8096</v>
      </c>
    </row>
    <row r="39" spans="1:6">
      <c r="A39" s="75" t="s">
        <v>205</v>
      </c>
      <c r="B39" s="71" t="s">
        <v>206</v>
      </c>
      <c r="C39" s="75" t="s">
        <v>147</v>
      </c>
      <c r="D39" s="75" t="s">
        <v>194</v>
      </c>
      <c r="E39" s="459">
        <v>0</v>
      </c>
      <c r="F39" s="459">
        <v>0</v>
      </c>
    </row>
    <row r="40" spans="1:6">
      <c r="A40" s="62" t="s">
        <v>207</v>
      </c>
      <c r="B40" s="92" t="s">
        <v>208</v>
      </c>
      <c r="C40" s="62"/>
      <c r="D40" s="62"/>
      <c r="E40" s="460">
        <v>23880790</v>
      </c>
      <c r="F40" s="460">
        <v>12444829</v>
      </c>
    </row>
    <row r="41" spans="1:6">
      <c r="A41" s="94" t="s">
        <v>209</v>
      </c>
      <c r="B41" s="70" t="s">
        <v>210</v>
      </c>
      <c r="C41" s="94"/>
      <c r="D41" s="94"/>
      <c r="E41" s="461">
        <v>4381588781</v>
      </c>
      <c r="F41" s="461">
        <v>5726764133</v>
      </c>
    </row>
    <row r="42" spans="1:6">
      <c r="A42" s="75" t="s">
        <v>211</v>
      </c>
      <c r="B42" s="71" t="s">
        <v>212</v>
      </c>
      <c r="C42" s="75" t="s">
        <v>144</v>
      </c>
      <c r="D42" s="75" t="s">
        <v>213</v>
      </c>
      <c r="E42" s="459">
        <v>2118644</v>
      </c>
      <c r="F42" s="459">
        <v>0</v>
      </c>
    </row>
    <row r="43" spans="1:6">
      <c r="A43" s="75" t="s">
        <v>214</v>
      </c>
      <c r="B43" s="71" t="s">
        <v>215</v>
      </c>
      <c r="C43" s="75" t="s">
        <v>144</v>
      </c>
      <c r="D43" s="75">
        <v>30</v>
      </c>
      <c r="E43" s="459">
        <v>0</v>
      </c>
      <c r="F43" s="459">
        <v>0</v>
      </c>
    </row>
    <row r="44" spans="1:6">
      <c r="A44" s="75" t="s">
        <v>216</v>
      </c>
      <c r="B44" s="71" t="s">
        <v>217</v>
      </c>
      <c r="C44" s="75" t="s">
        <v>147</v>
      </c>
      <c r="D44" s="75" t="s">
        <v>213</v>
      </c>
      <c r="E44" s="459">
        <v>-604299</v>
      </c>
      <c r="F44" s="459">
        <v>-4614421</v>
      </c>
    </row>
    <row r="45" spans="1:6">
      <c r="A45" s="75" t="s">
        <v>218</v>
      </c>
      <c r="B45" s="71" t="s">
        <v>219</v>
      </c>
      <c r="C45" s="75" t="s">
        <v>147</v>
      </c>
      <c r="D45" s="75">
        <v>30</v>
      </c>
      <c r="E45" s="459">
        <v>0</v>
      </c>
      <c r="F45" s="459">
        <v>-530648278</v>
      </c>
    </row>
    <row r="46" spans="1:6">
      <c r="A46" s="94" t="s">
        <v>220</v>
      </c>
      <c r="B46" s="70" t="s">
        <v>221</v>
      </c>
      <c r="C46" s="94"/>
      <c r="D46" s="94"/>
      <c r="E46" s="461">
        <v>1514345</v>
      </c>
      <c r="F46" s="461">
        <v>-535262699</v>
      </c>
    </row>
    <row r="47" spans="1:6">
      <c r="A47" s="75" t="s">
        <v>222</v>
      </c>
      <c r="B47" s="71" t="s">
        <v>223</v>
      </c>
      <c r="C47" s="75" t="s">
        <v>147</v>
      </c>
      <c r="D47" s="75">
        <v>30</v>
      </c>
      <c r="E47" s="459">
        <v>0</v>
      </c>
      <c r="F47" s="459">
        <v>0</v>
      </c>
    </row>
    <row r="48" spans="1:6">
      <c r="A48" s="75" t="s">
        <v>224</v>
      </c>
      <c r="B48" s="71" t="s">
        <v>225</v>
      </c>
      <c r="C48" s="75" t="s">
        <v>147</v>
      </c>
      <c r="D48" s="75">
        <v>37</v>
      </c>
      <c r="E48" s="459">
        <v>-689324700</v>
      </c>
      <c r="F48" s="459">
        <v>-822376950</v>
      </c>
    </row>
    <row r="49" spans="1:6">
      <c r="A49" s="62" t="s">
        <v>226</v>
      </c>
      <c r="B49" s="92" t="s">
        <v>227</v>
      </c>
      <c r="C49" s="62"/>
      <c r="D49" s="92"/>
      <c r="E49" s="460">
        <v>3693778426</v>
      </c>
      <c r="F49" s="460">
        <v>4369124484</v>
      </c>
    </row>
  </sheetData>
  <mergeCells count="7">
    <mergeCell ref="E4:F5"/>
    <mergeCell ref="B5:C5"/>
    <mergeCell ref="A3:C3"/>
    <mergeCell ref="A4:C4"/>
    <mergeCell ref="A1:F1"/>
    <mergeCell ref="E3:F3"/>
    <mergeCell ref="D4:D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/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F38"/>
  <sheetViews>
    <sheetView showGridLines="0" topLeftCell="A6" zoomScaleNormal="100" workbookViewId="0">
      <selection activeCell="E35" sqref="E35:F37"/>
    </sheetView>
  </sheetViews>
  <sheetFormatPr baseColWidth="10" defaultColWidth="11.42578125" defaultRowHeight="12.75"/>
  <cols>
    <col min="1" max="1" width="4.7109375" style="95" customWidth="1" collapsed="1"/>
    <col min="2" max="2" width="71" style="58" customWidth="1" collapsed="1"/>
    <col min="3" max="3" width="3.140625" style="95" customWidth="1" collapsed="1"/>
    <col min="4" max="4" width="8.7109375" style="58" customWidth="1" collapsed="1"/>
    <col min="5" max="6" width="14.140625" style="58" customWidth="1" collapsed="1"/>
    <col min="7" max="16384" width="11.42578125" style="58" collapsed="1"/>
  </cols>
  <sheetData>
    <row r="1" spans="1:6" s="315" customFormat="1" ht="24.6" customHeight="1">
      <c r="A1" s="780" t="s">
        <v>1105</v>
      </c>
      <c r="B1" s="780"/>
      <c r="C1" s="780"/>
      <c r="D1" s="780"/>
      <c r="E1" s="780"/>
      <c r="F1" s="780"/>
    </row>
    <row r="2" spans="1:6" s="315" customFormat="1" ht="8.1" customHeight="1">
      <c r="C2" s="316"/>
    </row>
    <row r="3" spans="1:6" s="315" customFormat="1" ht="25.5" customHeight="1">
      <c r="A3" s="781" t="s">
        <v>279</v>
      </c>
      <c r="B3" s="781"/>
      <c r="C3" s="781"/>
      <c r="D3" s="318" t="s">
        <v>280</v>
      </c>
      <c r="E3" s="766">
        <f>+'Fiche de renseignement R1'!$V$10</f>
        <v>45657</v>
      </c>
      <c r="F3" s="767"/>
    </row>
    <row r="4" spans="1:6" s="315" customFormat="1" ht="15" customHeight="1">
      <c r="A4" s="768" t="str">
        <f>'Fiche de renseignement R1'!$J$4</f>
        <v>SOCIETE NOUVELLE DES SALINS DU SINE SALOUM</v>
      </c>
      <c r="B4" s="767"/>
      <c r="C4" s="767"/>
      <c r="D4" s="782" t="s">
        <v>281</v>
      </c>
      <c r="E4" s="770">
        <f>+'Fiche de renseignement R1'!$AH$10</f>
        <v>12</v>
      </c>
      <c r="F4" s="771"/>
    </row>
    <row r="5" spans="1:6" s="315" customFormat="1" ht="30.95" customHeight="1">
      <c r="A5" s="319" t="s">
        <v>282</v>
      </c>
      <c r="B5" s="772" t="str">
        <f>+'Fiche de renseignement R1'!$J$10</f>
        <v>000018699</v>
      </c>
      <c r="C5" s="773"/>
      <c r="D5" s="782"/>
      <c r="E5" s="767"/>
      <c r="F5" s="767"/>
    </row>
    <row r="7" spans="1:6">
      <c r="A7" s="62" t="s">
        <v>122</v>
      </c>
      <c r="B7" s="62" t="s">
        <v>139</v>
      </c>
      <c r="C7" s="62"/>
      <c r="D7" s="62" t="s">
        <v>140</v>
      </c>
      <c r="E7" s="62" t="s">
        <v>141</v>
      </c>
      <c r="F7" s="62" t="s">
        <v>142</v>
      </c>
    </row>
    <row r="8" spans="1:6" ht="25.5" customHeight="1">
      <c r="A8" s="62" t="s">
        <v>31</v>
      </c>
      <c r="B8" s="96" t="s">
        <v>228</v>
      </c>
      <c r="C8" s="62" t="s">
        <v>118</v>
      </c>
      <c r="D8" s="67"/>
      <c r="E8" s="462">
        <v>3782657420</v>
      </c>
      <c r="F8" s="462">
        <v>4084398932</v>
      </c>
    </row>
    <row r="9" spans="1:6">
      <c r="A9" s="94"/>
      <c r="B9" s="74" t="s">
        <v>229</v>
      </c>
      <c r="C9" s="94"/>
      <c r="D9" s="69"/>
      <c r="E9" s="463"/>
      <c r="F9" s="463"/>
    </row>
    <row r="10" spans="1:6">
      <c r="A10" s="75" t="s">
        <v>230</v>
      </c>
      <c r="B10" s="60" t="s">
        <v>231</v>
      </c>
      <c r="C10" s="75"/>
      <c r="D10" s="59"/>
      <c r="E10" s="464">
        <v>4471566873</v>
      </c>
      <c r="F10" s="464">
        <v>4665810119</v>
      </c>
    </row>
    <row r="11" spans="1:6">
      <c r="A11" s="75" t="s">
        <v>232</v>
      </c>
      <c r="B11" s="60" t="s">
        <v>838</v>
      </c>
      <c r="C11" s="75"/>
      <c r="D11" s="59"/>
      <c r="E11" s="464">
        <v>0</v>
      </c>
      <c r="F11" s="464">
        <v>0</v>
      </c>
    </row>
    <row r="12" spans="1:6">
      <c r="A12" s="75" t="s">
        <v>233</v>
      </c>
      <c r="B12" s="60" t="s">
        <v>234</v>
      </c>
      <c r="C12" s="75"/>
      <c r="D12" s="59"/>
      <c r="E12" s="464">
        <v>-34572859</v>
      </c>
      <c r="F12" s="464">
        <v>-409104732</v>
      </c>
    </row>
    <row r="13" spans="1:6">
      <c r="A13" s="75" t="s">
        <v>235</v>
      </c>
      <c r="B13" s="60" t="s">
        <v>236</v>
      </c>
      <c r="C13" s="75"/>
      <c r="D13" s="59"/>
      <c r="E13" s="464">
        <v>-86920492</v>
      </c>
      <c r="F13" s="464">
        <v>90268291</v>
      </c>
    </row>
    <row r="14" spans="1:6">
      <c r="A14" s="75" t="s">
        <v>237</v>
      </c>
      <c r="B14" s="60" t="s">
        <v>839</v>
      </c>
      <c r="C14" s="75"/>
      <c r="D14" s="59"/>
      <c r="E14" s="464">
        <v>-286859373</v>
      </c>
      <c r="F14" s="464">
        <v>-491347949</v>
      </c>
    </row>
    <row r="15" spans="1:6" ht="25.5" customHeight="1">
      <c r="A15" s="75"/>
      <c r="B15" s="60" t="s">
        <v>238</v>
      </c>
      <c r="C15" s="75"/>
      <c r="D15" s="59"/>
      <c r="E15" s="464">
        <v>-408352724</v>
      </c>
      <c r="F15" s="464">
        <v>-810184390</v>
      </c>
    </row>
    <row r="16" spans="1:6">
      <c r="A16" s="62" t="s">
        <v>35</v>
      </c>
      <c r="B16" s="96" t="s">
        <v>239</v>
      </c>
      <c r="C16" s="62" t="s">
        <v>240</v>
      </c>
      <c r="D16" s="67"/>
      <c r="E16" s="462">
        <v>4063214149</v>
      </c>
      <c r="F16" s="462">
        <v>3855625729</v>
      </c>
    </row>
    <row r="17" spans="1:6">
      <c r="A17" s="94"/>
      <c r="B17" s="74" t="s">
        <v>241</v>
      </c>
      <c r="C17" s="94"/>
      <c r="D17" s="69"/>
      <c r="E17" s="463"/>
      <c r="F17" s="463"/>
    </row>
    <row r="18" spans="1:6">
      <c r="A18" s="75" t="s">
        <v>242</v>
      </c>
      <c r="B18" s="60" t="s">
        <v>243</v>
      </c>
      <c r="C18" s="75"/>
      <c r="D18" s="59"/>
      <c r="E18" s="464">
        <v>-760532</v>
      </c>
      <c r="F18" s="464">
        <v>-329980</v>
      </c>
    </row>
    <row r="19" spans="1:6">
      <c r="A19" s="75" t="s">
        <v>244</v>
      </c>
      <c r="B19" s="60" t="s">
        <v>245</v>
      </c>
      <c r="C19" s="75"/>
      <c r="D19" s="59"/>
      <c r="E19" s="464">
        <v>-823390673</v>
      </c>
      <c r="F19" s="464">
        <v>-553307261</v>
      </c>
    </row>
    <row r="20" spans="1:6">
      <c r="A20" s="75" t="s">
        <v>246</v>
      </c>
      <c r="B20" s="60" t="s">
        <v>247</v>
      </c>
      <c r="C20" s="75"/>
      <c r="D20" s="59"/>
      <c r="E20" s="464">
        <v>0</v>
      </c>
      <c r="F20" s="464">
        <v>0</v>
      </c>
    </row>
    <row r="21" spans="1:6">
      <c r="A21" s="75" t="s">
        <v>248</v>
      </c>
      <c r="B21" s="60" t="s">
        <v>249</v>
      </c>
      <c r="C21" s="75"/>
      <c r="D21" s="59"/>
      <c r="E21" s="464">
        <v>2118644</v>
      </c>
      <c r="F21" s="464">
        <v>0</v>
      </c>
    </row>
    <row r="22" spans="1:6">
      <c r="A22" s="75" t="s">
        <v>250</v>
      </c>
      <c r="B22" s="60" t="s">
        <v>251</v>
      </c>
      <c r="C22" s="75"/>
      <c r="D22" s="59"/>
      <c r="E22" s="464">
        <v>0</v>
      </c>
      <c r="F22" s="464"/>
    </row>
    <row r="23" spans="1:6">
      <c r="A23" s="62" t="s">
        <v>37</v>
      </c>
      <c r="B23" s="96" t="s">
        <v>252</v>
      </c>
      <c r="C23" s="62" t="s">
        <v>253</v>
      </c>
      <c r="D23" s="67"/>
      <c r="E23" s="462">
        <v>-822032561</v>
      </c>
      <c r="F23" s="462">
        <v>-553637241</v>
      </c>
    </row>
    <row r="24" spans="1:6">
      <c r="A24" s="94"/>
      <c r="B24" s="74" t="s">
        <v>254</v>
      </c>
      <c r="C24" s="94"/>
      <c r="D24" s="69"/>
      <c r="E24" s="463"/>
      <c r="F24" s="463"/>
    </row>
    <row r="25" spans="1:6">
      <c r="A25" s="75" t="s">
        <v>255</v>
      </c>
      <c r="B25" s="60" t="s">
        <v>256</v>
      </c>
      <c r="C25" s="75"/>
      <c r="D25" s="59"/>
      <c r="E25" s="464">
        <v>0</v>
      </c>
      <c r="F25" s="464"/>
    </row>
    <row r="26" spans="1:6">
      <c r="A26" s="75" t="s">
        <v>257</v>
      </c>
      <c r="B26" s="60" t="s">
        <v>258</v>
      </c>
      <c r="C26" s="75"/>
      <c r="D26" s="59"/>
      <c r="E26" s="464">
        <v>0</v>
      </c>
      <c r="F26" s="464"/>
    </row>
    <row r="27" spans="1:6">
      <c r="A27" s="75" t="s">
        <v>259</v>
      </c>
      <c r="B27" s="60" t="s">
        <v>260</v>
      </c>
      <c r="C27" s="75"/>
      <c r="D27" s="59"/>
      <c r="E27" s="464">
        <v>0</v>
      </c>
      <c r="F27" s="464"/>
    </row>
    <row r="28" spans="1:6">
      <c r="A28" s="75" t="s">
        <v>261</v>
      </c>
      <c r="B28" s="60" t="s">
        <v>262</v>
      </c>
      <c r="C28" s="75"/>
      <c r="D28" s="59"/>
      <c r="E28" s="464">
        <v>-3603730000</v>
      </c>
      <c r="F28" s="464">
        <v>-3603730000</v>
      </c>
    </row>
    <row r="29" spans="1:6">
      <c r="A29" s="94" t="s">
        <v>40</v>
      </c>
      <c r="B29" s="74" t="s">
        <v>263</v>
      </c>
      <c r="C29" s="94" t="s">
        <v>264</v>
      </c>
      <c r="D29" s="69"/>
      <c r="E29" s="463">
        <v>-3603730000</v>
      </c>
      <c r="F29" s="463">
        <v>-3603730000</v>
      </c>
    </row>
    <row r="30" spans="1:6">
      <c r="A30" s="94"/>
      <c r="B30" s="74" t="s">
        <v>265</v>
      </c>
      <c r="C30" s="94"/>
      <c r="D30" s="69"/>
      <c r="E30" s="463">
        <v>0</v>
      </c>
      <c r="F30" s="463"/>
    </row>
    <row r="31" spans="1:6">
      <c r="A31" s="75" t="s">
        <v>266</v>
      </c>
      <c r="B31" s="60" t="s">
        <v>267</v>
      </c>
      <c r="C31" s="75"/>
      <c r="D31" s="59"/>
      <c r="E31" s="464">
        <v>0</v>
      </c>
      <c r="F31" s="464"/>
    </row>
    <row r="32" spans="1:6">
      <c r="A32" s="75" t="s">
        <v>268</v>
      </c>
      <c r="B32" s="60" t="s">
        <v>269</v>
      </c>
      <c r="C32" s="75"/>
      <c r="D32" s="59"/>
      <c r="E32" s="464">
        <v>0</v>
      </c>
      <c r="F32" s="464"/>
    </row>
    <row r="33" spans="1:6">
      <c r="A33" s="75" t="s">
        <v>270</v>
      </c>
      <c r="B33" s="60" t="s">
        <v>271</v>
      </c>
      <c r="C33" s="75"/>
      <c r="D33" s="59"/>
      <c r="E33" s="464">
        <v>0</v>
      </c>
      <c r="F33" s="464"/>
    </row>
    <row r="34" spans="1:6" ht="25.5" customHeight="1">
      <c r="A34" s="97" t="s">
        <v>44</v>
      </c>
      <c r="B34" s="98" t="s">
        <v>272</v>
      </c>
      <c r="C34" s="97" t="s">
        <v>911</v>
      </c>
      <c r="D34" s="91"/>
      <c r="E34" s="463">
        <v>0</v>
      </c>
      <c r="F34" s="463"/>
    </row>
    <row r="35" spans="1:6">
      <c r="A35" s="62" t="s">
        <v>48</v>
      </c>
      <c r="B35" s="96" t="s">
        <v>273</v>
      </c>
      <c r="C35" s="62" t="s">
        <v>274</v>
      </c>
      <c r="D35" s="67"/>
      <c r="E35" s="462">
        <v>-3603730000</v>
      </c>
      <c r="F35" s="462">
        <v>-3603730000</v>
      </c>
    </row>
    <row r="36" spans="1:6">
      <c r="A36" s="94" t="s">
        <v>50</v>
      </c>
      <c r="B36" s="74" t="s">
        <v>275</v>
      </c>
      <c r="C36" s="94" t="s">
        <v>912</v>
      </c>
      <c r="D36" s="69"/>
      <c r="E36" s="463">
        <v>-362548412</v>
      </c>
      <c r="F36" s="463">
        <v>-301741512</v>
      </c>
    </row>
    <row r="37" spans="1:6" ht="25.5" customHeight="1">
      <c r="A37" s="62" t="s">
        <v>56</v>
      </c>
      <c r="B37" s="96" t="s">
        <v>276</v>
      </c>
      <c r="C37" s="62" t="s">
        <v>913</v>
      </c>
      <c r="D37" s="67"/>
      <c r="E37" s="462">
        <v>3420109008</v>
      </c>
      <c r="F37" s="462">
        <v>3782657420</v>
      </c>
    </row>
    <row r="38" spans="1:6">
      <c r="B38" s="58" t="s">
        <v>277</v>
      </c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/>
  </dataValidation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F47"/>
  <sheetViews>
    <sheetView showGridLines="0" topLeftCell="A13" workbookViewId="0">
      <selection activeCell="A45" sqref="A45:F47"/>
    </sheetView>
  </sheetViews>
  <sheetFormatPr baseColWidth="10" defaultColWidth="11.42578125" defaultRowHeight="12.75"/>
  <cols>
    <col min="1" max="1" width="35.28515625" style="256" customWidth="1" collapsed="1"/>
    <col min="2" max="16384" width="11.42578125" style="256" collapsed="1"/>
  </cols>
  <sheetData>
    <row r="1" spans="1:6" ht="18.75" customHeight="1">
      <c r="A1" s="796" t="s">
        <v>278</v>
      </c>
      <c r="B1" s="796"/>
      <c r="C1" s="796"/>
      <c r="D1" s="796"/>
      <c r="E1" s="796"/>
      <c r="F1" s="796"/>
    </row>
    <row r="3" spans="1:6">
      <c r="A3" s="256" t="s">
        <v>279</v>
      </c>
      <c r="D3" s="256" t="s">
        <v>280</v>
      </c>
      <c r="E3" s="788">
        <f>+'Fiche de renseignement R1'!$V$10</f>
        <v>45657</v>
      </c>
      <c r="F3" s="787"/>
    </row>
    <row r="4" spans="1:6">
      <c r="A4" s="786" t="str">
        <f>'Fiche de renseignement R1'!$J$4</f>
        <v>SOCIETE NOUVELLE DES SALINS DU SINE SALOUM</v>
      </c>
      <c r="B4" s="787"/>
      <c r="C4" s="787"/>
      <c r="D4" s="789" t="s">
        <v>281</v>
      </c>
      <c r="E4" s="786">
        <f>+'Fiche de renseignement R1'!$AH$10</f>
        <v>12</v>
      </c>
      <c r="F4" s="787"/>
    </row>
    <row r="5" spans="1:6">
      <c r="A5" s="256" t="s">
        <v>282</v>
      </c>
      <c r="B5" s="786" t="str">
        <f>+'Fiche de renseignement R1'!$J$10</f>
        <v>000018699</v>
      </c>
      <c r="C5" s="787"/>
      <c r="D5" s="789"/>
      <c r="E5" s="787"/>
      <c r="F5" s="787"/>
    </row>
    <row r="7" spans="1:6" ht="15" customHeight="1">
      <c r="A7" s="783" t="s">
        <v>139</v>
      </c>
      <c r="B7" s="783" t="s">
        <v>123</v>
      </c>
      <c r="C7" s="783" t="s">
        <v>283</v>
      </c>
      <c r="D7" s="803" t="s">
        <v>284</v>
      </c>
      <c r="E7" s="804"/>
      <c r="F7" s="805"/>
    </row>
    <row r="8" spans="1:6">
      <c r="A8" s="784"/>
      <c r="B8" s="784"/>
      <c r="C8" s="784"/>
      <c r="D8" s="799" t="s">
        <v>285</v>
      </c>
      <c r="E8" s="801" t="s">
        <v>286</v>
      </c>
      <c r="F8" s="799" t="s">
        <v>836</v>
      </c>
    </row>
    <row r="9" spans="1:6">
      <c r="A9" s="785"/>
      <c r="B9" s="785"/>
      <c r="C9" s="785"/>
      <c r="D9" s="800"/>
      <c r="E9" s="802"/>
      <c r="F9" s="800"/>
    </row>
    <row r="10" spans="1:6">
      <c r="A10" s="286" t="s">
        <v>288</v>
      </c>
      <c r="B10" s="285"/>
      <c r="C10" s="465"/>
      <c r="D10" s="465"/>
      <c r="E10" s="465"/>
      <c r="F10" s="465"/>
    </row>
    <row r="11" spans="1:6">
      <c r="A11" s="259" t="s">
        <v>289</v>
      </c>
      <c r="B11" s="257"/>
      <c r="C11" s="466">
        <v>0</v>
      </c>
      <c r="D11" s="466">
        <v>0</v>
      </c>
      <c r="E11" s="466">
        <v>0</v>
      </c>
      <c r="F11" s="466">
        <v>0</v>
      </c>
    </row>
    <row r="12" spans="1:6">
      <c r="A12" s="259" t="s">
        <v>290</v>
      </c>
      <c r="B12" s="257"/>
      <c r="C12" s="466">
        <v>0</v>
      </c>
      <c r="D12" s="466">
        <v>0</v>
      </c>
      <c r="E12" s="466">
        <v>0</v>
      </c>
      <c r="F12" s="466">
        <v>0</v>
      </c>
    </row>
    <row r="13" spans="1:6" ht="25.5" customHeight="1">
      <c r="A13" s="259" t="s">
        <v>291</v>
      </c>
      <c r="B13" s="257"/>
      <c r="C13" s="466">
        <v>0</v>
      </c>
      <c r="D13" s="466">
        <v>0</v>
      </c>
      <c r="E13" s="466">
        <v>0</v>
      </c>
      <c r="F13" s="466">
        <v>0</v>
      </c>
    </row>
    <row r="14" spans="1:6">
      <c r="A14" s="259" t="s">
        <v>292</v>
      </c>
      <c r="B14" s="257"/>
      <c r="C14" s="466">
        <v>0</v>
      </c>
      <c r="D14" s="466">
        <v>0</v>
      </c>
      <c r="E14" s="466">
        <v>0</v>
      </c>
      <c r="F14" s="466">
        <v>0</v>
      </c>
    </row>
    <row r="15" spans="1:6">
      <c r="A15" s="276" t="s">
        <v>293</v>
      </c>
      <c r="B15" s="258"/>
      <c r="C15" s="467">
        <v>0</v>
      </c>
      <c r="D15" s="467">
        <v>0</v>
      </c>
      <c r="E15" s="467">
        <v>0</v>
      </c>
      <c r="F15" s="467">
        <v>0</v>
      </c>
    </row>
    <row r="16" spans="1:6" s="470" customFormat="1" ht="14.25" customHeight="1">
      <c r="A16" s="312"/>
      <c r="B16" s="313"/>
      <c r="C16" s="468"/>
      <c r="D16" s="468"/>
      <c r="E16" s="468"/>
      <c r="F16" s="468"/>
    </row>
    <row r="17" spans="1:6">
      <c r="A17" s="284" t="s">
        <v>294</v>
      </c>
      <c r="B17" s="285"/>
      <c r="C17" s="465"/>
      <c r="D17" s="465"/>
      <c r="E17" s="465"/>
      <c r="F17" s="465"/>
    </row>
    <row r="18" spans="1:6">
      <c r="A18" s="259" t="s">
        <v>295</v>
      </c>
      <c r="B18" s="257"/>
      <c r="C18" s="466">
        <v>0</v>
      </c>
      <c r="D18" s="466">
        <v>0</v>
      </c>
      <c r="E18" s="466">
        <v>0</v>
      </c>
      <c r="F18" s="466">
        <v>0</v>
      </c>
    </row>
    <row r="19" spans="1:6">
      <c r="A19" s="259" t="s">
        <v>296</v>
      </c>
      <c r="B19" s="257"/>
      <c r="C19" s="466">
        <v>0</v>
      </c>
      <c r="D19" s="466">
        <v>0</v>
      </c>
      <c r="E19" s="466">
        <v>0</v>
      </c>
      <c r="F19" s="466">
        <v>0</v>
      </c>
    </row>
    <row r="20" spans="1:6">
      <c r="A20" s="259" t="s">
        <v>297</v>
      </c>
      <c r="B20" s="257"/>
      <c r="C20" s="466">
        <v>0</v>
      </c>
      <c r="D20" s="466">
        <v>0</v>
      </c>
      <c r="E20" s="466">
        <v>0</v>
      </c>
      <c r="F20" s="466">
        <v>0</v>
      </c>
    </row>
    <row r="21" spans="1:6">
      <c r="A21" s="259" t="s">
        <v>298</v>
      </c>
      <c r="B21" s="257"/>
      <c r="C21" s="466">
        <v>0</v>
      </c>
      <c r="D21" s="466">
        <v>0</v>
      </c>
      <c r="E21" s="466">
        <v>0</v>
      </c>
      <c r="F21" s="466">
        <v>0</v>
      </c>
    </row>
    <row r="22" spans="1:6">
      <c r="A22" s="276" t="s">
        <v>299</v>
      </c>
      <c r="B22" s="258"/>
      <c r="C22" s="467">
        <v>0</v>
      </c>
      <c r="D22" s="467">
        <v>0</v>
      </c>
      <c r="E22" s="467">
        <v>0</v>
      </c>
      <c r="F22" s="467">
        <v>0</v>
      </c>
    </row>
    <row r="23" spans="1:6" s="470" customFormat="1" ht="14.25" customHeight="1">
      <c r="A23" s="312"/>
      <c r="B23" s="313"/>
      <c r="C23" s="468"/>
      <c r="D23" s="468"/>
      <c r="E23" s="468"/>
      <c r="F23" s="468"/>
    </row>
    <row r="24" spans="1:6">
      <c r="A24" s="284" t="s">
        <v>300</v>
      </c>
      <c r="B24" s="285"/>
      <c r="C24" s="465"/>
      <c r="D24" s="465"/>
      <c r="E24" s="465"/>
      <c r="F24" s="465"/>
    </row>
    <row r="25" spans="1:6">
      <c r="A25" s="259" t="s">
        <v>907</v>
      </c>
      <c r="B25" s="257"/>
      <c r="C25" s="466">
        <v>0</v>
      </c>
      <c r="D25" s="466">
        <v>0</v>
      </c>
      <c r="E25" s="466">
        <v>0</v>
      </c>
      <c r="F25" s="466">
        <v>0</v>
      </c>
    </row>
    <row r="26" spans="1:6">
      <c r="A26" s="259" t="s">
        <v>137</v>
      </c>
      <c r="B26" s="257"/>
      <c r="C26" s="466">
        <v>0</v>
      </c>
      <c r="D26" s="466">
        <v>0</v>
      </c>
      <c r="E26" s="466">
        <v>0</v>
      </c>
      <c r="F26" s="466">
        <v>0</v>
      </c>
    </row>
    <row r="27" spans="1:6">
      <c r="A27" s="259" t="s">
        <v>301</v>
      </c>
      <c r="B27" s="257"/>
      <c r="C27" s="466">
        <v>0</v>
      </c>
      <c r="D27" s="466">
        <v>0</v>
      </c>
      <c r="E27" s="466">
        <v>0</v>
      </c>
      <c r="F27" s="466">
        <v>0</v>
      </c>
    </row>
    <row r="28" spans="1:6">
      <c r="A28" s="259" t="s">
        <v>302</v>
      </c>
      <c r="B28" s="257"/>
      <c r="C28" s="466">
        <v>0</v>
      </c>
      <c r="D28" s="466">
        <v>0</v>
      </c>
      <c r="E28" s="466">
        <v>0</v>
      </c>
      <c r="F28" s="466">
        <v>0</v>
      </c>
    </row>
    <row r="29" spans="1:6">
      <c r="A29" s="259" t="s">
        <v>303</v>
      </c>
      <c r="B29" s="257"/>
      <c r="C29" s="466">
        <v>0</v>
      </c>
      <c r="D29" s="466">
        <v>0</v>
      </c>
      <c r="E29" s="466">
        <v>0</v>
      </c>
      <c r="F29" s="466">
        <v>0</v>
      </c>
    </row>
    <row r="30" spans="1:6">
      <c r="A30" s="259" t="s">
        <v>304</v>
      </c>
      <c r="B30" s="257"/>
      <c r="C30" s="466">
        <v>0</v>
      </c>
      <c r="D30" s="466">
        <v>0</v>
      </c>
      <c r="E30" s="466">
        <v>0</v>
      </c>
      <c r="F30" s="466">
        <v>0</v>
      </c>
    </row>
    <row r="31" spans="1:6">
      <c r="A31" s="259" t="s">
        <v>908</v>
      </c>
      <c r="B31" s="257"/>
      <c r="C31" s="466">
        <v>0</v>
      </c>
      <c r="D31" s="466">
        <v>0</v>
      </c>
      <c r="E31" s="466">
        <v>0</v>
      </c>
      <c r="F31" s="466">
        <v>0</v>
      </c>
    </row>
    <row r="32" spans="1:6">
      <c r="A32" s="259" t="s">
        <v>573</v>
      </c>
      <c r="B32" s="257"/>
      <c r="C32" s="466">
        <v>0</v>
      </c>
      <c r="D32" s="466">
        <v>0</v>
      </c>
      <c r="E32" s="466">
        <v>0</v>
      </c>
      <c r="F32" s="466">
        <v>0</v>
      </c>
    </row>
    <row r="33" spans="1:6">
      <c r="A33" s="276" t="s">
        <v>305</v>
      </c>
      <c r="B33" s="258"/>
      <c r="C33" s="467">
        <v>0</v>
      </c>
      <c r="D33" s="467">
        <v>0</v>
      </c>
      <c r="E33" s="467">
        <v>0</v>
      </c>
      <c r="F33" s="467">
        <v>0</v>
      </c>
    </row>
    <row r="34" spans="1:6">
      <c r="A34" s="267" t="s">
        <v>306</v>
      </c>
      <c r="B34" s="267"/>
      <c r="C34" s="469">
        <v>0</v>
      </c>
      <c r="D34" s="469">
        <v>0</v>
      </c>
      <c r="E34" s="469">
        <v>0</v>
      </c>
      <c r="F34" s="469">
        <v>0</v>
      </c>
    </row>
    <row r="35" spans="1:6" ht="25.5" customHeight="1">
      <c r="A35" s="92" t="s">
        <v>307</v>
      </c>
      <c r="B35" s="92"/>
      <c r="C35" s="92"/>
      <c r="D35" s="92"/>
      <c r="E35" s="275" t="s">
        <v>308</v>
      </c>
      <c r="F35" s="275" t="s">
        <v>309</v>
      </c>
    </row>
    <row r="36" spans="1:6" ht="19.5" customHeight="1">
      <c r="A36" s="790" t="s">
        <v>310</v>
      </c>
      <c r="B36" s="791"/>
      <c r="C36" s="792"/>
      <c r="D36" s="466">
        <v>0</v>
      </c>
      <c r="E36" s="466">
        <v>0</v>
      </c>
      <c r="F36" s="466">
        <v>0</v>
      </c>
    </row>
    <row r="37" spans="1:6" ht="19.5" customHeight="1">
      <c r="A37" s="790" t="s">
        <v>311</v>
      </c>
      <c r="B37" s="791"/>
      <c r="C37" s="792"/>
      <c r="D37" s="466">
        <v>0</v>
      </c>
      <c r="E37" s="466">
        <v>0</v>
      </c>
      <c r="F37" s="466">
        <v>0</v>
      </c>
    </row>
    <row r="38" spans="1:6" ht="19.5" customHeight="1">
      <c r="A38" s="790" t="s">
        <v>312</v>
      </c>
      <c r="B38" s="791"/>
      <c r="C38" s="792"/>
      <c r="D38" s="466">
        <v>0</v>
      </c>
      <c r="E38" s="466">
        <v>0</v>
      </c>
      <c r="F38" s="466">
        <v>0</v>
      </c>
    </row>
    <row r="39" spans="1:6" ht="19.5" customHeight="1">
      <c r="A39" s="790" t="s">
        <v>313</v>
      </c>
      <c r="B39" s="791"/>
      <c r="C39" s="792"/>
      <c r="D39" s="466">
        <v>0</v>
      </c>
      <c r="E39" s="466">
        <v>0</v>
      </c>
      <c r="F39" s="466">
        <v>0</v>
      </c>
    </row>
    <row r="40" spans="1:6" ht="19.5" customHeight="1">
      <c r="A40" s="790" t="s">
        <v>314</v>
      </c>
      <c r="B40" s="791"/>
      <c r="C40" s="792"/>
      <c r="D40" s="466">
        <v>0</v>
      </c>
      <c r="E40" s="466">
        <v>0</v>
      </c>
      <c r="F40" s="466">
        <v>0</v>
      </c>
    </row>
    <row r="41" spans="1:6" ht="19.5" customHeight="1">
      <c r="A41" s="790" t="s">
        <v>315</v>
      </c>
      <c r="B41" s="791"/>
      <c r="C41" s="792"/>
      <c r="D41" s="466">
        <v>0</v>
      </c>
      <c r="E41" s="466">
        <v>0</v>
      </c>
      <c r="F41" s="466">
        <v>0</v>
      </c>
    </row>
    <row r="42" spans="1:6" ht="19.5" customHeight="1">
      <c r="A42" s="790" t="s">
        <v>316</v>
      </c>
      <c r="B42" s="791"/>
      <c r="C42" s="792"/>
      <c r="D42" s="466">
        <v>0</v>
      </c>
      <c r="E42" s="466">
        <v>0</v>
      </c>
      <c r="F42" s="466">
        <v>0</v>
      </c>
    </row>
    <row r="43" spans="1:6" s="370" customFormat="1" ht="19.5" customHeight="1">
      <c r="A43" s="793" t="s">
        <v>105</v>
      </c>
      <c r="B43" s="794"/>
      <c r="C43" s="795"/>
      <c r="D43" s="369"/>
      <c r="E43" s="369">
        <f t="shared" ref="E43:F43" si="0">SUM(E36:E42)</f>
        <v>0</v>
      </c>
      <c r="F43" s="369">
        <f t="shared" si="0"/>
        <v>0</v>
      </c>
    </row>
    <row r="44" spans="1:6">
      <c r="A44" s="256" t="s">
        <v>317</v>
      </c>
    </row>
    <row r="45" spans="1:6">
      <c r="A45" s="797" t="s">
        <v>1456</v>
      </c>
      <c r="B45" s="798"/>
      <c r="C45" s="798"/>
      <c r="D45" s="798"/>
      <c r="E45" s="798"/>
      <c r="F45" s="798"/>
    </row>
    <row r="46" spans="1:6">
      <c r="A46" s="798"/>
      <c r="B46" s="798"/>
      <c r="C46" s="798"/>
      <c r="D46" s="798"/>
      <c r="E46" s="798"/>
      <c r="F46" s="798"/>
    </row>
    <row r="47" spans="1:6">
      <c r="A47" s="798"/>
      <c r="B47" s="798"/>
      <c r="C47" s="798"/>
      <c r="D47" s="798"/>
      <c r="E47" s="798"/>
      <c r="F47" s="798"/>
    </row>
  </sheetData>
  <mergeCells count="22">
    <mergeCell ref="A42:C42"/>
    <mergeCell ref="A43:C43"/>
    <mergeCell ref="A1:F1"/>
    <mergeCell ref="A45:F47"/>
    <mergeCell ref="A36:C36"/>
    <mergeCell ref="A37:C37"/>
    <mergeCell ref="A38:C38"/>
    <mergeCell ref="A39:C39"/>
    <mergeCell ref="A40:C40"/>
    <mergeCell ref="A41:C41"/>
    <mergeCell ref="B7:B9"/>
    <mergeCell ref="A7:A9"/>
    <mergeCell ref="D8:D9"/>
    <mergeCell ref="E8:E9"/>
    <mergeCell ref="F8:F9"/>
    <mergeCell ref="D7:F7"/>
    <mergeCell ref="C7:C9"/>
    <mergeCell ref="A4:C4"/>
    <mergeCell ref="E4:F5"/>
    <mergeCell ref="E3:F3"/>
    <mergeCell ref="B5:C5"/>
    <mergeCell ref="D4:D5"/>
  </mergeCell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D14"/>
  <sheetViews>
    <sheetView showGridLines="0" topLeftCell="A6" workbookViewId="0">
      <selection sqref="A1:E1"/>
    </sheetView>
  </sheetViews>
  <sheetFormatPr baseColWidth="10" defaultColWidth="10.28515625" defaultRowHeight="12.75"/>
  <cols>
    <col min="1" max="1" width="35.28515625" style="58" customWidth="1" collapsed="1"/>
    <col min="2" max="2" width="46.5703125" style="58" customWidth="1" collapsed="1"/>
    <col min="3" max="3" width="19" style="58" customWidth="1" collapsed="1"/>
    <col min="4" max="4" width="13" style="58" customWidth="1" collapsed="1"/>
    <col min="5" max="16384" width="10.28515625" style="58" collapsed="1"/>
  </cols>
  <sheetData>
    <row r="1" spans="1:4" ht="18.75" customHeight="1">
      <c r="A1" s="814" t="s">
        <v>318</v>
      </c>
      <c r="B1" s="814"/>
      <c r="C1" s="814"/>
      <c r="D1" s="814"/>
    </row>
    <row r="3" spans="1:4">
      <c r="A3" s="812" t="s">
        <v>279</v>
      </c>
      <c r="B3" s="812"/>
      <c r="C3" s="58" t="s">
        <v>280</v>
      </c>
      <c r="D3" s="471">
        <f>+'Fiche de renseignement R1'!$V$10</f>
        <v>45657</v>
      </c>
    </row>
    <row r="4" spans="1:4">
      <c r="A4" s="768" t="str">
        <f>'Fiche de renseignement R1'!$J$4</f>
        <v>SOCIETE NOUVELLE DES SALINS DU SINE SALOUM</v>
      </c>
      <c r="B4" s="813"/>
      <c r="C4" s="58" t="s">
        <v>281</v>
      </c>
      <c r="D4" s="449">
        <f>+'Fiche de renseignement R1'!$AH$10</f>
        <v>12</v>
      </c>
    </row>
    <row r="5" spans="1:4">
      <c r="A5" s="58" t="s">
        <v>282</v>
      </c>
      <c r="B5" s="449" t="str">
        <f>+'Fiche de renseignement R1'!$J$10</f>
        <v>000018699</v>
      </c>
    </row>
    <row r="7" spans="1:4">
      <c r="A7" s="815" t="s">
        <v>319</v>
      </c>
      <c r="B7" s="816"/>
      <c r="C7" s="816"/>
      <c r="D7" s="816"/>
    </row>
    <row r="8" spans="1:4" ht="89.25" customHeight="1">
      <c r="A8" s="806" t="s">
        <v>1361</v>
      </c>
      <c r="B8" s="807"/>
      <c r="C8" s="807"/>
      <c r="D8" s="808"/>
    </row>
    <row r="9" spans="1:4">
      <c r="A9" s="803" t="s">
        <v>320</v>
      </c>
      <c r="B9" s="804"/>
      <c r="C9" s="804"/>
      <c r="D9" s="804"/>
    </row>
    <row r="10" spans="1:4" ht="89.25" customHeight="1">
      <c r="A10" s="806" t="s">
        <v>1362</v>
      </c>
      <c r="B10" s="807"/>
      <c r="C10" s="807"/>
      <c r="D10" s="808"/>
    </row>
    <row r="11" spans="1:4">
      <c r="A11" s="809" t="s">
        <v>321</v>
      </c>
      <c r="B11" s="809"/>
      <c r="C11" s="809"/>
      <c r="D11" s="809"/>
    </row>
    <row r="12" spans="1:4" ht="76.5" customHeight="1">
      <c r="A12" s="806" t="s">
        <v>1363</v>
      </c>
      <c r="B12" s="807"/>
      <c r="C12" s="807"/>
      <c r="D12" s="808"/>
    </row>
    <row r="13" spans="1:4" ht="28.5" customHeight="1">
      <c r="A13" s="810" t="s">
        <v>322</v>
      </c>
      <c r="B13" s="811"/>
      <c r="C13" s="811"/>
      <c r="D13" s="811"/>
    </row>
    <row r="14" spans="1:4" s="68" customFormat="1" ht="105.75" customHeight="1">
      <c r="A14" s="806" t="s">
        <v>1364</v>
      </c>
      <c r="B14" s="807"/>
      <c r="C14" s="807"/>
      <c r="D14" s="808"/>
    </row>
  </sheetData>
  <mergeCells count="11">
    <mergeCell ref="A3:B3"/>
    <mergeCell ref="A4:B4"/>
    <mergeCell ref="A1:D1"/>
    <mergeCell ref="A8:D8"/>
    <mergeCell ref="A7:D7"/>
    <mergeCell ref="A9:D9"/>
    <mergeCell ref="A10:D10"/>
    <mergeCell ref="A12:D12"/>
    <mergeCell ref="A14:D14"/>
    <mergeCell ref="A11:D11"/>
    <mergeCell ref="A13:D13"/>
  </mergeCells>
  <pageMargins left="0.70866141732279997" right="0.70866141732279997" top="0.74803149606300001" bottom="0.74803149606300001" header="0.31496062992129997" footer="0.31496062992129997"/>
  <pageSetup paperSize="9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H37"/>
  <sheetViews>
    <sheetView showGridLines="0" topLeftCell="A4" workbookViewId="0">
      <selection activeCell="A23" sqref="A23"/>
    </sheetView>
  </sheetViews>
  <sheetFormatPr baseColWidth="10" defaultColWidth="10.28515625" defaultRowHeight="15" customHeight="1"/>
  <cols>
    <col min="1" max="1" width="35.28515625" customWidth="1" collapsed="1"/>
    <col min="2" max="2" width="16" style="232" bestFit="1" customWidth="1" collapsed="1"/>
    <col min="3" max="3" width="12.140625" style="432" customWidth="1" collapsed="1"/>
    <col min="4" max="4" width="11.7109375" customWidth="1" collapsed="1"/>
    <col min="5" max="5" width="12.42578125" customWidth="1" collapsed="1"/>
    <col min="6" max="7" width="11.7109375" customWidth="1" collapsed="1"/>
    <col min="8" max="8" width="16" style="232" customWidth="1" collapsed="1"/>
  </cols>
  <sheetData>
    <row r="1" spans="1:8" ht="18.75" customHeight="1">
      <c r="A1" s="814" t="s">
        <v>906</v>
      </c>
      <c r="B1" s="814"/>
      <c r="C1" s="814"/>
      <c r="D1" s="814"/>
      <c r="E1" s="814"/>
      <c r="F1" s="814"/>
      <c r="G1" s="814"/>
      <c r="H1" s="814"/>
    </row>
    <row r="2" spans="1:8" ht="8.1" customHeight="1"/>
    <row r="3" spans="1:8" ht="12.75" customHeight="1">
      <c r="A3" s="822" t="s">
        <v>279</v>
      </c>
      <c r="B3" s="822"/>
      <c r="C3" s="822"/>
      <c r="D3" s="68"/>
      <c r="E3" s="213" t="s">
        <v>280</v>
      </c>
      <c r="F3" s="823">
        <f>+'Fiche de renseignement R1'!$V$10</f>
        <v>45657</v>
      </c>
      <c r="G3" s="824"/>
      <c r="H3" s="68"/>
    </row>
    <row r="4" spans="1:8" ht="15" customHeight="1">
      <c r="A4" s="768" t="str">
        <f>'Fiche de renseignement R1'!$J$4</f>
        <v>SOCIETE NOUVELLE DES SALINS DU SINE SALOUM</v>
      </c>
      <c r="B4" s="813"/>
      <c r="C4" s="813"/>
      <c r="D4" s="68"/>
      <c r="E4" s="822" t="s">
        <v>281</v>
      </c>
      <c r="F4" s="825">
        <f>+'Fiche de renseignement R1'!$AH$10</f>
        <v>12</v>
      </c>
      <c r="G4" s="826"/>
      <c r="H4" s="68"/>
    </row>
    <row r="5" spans="1:8" ht="15" customHeight="1">
      <c r="A5" s="68" t="s">
        <v>282</v>
      </c>
      <c r="B5" s="768" t="str">
        <f>+'Fiche de renseignement R1'!$J$10</f>
        <v>000018699</v>
      </c>
      <c r="C5" s="813"/>
      <c r="D5" s="68"/>
      <c r="E5" s="822"/>
      <c r="F5" s="824"/>
      <c r="G5" s="824"/>
      <c r="H5" s="68"/>
    </row>
    <row r="6" spans="1:8" ht="8.1" customHeight="1"/>
    <row r="7" spans="1:8" ht="20.100000000000001" customHeight="1">
      <c r="A7" s="820" t="s">
        <v>323</v>
      </c>
      <c r="B7" s="819" t="s">
        <v>324</v>
      </c>
      <c r="C7" s="819" t="s">
        <v>325</v>
      </c>
      <c r="D7" s="819" t="s">
        <v>326</v>
      </c>
      <c r="E7" s="821" t="s">
        <v>327</v>
      </c>
      <c r="F7" s="819" t="s">
        <v>328</v>
      </c>
      <c r="G7" s="819" t="s">
        <v>326</v>
      </c>
      <c r="H7" s="819" t="s">
        <v>329</v>
      </c>
    </row>
    <row r="8" spans="1:8" ht="20.100000000000001" customHeight="1">
      <c r="A8" s="820"/>
      <c r="B8" s="819"/>
      <c r="C8" s="819"/>
      <c r="D8" s="819"/>
      <c r="E8" s="821"/>
      <c r="F8" s="819"/>
      <c r="G8" s="819"/>
      <c r="H8" s="819"/>
    </row>
    <row r="9" spans="1:8" ht="20.100000000000001" customHeight="1">
      <c r="A9" s="820"/>
      <c r="B9" s="819"/>
      <c r="C9" s="819"/>
      <c r="D9" s="819"/>
      <c r="E9" s="821"/>
      <c r="F9" s="819"/>
      <c r="G9" s="819"/>
      <c r="H9" s="819"/>
    </row>
    <row r="10" spans="1:8" ht="20.100000000000001" customHeight="1">
      <c r="A10" s="70" t="s">
        <v>124</v>
      </c>
      <c r="B10" s="461">
        <v>87818015</v>
      </c>
      <c r="C10" s="461">
        <v>760532</v>
      </c>
      <c r="D10" s="461">
        <v>0</v>
      </c>
      <c r="E10" s="461">
        <v>0</v>
      </c>
      <c r="F10" s="461">
        <v>4626699</v>
      </c>
      <c r="G10" s="461">
        <v>0</v>
      </c>
      <c r="H10" s="461">
        <v>83951848</v>
      </c>
    </row>
    <row r="11" spans="1:8">
      <c r="A11" s="71" t="s">
        <v>125</v>
      </c>
      <c r="B11" s="459">
        <v>26937701</v>
      </c>
      <c r="C11" s="459">
        <v>0</v>
      </c>
      <c r="D11" s="459"/>
      <c r="E11" s="459"/>
      <c r="F11" s="459">
        <v>0</v>
      </c>
      <c r="G11" s="459"/>
      <c r="H11" s="459">
        <v>26937701</v>
      </c>
    </row>
    <row r="12" spans="1:8" ht="25.5" customHeight="1">
      <c r="A12" s="60" t="s">
        <v>126</v>
      </c>
      <c r="B12" s="459">
        <v>27080314</v>
      </c>
      <c r="C12" s="459">
        <v>760532</v>
      </c>
      <c r="D12" s="459"/>
      <c r="E12" s="459"/>
      <c r="F12" s="459">
        <v>4626699</v>
      </c>
      <c r="G12" s="459"/>
      <c r="H12" s="459">
        <v>23214147</v>
      </c>
    </row>
    <row r="13" spans="1:8">
      <c r="A13" s="71" t="s">
        <v>127</v>
      </c>
      <c r="B13" s="459">
        <v>0</v>
      </c>
      <c r="C13" s="459">
        <v>0</v>
      </c>
      <c r="D13" s="459"/>
      <c r="E13" s="459"/>
      <c r="F13" s="459"/>
      <c r="G13" s="459"/>
      <c r="H13" s="459">
        <v>0</v>
      </c>
    </row>
    <row r="14" spans="1:8">
      <c r="A14" s="71" t="s">
        <v>128</v>
      </c>
      <c r="B14" s="459">
        <v>33800000</v>
      </c>
      <c r="C14" s="459">
        <v>0</v>
      </c>
      <c r="D14" s="459"/>
      <c r="E14" s="459"/>
      <c r="F14" s="459"/>
      <c r="G14" s="459"/>
      <c r="H14" s="459">
        <v>33800000</v>
      </c>
    </row>
    <row r="15" spans="1:8" ht="20.100000000000001" customHeight="1">
      <c r="A15" s="70" t="s">
        <v>129</v>
      </c>
      <c r="B15" s="461">
        <v>10304845104</v>
      </c>
      <c r="C15" s="461">
        <v>823390673</v>
      </c>
      <c r="D15" s="461">
        <v>120864821</v>
      </c>
      <c r="E15" s="461">
        <v>0</v>
      </c>
      <c r="F15" s="461">
        <v>354756925</v>
      </c>
      <c r="G15" s="461">
        <v>120689821</v>
      </c>
      <c r="H15" s="461">
        <v>10773653852</v>
      </c>
    </row>
    <row r="16" spans="1:8">
      <c r="A16" s="71" t="s">
        <v>330</v>
      </c>
      <c r="B16" s="459">
        <v>1163994254</v>
      </c>
      <c r="C16" s="459">
        <v>27940078</v>
      </c>
      <c r="D16" s="459"/>
      <c r="E16" s="459"/>
      <c r="F16" s="459">
        <v>0</v>
      </c>
      <c r="G16" s="459">
        <v>41559138</v>
      </c>
      <c r="H16" s="459">
        <v>1150375194</v>
      </c>
    </row>
    <row r="17" spans="1:8">
      <c r="A17" s="71" t="s">
        <v>331</v>
      </c>
      <c r="B17" s="459">
        <v>0</v>
      </c>
      <c r="C17" s="459">
        <v>0</v>
      </c>
      <c r="D17" s="459"/>
      <c r="E17" s="459"/>
      <c r="F17" s="459">
        <v>0</v>
      </c>
      <c r="G17" s="459"/>
      <c r="H17" s="459">
        <v>0</v>
      </c>
    </row>
    <row r="18" spans="1:8">
      <c r="A18" s="71" t="s">
        <v>332</v>
      </c>
      <c r="B18" s="459">
        <v>1040275840</v>
      </c>
      <c r="C18" s="459">
        <v>175762729</v>
      </c>
      <c r="D18" s="459"/>
      <c r="E18" s="459"/>
      <c r="F18" s="459">
        <v>0</v>
      </c>
      <c r="G18" s="459">
        <v>13058560</v>
      </c>
      <c r="H18" s="459">
        <v>1202980009</v>
      </c>
    </row>
    <row r="19" spans="1:8">
      <c r="A19" s="71" t="s">
        <v>333</v>
      </c>
      <c r="B19" s="459">
        <v>0</v>
      </c>
      <c r="C19" s="459">
        <v>0</v>
      </c>
      <c r="D19" s="459"/>
      <c r="E19" s="459"/>
      <c r="F19" s="459">
        <v>0</v>
      </c>
      <c r="G19" s="459"/>
      <c r="H19" s="459">
        <v>0</v>
      </c>
    </row>
    <row r="20" spans="1:8" ht="25.5" customHeight="1">
      <c r="A20" s="60" t="s">
        <v>132</v>
      </c>
      <c r="B20" s="459">
        <v>1359502455</v>
      </c>
      <c r="C20" s="459">
        <v>115625148</v>
      </c>
      <c r="D20" s="459"/>
      <c r="E20" s="459"/>
      <c r="F20" s="459">
        <v>0</v>
      </c>
      <c r="G20" s="459">
        <v>63465678</v>
      </c>
      <c r="H20" s="459">
        <v>1411661925</v>
      </c>
    </row>
    <row r="21" spans="1:8">
      <c r="A21" s="71" t="s">
        <v>133</v>
      </c>
      <c r="B21" s="459">
        <v>6508955691</v>
      </c>
      <c r="C21" s="459">
        <v>390956273</v>
      </c>
      <c r="D21" s="459">
        <v>120864821</v>
      </c>
      <c r="E21" s="459"/>
      <c r="F21" s="459">
        <v>321971925</v>
      </c>
      <c r="G21" s="459"/>
      <c r="H21" s="459">
        <v>6698804860</v>
      </c>
    </row>
    <row r="22" spans="1:8">
      <c r="A22" s="71" t="s">
        <v>134</v>
      </c>
      <c r="B22" s="459">
        <v>217821864</v>
      </c>
      <c r="C22" s="459">
        <v>107800000</v>
      </c>
      <c r="D22" s="459"/>
      <c r="E22" s="459"/>
      <c r="F22" s="459">
        <v>32785000</v>
      </c>
      <c r="G22" s="459"/>
      <c r="H22" s="459">
        <v>292836864</v>
      </c>
    </row>
    <row r="23" spans="1:8" ht="25.5" customHeight="1">
      <c r="A23" s="74" t="s">
        <v>334</v>
      </c>
      <c r="B23" s="461">
        <v>14295000</v>
      </c>
      <c r="C23" s="461">
        <v>5306445</v>
      </c>
      <c r="D23" s="461">
        <v>0</v>
      </c>
      <c r="E23" s="461">
        <v>0</v>
      </c>
      <c r="F23" s="461">
        <v>0</v>
      </c>
      <c r="G23" s="461">
        <v>2606445</v>
      </c>
      <c r="H23" s="461">
        <v>16995000</v>
      </c>
    </row>
    <row r="24" spans="1:8" ht="20.100000000000001" customHeight="1">
      <c r="A24" s="70" t="s">
        <v>120</v>
      </c>
      <c r="B24" s="461">
        <v>185805618</v>
      </c>
      <c r="C24" s="461">
        <v>0</v>
      </c>
      <c r="D24" s="461">
        <v>9320</v>
      </c>
      <c r="E24" s="461">
        <v>0</v>
      </c>
      <c r="F24" s="461">
        <v>0</v>
      </c>
      <c r="G24" s="461">
        <v>9320</v>
      </c>
      <c r="H24" s="461">
        <v>185805618</v>
      </c>
    </row>
    <row r="25" spans="1:8">
      <c r="A25" s="282" t="s">
        <v>135</v>
      </c>
      <c r="B25" s="459">
        <v>115837009</v>
      </c>
      <c r="C25" s="459">
        <v>0</v>
      </c>
      <c r="D25" s="459"/>
      <c r="E25" s="459"/>
      <c r="F25" s="459"/>
      <c r="G25" s="459">
        <v>9320</v>
      </c>
      <c r="H25" s="459">
        <v>115827689</v>
      </c>
    </row>
    <row r="26" spans="1:8">
      <c r="A26" s="71" t="s">
        <v>136</v>
      </c>
      <c r="B26" s="459">
        <v>69968609</v>
      </c>
      <c r="C26" s="459">
        <v>0</v>
      </c>
      <c r="D26" s="459">
        <v>9320</v>
      </c>
      <c r="E26" s="459"/>
      <c r="F26" s="459">
        <v>0</v>
      </c>
      <c r="G26" s="459"/>
      <c r="H26" s="459">
        <v>69977929</v>
      </c>
    </row>
    <row r="27" spans="1:8" ht="20.100000000000001" customHeight="1">
      <c r="A27" s="73" t="s">
        <v>138</v>
      </c>
      <c r="B27" s="473">
        <v>10578468737</v>
      </c>
      <c r="C27" s="473">
        <v>824151205</v>
      </c>
      <c r="D27" s="473">
        <v>120874141</v>
      </c>
      <c r="E27" s="473">
        <v>0</v>
      </c>
      <c r="F27" s="473">
        <v>359383624</v>
      </c>
      <c r="G27" s="473">
        <v>120699141</v>
      </c>
      <c r="H27" s="473">
        <v>11043411318</v>
      </c>
    </row>
    <row r="28" spans="1:8">
      <c r="A28" s="58" t="s">
        <v>317</v>
      </c>
      <c r="B28" s="58"/>
      <c r="C28" s="58"/>
      <c r="D28" s="58"/>
      <c r="E28" s="58"/>
      <c r="F28" s="58"/>
      <c r="G28" s="58"/>
      <c r="H28" s="58"/>
    </row>
    <row r="29" spans="1:8">
      <c r="A29" s="817" t="s">
        <v>1511</v>
      </c>
      <c r="B29" s="818"/>
      <c r="C29" s="818"/>
      <c r="D29" s="818"/>
      <c r="E29" s="818"/>
      <c r="F29" s="818"/>
      <c r="G29" s="818"/>
      <c r="H29" s="818"/>
    </row>
    <row r="30" spans="1:8">
      <c r="A30" s="818"/>
      <c r="B30" s="818"/>
      <c r="C30" s="818"/>
      <c r="D30" s="818"/>
      <c r="E30" s="818"/>
      <c r="F30" s="818"/>
      <c r="G30" s="818"/>
      <c r="H30" s="818"/>
    </row>
    <row r="31" spans="1:8">
      <c r="A31" s="818"/>
      <c r="B31" s="818"/>
      <c r="C31" s="818"/>
      <c r="D31" s="818"/>
      <c r="E31" s="818"/>
      <c r="F31" s="818"/>
      <c r="G31" s="818"/>
      <c r="H31" s="818"/>
    </row>
    <row r="32" spans="1:8">
      <c r="A32" s="818"/>
      <c r="B32" s="818"/>
      <c r="C32" s="818"/>
      <c r="D32" s="818"/>
      <c r="E32" s="818"/>
      <c r="F32" s="818"/>
      <c r="G32" s="818"/>
      <c r="H32" s="818"/>
    </row>
    <row r="33" spans="1:8">
      <c r="A33" s="818"/>
      <c r="B33" s="818"/>
      <c r="C33" s="818"/>
      <c r="D33" s="818"/>
      <c r="E33" s="818"/>
      <c r="F33" s="818"/>
      <c r="G33" s="818"/>
      <c r="H33" s="818"/>
    </row>
    <row r="34" spans="1:8">
      <c r="A34" s="818"/>
      <c r="B34" s="818"/>
      <c r="C34" s="818"/>
      <c r="D34" s="818"/>
      <c r="E34" s="818"/>
      <c r="F34" s="818"/>
      <c r="G34" s="818"/>
      <c r="H34" s="818"/>
    </row>
    <row r="35" spans="1:8">
      <c r="A35" s="818"/>
      <c r="B35" s="818"/>
      <c r="C35" s="818"/>
      <c r="D35" s="818"/>
      <c r="E35" s="818"/>
      <c r="F35" s="818"/>
      <c r="G35" s="818"/>
      <c r="H35" s="818"/>
    </row>
    <row r="36" spans="1:8">
      <c r="A36" s="818"/>
      <c r="B36" s="818"/>
      <c r="C36" s="818"/>
      <c r="D36" s="818"/>
      <c r="E36" s="818"/>
      <c r="F36" s="818"/>
      <c r="G36" s="818"/>
      <c r="H36" s="818"/>
    </row>
    <row r="37" spans="1:8">
      <c r="A37" s="818"/>
      <c r="B37" s="818"/>
      <c r="C37" s="818"/>
      <c r="D37" s="818"/>
      <c r="E37" s="818"/>
      <c r="F37" s="818"/>
      <c r="G37" s="818"/>
      <c r="H37" s="818"/>
    </row>
  </sheetData>
  <mergeCells count="16">
    <mergeCell ref="A1:H1"/>
    <mergeCell ref="A3:C3"/>
    <mergeCell ref="F3:G3"/>
    <mergeCell ref="A4:C4"/>
    <mergeCell ref="E4:E5"/>
    <mergeCell ref="F4:G5"/>
    <mergeCell ref="B5:C5"/>
    <mergeCell ref="A29:H37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0866141732279997" right="0.70866141732279997" top="0.74803149606300001" bottom="0.74803149606300001" header="0.31496062992129997" footer="0.31496062992129997"/>
  <pageSetup paperSize="9" scale="6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J26"/>
  <sheetViews>
    <sheetView showGridLines="0" zoomScaleNormal="100" workbookViewId="0">
      <selection activeCell="F32" sqref="F32"/>
    </sheetView>
  </sheetViews>
  <sheetFormatPr baseColWidth="10" defaultColWidth="10.28515625" defaultRowHeight="12.75"/>
  <cols>
    <col min="1" max="1" width="41" style="58" customWidth="1" collapsed="1"/>
    <col min="2" max="4" width="13.42578125" style="58" customWidth="1" collapsed="1"/>
    <col min="5" max="5" width="10.42578125" style="58" bestFit="1" customWidth="1" collapsed="1"/>
    <col min="6" max="6" width="13.140625" style="58" customWidth="1" collapsed="1"/>
    <col min="7" max="9" width="11.7109375" style="58" customWidth="1" collapsed="1"/>
    <col min="10" max="16384" width="10.28515625" style="58" collapsed="1"/>
  </cols>
  <sheetData>
    <row r="1" spans="1:10" ht="18.75" customHeight="1">
      <c r="A1" s="814" t="s">
        <v>335</v>
      </c>
      <c r="B1" s="814"/>
      <c r="C1" s="814"/>
      <c r="D1" s="814"/>
      <c r="E1" s="814"/>
      <c r="F1" s="814"/>
      <c r="G1" s="814"/>
      <c r="H1" s="814"/>
      <c r="I1" s="814"/>
    </row>
    <row r="2" spans="1:10">
      <c r="A2" s="213"/>
      <c r="B2" s="213"/>
      <c r="C2" s="213"/>
      <c r="D2" s="213"/>
      <c r="E2" s="213"/>
      <c r="F2" s="213"/>
      <c r="G2" s="213"/>
      <c r="H2" s="213"/>
      <c r="I2" s="213"/>
      <c r="J2" s="213"/>
    </row>
    <row r="3" spans="1:10">
      <c r="A3" s="834" t="s">
        <v>279</v>
      </c>
      <c r="B3" s="834"/>
      <c r="C3" s="834"/>
      <c r="D3" s="213"/>
      <c r="E3" s="213"/>
      <c r="F3" s="213"/>
      <c r="G3" s="213" t="s">
        <v>280</v>
      </c>
      <c r="H3" s="835">
        <f>+'Fiche de renseignement R1'!$V$10</f>
        <v>45657</v>
      </c>
      <c r="I3" s="836"/>
      <c r="J3" s="213"/>
    </row>
    <row r="4" spans="1:10">
      <c r="A4" s="837" t="str">
        <f>'Fiche de renseignement R1'!$J$4</f>
        <v>SOCIETE NOUVELLE DES SALINS DU SINE SALOUM</v>
      </c>
      <c r="B4" s="838"/>
      <c r="C4" s="838"/>
      <c r="D4" s="213"/>
      <c r="E4" s="213"/>
      <c r="F4" s="213"/>
      <c r="G4" s="834" t="s">
        <v>281</v>
      </c>
      <c r="H4" s="839">
        <f>+'Fiche de renseignement R1'!$AH$10</f>
        <v>12</v>
      </c>
      <c r="I4" s="840"/>
      <c r="J4" s="213"/>
    </row>
    <row r="5" spans="1:10">
      <c r="A5" s="213" t="s">
        <v>282</v>
      </c>
      <c r="B5" s="837" t="str">
        <f>+'Fiche de renseignement R1'!$J$10</f>
        <v>000018699</v>
      </c>
      <c r="C5" s="838"/>
      <c r="D5" s="213"/>
      <c r="E5" s="213"/>
      <c r="F5" s="213"/>
      <c r="G5" s="834"/>
      <c r="H5" s="836"/>
      <c r="I5" s="836"/>
      <c r="J5" s="213"/>
    </row>
    <row r="6" spans="1:10">
      <c r="A6" s="212"/>
      <c r="B6" s="212"/>
      <c r="C6" s="212"/>
      <c r="D6" s="212"/>
      <c r="E6" s="212"/>
      <c r="F6" s="212"/>
      <c r="G6" s="212"/>
      <c r="H6" s="212"/>
      <c r="I6" s="212"/>
      <c r="J6" s="212"/>
    </row>
    <row r="7" spans="1:10">
      <c r="A7" s="820" t="s">
        <v>323</v>
      </c>
      <c r="B7" s="783" t="s">
        <v>336</v>
      </c>
      <c r="C7" s="77" t="s">
        <v>118</v>
      </c>
      <c r="D7" s="805" t="s">
        <v>337</v>
      </c>
      <c r="E7" s="831"/>
      <c r="F7" s="831"/>
      <c r="G7" s="831" t="s">
        <v>338</v>
      </c>
      <c r="H7" s="831"/>
      <c r="I7" s="62" t="s">
        <v>339</v>
      </c>
    </row>
    <row r="8" spans="1:10" ht="25.5" customHeight="1">
      <c r="A8" s="820"/>
      <c r="B8" s="784"/>
      <c r="C8" s="829" t="s">
        <v>324</v>
      </c>
      <c r="D8" s="832" t="s">
        <v>325</v>
      </c>
      <c r="E8" s="821" t="s">
        <v>326</v>
      </c>
      <c r="F8" s="833" t="s">
        <v>327</v>
      </c>
      <c r="G8" s="821" t="s">
        <v>328</v>
      </c>
      <c r="H8" s="821" t="s">
        <v>326</v>
      </c>
      <c r="I8" s="821" t="s">
        <v>324</v>
      </c>
    </row>
    <row r="9" spans="1:10" ht="25.5" customHeight="1">
      <c r="A9" s="820"/>
      <c r="B9" s="64" t="s">
        <v>340</v>
      </c>
      <c r="C9" s="830"/>
      <c r="D9" s="832"/>
      <c r="E9" s="821"/>
      <c r="F9" s="833"/>
      <c r="G9" s="821"/>
      <c r="H9" s="821"/>
      <c r="I9" s="821"/>
    </row>
    <row r="10" spans="1:10" ht="25.5" customHeight="1">
      <c r="A10" s="71" t="s">
        <v>126</v>
      </c>
      <c r="B10" s="474">
        <v>0</v>
      </c>
      <c r="C10" s="475">
        <v>0</v>
      </c>
      <c r="D10" s="459">
        <v>0</v>
      </c>
      <c r="E10" s="459">
        <v>0</v>
      </c>
      <c r="F10" s="459">
        <v>0</v>
      </c>
      <c r="G10" s="459">
        <v>0</v>
      </c>
      <c r="H10" s="459">
        <v>0</v>
      </c>
      <c r="I10" s="459">
        <v>0</v>
      </c>
    </row>
    <row r="11" spans="1:10">
      <c r="A11" s="71" t="s">
        <v>127</v>
      </c>
      <c r="B11" s="476">
        <v>0</v>
      </c>
      <c r="C11" s="459">
        <v>0</v>
      </c>
      <c r="D11" s="459">
        <v>0</v>
      </c>
      <c r="E11" s="459">
        <v>0</v>
      </c>
      <c r="F11" s="459">
        <v>0</v>
      </c>
      <c r="G11" s="459">
        <v>0</v>
      </c>
      <c r="H11" s="459">
        <v>0</v>
      </c>
      <c r="I11" s="459">
        <v>0</v>
      </c>
    </row>
    <row r="12" spans="1:10">
      <c r="A12" s="71" t="s">
        <v>128</v>
      </c>
      <c r="B12" s="476">
        <v>0</v>
      </c>
      <c r="C12" s="459">
        <v>0</v>
      </c>
      <c r="D12" s="459">
        <v>0</v>
      </c>
      <c r="E12" s="459">
        <v>0</v>
      </c>
      <c r="F12" s="459">
        <v>0</v>
      </c>
      <c r="G12" s="459">
        <v>0</v>
      </c>
      <c r="H12" s="459">
        <v>0</v>
      </c>
      <c r="I12" s="459">
        <v>0</v>
      </c>
    </row>
    <row r="13" spans="1:10" ht="25.5" customHeight="1">
      <c r="A13" s="65" t="s">
        <v>341</v>
      </c>
      <c r="B13" s="477">
        <v>0</v>
      </c>
      <c r="C13" s="478">
        <v>0</v>
      </c>
      <c r="D13" s="478">
        <v>0</v>
      </c>
      <c r="E13" s="478">
        <v>0</v>
      </c>
      <c r="F13" s="478">
        <v>0</v>
      </c>
      <c r="G13" s="478">
        <v>0</v>
      </c>
      <c r="H13" s="478">
        <v>0</v>
      </c>
      <c r="I13" s="478">
        <v>0</v>
      </c>
    </row>
    <row r="14" spans="1:10">
      <c r="A14" s="71" t="s">
        <v>342</v>
      </c>
      <c r="B14" s="476">
        <v>0</v>
      </c>
      <c r="C14" s="459">
        <v>0</v>
      </c>
      <c r="D14" s="459">
        <v>0</v>
      </c>
      <c r="E14" s="459">
        <v>0</v>
      </c>
      <c r="F14" s="459">
        <v>0</v>
      </c>
      <c r="G14" s="459">
        <v>0</v>
      </c>
      <c r="H14" s="459">
        <v>0</v>
      </c>
      <c r="I14" s="459">
        <v>0</v>
      </c>
    </row>
    <row r="15" spans="1:10">
      <c r="A15" s="71" t="s">
        <v>343</v>
      </c>
      <c r="B15" s="476">
        <v>0</v>
      </c>
      <c r="C15" s="459">
        <v>0</v>
      </c>
      <c r="D15" s="459">
        <v>0</v>
      </c>
      <c r="E15" s="459">
        <v>0</v>
      </c>
      <c r="F15" s="459">
        <v>0</v>
      </c>
      <c r="G15" s="459">
        <v>0</v>
      </c>
      <c r="H15" s="459">
        <v>0</v>
      </c>
      <c r="I15" s="459">
        <v>0</v>
      </c>
    </row>
    <row r="16" spans="1:10" ht="25.5" customHeight="1">
      <c r="A16" s="60" t="s">
        <v>132</v>
      </c>
      <c r="B16" s="476">
        <v>0</v>
      </c>
      <c r="C16" s="459">
        <v>0</v>
      </c>
      <c r="D16" s="459">
        <v>0</v>
      </c>
      <c r="E16" s="459">
        <v>0</v>
      </c>
      <c r="F16" s="459">
        <v>0</v>
      </c>
      <c r="G16" s="459">
        <v>0</v>
      </c>
      <c r="H16" s="459">
        <v>0</v>
      </c>
      <c r="I16" s="459">
        <v>0</v>
      </c>
    </row>
    <row r="17" spans="1:9">
      <c r="A17" s="71" t="s">
        <v>133</v>
      </c>
      <c r="B17" s="476">
        <v>0</v>
      </c>
      <c r="C17" s="459">
        <v>0</v>
      </c>
      <c r="D17" s="459">
        <v>0</v>
      </c>
      <c r="E17" s="459">
        <v>0</v>
      </c>
      <c r="F17" s="459">
        <v>0</v>
      </c>
      <c r="G17" s="459">
        <v>0</v>
      </c>
      <c r="H17" s="459">
        <v>0</v>
      </c>
      <c r="I17" s="459">
        <v>0</v>
      </c>
    </row>
    <row r="18" spans="1:9">
      <c r="A18" s="71" t="s">
        <v>134</v>
      </c>
      <c r="B18" s="476">
        <v>0</v>
      </c>
      <c r="C18" s="459">
        <v>0</v>
      </c>
      <c r="D18" s="459">
        <v>0</v>
      </c>
      <c r="E18" s="459">
        <v>0</v>
      </c>
      <c r="F18" s="459">
        <v>0</v>
      </c>
      <c r="G18" s="459">
        <v>0</v>
      </c>
      <c r="H18" s="459">
        <v>0</v>
      </c>
      <c r="I18" s="459">
        <v>0</v>
      </c>
    </row>
    <row r="19" spans="1:9" ht="25.5" customHeight="1">
      <c r="A19" s="65" t="s">
        <v>344</v>
      </c>
      <c r="B19" s="477">
        <v>0</v>
      </c>
      <c r="C19" s="478">
        <v>0</v>
      </c>
      <c r="D19" s="478">
        <v>0</v>
      </c>
      <c r="E19" s="478">
        <v>0</v>
      </c>
      <c r="F19" s="478">
        <v>0</v>
      </c>
      <c r="G19" s="478">
        <v>0</v>
      </c>
      <c r="H19" s="478">
        <v>0</v>
      </c>
      <c r="I19" s="478">
        <v>0</v>
      </c>
    </row>
    <row r="20" spans="1:9">
      <c r="A20" s="71"/>
      <c r="B20" s="479"/>
      <c r="C20" s="459"/>
      <c r="D20" s="459"/>
      <c r="E20" s="459"/>
      <c r="F20" s="459"/>
      <c r="G20" s="459"/>
      <c r="H20" s="459"/>
      <c r="I20" s="459"/>
    </row>
    <row r="21" spans="1:9">
      <c r="A21" s="78" t="s">
        <v>138</v>
      </c>
      <c r="B21" s="480">
        <v>0</v>
      </c>
      <c r="C21" s="481">
        <v>0</v>
      </c>
      <c r="D21" s="481">
        <v>0</v>
      </c>
      <c r="E21" s="481">
        <v>0</v>
      </c>
      <c r="F21" s="481">
        <v>0</v>
      </c>
      <c r="G21" s="481">
        <v>0</v>
      </c>
      <c r="H21" s="481">
        <v>0</v>
      </c>
      <c r="I21" s="481">
        <v>0</v>
      </c>
    </row>
    <row r="22" spans="1:9">
      <c r="A22" s="58" t="s">
        <v>345</v>
      </c>
    </row>
    <row r="23" spans="1:9">
      <c r="A23" s="89" t="s">
        <v>317</v>
      </c>
    </row>
    <row r="24" spans="1:9">
      <c r="A24" s="827" t="s">
        <v>1456</v>
      </c>
      <c r="B24" s="828"/>
      <c r="C24" s="828"/>
      <c r="D24" s="828"/>
      <c r="E24" s="828"/>
      <c r="F24" s="828"/>
      <c r="G24" s="828"/>
      <c r="H24" s="828"/>
      <c r="I24" s="828"/>
    </row>
    <row r="25" spans="1:9">
      <c r="A25" s="828"/>
      <c r="B25" s="828"/>
      <c r="C25" s="828"/>
      <c r="D25" s="828"/>
      <c r="E25" s="828"/>
      <c r="F25" s="828"/>
      <c r="G25" s="828"/>
      <c r="H25" s="828"/>
      <c r="I25" s="828"/>
    </row>
    <row r="26" spans="1:9">
      <c r="A26" s="828"/>
      <c r="B26" s="828"/>
      <c r="C26" s="828"/>
      <c r="D26" s="828"/>
      <c r="E26" s="828"/>
      <c r="F26" s="828"/>
      <c r="G26" s="828"/>
      <c r="H26" s="828"/>
      <c r="I26" s="828"/>
    </row>
  </sheetData>
  <mergeCells count="19">
    <mergeCell ref="A1:I1"/>
    <mergeCell ref="A3:C3"/>
    <mergeCell ref="H3:I3"/>
    <mergeCell ref="A4:C4"/>
    <mergeCell ref="G4:G5"/>
    <mergeCell ref="H4:I5"/>
    <mergeCell ref="B5:C5"/>
    <mergeCell ref="A24:I26"/>
    <mergeCell ref="C8:C9"/>
    <mergeCell ref="I8:I9"/>
    <mergeCell ref="A7:A9"/>
    <mergeCell ref="B7:B8"/>
    <mergeCell ref="D7:F7"/>
    <mergeCell ref="G7:H7"/>
    <mergeCell ref="D8:D9"/>
    <mergeCell ref="E8:E9"/>
    <mergeCell ref="F8:F9"/>
    <mergeCell ref="G8:G9"/>
    <mergeCell ref="H8:H9"/>
  </mergeCells>
  <pageMargins left="0.70866141732279997" right="0.70866141732279997" top="0.74803149606300001" bottom="0.74803149606300001" header="0.31496062992129997" footer="0.31496062992129997"/>
  <pageSetup paperSize="9" scale="9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showGridLines="0" workbookViewId="0">
      <selection activeCell="A26" sqref="A26:E29"/>
    </sheetView>
  </sheetViews>
  <sheetFormatPr baseColWidth="10" defaultColWidth="10.28515625" defaultRowHeight="12.75"/>
  <cols>
    <col min="1" max="1" width="35.28515625" style="58" customWidth="1" collapsed="1"/>
    <col min="2" max="2" width="14.28515625" style="58" customWidth="1" collapsed="1"/>
    <col min="3" max="3" width="13.7109375" style="58" customWidth="1" collapsed="1"/>
    <col min="4" max="4" width="16.28515625" style="58" customWidth="1" collapsed="1"/>
    <col min="5" max="5" width="16.85546875" style="58" customWidth="1" collapsed="1"/>
    <col min="6" max="16384" width="10.28515625" style="58" collapsed="1"/>
  </cols>
  <sheetData>
    <row r="1" spans="1:6" ht="18.75" customHeight="1">
      <c r="A1" s="814" t="s">
        <v>346</v>
      </c>
      <c r="B1" s="814"/>
      <c r="C1" s="814"/>
      <c r="D1" s="814"/>
      <c r="E1" s="814"/>
      <c r="F1" s="68"/>
    </row>
    <row r="2" spans="1:6">
      <c r="A2" s="68"/>
      <c r="B2" s="68"/>
      <c r="C2" s="68"/>
      <c r="D2" s="68"/>
      <c r="E2" s="68"/>
      <c r="F2" s="68"/>
    </row>
    <row r="3" spans="1:6">
      <c r="A3" s="822" t="s">
        <v>279</v>
      </c>
      <c r="B3" s="822"/>
      <c r="C3" s="822"/>
      <c r="D3" s="68" t="s">
        <v>280</v>
      </c>
      <c r="E3" s="472">
        <f>+'Fiche de renseignement R1'!$V$10</f>
        <v>45657</v>
      </c>
      <c r="F3" s="68"/>
    </row>
    <row r="4" spans="1:6">
      <c r="A4" s="768" t="str">
        <f>'Fiche de renseignement R1'!$J$4</f>
        <v>SOCIETE NOUVELLE DES SALINS DU SINE SALOUM</v>
      </c>
      <c r="B4" s="813"/>
      <c r="C4" s="813"/>
      <c r="D4" s="822" t="s">
        <v>281</v>
      </c>
      <c r="E4" s="844" t="s">
        <v>931</v>
      </c>
      <c r="F4" s="68"/>
    </row>
    <row r="5" spans="1:6">
      <c r="A5" s="68" t="s">
        <v>282</v>
      </c>
      <c r="B5" s="768" t="str">
        <f>+'Fiche de renseignement R1'!$J$10</f>
        <v>000018699</v>
      </c>
      <c r="C5" s="813"/>
      <c r="D5" s="822"/>
      <c r="E5" s="824"/>
      <c r="F5" s="68"/>
    </row>
    <row r="7" spans="1:6">
      <c r="A7" s="820" t="s">
        <v>323</v>
      </c>
      <c r="B7" s="62" t="s">
        <v>118</v>
      </c>
      <c r="C7" s="62" t="s">
        <v>240</v>
      </c>
      <c r="D7" s="62" t="s">
        <v>253</v>
      </c>
      <c r="E7" s="62" t="s">
        <v>339</v>
      </c>
    </row>
    <row r="8" spans="1:6" ht="27" customHeight="1">
      <c r="A8" s="820"/>
      <c r="B8" s="843" t="s">
        <v>347</v>
      </c>
      <c r="C8" s="843" t="s">
        <v>348</v>
      </c>
      <c r="D8" s="843" t="s">
        <v>349</v>
      </c>
      <c r="E8" s="843" t="s">
        <v>350</v>
      </c>
    </row>
    <row r="9" spans="1:6" ht="27" customHeight="1">
      <c r="A9" s="820"/>
      <c r="B9" s="843"/>
      <c r="C9" s="843"/>
      <c r="D9" s="843"/>
      <c r="E9" s="843"/>
    </row>
    <row r="10" spans="1:6">
      <c r="A10" s="76" t="s">
        <v>125</v>
      </c>
      <c r="B10" s="464">
        <v>0</v>
      </c>
      <c r="C10" s="464">
        <v>0</v>
      </c>
      <c r="D10" s="464">
        <v>0</v>
      </c>
      <c r="E10" s="464">
        <v>0</v>
      </c>
    </row>
    <row r="11" spans="1:6" ht="25.5" customHeight="1">
      <c r="A11" s="76" t="s">
        <v>126</v>
      </c>
      <c r="B11" s="464">
        <v>26449757</v>
      </c>
      <c r="C11" s="464">
        <v>422671</v>
      </c>
      <c r="D11" s="464">
        <v>4606801</v>
      </c>
      <c r="E11" s="464">
        <v>22265627</v>
      </c>
    </row>
    <row r="12" spans="1:6">
      <c r="A12" s="76" t="s">
        <v>127</v>
      </c>
      <c r="B12" s="464">
        <v>0</v>
      </c>
      <c r="C12" s="464">
        <v>0</v>
      </c>
      <c r="D12" s="464">
        <v>0</v>
      </c>
      <c r="E12" s="464">
        <v>0</v>
      </c>
    </row>
    <row r="13" spans="1:6">
      <c r="A13" s="76" t="s">
        <v>128</v>
      </c>
      <c r="B13" s="464">
        <v>0</v>
      </c>
      <c r="C13" s="464">
        <v>0</v>
      </c>
      <c r="D13" s="464">
        <v>0</v>
      </c>
      <c r="E13" s="464">
        <v>0</v>
      </c>
    </row>
    <row r="14" spans="1:6" ht="25.5" customHeight="1">
      <c r="A14" s="79" t="s">
        <v>341</v>
      </c>
      <c r="B14" s="482">
        <v>26449757</v>
      </c>
      <c r="C14" s="482">
        <v>422671</v>
      </c>
      <c r="D14" s="482">
        <v>4606801</v>
      </c>
      <c r="E14" s="482">
        <v>22265627</v>
      </c>
    </row>
    <row r="15" spans="1:6">
      <c r="A15" s="76" t="s">
        <v>330</v>
      </c>
      <c r="B15" s="464">
        <v>805049700</v>
      </c>
      <c r="C15" s="464">
        <v>83833891</v>
      </c>
      <c r="D15" s="464">
        <v>0</v>
      </c>
      <c r="E15" s="464">
        <v>888883591</v>
      </c>
    </row>
    <row r="16" spans="1:6">
      <c r="A16" s="76" t="s">
        <v>331</v>
      </c>
      <c r="B16" s="464">
        <v>0</v>
      </c>
      <c r="C16" s="464">
        <v>0</v>
      </c>
      <c r="D16" s="464">
        <v>0</v>
      </c>
      <c r="E16" s="464">
        <v>0</v>
      </c>
    </row>
    <row r="17" spans="1:5">
      <c r="A17" s="76" t="s">
        <v>332</v>
      </c>
      <c r="B17" s="464">
        <v>338374238</v>
      </c>
      <c r="C17" s="464">
        <v>52601740</v>
      </c>
      <c r="D17" s="464">
        <v>0</v>
      </c>
      <c r="E17" s="464">
        <v>390975978</v>
      </c>
    </row>
    <row r="18" spans="1:5">
      <c r="A18" s="76" t="s">
        <v>333</v>
      </c>
      <c r="B18" s="464">
        <v>0</v>
      </c>
      <c r="C18" s="464">
        <v>0</v>
      </c>
      <c r="D18" s="464">
        <v>0</v>
      </c>
      <c r="E18" s="464">
        <v>0</v>
      </c>
    </row>
    <row r="19" spans="1:5" ht="25.5" customHeight="1">
      <c r="A19" s="76" t="s">
        <v>132</v>
      </c>
      <c r="B19" s="464">
        <v>600166883</v>
      </c>
      <c r="C19" s="464">
        <v>99269372</v>
      </c>
      <c r="D19" s="464">
        <v>0</v>
      </c>
      <c r="E19" s="464">
        <v>699436255</v>
      </c>
    </row>
    <row r="20" spans="1:5">
      <c r="A20" s="76" t="s">
        <v>133</v>
      </c>
      <c r="B20" s="464">
        <v>5528435191</v>
      </c>
      <c r="C20" s="464">
        <v>515578621</v>
      </c>
      <c r="D20" s="464">
        <v>321387524</v>
      </c>
      <c r="E20" s="464">
        <v>5722626288</v>
      </c>
    </row>
    <row r="21" spans="1:5">
      <c r="A21" s="76" t="s">
        <v>134</v>
      </c>
      <c r="B21" s="464">
        <v>187602408</v>
      </c>
      <c r="C21" s="464">
        <v>25879987</v>
      </c>
      <c r="D21" s="464">
        <v>32785000</v>
      </c>
      <c r="E21" s="464">
        <v>180697395</v>
      </c>
    </row>
    <row r="22" spans="1:5" ht="25.5" customHeight="1">
      <c r="A22" s="79" t="s">
        <v>344</v>
      </c>
      <c r="B22" s="482">
        <v>7459628420</v>
      </c>
      <c r="C22" s="482">
        <v>777163611</v>
      </c>
      <c r="D22" s="482">
        <v>354172524</v>
      </c>
      <c r="E22" s="482">
        <v>7882619507</v>
      </c>
    </row>
    <row r="23" spans="1:5">
      <c r="A23" s="76"/>
      <c r="B23" s="464"/>
      <c r="C23" s="464"/>
      <c r="D23" s="464"/>
      <c r="E23" s="464"/>
    </row>
    <row r="24" spans="1:5">
      <c r="A24" s="80" t="s">
        <v>138</v>
      </c>
      <c r="B24" s="483">
        <v>7486078177</v>
      </c>
      <c r="C24" s="483">
        <v>777586282</v>
      </c>
      <c r="D24" s="483">
        <v>358779325</v>
      </c>
      <c r="E24" s="483">
        <v>7904885134</v>
      </c>
    </row>
    <row r="25" spans="1:5">
      <c r="A25" s="58" t="s">
        <v>317</v>
      </c>
    </row>
    <row r="26" spans="1:5" ht="15" customHeight="1">
      <c r="A26" s="841" t="s">
        <v>1457</v>
      </c>
      <c r="B26" s="842"/>
      <c r="C26" s="842"/>
      <c r="D26" s="842"/>
      <c r="E26" s="842"/>
    </row>
    <row r="27" spans="1:5">
      <c r="A27" s="842"/>
      <c r="B27" s="842"/>
      <c r="C27" s="842"/>
      <c r="D27" s="842"/>
      <c r="E27" s="842"/>
    </row>
    <row r="28" spans="1:5">
      <c r="A28" s="842"/>
      <c r="B28" s="842"/>
      <c r="C28" s="842"/>
      <c r="D28" s="842"/>
      <c r="E28" s="842"/>
    </row>
    <row r="29" spans="1:5">
      <c r="A29" s="842"/>
      <c r="B29" s="842"/>
      <c r="C29" s="842"/>
      <c r="D29" s="842"/>
      <c r="E29" s="842"/>
    </row>
  </sheetData>
  <mergeCells count="12">
    <mergeCell ref="A1:E1"/>
    <mergeCell ref="A3:C3"/>
    <mergeCell ref="A4:C4"/>
    <mergeCell ref="D4:D5"/>
    <mergeCell ref="E4:E5"/>
    <mergeCell ref="B5:C5"/>
    <mergeCell ref="A26:E29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0866141732279997" right="0.70866141732279997" top="0.74803149606300001" bottom="0.74803149606300001" header="0.31496062992129997" footer="0.31496062992129997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>
      <selection activeCell="H27" sqref="H27"/>
    </sheetView>
  </sheetViews>
  <sheetFormatPr baseColWidth="10" defaultColWidth="10.28515625" defaultRowHeight="12.75"/>
  <cols>
    <col min="1" max="1" width="41.140625" style="58" customWidth="1" collapsed="1"/>
    <col min="2" max="4" width="18.28515625" style="58" customWidth="1" collapsed="1"/>
    <col min="5" max="5" width="15.42578125" style="58" customWidth="1" collapsed="1"/>
    <col min="6" max="6" width="15.28515625" style="58" customWidth="1" collapsed="1"/>
    <col min="7" max="16384" width="10.28515625" style="58" collapsed="1"/>
  </cols>
  <sheetData>
    <row r="1" spans="1:7" ht="18.75" customHeight="1">
      <c r="A1" s="814" t="s">
        <v>351</v>
      </c>
      <c r="B1" s="814"/>
      <c r="C1" s="814"/>
      <c r="D1" s="814"/>
      <c r="E1" s="814"/>
      <c r="F1" s="814"/>
    </row>
    <row r="3" spans="1:7">
      <c r="A3" s="822" t="s">
        <v>279</v>
      </c>
      <c r="B3" s="822"/>
      <c r="C3" s="822"/>
      <c r="D3" s="68" t="s">
        <v>280</v>
      </c>
      <c r="E3" s="823">
        <f>+'Fiche de renseignement R1'!$V$10</f>
        <v>45657</v>
      </c>
      <c r="F3" s="845"/>
      <c r="G3" s="68"/>
    </row>
    <row r="4" spans="1:7">
      <c r="A4" s="768" t="str">
        <f>'Fiche de renseignement R1'!$J$4</f>
        <v>SOCIETE NOUVELLE DES SALINS DU SINE SALOUM</v>
      </c>
      <c r="B4" s="813"/>
      <c r="C4" s="813"/>
      <c r="D4" s="822" t="s">
        <v>281</v>
      </c>
      <c r="E4" s="825">
        <f>+'Fiche de renseignement R1'!$AH$10</f>
        <v>12</v>
      </c>
      <c r="F4" s="826"/>
      <c r="G4" s="68"/>
    </row>
    <row r="5" spans="1:7">
      <c r="A5" s="210" t="s">
        <v>282</v>
      </c>
      <c r="B5" s="768" t="str">
        <f>+'Fiche de renseignement R1'!$J$10</f>
        <v>000018699</v>
      </c>
      <c r="C5" s="813"/>
      <c r="D5" s="822"/>
      <c r="E5" s="824"/>
      <c r="F5" s="824"/>
      <c r="G5" s="68"/>
    </row>
    <row r="7" spans="1:7">
      <c r="A7" s="61"/>
      <c r="B7" s="81" t="s">
        <v>352</v>
      </c>
      <c r="C7" s="81" t="s">
        <v>353</v>
      </c>
      <c r="D7" s="847" t="s">
        <v>354</v>
      </c>
      <c r="E7" s="847" t="s">
        <v>355</v>
      </c>
      <c r="F7" s="847" t="s">
        <v>356</v>
      </c>
    </row>
    <row r="8" spans="1:7">
      <c r="A8" s="63"/>
      <c r="B8" s="82"/>
      <c r="C8" s="82" t="s">
        <v>357</v>
      </c>
      <c r="D8" s="829"/>
      <c r="E8" s="829"/>
      <c r="F8" s="829"/>
    </row>
    <row r="9" spans="1:7">
      <c r="A9" s="64"/>
      <c r="B9" s="64" t="s">
        <v>118</v>
      </c>
      <c r="C9" s="64" t="s">
        <v>240</v>
      </c>
      <c r="D9" s="64" t="s">
        <v>358</v>
      </c>
      <c r="E9" s="64" t="s">
        <v>264</v>
      </c>
      <c r="F9" s="64" t="s">
        <v>359</v>
      </c>
    </row>
    <row r="10" spans="1:7">
      <c r="A10" s="60" t="s">
        <v>125</v>
      </c>
      <c r="B10" s="476">
        <v>0</v>
      </c>
      <c r="C10" s="476">
        <v>0</v>
      </c>
      <c r="D10" s="476">
        <v>0</v>
      </c>
      <c r="E10" s="476">
        <v>0</v>
      </c>
      <c r="F10" s="476">
        <v>0</v>
      </c>
    </row>
    <row r="11" spans="1:7" ht="25.5" customHeight="1">
      <c r="A11" s="60" t="s">
        <v>126</v>
      </c>
      <c r="B11" s="476">
        <v>4626699</v>
      </c>
      <c r="C11" s="476">
        <v>4606801</v>
      </c>
      <c r="D11" s="476">
        <v>19898</v>
      </c>
      <c r="E11" s="476"/>
      <c r="F11" s="476">
        <v>-19898</v>
      </c>
    </row>
    <row r="12" spans="1:7">
      <c r="A12" s="60" t="s">
        <v>127</v>
      </c>
      <c r="B12" s="476">
        <v>0</v>
      </c>
      <c r="C12" s="476">
        <v>0</v>
      </c>
      <c r="D12" s="476">
        <v>0</v>
      </c>
      <c r="E12" s="476">
        <v>0</v>
      </c>
      <c r="F12" s="476">
        <v>0</v>
      </c>
    </row>
    <row r="13" spans="1:7">
      <c r="A13" s="60" t="s">
        <v>128</v>
      </c>
      <c r="B13" s="476">
        <v>0</v>
      </c>
      <c r="C13" s="476">
        <v>0</v>
      </c>
      <c r="D13" s="476">
        <v>0</v>
      </c>
      <c r="E13" s="476">
        <v>0</v>
      </c>
      <c r="F13" s="476">
        <v>0</v>
      </c>
    </row>
    <row r="14" spans="1:7" ht="25.5" customHeight="1">
      <c r="A14" s="65" t="s">
        <v>341</v>
      </c>
      <c r="B14" s="477">
        <v>4626699</v>
      </c>
      <c r="C14" s="477">
        <v>4606801</v>
      </c>
      <c r="D14" s="477">
        <v>19898</v>
      </c>
      <c r="E14" s="477">
        <v>0</v>
      </c>
      <c r="F14" s="477">
        <v>-19898</v>
      </c>
    </row>
    <row r="15" spans="1:7">
      <c r="A15" s="60" t="s">
        <v>342</v>
      </c>
      <c r="B15" s="476">
        <v>0</v>
      </c>
      <c r="C15" s="476">
        <v>0</v>
      </c>
      <c r="D15" s="476">
        <v>0</v>
      </c>
      <c r="E15" s="476">
        <v>0</v>
      </c>
      <c r="F15" s="476">
        <v>0</v>
      </c>
    </row>
    <row r="16" spans="1:7">
      <c r="A16" s="60" t="s">
        <v>343</v>
      </c>
      <c r="B16" s="476">
        <v>0</v>
      </c>
      <c r="C16" s="476">
        <v>0</v>
      </c>
      <c r="D16" s="476">
        <v>0</v>
      </c>
      <c r="E16" s="476">
        <v>0</v>
      </c>
      <c r="F16" s="476">
        <v>0</v>
      </c>
    </row>
    <row r="17" spans="1:6" ht="25.5" customHeight="1">
      <c r="A17" s="60" t="s">
        <v>132</v>
      </c>
      <c r="B17" s="476">
        <v>0</v>
      </c>
      <c r="C17" s="476">
        <v>0</v>
      </c>
      <c r="D17" s="476">
        <v>0</v>
      </c>
      <c r="E17" s="476">
        <v>0</v>
      </c>
      <c r="F17" s="476">
        <v>0</v>
      </c>
    </row>
    <row r="18" spans="1:6">
      <c r="A18" s="60" t="s">
        <v>133</v>
      </c>
      <c r="B18" s="476">
        <v>321971925</v>
      </c>
      <c r="C18" s="476">
        <v>321387524</v>
      </c>
      <c r="D18" s="476">
        <v>584401</v>
      </c>
      <c r="E18" s="476">
        <v>0</v>
      </c>
      <c r="F18" s="476">
        <v>-584401</v>
      </c>
    </row>
    <row r="19" spans="1:6">
      <c r="A19" s="60" t="s">
        <v>134</v>
      </c>
      <c r="B19" s="476">
        <v>32785000</v>
      </c>
      <c r="C19" s="476">
        <v>32785000</v>
      </c>
      <c r="D19" s="476">
        <v>0</v>
      </c>
      <c r="E19" s="476">
        <v>0</v>
      </c>
      <c r="F19" s="476">
        <v>0</v>
      </c>
    </row>
    <row r="20" spans="1:6" ht="25.5" customHeight="1">
      <c r="A20" s="65" t="s">
        <v>344</v>
      </c>
      <c r="B20" s="477">
        <v>354756925</v>
      </c>
      <c r="C20" s="477">
        <v>354172524</v>
      </c>
      <c r="D20" s="477">
        <v>584401</v>
      </c>
      <c r="E20" s="477">
        <v>0</v>
      </c>
      <c r="F20" s="477">
        <v>-584401</v>
      </c>
    </row>
    <row r="21" spans="1:6">
      <c r="A21" s="261" t="s">
        <v>135</v>
      </c>
      <c r="B21" s="476">
        <v>0</v>
      </c>
      <c r="C21" s="476">
        <v>0</v>
      </c>
      <c r="D21" s="476">
        <v>0</v>
      </c>
      <c r="E21" s="476">
        <v>0</v>
      </c>
      <c r="F21" s="476">
        <v>0</v>
      </c>
    </row>
    <row r="22" spans="1:6">
      <c r="A22" s="60" t="s">
        <v>136</v>
      </c>
      <c r="B22" s="476">
        <v>0</v>
      </c>
      <c r="C22" s="476">
        <v>0</v>
      </c>
      <c r="D22" s="476">
        <v>0</v>
      </c>
      <c r="E22" s="476">
        <v>0</v>
      </c>
      <c r="F22" s="476">
        <v>0</v>
      </c>
    </row>
    <row r="23" spans="1:6" ht="25.5" customHeight="1">
      <c r="A23" s="65" t="s">
        <v>360</v>
      </c>
      <c r="B23" s="477">
        <v>0</v>
      </c>
      <c r="C23" s="477">
        <v>0</v>
      </c>
      <c r="D23" s="477">
        <v>0</v>
      </c>
      <c r="E23" s="477">
        <v>0</v>
      </c>
      <c r="F23" s="477">
        <v>0</v>
      </c>
    </row>
    <row r="24" spans="1:6">
      <c r="A24" s="60"/>
      <c r="B24" s="479"/>
      <c r="C24" s="479"/>
      <c r="D24" s="479"/>
      <c r="E24" s="479"/>
      <c r="F24" s="479"/>
    </row>
    <row r="25" spans="1:6">
      <c r="A25" s="66" t="s">
        <v>138</v>
      </c>
      <c r="B25" s="480">
        <v>359383624</v>
      </c>
      <c r="C25" s="480">
        <v>358779325</v>
      </c>
      <c r="D25" s="480">
        <v>604299</v>
      </c>
      <c r="E25" s="480">
        <v>0</v>
      </c>
      <c r="F25" s="480">
        <v>-604299</v>
      </c>
    </row>
    <row r="26" spans="1:6">
      <c r="A26" s="58" t="s">
        <v>317</v>
      </c>
    </row>
    <row r="27" spans="1:6" ht="15">
      <c r="A27" s="846" t="s">
        <v>1458</v>
      </c>
      <c r="B27" s="846"/>
      <c r="C27" s="846"/>
      <c r="D27" s="846"/>
      <c r="E27" s="846"/>
      <c r="F27" s="846"/>
    </row>
    <row r="28" spans="1:6" ht="15">
      <c r="A28" s="846"/>
      <c r="B28" s="846"/>
      <c r="C28" s="846"/>
      <c r="D28" s="846"/>
      <c r="E28" s="846"/>
      <c r="F28" s="846"/>
    </row>
    <row r="29" spans="1:6" ht="15">
      <c r="A29" s="846"/>
      <c r="B29" s="846"/>
      <c r="C29" s="846"/>
      <c r="D29" s="846"/>
      <c r="E29" s="846"/>
      <c r="F29" s="846"/>
    </row>
    <row r="30" spans="1:6" ht="15">
      <c r="A30" s="846"/>
      <c r="B30" s="846"/>
      <c r="C30" s="846"/>
      <c r="D30" s="846"/>
      <c r="E30" s="846"/>
      <c r="F30" s="846"/>
    </row>
  </sheetData>
  <mergeCells count="14">
    <mergeCell ref="A27:F27"/>
    <mergeCell ref="A28:F28"/>
    <mergeCell ref="A29:F29"/>
    <mergeCell ref="A30:F30"/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0866141732279997" right="0.70866141732279997" top="0.74803149606300001" bottom="0.74803149606300001" header="0.31496062992129997" footer="0.31496062992129997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showGridLines="0" workbookViewId="0">
      <selection activeCell="G25" sqref="G25"/>
    </sheetView>
  </sheetViews>
  <sheetFormatPr baseColWidth="10" defaultColWidth="10.28515625" defaultRowHeight="12.75"/>
  <cols>
    <col min="1" max="1" width="41" style="58" customWidth="1" collapsed="1"/>
    <col min="2" max="2" width="37.5703125" style="58" customWidth="1" collapsed="1"/>
    <col min="3" max="3" width="41.42578125" style="58" customWidth="1" collapsed="1"/>
    <col min="4" max="4" width="11.5703125" style="58" customWidth="1" collapsed="1"/>
    <col min="5" max="16384" width="10.28515625" style="58" collapsed="1"/>
  </cols>
  <sheetData>
    <row r="1" spans="1:4" ht="18.75" customHeight="1">
      <c r="A1" s="814" t="s">
        <v>361</v>
      </c>
      <c r="B1" s="814"/>
      <c r="C1" s="814"/>
    </row>
    <row r="3" spans="1:4">
      <c r="A3" s="822" t="s">
        <v>279</v>
      </c>
      <c r="B3" s="822"/>
      <c r="C3" s="68" t="s">
        <v>280</v>
      </c>
      <c r="D3" s="472">
        <f>+'Fiche de renseignement R1'!$V$10</f>
        <v>45657</v>
      </c>
    </row>
    <row r="4" spans="1:4">
      <c r="A4" s="768" t="str">
        <f>'Fiche de renseignement R1'!$J$4</f>
        <v>SOCIETE NOUVELLE DES SALINS DU SINE SALOUM</v>
      </c>
      <c r="B4" s="813"/>
      <c r="C4" s="822" t="s">
        <v>281</v>
      </c>
      <c r="D4" s="825">
        <f>+'Fiche de renseignement R1'!$AH$10</f>
        <v>12</v>
      </c>
    </row>
    <row r="5" spans="1:4">
      <c r="A5" s="68" t="s">
        <v>282</v>
      </c>
      <c r="B5" s="449" t="str">
        <f>+'Fiche de renseignement R1'!$J$10</f>
        <v>000018699</v>
      </c>
      <c r="C5" s="822"/>
      <c r="D5" s="824"/>
    </row>
    <row r="7" spans="1:4">
      <c r="A7" s="88" t="s">
        <v>362</v>
      </c>
      <c r="B7" s="87"/>
      <c r="C7" s="87"/>
    </row>
    <row r="8" spans="1:4">
      <c r="A8" s="812"/>
      <c r="B8" s="812"/>
      <c r="C8" s="812"/>
    </row>
    <row r="9" spans="1:4">
      <c r="A9" s="812"/>
      <c r="B9" s="812"/>
      <c r="C9" s="812"/>
    </row>
    <row r="10" spans="1:4">
      <c r="A10" s="812"/>
      <c r="B10" s="812"/>
      <c r="C10" s="812"/>
    </row>
    <row r="11" spans="1:4">
      <c r="A11" s="812"/>
      <c r="B11" s="812"/>
      <c r="C11" s="812"/>
    </row>
    <row r="12" spans="1:4">
      <c r="A12" s="812"/>
      <c r="B12" s="812"/>
      <c r="C12" s="812"/>
    </row>
    <row r="13" spans="1:4">
      <c r="A13" s="62" t="s">
        <v>363</v>
      </c>
      <c r="B13" s="62" t="s">
        <v>364</v>
      </c>
      <c r="C13" s="62" t="s">
        <v>365</v>
      </c>
    </row>
    <row r="14" spans="1:4">
      <c r="A14" s="59"/>
      <c r="B14" s="59"/>
      <c r="C14" s="59"/>
    </row>
    <row r="15" spans="1:4">
      <c r="A15" s="59"/>
      <c r="B15" s="59"/>
      <c r="C15" s="59"/>
    </row>
    <row r="16" spans="1:4">
      <c r="A16" s="59"/>
      <c r="B16" s="59"/>
      <c r="C16" s="59"/>
    </row>
    <row r="17" spans="1:3">
      <c r="A17" s="59"/>
      <c r="B17" s="59"/>
      <c r="C17" s="59"/>
    </row>
    <row r="18" spans="1:3">
      <c r="A18" s="59"/>
      <c r="B18" s="59"/>
      <c r="C18" s="59"/>
    </row>
    <row r="19" spans="1:3">
      <c r="A19" s="59"/>
      <c r="B19" s="59"/>
      <c r="C19" s="59"/>
    </row>
    <row r="20" spans="1:3">
      <c r="A20" s="59"/>
      <c r="B20" s="59"/>
      <c r="C20" s="59"/>
    </row>
    <row r="21" spans="1:3">
      <c r="A21" s="59"/>
      <c r="B21" s="59"/>
      <c r="C21" s="59"/>
    </row>
    <row r="22" spans="1:3">
      <c r="A22" s="58" t="s">
        <v>366</v>
      </c>
    </row>
    <row r="23" spans="1:3">
      <c r="A23" s="812"/>
      <c r="B23" s="812"/>
      <c r="C23" s="812"/>
    </row>
    <row r="24" spans="1:3">
      <c r="A24" s="59" t="s">
        <v>367</v>
      </c>
      <c r="B24" s="59"/>
      <c r="C24" s="59"/>
    </row>
    <row r="25" spans="1:3">
      <c r="A25" s="59" t="s">
        <v>368</v>
      </c>
      <c r="B25" s="59"/>
      <c r="C25" s="59"/>
    </row>
    <row r="26" spans="1:3" ht="54" customHeight="1">
      <c r="A26" s="812"/>
      <c r="B26" s="812"/>
      <c r="C26" s="812"/>
    </row>
    <row r="27" spans="1:3" s="86" customFormat="1" ht="20.25" customHeight="1">
      <c r="A27" s="83" t="s">
        <v>369</v>
      </c>
      <c r="B27" s="84"/>
      <c r="C27" s="85"/>
    </row>
  </sheetData>
  <mergeCells count="8">
    <mergeCell ref="D4:D5"/>
    <mergeCell ref="A26:C26"/>
    <mergeCell ref="A1:C1"/>
    <mergeCell ref="A3:B3"/>
    <mergeCell ref="A4:B4"/>
    <mergeCell ref="C4:C5"/>
    <mergeCell ref="A8:C12"/>
    <mergeCell ref="A23:C23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H36"/>
  <sheetViews>
    <sheetView showGridLines="0" workbookViewId="0">
      <selection activeCell="B30" sqref="B30"/>
    </sheetView>
  </sheetViews>
  <sheetFormatPr baseColWidth="10" defaultColWidth="10.28515625" defaultRowHeight="12.75"/>
  <cols>
    <col min="1" max="1" width="31.140625" style="58" customWidth="1" collapsed="1"/>
    <col min="2" max="2" width="23.42578125" style="58" customWidth="1" collapsed="1"/>
    <col min="3" max="3" width="17.85546875" style="58" customWidth="1" collapsed="1"/>
    <col min="4" max="4" width="19.140625" style="58" customWidth="1" collapsed="1"/>
    <col min="5" max="5" width="16" style="58" customWidth="1" collapsed="1"/>
    <col min="6" max="6" width="15.7109375" style="58" customWidth="1" collapsed="1"/>
    <col min="7" max="7" width="14.28515625" style="58" customWidth="1" collapsed="1"/>
    <col min="8" max="16384" width="10.28515625" style="58" collapsed="1"/>
  </cols>
  <sheetData>
    <row r="1" spans="1:8" ht="18.75" customHeight="1">
      <c r="A1" s="814" t="s">
        <v>370</v>
      </c>
      <c r="B1" s="814"/>
      <c r="C1" s="814"/>
      <c r="D1" s="814"/>
      <c r="E1" s="814"/>
      <c r="F1" s="814"/>
      <c r="G1" s="814"/>
    </row>
    <row r="2" spans="1:8" ht="8.1" customHeight="1"/>
    <row r="3" spans="1:8" ht="12.75" customHeight="1">
      <c r="A3" s="822" t="s">
        <v>279</v>
      </c>
      <c r="B3" s="822"/>
      <c r="C3" s="822"/>
      <c r="D3" s="68"/>
      <c r="E3" s="68" t="s">
        <v>280</v>
      </c>
      <c r="F3" s="823">
        <f>+'Fiche de renseignement R1'!$V$10</f>
        <v>45657</v>
      </c>
      <c r="G3" s="845"/>
      <c r="H3" s="68"/>
    </row>
    <row r="4" spans="1:8" ht="15" customHeight="1">
      <c r="A4" s="768" t="str">
        <f>'Fiche de renseignement R1'!$J$4</f>
        <v>SOCIETE NOUVELLE DES SALINS DU SINE SALOUM</v>
      </c>
      <c r="B4" s="813"/>
      <c r="C4" s="813"/>
      <c r="D4" s="68"/>
      <c r="E4" s="822" t="s">
        <v>281</v>
      </c>
      <c r="F4" s="825">
        <f>+'Fiche de renseignement R1'!$AH$10</f>
        <v>12</v>
      </c>
      <c r="G4" s="826"/>
      <c r="H4" s="68"/>
    </row>
    <row r="5" spans="1:8" ht="15" customHeight="1">
      <c r="A5" s="68" t="s">
        <v>282</v>
      </c>
      <c r="B5" s="768" t="str">
        <f>+'Fiche de renseignement R1'!$J$10</f>
        <v>000018699</v>
      </c>
      <c r="C5" s="813"/>
      <c r="D5" s="68"/>
      <c r="E5" s="822"/>
      <c r="F5" s="824"/>
      <c r="G5" s="824"/>
      <c r="H5" s="68"/>
    </row>
    <row r="6" spans="1:8" ht="8.1" customHeight="1"/>
    <row r="7" spans="1:8" ht="25.35" customHeight="1">
      <c r="A7" s="847" t="s">
        <v>323</v>
      </c>
      <c r="B7" s="819" t="s">
        <v>371</v>
      </c>
      <c r="C7" s="819" t="s">
        <v>372</v>
      </c>
      <c r="D7" s="819" t="s">
        <v>373</v>
      </c>
      <c r="E7" s="819" t="s">
        <v>374</v>
      </c>
      <c r="F7" s="819" t="s">
        <v>375</v>
      </c>
      <c r="G7" s="819" t="s">
        <v>376</v>
      </c>
    </row>
    <row r="8" spans="1:8" ht="25.35" customHeight="1">
      <c r="A8" s="830"/>
      <c r="B8" s="819"/>
      <c r="C8" s="819"/>
      <c r="D8" s="819"/>
      <c r="E8" s="819"/>
      <c r="F8" s="819"/>
      <c r="G8" s="819"/>
    </row>
    <row r="9" spans="1:8">
      <c r="A9" s="59" t="s">
        <v>135</v>
      </c>
      <c r="B9" s="464">
        <v>115827689</v>
      </c>
      <c r="C9" s="464">
        <v>115827689</v>
      </c>
      <c r="D9" s="484">
        <v>0</v>
      </c>
      <c r="E9" s="464"/>
      <c r="F9" s="464"/>
      <c r="G9" s="464">
        <v>115827689</v>
      </c>
    </row>
    <row r="10" spans="1:8">
      <c r="A10" s="59" t="s">
        <v>377</v>
      </c>
      <c r="B10" s="464"/>
      <c r="C10" s="464"/>
      <c r="D10" s="484"/>
      <c r="E10" s="464"/>
      <c r="F10" s="464"/>
      <c r="G10" s="464"/>
    </row>
    <row r="11" spans="1:8">
      <c r="A11" s="59" t="s">
        <v>378</v>
      </c>
      <c r="B11" s="464"/>
      <c r="C11" s="464"/>
      <c r="D11" s="484"/>
      <c r="E11" s="464"/>
      <c r="F11" s="464"/>
      <c r="G11" s="464"/>
    </row>
    <row r="12" spans="1:8">
      <c r="A12" s="313" t="s">
        <v>379</v>
      </c>
      <c r="B12" s="464"/>
      <c r="C12" s="464"/>
      <c r="D12" s="484"/>
      <c r="E12" s="464"/>
      <c r="F12" s="464"/>
      <c r="G12" s="464"/>
    </row>
    <row r="13" spans="1:8">
      <c r="A13" s="300" t="s">
        <v>380</v>
      </c>
      <c r="B13" s="464"/>
      <c r="C13" s="464"/>
      <c r="D13" s="484"/>
      <c r="E13" s="464"/>
      <c r="F13" s="464"/>
      <c r="G13" s="464"/>
    </row>
    <row r="14" spans="1:8">
      <c r="A14" s="300" t="s">
        <v>381</v>
      </c>
      <c r="B14" s="464">
        <v>69977929</v>
      </c>
      <c r="C14" s="464">
        <v>69973269</v>
      </c>
      <c r="D14" s="600">
        <v>6.6596860009498766E-5</v>
      </c>
      <c r="E14" s="464"/>
      <c r="F14" s="464"/>
      <c r="G14" s="464">
        <v>69973269</v>
      </c>
    </row>
    <row r="15" spans="1:8">
      <c r="A15" s="300" t="s">
        <v>382</v>
      </c>
      <c r="B15" s="464">
        <v>0</v>
      </c>
      <c r="C15" s="464">
        <v>0</v>
      </c>
      <c r="D15" s="484"/>
      <c r="E15" s="464">
        <v>0</v>
      </c>
      <c r="F15" s="464">
        <v>0</v>
      </c>
      <c r="G15" s="464">
        <v>0</v>
      </c>
    </row>
    <row r="16" spans="1:8">
      <c r="A16" s="69" t="s">
        <v>383</v>
      </c>
      <c r="B16" s="463">
        <v>185805618</v>
      </c>
      <c r="C16" s="463">
        <v>185800958</v>
      </c>
      <c r="D16" s="601">
        <v>2.5080602652220987E-5</v>
      </c>
      <c r="E16" s="463"/>
      <c r="F16" s="463"/>
      <c r="G16" s="463">
        <v>185805618</v>
      </c>
    </row>
    <row r="17" spans="1:7">
      <c r="A17" s="59" t="s">
        <v>384</v>
      </c>
      <c r="B17" s="464">
        <v>50227689</v>
      </c>
      <c r="C17" s="464">
        <v>50227689</v>
      </c>
      <c r="D17" s="484">
        <v>0</v>
      </c>
      <c r="E17" s="464"/>
      <c r="F17" s="464"/>
      <c r="G17" s="464">
        <v>50227689</v>
      </c>
    </row>
    <row r="18" spans="1:7">
      <c r="A18" s="59" t="s">
        <v>385</v>
      </c>
      <c r="B18" s="464">
        <v>9320</v>
      </c>
      <c r="C18" s="464">
        <v>9320</v>
      </c>
      <c r="D18" s="484">
        <v>0</v>
      </c>
      <c r="E18" s="464"/>
      <c r="F18" s="464"/>
      <c r="G18" s="464">
        <v>9320</v>
      </c>
    </row>
    <row r="19" spans="1:7" ht="20.100000000000001" customHeight="1">
      <c r="A19" s="90" t="s">
        <v>386</v>
      </c>
      <c r="B19" s="460">
        <v>135568609</v>
      </c>
      <c r="C19" s="460">
        <v>135563949</v>
      </c>
      <c r="D19" s="602">
        <v>3.4374920724683229E-5</v>
      </c>
      <c r="E19" s="460"/>
      <c r="F19" s="460"/>
      <c r="G19" s="460">
        <v>135568609</v>
      </c>
    </row>
    <row r="21" spans="1:7">
      <c r="A21" s="89" t="s">
        <v>387</v>
      </c>
      <c r="B21" s="668"/>
    </row>
    <row r="23" spans="1:7" ht="25.35" customHeight="1">
      <c r="A23" s="819" t="s">
        <v>388</v>
      </c>
      <c r="B23" s="819" t="s">
        <v>389</v>
      </c>
      <c r="C23" s="819" t="s">
        <v>390</v>
      </c>
      <c r="D23" s="819"/>
      <c r="E23" s="819" t="s">
        <v>391</v>
      </c>
      <c r="F23" s="819" t="s">
        <v>392</v>
      </c>
      <c r="G23" s="819" t="s">
        <v>393</v>
      </c>
    </row>
    <row r="24" spans="1:7" ht="25.35" customHeight="1">
      <c r="A24" s="819"/>
      <c r="B24" s="819"/>
      <c r="C24" s="819"/>
      <c r="D24" s="819"/>
      <c r="E24" s="819"/>
      <c r="F24" s="819"/>
      <c r="G24" s="819"/>
    </row>
    <row r="25" spans="1:7">
      <c r="A25" s="485" t="s">
        <v>1459</v>
      </c>
      <c r="B25" s="485" t="s">
        <v>1461</v>
      </c>
      <c r="C25" s="848">
        <v>65600000</v>
      </c>
      <c r="D25" s="849"/>
      <c r="E25" s="603">
        <v>0.2</v>
      </c>
      <c r="F25" s="466">
        <v>328000000</v>
      </c>
      <c r="G25" s="466" t="s">
        <v>1463</v>
      </c>
    </row>
    <row r="26" spans="1:7">
      <c r="A26" s="485" t="s">
        <v>1460</v>
      </c>
      <c r="B26" s="485" t="s">
        <v>1462</v>
      </c>
      <c r="C26" s="848">
        <v>0</v>
      </c>
      <c r="D26" s="849"/>
      <c r="E26" s="603">
        <v>0.35</v>
      </c>
      <c r="F26" s="466">
        <v>0</v>
      </c>
      <c r="G26" s="466">
        <v>0</v>
      </c>
    </row>
    <row r="27" spans="1:7">
      <c r="A27" s="485"/>
      <c r="B27" s="485"/>
      <c r="C27" s="848">
        <v>0</v>
      </c>
      <c r="D27" s="849"/>
      <c r="E27" s="466">
        <v>0</v>
      </c>
      <c r="F27" s="466">
        <v>0</v>
      </c>
      <c r="G27" s="466">
        <v>0</v>
      </c>
    </row>
    <row r="28" spans="1:7">
      <c r="A28" s="485"/>
      <c r="B28" s="485"/>
      <c r="C28" s="848">
        <v>0</v>
      </c>
      <c r="D28" s="849"/>
      <c r="E28" s="466">
        <v>0</v>
      </c>
      <c r="F28" s="466">
        <v>0</v>
      </c>
      <c r="G28" s="466">
        <v>0</v>
      </c>
    </row>
    <row r="29" spans="1:7">
      <c r="A29" s="485"/>
      <c r="B29" s="485"/>
      <c r="C29" s="848">
        <v>0</v>
      </c>
      <c r="D29" s="849"/>
      <c r="E29" s="466">
        <v>0</v>
      </c>
      <c r="F29" s="466">
        <v>0</v>
      </c>
      <c r="G29" s="466">
        <v>0</v>
      </c>
    </row>
    <row r="30" spans="1:7">
      <c r="A30" s="485"/>
      <c r="B30" s="485"/>
      <c r="C30" s="848">
        <v>0</v>
      </c>
      <c r="D30" s="849"/>
      <c r="E30" s="466">
        <v>0</v>
      </c>
      <c r="F30" s="466">
        <v>0</v>
      </c>
      <c r="G30" s="466">
        <v>0</v>
      </c>
    </row>
    <row r="31" spans="1:7">
      <c r="A31" s="485"/>
      <c r="B31" s="485"/>
      <c r="C31" s="848">
        <v>0</v>
      </c>
      <c r="D31" s="849"/>
      <c r="E31" s="466">
        <v>0</v>
      </c>
      <c r="F31" s="466">
        <v>0</v>
      </c>
      <c r="G31" s="466">
        <v>0</v>
      </c>
    </row>
    <row r="32" spans="1:7">
      <c r="A32" s="58" t="s">
        <v>317</v>
      </c>
    </row>
    <row r="33" spans="1:7">
      <c r="A33" s="841" t="s">
        <v>1464</v>
      </c>
      <c r="B33" s="842"/>
      <c r="C33" s="842"/>
      <c r="D33" s="842"/>
      <c r="E33" s="842"/>
      <c r="F33" s="842"/>
      <c r="G33" s="842"/>
    </row>
    <row r="34" spans="1:7">
      <c r="A34" s="842"/>
      <c r="B34" s="842"/>
      <c r="C34" s="842"/>
      <c r="D34" s="842"/>
      <c r="E34" s="842"/>
      <c r="F34" s="842"/>
      <c r="G34" s="842"/>
    </row>
    <row r="35" spans="1:7">
      <c r="A35" s="842"/>
      <c r="B35" s="842"/>
      <c r="C35" s="842"/>
      <c r="D35" s="842"/>
      <c r="E35" s="842"/>
      <c r="F35" s="842"/>
      <c r="G35" s="842"/>
    </row>
    <row r="36" spans="1:7">
      <c r="A36" s="842"/>
      <c r="B36" s="842"/>
      <c r="C36" s="842"/>
      <c r="D36" s="842"/>
      <c r="E36" s="842"/>
      <c r="F36" s="842"/>
      <c r="G36" s="842"/>
    </row>
  </sheetData>
  <mergeCells count="28">
    <mergeCell ref="A1:G1"/>
    <mergeCell ref="A3:C3"/>
    <mergeCell ref="F3:G3"/>
    <mergeCell ref="A4:C4"/>
    <mergeCell ref="E4:E5"/>
    <mergeCell ref="F4:G5"/>
    <mergeCell ref="B5:C5"/>
    <mergeCell ref="C7:C8"/>
    <mergeCell ref="D7:D8"/>
    <mergeCell ref="E7:E8"/>
    <mergeCell ref="F7:F8"/>
    <mergeCell ref="G7:G8"/>
    <mergeCell ref="A33:G36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0866141732279997" right="0.70866141732279997" top="0.74803149606300001" bottom="0.74803149606300001" header="0.31496062992129997" footer="0.31496062992129997"/>
  <pageSetup paperSize="9"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showGridLines="0" zoomScaleNormal="100" workbookViewId="0">
      <selection activeCell="A30" sqref="A30:G34"/>
    </sheetView>
  </sheetViews>
  <sheetFormatPr baseColWidth="10" defaultColWidth="11.42578125" defaultRowHeight="12.75"/>
  <cols>
    <col min="1" max="1" width="33.7109375" style="256" customWidth="1" collapsed="1"/>
    <col min="2" max="7" width="13.5703125" style="256" customWidth="1" collapsed="1"/>
    <col min="8" max="16384" width="11.42578125" style="256" collapsed="1"/>
  </cols>
  <sheetData>
    <row r="1" spans="1:7" ht="18.75" customHeight="1">
      <c r="A1" s="855" t="s">
        <v>394</v>
      </c>
      <c r="B1" s="855"/>
      <c r="C1" s="855"/>
      <c r="D1" s="855"/>
      <c r="E1" s="855"/>
      <c r="F1" s="855"/>
      <c r="G1" s="855"/>
    </row>
    <row r="3" spans="1:7">
      <c r="A3" s="256" t="s">
        <v>279</v>
      </c>
      <c r="E3" s="256" t="s">
        <v>280</v>
      </c>
      <c r="F3" s="857">
        <f>+'Fiche de renseignement R1'!$V$10</f>
        <v>45657</v>
      </c>
      <c r="G3" s="858"/>
    </row>
    <row r="4" spans="1:7">
      <c r="A4" s="859" t="str">
        <f>'Fiche de renseignement R1'!$J$4</f>
        <v>SOCIETE NOUVELLE DES SALINS DU SINE SALOUM</v>
      </c>
      <c r="B4" s="858"/>
      <c r="C4" s="858"/>
      <c r="E4" s="256" t="s">
        <v>281</v>
      </c>
      <c r="F4" s="859">
        <f>+'Fiche de renseignement R1'!$AH$10</f>
        <v>12</v>
      </c>
      <c r="G4" s="858"/>
    </row>
    <row r="5" spans="1:7">
      <c r="A5" s="256" t="s">
        <v>282</v>
      </c>
      <c r="B5" s="859" t="str">
        <f>+'Fiche de renseignement R1'!$J$10</f>
        <v>000018699</v>
      </c>
      <c r="C5" s="858"/>
    </row>
    <row r="7" spans="1:7" ht="7.5" customHeight="1"/>
    <row r="8" spans="1:7">
      <c r="A8" s="783" t="s">
        <v>139</v>
      </c>
      <c r="B8" s="783" t="s">
        <v>371</v>
      </c>
      <c r="C8" s="783" t="s">
        <v>372</v>
      </c>
      <c r="D8" s="783" t="s">
        <v>373</v>
      </c>
    </row>
    <row r="9" spans="1:7">
      <c r="A9" s="785"/>
      <c r="B9" s="785"/>
      <c r="C9" s="785"/>
      <c r="D9" s="785"/>
    </row>
    <row r="10" spans="1:7" ht="25.5" customHeight="1">
      <c r="A10" s="261" t="s">
        <v>395</v>
      </c>
      <c r="B10" s="466">
        <v>0</v>
      </c>
      <c r="C10" s="466">
        <v>0</v>
      </c>
      <c r="D10" s="485"/>
    </row>
    <row r="11" spans="1:7" ht="25.5" customHeight="1">
      <c r="A11" s="261" t="s">
        <v>396</v>
      </c>
      <c r="B11" s="466">
        <v>0</v>
      </c>
      <c r="C11" s="466">
        <v>0</v>
      </c>
      <c r="D11" s="485"/>
    </row>
    <row r="12" spans="1:7">
      <c r="A12" s="264" t="s">
        <v>383</v>
      </c>
      <c r="B12" s="467">
        <v>0</v>
      </c>
      <c r="C12" s="467">
        <v>0</v>
      </c>
      <c r="D12" s="486"/>
    </row>
    <row r="13" spans="1:7">
      <c r="A13" s="261" t="s">
        <v>397</v>
      </c>
      <c r="B13" s="466">
        <v>0</v>
      </c>
      <c r="C13" s="466">
        <v>0</v>
      </c>
      <c r="D13" s="485"/>
    </row>
    <row r="14" spans="1:7">
      <c r="A14" s="263" t="s">
        <v>386</v>
      </c>
      <c r="B14" s="469">
        <v>0</v>
      </c>
      <c r="C14" s="469">
        <v>0</v>
      </c>
      <c r="D14" s="487"/>
    </row>
    <row r="15" spans="1:7">
      <c r="A15" s="256" t="s">
        <v>317</v>
      </c>
    </row>
    <row r="16" spans="1:7">
      <c r="A16" s="860"/>
      <c r="B16" s="861"/>
      <c r="C16" s="861"/>
      <c r="D16" s="861"/>
    </row>
    <row r="17" spans="1:7">
      <c r="A17" s="861"/>
      <c r="B17" s="861"/>
      <c r="C17" s="861"/>
      <c r="D17" s="861"/>
    </row>
    <row r="18" spans="1:7">
      <c r="A18" s="861"/>
      <c r="B18" s="861"/>
      <c r="C18" s="861"/>
      <c r="D18" s="861"/>
    </row>
    <row r="20" spans="1:7" ht="18.75" customHeight="1">
      <c r="A20" s="856" t="s">
        <v>398</v>
      </c>
      <c r="B20" s="856"/>
      <c r="C20" s="856"/>
      <c r="D20" s="856"/>
      <c r="E20" s="856"/>
      <c r="F20" s="856"/>
      <c r="G20" s="856"/>
    </row>
    <row r="22" spans="1:7">
      <c r="A22" s="862" t="s">
        <v>139</v>
      </c>
      <c r="B22" s="864" t="s">
        <v>371</v>
      </c>
      <c r="C22" s="865"/>
      <c r="D22" s="864" t="s">
        <v>372</v>
      </c>
      <c r="E22" s="865"/>
      <c r="F22" s="864" t="s">
        <v>399</v>
      </c>
      <c r="G22" s="865"/>
    </row>
    <row r="23" spans="1:7">
      <c r="A23" s="863"/>
      <c r="B23" s="866"/>
      <c r="C23" s="867"/>
      <c r="D23" s="866"/>
      <c r="E23" s="867"/>
      <c r="F23" s="866"/>
      <c r="G23" s="867"/>
    </row>
    <row r="24" spans="1:7">
      <c r="A24" s="261" t="s">
        <v>400</v>
      </c>
      <c r="B24" s="853">
        <v>0</v>
      </c>
      <c r="C24" s="854"/>
      <c r="D24" s="853">
        <v>0</v>
      </c>
      <c r="E24" s="854"/>
      <c r="F24" s="853"/>
      <c r="G24" s="854"/>
    </row>
    <row r="25" spans="1:7" ht="25.5" customHeight="1">
      <c r="A25" s="261" t="s">
        <v>401</v>
      </c>
      <c r="B25" s="853">
        <v>0</v>
      </c>
      <c r="C25" s="854"/>
      <c r="D25" s="853">
        <v>0</v>
      </c>
      <c r="E25" s="854"/>
      <c r="F25" s="853"/>
      <c r="G25" s="854"/>
    </row>
    <row r="26" spans="1:7" ht="38.25" customHeight="1">
      <c r="A26" s="261" t="s">
        <v>402</v>
      </c>
      <c r="B26" s="853">
        <v>0</v>
      </c>
      <c r="C26" s="854"/>
      <c r="D26" s="853">
        <v>0</v>
      </c>
      <c r="E26" s="854"/>
      <c r="F26" s="853"/>
      <c r="G26" s="854"/>
    </row>
    <row r="27" spans="1:7">
      <c r="A27" s="261" t="s">
        <v>403</v>
      </c>
      <c r="B27" s="853">
        <v>0</v>
      </c>
      <c r="C27" s="854"/>
      <c r="D27" s="853">
        <v>0</v>
      </c>
      <c r="E27" s="854"/>
      <c r="F27" s="853"/>
      <c r="G27" s="854"/>
    </row>
    <row r="28" spans="1:7">
      <c r="A28" s="263" t="s">
        <v>105</v>
      </c>
      <c r="B28" s="851">
        <v>0</v>
      </c>
      <c r="C28" s="852"/>
      <c r="D28" s="851">
        <v>0</v>
      </c>
      <c r="E28" s="852"/>
      <c r="F28" s="851"/>
      <c r="G28" s="852"/>
    </row>
    <row r="29" spans="1:7">
      <c r="A29" s="256" t="s">
        <v>317</v>
      </c>
    </row>
    <row r="30" spans="1:7">
      <c r="A30" s="850"/>
      <c r="B30" s="798"/>
      <c r="C30" s="798"/>
      <c r="D30" s="798"/>
      <c r="E30" s="798"/>
      <c r="F30" s="798"/>
      <c r="G30" s="798"/>
    </row>
    <row r="31" spans="1:7">
      <c r="A31" s="798"/>
      <c r="B31" s="798"/>
      <c r="C31" s="798"/>
      <c r="D31" s="798"/>
      <c r="E31" s="798"/>
      <c r="F31" s="798"/>
      <c r="G31" s="798"/>
    </row>
    <row r="32" spans="1:7">
      <c r="A32" s="798"/>
      <c r="B32" s="798"/>
      <c r="C32" s="798"/>
      <c r="D32" s="798"/>
      <c r="E32" s="798"/>
      <c r="F32" s="798"/>
      <c r="G32" s="798"/>
    </row>
    <row r="33" spans="1:7">
      <c r="A33" s="798"/>
      <c r="B33" s="798"/>
      <c r="C33" s="798"/>
      <c r="D33" s="798"/>
      <c r="E33" s="798"/>
      <c r="F33" s="798"/>
      <c r="G33" s="798"/>
    </row>
    <row r="34" spans="1:7">
      <c r="A34" s="798"/>
      <c r="B34" s="798"/>
      <c r="C34" s="798"/>
      <c r="D34" s="798"/>
      <c r="E34" s="798"/>
      <c r="F34" s="798"/>
      <c r="G34" s="798"/>
    </row>
  </sheetData>
  <mergeCells count="31">
    <mergeCell ref="A22:A23"/>
    <mergeCell ref="B22:C23"/>
    <mergeCell ref="D22:E23"/>
    <mergeCell ref="F22:G23"/>
    <mergeCell ref="B24:C24"/>
    <mergeCell ref="A1:G1"/>
    <mergeCell ref="A20:G20"/>
    <mergeCell ref="F3:G3"/>
    <mergeCell ref="F4:G4"/>
    <mergeCell ref="A4:C4"/>
    <mergeCell ref="B5:C5"/>
    <mergeCell ref="A8:A9"/>
    <mergeCell ref="B8:B9"/>
    <mergeCell ref="C8:C9"/>
    <mergeCell ref="D8:D9"/>
    <mergeCell ref="A16:D18"/>
    <mergeCell ref="A30:G34"/>
    <mergeCell ref="B28:C28"/>
    <mergeCell ref="D28:E28"/>
    <mergeCell ref="F24:G24"/>
    <mergeCell ref="F25:G25"/>
    <mergeCell ref="F26:G26"/>
    <mergeCell ref="F27:G27"/>
    <mergeCell ref="F28:G28"/>
    <mergeCell ref="B26:C26"/>
    <mergeCell ref="B27:C27"/>
    <mergeCell ref="D24:E24"/>
    <mergeCell ref="D25:E25"/>
    <mergeCell ref="D26:E26"/>
    <mergeCell ref="D27:E27"/>
    <mergeCell ref="B25:C25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showGridLines="0" workbookViewId="0">
      <selection activeCell="A24" sqref="A24:D28"/>
    </sheetView>
  </sheetViews>
  <sheetFormatPr baseColWidth="10" defaultColWidth="10.28515625" defaultRowHeight="12.75"/>
  <cols>
    <col min="1" max="1" width="33.7109375" style="58" customWidth="1" collapsed="1"/>
    <col min="2" max="2" width="24.7109375" style="58" customWidth="1" collapsed="1"/>
    <col min="3" max="3" width="22.85546875" style="58" customWidth="1" collapsed="1"/>
    <col min="4" max="4" width="18" style="58" customWidth="1" collapsed="1"/>
    <col min="5" max="16384" width="10.28515625" style="58" collapsed="1"/>
  </cols>
  <sheetData>
    <row r="1" spans="1:4" ht="21" customHeight="1">
      <c r="A1" s="814" t="s">
        <v>837</v>
      </c>
      <c r="B1" s="814"/>
      <c r="C1" s="814"/>
      <c r="D1" s="814"/>
    </row>
    <row r="2" spans="1:4">
      <c r="A2" s="68"/>
      <c r="B2" s="68"/>
      <c r="C2" s="68"/>
      <c r="D2" s="68"/>
    </row>
    <row r="3" spans="1:4">
      <c r="A3" s="822" t="s">
        <v>279</v>
      </c>
      <c r="B3" s="822"/>
      <c r="C3" s="68" t="s">
        <v>280</v>
      </c>
      <c r="D3" s="472">
        <f>+'Fiche de renseignement R1'!$V$10</f>
        <v>45657</v>
      </c>
    </row>
    <row r="4" spans="1:4">
      <c r="A4" s="768" t="str">
        <f>'Fiche de renseignement R1'!$J$4</f>
        <v>SOCIETE NOUVELLE DES SALINS DU SINE SALOUM</v>
      </c>
      <c r="B4" s="813"/>
      <c r="C4" s="68" t="s">
        <v>281</v>
      </c>
      <c r="D4" s="825">
        <f>+'Fiche de renseignement R1'!$AH$10</f>
        <v>12</v>
      </c>
    </row>
    <row r="5" spans="1:4">
      <c r="A5" s="68" t="s">
        <v>282</v>
      </c>
      <c r="B5" s="449" t="str">
        <f>+'Fiche de renseignement R1'!$J$10</f>
        <v>000018699</v>
      </c>
      <c r="C5" s="68"/>
      <c r="D5" s="824"/>
    </row>
    <row r="7" spans="1:4">
      <c r="A7" s="831" t="s">
        <v>139</v>
      </c>
      <c r="B7" s="831" t="s">
        <v>371</v>
      </c>
      <c r="C7" s="831" t="s">
        <v>372</v>
      </c>
      <c r="D7" s="831" t="s">
        <v>399</v>
      </c>
    </row>
    <row r="8" spans="1:4">
      <c r="A8" s="831"/>
      <c r="B8" s="831"/>
      <c r="C8" s="831"/>
      <c r="D8" s="831"/>
    </row>
    <row r="9" spans="1:4">
      <c r="A9" s="300" t="s">
        <v>404</v>
      </c>
      <c r="B9" s="459">
        <v>0</v>
      </c>
      <c r="C9" s="459">
        <v>0</v>
      </c>
      <c r="D9" s="489"/>
    </row>
    <row r="10" spans="1:4">
      <c r="A10" s="283" t="s">
        <v>405</v>
      </c>
      <c r="B10" s="459">
        <v>0</v>
      </c>
      <c r="C10" s="459">
        <v>0</v>
      </c>
      <c r="D10" s="489"/>
    </row>
    <row r="11" spans="1:4">
      <c r="A11" s="300" t="s">
        <v>406</v>
      </c>
      <c r="B11" s="459">
        <v>3238992246</v>
      </c>
      <c r="C11" s="459">
        <v>3201175281</v>
      </c>
      <c r="D11" s="604">
        <v>1.1813462769269709E-2</v>
      </c>
    </row>
    <row r="12" spans="1:4">
      <c r="A12" s="300" t="s">
        <v>407</v>
      </c>
      <c r="B12" s="459">
        <v>683129800</v>
      </c>
      <c r="C12" s="459">
        <v>689421375</v>
      </c>
      <c r="D12" s="604">
        <v>-9.1258774795022861E-3</v>
      </c>
    </row>
    <row r="13" spans="1:4">
      <c r="A13" s="59" t="s">
        <v>408</v>
      </c>
      <c r="B13" s="459">
        <v>0</v>
      </c>
      <c r="C13" s="459">
        <v>0</v>
      </c>
      <c r="D13" s="604"/>
    </row>
    <row r="14" spans="1:4">
      <c r="A14" s="59" t="s">
        <v>409</v>
      </c>
      <c r="B14" s="459">
        <v>1633464012</v>
      </c>
      <c r="C14" s="459">
        <v>1390086884</v>
      </c>
      <c r="D14" s="604">
        <v>0.17508051532698296</v>
      </c>
    </row>
    <row r="15" spans="1:4">
      <c r="A15" s="59" t="s">
        <v>410</v>
      </c>
      <c r="B15" s="459">
        <v>0</v>
      </c>
      <c r="C15" s="459">
        <v>0</v>
      </c>
      <c r="D15" s="604"/>
    </row>
    <row r="16" spans="1:4" ht="25.5" customHeight="1">
      <c r="A16" s="76" t="s">
        <v>411</v>
      </c>
      <c r="B16" s="459">
        <v>0</v>
      </c>
      <c r="C16" s="459">
        <v>253311589</v>
      </c>
      <c r="D16" s="604">
        <v>-1</v>
      </c>
    </row>
    <row r="17" spans="1:4">
      <c r="A17" s="91" t="s">
        <v>412</v>
      </c>
      <c r="B17" s="461">
        <v>5555586058</v>
      </c>
      <c r="C17" s="461">
        <v>5533995129</v>
      </c>
      <c r="D17" s="605">
        <v>3.9015084937202519E-3</v>
      </c>
    </row>
    <row r="18" spans="1:4">
      <c r="A18" s="257" t="s">
        <v>413</v>
      </c>
      <c r="B18" s="459">
        <v>193239513</v>
      </c>
      <c r="C18" s="459">
        <v>99849200</v>
      </c>
      <c r="D18" s="604">
        <v>0.93531358288298749</v>
      </c>
    </row>
    <row r="19" spans="1:4">
      <c r="A19" s="59"/>
      <c r="B19" s="459"/>
      <c r="C19" s="459"/>
      <c r="D19" s="604"/>
    </row>
    <row r="20" spans="1:4">
      <c r="A20" s="72" t="s">
        <v>1122</v>
      </c>
      <c r="B20" s="473">
        <v>5362346545</v>
      </c>
      <c r="C20" s="473">
        <v>5434145929</v>
      </c>
      <c r="D20" s="606">
        <v>-1.321263450376509E-2</v>
      </c>
    </row>
    <row r="21" spans="1:4">
      <c r="A21" s="58" t="s">
        <v>414</v>
      </c>
    </row>
    <row r="22" spans="1:4">
      <c r="A22" s="58" t="s">
        <v>415</v>
      </c>
    </row>
    <row r="23" spans="1:4">
      <c r="A23" s="89" t="s">
        <v>317</v>
      </c>
    </row>
    <row r="24" spans="1:4">
      <c r="A24" s="868" t="s">
        <v>1512</v>
      </c>
      <c r="B24" s="842"/>
      <c r="C24" s="842"/>
      <c r="D24" s="842"/>
    </row>
    <row r="25" spans="1:4">
      <c r="A25" s="842"/>
      <c r="B25" s="842"/>
      <c r="C25" s="842"/>
      <c r="D25" s="842"/>
    </row>
    <row r="26" spans="1:4">
      <c r="A26" s="842"/>
      <c r="B26" s="842"/>
      <c r="C26" s="842"/>
      <c r="D26" s="842"/>
    </row>
    <row r="27" spans="1:4">
      <c r="A27" s="842"/>
      <c r="B27" s="842"/>
      <c r="C27" s="842"/>
      <c r="D27" s="842"/>
    </row>
    <row r="28" spans="1:4">
      <c r="A28" s="842"/>
      <c r="B28" s="842"/>
      <c r="C28" s="842"/>
      <c r="D28" s="842"/>
    </row>
  </sheetData>
  <mergeCells count="9">
    <mergeCell ref="A24:D2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29"/>
  <sheetViews>
    <sheetView showGridLines="0" workbookViewId="0">
      <selection activeCell="A25" sqref="A25:G29"/>
    </sheetView>
  </sheetViews>
  <sheetFormatPr baseColWidth="10" defaultColWidth="10.28515625" defaultRowHeight="12.75"/>
  <cols>
    <col min="1" max="1" width="31.140625" style="58" customWidth="1" collapsed="1"/>
    <col min="2" max="2" width="11.7109375" style="58" bestFit="1" customWidth="1" collapsed="1"/>
    <col min="3" max="3" width="10.7109375" style="488" bestFit="1" customWidth="1" collapsed="1"/>
    <col min="4" max="4" width="8" style="58" customWidth="1" collapsed="1"/>
    <col min="5" max="7" width="11.7109375" style="58" customWidth="1" collapsed="1"/>
    <col min="8" max="16384" width="10.28515625" style="58" collapsed="1"/>
  </cols>
  <sheetData>
    <row r="1" spans="1:7" ht="18.75" customHeight="1">
      <c r="A1" s="796" t="s">
        <v>1123</v>
      </c>
      <c r="B1" s="814"/>
      <c r="C1" s="814"/>
      <c r="D1" s="814"/>
      <c r="E1" s="814"/>
      <c r="F1" s="814"/>
      <c r="G1" s="814"/>
    </row>
    <row r="2" spans="1:7">
      <c r="A2" s="68"/>
      <c r="B2" s="68"/>
      <c r="C2" s="68"/>
      <c r="D2" s="68"/>
      <c r="E2" s="68"/>
      <c r="F2" s="68"/>
      <c r="G2" s="68"/>
    </row>
    <row r="3" spans="1:7">
      <c r="A3" s="822" t="s">
        <v>279</v>
      </c>
      <c r="B3" s="822"/>
      <c r="C3" s="822"/>
      <c r="D3" s="68"/>
      <c r="E3" s="68" t="s">
        <v>280</v>
      </c>
      <c r="F3" s="823">
        <f>+'Fiche de renseignement R1'!$V$10</f>
        <v>45657</v>
      </c>
      <c r="G3" s="845"/>
    </row>
    <row r="4" spans="1:7">
      <c r="A4" s="772" t="str">
        <f>'Fiche de renseignement R1'!$J$4</f>
        <v>SOCIETE NOUVELLE DES SALINS DU SINE SALOUM</v>
      </c>
      <c r="B4" s="869"/>
      <c r="C4" s="869"/>
      <c r="D4" s="68"/>
      <c r="E4" s="822" t="s">
        <v>281</v>
      </c>
      <c r="F4" s="825">
        <f>+'Fiche de renseignement R1'!$AH$10</f>
        <v>12</v>
      </c>
      <c r="G4" s="826"/>
    </row>
    <row r="5" spans="1:7">
      <c r="A5" s="68" t="s">
        <v>282</v>
      </c>
      <c r="B5" s="768" t="str">
        <f>+'Fiche de renseignement R1'!$J$10</f>
        <v>000018699</v>
      </c>
      <c r="C5" s="813"/>
      <c r="D5" s="68"/>
      <c r="E5" s="822"/>
      <c r="F5" s="824"/>
      <c r="G5" s="824"/>
    </row>
    <row r="7" spans="1:7" ht="25.5" customHeight="1">
      <c r="A7" s="819" t="s">
        <v>139</v>
      </c>
      <c r="B7" s="819" t="s">
        <v>371</v>
      </c>
      <c r="C7" s="819" t="s">
        <v>372</v>
      </c>
      <c r="D7" s="819" t="s">
        <v>373</v>
      </c>
      <c r="E7" s="819" t="s">
        <v>374</v>
      </c>
      <c r="F7" s="819" t="s">
        <v>375</v>
      </c>
      <c r="G7" s="819" t="s">
        <v>376</v>
      </c>
    </row>
    <row r="8" spans="1:7" ht="25.5" customHeight="1">
      <c r="A8" s="819"/>
      <c r="B8" s="819"/>
      <c r="C8" s="819"/>
      <c r="D8" s="819"/>
      <c r="E8" s="819"/>
      <c r="F8" s="819"/>
      <c r="G8" s="819"/>
    </row>
    <row r="9" spans="1:7" ht="25.5" customHeight="1">
      <c r="A9" s="76" t="s">
        <v>416</v>
      </c>
      <c r="B9" s="459">
        <v>401035558</v>
      </c>
      <c r="C9" s="459">
        <v>368525336</v>
      </c>
      <c r="D9" s="604">
        <v>8.8217060875293518E-2</v>
      </c>
      <c r="E9" s="459">
        <v>401035558</v>
      </c>
      <c r="F9" s="459">
        <v>0</v>
      </c>
      <c r="G9" s="459">
        <v>0</v>
      </c>
    </row>
    <row r="10" spans="1:7" ht="25.5" customHeight="1">
      <c r="A10" s="76" t="s">
        <v>417</v>
      </c>
      <c r="B10" s="459">
        <v>0</v>
      </c>
      <c r="C10" s="459">
        <v>0</v>
      </c>
      <c r="D10" s="604"/>
      <c r="E10" s="459">
        <v>0</v>
      </c>
      <c r="F10" s="459">
        <v>0</v>
      </c>
      <c r="G10" s="459">
        <v>0</v>
      </c>
    </row>
    <row r="11" spans="1:7" ht="25.5" customHeight="1">
      <c r="A11" s="259" t="s">
        <v>1106</v>
      </c>
      <c r="B11" s="459">
        <v>0</v>
      </c>
      <c r="C11" s="459">
        <v>0</v>
      </c>
      <c r="D11" s="604"/>
      <c r="E11" s="459">
        <v>0</v>
      </c>
      <c r="F11" s="459">
        <v>0</v>
      </c>
      <c r="G11" s="459">
        <v>0</v>
      </c>
    </row>
    <row r="12" spans="1:7" ht="15.75" customHeight="1">
      <c r="A12" s="283" t="s">
        <v>418</v>
      </c>
      <c r="B12" s="459">
        <v>0</v>
      </c>
      <c r="C12" s="459">
        <v>0</v>
      </c>
      <c r="D12" s="604"/>
      <c r="E12" s="459">
        <v>0</v>
      </c>
      <c r="F12" s="459">
        <v>0</v>
      </c>
      <c r="G12" s="459">
        <v>0</v>
      </c>
    </row>
    <row r="13" spans="1:7" ht="25.5" customHeight="1">
      <c r="A13" s="283" t="s">
        <v>419</v>
      </c>
      <c r="B13" s="459">
        <v>0</v>
      </c>
      <c r="C13" s="459">
        <v>0</v>
      </c>
      <c r="D13" s="604"/>
      <c r="E13" s="459">
        <v>0</v>
      </c>
      <c r="F13" s="459">
        <v>0</v>
      </c>
      <c r="G13" s="459">
        <v>0</v>
      </c>
    </row>
    <row r="14" spans="1:7">
      <c r="A14" s="76" t="s">
        <v>420</v>
      </c>
      <c r="B14" s="459">
        <v>0</v>
      </c>
      <c r="C14" s="459">
        <v>0</v>
      </c>
      <c r="D14" s="604"/>
      <c r="E14" s="459">
        <v>0</v>
      </c>
      <c r="F14" s="459">
        <v>0</v>
      </c>
      <c r="G14" s="459">
        <v>0</v>
      </c>
    </row>
    <row r="15" spans="1:7">
      <c r="A15" s="76" t="s">
        <v>421</v>
      </c>
      <c r="B15" s="459">
        <v>0</v>
      </c>
      <c r="C15" s="459">
        <v>0</v>
      </c>
      <c r="D15" s="604"/>
      <c r="E15" s="459">
        <v>0</v>
      </c>
      <c r="F15" s="459">
        <v>0</v>
      </c>
      <c r="G15" s="459">
        <v>0</v>
      </c>
    </row>
    <row r="16" spans="1:7">
      <c r="A16" s="76" t="s">
        <v>422</v>
      </c>
      <c r="B16" s="459">
        <v>0</v>
      </c>
      <c r="C16" s="459">
        <v>0</v>
      </c>
      <c r="D16" s="604"/>
      <c r="E16" s="459">
        <v>0</v>
      </c>
      <c r="F16" s="459">
        <v>0</v>
      </c>
      <c r="G16" s="459">
        <v>0</v>
      </c>
    </row>
    <row r="17" spans="1:7">
      <c r="A17" s="79" t="s">
        <v>423</v>
      </c>
      <c r="B17" s="478">
        <v>401035558</v>
      </c>
      <c r="C17" s="478">
        <v>368525336</v>
      </c>
      <c r="D17" s="607">
        <v>8.8217060875293518E-2</v>
      </c>
      <c r="E17" s="478">
        <v>401035558</v>
      </c>
      <c r="F17" s="478">
        <v>0</v>
      </c>
      <c r="G17" s="478">
        <v>0</v>
      </c>
    </row>
    <row r="18" spans="1:7">
      <c r="A18" s="76" t="s">
        <v>424</v>
      </c>
      <c r="B18" s="459">
        <v>0</v>
      </c>
      <c r="C18" s="459">
        <v>0</v>
      </c>
      <c r="D18" s="604"/>
      <c r="E18" s="459">
        <v>0</v>
      </c>
      <c r="F18" s="459">
        <v>0</v>
      </c>
      <c r="G18" s="459">
        <v>0</v>
      </c>
    </row>
    <row r="19" spans="1:7">
      <c r="A19" s="79" t="s">
        <v>386</v>
      </c>
      <c r="B19" s="478">
        <v>401035558</v>
      </c>
      <c r="C19" s="478">
        <v>368525336</v>
      </c>
      <c r="D19" s="607">
        <v>8.8217060875293518E-2</v>
      </c>
      <c r="E19" s="478">
        <v>401035558</v>
      </c>
      <c r="F19" s="478">
        <v>0</v>
      </c>
      <c r="G19" s="478">
        <v>0</v>
      </c>
    </row>
    <row r="20" spans="1:7">
      <c r="A20" s="76" t="s">
        <v>425</v>
      </c>
      <c r="B20" s="459">
        <v>100649106</v>
      </c>
      <c r="C20" s="459">
        <v>130101598</v>
      </c>
      <c r="D20" s="604">
        <v>-0.22638070902096069</v>
      </c>
      <c r="E20" s="459">
        <v>100649106</v>
      </c>
      <c r="F20" s="459">
        <v>0</v>
      </c>
      <c r="G20" s="459">
        <v>0</v>
      </c>
    </row>
    <row r="21" spans="1:7">
      <c r="A21" s="76" t="s">
        <v>426</v>
      </c>
      <c r="B21" s="459">
        <v>0</v>
      </c>
      <c r="C21" s="459">
        <v>0</v>
      </c>
      <c r="D21" s="604"/>
      <c r="E21" s="459">
        <v>0</v>
      </c>
      <c r="F21" s="459">
        <v>0</v>
      </c>
      <c r="G21" s="459">
        <v>0</v>
      </c>
    </row>
    <row r="22" spans="1:7">
      <c r="A22" s="76" t="s">
        <v>427</v>
      </c>
      <c r="B22" s="459">
        <v>0</v>
      </c>
      <c r="C22" s="459">
        <v>0</v>
      </c>
      <c r="D22" s="604"/>
      <c r="E22" s="459">
        <v>0</v>
      </c>
      <c r="F22" s="459">
        <v>0</v>
      </c>
      <c r="G22" s="459">
        <v>0</v>
      </c>
    </row>
    <row r="23" spans="1:7">
      <c r="A23" s="80" t="s">
        <v>428</v>
      </c>
      <c r="B23" s="481">
        <v>100649106</v>
      </c>
      <c r="C23" s="481">
        <v>130101598</v>
      </c>
      <c r="D23" s="608">
        <v>-0.22638070902096069</v>
      </c>
      <c r="E23" s="481">
        <v>100649106</v>
      </c>
      <c r="F23" s="481">
        <v>0</v>
      </c>
      <c r="G23" s="481">
        <v>0</v>
      </c>
    </row>
    <row r="24" spans="1:7">
      <c r="A24" s="58" t="s">
        <v>317</v>
      </c>
    </row>
    <row r="25" spans="1:7">
      <c r="A25" s="868" t="s">
        <v>1513</v>
      </c>
      <c r="B25" s="842"/>
      <c r="C25" s="842"/>
      <c r="D25" s="842"/>
      <c r="E25" s="842"/>
      <c r="F25" s="842"/>
      <c r="G25" s="842"/>
    </row>
    <row r="26" spans="1:7">
      <c r="A26" s="842"/>
      <c r="B26" s="842"/>
      <c r="C26" s="842"/>
      <c r="D26" s="842"/>
      <c r="E26" s="842"/>
      <c r="F26" s="842"/>
      <c r="G26" s="842"/>
    </row>
    <row r="27" spans="1:7">
      <c r="A27" s="842"/>
      <c r="B27" s="842"/>
      <c r="C27" s="842"/>
      <c r="D27" s="842"/>
      <c r="E27" s="842"/>
      <c r="F27" s="842"/>
      <c r="G27" s="842"/>
    </row>
    <row r="28" spans="1:7">
      <c r="A28" s="842"/>
      <c r="B28" s="842"/>
      <c r="C28" s="842"/>
      <c r="D28" s="842"/>
      <c r="E28" s="842"/>
      <c r="F28" s="842"/>
      <c r="G28" s="842"/>
    </row>
    <row r="29" spans="1:7">
      <c r="A29" s="842"/>
      <c r="B29" s="842"/>
      <c r="C29" s="842"/>
      <c r="D29" s="842"/>
      <c r="E29" s="842"/>
      <c r="F29" s="842"/>
      <c r="G29" s="842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5:G29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showGridLines="0" workbookViewId="0">
      <selection activeCell="A28" sqref="A28"/>
    </sheetView>
  </sheetViews>
  <sheetFormatPr baseColWidth="10" defaultColWidth="11.42578125" defaultRowHeight="12.75"/>
  <cols>
    <col min="1" max="1" width="32" style="245" customWidth="1" collapsed="1"/>
    <col min="2" max="3" width="13.85546875" style="245" customWidth="1" collapsed="1"/>
    <col min="4" max="4" width="9" style="245" customWidth="1" collapsed="1"/>
    <col min="5" max="7" width="13.85546875" style="245" customWidth="1" collapsed="1"/>
    <col min="8" max="16384" width="11.42578125" style="245" collapsed="1"/>
  </cols>
  <sheetData>
    <row r="1" spans="1:7" ht="18.75" customHeight="1">
      <c r="A1" s="871" t="s">
        <v>429</v>
      </c>
      <c r="B1" s="871"/>
      <c r="C1" s="871"/>
      <c r="D1" s="871"/>
      <c r="E1" s="871"/>
      <c r="F1" s="871"/>
      <c r="G1" s="871"/>
    </row>
    <row r="2" spans="1:7">
      <c r="A2" s="260"/>
      <c r="B2" s="260"/>
      <c r="C2" s="260"/>
      <c r="D2" s="260"/>
      <c r="E2" s="260"/>
      <c r="F2" s="260"/>
      <c r="G2" s="260"/>
    </row>
    <row r="3" spans="1:7">
      <c r="A3" s="260" t="s">
        <v>279</v>
      </c>
      <c r="B3" s="260"/>
      <c r="C3" s="260"/>
      <c r="D3" s="260"/>
      <c r="E3" s="260" t="s">
        <v>280</v>
      </c>
      <c r="F3" s="872">
        <f>+'Fiche de renseignement R1'!$V$10</f>
        <v>45657</v>
      </c>
      <c r="G3" s="873"/>
    </row>
    <row r="4" spans="1:7">
      <c r="A4" s="874" t="str">
        <f>'Fiche de renseignement R1'!$J$4</f>
        <v>SOCIETE NOUVELLE DES SALINS DU SINE SALOUM</v>
      </c>
      <c r="B4" s="873"/>
      <c r="C4" s="873"/>
      <c r="D4" s="260"/>
      <c r="E4" s="875" t="s">
        <v>281</v>
      </c>
      <c r="F4" s="874">
        <f>+'Fiche de renseignement R1'!$AH$10</f>
        <v>12</v>
      </c>
      <c r="G4" s="873"/>
    </row>
    <row r="5" spans="1:7">
      <c r="A5" s="260" t="s">
        <v>282</v>
      </c>
      <c r="B5" s="874" t="str">
        <f>+'Fiche de renseignement R1'!$J$10</f>
        <v>000018699</v>
      </c>
      <c r="C5" s="873"/>
      <c r="D5" s="260"/>
      <c r="E5" s="875"/>
      <c r="F5" s="873"/>
      <c r="G5" s="873"/>
    </row>
    <row r="6" spans="1:7">
      <c r="A6" s="260"/>
      <c r="B6" s="260"/>
      <c r="C6" s="260"/>
      <c r="D6" s="260"/>
      <c r="E6" s="260"/>
      <c r="F6" s="260"/>
      <c r="G6" s="260"/>
    </row>
    <row r="7" spans="1:7" ht="12.75" customHeight="1">
      <c r="A7" s="877" t="s">
        <v>139</v>
      </c>
      <c r="B7" s="877" t="s">
        <v>371</v>
      </c>
      <c r="C7" s="877" t="s">
        <v>372</v>
      </c>
      <c r="D7" s="878" t="s">
        <v>373</v>
      </c>
      <c r="E7" s="878" t="s">
        <v>374</v>
      </c>
      <c r="F7" s="878" t="s">
        <v>375</v>
      </c>
      <c r="G7" s="876" t="s">
        <v>376</v>
      </c>
    </row>
    <row r="8" spans="1:7" ht="24.75" customHeight="1">
      <c r="A8" s="877"/>
      <c r="B8" s="877"/>
      <c r="C8" s="877"/>
      <c r="D8" s="878"/>
      <c r="E8" s="878"/>
      <c r="F8" s="878"/>
      <c r="G8" s="876"/>
    </row>
    <row r="9" spans="1:7">
      <c r="A9" s="491" t="s">
        <v>301</v>
      </c>
      <c r="B9" s="609">
        <v>31363230</v>
      </c>
      <c r="C9" s="609">
        <v>39425083</v>
      </c>
      <c r="D9" s="610">
        <v>-0.20448537800161384</v>
      </c>
      <c r="E9" s="609">
        <v>31363230</v>
      </c>
      <c r="F9" s="459">
        <v>0</v>
      </c>
      <c r="G9" s="459">
        <v>0</v>
      </c>
    </row>
    <row r="10" spans="1:7">
      <c r="A10" s="491" t="s">
        <v>1366</v>
      </c>
      <c r="B10" s="609">
        <v>10820270</v>
      </c>
      <c r="C10" s="609">
        <v>5064464</v>
      </c>
      <c r="D10" s="610">
        <v>1.136508424188621</v>
      </c>
      <c r="E10" s="609">
        <v>10820270</v>
      </c>
      <c r="F10" s="459">
        <v>0</v>
      </c>
      <c r="G10" s="459">
        <v>0</v>
      </c>
    </row>
    <row r="11" spans="1:7">
      <c r="A11" s="491" t="s">
        <v>1367</v>
      </c>
      <c r="B11" s="609">
        <v>8696565</v>
      </c>
      <c r="C11" s="609">
        <v>8696565</v>
      </c>
      <c r="D11" s="610">
        <v>0</v>
      </c>
      <c r="E11" s="609">
        <v>0</v>
      </c>
      <c r="F11" s="459">
        <v>0</v>
      </c>
      <c r="G11" s="459">
        <v>8696565</v>
      </c>
    </row>
    <row r="12" spans="1:7">
      <c r="A12" s="491" t="s">
        <v>304</v>
      </c>
      <c r="B12" s="609">
        <v>0</v>
      </c>
      <c r="C12" s="609">
        <v>0</v>
      </c>
      <c r="D12" s="610"/>
      <c r="E12" s="609">
        <v>0</v>
      </c>
      <c r="F12" s="459">
        <v>0</v>
      </c>
      <c r="G12" s="459">
        <v>0</v>
      </c>
    </row>
    <row r="13" spans="1:7">
      <c r="A13" s="491" t="s">
        <v>1368</v>
      </c>
      <c r="B13" s="609"/>
      <c r="C13" s="609"/>
      <c r="D13" s="610"/>
      <c r="E13" s="609"/>
      <c r="F13" s="459">
        <v>0</v>
      </c>
      <c r="G13" s="459">
        <v>0</v>
      </c>
    </row>
    <row r="14" spans="1:7" ht="25.5" customHeight="1">
      <c r="A14" s="491" t="s">
        <v>430</v>
      </c>
      <c r="B14" s="609">
        <v>0</v>
      </c>
      <c r="C14" s="609">
        <v>0</v>
      </c>
      <c r="D14" s="610"/>
      <c r="E14" s="609">
        <v>0</v>
      </c>
      <c r="F14" s="459">
        <v>0</v>
      </c>
      <c r="G14" s="459">
        <v>0</v>
      </c>
    </row>
    <row r="15" spans="1:7">
      <c r="A15" s="491" t="s">
        <v>1369</v>
      </c>
      <c r="B15" s="609">
        <v>64617867</v>
      </c>
      <c r="C15" s="609">
        <v>39882242</v>
      </c>
      <c r="D15" s="610">
        <v>0.62021651139873235</v>
      </c>
      <c r="E15" s="609">
        <v>64617867</v>
      </c>
      <c r="F15" s="459">
        <v>0</v>
      </c>
      <c r="G15" s="459">
        <v>0</v>
      </c>
    </row>
    <row r="16" spans="1:7" ht="25.5" customHeight="1">
      <c r="A16" s="491" t="s">
        <v>431</v>
      </c>
      <c r="B16" s="609">
        <v>0</v>
      </c>
      <c r="C16" s="609">
        <v>0</v>
      </c>
      <c r="D16" s="610"/>
      <c r="E16" s="609">
        <v>0</v>
      </c>
      <c r="F16" s="459">
        <v>0</v>
      </c>
      <c r="G16" s="459">
        <v>0</v>
      </c>
    </row>
    <row r="17" spans="1:7" ht="25.5" customHeight="1">
      <c r="A17" s="491" t="s">
        <v>432</v>
      </c>
      <c r="B17" s="459">
        <v>0</v>
      </c>
      <c r="C17" s="459">
        <v>0</v>
      </c>
      <c r="D17" s="604"/>
      <c r="E17" s="459">
        <v>0</v>
      </c>
      <c r="F17" s="459">
        <v>0</v>
      </c>
      <c r="G17" s="459">
        <v>0</v>
      </c>
    </row>
    <row r="18" spans="1:7" ht="25.5" customHeight="1">
      <c r="A18" s="491" t="s">
        <v>433</v>
      </c>
      <c r="B18" s="459">
        <v>0</v>
      </c>
      <c r="C18" s="459">
        <v>0</v>
      </c>
      <c r="D18" s="604"/>
      <c r="E18" s="459">
        <v>0</v>
      </c>
      <c r="F18" s="459">
        <v>0</v>
      </c>
      <c r="G18" s="459">
        <v>0</v>
      </c>
    </row>
    <row r="19" spans="1:7">
      <c r="A19" s="492" t="s">
        <v>1370</v>
      </c>
      <c r="B19" s="478">
        <v>115497932</v>
      </c>
      <c r="C19" s="478">
        <v>93068354</v>
      </c>
      <c r="D19" s="607">
        <v>0.24100112482917663</v>
      </c>
      <c r="E19" s="478">
        <v>106801367</v>
      </c>
      <c r="F19" s="478">
        <v>0</v>
      </c>
      <c r="G19" s="478">
        <v>8696565</v>
      </c>
    </row>
    <row r="20" spans="1:7">
      <c r="A20" s="491" t="s">
        <v>1371</v>
      </c>
      <c r="B20" s="459">
        <v>0</v>
      </c>
      <c r="C20" s="459">
        <v>0</v>
      </c>
      <c r="D20" s="604"/>
      <c r="E20" s="459"/>
      <c r="F20" s="459"/>
      <c r="G20" s="459"/>
    </row>
    <row r="21" spans="1:7">
      <c r="A21" s="493" t="s">
        <v>386</v>
      </c>
      <c r="B21" s="481">
        <v>115497932</v>
      </c>
      <c r="C21" s="481">
        <v>93068354</v>
      </c>
      <c r="D21" s="608">
        <v>0.24100112482917663</v>
      </c>
      <c r="E21" s="481">
        <v>106801367</v>
      </c>
      <c r="F21" s="481">
        <v>0</v>
      </c>
      <c r="G21" s="481">
        <v>8696565</v>
      </c>
    </row>
    <row r="22" spans="1:7">
      <c r="A22" s="245" t="s">
        <v>317</v>
      </c>
    </row>
    <row r="23" spans="1:7">
      <c r="A23" s="797" t="s">
        <v>1514</v>
      </c>
      <c r="B23" s="870"/>
      <c r="C23" s="870"/>
      <c r="D23" s="870"/>
      <c r="E23" s="870"/>
      <c r="F23" s="870"/>
      <c r="G23" s="870"/>
    </row>
    <row r="24" spans="1:7">
      <c r="A24" s="870"/>
      <c r="B24" s="870"/>
      <c r="C24" s="870"/>
      <c r="D24" s="870"/>
      <c r="E24" s="870"/>
      <c r="F24" s="870"/>
      <c r="G24" s="870"/>
    </row>
    <row r="25" spans="1:7">
      <c r="A25" s="870"/>
      <c r="B25" s="870"/>
      <c r="C25" s="870"/>
      <c r="D25" s="870"/>
      <c r="E25" s="870"/>
      <c r="F25" s="870"/>
      <c r="G25" s="870"/>
    </row>
    <row r="26" spans="1:7">
      <c r="A26" s="870"/>
      <c r="B26" s="870"/>
      <c r="C26" s="870"/>
      <c r="D26" s="870"/>
      <c r="E26" s="870"/>
      <c r="F26" s="870"/>
      <c r="G26" s="870"/>
    </row>
    <row r="27" spans="1:7">
      <c r="A27" s="870"/>
      <c r="B27" s="870"/>
      <c r="C27" s="870"/>
      <c r="D27" s="870"/>
      <c r="E27" s="870"/>
      <c r="F27" s="870"/>
      <c r="G27" s="870"/>
    </row>
  </sheetData>
  <mergeCells count="14">
    <mergeCell ref="A23:G27"/>
    <mergeCell ref="A1:G1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>
      <selection activeCell="A26" sqref="A26"/>
    </sheetView>
  </sheetViews>
  <sheetFormatPr baseColWidth="10" defaultColWidth="10.28515625" defaultRowHeight="12.75"/>
  <cols>
    <col min="1" max="1" width="30.7109375" style="246" customWidth="1" collapsed="1"/>
    <col min="2" max="7" width="10.5703125" style="246" customWidth="1" collapsed="1"/>
    <col min="8" max="16384" width="10.28515625" style="246" collapsed="1"/>
  </cols>
  <sheetData>
    <row r="1" spans="1:7" ht="18.75" customHeight="1">
      <c r="A1" s="879" t="s">
        <v>915</v>
      </c>
      <c r="B1" s="879"/>
      <c r="C1" s="879"/>
      <c r="D1" s="879"/>
      <c r="E1" s="879"/>
      <c r="F1" s="879"/>
      <c r="G1" s="879"/>
    </row>
    <row r="2" spans="1:7" ht="8.1" customHeight="1"/>
    <row r="3" spans="1:7" ht="12.75" customHeight="1">
      <c r="A3" s="880" t="s">
        <v>279</v>
      </c>
      <c r="B3" s="880"/>
      <c r="C3" s="880"/>
      <c r="E3" s="247" t="s">
        <v>280</v>
      </c>
      <c r="F3" s="881">
        <f>+'Fiche de renseignement R1'!$V$10</f>
        <v>45657</v>
      </c>
      <c r="G3" s="882"/>
    </row>
    <row r="4" spans="1:7" ht="15" customHeight="1">
      <c r="A4" s="883" t="str">
        <f>'Fiche de renseignement R1'!$J$4</f>
        <v>SOCIETE NOUVELLE DES SALINS DU SINE SALOUM</v>
      </c>
      <c r="B4" s="884"/>
      <c r="C4" s="884"/>
      <c r="E4" s="885" t="s">
        <v>281</v>
      </c>
      <c r="F4" s="770">
        <f>+'Fiche de renseignement R1'!$AH$10</f>
        <v>12</v>
      </c>
      <c r="G4" s="886"/>
    </row>
    <row r="5" spans="1:7" ht="15" customHeight="1">
      <c r="A5" s="246" t="s">
        <v>282</v>
      </c>
      <c r="B5" s="888" t="str">
        <f>+'Fiche de renseignement R1'!$J$10</f>
        <v>000018699</v>
      </c>
      <c r="C5" s="889"/>
      <c r="E5" s="885"/>
      <c r="F5" s="887"/>
      <c r="G5" s="887"/>
    </row>
    <row r="6" spans="1:7" ht="8.1" customHeight="1"/>
    <row r="7" spans="1:7" ht="25.35" customHeight="1">
      <c r="A7" s="892" t="s">
        <v>139</v>
      </c>
      <c r="B7" s="894" t="s">
        <v>916</v>
      </c>
      <c r="C7" s="895"/>
      <c r="D7" s="894" t="s">
        <v>917</v>
      </c>
      <c r="E7" s="895"/>
      <c r="F7" s="898" t="s">
        <v>918</v>
      </c>
      <c r="G7" s="899"/>
    </row>
    <row r="8" spans="1:7" ht="25.35" customHeight="1">
      <c r="A8" s="893"/>
      <c r="B8" s="896"/>
      <c r="C8" s="897"/>
      <c r="D8" s="896"/>
      <c r="E8" s="897"/>
      <c r="F8" s="900"/>
      <c r="G8" s="901"/>
    </row>
    <row r="9" spans="1:7" ht="25.5" customHeight="1">
      <c r="A9" s="248" t="s">
        <v>919</v>
      </c>
      <c r="B9" s="902"/>
      <c r="C9" s="902"/>
      <c r="D9" s="902"/>
      <c r="E9" s="902"/>
      <c r="F9" s="902"/>
      <c r="G9" s="902"/>
    </row>
    <row r="10" spans="1:7">
      <c r="A10" s="248" t="s">
        <v>920</v>
      </c>
      <c r="B10" s="485"/>
      <c r="C10" s="485"/>
      <c r="D10" s="485"/>
      <c r="E10" s="485"/>
      <c r="F10" s="485"/>
      <c r="G10" s="485"/>
    </row>
    <row r="11" spans="1:7">
      <c r="A11" s="248"/>
      <c r="B11" s="489"/>
      <c r="C11" s="489"/>
      <c r="D11" s="489"/>
      <c r="E11" s="489"/>
      <c r="F11" s="489"/>
      <c r="G11" s="489"/>
    </row>
    <row r="12" spans="1:7">
      <c r="A12" s="890" t="s">
        <v>921</v>
      </c>
      <c r="B12" s="479"/>
      <c r="C12" s="479"/>
      <c r="D12" s="479"/>
      <c r="E12" s="479"/>
      <c r="F12" s="479"/>
      <c r="G12" s="479"/>
    </row>
    <row r="13" spans="1:7">
      <c r="A13" s="891"/>
      <c r="B13" s="479"/>
      <c r="C13" s="479"/>
      <c r="D13" s="479"/>
      <c r="E13" s="479"/>
      <c r="F13" s="496"/>
      <c r="G13" s="479"/>
    </row>
    <row r="14" spans="1:7">
      <c r="A14" s="891"/>
      <c r="B14" s="479"/>
      <c r="C14" s="479"/>
      <c r="D14" s="479"/>
      <c r="E14" s="479"/>
      <c r="F14" s="496"/>
      <c r="G14" s="479"/>
    </row>
    <row r="15" spans="1:7">
      <c r="A15" s="891"/>
      <c r="B15" s="479"/>
      <c r="C15" s="479"/>
      <c r="D15" s="479"/>
      <c r="E15" s="479"/>
      <c r="F15" s="496"/>
      <c r="G15" s="479"/>
    </row>
    <row r="16" spans="1:7">
      <c r="A16" s="891"/>
      <c r="B16" s="479"/>
      <c r="C16" s="479"/>
      <c r="D16" s="479"/>
      <c r="E16" s="479"/>
      <c r="F16" s="479"/>
      <c r="G16" s="479"/>
    </row>
    <row r="17" spans="1:7">
      <c r="A17" s="248" t="s">
        <v>922</v>
      </c>
      <c r="B17" s="497"/>
      <c r="C17" s="498"/>
      <c r="D17" s="497"/>
      <c r="E17" s="498"/>
      <c r="F17" s="499"/>
      <c r="G17" s="498"/>
    </row>
    <row r="18" spans="1:7">
      <c r="A18" s="248" t="s">
        <v>923</v>
      </c>
      <c r="B18" s="497"/>
      <c r="C18" s="498"/>
      <c r="D18" s="497"/>
      <c r="E18" s="498"/>
      <c r="F18" s="499"/>
      <c r="G18" s="498"/>
    </row>
    <row r="19" spans="1:7">
      <c r="A19" s="248" t="s">
        <v>924</v>
      </c>
      <c r="B19" s="497"/>
      <c r="C19" s="498"/>
      <c r="D19" s="497"/>
      <c r="E19" s="498"/>
      <c r="F19" s="499"/>
      <c r="G19" s="498"/>
    </row>
    <row r="20" spans="1:7">
      <c r="A20" s="248" t="s">
        <v>925</v>
      </c>
      <c r="B20" s="497"/>
      <c r="C20" s="498"/>
      <c r="D20" s="497"/>
      <c r="E20" s="498"/>
      <c r="F20" s="499"/>
      <c r="G20" s="498"/>
    </row>
    <row r="21" spans="1:7">
      <c r="A21" s="248" t="s">
        <v>926</v>
      </c>
      <c r="B21" s="497"/>
      <c r="C21" s="498"/>
      <c r="D21" s="497"/>
      <c r="E21" s="498"/>
      <c r="F21" s="499"/>
      <c r="G21" s="498"/>
    </row>
    <row r="22" spans="1:7">
      <c r="A22" s="249" t="s">
        <v>138</v>
      </c>
      <c r="B22" s="250"/>
      <c r="C22" s="251"/>
      <c r="D22" s="250"/>
      <c r="E22" s="251"/>
      <c r="F22" s="252"/>
      <c r="G22" s="251"/>
    </row>
    <row r="25" spans="1:7">
      <c r="A25" s="253"/>
    </row>
    <row r="26" spans="1:7">
      <c r="A26" s="105" t="s">
        <v>1456</v>
      </c>
    </row>
    <row r="27" spans="1:7">
      <c r="A27" s="255"/>
    </row>
    <row r="28" spans="1:7">
      <c r="A28" s="254"/>
    </row>
    <row r="29" spans="1:7">
      <c r="A29" s="254"/>
    </row>
    <row r="30" spans="1:7">
      <c r="A30" s="255"/>
    </row>
  </sheetData>
  <mergeCells count="15">
    <mergeCell ref="A12:A16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showGridLines="0" workbookViewId="0">
      <selection sqref="A1:D1"/>
    </sheetView>
  </sheetViews>
  <sheetFormatPr baseColWidth="10" defaultColWidth="10.28515625" defaultRowHeight="12.75"/>
  <cols>
    <col min="1" max="1" width="33.7109375" style="99" customWidth="1" collapsed="1"/>
    <col min="2" max="2" width="20.85546875" style="99" customWidth="1" collapsed="1"/>
    <col min="3" max="3" width="22.5703125" style="99" customWidth="1" collapsed="1"/>
    <col min="4" max="4" width="18.28515625" style="99" customWidth="1" collapsed="1"/>
    <col min="5" max="16384" width="10.28515625" style="99" collapsed="1"/>
  </cols>
  <sheetData>
    <row r="1" spans="1:4" ht="18.75" customHeight="1">
      <c r="A1" s="904" t="s">
        <v>434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244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4">
      <c r="A8" s="909"/>
      <c r="B8" s="911"/>
      <c r="C8" s="912"/>
      <c r="D8" s="913"/>
    </row>
    <row r="9" spans="1:4" ht="25.5" customHeight="1">
      <c r="A9" s="101" t="s">
        <v>435</v>
      </c>
      <c r="B9" s="500">
        <v>0</v>
      </c>
      <c r="C9" s="459">
        <v>0</v>
      </c>
      <c r="D9" s="489"/>
    </row>
    <row r="10" spans="1:4">
      <c r="A10" s="101" t="s">
        <v>436</v>
      </c>
      <c r="B10" s="500">
        <v>0</v>
      </c>
      <c r="C10" s="459">
        <v>0</v>
      </c>
      <c r="D10" s="489"/>
    </row>
    <row r="11" spans="1:4">
      <c r="A11" s="101" t="s">
        <v>437</v>
      </c>
      <c r="B11" s="500">
        <v>0</v>
      </c>
      <c r="C11" s="459">
        <v>0</v>
      </c>
      <c r="D11" s="489"/>
    </row>
    <row r="12" spans="1:4">
      <c r="A12" s="101" t="s">
        <v>438</v>
      </c>
      <c r="B12" s="500">
        <v>0</v>
      </c>
      <c r="C12" s="459">
        <v>0</v>
      </c>
      <c r="D12" s="489"/>
    </row>
    <row r="13" spans="1:4">
      <c r="A13" s="101" t="s">
        <v>439</v>
      </c>
      <c r="B13" s="500">
        <v>0</v>
      </c>
      <c r="C13" s="459">
        <v>0</v>
      </c>
      <c r="D13" s="489"/>
    </row>
    <row r="14" spans="1:4">
      <c r="A14" s="101" t="s">
        <v>382</v>
      </c>
      <c r="B14" s="500">
        <v>0</v>
      </c>
      <c r="C14" s="459">
        <v>0</v>
      </c>
      <c r="D14" s="489"/>
    </row>
    <row r="15" spans="1:4">
      <c r="A15" s="101" t="s">
        <v>440</v>
      </c>
      <c r="B15" s="500">
        <v>0</v>
      </c>
      <c r="C15" s="459">
        <v>0</v>
      </c>
      <c r="D15" s="489"/>
    </row>
    <row r="16" spans="1:4">
      <c r="A16" s="102" t="s">
        <v>412</v>
      </c>
      <c r="B16" s="501">
        <v>0</v>
      </c>
      <c r="C16" s="502">
        <v>0</v>
      </c>
      <c r="D16" s="503"/>
    </row>
    <row r="17" spans="1:4">
      <c r="A17" s="101" t="s">
        <v>441</v>
      </c>
      <c r="B17" s="500">
        <v>0</v>
      </c>
      <c r="C17" s="459">
        <v>0</v>
      </c>
      <c r="D17" s="489"/>
    </row>
    <row r="18" spans="1:4">
      <c r="A18" s="101"/>
      <c r="B18" s="500"/>
      <c r="C18" s="459"/>
      <c r="D18" s="489"/>
    </row>
    <row r="19" spans="1:4">
      <c r="A19" s="108" t="s">
        <v>105</v>
      </c>
      <c r="B19" s="504">
        <v>0</v>
      </c>
      <c r="C19" s="505">
        <v>0</v>
      </c>
      <c r="D19" s="506"/>
    </row>
    <row r="20" spans="1:4">
      <c r="A20" s="104" t="s">
        <v>317</v>
      </c>
    </row>
    <row r="21" spans="1:4">
      <c r="A21" s="841"/>
      <c r="B21" s="903"/>
      <c r="C21" s="903"/>
      <c r="D21" s="903"/>
    </row>
    <row r="22" spans="1:4">
      <c r="A22" s="903"/>
      <c r="B22" s="903"/>
      <c r="C22" s="903"/>
      <c r="D22" s="903"/>
    </row>
    <row r="23" spans="1:4">
      <c r="A23" s="903"/>
      <c r="B23" s="903"/>
      <c r="C23" s="903"/>
      <c r="D23" s="903"/>
    </row>
    <row r="24" spans="1:4">
      <c r="A24" s="903"/>
      <c r="B24" s="903"/>
      <c r="C24" s="903"/>
      <c r="D24" s="903"/>
    </row>
    <row r="25" spans="1:4">
      <c r="A25" s="903"/>
      <c r="B25" s="903"/>
      <c r="C25" s="903"/>
      <c r="D25" s="903"/>
    </row>
  </sheetData>
  <mergeCells count="9">
    <mergeCell ref="A21:D25"/>
    <mergeCell ref="A1:D1"/>
    <mergeCell ref="A3:B3"/>
    <mergeCell ref="A4:B4"/>
    <mergeCell ref="D4:D5"/>
    <mergeCell ref="A7:A8"/>
    <mergeCell ref="B7:B8"/>
    <mergeCell ref="C7:C8"/>
    <mergeCell ref="D7:D8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A20" sqref="A20:D23"/>
    </sheetView>
  </sheetViews>
  <sheetFormatPr baseColWidth="10" defaultColWidth="10.28515625" defaultRowHeight="12.75"/>
  <cols>
    <col min="1" max="1" width="33.7109375" style="99" customWidth="1" collapsed="1"/>
    <col min="2" max="2" width="17.140625" style="99" customWidth="1" collapsed="1"/>
    <col min="3" max="4" width="17" style="99" customWidth="1" collapsed="1"/>
    <col min="5" max="16384" width="10.28515625" style="99" collapsed="1"/>
  </cols>
  <sheetData>
    <row r="1" spans="1:4" ht="18.75" customHeight="1">
      <c r="A1" s="904" t="s">
        <v>442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4">
      <c r="A8" s="909"/>
      <c r="B8" s="911"/>
      <c r="C8" s="912"/>
      <c r="D8" s="913"/>
    </row>
    <row r="9" spans="1:4">
      <c r="A9" s="101" t="s">
        <v>443</v>
      </c>
      <c r="B9" s="507">
        <v>647200000</v>
      </c>
      <c r="C9" s="508">
        <v>1127750000</v>
      </c>
      <c r="D9" s="604">
        <v>-0.42611394369319444</v>
      </c>
    </row>
    <row r="10" spans="1:4">
      <c r="A10" s="101" t="s">
        <v>444</v>
      </c>
      <c r="B10" s="507">
        <v>0</v>
      </c>
      <c r="C10" s="508">
        <v>0</v>
      </c>
      <c r="D10" s="604"/>
    </row>
    <row r="11" spans="1:4">
      <c r="A11" s="101" t="s">
        <v>445</v>
      </c>
      <c r="B11" s="507">
        <v>0</v>
      </c>
      <c r="C11" s="508">
        <v>0</v>
      </c>
      <c r="D11" s="604"/>
    </row>
    <row r="12" spans="1:4">
      <c r="A12" s="101" t="s">
        <v>446</v>
      </c>
      <c r="B12" s="507">
        <v>0</v>
      </c>
      <c r="C12" s="508">
        <v>0</v>
      </c>
      <c r="D12" s="604"/>
    </row>
    <row r="13" spans="1:4">
      <c r="A13" s="101" t="s">
        <v>447</v>
      </c>
      <c r="B13" s="507">
        <v>0</v>
      </c>
      <c r="C13" s="508">
        <v>0</v>
      </c>
      <c r="D13" s="604"/>
    </row>
    <row r="14" spans="1:4">
      <c r="A14" s="101" t="s">
        <v>448</v>
      </c>
      <c r="B14" s="507">
        <v>0</v>
      </c>
      <c r="C14" s="508">
        <v>0</v>
      </c>
      <c r="D14" s="604"/>
    </row>
    <row r="15" spans="1:4">
      <c r="A15" s="102" t="s">
        <v>449</v>
      </c>
      <c r="B15" s="509">
        <v>647200000</v>
      </c>
      <c r="C15" s="510">
        <v>1127750000</v>
      </c>
      <c r="D15" s="611">
        <v>-0.42611394369319444</v>
      </c>
    </row>
    <row r="16" spans="1:4">
      <c r="A16" s="101" t="s">
        <v>450</v>
      </c>
      <c r="B16" s="507">
        <v>0</v>
      </c>
      <c r="C16" s="508">
        <v>0</v>
      </c>
      <c r="D16" s="604"/>
    </row>
    <row r="17" spans="1:4">
      <c r="A17" s="101"/>
      <c r="B17" s="507"/>
      <c r="C17" s="508"/>
      <c r="D17" s="604"/>
    </row>
    <row r="18" spans="1:4">
      <c r="A18" s="108" t="s">
        <v>1107</v>
      </c>
      <c r="B18" s="511">
        <v>647200000</v>
      </c>
      <c r="C18" s="512">
        <v>1127750000</v>
      </c>
      <c r="D18" s="612">
        <v>-0.42611394369319444</v>
      </c>
    </row>
    <row r="19" spans="1:4">
      <c r="A19" s="104" t="s">
        <v>317</v>
      </c>
    </row>
    <row r="20" spans="1:4">
      <c r="A20" s="868" t="s">
        <v>1515</v>
      </c>
      <c r="B20" s="903"/>
      <c r="C20" s="903"/>
      <c r="D20" s="903"/>
    </row>
    <row r="21" spans="1:4">
      <c r="A21" s="903"/>
      <c r="B21" s="903"/>
      <c r="C21" s="903"/>
      <c r="D21" s="903"/>
    </row>
    <row r="22" spans="1:4">
      <c r="A22" s="903"/>
      <c r="B22" s="903"/>
      <c r="C22" s="903"/>
      <c r="D22" s="903"/>
    </row>
    <row r="23" spans="1:4">
      <c r="A23" s="903"/>
      <c r="B23" s="903"/>
      <c r="C23" s="903"/>
      <c r="D23" s="903"/>
    </row>
  </sheetData>
  <mergeCells count="9">
    <mergeCell ref="A20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showGridLines="0" workbookViewId="0">
      <selection activeCell="G26" sqref="G26"/>
    </sheetView>
  </sheetViews>
  <sheetFormatPr baseColWidth="10" defaultColWidth="10.28515625" defaultRowHeight="12.75"/>
  <cols>
    <col min="1" max="1" width="33.7109375" style="99" customWidth="1" collapsed="1"/>
    <col min="2" max="2" width="18.28515625" style="99" customWidth="1" collapsed="1"/>
    <col min="3" max="3" width="16.140625" style="99" customWidth="1" collapsed="1"/>
    <col min="4" max="4" width="19.140625" style="99" customWidth="1" collapsed="1"/>
    <col min="5" max="16384" width="10.28515625" style="99" collapsed="1"/>
  </cols>
  <sheetData>
    <row r="1" spans="1:4" ht="18.75" customHeight="1">
      <c r="A1" s="904" t="s">
        <v>451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4">
      <c r="A8" s="909"/>
      <c r="B8" s="911"/>
      <c r="C8" s="912"/>
      <c r="D8" s="913"/>
    </row>
    <row r="9" spans="1:4">
      <c r="A9" s="101" t="s">
        <v>452</v>
      </c>
      <c r="B9" s="500">
        <v>2767672277</v>
      </c>
      <c r="C9" s="459">
        <v>2652354879</v>
      </c>
      <c r="D9" s="604">
        <v>4.3477363799627508E-2</v>
      </c>
    </row>
    <row r="10" spans="1:4">
      <c r="A10" s="101" t="s">
        <v>453</v>
      </c>
      <c r="B10" s="500"/>
      <c r="C10" s="459"/>
      <c r="D10" s="604"/>
    </row>
    <row r="11" spans="1:4">
      <c r="A11" s="101" t="s">
        <v>454</v>
      </c>
      <c r="B11" s="500">
        <v>0</v>
      </c>
      <c r="C11" s="459">
        <v>0</v>
      </c>
      <c r="D11" s="604"/>
    </row>
    <row r="12" spans="1:4">
      <c r="A12" s="101" t="s">
        <v>455</v>
      </c>
      <c r="B12" s="500">
        <v>7829322</v>
      </c>
      <c r="C12" s="459">
        <v>7829322</v>
      </c>
      <c r="D12" s="604" t="s">
        <v>1365</v>
      </c>
    </row>
    <row r="13" spans="1:4">
      <c r="A13" s="101" t="s">
        <v>456</v>
      </c>
      <c r="B13" s="500"/>
      <c r="C13" s="459"/>
      <c r="D13" s="604"/>
    </row>
    <row r="14" spans="1:4">
      <c r="A14" s="101" t="s">
        <v>457</v>
      </c>
      <c r="B14" s="500">
        <v>1613420</v>
      </c>
      <c r="C14" s="459">
        <v>1613420</v>
      </c>
      <c r="D14" s="604">
        <v>0</v>
      </c>
    </row>
    <row r="15" spans="1:4">
      <c r="A15" s="101" t="s">
        <v>458</v>
      </c>
      <c r="B15" s="500"/>
      <c r="C15" s="459"/>
      <c r="D15" s="604"/>
    </row>
    <row r="16" spans="1:4" ht="25.5" customHeight="1">
      <c r="A16" s="101" t="s">
        <v>459</v>
      </c>
      <c r="B16" s="500"/>
      <c r="C16" s="459"/>
      <c r="D16" s="604"/>
    </row>
    <row r="17" spans="1:4">
      <c r="A17" s="101" t="s">
        <v>460</v>
      </c>
      <c r="B17" s="500"/>
      <c r="C17" s="459"/>
      <c r="D17" s="604"/>
    </row>
    <row r="18" spans="1:4">
      <c r="A18" s="101" t="s">
        <v>461</v>
      </c>
      <c r="B18" s="500">
        <v>3623311</v>
      </c>
      <c r="C18" s="459">
        <v>1114121</v>
      </c>
      <c r="D18" s="604">
        <v>2.2521700964257922</v>
      </c>
    </row>
    <row r="19" spans="1:4">
      <c r="A19" s="287" t="s">
        <v>932</v>
      </c>
      <c r="B19" s="500"/>
      <c r="C19" s="459"/>
      <c r="D19" s="604"/>
    </row>
    <row r="20" spans="1:4">
      <c r="A20" s="101" t="s">
        <v>462</v>
      </c>
      <c r="B20" s="500">
        <v>0</v>
      </c>
      <c r="C20" s="459">
        <v>0</v>
      </c>
      <c r="D20" s="604"/>
    </row>
    <row r="21" spans="1:4">
      <c r="A21" s="102" t="s">
        <v>463</v>
      </c>
      <c r="B21" s="501">
        <v>2780738330</v>
      </c>
      <c r="C21" s="502">
        <v>2662911742</v>
      </c>
      <c r="D21" s="611">
        <v>4.4247274944045067E-2</v>
      </c>
    </row>
    <row r="22" spans="1:4">
      <c r="A22" s="101" t="s">
        <v>464</v>
      </c>
      <c r="B22" s="500">
        <v>7829322</v>
      </c>
      <c r="C22" s="459">
        <v>7829322</v>
      </c>
      <c r="D22" s="604"/>
    </row>
    <row r="23" spans="1:4">
      <c r="A23" s="101"/>
      <c r="B23" s="500"/>
      <c r="C23" s="459"/>
      <c r="D23" s="604"/>
    </row>
    <row r="24" spans="1:4">
      <c r="A24" s="108" t="s">
        <v>1108</v>
      </c>
      <c r="B24" s="504">
        <v>2772909008</v>
      </c>
      <c r="C24" s="505">
        <v>2655082420</v>
      </c>
      <c r="D24" s="612">
        <v>4.4247274944045067E-2</v>
      </c>
    </row>
    <row r="25" spans="1:4">
      <c r="A25" s="104" t="s">
        <v>317</v>
      </c>
      <c r="C25" s="666"/>
    </row>
    <row r="26" spans="1:4">
      <c r="A26" s="841"/>
      <c r="B26" s="903"/>
      <c r="C26" s="903"/>
      <c r="D26" s="903"/>
    </row>
    <row r="27" spans="1:4">
      <c r="A27" s="903"/>
      <c r="B27" s="903"/>
      <c r="C27" s="903"/>
      <c r="D27" s="903"/>
    </row>
    <row r="28" spans="1:4">
      <c r="A28" s="903"/>
      <c r="B28" s="903"/>
      <c r="C28" s="903"/>
      <c r="D28" s="903"/>
    </row>
    <row r="29" spans="1:4">
      <c r="A29" s="903"/>
      <c r="B29" s="903"/>
      <c r="C29" s="903"/>
      <c r="D29" s="903"/>
    </row>
    <row r="30" spans="1:4">
      <c r="A30" s="903"/>
      <c r="B30" s="903"/>
      <c r="C30" s="903"/>
      <c r="D30" s="903"/>
    </row>
    <row r="31" spans="1:4">
      <c r="A31" s="106"/>
    </row>
    <row r="32" spans="1:4">
      <c r="A32" s="104" t="s">
        <v>465</v>
      </c>
    </row>
    <row r="33" spans="1:1">
      <c r="A33" s="104" t="s">
        <v>466</v>
      </c>
    </row>
  </sheetData>
  <mergeCells count="9">
    <mergeCell ref="A26:D3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showGridLines="0" topLeftCell="A10" workbookViewId="0">
      <selection activeCell="A35" sqref="A35:G38"/>
    </sheetView>
  </sheetViews>
  <sheetFormatPr baseColWidth="10" defaultColWidth="10.28515625" defaultRowHeight="12.75"/>
  <cols>
    <col min="1" max="1" width="33.7109375" style="99" customWidth="1" collapsed="1"/>
    <col min="2" max="2" width="8" style="99" bestFit="1" customWidth="1" collapsed="1"/>
    <col min="3" max="3" width="9.7109375" style="99" bestFit="1" customWidth="1" collapsed="1"/>
    <col min="4" max="4" width="8" style="99" customWidth="1" collapsed="1"/>
    <col min="5" max="7" width="11.7109375" style="99" customWidth="1" collapsed="1"/>
    <col min="8" max="16384" width="10.28515625" style="99" collapsed="1"/>
  </cols>
  <sheetData>
    <row r="1" spans="1:7" ht="18.75" customHeight="1">
      <c r="A1" s="904" t="s">
        <v>467</v>
      </c>
      <c r="B1" s="904"/>
      <c r="C1" s="904"/>
      <c r="D1" s="904"/>
      <c r="E1" s="904"/>
      <c r="F1" s="904"/>
      <c r="G1" s="904"/>
    </row>
    <row r="3" spans="1:7">
      <c r="A3" s="905" t="s">
        <v>279</v>
      </c>
      <c r="B3" s="905"/>
      <c r="C3" s="905"/>
      <c r="E3" s="100" t="s">
        <v>280</v>
      </c>
      <c r="F3" s="881">
        <f>+'Fiche de renseignement R1'!$V$10</f>
        <v>45657</v>
      </c>
      <c r="G3" s="930"/>
    </row>
    <row r="4" spans="1:7">
      <c r="A4" s="883" t="str">
        <f>'Fiche de renseignement R1'!$J$4</f>
        <v>SOCIETE NOUVELLE DES SALINS DU SINE SALOUM</v>
      </c>
      <c r="B4" s="906"/>
      <c r="C4" s="906"/>
      <c r="E4" s="931" t="s">
        <v>281</v>
      </c>
      <c r="F4" s="770">
        <f>+'Fiche de renseignement R1'!$AH$10</f>
        <v>12</v>
      </c>
      <c r="G4" s="932"/>
    </row>
    <row r="5" spans="1:7">
      <c r="A5" s="99" t="s">
        <v>282</v>
      </c>
      <c r="B5" s="888" t="str">
        <f>+'Fiche de renseignement R1'!$J$10</f>
        <v>000018699</v>
      </c>
      <c r="C5" s="933"/>
      <c r="E5" s="931"/>
      <c r="F5" s="907"/>
      <c r="G5" s="907"/>
    </row>
    <row r="7" spans="1:7">
      <c r="A7" s="908" t="s">
        <v>139</v>
      </c>
      <c r="B7" s="922" t="s">
        <v>468</v>
      </c>
      <c r="C7" s="910" t="s">
        <v>469</v>
      </c>
      <c r="D7" s="924"/>
      <c r="E7" s="926" t="s">
        <v>470</v>
      </c>
      <c r="F7" s="926" t="s">
        <v>471</v>
      </c>
      <c r="G7" s="922" t="s">
        <v>472</v>
      </c>
    </row>
    <row r="8" spans="1:7">
      <c r="A8" s="909"/>
      <c r="B8" s="923"/>
      <c r="C8" s="911"/>
      <c r="D8" s="925"/>
      <c r="E8" s="927"/>
      <c r="F8" s="927"/>
      <c r="G8" s="923"/>
    </row>
    <row r="9" spans="1:7" ht="25.5" customHeight="1">
      <c r="A9" s="101" t="s">
        <v>901</v>
      </c>
      <c r="B9" s="476">
        <v>0</v>
      </c>
      <c r="C9" s="914">
        <v>0</v>
      </c>
      <c r="D9" s="934"/>
      <c r="E9" s="459">
        <v>0</v>
      </c>
      <c r="F9" s="459">
        <v>0</v>
      </c>
      <c r="G9" s="459">
        <v>0</v>
      </c>
    </row>
    <row r="10" spans="1:7" ht="25.5" customHeight="1">
      <c r="A10" s="101"/>
      <c r="B10" s="476">
        <v>0</v>
      </c>
      <c r="C10" s="914">
        <v>0</v>
      </c>
      <c r="D10" s="934"/>
      <c r="E10" s="459">
        <v>0</v>
      </c>
      <c r="F10" s="459">
        <v>0</v>
      </c>
      <c r="G10" s="459">
        <v>0</v>
      </c>
    </row>
    <row r="11" spans="1:7" ht="25.5" customHeight="1">
      <c r="A11" s="101"/>
      <c r="B11" s="476">
        <v>0</v>
      </c>
      <c r="C11" s="914">
        <v>0</v>
      </c>
      <c r="D11" s="934"/>
      <c r="E11" s="459">
        <v>0</v>
      </c>
      <c r="F11" s="459">
        <v>0</v>
      </c>
      <c r="G11" s="459">
        <v>0</v>
      </c>
    </row>
    <row r="12" spans="1:7" ht="24.75" customHeight="1">
      <c r="A12" s="101" t="s">
        <v>902</v>
      </c>
      <c r="B12" s="476">
        <v>0</v>
      </c>
      <c r="C12" s="914">
        <v>0</v>
      </c>
      <c r="D12" s="934"/>
      <c r="E12" s="459">
        <v>0</v>
      </c>
      <c r="F12" s="459">
        <v>0</v>
      </c>
      <c r="G12" s="459">
        <v>0</v>
      </c>
    </row>
    <row r="13" spans="1:7" ht="25.5" customHeight="1">
      <c r="A13" s="101"/>
      <c r="B13" s="476">
        <v>0</v>
      </c>
      <c r="C13" s="500">
        <v>0</v>
      </c>
      <c r="D13" s="310"/>
      <c r="E13" s="459">
        <v>0</v>
      </c>
      <c r="F13" s="459">
        <v>0</v>
      </c>
      <c r="G13" s="459">
        <v>0</v>
      </c>
    </row>
    <row r="14" spans="1:7" ht="25.5" customHeight="1">
      <c r="A14" s="101"/>
      <c r="B14" s="476">
        <v>0</v>
      </c>
      <c r="C14" s="500">
        <v>0</v>
      </c>
      <c r="D14" s="310"/>
      <c r="E14" s="459">
        <v>0</v>
      </c>
      <c r="F14" s="459">
        <v>0</v>
      </c>
      <c r="G14" s="459">
        <v>0</v>
      </c>
    </row>
    <row r="15" spans="1:7" ht="25.5" customHeight="1">
      <c r="A15" s="101"/>
      <c r="B15" s="476">
        <v>0</v>
      </c>
      <c r="C15" s="914">
        <v>0</v>
      </c>
      <c r="D15" s="934"/>
      <c r="E15" s="459">
        <v>0</v>
      </c>
      <c r="F15" s="459">
        <v>0</v>
      </c>
      <c r="G15" s="459">
        <v>0</v>
      </c>
    </row>
    <row r="16" spans="1:7" ht="25.5" customHeight="1">
      <c r="A16" s="103"/>
      <c r="B16" s="476">
        <v>0</v>
      </c>
      <c r="C16" s="914">
        <v>0</v>
      </c>
      <c r="D16" s="934"/>
      <c r="E16" s="459">
        <v>0</v>
      </c>
      <c r="F16" s="459">
        <v>0</v>
      </c>
      <c r="G16" s="459">
        <v>0</v>
      </c>
    </row>
    <row r="17" spans="1:7">
      <c r="A17" s="104" t="s">
        <v>317</v>
      </c>
    </row>
    <row r="18" spans="1:7">
      <c r="A18" s="841"/>
      <c r="B18" s="903"/>
      <c r="C18" s="903"/>
      <c r="D18" s="903"/>
      <c r="E18" s="903"/>
      <c r="F18" s="903"/>
      <c r="G18" s="903"/>
    </row>
    <row r="19" spans="1:7">
      <c r="A19" s="903"/>
      <c r="B19" s="903"/>
      <c r="C19" s="903"/>
      <c r="D19" s="903"/>
      <c r="E19" s="903"/>
      <c r="F19" s="903"/>
      <c r="G19" s="903"/>
    </row>
    <row r="20" spans="1:7">
      <c r="A20" s="903"/>
      <c r="B20" s="903"/>
      <c r="C20" s="903"/>
      <c r="D20" s="903"/>
      <c r="E20" s="903"/>
      <c r="F20" s="903"/>
      <c r="G20" s="903"/>
    </row>
    <row r="22" spans="1:7" ht="18.75" customHeight="1">
      <c r="A22" s="935" t="s">
        <v>473</v>
      </c>
      <c r="B22" s="935"/>
      <c r="C22" s="935"/>
      <c r="D22" s="935"/>
      <c r="E22" s="935"/>
      <c r="F22" s="935"/>
      <c r="G22" s="935"/>
    </row>
    <row r="24" spans="1:7">
      <c r="A24" s="908" t="s">
        <v>139</v>
      </c>
      <c r="B24" s="910" t="s">
        <v>371</v>
      </c>
      <c r="C24" s="924"/>
      <c r="D24" s="910" t="s">
        <v>372</v>
      </c>
      <c r="E24" s="924"/>
      <c r="F24" s="936" t="s">
        <v>399</v>
      </c>
      <c r="G24" s="937"/>
    </row>
    <row r="25" spans="1:7">
      <c r="A25" s="909"/>
      <c r="B25" s="911"/>
      <c r="C25" s="925"/>
      <c r="D25" s="911"/>
      <c r="E25" s="925"/>
      <c r="F25" s="938"/>
      <c r="G25" s="939"/>
    </row>
    <row r="26" spans="1:7" ht="25.5" customHeight="1">
      <c r="A26" s="101" t="s">
        <v>903</v>
      </c>
      <c r="B26" s="914">
        <v>0</v>
      </c>
      <c r="C26" s="915"/>
      <c r="D26" s="914">
        <v>0</v>
      </c>
      <c r="E26" s="915"/>
      <c r="F26" s="916"/>
      <c r="G26" s="917"/>
    </row>
    <row r="27" spans="1:7">
      <c r="A27" s="101"/>
      <c r="B27" s="914">
        <v>0</v>
      </c>
      <c r="C27" s="915"/>
      <c r="D27" s="914">
        <v>0</v>
      </c>
      <c r="E27" s="915"/>
      <c r="F27" s="916"/>
      <c r="G27" s="917"/>
    </row>
    <row r="28" spans="1:7">
      <c r="A28" s="101"/>
      <c r="B28" s="914">
        <v>0</v>
      </c>
      <c r="C28" s="915"/>
      <c r="D28" s="914">
        <v>0</v>
      </c>
      <c r="E28" s="915"/>
      <c r="F28" s="916"/>
      <c r="G28" s="917"/>
    </row>
    <row r="29" spans="1:7" ht="25.5" customHeight="1">
      <c r="A29" s="101" t="s">
        <v>904</v>
      </c>
      <c r="B29" s="918">
        <v>0</v>
      </c>
      <c r="C29" s="919"/>
      <c r="D29" s="918">
        <v>0</v>
      </c>
      <c r="E29" s="919"/>
      <c r="F29" s="916"/>
      <c r="G29" s="917"/>
    </row>
    <row r="30" spans="1:7" ht="12.75" customHeight="1">
      <c r="A30" s="101"/>
      <c r="B30" s="928">
        <v>0</v>
      </c>
      <c r="C30" s="929"/>
      <c r="D30" s="928">
        <v>0</v>
      </c>
      <c r="E30" s="929"/>
      <c r="F30" s="513"/>
      <c r="G30" s="309"/>
    </row>
    <row r="31" spans="1:7" ht="12.75" customHeight="1">
      <c r="A31" s="101"/>
      <c r="B31" s="928">
        <v>0</v>
      </c>
      <c r="C31" s="929"/>
      <c r="D31" s="928">
        <v>0</v>
      </c>
      <c r="E31" s="929"/>
      <c r="F31" s="513"/>
      <c r="G31" s="309"/>
    </row>
    <row r="32" spans="1:7">
      <c r="A32" s="101"/>
      <c r="B32" s="920">
        <v>0</v>
      </c>
      <c r="C32" s="921"/>
      <c r="D32" s="920">
        <v>0</v>
      </c>
      <c r="E32" s="921"/>
      <c r="F32" s="916"/>
      <c r="G32" s="917"/>
    </row>
    <row r="33" spans="1:7">
      <c r="A33" s="101"/>
      <c r="B33" s="914">
        <v>0</v>
      </c>
      <c r="C33" s="915"/>
      <c r="D33" s="914">
        <v>0</v>
      </c>
      <c r="E33" s="915"/>
      <c r="F33" s="916"/>
      <c r="G33" s="917"/>
    </row>
    <row r="34" spans="1:7">
      <c r="A34" s="104" t="s">
        <v>317</v>
      </c>
    </row>
    <row r="35" spans="1:7">
      <c r="A35" s="868" t="s">
        <v>1456</v>
      </c>
      <c r="B35" s="903"/>
      <c r="C35" s="903"/>
      <c r="D35" s="903"/>
      <c r="E35" s="903"/>
      <c r="F35" s="903"/>
      <c r="G35" s="903"/>
    </row>
    <row r="36" spans="1:7">
      <c r="A36" s="903"/>
      <c r="B36" s="903"/>
      <c r="C36" s="903"/>
      <c r="D36" s="903"/>
      <c r="E36" s="903"/>
      <c r="F36" s="903"/>
      <c r="G36" s="903"/>
    </row>
    <row r="37" spans="1:7">
      <c r="A37" s="903"/>
      <c r="B37" s="903"/>
      <c r="C37" s="903"/>
      <c r="D37" s="903"/>
      <c r="E37" s="903"/>
      <c r="F37" s="903"/>
      <c r="G37" s="903"/>
    </row>
    <row r="38" spans="1:7">
      <c r="A38" s="903"/>
      <c r="B38" s="903"/>
      <c r="C38" s="903"/>
      <c r="D38" s="903"/>
      <c r="E38" s="903"/>
      <c r="F38" s="903"/>
      <c r="G38" s="903"/>
    </row>
  </sheetData>
  <mergeCells count="48">
    <mergeCell ref="D26:E26"/>
    <mergeCell ref="F26:G26"/>
    <mergeCell ref="C9:D9"/>
    <mergeCell ref="C10:D10"/>
    <mergeCell ref="C11:D11"/>
    <mergeCell ref="C12:D12"/>
    <mergeCell ref="C15:D15"/>
    <mergeCell ref="C16:D16"/>
    <mergeCell ref="A22:G22"/>
    <mergeCell ref="B24:C25"/>
    <mergeCell ref="D24:E25"/>
    <mergeCell ref="F24:G25"/>
    <mergeCell ref="A24:A25"/>
    <mergeCell ref="A1:G1"/>
    <mergeCell ref="A3:C3"/>
    <mergeCell ref="F3:G3"/>
    <mergeCell ref="A4:C4"/>
    <mergeCell ref="E4:E5"/>
    <mergeCell ref="F4:G5"/>
    <mergeCell ref="B5:C5"/>
    <mergeCell ref="A35:G38"/>
    <mergeCell ref="A7:A8"/>
    <mergeCell ref="B7:B8"/>
    <mergeCell ref="C7:D8"/>
    <mergeCell ref="E7:E8"/>
    <mergeCell ref="F7:F8"/>
    <mergeCell ref="B30:C30"/>
    <mergeCell ref="B31:C31"/>
    <mergeCell ref="D30:E30"/>
    <mergeCell ref="D31:E31"/>
    <mergeCell ref="G7:G8"/>
    <mergeCell ref="F28:G28"/>
    <mergeCell ref="B26:C26"/>
    <mergeCell ref="A18:G20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27:C27"/>
    <mergeCell ref="D27:E27"/>
    <mergeCell ref="F27:G27"/>
    <mergeCell ref="B28:C28"/>
    <mergeCell ref="D28:E28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showGridLines="0" topLeftCell="A8" workbookViewId="0">
      <selection activeCell="F10" sqref="F10:F18"/>
    </sheetView>
  </sheetViews>
  <sheetFormatPr baseColWidth="10" defaultColWidth="10.28515625" defaultRowHeight="12.75"/>
  <cols>
    <col min="1" max="1" width="33.7109375" style="99" customWidth="1" collapsed="1"/>
    <col min="2" max="2" width="12.5703125" style="488" customWidth="1" collapsed="1"/>
    <col min="3" max="4" width="8" style="99" customWidth="1" collapsed="1"/>
    <col min="5" max="5" width="9.5703125" style="99" customWidth="1" collapsed="1"/>
    <col min="6" max="6" width="12.7109375" style="99" customWidth="1" collapsed="1"/>
    <col min="7" max="7" width="14.28515625" style="99" customWidth="1" collapsed="1"/>
    <col min="8" max="16384" width="10.28515625" style="99" collapsed="1"/>
  </cols>
  <sheetData>
    <row r="1" spans="1:9" ht="18.75" customHeight="1">
      <c r="A1" s="947" t="s">
        <v>1109</v>
      </c>
      <c r="B1" s="904"/>
      <c r="C1" s="904"/>
      <c r="D1" s="904"/>
      <c r="E1" s="904"/>
      <c r="F1" s="904"/>
      <c r="G1" s="904"/>
    </row>
    <row r="3" spans="1:9">
      <c r="A3" s="948" t="s">
        <v>279</v>
      </c>
      <c r="B3" s="948"/>
      <c r="C3" s="948"/>
      <c r="D3" s="150"/>
      <c r="E3" s="107" t="s">
        <v>280</v>
      </c>
      <c r="F3" s="766">
        <f>+'Fiche de renseignement R1'!$V$10</f>
        <v>45657</v>
      </c>
      <c r="G3" s="949"/>
      <c r="H3" s="150"/>
      <c r="I3" s="150"/>
    </row>
    <row r="4" spans="1:9">
      <c r="A4" s="768" t="str">
        <f>'Fiche de renseignement R1'!$J$4</f>
        <v>SOCIETE NOUVELLE DES SALINS DU SINE SALOUM</v>
      </c>
      <c r="B4" s="907"/>
      <c r="C4" s="907"/>
      <c r="D4" s="150"/>
      <c r="E4" s="931" t="s">
        <v>281</v>
      </c>
      <c r="F4" s="770">
        <f>+'Fiche de renseignement R1'!$AH$10</f>
        <v>12</v>
      </c>
      <c r="G4" s="932"/>
      <c r="H4" s="150"/>
      <c r="I4" s="150"/>
    </row>
    <row r="5" spans="1:9">
      <c r="A5" s="150" t="s">
        <v>282</v>
      </c>
      <c r="B5" s="950" t="str">
        <f>+'Fiche de renseignement R1'!$J$10</f>
        <v>000018699</v>
      </c>
      <c r="C5" s="951"/>
      <c r="D5" s="150"/>
      <c r="E5" s="931"/>
      <c r="F5" s="907"/>
      <c r="G5" s="907"/>
      <c r="H5" s="150"/>
      <c r="I5" s="150"/>
    </row>
    <row r="7" spans="1:9" ht="25.5" customHeight="1">
      <c r="B7" s="201"/>
      <c r="E7" s="944" t="s">
        <v>474</v>
      </c>
      <c r="F7" s="944"/>
      <c r="G7" s="459">
        <v>10000</v>
      </c>
    </row>
    <row r="8" spans="1:9" ht="25.5" customHeight="1">
      <c r="A8" s="908" t="s">
        <v>475</v>
      </c>
      <c r="B8" s="945" t="s">
        <v>476</v>
      </c>
      <c r="C8" s="910" t="s">
        <v>477</v>
      </c>
      <c r="D8" s="924"/>
      <c r="E8" s="926" t="s">
        <v>478</v>
      </c>
      <c r="F8" s="926" t="s">
        <v>479</v>
      </c>
      <c r="G8" s="926" t="s">
        <v>480</v>
      </c>
    </row>
    <row r="9" spans="1:9" ht="25.5" customHeight="1">
      <c r="A9" s="909"/>
      <c r="B9" s="946"/>
      <c r="C9" s="911"/>
      <c r="D9" s="925"/>
      <c r="E9" s="927"/>
      <c r="F9" s="927"/>
      <c r="G9" s="927"/>
    </row>
    <row r="10" spans="1:9" ht="25.5" customHeight="1">
      <c r="A10" s="670" t="s">
        <v>1373</v>
      </c>
      <c r="B10" s="613" t="s">
        <v>1465</v>
      </c>
      <c r="C10" s="940" t="s">
        <v>1468</v>
      </c>
      <c r="D10" s="941"/>
      <c r="E10" s="609">
        <v>40060</v>
      </c>
      <c r="F10" s="609">
        <v>400600000</v>
      </c>
      <c r="G10" s="609">
        <v>0</v>
      </c>
    </row>
    <row r="11" spans="1:9" ht="25.5" customHeight="1">
      <c r="A11" s="614" t="s">
        <v>1466</v>
      </c>
      <c r="B11" s="613" t="s">
        <v>1467</v>
      </c>
      <c r="C11" s="940" t="s">
        <v>1468</v>
      </c>
      <c r="D11" s="941"/>
      <c r="E11" s="609">
        <v>10718</v>
      </c>
      <c r="F11" s="609">
        <v>107180000</v>
      </c>
      <c r="G11" s="615">
        <v>0</v>
      </c>
    </row>
    <row r="12" spans="1:9" ht="25.5" customHeight="1">
      <c r="A12" s="614" t="s">
        <v>1469</v>
      </c>
      <c r="B12" s="613" t="s">
        <v>1467</v>
      </c>
      <c r="C12" s="940" t="s">
        <v>1468</v>
      </c>
      <c r="D12" s="941"/>
      <c r="E12" s="609">
        <v>1710</v>
      </c>
      <c r="F12" s="609">
        <v>17100000</v>
      </c>
      <c r="G12" s="615">
        <v>0</v>
      </c>
    </row>
    <row r="13" spans="1:9" ht="25.5" customHeight="1">
      <c r="A13" s="614" t="s">
        <v>1470</v>
      </c>
      <c r="B13" s="613" t="s">
        <v>1467</v>
      </c>
      <c r="C13" s="940" t="s">
        <v>1468</v>
      </c>
      <c r="D13" s="941"/>
      <c r="E13" s="609">
        <v>1446</v>
      </c>
      <c r="F13" s="609">
        <v>14460000</v>
      </c>
      <c r="G13" s="615">
        <v>0</v>
      </c>
    </row>
    <row r="14" spans="1:9" ht="25.5" customHeight="1">
      <c r="A14" s="614" t="s">
        <v>1471</v>
      </c>
      <c r="B14" s="613" t="s">
        <v>1467</v>
      </c>
      <c r="C14" s="940" t="s">
        <v>1468</v>
      </c>
      <c r="D14" s="941"/>
      <c r="E14" s="609">
        <v>800</v>
      </c>
      <c r="F14" s="609">
        <v>8000000</v>
      </c>
      <c r="G14" s="615">
        <v>0</v>
      </c>
    </row>
    <row r="15" spans="1:9" ht="25.5" customHeight="1">
      <c r="A15" s="614" t="s">
        <v>1472</v>
      </c>
      <c r="B15" s="613" t="s">
        <v>1467</v>
      </c>
      <c r="C15" s="940" t="s">
        <v>1468</v>
      </c>
      <c r="D15" s="941"/>
      <c r="E15" s="609">
        <v>687</v>
      </c>
      <c r="F15" s="609">
        <v>6870000</v>
      </c>
      <c r="G15" s="615">
        <v>0</v>
      </c>
    </row>
    <row r="16" spans="1:9" ht="25.5" customHeight="1">
      <c r="A16" s="614" t="s">
        <v>1473</v>
      </c>
      <c r="B16" s="613" t="s">
        <v>1474</v>
      </c>
      <c r="C16" s="940" t="s">
        <v>1468</v>
      </c>
      <c r="D16" s="941"/>
      <c r="E16" s="609">
        <v>9</v>
      </c>
      <c r="F16" s="609">
        <v>90000</v>
      </c>
      <c r="G16" s="615">
        <v>0</v>
      </c>
    </row>
    <row r="17" spans="1:7" ht="25.5" customHeight="1">
      <c r="A17" s="614" t="s">
        <v>1475</v>
      </c>
      <c r="B17" s="613" t="s">
        <v>1372</v>
      </c>
      <c r="C17" s="940" t="s">
        <v>1468</v>
      </c>
      <c r="D17" s="941"/>
      <c r="E17" s="609">
        <v>6</v>
      </c>
      <c r="F17" s="609">
        <v>60000</v>
      </c>
      <c r="G17" s="609">
        <v>0</v>
      </c>
    </row>
    <row r="18" spans="1:7" ht="25.5" customHeight="1">
      <c r="A18" s="614" t="s">
        <v>1476</v>
      </c>
      <c r="B18" s="613" t="s">
        <v>1372</v>
      </c>
      <c r="C18" s="940" t="s">
        <v>1468</v>
      </c>
      <c r="D18" s="941"/>
      <c r="E18" s="609">
        <v>6</v>
      </c>
      <c r="F18" s="609">
        <v>60000</v>
      </c>
      <c r="G18" s="609">
        <v>0</v>
      </c>
    </row>
    <row r="19" spans="1:7" ht="25.5" customHeight="1">
      <c r="A19" s="614"/>
      <c r="B19" s="616"/>
      <c r="C19" s="942" t="s">
        <v>105</v>
      </c>
      <c r="D19" s="943"/>
      <c r="E19" s="617">
        <v>55442</v>
      </c>
      <c r="F19" s="617">
        <v>554420000</v>
      </c>
      <c r="G19" s="618">
        <v>0</v>
      </c>
    </row>
    <row r="20" spans="1:7" s="432" customFormat="1" ht="16.5" customHeight="1">
      <c r="A20" s="517"/>
      <c r="E20" s="518"/>
      <c r="F20" s="518"/>
      <c r="G20" s="518"/>
    </row>
    <row r="21" spans="1:7" ht="38.25" customHeight="1">
      <c r="A21" s="868" t="s">
        <v>1516</v>
      </c>
      <c r="B21" s="841"/>
      <c r="C21" s="841"/>
      <c r="D21" s="841"/>
      <c r="E21" s="841"/>
      <c r="F21" s="841"/>
      <c r="G21" s="841"/>
    </row>
    <row r="22" spans="1:7">
      <c r="A22" s="841"/>
      <c r="B22" s="841"/>
      <c r="C22" s="841"/>
      <c r="D22" s="841"/>
      <c r="E22" s="841"/>
      <c r="F22" s="841"/>
      <c r="G22" s="841"/>
    </row>
    <row r="23" spans="1:7">
      <c r="A23" s="841"/>
      <c r="B23" s="841"/>
      <c r="C23" s="841"/>
      <c r="D23" s="841"/>
      <c r="E23" s="841"/>
      <c r="F23" s="841"/>
      <c r="G23" s="841"/>
    </row>
    <row r="24" spans="1:7">
      <c r="A24" s="841"/>
      <c r="B24" s="841"/>
      <c r="C24" s="841"/>
      <c r="D24" s="841"/>
      <c r="E24" s="841"/>
      <c r="F24" s="841"/>
      <c r="G24" s="841"/>
    </row>
    <row r="25" spans="1:7">
      <c r="A25" s="841"/>
      <c r="B25" s="841"/>
      <c r="C25" s="841"/>
      <c r="D25" s="841"/>
      <c r="E25" s="841"/>
      <c r="F25" s="841"/>
      <c r="G25" s="841"/>
    </row>
  </sheetData>
  <mergeCells count="25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A21:G25"/>
    <mergeCell ref="C15:D15"/>
    <mergeCell ref="C16:D16"/>
    <mergeCell ref="C17:D17"/>
    <mergeCell ref="C18:D18"/>
    <mergeCell ref="C19:D19"/>
  </mergeCells>
  <pageMargins left="0.70866141732279997" right="0.70866141732279997" top="0.74803149606300001" bottom="0.74803149606300001" header="0.31496062992129997" footer="0.31496062992129997"/>
  <pageSetup paperSize="9" scale="8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>
      <selection activeCell="A31" sqref="A31"/>
    </sheetView>
  </sheetViews>
  <sheetFormatPr baseColWidth="10" defaultColWidth="11.42578125" defaultRowHeight="12.75"/>
  <cols>
    <col min="1" max="1" width="33.7109375" style="256" customWidth="1" collapsed="1"/>
    <col min="2" max="2" width="12.140625" style="488" customWidth="1" collapsed="1"/>
    <col min="3" max="3" width="11.42578125" style="256" collapsed="1"/>
    <col min="4" max="4" width="12.140625" style="488" customWidth="1" collapsed="1"/>
    <col min="5" max="16384" width="11.42578125" style="256" collapsed="1"/>
  </cols>
  <sheetData>
    <row r="1" spans="1:7" ht="18.75" customHeight="1">
      <c r="A1" s="796" t="s">
        <v>481</v>
      </c>
      <c r="B1" s="796"/>
      <c r="C1" s="796"/>
      <c r="D1" s="796"/>
      <c r="E1" s="796"/>
      <c r="F1" s="796"/>
      <c r="G1" s="796"/>
    </row>
    <row r="3" spans="1:7">
      <c r="A3" s="256" t="s">
        <v>279</v>
      </c>
      <c r="E3" s="256" t="s">
        <v>280</v>
      </c>
      <c r="F3" s="857">
        <f>+'Fiche de renseignement R1'!$V$10</f>
        <v>45657</v>
      </c>
      <c r="G3" s="858"/>
    </row>
    <row r="4" spans="1:7">
      <c r="A4" s="859" t="str">
        <f>'Fiche de renseignement R1'!$J$4</f>
        <v>SOCIETE NOUVELLE DES SALINS DU SINE SALOUM</v>
      </c>
      <c r="B4" s="858"/>
      <c r="C4" s="858"/>
      <c r="E4" s="789" t="s">
        <v>281</v>
      </c>
      <c r="F4" s="859">
        <f>+'Fiche de renseignement R1'!$AH$10</f>
        <v>12</v>
      </c>
      <c r="G4" s="858"/>
    </row>
    <row r="5" spans="1:7">
      <c r="A5" s="256" t="s">
        <v>282</v>
      </c>
      <c r="B5" s="859" t="str">
        <f>+'Fiche de renseignement R1'!$J$10</f>
        <v>000018699</v>
      </c>
      <c r="C5" s="858"/>
      <c r="E5" s="789"/>
      <c r="F5" s="858"/>
      <c r="G5" s="858"/>
    </row>
    <row r="7" spans="1:7" ht="12.75" customHeight="1">
      <c r="A7" s="799" t="s">
        <v>139</v>
      </c>
      <c r="B7" s="960" t="s">
        <v>371</v>
      </c>
      <c r="C7" s="961"/>
      <c r="D7" s="960" t="s">
        <v>372</v>
      </c>
      <c r="E7" s="961"/>
      <c r="F7" s="960" t="s">
        <v>482</v>
      </c>
      <c r="G7" s="961"/>
    </row>
    <row r="8" spans="1:7" ht="12.75" customHeight="1">
      <c r="A8" s="800"/>
      <c r="B8" s="962"/>
      <c r="C8" s="963"/>
      <c r="D8" s="962"/>
      <c r="E8" s="963"/>
      <c r="F8" s="962"/>
      <c r="G8" s="963"/>
    </row>
    <row r="9" spans="1:7">
      <c r="A9" s="485" t="s">
        <v>1374</v>
      </c>
      <c r="B9" s="914">
        <v>0</v>
      </c>
      <c r="C9" s="954"/>
      <c r="D9" s="914">
        <v>0</v>
      </c>
      <c r="E9" s="954"/>
      <c r="F9" s="914">
        <v>0</v>
      </c>
      <c r="G9" s="954"/>
    </row>
    <row r="10" spans="1:7">
      <c r="A10" s="485" t="s">
        <v>1375</v>
      </c>
      <c r="B10" s="914">
        <v>0</v>
      </c>
      <c r="C10" s="954"/>
      <c r="D10" s="914">
        <v>0</v>
      </c>
      <c r="E10" s="954"/>
      <c r="F10" s="914">
        <v>0</v>
      </c>
      <c r="G10" s="954"/>
    </row>
    <row r="11" spans="1:7">
      <c r="A11" s="485" t="s">
        <v>1376</v>
      </c>
      <c r="B11" s="914">
        <v>0</v>
      </c>
      <c r="C11" s="954"/>
      <c r="D11" s="914">
        <v>0</v>
      </c>
      <c r="E11" s="954"/>
      <c r="F11" s="914">
        <v>0</v>
      </c>
      <c r="G11" s="954"/>
    </row>
    <row r="12" spans="1:7">
      <c r="A12" s="485" t="s">
        <v>1377</v>
      </c>
      <c r="B12" s="914">
        <v>0</v>
      </c>
      <c r="C12" s="954"/>
      <c r="D12" s="914">
        <v>0</v>
      </c>
      <c r="E12" s="954"/>
      <c r="F12" s="914">
        <v>0</v>
      </c>
      <c r="G12" s="954"/>
    </row>
    <row r="13" spans="1:7">
      <c r="A13" s="485" t="s">
        <v>1378</v>
      </c>
      <c r="B13" s="914">
        <v>0</v>
      </c>
      <c r="C13" s="954"/>
      <c r="D13" s="914">
        <v>0</v>
      </c>
      <c r="E13" s="954"/>
      <c r="F13" s="914">
        <v>0</v>
      </c>
      <c r="G13" s="954"/>
    </row>
    <row r="14" spans="1:7">
      <c r="A14" s="519" t="s">
        <v>1379</v>
      </c>
      <c r="B14" s="952">
        <v>0</v>
      </c>
      <c r="C14" s="953"/>
      <c r="D14" s="952">
        <v>0</v>
      </c>
      <c r="E14" s="953"/>
      <c r="F14" s="952">
        <v>0</v>
      </c>
      <c r="G14" s="953"/>
    </row>
    <row r="15" spans="1:7" s="314" customFormat="1">
      <c r="A15" s="468"/>
      <c r="B15" s="955"/>
      <c r="C15" s="956"/>
      <c r="D15" s="955"/>
      <c r="E15" s="956"/>
      <c r="F15" s="955"/>
      <c r="G15" s="956"/>
    </row>
    <row r="16" spans="1:7">
      <c r="A16" s="521" t="s">
        <v>1380</v>
      </c>
      <c r="B16" s="914">
        <v>112600000</v>
      </c>
      <c r="C16" s="954"/>
      <c r="D16" s="914">
        <v>112600000</v>
      </c>
      <c r="E16" s="954"/>
      <c r="F16" s="914">
        <v>0</v>
      </c>
      <c r="G16" s="954"/>
    </row>
    <row r="17" spans="1:7">
      <c r="A17" s="521" t="s">
        <v>1381</v>
      </c>
      <c r="B17" s="914">
        <v>0</v>
      </c>
      <c r="C17" s="954"/>
      <c r="D17" s="914">
        <v>0</v>
      </c>
      <c r="E17" s="954"/>
      <c r="F17" s="914">
        <v>0</v>
      </c>
      <c r="G17" s="954"/>
    </row>
    <row r="18" spans="1:7" ht="25.5" customHeight="1">
      <c r="A18" s="521" t="s">
        <v>1382</v>
      </c>
      <c r="B18" s="914">
        <v>0</v>
      </c>
      <c r="C18" s="954"/>
      <c r="D18" s="914">
        <v>0</v>
      </c>
      <c r="E18" s="954"/>
      <c r="F18" s="914">
        <v>0</v>
      </c>
      <c r="G18" s="954"/>
    </row>
    <row r="19" spans="1:7" ht="25.5" customHeight="1">
      <c r="A19" s="521" t="s">
        <v>1383</v>
      </c>
      <c r="B19" s="914">
        <v>0</v>
      </c>
      <c r="C19" s="954"/>
      <c r="D19" s="914">
        <v>0</v>
      </c>
      <c r="E19" s="954"/>
      <c r="F19" s="914">
        <v>0</v>
      </c>
      <c r="G19" s="954"/>
    </row>
    <row r="20" spans="1:7">
      <c r="A20" s="521" t="s">
        <v>1384</v>
      </c>
      <c r="B20" s="914">
        <v>0</v>
      </c>
      <c r="C20" s="954"/>
      <c r="D20" s="914">
        <v>0</v>
      </c>
      <c r="E20" s="954"/>
      <c r="F20" s="914">
        <v>0</v>
      </c>
      <c r="G20" s="954"/>
    </row>
    <row r="21" spans="1:7">
      <c r="A21" s="519" t="s">
        <v>1385</v>
      </c>
      <c r="B21" s="957">
        <v>112600000</v>
      </c>
      <c r="C21" s="958"/>
      <c r="D21" s="952">
        <v>112600000</v>
      </c>
      <c r="E21" s="953"/>
      <c r="F21" s="952">
        <v>0</v>
      </c>
      <c r="G21" s="953"/>
    </row>
    <row r="22" spans="1:7" s="314" customFormat="1">
      <c r="A22" s="468"/>
      <c r="B22" s="966"/>
      <c r="C22" s="967"/>
      <c r="D22" s="955"/>
      <c r="E22" s="956"/>
      <c r="F22" s="968"/>
      <c r="G22" s="969"/>
    </row>
    <row r="23" spans="1:7">
      <c r="A23" s="522" t="s">
        <v>130</v>
      </c>
      <c r="B23" s="914">
        <v>4665384806</v>
      </c>
      <c r="C23" s="954"/>
      <c r="D23" s="914">
        <v>3899990322</v>
      </c>
      <c r="E23" s="954"/>
      <c r="F23" s="914">
        <v>765394484</v>
      </c>
      <c r="G23" s="954"/>
    </row>
    <row r="24" spans="1:7">
      <c r="A24" s="485"/>
      <c r="B24" s="914"/>
      <c r="C24" s="954"/>
      <c r="D24" s="914"/>
      <c r="E24" s="954"/>
      <c r="F24" s="964"/>
      <c r="G24" s="965"/>
    </row>
    <row r="25" spans="1:7" s="314" customFormat="1">
      <c r="A25" s="523" t="s">
        <v>131</v>
      </c>
      <c r="B25" s="955">
        <v>0</v>
      </c>
      <c r="C25" s="956"/>
      <c r="D25" s="955">
        <v>0</v>
      </c>
      <c r="E25" s="956"/>
      <c r="F25" s="955">
        <v>0</v>
      </c>
      <c r="G25" s="956"/>
    </row>
    <row r="26" spans="1:7" s="314" customFormat="1">
      <c r="B26" s="320"/>
      <c r="C26" s="320"/>
      <c r="D26" s="320"/>
      <c r="E26" s="320"/>
      <c r="F26" s="320"/>
      <c r="G26" s="320"/>
    </row>
    <row r="27" spans="1:7">
      <c r="A27" s="256" t="s">
        <v>317</v>
      </c>
    </row>
    <row r="28" spans="1:7">
      <c r="A28" s="868" t="s">
        <v>1517</v>
      </c>
      <c r="B28" s="959"/>
      <c r="C28" s="959"/>
      <c r="D28" s="959"/>
      <c r="E28" s="959"/>
      <c r="F28" s="959"/>
      <c r="G28" s="959"/>
    </row>
    <row r="29" spans="1:7">
      <c r="A29" s="959"/>
      <c r="B29" s="959"/>
      <c r="C29" s="959"/>
      <c r="D29" s="959"/>
      <c r="E29" s="959"/>
      <c r="F29" s="959"/>
      <c r="G29" s="959"/>
    </row>
    <row r="30" spans="1:7">
      <c r="A30" s="959"/>
      <c r="B30" s="959"/>
      <c r="C30" s="959"/>
      <c r="D30" s="959"/>
      <c r="E30" s="959"/>
      <c r="F30" s="959"/>
      <c r="G30" s="959"/>
    </row>
  </sheetData>
  <mergeCells count="62">
    <mergeCell ref="F19:G19"/>
    <mergeCell ref="D15:E15"/>
    <mergeCell ref="F15:G15"/>
    <mergeCell ref="B24:C24"/>
    <mergeCell ref="D24:E24"/>
    <mergeCell ref="F24:G24"/>
    <mergeCell ref="B22:C22"/>
    <mergeCell ref="D22:E22"/>
    <mergeCell ref="F22:G22"/>
    <mergeCell ref="F20:G20"/>
    <mergeCell ref="F21:G21"/>
    <mergeCell ref="D19:E19"/>
    <mergeCell ref="B15:C15"/>
    <mergeCell ref="A1:G1"/>
    <mergeCell ref="A28:G30"/>
    <mergeCell ref="F3:G3"/>
    <mergeCell ref="F4:G5"/>
    <mergeCell ref="E4:E5"/>
    <mergeCell ref="A4:C4"/>
    <mergeCell ref="B5:C5"/>
    <mergeCell ref="F23:G23"/>
    <mergeCell ref="F25:G25"/>
    <mergeCell ref="A7:A8"/>
    <mergeCell ref="F7:G8"/>
    <mergeCell ref="D7:E8"/>
    <mergeCell ref="B7:C8"/>
    <mergeCell ref="F17:G17"/>
    <mergeCell ref="F18:G18"/>
    <mergeCell ref="B9:C9"/>
    <mergeCell ref="D25:E25"/>
    <mergeCell ref="F10:G10"/>
    <mergeCell ref="F9:G9"/>
    <mergeCell ref="F11:G11"/>
    <mergeCell ref="F12:G12"/>
    <mergeCell ref="F13:G13"/>
    <mergeCell ref="F14:G14"/>
    <mergeCell ref="F16:G16"/>
    <mergeCell ref="D20:E20"/>
    <mergeCell ref="D21:E21"/>
    <mergeCell ref="D23:E23"/>
    <mergeCell ref="D14:E14"/>
    <mergeCell ref="D16:E16"/>
    <mergeCell ref="D17:E17"/>
    <mergeCell ref="D18:E18"/>
    <mergeCell ref="D9:E9"/>
    <mergeCell ref="D10:E10"/>
    <mergeCell ref="D11:E11"/>
    <mergeCell ref="D12:E12"/>
    <mergeCell ref="D13:E13"/>
    <mergeCell ref="B10:C10"/>
    <mergeCell ref="B11:C11"/>
    <mergeCell ref="B12:C12"/>
    <mergeCell ref="B13:C13"/>
    <mergeCell ref="B14:C14"/>
    <mergeCell ref="B16:C16"/>
    <mergeCell ref="B17:C17"/>
    <mergeCell ref="B18:C18"/>
    <mergeCell ref="B25:C25"/>
    <mergeCell ref="B19:C19"/>
    <mergeCell ref="B20:C20"/>
    <mergeCell ref="B21:C21"/>
    <mergeCell ref="B23:C23"/>
  </mergeCells>
  <pageMargins left="0.70866141732279997" right="0.70866141732279997" top="0.74803149606300001" bottom="0.74803149606300001" header="0.31496062992129997" footer="0.31496062992129997"/>
  <pageSetup paperSize="9" scale="8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showGridLines="0" workbookViewId="0">
      <selection activeCell="A31" sqref="A31:H34"/>
    </sheetView>
  </sheetViews>
  <sheetFormatPr baseColWidth="10" defaultColWidth="10.28515625" defaultRowHeight="12.75"/>
  <cols>
    <col min="1" max="1" width="30.7109375" style="99" customWidth="1" collapsed="1"/>
    <col min="2" max="2" width="5.28515625" style="99" bestFit="1" customWidth="1" collapsed="1"/>
    <col min="3" max="8" width="9.7109375" style="99" customWidth="1" collapsed="1"/>
    <col min="9" max="16384" width="10.28515625" style="99" collapsed="1"/>
  </cols>
  <sheetData>
    <row r="1" spans="1:8" ht="18.75" customHeight="1">
      <c r="A1" s="904" t="s">
        <v>483</v>
      </c>
      <c r="B1" s="904"/>
      <c r="C1" s="904"/>
      <c r="D1" s="904"/>
      <c r="E1" s="904"/>
      <c r="F1" s="904"/>
      <c r="G1" s="904"/>
      <c r="H1" s="904"/>
    </row>
    <row r="3" spans="1:8">
      <c r="A3" s="905" t="s">
        <v>279</v>
      </c>
      <c r="B3" s="905"/>
      <c r="C3" s="905"/>
      <c r="E3" s="100" t="s">
        <v>280</v>
      </c>
      <c r="F3" s="881">
        <f>+'Fiche de renseignement R1'!$V$10</f>
        <v>45657</v>
      </c>
      <c r="G3" s="930"/>
    </row>
    <row r="4" spans="1:8">
      <c r="A4" s="883" t="str">
        <f>'Fiche de renseignement R1'!$J$4</f>
        <v>SOCIETE NOUVELLE DES SALINS DU SINE SALOUM</v>
      </c>
      <c r="B4" s="906"/>
      <c r="C4" s="906"/>
      <c r="E4" s="931" t="s">
        <v>281</v>
      </c>
      <c r="F4" s="770">
        <f>+'Fiche de renseignement R1'!$AH$10</f>
        <v>12</v>
      </c>
      <c r="G4" s="932"/>
    </row>
    <row r="5" spans="1:8">
      <c r="A5" s="99" t="s">
        <v>282</v>
      </c>
      <c r="B5" s="888" t="str">
        <f>+'Fiche de renseignement R1'!$J$10</f>
        <v>000018699</v>
      </c>
      <c r="C5" s="933"/>
      <c r="E5" s="931"/>
      <c r="F5" s="907"/>
      <c r="G5" s="907"/>
    </row>
    <row r="7" spans="1:8" ht="25.5" customHeight="1">
      <c r="A7" s="908" t="s">
        <v>139</v>
      </c>
      <c r="B7" s="922" t="s">
        <v>140</v>
      </c>
      <c r="C7" s="922" t="s">
        <v>484</v>
      </c>
      <c r="D7" s="922" t="s">
        <v>372</v>
      </c>
      <c r="E7" s="926" t="s">
        <v>472</v>
      </c>
      <c r="F7" s="926" t="s">
        <v>373</v>
      </c>
      <c r="G7" s="926" t="s">
        <v>485</v>
      </c>
      <c r="H7" s="926" t="s">
        <v>486</v>
      </c>
    </row>
    <row r="8" spans="1:8" ht="25.5" customHeight="1">
      <c r="A8" s="909"/>
      <c r="B8" s="923"/>
      <c r="C8" s="923"/>
      <c r="D8" s="923"/>
      <c r="E8" s="927"/>
      <c r="F8" s="927"/>
      <c r="G8" s="927"/>
      <c r="H8" s="927"/>
    </row>
    <row r="9" spans="1:8">
      <c r="A9" s="101" t="s">
        <v>303</v>
      </c>
      <c r="B9" s="489"/>
      <c r="C9" s="459">
        <v>0</v>
      </c>
      <c r="D9" s="459">
        <v>0</v>
      </c>
      <c r="E9" s="459">
        <v>0</v>
      </c>
      <c r="F9" s="489"/>
      <c r="G9" s="476">
        <v>0</v>
      </c>
      <c r="H9" s="476"/>
    </row>
    <row r="10" spans="1:8">
      <c r="A10" s="101" t="s">
        <v>487</v>
      </c>
      <c r="B10" s="489"/>
      <c r="C10" s="459">
        <v>0</v>
      </c>
      <c r="D10" s="459">
        <v>0</v>
      </c>
      <c r="E10" s="459">
        <v>0</v>
      </c>
      <c r="F10" s="489"/>
      <c r="G10" s="476">
        <v>0</v>
      </c>
      <c r="H10" s="476"/>
    </row>
    <row r="11" spans="1:8">
      <c r="A11" s="101" t="s">
        <v>488</v>
      </c>
      <c r="B11" s="489"/>
      <c r="C11" s="459">
        <v>0</v>
      </c>
      <c r="D11" s="459">
        <v>0</v>
      </c>
      <c r="E11" s="459">
        <v>0</v>
      </c>
      <c r="F11" s="489"/>
      <c r="G11" s="476">
        <v>0</v>
      </c>
      <c r="H11" s="476"/>
    </row>
    <row r="12" spans="1:8" ht="25.5" customHeight="1">
      <c r="A12" s="101" t="s">
        <v>489</v>
      </c>
      <c r="B12" s="489"/>
      <c r="C12" s="459">
        <v>0</v>
      </c>
      <c r="D12" s="459">
        <v>0</v>
      </c>
      <c r="E12" s="459">
        <v>0</v>
      </c>
      <c r="F12" s="489"/>
      <c r="G12" s="476">
        <v>0</v>
      </c>
      <c r="H12" s="476"/>
    </row>
    <row r="13" spans="1:8">
      <c r="A13" s="101" t="s">
        <v>490</v>
      </c>
      <c r="B13" s="489"/>
      <c r="C13" s="459">
        <v>0</v>
      </c>
      <c r="D13" s="459">
        <v>0</v>
      </c>
      <c r="E13" s="459">
        <v>0</v>
      </c>
      <c r="F13" s="489"/>
      <c r="G13" s="476">
        <v>0</v>
      </c>
      <c r="H13" s="476"/>
    </row>
    <row r="14" spans="1:8">
      <c r="A14" s="101" t="s">
        <v>491</v>
      </c>
      <c r="B14" s="489"/>
      <c r="C14" s="459">
        <v>0</v>
      </c>
      <c r="D14" s="459">
        <v>0</v>
      </c>
      <c r="E14" s="459">
        <v>0</v>
      </c>
      <c r="F14" s="489"/>
      <c r="G14" s="476">
        <v>0</v>
      </c>
      <c r="H14" s="476"/>
    </row>
    <row r="15" spans="1:8">
      <c r="A15" s="101" t="s">
        <v>304</v>
      </c>
      <c r="B15" s="489"/>
      <c r="C15" s="459">
        <v>0</v>
      </c>
      <c r="D15" s="459">
        <v>0</v>
      </c>
      <c r="E15" s="459">
        <v>0</v>
      </c>
      <c r="F15" s="489"/>
      <c r="G15" s="476">
        <v>0</v>
      </c>
      <c r="H15" s="476"/>
    </row>
    <row r="16" spans="1:8">
      <c r="A16" s="101" t="s">
        <v>287</v>
      </c>
      <c r="B16" s="489"/>
      <c r="C16" s="459">
        <v>0</v>
      </c>
      <c r="D16" s="459">
        <v>0</v>
      </c>
      <c r="E16" s="459">
        <v>0</v>
      </c>
      <c r="F16" s="489"/>
      <c r="G16" s="476">
        <v>0</v>
      </c>
      <c r="H16" s="476"/>
    </row>
    <row r="17" spans="1:8">
      <c r="A17" s="102" t="s">
        <v>492</v>
      </c>
      <c r="B17" s="503"/>
      <c r="C17" s="502">
        <v>0</v>
      </c>
      <c r="D17" s="502">
        <v>0</v>
      </c>
      <c r="E17" s="502">
        <v>0</v>
      </c>
      <c r="F17" s="503"/>
      <c r="G17" s="524">
        <v>0</v>
      </c>
      <c r="H17" s="524"/>
    </row>
    <row r="18" spans="1:8" s="322" customFormat="1">
      <c r="A18" s="321"/>
      <c r="B18" s="525"/>
      <c r="C18" s="526">
        <v>0</v>
      </c>
      <c r="D18" s="526">
        <v>0</v>
      </c>
      <c r="E18" s="526">
        <v>0</v>
      </c>
      <c r="F18" s="525"/>
      <c r="G18" s="527">
        <v>0</v>
      </c>
      <c r="H18" s="527"/>
    </row>
    <row r="19" spans="1:8">
      <c r="A19" s="101" t="s">
        <v>493</v>
      </c>
      <c r="B19" s="489"/>
      <c r="C19" s="459">
        <v>0</v>
      </c>
      <c r="D19" s="459">
        <v>0</v>
      </c>
      <c r="E19" s="459">
        <v>0</v>
      </c>
      <c r="F19" s="489"/>
      <c r="G19" s="476">
        <v>0</v>
      </c>
      <c r="H19" s="476"/>
    </row>
    <row r="20" spans="1:8">
      <c r="A20" s="101" t="s">
        <v>494</v>
      </c>
      <c r="B20" s="489"/>
      <c r="C20" s="459">
        <v>0</v>
      </c>
      <c r="D20" s="459">
        <v>0</v>
      </c>
      <c r="E20" s="459">
        <v>0</v>
      </c>
      <c r="F20" s="489"/>
      <c r="G20" s="476">
        <v>0</v>
      </c>
      <c r="H20" s="476"/>
    </row>
    <row r="21" spans="1:8">
      <c r="A21" s="101" t="s">
        <v>495</v>
      </c>
      <c r="B21" s="489"/>
      <c r="C21" s="459">
        <v>0</v>
      </c>
      <c r="D21" s="459">
        <v>0</v>
      </c>
      <c r="E21" s="459">
        <v>0</v>
      </c>
      <c r="F21" s="489"/>
      <c r="G21" s="476">
        <v>0</v>
      </c>
      <c r="H21" s="476"/>
    </row>
    <row r="22" spans="1:8" ht="25.5" customHeight="1">
      <c r="A22" s="101" t="s">
        <v>496</v>
      </c>
      <c r="B22" s="489"/>
      <c r="C22" s="459">
        <v>0</v>
      </c>
      <c r="D22" s="459">
        <v>0</v>
      </c>
      <c r="E22" s="459">
        <v>0</v>
      </c>
      <c r="F22" s="489"/>
      <c r="G22" s="476">
        <v>0</v>
      </c>
      <c r="H22" s="476"/>
    </row>
    <row r="23" spans="1:8" ht="25.5" customHeight="1">
      <c r="A23" s="101" t="s">
        <v>497</v>
      </c>
      <c r="B23" s="489"/>
      <c r="C23" s="459">
        <v>0</v>
      </c>
      <c r="D23" s="459">
        <v>0</v>
      </c>
      <c r="E23" s="459">
        <v>0</v>
      </c>
      <c r="F23" s="489"/>
      <c r="G23" s="476">
        <v>0</v>
      </c>
      <c r="H23" s="476"/>
    </row>
    <row r="24" spans="1:8">
      <c r="A24" s="101" t="s">
        <v>498</v>
      </c>
      <c r="B24" s="489"/>
      <c r="C24" s="459">
        <v>0</v>
      </c>
      <c r="D24" s="459">
        <v>0</v>
      </c>
      <c r="E24" s="459">
        <v>0</v>
      </c>
      <c r="F24" s="489"/>
      <c r="G24" s="476">
        <v>0</v>
      </c>
      <c r="H24" s="476"/>
    </row>
    <row r="25" spans="1:8" ht="25.5" customHeight="1">
      <c r="A25" s="101" t="s">
        <v>499</v>
      </c>
      <c r="B25" s="489"/>
      <c r="C25" s="459">
        <v>0</v>
      </c>
      <c r="D25" s="459">
        <v>0</v>
      </c>
      <c r="E25" s="459">
        <v>0</v>
      </c>
      <c r="F25" s="489"/>
      <c r="G25" s="476">
        <v>0</v>
      </c>
      <c r="H25" s="476"/>
    </row>
    <row r="26" spans="1:8">
      <c r="A26" s="102" t="s">
        <v>500</v>
      </c>
      <c r="B26" s="503"/>
      <c r="C26" s="502">
        <v>0</v>
      </c>
      <c r="D26" s="502">
        <v>0</v>
      </c>
      <c r="E26" s="502">
        <v>0</v>
      </c>
      <c r="F26" s="503"/>
      <c r="G26" s="524">
        <v>0</v>
      </c>
      <c r="H26" s="524"/>
    </row>
    <row r="27" spans="1:8">
      <c r="A27" s="101"/>
      <c r="B27" s="489"/>
      <c r="C27" s="459"/>
      <c r="D27" s="459"/>
      <c r="E27" s="459"/>
      <c r="F27" s="489"/>
      <c r="G27" s="476"/>
      <c r="H27" s="476"/>
    </row>
    <row r="28" spans="1:8" ht="25.5" customHeight="1">
      <c r="A28" s="181" t="s">
        <v>501</v>
      </c>
      <c r="B28" s="506"/>
      <c r="C28" s="505">
        <v>0</v>
      </c>
      <c r="D28" s="505">
        <v>0</v>
      </c>
      <c r="E28" s="505">
        <v>0</v>
      </c>
      <c r="F28" s="506"/>
      <c r="G28" s="528">
        <v>0</v>
      </c>
      <c r="H28" s="528"/>
    </row>
    <row r="29" spans="1:8" s="322" customFormat="1" ht="12.75" customHeight="1">
      <c r="A29" s="323"/>
      <c r="B29" s="324"/>
      <c r="C29" s="325"/>
      <c r="D29" s="325"/>
      <c r="E29" s="325"/>
      <c r="F29" s="324"/>
      <c r="G29" s="326"/>
      <c r="H29" s="326"/>
    </row>
    <row r="30" spans="1:8">
      <c r="A30" s="104" t="s">
        <v>317</v>
      </c>
    </row>
    <row r="31" spans="1:8">
      <c r="A31" s="868" t="s">
        <v>1456</v>
      </c>
      <c r="B31" s="970"/>
      <c r="C31" s="970"/>
      <c r="D31" s="970"/>
      <c r="E31" s="970"/>
      <c r="F31" s="970"/>
      <c r="G31" s="970"/>
      <c r="H31" s="970"/>
    </row>
    <row r="32" spans="1:8">
      <c r="A32" s="970"/>
      <c r="B32" s="970"/>
      <c r="C32" s="970"/>
      <c r="D32" s="970"/>
      <c r="E32" s="970"/>
      <c r="F32" s="970"/>
      <c r="G32" s="970"/>
      <c r="H32" s="970"/>
    </row>
    <row r="33" spans="1:8">
      <c r="A33" s="970"/>
      <c r="B33" s="970"/>
      <c r="C33" s="970"/>
      <c r="D33" s="970"/>
      <c r="E33" s="970"/>
      <c r="F33" s="970"/>
      <c r="G33" s="970"/>
      <c r="H33" s="970"/>
    </row>
    <row r="34" spans="1:8">
      <c r="A34" s="970"/>
      <c r="B34" s="970"/>
      <c r="C34" s="970"/>
      <c r="D34" s="970"/>
      <c r="E34" s="970"/>
      <c r="F34" s="970"/>
      <c r="G34" s="970"/>
      <c r="H34" s="970"/>
    </row>
  </sheetData>
  <mergeCells count="16">
    <mergeCell ref="A1:H1"/>
    <mergeCell ref="A3:C3"/>
    <mergeCell ref="F3:G3"/>
    <mergeCell ref="A4:C4"/>
    <mergeCell ref="E4:E5"/>
    <mergeCell ref="F4:G5"/>
    <mergeCell ref="B5:C5"/>
    <mergeCell ref="A31:H34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showGridLines="0" workbookViewId="0">
      <selection activeCell="A22" sqref="A22:G25"/>
    </sheetView>
  </sheetViews>
  <sheetFormatPr baseColWidth="10" defaultColWidth="10.28515625" defaultRowHeight="12.75"/>
  <cols>
    <col min="1" max="1" width="30.7109375" style="99" customWidth="1" collapsed="1"/>
    <col min="2" max="2" width="5.28515625" style="99" bestFit="1" customWidth="1" collapsed="1"/>
    <col min="3" max="7" width="9.7109375" style="99" customWidth="1" collapsed="1"/>
    <col min="8" max="16384" width="10.28515625" style="99" collapsed="1"/>
  </cols>
  <sheetData>
    <row r="1" spans="1:7" ht="21" customHeight="1">
      <c r="A1" s="904" t="s">
        <v>905</v>
      </c>
      <c r="B1" s="904"/>
      <c r="C1" s="904"/>
      <c r="D1" s="904"/>
      <c r="E1" s="904"/>
      <c r="F1" s="904"/>
      <c r="G1" s="904"/>
    </row>
    <row r="3" spans="1:7">
      <c r="A3" s="905" t="s">
        <v>279</v>
      </c>
      <c r="B3" s="905"/>
      <c r="C3" s="905"/>
      <c r="E3" s="107" t="s">
        <v>280</v>
      </c>
      <c r="F3" s="881">
        <f>+'Fiche de renseignement R1'!$V$10</f>
        <v>45657</v>
      </c>
      <c r="G3" s="930"/>
    </row>
    <row r="4" spans="1:7">
      <c r="A4" s="883" t="str">
        <f>'Fiche de renseignement R1'!$J$4</f>
        <v>SOCIETE NOUVELLE DES SALINS DU SINE SALOUM</v>
      </c>
      <c r="B4" s="906"/>
      <c r="C4" s="906"/>
      <c r="E4" s="931" t="s">
        <v>281</v>
      </c>
      <c r="F4" s="770">
        <f>+'Fiche de renseignement R1'!$AH$10</f>
        <v>12</v>
      </c>
      <c r="G4" s="932"/>
    </row>
    <row r="5" spans="1:7">
      <c r="A5" s="99" t="s">
        <v>282</v>
      </c>
      <c r="B5" s="888" t="str">
        <f>+'Fiche de renseignement R1'!$J$10</f>
        <v>000018699</v>
      </c>
      <c r="C5" s="933"/>
      <c r="E5" s="931"/>
      <c r="F5" s="907"/>
      <c r="G5" s="907"/>
    </row>
    <row r="7" spans="1:7" ht="25.5" customHeight="1">
      <c r="A7" s="908" t="s">
        <v>139</v>
      </c>
      <c r="B7" s="922" t="s">
        <v>140</v>
      </c>
      <c r="C7" s="922" t="s">
        <v>484</v>
      </c>
      <c r="D7" s="922" t="s">
        <v>372</v>
      </c>
      <c r="E7" s="926" t="s">
        <v>472</v>
      </c>
      <c r="F7" s="926" t="s">
        <v>373</v>
      </c>
      <c r="G7" s="926" t="s">
        <v>486</v>
      </c>
    </row>
    <row r="8" spans="1:7" ht="25.5" customHeight="1">
      <c r="A8" s="909"/>
      <c r="B8" s="923"/>
      <c r="C8" s="923"/>
      <c r="D8" s="923"/>
      <c r="E8" s="927"/>
      <c r="F8" s="927"/>
      <c r="G8" s="927"/>
    </row>
    <row r="9" spans="1:7">
      <c r="A9" s="287" t="s">
        <v>1110</v>
      </c>
      <c r="B9" s="479"/>
      <c r="C9" s="459">
        <v>0</v>
      </c>
      <c r="D9" s="459">
        <v>0</v>
      </c>
      <c r="E9" s="459">
        <v>0</v>
      </c>
      <c r="F9" s="489"/>
      <c r="G9" s="479"/>
    </row>
    <row r="10" spans="1:7">
      <c r="A10" s="101" t="s">
        <v>502</v>
      </c>
      <c r="B10" s="479"/>
      <c r="C10" s="459">
        <v>0</v>
      </c>
      <c r="D10" s="459">
        <v>0</v>
      </c>
      <c r="E10" s="459">
        <v>0</v>
      </c>
      <c r="F10" s="489"/>
      <c r="G10" s="479"/>
    </row>
    <row r="11" spans="1:7" ht="25.5" customHeight="1">
      <c r="A11" s="101" t="s">
        <v>503</v>
      </c>
      <c r="B11" s="479"/>
      <c r="C11" s="459">
        <v>0</v>
      </c>
      <c r="D11" s="459">
        <v>0</v>
      </c>
      <c r="E11" s="459">
        <v>0</v>
      </c>
      <c r="F11" s="489"/>
      <c r="G11" s="479"/>
    </row>
    <row r="12" spans="1:7" ht="25.5" customHeight="1">
      <c r="A12" s="101" t="s">
        <v>504</v>
      </c>
      <c r="B12" s="479"/>
      <c r="C12" s="459">
        <v>0</v>
      </c>
      <c r="D12" s="459">
        <v>0</v>
      </c>
      <c r="E12" s="459">
        <v>0</v>
      </c>
      <c r="F12" s="489"/>
      <c r="G12" s="479"/>
    </row>
    <row r="13" spans="1:7">
      <c r="A13" s="101" t="s">
        <v>287</v>
      </c>
      <c r="B13" s="479"/>
      <c r="C13" s="459">
        <v>0</v>
      </c>
      <c r="D13" s="459">
        <v>0</v>
      </c>
      <c r="E13" s="459">
        <v>0</v>
      </c>
      <c r="F13" s="489"/>
      <c r="G13" s="479"/>
    </row>
    <row r="14" spans="1:7" ht="25.5" customHeight="1">
      <c r="A14" s="181" t="s">
        <v>1111</v>
      </c>
      <c r="B14" s="157"/>
      <c r="C14" s="505">
        <v>0</v>
      </c>
      <c r="D14" s="505">
        <v>0</v>
      </c>
      <c r="E14" s="505">
        <v>0</v>
      </c>
      <c r="F14" s="506"/>
      <c r="G14" s="529"/>
    </row>
    <row r="15" spans="1:7" s="322" customFormat="1" ht="12.75" customHeight="1">
      <c r="A15" s="323"/>
      <c r="B15" s="336"/>
      <c r="C15" s="325"/>
      <c r="D15" s="325"/>
      <c r="E15" s="325"/>
      <c r="F15" s="324"/>
      <c r="G15" s="371"/>
    </row>
    <row r="16" spans="1:7">
      <c r="A16" s="99" t="s">
        <v>505</v>
      </c>
    </row>
    <row r="17" spans="1:7">
      <c r="A17" s="99" t="s">
        <v>506</v>
      </c>
    </row>
    <row r="18" spans="1:7">
      <c r="A18" s="99" t="s">
        <v>507</v>
      </c>
    </row>
    <row r="19" spans="1:7">
      <c r="A19" s="99" t="s">
        <v>508</v>
      </c>
    </row>
    <row r="21" spans="1:7">
      <c r="A21" s="104" t="s">
        <v>317</v>
      </c>
    </row>
    <row r="22" spans="1:7">
      <c r="A22" s="868" t="s">
        <v>1456</v>
      </c>
      <c r="B22" s="903"/>
      <c r="C22" s="903"/>
      <c r="D22" s="903"/>
      <c r="E22" s="903"/>
      <c r="F22" s="903"/>
      <c r="G22" s="903"/>
    </row>
    <row r="23" spans="1:7">
      <c r="A23" s="903"/>
      <c r="B23" s="903"/>
      <c r="C23" s="903"/>
      <c r="D23" s="903"/>
      <c r="E23" s="903"/>
      <c r="F23" s="903"/>
      <c r="G23" s="903"/>
    </row>
    <row r="24" spans="1:7">
      <c r="A24" s="903"/>
      <c r="B24" s="903"/>
      <c r="C24" s="903"/>
      <c r="D24" s="903"/>
      <c r="E24" s="903"/>
      <c r="F24" s="903"/>
      <c r="G24" s="903"/>
    </row>
    <row r="25" spans="1:7">
      <c r="A25" s="903"/>
      <c r="B25" s="903"/>
      <c r="C25" s="903"/>
      <c r="D25" s="903"/>
      <c r="E25" s="903"/>
      <c r="F25" s="903"/>
      <c r="G25" s="903"/>
    </row>
    <row r="26" spans="1:7">
      <c r="A26" s="105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2:G2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showGridLines="0" topLeftCell="A19" workbookViewId="0">
      <selection activeCell="E33" sqref="E33"/>
    </sheetView>
  </sheetViews>
  <sheetFormatPr baseColWidth="10" defaultColWidth="11.42578125" defaultRowHeight="12.75"/>
  <cols>
    <col min="1" max="1" width="30.7109375" style="256" customWidth="1" collapsed="1"/>
    <col min="2" max="4" width="15" style="256" customWidth="1" collapsed="1"/>
    <col min="5" max="5" width="7.42578125" style="256" customWidth="1" collapsed="1"/>
    <col min="6" max="8" width="15" style="256" customWidth="1" collapsed="1"/>
    <col min="9" max="16384" width="11.42578125" style="256" collapsed="1"/>
  </cols>
  <sheetData>
    <row r="1" spans="1:8" ht="18.75" customHeight="1">
      <c r="A1" s="796" t="s">
        <v>509</v>
      </c>
      <c r="B1" s="796"/>
      <c r="C1" s="796"/>
      <c r="D1" s="796"/>
      <c r="E1" s="796"/>
      <c r="F1" s="796"/>
      <c r="G1" s="796"/>
      <c r="H1" s="796"/>
    </row>
    <row r="2" spans="1:8">
      <c r="A2" s="210"/>
      <c r="B2" s="210"/>
      <c r="C2" s="210"/>
      <c r="D2" s="210"/>
      <c r="E2" s="210"/>
      <c r="F2" s="210"/>
      <c r="G2" s="210"/>
      <c r="H2" s="210"/>
    </row>
    <row r="3" spans="1:8" ht="15" customHeight="1">
      <c r="A3" s="210" t="s">
        <v>279</v>
      </c>
      <c r="B3" s="210"/>
      <c r="C3" s="210"/>
      <c r="D3" s="973" t="s">
        <v>280</v>
      </c>
      <c r="E3" s="973"/>
      <c r="F3" s="974">
        <f>+'Fiche de renseignement R1'!$V$10</f>
        <v>45657</v>
      </c>
      <c r="G3" s="975"/>
      <c r="H3" s="210"/>
    </row>
    <row r="4" spans="1:8">
      <c r="A4" s="971" t="str">
        <f>'Fiche de renseignement R1'!$J$4</f>
        <v>SOCIETE NOUVELLE DES SALINS DU SINE SALOUM</v>
      </c>
      <c r="B4" s="972"/>
      <c r="C4" s="972"/>
      <c r="D4" s="973" t="s">
        <v>281</v>
      </c>
      <c r="E4" s="973"/>
      <c r="F4" s="971">
        <f>+'Fiche de renseignement R1'!$AH$10</f>
        <v>12</v>
      </c>
      <c r="G4" s="972"/>
      <c r="H4" s="210"/>
    </row>
    <row r="5" spans="1:8">
      <c r="A5" s="210" t="s">
        <v>282</v>
      </c>
      <c r="B5" s="971" t="str">
        <f>+'Fiche de renseignement R1'!$J$10</f>
        <v>000018699</v>
      </c>
      <c r="C5" s="972"/>
      <c r="D5" s="973"/>
      <c r="E5" s="973"/>
      <c r="F5" s="972"/>
      <c r="G5" s="972"/>
      <c r="H5" s="210"/>
    </row>
    <row r="6" spans="1:8">
      <c r="A6" s="210"/>
      <c r="B6" s="210"/>
      <c r="C6" s="210"/>
      <c r="D6" s="210"/>
      <c r="E6" s="210"/>
      <c r="F6" s="210"/>
      <c r="G6" s="210"/>
      <c r="H6" s="210"/>
    </row>
    <row r="7" spans="1:8" ht="25.5" customHeight="1">
      <c r="A7" s="847" t="s">
        <v>139</v>
      </c>
      <c r="B7" s="847" t="s">
        <v>484</v>
      </c>
      <c r="C7" s="847" t="s">
        <v>372</v>
      </c>
      <c r="D7" s="847" t="s">
        <v>472</v>
      </c>
      <c r="E7" s="801" t="s">
        <v>373</v>
      </c>
      <c r="F7" s="847" t="s">
        <v>510</v>
      </c>
      <c r="G7" s="847" t="s">
        <v>511</v>
      </c>
      <c r="H7" s="847" t="s">
        <v>512</v>
      </c>
    </row>
    <row r="8" spans="1:8">
      <c r="A8" s="830"/>
      <c r="B8" s="830"/>
      <c r="C8" s="830"/>
      <c r="D8" s="830"/>
      <c r="E8" s="802"/>
      <c r="F8" s="830"/>
      <c r="G8" s="830"/>
      <c r="H8" s="830"/>
    </row>
    <row r="9" spans="1:8">
      <c r="A9" s="491" t="s">
        <v>1386</v>
      </c>
      <c r="B9" s="459">
        <v>0</v>
      </c>
      <c r="C9" s="459">
        <v>0</v>
      </c>
      <c r="D9" s="459">
        <v>0</v>
      </c>
      <c r="E9" s="489"/>
      <c r="F9" s="459">
        <v>0</v>
      </c>
      <c r="G9" s="459">
        <v>0</v>
      </c>
      <c r="H9" s="459">
        <v>0</v>
      </c>
    </row>
    <row r="10" spans="1:8" ht="25.5" customHeight="1">
      <c r="A10" s="491" t="s">
        <v>1387</v>
      </c>
      <c r="B10" s="459">
        <v>0</v>
      </c>
      <c r="C10" s="459">
        <v>0</v>
      </c>
      <c r="D10" s="459">
        <v>0</v>
      </c>
      <c r="E10" s="489"/>
      <c r="F10" s="459">
        <v>0</v>
      </c>
      <c r="G10" s="459">
        <v>0</v>
      </c>
      <c r="H10" s="459">
        <v>0</v>
      </c>
    </row>
    <row r="11" spans="1:8">
      <c r="A11" s="491" t="s">
        <v>1388</v>
      </c>
      <c r="B11" s="459">
        <v>0</v>
      </c>
      <c r="C11" s="459">
        <v>0</v>
      </c>
      <c r="D11" s="459">
        <v>0</v>
      </c>
      <c r="E11" s="489"/>
      <c r="F11" s="459">
        <v>0</v>
      </c>
      <c r="G11" s="459">
        <v>0</v>
      </c>
      <c r="H11" s="459">
        <v>0</v>
      </c>
    </row>
    <row r="12" spans="1:8" ht="25.5" customHeight="1">
      <c r="A12" s="491" t="s">
        <v>1389</v>
      </c>
      <c r="B12" s="459">
        <v>0</v>
      </c>
      <c r="C12" s="459">
        <v>0</v>
      </c>
      <c r="D12" s="459">
        <v>0</v>
      </c>
      <c r="E12" s="489"/>
      <c r="F12" s="459">
        <v>0</v>
      </c>
      <c r="G12" s="459">
        <v>0</v>
      </c>
      <c r="H12" s="459">
        <v>0</v>
      </c>
    </row>
    <row r="13" spans="1:8">
      <c r="A13" s="491" t="s">
        <v>1390</v>
      </c>
      <c r="B13" s="459">
        <v>0</v>
      </c>
      <c r="C13" s="459">
        <v>0</v>
      </c>
      <c r="D13" s="459">
        <v>0</v>
      </c>
      <c r="E13" s="489"/>
      <c r="F13" s="459">
        <v>0</v>
      </c>
      <c r="G13" s="459">
        <v>0</v>
      </c>
      <c r="H13" s="459">
        <v>0</v>
      </c>
    </row>
    <row r="14" spans="1:8">
      <c r="A14" s="491" t="s">
        <v>382</v>
      </c>
      <c r="B14" s="459">
        <v>0</v>
      </c>
      <c r="C14" s="459">
        <v>0</v>
      </c>
      <c r="D14" s="459">
        <v>0</v>
      </c>
      <c r="E14" s="489"/>
      <c r="F14" s="459">
        <v>0</v>
      </c>
      <c r="G14" s="459">
        <v>0</v>
      </c>
      <c r="H14" s="459">
        <v>0</v>
      </c>
    </row>
    <row r="15" spans="1:8" ht="25.5" customHeight="1">
      <c r="A15" s="491" t="s">
        <v>1391</v>
      </c>
      <c r="B15" s="459">
        <v>0</v>
      </c>
      <c r="C15" s="459">
        <v>0</v>
      </c>
      <c r="D15" s="459">
        <v>0</v>
      </c>
      <c r="E15" s="489"/>
      <c r="F15" s="459">
        <v>0</v>
      </c>
      <c r="G15" s="459">
        <v>0</v>
      </c>
      <c r="H15" s="459">
        <v>0</v>
      </c>
    </row>
    <row r="16" spans="1:8">
      <c r="A16" s="491" t="s">
        <v>1392</v>
      </c>
      <c r="B16" s="459">
        <v>0</v>
      </c>
      <c r="C16" s="459">
        <v>0</v>
      </c>
      <c r="D16" s="459">
        <v>0</v>
      </c>
      <c r="E16" s="489"/>
      <c r="F16" s="459">
        <v>0</v>
      </c>
      <c r="G16" s="459">
        <v>0</v>
      </c>
      <c r="H16" s="459">
        <v>0</v>
      </c>
    </row>
    <row r="17" spans="1:8">
      <c r="A17" s="491" t="s">
        <v>1393</v>
      </c>
      <c r="B17" s="459">
        <v>0</v>
      </c>
      <c r="C17" s="459">
        <v>0</v>
      </c>
      <c r="D17" s="459">
        <v>0</v>
      </c>
      <c r="E17" s="489"/>
      <c r="F17" s="459">
        <v>0</v>
      </c>
      <c r="G17" s="459">
        <v>0</v>
      </c>
      <c r="H17" s="459">
        <v>0</v>
      </c>
    </row>
    <row r="18" spans="1:8" ht="25.5" customHeight="1">
      <c r="A18" s="491" t="s">
        <v>1394</v>
      </c>
      <c r="B18" s="459">
        <v>0</v>
      </c>
      <c r="C18" s="459">
        <v>0</v>
      </c>
      <c r="D18" s="459">
        <v>0</v>
      </c>
      <c r="E18" s="489"/>
      <c r="F18" s="459">
        <v>0</v>
      </c>
      <c r="G18" s="459">
        <v>0</v>
      </c>
      <c r="H18" s="459">
        <v>0</v>
      </c>
    </row>
    <row r="19" spans="1:8" ht="25.5" customHeight="1">
      <c r="A19" s="492" t="s">
        <v>1395</v>
      </c>
      <c r="B19" s="478">
        <v>0</v>
      </c>
      <c r="C19" s="478">
        <v>0</v>
      </c>
      <c r="D19" s="478">
        <v>0</v>
      </c>
      <c r="E19" s="490"/>
      <c r="F19" s="478">
        <v>0</v>
      </c>
      <c r="G19" s="478">
        <v>0</v>
      </c>
      <c r="H19" s="478">
        <v>0</v>
      </c>
    </row>
    <row r="20" spans="1:8" s="314" customFormat="1">
      <c r="A20" s="530"/>
      <c r="B20" s="526"/>
      <c r="C20" s="526"/>
      <c r="D20" s="526"/>
      <c r="E20" s="525"/>
      <c r="F20" s="526"/>
      <c r="G20" s="526"/>
      <c r="H20" s="526"/>
    </row>
    <row r="21" spans="1:8">
      <c r="A21" s="491" t="s">
        <v>1396</v>
      </c>
      <c r="B21" s="459">
        <v>0</v>
      </c>
      <c r="C21" s="459">
        <v>0</v>
      </c>
      <c r="D21" s="459">
        <v>0</v>
      </c>
      <c r="E21" s="489"/>
      <c r="F21" s="459">
        <v>0</v>
      </c>
      <c r="G21" s="459">
        <v>0</v>
      </c>
      <c r="H21" s="459">
        <v>0</v>
      </c>
    </row>
    <row r="22" spans="1:8">
      <c r="A22" s="491" t="s">
        <v>1397</v>
      </c>
      <c r="B22" s="459">
        <v>0</v>
      </c>
      <c r="C22" s="459">
        <v>0</v>
      </c>
      <c r="D22" s="459">
        <v>0</v>
      </c>
      <c r="E22" s="489"/>
      <c r="F22" s="459">
        <v>0</v>
      </c>
      <c r="G22" s="459">
        <v>0</v>
      </c>
      <c r="H22" s="459">
        <v>0</v>
      </c>
    </row>
    <row r="23" spans="1:8">
      <c r="A23" s="491" t="s">
        <v>382</v>
      </c>
      <c r="B23" s="459">
        <v>0</v>
      </c>
      <c r="C23" s="459">
        <v>0</v>
      </c>
      <c r="D23" s="459">
        <v>0</v>
      </c>
      <c r="E23" s="489"/>
      <c r="F23" s="459">
        <v>0</v>
      </c>
      <c r="G23" s="459">
        <v>0</v>
      </c>
      <c r="H23" s="459">
        <v>0</v>
      </c>
    </row>
    <row r="24" spans="1:8">
      <c r="A24" s="491" t="s">
        <v>1398</v>
      </c>
      <c r="B24" s="459">
        <v>0</v>
      </c>
      <c r="C24" s="459">
        <v>0</v>
      </c>
      <c r="D24" s="459">
        <v>0</v>
      </c>
      <c r="E24" s="489"/>
      <c r="F24" s="459">
        <v>0</v>
      </c>
      <c r="G24" s="459">
        <v>0</v>
      </c>
      <c r="H24" s="459">
        <v>0</v>
      </c>
    </row>
    <row r="25" spans="1:8">
      <c r="A25" s="491" t="s">
        <v>1399</v>
      </c>
      <c r="B25" s="459">
        <v>0</v>
      </c>
      <c r="C25" s="459">
        <v>0</v>
      </c>
      <c r="D25" s="459">
        <v>0</v>
      </c>
      <c r="E25" s="489"/>
      <c r="F25" s="459">
        <v>0</v>
      </c>
      <c r="G25" s="459">
        <v>0</v>
      </c>
      <c r="H25" s="459">
        <v>0</v>
      </c>
    </row>
    <row r="26" spans="1:8" ht="25.5" customHeight="1">
      <c r="A26" s="492" t="s">
        <v>1400</v>
      </c>
      <c r="B26" s="478">
        <v>0</v>
      </c>
      <c r="C26" s="478">
        <v>0</v>
      </c>
      <c r="D26" s="478">
        <v>0</v>
      </c>
      <c r="E26" s="490"/>
      <c r="F26" s="478">
        <v>0</v>
      </c>
      <c r="G26" s="478">
        <v>0</v>
      </c>
      <c r="H26" s="478">
        <v>0</v>
      </c>
    </row>
    <row r="27" spans="1:8" s="314" customFormat="1">
      <c r="A27" s="530"/>
      <c r="B27" s="526"/>
      <c r="C27" s="526"/>
      <c r="D27" s="526"/>
      <c r="E27" s="525"/>
      <c r="F27" s="526"/>
      <c r="G27" s="526"/>
      <c r="H27" s="526"/>
    </row>
    <row r="28" spans="1:8">
      <c r="A28" s="491" t="s">
        <v>1401</v>
      </c>
      <c r="B28" s="459">
        <v>0</v>
      </c>
      <c r="C28" s="459">
        <v>0</v>
      </c>
      <c r="D28" s="459">
        <v>0</v>
      </c>
      <c r="E28" s="489"/>
      <c r="F28" s="531"/>
      <c r="G28" s="531"/>
      <c r="H28" s="531"/>
    </row>
    <row r="29" spans="1:8" ht="25.5" customHeight="1">
      <c r="A29" s="491" t="s">
        <v>1402</v>
      </c>
      <c r="B29" s="609">
        <v>1320851722</v>
      </c>
      <c r="C29" s="609">
        <v>1320851722</v>
      </c>
      <c r="D29" s="609">
        <v>0</v>
      </c>
      <c r="E29" s="610">
        <v>0</v>
      </c>
      <c r="F29" s="531"/>
      <c r="G29" s="531"/>
      <c r="H29" s="531"/>
    </row>
    <row r="30" spans="1:8" ht="25.5" customHeight="1">
      <c r="A30" s="491" t="s">
        <v>1403</v>
      </c>
      <c r="B30" s="609">
        <v>0</v>
      </c>
      <c r="C30" s="609">
        <v>0</v>
      </c>
      <c r="D30" s="609">
        <v>0</v>
      </c>
      <c r="E30" s="610"/>
      <c r="F30" s="531"/>
      <c r="G30" s="531"/>
      <c r="H30" s="531"/>
    </row>
    <row r="31" spans="1:8">
      <c r="A31" s="491" t="s">
        <v>1404</v>
      </c>
      <c r="B31" s="609">
        <v>0</v>
      </c>
      <c r="C31" s="609">
        <v>0</v>
      </c>
      <c r="D31" s="609">
        <v>0</v>
      </c>
      <c r="E31" s="610"/>
      <c r="F31" s="531"/>
      <c r="G31" s="531"/>
      <c r="H31" s="531"/>
    </row>
    <row r="32" spans="1:8">
      <c r="A32" s="491" t="s">
        <v>1405</v>
      </c>
      <c r="B32" s="609">
        <v>0</v>
      </c>
      <c r="C32" s="609">
        <v>0</v>
      </c>
      <c r="D32" s="609">
        <v>0</v>
      </c>
      <c r="E32" s="610"/>
      <c r="F32" s="531"/>
      <c r="G32" s="531"/>
      <c r="H32" s="531"/>
    </row>
    <row r="33" spans="1:8" ht="25.5" customHeight="1">
      <c r="A33" s="491" t="s">
        <v>1406</v>
      </c>
      <c r="B33" s="609">
        <v>358017673</v>
      </c>
      <c r="C33" s="609">
        <v>356301163</v>
      </c>
      <c r="D33" s="609">
        <v>1716510</v>
      </c>
      <c r="E33" s="669">
        <f>(B33-C33)/C33</f>
        <v>4.8175818050866142E-3</v>
      </c>
      <c r="F33" s="531"/>
      <c r="G33" s="531"/>
      <c r="H33" s="531"/>
    </row>
    <row r="34" spans="1:8">
      <c r="A34" s="491" t="s">
        <v>1407</v>
      </c>
      <c r="B34" s="609">
        <v>0</v>
      </c>
      <c r="C34" s="609">
        <v>0</v>
      </c>
      <c r="D34" s="609">
        <v>0</v>
      </c>
      <c r="E34" s="610"/>
      <c r="F34" s="531"/>
      <c r="G34" s="531"/>
      <c r="H34" s="531"/>
    </row>
    <row r="35" spans="1:8" ht="25.5" customHeight="1">
      <c r="A35" s="491" t="s">
        <v>1408</v>
      </c>
      <c r="B35" s="609">
        <v>0</v>
      </c>
      <c r="C35" s="609">
        <v>0</v>
      </c>
      <c r="D35" s="609">
        <v>0</v>
      </c>
      <c r="E35" s="610"/>
      <c r="F35" s="531"/>
      <c r="G35" s="531"/>
      <c r="H35" s="531"/>
    </row>
    <row r="36" spans="1:8">
      <c r="A36" s="491" t="s">
        <v>1409</v>
      </c>
      <c r="B36" s="609">
        <v>0</v>
      </c>
      <c r="C36" s="609">
        <v>0</v>
      </c>
      <c r="D36" s="609">
        <v>0</v>
      </c>
      <c r="E36" s="610"/>
      <c r="F36" s="531"/>
      <c r="G36" s="531"/>
      <c r="H36" s="531"/>
    </row>
    <row r="37" spans="1:8" ht="25.5" customHeight="1">
      <c r="A37" s="491" t="s">
        <v>1410</v>
      </c>
      <c r="B37" s="609">
        <v>0</v>
      </c>
      <c r="C37" s="609">
        <v>0</v>
      </c>
      <c r="D37" s="609">
        <v>0</v>
      </c>
      <c r="E37" s="610"/>
      <c r="F37" s="531"/>
      <c r="G37" s="531"/>
      <c r="H37" s="531"/>
    </row>
    <row r="38" spans="1:8">
      <c r="A38" s="491" t="s">
        <v>1411</v>
      </c>
      <c r="B38" s="609">
        <v>0</v>
      </c>
      <c r="C38" s="609">
        <v>0</v>
      </c>
      <c r="D38" s="609">
        <v>0</v>
      </c>
      <c r="E38" s="610"/>
      <c r="F38" s="531"/>
      <c r="G38" s="531"/>
      <c r="H38" s="531"/>
    </row>
    <row r="39" spans="1:8">
      <c r="A39" s="491" t="s">
        <v>1412</v>
      </c>
      <c r="B39" s="609">
        <v>0</v>
      </c>
      <c r="C39" s="609">
        <v>0</v>
      </c>
      <c r="D39" s="609">
        <v>0</v>
      </c>
      <c r="E39" s="610"/>
      <c r="F39" s="531"/>
      <c r="G39" s="531"/>
      <c r="H39" s="531"/>
    </row>
    <row r="40" spans="1:8">
      <c r="A40" s="491" t="s">
        <v>1413</v>
      </c>
      <c r="B40" s="609">
        <v>0</v>
      </c>
      <c r="C40" s="609">
        <v>0</v>
      </c>
      <c r="D40" s="609">
        <v>0</v>
      </c>
      <c r="E40" s="610"/>
      <c r="F40" s="531"/>
      <c r="G40" s="531"/>
      <c r="H40" s="531"/>
    </row>
    <row r="41" spans="1:8" ht="25.5" customHeight="1">
      <c r="A41" s="492" t="s">
        <v>1414</v>
      </c>
      <c r="B41" s="619">
        <v>1678869395</v>
      </c>
      <c r="C41" s="619">
        <v>1677152885</v>
      </c>
      <c r="D41" s="619">
        <v>1716510</v>
      </c>
      <c r="E41" s="620">
        <f>IFERROR((B41/C41)/C41,"-")</f>
        <v>5.9685880492840017E-10</v>
      </c>
      <c r="F41" s="531"/>
      <c r="G41" s="531"/>
      <c r="H41" s="531"/>
    </row>
    <row r="42" spans="1:8" s="314" customFormat="1">
      <c r="A42" s="328"/>
      <c r="B42" s="329"/>
      <c r="C42" s="329"/>
      <c r="D42" s="329"/>
      <c r="E42" s="330"/>
      <c r="F42" s="331"/>
      <c r="G42" s="331"/>
      <c r="H42" s="331"/>
    </row>
    <row r="43" spans="1:8">
      <c r="A43" s="256" t="s">
        <v>317</v>
      </c>
    </row>
    <row r="44" spans="1:8">
      <c r="A44" s="841"/>
      <c r="B44" s="959"/>
      <c r="C44" s="959"/>
      <c r="D44" s="959"/>
      <c r="E44" s="959"/>
      <c r="F44" s="959"/>
      <c r="G44" s="959"/>
      <c r="H44" s="959"/>
    </row>
    <row r="45" spans="1:8">
      <c r="A45" s="959"/>
      <c r="B45" s="959"/>
      <c r="C45" s="959"/>
      <c r="D45" s="959"/>
      <c r="E45" s="959"/>
      <c r="F45" s="959"/>
      <c r="G45" s="959"/>
      <c r="H45" s="959"/>
    </row>
    <row r="46" spans="1:8">
      <c r="A46" s="959"/>
      <c r="B46" s="959"/>
      <c r="C46" s="959"/>
      <c r="D46" s="959"/>
      <c r="E46" s="959"/>
      <c r="F46" s="959"/>
      <c r="G46" s="959"/>
      <c r="H46" s="959"/>
    </row>
  </sheetData>
  <mergeCells count="16">
    <mergeCell ref="A44:H46"/>
    <mergeCell ref="G7:G8"/>
    <mergeCell ref="H7:H8"/>
    <mergeCell ref="F3:G3"/>
    <mergeCell ref="F4:G5"/>
    <mergeCell ref="A7:A8"/>
    <mergeCell ref="B7:B8"/>
    <mergeCell ref="C7:C8"/>
    <mergeCell ref="D7:D8"/>
    <mergeCell ref="E7:E8"/>
    <mergeCell ref="F7:F8"/>
    <mergeCell ref="A1:H1"/>
    <mergeCell ref="A4:C4"/>
    <mergeCell ref="D4:E5"/>
    <mergeCell ref="D3:E3"/>
    <mergeCell ref="B5:C5"/>
  </mergeCells>
  <pageMargins left="0.70866141732279997" right="0.70866141732279997" top="0.74803149606300001" bottom="0.74803149606300001" header="0.31496062992129997" footer="0.31496062992129997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showGridLines="0" topLeftCell="A13" workbookViewId="0">
      <selection activeCell="A42" sqref="A42:F42"/>
    </sheetView>
  </sheetViews>
  <sheetFormatPr baseColWidth="10" defaultColWidth="10.28515625" defaultRowHeight="12.75"/>
  <cols>
    <col min="1" max="1" width="73.7109375" style="99" customWidth="1" collapsed="1"/>
    <col min="2" max="7" width="11.7109375" style="99" customWidth="1" collapsed="1"/>
    <col min="8" max="16384" width="10.28515625" style="99" collapsed="1"/>
  </cols>
  <sheetData>
    <row r="1" spans="1:8" ht="33.75" customHeight="1">
      <c r="A1" s="988" t="s">
        <v>513</v>
      </c>
      <c r="B1" s="988"/>
      <c r="C1" s="988"/>
      <c r="D1" s="988"/>
      <c r="E1" s="988"/>
      <c r="F1" s="988"/>
      <c r="G1" s="182"/>
      <c r="H1" s="182"/>
    </row>
    <row r="2" spans="1:8" ht="8.1" customHeight="1"/>
    <row r="3" spans="1:8" ht="12.75" customHeight="1">
      <c r="A3" s="905" t="s">
        <v>279</v>
      </c>
      <c r="B3" s="905"/>
      <c r="C3" s="905"/>
      <c r="D3" s="99" t="s">
        <v>280</v>
      </c>
      <c r="E3" s="881">
        <f>+'Fiche de renseignement R1'!$V$10</f>
        <v>45657</v>
      </c>
      <c r="F3" s="989"/>
    </row>
    <row r="4" spans="1:8" ht="15" customHeight="1">
      <c r="A4" s="883" t="str">
        <f>'Fiche de renseignement R1'!$J$4</f>
        <v>SOCIETE NOUVELLE DES SALINS DU SINE SALOUM</v>
      </c>
      <c r="B4" s="906"/>
      <c r="C4" s="906"/>
      <c r="D4" s="990" t="s">
        <v>281</v>
      </c>
      <c r="E4" s="991">
        <f>+'Fiche de renseignement R1'!$AH$10</f>
        <v>12</v>
      </c>
      <c r="F4" s="992"/>
    </row>
    <row r="5" spans="1:8" ht="15" customHeight="1">
      <c r="A5" s="99" t="s">
        <v>282</v>
      </c>
      <c r="B5" s="888" t="str">
        <f>+'Fiche de renseignement R1'!$J$10</f>
        <v>000018699</v>
      </c>
      <c r="C5" s="933"/>
      <c r="D5" s="990"/>
      <c r="E5" s="993"/>
      <c r="F5" s="993"/>
    </row>
    <row r="6" spans="1:8" ht="8.1" customHeight="1"/>
    <row r="7" spans="1:8" ht="25.35" customHeight="1">
      <c r="A7" s="183" t="s">
        <v>514</v>
      </c>
      <c r="B7" s="184"/>
      <c r="C7" s="184"/>
      <c r="D7" s="184"/>
      <c r="E7" s="185"/>
      <c r="F7" s="186"/>
      <c r="G7" s="187"/>
    </row>
    <row r="8" spans="1:8">
      <c r="A8" s="188" t="s">
        <v>139</v>
      </c>
      <c r="B8" s="982" t="s">
        <v>371</v>
      </c>
      <c r="C8" s="983"/>
      <c r="D8" s="982" t="s">
        <v>372</v>
      </c>
      <c r="E8" s="983"/>
      <c r="F8" s="186"/>
      <c r="G8" s="187"/>
    </row>
    <row r="9" spans="1:8">
      <c r="A9" s="101" t="s">
        <v>515</v>
      </c>
      <c r="B9" s="914">
        <v>0</v>
      </c>
      <c r="C9" s="915"/>
      <c r="D9" s="914">
        <v>0</v>
      </c>
      <c r="E9" s="915"/>
      <c r="F9" s="189"/>
      <c r="G9" s="150"/>
    </row>
    <row r="10" spans="1:8">
      <c r="A10" s="101" t="s">
        <v>516</v>
      </c>
      <c r="B10" s="914">
        <v>0</v>
      </c>
      <c r="C10" s="915"/>
      <c r="D10" s="914">
        <v>0</v>
      </c>
      <c r="E10" s="915"/>
      <c r="F10" s="189"/>
      <c r="G10" s="150"/>
    </row>
    <row r="11" spans="1:8">
      <c r="A11" s="101" t="s">
        <v>517</v>
      </c>
      <c r="B11" s="914">
        <v>0</v>
      </c>
      <c r="C11" s="915"/>
      <c r="D11" s="914">
        <v>0</v>
      </c>
      <c r="E11" s="915"/>
      <c r="F11" s="189"/>
      <c r="G11" s="150"/>
    </row>
    <row r="12" spans="1:8" ht="12.75" customHeight="1">
      <c r="A12" s="101" t="s">
        <v>518</v>
      </c>
      <c r="B12" s="914"/>
      <c r="C12" s="978"/>
      <c r="D12" s="914">
        <v>0</v>
      </c>
      <c r="E12" s="915"/>
      <c r="F12" s="189"/>
      <c r="G12" s="150"/>
    </row>
    <row r="13" spans="1:8" ht="12.75" customHeight="1">
      <c r="A13" s="101" t="s">
        <v>519</v>
      </c>
      <c r="B13" s="914">
        <v>0</v>
      </c>
      <c r="C13" s="915"/>
      <c r="D13" s="914">
        <v>0</v>
      </c>
      <c r="E13" s="915"/>
      <c r="F13" s="189"/>
      <c r="G13" s="150"/>
    </row>
    <row r="14" spans="1:8" ht="12.75" customHeight="1">
      <c r="A14" s="101" t="s">
        <v>520</v>
      </c>
      <c r="B14" s="914">
        <v>0</v>
      </c>
      <c r="C14" s="915"/>
      <c r="D14" s="914">
        <v>0</v>
      </c>
      <c r="E14" s="915"/>
      <c r="F14" s="189"/>
      <c r="G14" s="150"/>
    </row>
    <row r="15" spans="1:8" ht="12.75" customHeight="1">
      <c r="A15" s="332"/>
      <c r="B15" s="235"/>
      <c r="C15" s="333"/>
      <c r="D15" s="235"/>
      <c r="E15" s="333"/>
      <c r="F15" s="150"/>
      <c r="G15" s="150"/>
    </row>
    <row r="16" spans="1:8">
      <c r="A16" s="104" t="s">
        <v>317</v>
      </c>
    </row>
    <row r="17" spans="1:7">
      <c r="A17" s="850"/>
      <c r="B17" s="987"/>
      <c r="C17" s="987"/>
      <c r="D17" s="987"/>
      <c r="E17" s="987"/>
    </row>
    <row r="18" spans="1:7">
      <c r="A18" s="987"/>
      <c r="B18" s="987"/>
      <c r="C18" s="987"/>
      <c r="D18" s="987"/>
      <c r="E18" s="987"/>
    </row>
    <row r="19" spans="1:7">
      <c r="A19" s="105"/>
    </row>
    <row r="21" spans="1:7" ht="33.75" customHeight="1">
      <c r="A21" s="979" t="s">
        <v>521</v>
      </c>
      <c r="B21" s="980"/>
      <c r="C21" s="980"/>
      <c r="D21" s="980"/>
      <c r="E21" s="981"/>
      <c r="F21" s="186"/>
      <c r="G21" s="187"/>
    </row>
    <row r="22" spans="1:7">
      <c r="A22" s="188" t="s">
        <v>139</v>
      </c>
      <c r="B22" s="982" t="s">
        <v>371</v>
      </c>
      <c r="C22" s="983"/>
      <c r="D22" s="982" t="s">
        <v>372</v>
      </c>
      <c r="E22" s="983"/>
      <c r="F22" s="186"/>
      <c r="G22" s="187"/>
    </row>
    <row r="23" spans="1:7" ht="38.25" customHeight="1">
      <c r="A23" s="102" t="s">
        <v>522</v>
      </c>
      <c r="B23" s="501"/>
      <c r="C23" s="532"/>
      <c r="D23" s="501"/>
      <c r="E23" s="532"/>
      <c r="F23" s="190"/>
      <c r="G23" s="139"/>
    </row>
    <row r="24" spans="1:7" ht="12.75" customHeight="1">
      <c r="A24" s="101" t="s">
        <v>523</v>
      </c>
      <c r="B24" s="914">
        <v>0</v>
      </c>
      <c r="C24" s="915"/>
      <c r="D24" s="914">
        <v>0</v>
      </c>
      <c r="E24" s="915"/>
      <c r="F24" s="189"/>
      <c r="G24" s="150"/>
    </row>
    <row r="25" spans="1:7">
      <c r="A25" s="101" t="s">
        <v>524</v>
      </c>
      <c r="B25" s="914">
        <v>0</v>
      </c>
      <c r="C25" s="915"/>
      <c r="D25" s="914">
        <v>0</v>
      </c>
      <c r="E25" s="915"/>
      <c r="F25" s="189"/>
      <c r="G25" s="150"/>
    </row>
    <row r="26" spans="1:7">
      <c r="A26" s="101" t="s">
        <v>525</v>
      </c>
      <c r="B26" s="914">
        <v>0</v>
      </c>
      <c r="C26" s="915"/>
      <c r="D26" s="914">
        <v>0</v>
      </c>
      <c r="E26" s="915"/>
      <c r="F26" s="189"/>
      <c r="G26" s="150"/>
    </row>
    <row r="27" spans="1:7" ht="12.75" customHeight="1">
      <c r="A27" s="101" t="s">
        <v>526</v>
      </c>
      <c r="B27" s="914">
        <v>0</v>
      </c>
      <c r="C27" s="915"/>
      <c r="D27" s="914">
        <v>0</v>
      </c>
      <c r="E27" s="915"/>
      <c r="F27" s="189"/>
      <c r="G27" s="150"/>
    </row>
    <row r="28" spans="1:7">
      <c r="A28" s="101" t="s">
        <v>527</v>
      </c>
      <c r="B28" s="914"/>
      <c r="C28" s="978"/>
      <c r="D28" s="914"/>
      <c r="E28" s="978"/>
      <c r="F28" s="189"/>
      <c r="G28" s="150"/>
    </row>
    <row r="29" spans="1:7" ht="12.75" customHeight="1">
      <c r="A29" s="102" t="s">
        <v>522</v>
      </c>
      <c r="B29" s="984">
        <v>0</v>
      </c>
      <c r="C29" s="985"/>
      <c r="D29" s="984">
        <v>0</v>
      </c>
      <c r="E29" s="986"/>
      <c r="F29" s="190"/>
      <c r="G29" s="139"/>
    </row>
    <row r="30" spans="1:7" s="322" customFormat="1" ht="12.75" customHeight="1">
      <c r="A30" s="323"/>
      <c r="B30" s="325"/>
      <c r="C30" s="325"/>
      <c r="D30" s="325"/>
      <c r="E30" s="325"/>
      <c r="F30" s="334"/>
      <c r="G30" s="334"/>
    </row>
    <row r="31" spans="1:7">
      <c r="A31" s="104" t="s">
        <v>317</v>
      </c>
    </row>
    <row r="32" spans="1:7">
      <c r="A32" s="841"/>
      <c r="B32" s="903"/>
      <c r="C32" s="903"/>
      <c r="D32" s="903"/>
      <c r="E32" s="903"/>
    </row>
    <row r="35" spans="1:8" ht="15.75" customHeight="1">
      <c r="A35" s="979" t="s">
        <v>528</v>
      </c>
      <c r="B35" s="980"/>
      <c r="C35" s="980"/>
      <c r="D35" s="980"/>
      <c r="E35" s="980"/>
      <c r="F35" s="981"/>
      <c r="G35" s="191"/>
      <c r="H35" s="187"/>
    </row>
    <row r="36" spans="1:8">
      <c r="A36" s="192" t="s">
        <v>139</v>
      </c>
      <c r="B36" s="193"/>
      <c r="C36" s="982" t="s">
        <v>371</v>
      </c>
      <c r="D36" s="983"/>
      <c r="E36" s="982" t="s">
        <v>372</v>
      </c>
      <c r="F36" s="983"/>
      <c r="G36" s="191"/>
      <c r="H36" s="187"/>
    </row>
    <row r="37" spans="1:8">
      <c r="A37" s="194"/>
      <c r="B37" s="195"/>
      <c r="C37" s="109" t="s">
        <v>529</v>
      </c>
      <c r="D37" s="180" t="s">
        <v>530</v>
      </c>
      <c r="E37" s="109" t="s">
        <v>529</v>
      </c>
      <c r="F37" s="180" t="s">
        <v>530</v>
      </c>
      <c r="G37" s="190"/>
      <c r="H37" s="139"/>
    </row>
    <row r="38" spans="1:8">
      <c r="A38" s="976" t="s">
        <v>531</v>
      </c>
      <c r="B38" s="977"/>
      <c r="C38" s="476">
        <v>0</v>
      </c>
      <c r="D38" s="476">
        <v>0</v>
      </c>
      <c r="E38" s="476">
        <v>0</v>
      </c>
      <c r="F38" s="476">
        <v>0</v>
      </c>
      <c r="G38" s="189"/>
      <c r="H38" s="150"/>
    </row>
    <row r="39" spans="1:8">
      <c r="A39" s="976" t="s">
        <v>532</v>
      </c>
      <c r="B39" s="977"/>
      <c r="C39" s="476">
        <v>0</v>
      </c>
      <c r="D39" s="476">
        <v>0</v>
      </c>
      <c r="E39" s="476">
        <v>0</v>
      </c>
      <c r="F39" s="476">
        <v>0</v>
      </c>
      <c r="G39" s="189"/>
      <c r="H39" s="150"/>
    </row>
    <row r="40" spans="1:8">
      <c r="A40" s="976" t="s">
        <v>533</v>
      </c>
      <c r="B40" s="977"/>
      <c r="C40" s="476">
        <v>0</v>
      </c>
      <c r="D40" s="476">
        <v>0</v>
      </c>
      <c r="E40" s="476">
        <v>0</v>
      </c>
      <c r="F40" s="476">
        <v>0</v>
      </c>
      <c r="G40" s="189"/>
      <c r="H40" s="150"/>
    </row>
    <row r="41" spans="1:8">
      <c r="A41" s="104" t="s">
        <v>317</v>
      </c>
    </row>
    <row r="42" spans="1:8">
      <c r="A42" s="868" t="s">
        <v>1456</v>
      </c>
      <c r="B42" s="903"/>
      <c r="C42" s="903"/>
      <c r="D42" s="903"/>
      <c r="E42" s="903"/>
      <c r="F42" s="903"/>
    </row>
  </sheetData>
  <mergeCells count="45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A17:E18"/>
    <mergeCell ref="B25:C25"/>
    <mergeCell ref="D25:E25"/>
    <mergeCell ref="B26:C26"/>
    <mergeCell ref="D26:E26"/>
    <mergeCell ref="B27:C27"/>
    <mergeCell ref="D27:E27"/>
    <mergeCell ref="A42:F42"/>
    <mergeCell ref="A39:B39"/>
    <mergeCell ref="A40:B40"/>
    <mergeCell ref="B28:C28"/>
    <mergeCell ref="D28:E28"/>
    <mergeCell ref="A35:F35"/>
    <mergeCell ref="C36:D36"/>
    <mergeCell ref="E36:F36"/>
    <mergeCell ref="A38:B38"/>
    <mergeCell ref="A32:E32"/>
    <mergeCell ref="B29:C29"/>
    <mergeCell ref="D29:E29"/>
  </mergeCells>
  <dataValidations xWindow="343" yWindow="386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B30 C30 C23:C28 D23:D30 E23:E28 E3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showGridLines="0" workbookViewId="0">
      <selection activeCell="A27" sqref="A27:E28"/>
    </sheetView>
  </sheetViews>
  <sheetFormatPr baseColWidth="10" defaultColWidth="10.28515625" defaultRowHeight="12.75"/>
  <cols>
    <col min="1" max="1" width="33.7109375" style="99" customWidth="1" collapsed="1"/>
    <col min="2" max="2" width="22.42578125" style="99" customWidth="1" collapsed="1"/>
    <col min="3" max="3" width="21.28515625" style="99" customWidth="1" collapsed="1"/>
    <col min="4" max="4" width="14.85546875" style="99" customWidth="1" collapsed="1"/>
    <col min="5" max="5" width="16.85546875" style="99" customWidth="1" collapsed="1"/>
    <col min="6" max="6" width="11.7109375" style="99" customWidth="1" collapsed="1"/>
    <col min="7" max="16384" width="10.28515625" style="99" collapsed="1"/>
  </cols>
  <sheetData>
    <row r="1" spans="1:7" ht="18.75" customHeight="1">
      <c r="A1" s="988" t="s">
        <v>534</v>
      </c>
      <c r="B1" s="988"/>
      <c r="C1" s="988"/>
      <c r="D1" s="988"/>
      <c r="E1" s="988"/>
      <c r="F1" s="182"/>
      <c r="G1" s="182"/>
    </row>
    <row r="3" spans="1:7">
      <c r="A3" s="905" t="s">
        <v>279</v>
      </c>
      <c r="B3" s="905"/>
      <c r="C3" s="99" t="s">
        <v>909</v>
      </c>
      <c r="D3" s="196"/>
      <c r="E3" s="494">
        <f>+'Fiche de renseignement R1'!$V$10</f>
        <v>45657</v>
      </c>
    </row>
    <row r="4" spans="1:7">
      <c r="A4" s="883" t="str">
        <f>'Fiche de renseignement R1'!$J$4</f>
        <v>SOCIETE NOUVELLE DES SALINS DU SINE SALOUM</v>
      </c>
      <c r="B4" s="906"/>
      <c r="C4" s="990" t="s">
        <v>910</v>
      </c>
      <c r="D4" s="139"/>
      <c r="E4" s="991">
        <f>+'Fiche de renseignement R1'!$AH$10</f>
        <v>12</v>
      </c>
    </row>
    <row r="5" spans="1:7">
      <c r="A5" s="99" t="s">
        <v>282</v>
      </c>
      <c r="B5" s="495" t="str">
        <f>+'Fiche de renseignement R1'!$J$10</f>
        <v>000018699</v>
      </c>
      <c r="C5" s="990"/>
      <c r="D5" s="139"/>
      <c r="E5" s="993"/>
    </row>
    <row r="8" spans="1:7" ht="15.75" customHeight="1">
      <c r="A8" s="979" t="s">
        <v>535</v>
      </c>
      <c r="B8" s="980"/>
      <c r="C8" s="980"/>
      <c r="D8" s="202"/>
      <c r="F8" s="187"/>
    </row>
    <row r="9" spans="1:7">
      <c r="A9" s="188" t="s">
        <v>139</v>
      </c>
      <c r="B9" s="197" t="s">
        <v>371</v>
      </c>
      <c r="C9" s="198" t="s">
        <v>372</v>
      </c>
      <c r="D9" s="203"/>
      <c r="E9" s="204"/>
      <c r="F9" s="187"/>
    </row>
    <row r="10" spans="1:7" ht="25.5" customHeight="1">
      <c r="A10" s="101" t="s">
        <v>536</v>
      </c>
      <c r="B10" s="498">
        <v>0</v>
      </c>
      <c r="C10" s="500">
        <v>0</v>
      </c>
      <c r="D10" s="190"/>
      <c r="E10" s="150"/>
      <c r="F10" s="150"/>
    </row>
    <row r="11" spans="1:7" ht="25.5" customHeight="1">
      <c r="A11" s="101" t="s">
        <v>537</v>
      </c>
      <c r="B11" s="498">
        <v>0</v>
      </c>
      <c r="C11" s="500">
        <v>0</v>
      </c>
      <c r="D11" s="190"/>
      <c r="E11" s="204"/>
      <c r="F11" s="150"/>
    </row>
    <row r="12" spans="1:7">
      <c r="A12" s="102" t="s">
        <v>538</v>
      </c>
      <c r="B12" s="532">
        <v>0</v>
      </c>
      <c r="C12" s="501">
        <v>0</v>
      </c>
      <c r="D12" s="190"/>
      <c r="E12" s="139"/>
      <c r="F12" s="139"/>
    </row>
    <row r="13" spans="1:7" s="322" customFormat="1">
      <c r="A13" s="323"/>
      <c r="B13" s="325"/>
      <c r="C13" s="325"/>
      <c r="D13" s="334"/>
      <c r="E13" s="334"/>
      <c r="F13" s="334"/>
    </row>
    <row r="14" spans="1:7">
      <c r="A14" s="104" t="s">
        <v>317</v>
      </c>
    </row>
    <row r="15" spans="1:7" ht="15.75" customHeight="1">
      <c r="A15" s="841"/>
      <c r="B15" s="903"/>
      <c r="C15" s="903"/>
    </row>
    <row r="18" spans="1:7" ht="15.75" customHeight="1">
      <c r="A18" s="979" t="s">
        <v>539</v>
      </c>
      <c r="B18" s="980"/>
      <c r="C18" s="980"/>
      <c r="D18" s="980"/>
      <c r="E18" s="981"/>
      <c r="F18" s="191"/>
      <c r="G18" s="187"/>
    </row>
    <row r="19" spans="1:7">
      <c r="A19" s="192" t="s">
        <v>139</v>
      </c>
      <c r="B19" s="982" t="s">
        <v>371</v>
      </c>
      <c r="C19" s="983"/>
      <c r="D19" s="197"/>
      <c r="E19" s="197"/>
      <c r="F19" s="191"/>
      <c r="G19" s="187"/>
    </row>
    <row r="20" spans="1:7" ht="25.5" customHeight="1">
      <c r="A20" s="194"/>
      <c r="B20" s="199" t="s">
        <v>540</v>
      </c>
      <c r="C20" s="199" t="s">
        <v>541</v>
      </c>
      <c r="D20" s="199" t="s">
        <v>540</v>
      </c>
      <c r="E20" s="199" t="s">
        <v>541</v>
      </c>
      <c r="F20" s="190"/>
      <c r="G20" s="139"/>
    </row>
    <row r="21" spans="1:7">
      <c r="A21" s="200" t="s">
        <v>436</v>
      </c>
      <c r="B21" s="459">
        <v>0</v>
      </c>
      <c r="C21" s="459">
        <v>0</v>
      </c>
      <c r="D21" s="459">
        <v>0</v>
      </c>
      <c r="E21" s="459">
        <v>0</v>
      </c>
      <c r="F21" s="189"/>
      <c r="G21" s="150"/>
    </row>
    <row r="22" spans="1:7">
      <c r="A22" s="200" t="s">
        <v>437</v>
      </c>
      <c r="B22" s="459">
        <v>0</v>
      </c>
      <c r="C22" s="459">
        <v>0</v>
      </c>
      <c r="D22" s="459">
        <v>0</v>
      </c>
      <c r="E22" s="459">
        <v>0</v>
      </c>
      <c r="F22" s="189"/>
      <c r="G22" s="150"/>
    </row>
    <row r="23" spans="1:7">
      <c r="A23" s="200" t="s">
        <v>287</v>
      </c>
      <c r="B23" s="459">
        <v>0</v>
      </c>
      <c r="C23" s="459">
        <v>0</v>
      </c>
      <c r="D23" s="459">
        <v>0</v>
      </c>
      <c r="E23" s="459">
        <v>0</v>
      </c>
      <c r="F23" s="189"/>
      <c r="G23" s="150"/>
    </row>
    <row r="24" spans="1:7">
      <c r="A24" s="194" t="s">
        <v>105</v>
      </c>
      <c r="B24" s="533">
        <v>0</v>
      </c>
      <c r="C24" s="533">
        <v>0</v>
      </c>
      <c r="D24" s="533">
        <v>0</v>
      </c>
      <c r="E24" s="533">
        <v>0</v>
      </c>
      <c r="F24" s="150"/>
      <c r="G24" s="150"/>
    </row>
    <row r="25" spans="1:7" s="322" customFormat="1">
      <c r="A25" s="323"/>
      <c r="B25" s="335"/>
      <c r="C25" s="335"/>
      <c r="D25" s="335"/>
      <c r="E25" s="335"/>
      <c r="F25" s="336"/>
      <c r="G25" s="336"/>
    </row>
    <row r="26" spans="1:7">
      <c r="A26" s="104" t="s">
        <v>317</v>
      </c>
    </row>
    <row r="27" spans="1:7" ht="16.5" customHeight="1">
      <c r="A27" s="868" t="s">
        <v>1456</v>
      </c>
      <c r="B27" s="903"/>
      <c r="C27" s="903"/>
      <c r="D27" s="903"/>
      <c r="E27" s="903"/>
    </row>
    <row r="28" spans="1:7" ht="13.5" customHeight="1">
      <c r="A28" s="903"/>
      <c r="B28" s="903"/>
      <c r="C28" s="903"/>
      <c r="D28" s="903"/>
      <c r="E28" s="903"/>
    </row>
  </sheetData>
  <mergeCells count="10">
    <mergeCell ref="A27:E28"/>
    <mergeCell ref="A15:C15"/>
    <mergeCell ref="A18:E18"/>
    <mergeCell ref="B19:C19"/>
    <mergeCell ref="A1:E1"/>
    <mergeCell ref="A3:B3"/>
    <mergeCell ref="A4:B4"/>
    <mergeCell ref="C4:C5"/>
    <mergeCell ref="E4:E5"/>
    <mergeCell ref="A8:C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showGridLines="0" workbookViewId="0">
      <selection sqref="A1:D1"/>
    </sheetView>
  </sheetViews>
  <sheetFormatPr baseColWidth="10" defaultColWidth="10.28515625" defaultRowHeight="12.75"/>
  <cols>
    <col min="1" max="1" width="33.7109375" style="99" customWidth="1" collapsed="1"/>
    <col min="2" max="2" width="11.7109375" style="99" customWidth="1" collapsed="1"/>
    <col min="3" max="3" width="14.7109375" style="99" customWidth="1" collapsed="1"/>
    <col min="4" max="4" width="23.85546875" style="99" customWidth="1" collapsed="1"/>
    <col min="5" max="5" width="11.7109375" style="99" customWidth="1" collapsed="1"/>
    <col min="6" max="16384" width="10.28515625" style="99" collapsed="1"/>
  </cols>
  <sheetData>
    <row r="1" spans="1:6" ht="18.75" customHeight="1">
      <c r="A1" s="988" t="s">
        <v>546</v>
      </c>
      <c r="B1" s="988"/>
      <c r="C1" s="988"/>
      <c r="D1" s="988"/>
      <c r="E1" s="182"/>
      <c r="F1" s="182"/>
    </row>
    <row r="3" spans="1:6" ht="12.75" customHeight="1">
      <c r="A3" s="905" t="s">
        <v>279</v>
      </c>
      <c r="B3" s="905"/>
      <c r="C3" s="107" t="s">
        <v>280</v>
      </c>
      <c r="D3" s="494">
        <f>+'Fiche de renseignement R1'!$V$10</f>
        <v>45657</v>
      </c>
    </row>
    <row r="4" spans="1:6">
      <c r="A4" s="883" t="str">
        <f>'Fiche de renseignement R1'!$J$4</f>
        <v>SOCIETE NOUVELLE DES SALINS DU SINE SALOUM</v>
      </c>
      <c r="B4" s="906"/>
      <c r="C4" s="931" t="s">
        <v>281</v>
      </c>
      <c r="D4" s="991">
        <f>+'Fiche de renseignement R1'!$AH$10</f>
        <v>12</v>
      </c>
    </row>
    <row r="5" spans="1:6">
      <c r="A5" s="99" t="s">
        <v>282</v>
      </c>
      <c r="B5" s="495" t="str">
        <f>+'Fiche de renseignement R1'!$J$10</f>
        <v>000018699</v>
      </c>
      <c r="C5" s="931"/>
      <c r="D5" s="993"/>
    </row>
    <row r="8" spans="1:6">
      <c r="A8" s="1000" t="s">
        <v>139</v>
      </c>
      <c r="B8" s="1001"/>
      <c r="C8" s="197" t="s">
        <v>371</v>
      </c>
      <c r="D8" s="138" t="s">
        <v>372</v>
      </c>
      <c r="E8" s="187"/>
    </row>
    <row r="9" spans="1:6">
      <c r="A9" s="998" t="s">
        <v>542</v>
      </c>
      <c r="B9" s="999"/>
      <c r="C9" s="534"/>
      <c r="D9" s="510"/>
      <c r="E9" s="139"/>
    </row>
    <row r="10" spans="1:6">
      <c r="A10" s="994" t="s">
        <v>543</v>
      </c>
      <c r="B10" s="995"/>
      <c r="C10" s="498">
        <v>0</v>
      </c>
      <c r="D10" s="459">
        <v>0</v>
      </c>
      <c r="E10" s="150"/>
    </row>
    <row r="11" spans="1:6">
      <c r="A11" s="996" t="s">
        <v>544</v>
      </c>
      <c r="B11" s="997"/>
      <c r="C11" s="498">
        <v>0</v>
      </c>
      <c r="D11" s="459">
        <v>0</v>
      </c>
      <c r="E11" s="150"/>
    </row>
    <row r="12" spans="1:6">
      <c r="A12" s="996" t="s">
        <v>544</v>
      </c>
      <c r="B12" s="997"/>
      <c r="C12" s="498">
        <v>0</v>
      </c>
      <c r="D12" s="459">
        <v>0</v>
      </c>
      <c r="E12" s="150"/>
    </row>
    <row r="13" spans="1:6">
      <c r="A13" s="998" t="s">
        <v>545</v>
      </c>
      <c r="B13" s="999"/>
      <c r="C13" s="532"/>
      <c r="D13" s="502"/>
      <c r="E13" s="139"/>
    </row>
    <row r="14" spans="1:6">
      <c r="A14" s="994" t="s">
        <v>543</v>
      </c>
      <c r="B14" s="995"/>
      <c r="C14" s="498">
        <v>0</v>
      </c>
      <c r="D14" s="459">
        <v>0</v>
      </c>
      <c r="E14" s="150"/>
    </row>
    <row r="15" spans="1:6">
      <c r="A15" s="996" t="s">
        <v>544</v>
      </c>
      <c r="B15" s="997"/>
      <c r="C15" s="498">
        <v>0</v>
      </c>
      <c r="D15" s="459">
        <v>0</v>
      </c>
      <c r="E15" s="150"/>
    </row>
    <row r="16" spans="1:6">
      <c r="A16" s="996" t="s">
        <v>544</v>
      </c>
      <c r="B16" s="997"/>
      <c r="C16" s="498">
        <v>0</v>
      </c>
      <c r="D16" s="459">
        <v>0</v>
      </c>
      <c r="E16" s="150"/>
    </row>
    <row r="17" spans="1:5">
      <c r="A17" s="337"/>
      <c r="B17" s="337"/>
      <c r="C17" s="235"/>
      <c r="D17" s="235"/>
      <c r="E17" s="150"/>
    </row>
    <row r="18" spans="1:5">
      <c r="A18" s="104" t="s">
        <v>317</v>
      </c>
    </row>
    <row r="19" spans="1:5">
      <c r="A19" s="841"/>
      <c r="B19" s="903"/>
      <c r="C19" s="903"/>
      <c r="D19" s="903"/>
    </row>
    <row r="20" spans="1:5">
      <c r="A20" s="903"/>
      <c r="B20" s="903"/>
      <c r="C20" s="903"/>
      <c r="D20" s="903"/>
    </row>
    <row r="21" spans="1:5">
      <c r="A21" s="105"/>
    </row>
  </sheetData>
  <mergeCells count="15">
    <mergeCell ref="A19:D20"/>
    <mergeCell ref="A14:B14"/>
    <mergeCell ref="A15:B15"/>
    <mergeCell ref="A16:B16"/>
    <mergeCell ref="A1:D1"/>
    <mergeCell ref="C4:C5"/>
    <mergeCell ref="D4:D5"/>
    <mergeCell ref="A3:B3"/>
    <mergeCell ref="A4:B4"/>
    <mergeCell ref="A13:B13"/>
    <mergeCell ref="A8:B8"/>
    <mergeCell ref="A9:B9"/>
    <mergeCell ref="A10:B10"/>
    <mergeCell ref="A11:B11"/>
    <mergeCell ref="A12:B12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24"/>
  <sheetViews>
    <sheetView showGridLines="0" workbookViewId="0">
      <selection activeCell="D9" sqref="D9:D19"/>
    </sheetView>
  </sheetViews>
  <sheetFormatPr baseColWidth="10" defaultColWidth="11.42578125" defaultRowHeight="12.75"/>
  <cols>
    <col min="1" max="1" width="43.7109375" style="256" customWidth="1" collapsed="1"/>
    <col min="2" max="3" width="13.85546875" style="256" customWidth="1" collapsed="1"/>
    <col min="4" max="4" width="8" style="256" customWidth="1" collapsed="1"/>
    <col min="5" max="8" width="13.85546875" style="256" customWidth="1" collapsed="1"/>
    <col min="9" max="16384" width="11.42578125" style="256" collapsed="1"/>
  </cols>
  <sheetData>
    <row r="1" spans="1:7" ht="18.75" customHeight="1">
      <c r="A1" s="796" t="s">
        <v>547</v>
      </c>
      <c r="B1" s="796"/>
      <c r="C1" s="796"/>
      <c r="D1" s="796"/>
      <c r="E1" s="796"/>
      <c r="F1" s="796"/>
      <c r="G1" s="796"/>
    </row>
    <row r="2" spans="1:7">
      <c r="A2" s="210"/>
      <c r="B2" s="210"/>
      <c r="C2" s="210"/>
      <c r="D2" s="210"/>
      <c r="E2" s="210"/>
      <c r="F2" s="210"/>
      <c r="G2" s="210"/>
    </row>
    <row r="3" spans="1:7">
      <c r="A3" s="210" t="s">
        <v>279</v>
      </c>
      <c r="B3" s="210"/>
      <c r="C3" s="210"/>
      <c r="D3" s="210"/>
      <c r="E3" s="210" t="s">
        <v>280</v>
      </c>
      <c r="F3" s="974">
        <f>+'Fiche de renseignement R1'!$V$10</f>
        <v>45657</v>
      </c>
      <c r="G3" s="972"/>
    </row>
    <row r="4" spans="1:7">
      <c r="A4" s="971" t="str">
        <f>'Fiche de renseignement R1'!$J$4</f>
        <v>SOCIETE NOUVELLE DES SALINS DU SINE SALOUM</v>
      </c>
      <c r="B4" s="972"/>
      <c r="C4" s="972"/>
      <c r="D4" s="210"/>
      <c r="E4" s="210" t="s">
        <v>281</v>
      </c>
      <c r="F4" s="971">
        <f>+'Fiche de renseignement R1'!$AH$10</f>
        <v>12</v>
      </c>
      <c r="G4" s="972"/>
    </row>
    <row r="5" spans="1:7">
      <c r="A5" s="210" t="s">
        <v>282</v>
      </c>
      <c r="B5" s="971" t="str">
        <f>+'Fiche de renseignement R1'!$J$10</f>
        <v>000018699</v>
      </c>
      <c r="C5" s="972"/>
      <c r="D5" s="210"/>
      <c r="E5" s="210"/>
      <c r="F5" s="210"/>
      <c r="G5" s="210"/>
    </row>
    <row r="6" spans="1:7">
      <c r="A6" s="210"/>
      <c r="B6" s="210"/>
      <c r="C6" s="210"/>
      <c r="D6" s="210"/>
      <c r="E6" s="210"/>
      <c r="F6" s="210"/>
      <c r="G6" s="210"/>
    </row>
    <row r="7" spans="1:7" ht="25.5" customHeight="1">
      <c r="A7" s="783" t="s">
        <v>139</v>
      </c>
      <c r="B7" s="783" t="s">
        <v>371</v>
      </c>
      <c r="C7" s="783" t="s">
        <v>372</v>
      </c>
      <c r="D7" s="847" t="s">
        <v>373</v>
      </c>
      <c r="E7" s="847" t="s">
        <v>510</v>
      </c>
      <c r="F7" s="847" t="s">
        <v>511</v>
      </c>
      <c r="G7" s="847" t="s">
        <v>512</v>
      </c>
    </row>
    <row r="8" spans="1:7" ht="25.5" customHeight="1">
      <c r="A8" s="785"/>
      <c r="B8" s="785"/>
      <c r="C8" s="785"/>
      <c r="D8" s="830"/>
      <c r="E8" s="830"/>
      <c r="F8" s="830"/>
      <c r="G8" s="830"/>
    </row>
    <row r="9" spans="1:7">
      <c r="A9" s="301" t="s">
        <v>1112</v>
      </c>
      <c r="B9" s="609">
        <v>636712368</v>
      </c>
      <c r="C9" s="609">
        <v>786475224</v>
      </c>
      <c r="D9" s="610" t="s">
        <v>1415</v>
      </c>
      <c r="E9" s="609">
        <v>636712368</v>
      </c>
      <c r="F9" s="459">
        <v>0</v>
      </c>
      <c r="G9" s="459">
        <v>0</v>
      </c>
    </row>
    <row r="10" spans="1:7">
      <c r="A10" s="301" t="s">
        <v>548</v>
      </c>
      <c r="B10" s="609">
        <v>0</v>
      </c>
      <c r="C10" s="609">
        <v>0</v>
      </c>
      <c r="D10" s="610"/>
      <c r="E10" s="609">
        <v>0</v>
      </c>
      <c r="F10" s="459">
        <v>0</v>
      </c>
      <c r="G10" s="459">
        <v>0</v>
      </c>
    </row>
    <row r="11" spans="1:7">
      <c r="A11" s="301" t="s">
        <v>1113</v>
      </c>
      <c r="B11" s="609">
        <v>0</v>
      </c>
      <c r="C11" s="609">
        <v>0</v>
      </c>
      <c r="D11" s="610"/>
      <c r="E11" s="609">
        <v>0</v>
      </c>
      <c r="F11" s="459">
        <v>0</v>
      </c>
      <c r="G11" s="459">
        <v>0</v>
      </c>
    </row>
    <row r="12" spans="1:7">
      <c r="A12" s="261" t="s">
        <v>549</v>
      </c>
      <c r="B12" s="609">
        <v>21494702</v>
      </c>
      <c r="C12" s="609">
        <v>108588773</v>
      </c>
      <c r="D12" s="610">
        <v>-0.80205410369633701</v>
      </c>
      <c r="E12" s="609">
        <v>21494702</v>
      </c>
      <c r="F12" s="459">
        <v>0</v>
      </c>
      <c r="G12" s="459">
        <v>0</v>
      </c>
    </row>
    <row r="13" spans="1:7">
      <c r="A13" s="261" t="s">
        <v>550</v>
      </c>
      <c r="B13" s="609">
        <v>0</v>
      </c>
      <c r="C13" s="609">
        <v>0</v>
      </c>
      <c r="D13" s="610"/>
      <c r="E13" s="609">
        <v>0</v>
      </c>
      <c r="F13" s="459">
        <v>0</v>
      </c>
      <c r="G13" s="459">
        <v>0</v>
      </c>
    </row>
    <row r="14" spans="1:7" s="89" customFormat="1">
      <c r="A14" s="74" t="s">
        <v>551</v>
      </c>
      <c r="B14" s="622">
        <v>658207070</v>
      </c>
      <c r="C14" s="622">
        <v>895063997</v>
      </c>
      <c r="D14" s="625">
        <v>-0.26462568910589307</v>
      </c>
      <c r="E14" s="622">
        <v>658207070</v>
      </c>
      <c r="F14" s="461">
        <v>0</v>
      </c>
      <c r="G14" s="461">
        <v>0</v>
      </c>
    </row>
    <row r="15" spans="1:7" s="314" customFormat="1">
      <c r="A15" s="327"/>
      <c r="B15" s="623"/>
      <c r="C15" s="623"/>
      <c r="D15" s="626"/>
      <c r="E15" s="623"/>
      <c r="F15" s="526"/>
      <c r="G15" s="526"/>
    </row>
    <row r="16" spans="1:7">
      <c r="A16" s="261" t="s">
        <v>552</v>
      </c>
      <c r="B16" s="609">
        <v>72960138</v>
      </c>
      <c r="C16" s="609">
        <v>40979446</v>
      </c>
      <c r="D16" s="610">
        <v>0.78040810995834353</v>
      </c>
      <c r="E16" s="609">
        <v>72960138</v>
      </c>
      <c r="F16" s="459">
        <v>0</v>
      </c>
      <c r="G16" s="459">
        <v>0</v>
      </c>
    </row>
    <row r="17" spans="1:7">
      <c r="A17" s="261" t="s">
        <v>553</v>
      </c>
      <c r="B17" s="609">
        <v>0</v>
      </c>
      <c r="C17" s="609">
        <v>0</v>
      </c>
      <c r="D17" s="610"/>
      <c r="E17" s="609">
        <v>0</v>
      </c>
      <c r="F17" s="459">
        <v>0</v>
      </c>
      <c r="G17" s="459">
        <v>0</v>
      </c>
    </row>
    <row r="18" spans="1:7">
      <c r="A18" s="261" t="s">
        <v>554</v>
      </c>
      <c r="B18" s="609">
        <v>0</v>
      </c>
      <c r="C18" s="609">
        <v>0</v>
      </c>
      <c r="D18" s="610"/>
      <c r="E18" s="609">
        <v>0</v>
      </c>
      <c r="F18" s="459">
        <v>0</v>
      </c>
      <c r="G18" s="459">
        <v>0</v>
      </c>
    </row>
    <row r="19" spans="1:7" s="89" customFormat="1">
      <c r="A19" s="74" t="s">
        <v>555</v>
      </c>
      <c r="B19" s="622">
        <v>72960138</v>
      </c>
      <c r="C19" s="622">
        <v>40979446</v>
      </c>
      <c r="D19" s="625">
        <v>0.78040810995834353</v>
      </c>
      <c r="E19" s="622">
        <v>72960138</v>
      </c>
      <c r="F19" s="461">
        <v>0</v>
      </c>
      <c r="G19" s="461">
        <v>0</v>
      </c>
    </row>
    <row r="20" spans="1:7" s="375" customFormat="1">
      <c r="A20" s="372"/>
      <c r="B20" s="373"/>
      <c r="C20" s="373"/>
      <c r="D20" s="374"/>
      <c r="E20" s="373"/>
      <c r="F20" s="373"/>
      <c r="G20" s="373"/>
    </row>
    <row r="21" spans="1:7">
      <c r="A21" s="256" t="s">
        <v>317</v>
      </c>
    </row>
    <row r="22" spans="1:7">
      <c r="A22" s="841"/>
      <c r="B22" s="959"/>
      <c r="C22" s="959"/>
      <c r="D22" s="959"/>
      <c r="E22" s="959"/>
      <c r="F22" s="959"/>
      <c r="G22" s="959"/>
    </row>
    <row r="23" spans="1:7">
      <c r="A23" s="959"/>
      <c r="B23" s="959"/>
      <c r="C23" s="959"/>
      <c r="D23" s="959"/>
      <c r="E23" s="959"/>
      <c r="F23" s="959"/>
      <c r="G23" s="959"/>
    </row>
    <row r="24" spans="1:7">
      <c r="A24" s="959"/>
      <c r="B24" s="959"/>
      <c r="C24" s="959"/>
      <c r="D24" s="959"/>
      <c r="E24" s="959"/>
      <c r="F24" s="959"/>
      <c r="G24" s="959"/>
    </row>
  </sheetData>
  <mergeCells count="13">
    <mergeCell ref="G7:G8"/>
    <mergeCell ref="A22:G24"/>
    <mergeCell ref="A1:G1"/>
    <mergeCell ref="F3:G3"/>
    <mergeCell ref="F4:G4"/>
    <mergeCell ref="A4:C4"/>
    <mergeCell ref="B5:C5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K29"/>
  <sheetViews>
    <sheetView showGridLines="0" workbookViewId="0">
      <selection activeCell="F24" sqref="F24"/>
    </sheetView>
  </sheetViews>
  <sheetFormatPr baseColWidth="10" defaultColWidth="11.42578125" defaultRowHeight="12.75"/>
  <cols>
    <col min="1" max="1" width="31.140625" style="256" customWidth="1" collapsed="1"/>
    <col min="2" max="2" width="14.5703125" style="488" customWidth="1" collapsed="1"/>
    <col min="3" max="4" width="13.85546875" style="256" customWidth="1" collapsed="1"/>
    <col min="5" max="5" width="8" style="256" customWidth="1" collapsed="1"/>
    <col min="6" max="6" width="14.5703125" style="488" customWidth="1" collapsed="1"/>
    <col min="7" max="8" width="13.85546875" style="256" customWidth="1" collapsed="1"/>
    <col min="9" max="16384" width="11.42578125" style="256" collapsed="1"/>
  </cols>
  <sheetData>
    <row r="1" spans="1:11" ht="18.75" customHeight="1">
      <c r="A1" s="796" t="s">
        <v>556</v>
      </c>
      <c r="B1" s="796"/>
      <c r="C1" s="796"/>
      <c r="D1" s="796"/>
      <c r="E1" s="796"/>
      <c r="F1" s="796"/>
      <c r="G1" s="796"/>
      <c r="H1" s="796"/>
      <c r="I1" s="210"/>
    </row>
    <row r="2" spans="1:11">
      <c r="A2" s="210"/>
      <c r="B2" s="210"/>
      <c r="C2" s="210"/>
      <c r="D2" s="210"/>
      <c r="E2" s="210"/>
      <c r="F2" s="210"/>
      <c r="G2" s="210"/>
      <c r="H2" s="210"/>
      <c r="I2" s="210"/>
    </row>
    <row r="3" spans="1:11">
      <c r="A3" s="210" t="s">
        <v>279</v>
      </c>
      <c r="B3" s="210"/>
      <c r="C3" s="210"/>
      <c r="D3" s="210"/>
      <c r="E3" s="210"/>
      <c r="F3" s="210" t="s">
        <v>280</v>
      </c>
      <c r="G3" s="974">
        <f>+'Fiche de renseignement R1'!$V$10</f>
        <v>45657</v>
      </c>
      <c r="H3" s="972"/>
      <c r="I3" s="210"/>
    </row>
    <row r="4" spans="1:11">
      <c r="A4" s="971" t="str">
        <f>'Fiche de renseignement R1'!$J$4</f>
        <v>SOCIETE NOUVELLE DES SALINS DU SINE SALOUM</v>
      </c>
      <c r="B4" s="972"/>
      <c r="C4" s="972"/>
      <c r="D4" s="277"/>
      <c r="E4" s="210"/>
      <c r="F4" s="973" t="s">
        <v>281</v>
      </c>
      <c r="G4" s="971">
        <f>+'Fiche de renseignement R1'!$AH$10</f>
        <v>12</v>
      </c>
      <c r="H4" s="972"/>
      <c r="I4" s="210"/>
    </row>
    <row r="5" spans="1:11">
      <c r="A5" s="210" t="s">
        <v>282</v>
      </c>
      <c r="B5" s="971" t="str">
        <f>+'Fiche de renseignement R1'!$J$10</f>
        <v>000018699</v>
      </c>
      <c r="C5" s="972"/>
      <c r="D5" s="277"/>
      <c r="E5" s="210"/>
      <c r="F5" s="973"/>
      <c r="G5" s="972"/>
      <c r="H5" s="972"/>
      <c r="I5" s="210"/>
    </row>
    <row r="6" spans="1:11">
      <c r="A6" s="210"/>
      <c r="B6" s="210"/>
      <c r="C6" s="210"/>
      <c r="D6" s="210"/>
      <c r="E6" s="210"/>
      <c r="F6" s="210"/>
      <c r="G6" s="210"/>
      <c r="H6" s="210"/>
      <c r="I6" s="210"/>
    </row>
    <row r="7" spans="1:11">
      <c r="A7" s="847" t="s">
        <v>139</v>
      </c>
      <c r="B7" s="847" t="s">
        <v>371</v>
      </c>
      <c r="C7" s="847" t="s">
        <v>372</v>
      </c>
      <c r="D7" s="847" t="s">
        <v>927</v>
      </c>
      <c r="E7" s="847" t="s">
        <v>373</v>
      </c>
      <c r="F7" s="847" t="s">
        <v>510</v>
      </c>
      <c r="G7" s="801" t="s">
        <v>511</v>
      </c>
      <c r="H7" s="801" t="s">
        <v>512</v>
      </c>
    </row>
    <row r="8" spans="1:11" ht="25.5" customHeight="1">
      <c r="A8" s="830"/>
      <c r="B8" s="830"/>
      <c r="C8" s="830"/>
      <c r="D8" s="830"/>
      <c r="E8" s="830"/>
      <c r="F8" s="830"/>
      <c r="G8" s="802"/>
      <c r="H8" s="802"/>
    </row>
    <row r="9" spans="1:11" s="315" customFormat="1">
      <c r="A9" s="281" t="s">
        <v>929</v>
      </c>
      <c r="B9" s="628">
        <v>3204125</v>
      </c>
      <c r="C9" s="628">
        <v>3439125</v>
      </c>
      <c r="D9" s="629">
        <v>-235000</v>
      </c>
      <c r="E9" s="661">
        <v>-6.8331334278341149E-2</v>
      </c>
      <c r="F9" s="632">
        <v>3204125</v>
      </c>
      <c r="G9" s="476">
        <v>0</v>
      </c>
      <c r="H9" s="476">
        <v>0</v>
      </c>
      <c r="K9" s="627"/>
    </row>
    <row r="10" spans="1:11" s="315" customFormat="1">
      <c r="A10" s="281" t="s">
        <v>1114</v>
      </c>
      <c r="B10" s="628">
        <v>0</v>
      </c>
      <c r="C10" s="628">
        <v>1276100</v>
      </c>
      <c r="D10" s="629">
        <v>-1276100</v>
      </c>
      <c r="E10" s="661">
        <v>-1</v>
      </c>
      <c r="F10" s="632">
        <v>0</v>
      </c>
      <c r="G10" s="476">
        <v>0</v>
      </c>
      <c r="H10" s="476">
        <v>0</v>
      </c>
      <c r="K10" s="627"/>
    </row>
    <row r="11" spans="1:11" s="315" customFormat="1">
      <c r="A11" s="281" t="s">
        <v>557</v>
      </c>
      <c r="B11" s="628">
        <v>9719056</v>
      </c>
      <c r="C11" s="628">
        <v>13678245</v>
      </c>
      <c r="D11" s="629">
        <v>-3959189</v>
      </c>
      <c r="E11" s="661">
        <v>-28.945153416977103</v>
      </c>
      <c r="F11" s="632">
        <v>9719056</v>
      </c>
      <c r="G11" s="476">
        <v>0</v>
      </c>
      <c r="H11" s="476">
        <v>0</v>
      </c>
      <c r="K11" s="627"/>
    </row>
    <row r="12" spans="1:11" s="315" customFormat="1">
      <c r="A12" s="281" t="s">
        <v>558</v>
      </c>
      <c r="B12" s="628">
        <v>0</v>
      </c>
      <c r="C12" s="628">
        <v>0</v>
      </c>
      <c r="D12" s="629">
        <v>0</v>
      </c>
      <c r="E12" s="661">
        <v>0</v>
      </c>
      <c r="F12" s="632">
        <v>0</v>
      </c>
      <c r="G12" s="476">
        <v>0</v>
      </c>
      <c r="H12" s="476">
        <v>0</v>
      </c>
      <c r="K12" s="627"/>
    </row>
    <row r="13" spans="1:11" s="315" customFormat="1">
      <c r="A13" s="281" t="s">
        <v>559</v>
      </c>
      <c r="B13" s="628">
        <v>26513029</v>
      </c>
      <c r="C13" s="628">
        <v>15890659</v>
      </c>
      <c r="D13" s="629">
        <v>10622370</v>
      </c>
      <c r="E13" s="661">
        <v>66.846629834546192</v>
      </c>
      <c r="F13" s="632">
        <v>26513029</v>
      </c>
      <c r="G13" s="476">
        <v>0</v>
      </c>
      <c r="H13" s="476">
        <v>0</v>
      </c>
      <c r="K13" s="627"/>
    </row>
    <row r="14" spans="1:11" s="315" customFormat="1">
      <c r="A14" s="281" t="s">
        <v>560</v>
      </c>
      <c r="B14" s="628">
        <v>114929325</v>
      </c>
      <c r="C14" s="628">
        <v>51735900</v>
      </c>
      <c r="D14" s="628">
        <v>63193425</v>
      </c>
      <c r="E14" s="661">
        <v>122.14617895890474</v>
      </c>
      <c r="F14" s="632">
        <v>114929325</v>
      </c>
      <c r="G14" s="476">
        <v>0</v>
      </c>
      <c r="H14" s="476">
        <v>0</v>
      </c>
      <c r="K14" s="627"/>
    </row>
    <row r="15" spans="1:11" s="89" customFormat="1">
      <c r="A15" s="342" t="s">
        <v>1101</v>
      </c>
      <c r="B15" s="630">
        <v>154365535</v>
      </c>
      <c r="C15" s="630">
        <v>86020029</v>
      </c>
      <c r="D15" s="630">
        <v>68345506</v>
      </c>
      <c r="E15" s="662">
        <v>79.453014367153955</v>
      </c>
      <c r="F15" s="630">
        <v>154365535</v>
      </c>
      <c r="G15" s="535"/>
      <c r="H15" s="535"/>
      <c r="K15" s="627"/>
    </row>
    <row r="16" spans="1:11" s="314" customFormat="1">
      <c r="A16" s="338"/>
      <c r="B16" s="631">
        <v>0</v>
      </c>
      <c r="C16" s="631">
        <v>0</v>
      </c>
      <c r="D16" s="631">
        <v>0</v>
      </c>
      <c r="E16" s="663"/>
      <c r="F16" s="631">
        <v>0</v>
      </c>
      <c r="G16" s="536">
        <v>0</v>
      </c>
      <c r="H16" s="536">
        <v>0</v>
      </c>
      <c r="K16" s="627"/>
    </row>
    <row r="17" spans="1:11">
      <c r="A17" s="265" t="s">
        <v>561</v>
      </c>
      <c r="B17" s="632">
        <v>689324700</v>
      </c>
      <c r="C17" s="632">
        <v>822376950</v>
      </c>
      <c r="D17" s="632">
        <v>-133052250</v>
      </c>
      <c r="E17" s="664">
        <v>-16.178985804502425</v>
      </c>
      <c r="F17" s="632">
        <v>689324700</v>
      </c>
      <c r="G17" s="537">
        <v>0</v>
      </c>
      <c r="H17" s="537">
        <v>0</v>
      </c>
      <c r="K17" s="627"/>
    </row>
    <row r="18" spans="1:11">
      <c r="A18" s="265" t="s">
        <v>562</v>
      </c>
      <c r="B18" s="632">
        <v>28828777</v>
      </c>
      <c r="C18" s="632">
        <v>29526094</v>
      </c>
      <c r="D18" s="632">
        <v>-697317</v>
      </c>
      <c r="E18" s="664">
        <v>-2.3616974192387246</v>
      </c>
      <c r="F18" s="632">
        <v>28828777</v>
      </c>
      <c r="G18" s="537">
        <v>0</v>
      </c>
      <c r="H18" s="537">
        <v>0</v>
      </c>
      <c r="K18" s="627"/>
    </row>
    <row r="19" spans="1:11">
      <c r="A19" s="265" t="s">
        <v>563</v>
      </c>
      <c r="B19" s="632">
        <v>32542243</v>
      </c>
      <c r="C19" s="632">
        <v>37934283</v>
      </c>
      <c r="D19" s="632">
        <v>-5392040</v>
      </c>
      <c r="E19" s="664">
        <v>-14.214160842317753</v>
      </c>
      <c r="F19" s="632">
        <v>32542243</v>
      </c>
      <c r="G19" s="537">
        <v>0</v>
      </c>
      <c r="H19" s="537">
        <v>0</v>
      </c>
      <c r="K19" s="627"/>
    </row>
    <row r="20" spans="1:11">
      <c r="A20" s="265" t="s">
        <v>564</v>
      </c>
      <c r="B20" s="632">
        <v>35352296</v>
      </c>
      <c r="C20" s="632">
        <v>25686930</v>
      </c>
      <c r="D20" s="632">
        <v>9665366</v>
      </c>
      <c r="E20" s="664">
        <v>37.627563901174646</v>
      </c>
      <c r="F20" s="632">
        <v>35352296</v>
      </c>
      <c r="G20" s="537">
        <v>0</v>
      </c>
      <c r="H20" s="537">
        <v>0</v>
      </c>
      <c r="K20" s="627"/>
    </row>
    <row r="21" spans="1:11">
      <c r="A21" s="265" t="s">
        <v>565</v>
      </c>
      <c r="B21" s="632">
        <v>29073647</v>
      </c>
      <c r="C21" s="632">
        <v>29148647</v>
      </c>
      <c r="D21" s="632">
        <v>-75000</v>
      </c>
      <c r="E21" s="664">
        <v>-0.25730182261975998</v>
      </c>
      <c r="F21" s="632">
        <v>29073647</v>
      </c>
      <c r="G21" s="537">
        <v>0</v>
      </c>
      <c r="H21" s="537">
        <v>0</v>
      </c>
      <c r="K21" s="627"/>
    </row>
    <row r="22" spans="1:11" s="89" customFormat="1">
      <c r="A22" s="342" t="s">
        <v>1099</v>
      </c>
      <c r="B22" s="630">
        <v>815121663</v>
      </c>
      <c r="C22" s="630">
        <v>944672904</v>
      </c>
      <c r="D22" s="630">
        <v>-129551241</v>
      </c>
      <c r="E22" s="662">
        <v>-13.713872860272067</v>
      </c>
      <c r="F22" s="630">
        <v>815121663</v>
      </c>
      <c r="G22" s="535">
        <v>0</v>
      </c>
      <c r="H22" s="535">
        <v>0</v>
      </c>
      <c r="K22" s="627"/>
    </row>
    <row r="23" spans="1:11" s="314" customFormat="1">
      <c r="A23" s="338"/>
      <c r="B23" s="631"/>
      <c r="C23" s="631"/>
      <c r="D23" s="631">
        <v>0</v>
      </c>
      <c r="E23" s="663"/>
      <c r="F23" s="631"/>
      <c r="G23" s="536"/>
      <c r="H23" s="536"/>
      <c r="K23" s="627"/>
    </row>
    <row r="24" spans="1:11">
      <c r="A24" s="266" t="s">
        <v>1100</v>
      </c>
      <c r="B24" s="633">
        <v>969487198</v>
      </c>
      <c r="C24" s="633">
        <v>1030692933</v>
      </c>
      <c r="D24" s="633">
        <v>-61205735</v>
      </c>
      <c r="E24" s="665">
        <v>-5.9383093684217583</v>
      </c>
      <c r="F24" s="633">
        <v>969487198</v>
      </c>
      <c r="G24" s="538">
        <v>0</v>
      </c>
      <c r="H24" s="538">
        <v>0</v>
      </c>
      <c r="K24" s="627"/>
    </row>
    <row r="25" spans="1:11" s="314" customFormat="1">
      <c r="A25" s="339"/>
      <c r="B25" s="340"/>
      <c r="C25" s="340"/>
      <c r="D25" s="340"/>
      <c r="E25" s="341"/>
      <c r="F25" s="340"/>
      <c r="G25" s="340"/>
      <c r="H25" s="340"/>
      <c r="K25" s="627"/>
    </row>
    <row r="26" spans="1:11">
      <c r="A26" s="89" t="s">
        <v>317</v>
      </c>
    </row>
    <row r="27" spans="1:11">
      <c r="A27" s="841"/>
      <c r="B27" s="959"/>
      <c r="C27" s="959"/>
      <c r="D27" s="959"/>
      <c r="E27" s="959"/>
      <c r="F27" s="959"/>
      <c r="G27" s="959"/>
      <c r="H27" s="959"/>
    </row>
    <row r="28" spans="1:11">
      <c r="A28" s="959"/>
      <c r="B28" s="959"/>
      <c r="C28" s="959"/>
      <c r="D28" s="959"/>
      <c r="E28" s="959"/>
      <c r="F28" s="959"/>
      <c r="G28" s="959"/>
      <c r="H28" s="959"/>
    </row>
    <row r="29" spans="1:11">
      <c r="A29" s="959"/>
      <c r="B29" s="959"/>
      <c r="C29" s="959"/>
      <c r="D29" s="959"/>
      <c r="E29" s="959"/>
      <c r="F29" s="959"/>
      <c r="G29" s="959"/>
      <c r="H29" s="959"/>
    </row>
  </sheetData>
  <mergeCells count="15">
    <mergeCell ref="A1:H1"/>
    <mergeCell ref="A27:H29"/>
    <mergeCell ref="H7:H8"/>
    <mergeCell ref="G3:H3"/>
    <mergeCell ref="F4:F5"/>
    <mergeCell ref="G4:H5"/>
    <mergeCell ref="B5:C5"/>
    <mergeCell ref="A4:C4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39"/>
  <sheetViews>
    <sheetView showGridLines="0" topLeftCell="A11" workbookViewId="0">
      <selection activeCell="J13" sqref="J13:J15"/>
    </sheetView>
  </sheetViews>
  <sheetFormatPr baseColWidth="10" defaultColWidth="11.42578125" defaultRowHeight="12.75"/>
  <cols>
    <col min="1" max="1" width="36.140625" style="256" customWidth="1" collapsed="1"/>
    <col min="2" max="4" width="13.85546875" style="256" customWidth="1" collapsed="1"/>
    <col min="5" max="5" width="8" style="256" customWidth="1" collapsed="1"/>
    <col min="6" max="8" width="13.85546875" style="256" customWidth="1" collapsed="1"/>
    <col min="9" max="16384" width="11.42578125" style="256" collapsed="1"/>
  </cols>
  <sheetData>
    <row r="1" spans="1:10">
      <c r="A1" s="1002" t="s">
        <v>566</v>
      </c>
      <c r="B1" s="1002"/>
      <c r="C1" s="1002"/>
      <c r="D1" s="1002"/>
      <c r="E1" s="1002"/>
      <c r="F1" s="1002"/>
      <c r="G1" s="1002"/>
      <c r="H1" s="1002"/>
    </row>
    <row r="2" spans="1:10">
      <c r="A2" s="210"/>
      <c r="B2" s="210"/>
      <c r="C2" s="210"/>
      <c r="D2" s="210"/>
      <c r="E2" s="210"/>
      <c r="F2" s="210"/>
      <c r="G2" s="210"/>
      <c r="H2" s="210"/>
      <c r="I2" s="210"/>
    </row>
    <row r="3" spans="1:10">
      <c r="A3" s="210" t="s">
        <v>279</v>
      </c>
      <c r="B3" s="210"/>
      <c r="C3" s="210"/>
      <c r="D3" s="210"/>
      <c r="E3" s="210"/>
      <c r="F3" s="210" t="s">
        <v>280</v>
      </c>
      <c r="G3" s="974">
        <f>+'Fiche de renseignement R1'!$V$10</f>
        <v>45657</v>
      </c>
      <c r="H3" s="972"/>
      <c r="I3" s="210"/>
    </row>
    <row r="4" spans="1:10">
      <c r="A4" s="971" t="str">
        <f>'Fiche de renseignement R1'!$J$4</f>
        <v>SOCIETE NOUVELLE DES SALINS DU SINE SALOUM</v>
      </c>
      <c r="B4" s="972"/>
      <c r="C4" s="972"/>
      <c r="D4" s="210"/>
      <c r="E4" s="210"/>
      <c r="F4" s="973" t="s">
        <v>281</v>
      </c>
      <c r="G4" s="971">
        <f>+'Fiche de renseignement R1'!$AH$10</f>
        <v>12</v>
      </c>
      <c r="H4" s="972"/>
      <c r="I4" s="210"/>
    </row>
    <row r="5" spans="1:10">
      <c r="A5" s="210" t="s">
        <v>282</v>
      </c>
      <c r="B5" s="971" t="str">
        <f>+'Fiche de renseignement R1'!$J$10</f>
        <v>000018699</v>
      </c>
      <c r="C5" s="972"/>
      <c r="D5" s="210"/>
      <c r="E5" s="210"/>
      <c r="F5" s="973"/>
      <c r="G5" s="972"/>
      <c r="H5" s="972"/>
      <c r="I5" s="210"/>
    </row>
    <row r="6" spans="1:10">
      <c r="A6" s="210"/>
      <c r="B6" s="210"/>
      <c r="C6" s="210"/>
      <c r="D6" s="210"/>
      <c r="E6" s="210"/>
      <c r="F6" s="210"/>
      <c r="G6" s="210"/>
      <c r="H6" s="210"/>
      <c r="I6" s="210"/>
    </row>
    <row r="7" spans="1:10" ht="25.35" customHeight="1">
      <c r="A7" s="847" t="s">
        <v>139</v>
      </c>
      <c r="B7" s="847" t="s">
        <v>371</v>
      </c>
      <c r="C7" s="847" t="s">
        <v>372</v>
      </c>
      <c r="D7" s="847" t="s">
        <v>482</v>
      </c>
      <c r="E7" s="847" t="s">
        <v>373</v>
      </c>
      <c r="F7" s="847" t="s">
        <v>510</v>
      </c>
      <c r="G7" s="847" t="s">
        <v>511</v>
      </c>
      <c r="H7" s="847" t="s">
        <v>512</v>
      </c>
    </row>
    <row r="8" spans="1:10" ht="25.35" customHeight="1">
      <c r="A8" s="830"/>
      <c r="B8" s="830"/>
      <c r="C8" s="830"/>
      <c r="D8" s="830"/>
      <c r="E8" s="830"/>
      <c r="F8" s="830"/>
      <c r="G8" s="830"/>
      <c r="H8" s="830"/>
    </row>
    <row r="9" spans="1:10" s="314" customFormat="1" ht="12.75" customHeight="1">
      <c r="A9" s="539" t="s">
        <v>304</v>
      </c>
      <c r="B9" s="539">
        <v>0</v>
      </c>
      <c r="C9" s="539">
        <v>0</v>
      </c>
      <c r="D9" s="539">
        <v>0</v>
      </c>
      <c r="E9" s="634"/>
      <c r="F9" s="539">
        <v>0</v>
      </c>
      <c r="G9" s="539">
        <v>0</v>
      </c>
      <c r="H9" s="378"/>
    </row>
    <row r="10" spans="1:10">
      <c r="A10" s="491"/>
      <c r="B10" s="459"/>
      <c r="C10" s="459"/>
      <c r="D10" s="459"/>
      <c r="E10" s="604"/>
      <c r="F10" s="459"/>
      <c r="G10" s="459"/>
      <c r="H10" s="459">
        <v>0</v>
      </c>
    </row>
    <row r="11" spans="1:10">
      <c r="A11" s="261" t="s">
        <v>567</v>
      </c>
      <c r="B11" s="459">
        <v>0</v>
      </c>
      <c r="C11" s="459">
        <v>0</v>
      </c>
      <c r="D11" s="459">
        <v>0</v>
      </c>
      <c r="E11" s="604"/>
      <c r="F11" s="459">
        <v>0</v>
      </c>
      <c r="G11" s="459">
        <v>0</v>
      </c>
      <c r="H11" s="459">
        <v>0</v>
      </c>
    </row>
    <row r="12" spans="1:10">
      <c r="A12" s="261" t="s">
        <v>568</v>
      </c>
      <c r="B12" s="459">
        <v>0</v>
      </c>
      <c r="C12" s="459">
        <v>0</v>
      </c>
      <c r="D12" s="459">
        <v>0</v>
      </c>
      <c r="E12" s="604"/>
      <c r="F12" s="459">
        <v>0</v>
      </c>
      <c r="G12" s="459">
        <v>0</v>
      </c>
      <c r="H12" s="459">
        <v>0</v>
      </c>
    </row>
    <row r="13" spans="1:10">
      <c r="A13" s="261" t="s">
        <v>569</v>
      </c>
      <c r="B13" s="609">
        <v>0</v>
      </c>
      <c r="C13" s="609">
        <v>0</v>
      </c>
      <c r="D13" s="609">
        <v>0</v>
      </c>
      <c r="E13" s="610"/>
      <c r="F13" s="609">
        <v>0</v>
      </c>
      <c r="G13" s="609">
        <v>0</v>
      </c>
      <c r="H13" s="459">
        <v>0</v>
      </c>
    </row>
    <row r="14" spans="1:10">
      <c r="A14" s="261" t="s">
        <v>570</v>
      </c>
      <c r="B14" s="609">
        <v>3442717</v>
      </c>
      <c r="C14" s="609">
        <v>3664176</v>
      </c>
      <c r="D14" s="609">
        <v>-221459</v>
      </c>
      <c r="E14" s="610">
        <v>-6.0438963630567964E-2</v>
      </c>
      <c r="F14" s="609">
        <v>3442717</v>
      </c>
      <c r="G14" s="609">
        <v>0</v>
      </c>
      <c r="H14" s="459">
        <v>0</v>
      </c>
      <c r="J14" s="627"/>
    </row>
    <row r="15" spans="1:10">
      <c r="A15" s="261" t="s">
        <v>571</v>
      </c>
      <c r="B15" s="609">
        <v>0</v>
      </c>
      <c r="C15" s="609">
        <v>0</v>
      </c>
      <c r="D15" s="609">
        <v>0</v>
      </c>
      <c r="E15" s="610"/>
      <c r="F15" s="609">
        <v>0</v>
      </c>
      <c r="G15" s="609">
        <v>0</v>
      </c>
      <c r="H15" s="459">
        <v>0</v>
      </c>
      <c r="J15" s="627"/>
    </row>
    <row r="16" spans="1:10" s="89" customFormat="1">
      <c r="A16" s="74" t="s">
        <v>572</v>
      </c>
      <c r="B16" s="618">
        <v>3442717</v>
      </c>
      <c r="C16" s="622">
        <v>3664176</v>
      </c>
      <c r="D16" s="622">
        <v>-221459</v>
      </c>
      <c r="E16" s="625">
        <v>-6.0438963630567964E-2</v>
      </c>
      <c r="F16" s="622">
        <v>3442717</v>
      </c>
      <c r="G16" s="622">
        <v>0</v>
      </c>
      <c r="H16" s="461">
        <v>0</v>
      </c>
      <c r="J16" s="627"/>
    </row>
    <row r="17" spans="1:10" s="314" customFormat="1">
      <c r="A17" s="530"/>
      <c r="B17" s="609"/>
      <c r="C17" s="623"/>
      <c r="D17" s="623"/>
      <c r="E17" s="626"/>
      <c r="F17" s="623"/>
      <c r="G17" s="623"/>
      <c r="H17" s="526">
        <v>0</v>
      </c>
      <c r="J17" s="627"/>
    </row>
    <row r="18" spans="1:10">
      <c r="A18" s="261" t="s">
        <v>573</v>
      </c>
      <c r="B18" s="609">
        <v>5672505</v>
      </c>
      <c r="C18" s="609">
        <v>6362872</v>
      </c>
      <c r="D18" s="609">
        <v>-690367</v>
      </c>
      <c r="E18" s="610">
        <v>-0.10849927517008043</v>
      </c>
      <c r="F18" s="609">
        <v>5672505</v>
      </c>
      <c r="G18" s="609">
        <v>0</v>
      </c>
      <c r="H18" s="459">
        <v>0</v>
      </c>
      <c r="J18" s="627"/>
    </row>
    <row r="19" spans="1:10">
      <c r="A19" s="261" t="s">
        <v>574</v>
      </c>
      <c r="B19" s="609">
        <v>0</v>
      </c>
      <c r="C19" s="609">
        <v>0</v>
      </c>
      <c r="D19" s="609">
        <v>0</v>
      </c>
      <c r="E19" s="610"/>
      <c r="F19" s="609">
        <v>0</v>
      </c>
      <c r="G19" s="609">
        <v>0</v>
      </c>
      <c r="H19" s="459">
        <v>0</v>
      </c>
      <c r="J19" s="627"/>
    </row>
    <row r="20" spans="1:10">
      <c r="A20" s="261" t="s">
        <v>575</v>
      </c>
      <c r="B20" s="609">
        <v>0</v>
      </c>
      <c r="C20" s="609">
        <v>0</v>
      </c>
      <c r="D20" s="609">
        <v>0</v>
      </c>
      <c r="E20" s="610"/>
      <c r="F20" s="609">
        <v>0</v>
      </c>
      <c r="G20" s="609">
        <v>0</v>
      </c>
      <c r="H20" s="459">
        <v>0</v>
      </c>
      <c r="J20" s="627"/>
    </row>
    <row r="21" spans="1:10">
      <c r="A21" s="261" t="s">
        <v>576</v>
      </c>
      <c r="B21" s="609">
        <v>0</v>
      </c>
      <c r="C21" s="609">
        <v>0</v>
      </c>
      <c r="D21" s="609">
        <v>0</v>
      </c>
      <c r="E21" s="610"/>
      <c r="F21" s="609">
        <v>0</v>
      </c>
      <c r="G21" s="609">
        <v>0</v>
      </c>
      <c r="H21" s="459">
        <v>0</v>
      </c>
      <c r="J21" s="627"/>
    </row>
    <row r="22" spans="1:10" ht="25.5" customHeight="1">
      <c r="A22" s="261" t="s">
        <v>577</v>
      </c>
      <c r="B22" s="609">
        <v>0</v>
      </c>
      <c r="C22" s="609">
        <v>0</v>
      </c>
      <c r="D22" s="609">
        <v>0</v>
      </c>
      <c r="E22" s="610"/>
      <c r="F22" s="609">
        <v>0</v>
      </c>
      <c r="G22" s="609">
        <v>0</v>
      </c>
      <c r="H22" s="459">
        <v>0</v>
      </c>
      <c r="J22" s="627"/>
    </row>
    <row r="23" spans="1:10" ht="25.5" customHeight="1">
      <c r="A23" s="301" t="s">
        <v>430</v>
      </c>
      <c r="B23" s="609">
        <v>0</v>
      </c>
      <c r="C23" s="609">
        <v>0</v>
      </c>
      <c r="D23" s="609">
        <v>0</v>
      </c>
      <c r="E23" s="610"/>
      <c r="F23" s="609">
        <v>0</v>
      </c>
      <c r="G23" s="609">
        <v>0</v>
      </c>
      <c r="H23" s="459">
        <v>0</v>
      </c>
      <c r="J23" s="627"/>
    </row>
    <row r="24" spans="1:10">
      <c r="A24" s="261" t="s">
        <v>578</v>
      </c>
      <c r="B24" s="609">
        <v>0</v>
      </c>
      <c r="C24" s="609">
        <v>0</v>
      </c>
      <c r="D24" s="609">
        <v>0</v>
      </c>
      <c r="E24" s="610"/>
      <c r="F24" s="609">
        <v>0</v>
      </c>
      <c r="G24" s="609">
        <v>0</v>
      </c>
      <c r="H24" s="459">
        <v>0</v>
      </c>
      <c r="J24" s="627"/>
    </row>
    <row r="25" spans="1:10" s="89" customFormat="1">
      <c r="A25" s="74" t="s">
        <v>579</v>
      </c>
      <c r="B25" s="618">
        <v>5672505</v>
      </c>
      <c r="C25" s="622">
        <v>6362872</v>
      </c>
      <c r="D25" s="622">
        <v>-690367</v>
      </c>
      <c r="E25" s="625">
        <v>-0.10849927517008043</v>
      </c>
      <c r="F25" s="622">
        <v>5672505</v>
      </c>
      <c r="G25" s="622">
        <v>0</v>
      </c>
      <c r="H25" s="461">
        <v>0</v>
      </c>
      <c r="J25" s="627"/>
    </row>
    <row r="26" spans="1:10" s="314" customFormat="1">
      <c r="A26" s="530"/>
      <c r="B26" s="609"/>
      <c r="C26" s="623"/>
      <c r="D26" s="623"/>
      <c r="E26" s="626"/>
      <c r="F26" s="623"/>
      <c r="G26" s="623"/>
      <c r="H26" s="526">
        <v>0</v>
      </c>
      <c r="J26" s="627"/>
    </row>
    <row r="27" spans="1:10" ht="25.5" customHeight="1">
      <c r="A27" s="261" t="s">
        <v>431</v>
      </c>
      <c r="B27" s="609">
        <v>0</v>
      </c>
      <c r="C27" s="609">
        <v>0</v>
      </c>
      <c r="D27" s="609">
        <v>0</v>
      </c>
      <c r="E27" s="610"/>
      <c r="F27" s="609">
        <v>0</v>
      </c>
      <c r="G27" s="609">
        <v>0</v>
      </c>
      <c r="H27" s="459">
        <v>0</v>
      </c>
      <c r="J27" s="627"/>
    </row>
    <row r="28" spans="1:10">
      <c r="A28" s="261" t="s">
        <v>432</v>
      </c>
      <c r="B28" s="609">
        <v>0</v>
      </c>
      <c r="C28" s="609">
        <v>0</v>
      </c>
      <c r="D28" s="609">
        <v>0</v>
      </c>
      <c r="E28" s="610"/>
      <c r="F28" s="609">
        <v>0</v>
      </c>
      <c r="G28" s="609">
        <v>0</v>
      </c>
      <c r="H28" s="459">
        <v>0</v>
      </c>
      <c r="J28" s="627"/>
    </row>
    <row r="29" spans="1:10" ht="25.5" customHeight="1">
      <c r="A29" s="261" t="s">
        <v>433</v>
      </c>
      <c r="B29" s="609">
        <v>0</v>
      </c>
      <c r="C29" s="609">
        <v>0</v>
      </c>
      <c r="D29" s="609">
        <v>0</v>
      </c>
      <c r="E29" s="610"/>
      <c r="F29" s="609">
        <v>0</v>
      </c>
      <c r="G29" s="609">
        <v>0</v>
      </c>
      <c r="H29" s="459">
        <v>0</v>
      </c>
      <c r="J29" s="627"/>
    </row>
    <row r="30" spans="1:10" s="89" customFormat="1">
      <c r="A30" s="74" t="s">
        <v>580</v>
      </c>
      <c r="B30" s="502">
        <v>0</v>
      </c>
      <c r="C30" s="461">
        <v>0</v>
      </c>
      <c r="D30" s="461">
        <v>0</v>
      </c>
      <c r="E30" s="605"/>
      <c r="F30" s="461">
        <v>0</v>
      </c>
      <c r="G30" s="461">
        <v>0</v>
      </c>
      <c r="H30" s="461">
        <v>0</v>
      </c>
      <c r="J30" s="627"/>
    </row>
    <row r="31" spans="1:10" s="314" customFormat="1">
      <c r="A31" s="530"/>
      <c r="B31" s="459"/>
      <c r="C31" s="526"/>
      <c r="D31" s="526"/>
      <c r="E31" s="635"/>
      <c r="F31" s="526"/>
      <c r="G31" s="526"/>
      <c r="H31" s="526">
        <v>0</v>
      </c>
      <c r="J31" s="627"/>
    </row>
    <row r="32" spans="1:10" s="89" customFormat="1">
      <c r="A32" s="343" t="s">
        <v>581</v>
      </c>
      <c r="B32" s="481">
        <v>9115222</v>
      </c>
      <c r="C32" s="473">
        <v>10027048</v>
      </c>
      <c r="D32" s="473">
        <v>-911826</v>
      </c>
      <c r="E32" s="606">
        <v>-9.0936634590758916E-2</v>
      </c>
      <c r="F32" s="473">
        <v>9115222</v>
      </c>
      <c r="G32" s="473">
        <v>0</v>
      </c>
      <c r="H32" s="473">
        <v>0</v>
      </c>
      <c r="J32" s="627"/>
    </row>
    <row r="33" spans="1:10" s="314" customFormat="1">
      <c r="A33" s="530"/>
      <c r="B33" s="459"/>
      <c r="C33" s="526"/>
      <c r="D33" s="526"/>
      <c r="E33" s="635"/>
      <c r="F33" s="526"/>
      <c r="G33" s="526"/>
      <c r="H33" s="526">
        <v>0</v>
      </c>
      <c r="J33" s="627"/>
    </row>
    <row r="34" spans="1:10" ht="25.5" customHeight="1">
      <c r="A34" s="261" t="s">
        <v>582</v>
      </c>
      <c r="B34" s="459">
        <v>0</v>
      </c>
      <c r="C34" s="459">
        <v>0</v>
      </c>
      <c r="D34" s="459">
        <v>0</v>
      </c>
      <c r="E34" s="489"/>
      <c r="F34" s="459">
        <v>0</v>
      </c>
      <c r="G34" s="459">
        <v>0</v>
      </c>
      <c r="H34" s="459">
        <v>0</v>
      </c>
      <c r="J34" s="627"/>
    </row>
    <row r="35" spans="1:10">
      <c r="A35" s="344"/>
      <c r="B35" s="345"/>
      <c r="C35" s="345"/>
      <c r="D35" s="345"/>
      <c r="E35" s="311"/>
      <c r="F35" s="345"/>
      <c r="G35" s="345"/>
      <c r="H35" s="345"/>
    </row>
    <row r="36" spans="1:10">
      <c r="A36" s="488"/>
    </row>
    <row r="37" spans="1:10">
      <c r="A37" s="798"/>
      <c r="B37" s="798"/>
      <c r="C37" s="798"/>
      <c r="D37" s="798"/>
      <c r="E37" s="798"/>
      <c r="F37" s="798"/>
      <c r="G37" s="798"/>
      <c r="H37" s="798"/>
    </row>
    <row r="38" spans="1:10">
      <c r="A38" s="798"/>
      <c r="B38" s="798"/>
      <c r="C38" s="798"/>
      <c r="D38" s="798"/>
      <c r="E38" s="798"/>
      <c r="F38" s="798"/>
      <c r="G38" s="798"/>
      <c r="H38" s="798"/>
    </row>
    <row r="39" spans="1:10">
      <c r="A39" s="798"/>
      <c r="B39" s="798"/>
      <c r="C39" s="798"/>
      <c r="D39" s="798"/>
      <c r="E39" s="798"/>
      <c r="F39" s="798"/>
      <c r="G39" s="798"/>
      <c r="H39" s="798"/>
    </row>
  </sheetData>
  <mergeCells count="15">
    <mergeCell ref="A37:H39"/>
    <mergeCell ref="A4:C4"/>
    <mergeCell ref="B5:C5"/>
    <mergeCell ref="A1:H1"/>
    <mergeCell ref="G3:H3"/>
    <mergeCell ref="G4:H5"/>
    <mergeCell ref="F4:F5"/>
    <mergeCell ref="A7:A8"/>
    <mergeCell ref="B7:B8"/>
    <mergeCell ref="C7:C8"/>
    <mergeCell ref="D7:D8"/>
    <mergeCell ref="E7:E8"/>
    <mergeCell ref="F7:F8"/>
    <mergeCell ref="G7:G8"/>
    <mergeCell ref="H7:H8"/>
  </mergeCells>
  <pageMargins left="0.70866141732279997" right="0.70866141732279997" top="0.74803149606300001" bottom="0.74803149606300001" header="0.31496062992129997" footer="0.31496062992129997"/>
  <pageSetup paperSize="9" scale="68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27"/>
  <sheetViews>
    <sheetView showGridLines="0" workbookViewId="0">
      <selection activeCell="A23" sqref="A23:D24"/>
    </sheetView>
  </sheetViews>
  <sheetFormatPr baseColWidth="10" defaultColWidth="10.28515625" defaultRowHeight="12.75"/>
  <cols>
    <col min="1" max="1" width="33.7109375" style="99" customWidth="1" collapsed="1"/>
    <col min="2" max="2" width="16.42578125" style="99" customWidth="1" collapsed="1"/>
    <col min="3" max="3" width="19.85546875" style="99" customWidth="1" collapsed="1"/>
    <col min="4" max="4" width="24.7109375" style="99" customWidth="1" collapsed="1"/>
    <col min="5" max="16384" width="10.28515625" style="99" collapsed="1"/>
  </cols>
  <sheetData>
    <row r="1" spans="1:4" ht="18.75" customHeight="1">
      <c r="A1" s="904" t="s">
        <v>583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22" t="s">
        <v>371</v>
      </c>
      <c r="C7" s="912" t="s">
        <v>372</v>
      </c>
      <c r="D7" s="913" t="s">
        <v>399</v>
      </c>
    </row>
    <row r="8" spans="1:4">
      <c r="A8" s="909"/>
      <c r="B8" s="923"/>
      <c r="C8" s="912"/>
      <c r="D8" s="913"/>
    </row>
    <row r="9" spans="1:4">
      <c r="A9" s="491" t="s">
        <v>1417</v>
      </c>
      <c r="B9" s="500">
        <v>0</v>
      </c>
      <c r="C9" s="459">
        <v>0</v>
      </c>
      <c r="D9" s="489"/>
    </row>
    <row r="10" spans="1:4">
      <c r="A10" s="491" t="s">
        <v>1418</v>
      </c>
      <c r="B10" s="500">
        <v>0</v>
      </c>
      <c r="C10" s="459">
        <v>0</v>
      </c>
      <c r="D10" s="489"/>
    </row>
    <row r="11" spans="1:4" ht="25.5" customHeight="1">
      <c r="A11" s="540" t="s">
        <v>1419</v>
      </c>
      <c r="B11" s="501">
        <v>0</v>
      </c>
      <c r="C11" s="502">
        <v>0</v>
      </c>
      <c r="D11" s="503"/>
    </row>
    <row r="12" spans="1:4" s="322" customFormat="1" ht="12.75" customHeight="1">
      <c r="A12" s="541"/>
      <c r="B12" s="520"/>
      <c r="C12" s="526"/>
      <c r="D12" s="525"/>
    </row>
    <row r="13" spans="1:4">
      <c r="A13" s="491" t="s">
        <v>452</v>
      </c>
      <c r="B13" s="500">
        <v>0</v>
      </c>
      <c r="C13" s="459">
        <v>0</v>
      </c>
      <c r="D13" s="489"/>
    </row>
    <row r="14" spans="1:4">
      <c r="A14" s="491" t="s">
        <v>453</v>
      </c>
      <c r="B14" s="500">
        <v>0</v>
      </c>
      <c r="C14" s="459">
        <v>0</v>
      </c>
      <c r="D14" s="489"/>
    </row>
    <row r="15" spans="1:4">
      <c r="A15" s="491" t="s">
        <v>1420</v>
      </c>
      <c r="B15" s="500">
        <v>0</v>
      </c>
      <c r="C15" s="459">
        <v>0</v>
      </c>
      <c r="D15" s="489"/>
    </row>
    <row r="16" spans="1:4">
      <c r="A16" s="491" t="s">
        <v>1421</v>
      </c>
      <c r="B16" s="500">
        <v>0</v>
      </c>
      <c r="C16" s="459">
        <v>0</v>
      </c>
      <c r="D16" s="489"/>
    </row>
    <row r="17" spans="1:4">
      <c r="A17" s="491" t="s">
        <v>1422</v>
      </c>
      <c r="B17" s="500">
        <v>0</v>
      </c>
      <c r="C17" s="459">
        <v>0</v>
      </c>
      <c r="D17" s="489"/>
    </row>
    <row r="18" spans="1:4">
      <c r="A18" s="540" t="s">
        <v>1423</v>
      </c>
      <c r="B18" s="501">
        <v>0</v>
      </c>
      <c r="C18" s="502">
        <v>0</v>
      </c>
      <c r="D18" s="503"/>
    </row>
    <row r="19" spans="1:4">
      <c r="A19" s="491" t="s">
        <v>138</v>
      </c>
      <c r="B19" s="500"/>
      <c r="C19" s="459"/>
      <c r="D19" s="489"/>
    </row>
    <row r="20" spans="1:4">
      <c r="A20" s="243" t="s">
        <v>138</v>
      </c>
      <c r="B20" s="504">
        <v>0</v>
      </c>
      <c r="C20" s="505">
        <v>0</v>
      </c>
      <c r="D20" s="506">
        <v>0</v>
      </c>
    </row>
    <row r="21" spans="1:4" s="349" customFormat="1">
      <c r="A21" s="346"/>
      <c r="B21" s="347"/>
      <c r="C21" s="347"/>
      <c r="D21" s="348"/>
    </row>
    <row r="22" spans="1:4">
      <c r="A22" s="104" t="s">
        <v>317</v>
      </c>
    </row>
    <row r="23" spans="1:4">
      <c r="A23" s="868" t="s">
        <v>1456</v>
      </c>
      <c r="B23" s="903"/>
      <c r="C23" s="903"/>
      <c r="D23" s="903"/>
    </row>
    <row r="24" spans="1:4">
      <c r="A24" s="903"/>
      <c r="B24" s="903"/>
      <c r="C24" s="903"/>
      <c r="D24" s="903"/>
    </row>
    <row r="25" spans="1:4">
      <c r="A25" s="106"/>
    </row>
    <row r="26" spans="1:4">
      <c r="A26" s="104" t="s">
        <v>584</v>
      </c>
    </row>
    <row r="27" spans="1:4">
      <c r="A27" s="104"/>
    </row>
  </sheetData>
  <mergeCells count="9">
    <mergeCell ref="A23:D24"/>
    <mergeCell ref="A1:D1"/>
    <mergeCell ref="A3:B3"/>
    <mergeCell ref="A4:B4"/>
    <mergeCell ref="D4:D5"/>
    <mergeCell ref="A7:A8"/>
    <mergeCell ref="B7:B8"/>
    <mergeCell ref="C7:C8"/>
    <mergeCell ref="D7:D8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44"/>
  <sheetViews>
    <sheetView showGridLines="0" topLeftCell="A10" workbookViewId="0">
      <selection activeCell="A40" sqref="A40:D41"/>
    </sheetView>
  </sheetViews>
  <sheetFormatPr baseColWidth="10" defaultColWidth="10.28515625" defaultRowHeight="12.75"/>
  <cols>
    <col min="1" max="1" width="33.7109375" style="99" customWidth="1" collapsed="1"/>
    <col min="2" max="2" width="19.7109375" style="99" customWidth="1" collapsed="1"/>
    <col min="3" max="3" width="19.140625" style="99" customWidth="1" collapsed="1"/>
    <col min="4" max="4" width="17" style="99" customWidth="1" collapsed="1"/>
    <col min="5" max="5" width="10.28515625" style="99" collapsed="1"/>
    <col min="6" max="6" width="12" style="99" bestFit="1" customWidth="1" collapsed="1"/>
    <col min="7" max="16384" width="10.28515625" style="99" collapsed="1"/>
  </cols>
  <sheetData>
    <row r="1" spans="1:5" ht="18.75" customHeight="1">
      <c r="A1" s="904" t="s">
        <v>585</v>
      </c>
      <c r="B1" s="904"/>
      <c r="C1" s="904"/>
      <c r="D1" s="904"/>
    </row>
    <row r="2" spans="1:5" ht="8.1" customHeight="1"/>
    <row r="3" spans="1:5" ht="12.75" customHeight="1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5" ht="15" customHeight="1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5" ht="15" customHeight="1">
      <c r="A5" s="99" t="s">
        <v>282</v>
      </c>
      <c r="B5" s="495" t="str">
        <f>+'Fiche de renseignement R1'!$J$10</f>
        <v>000018699</v>
      </c>
      <c r="D5" s="907"/>
    </row>
    <row r="6" spans="1:5" ht="8.1" customHeight="1"/>
    <row r="7" spans="1:5" ht="25.35" customHeight="1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5" ht="25.35" customHeight="1">
      <c r="A8" s="909"/>
      <c r="B8" s="911"/>
      <c r="C8" s="912"/>
      <c r="D8" s="913"/>
    </row>
    <row r="9" spans="1:5" s="350" customFormat="1" ht="25.35" customHeight="1">
      <c r="A9" s="281" t="s">
        <v>1115</v>
      </c>
      <c r="B9" s="638">
        <v>0</v>
      </c>
      <c r="C9" s="609">
        <v>0</v>
      </c>
      <c r="D9" s="621"/>
    </row>
    <row r="10" spans="1:5" ht="25.35" customHeight="1">
      <c r="A10" s="302" t="s">
        <v>586</v>
      </c>
      <c r="B10" s="638">
        <v>0</v>
      </c>
      <c r="C10" s="609">
        <v>0</v>
      </c>
      <c r="D10" s="621"/>
    </row>
    <row r="11" spans="1:5" ht="25.35" customHeight="1">
      <c r="A11" s="302" t="s">
        <v>587</v>
      </c>
      <c r="B11" s="638">
        <v>0</v>
      </c>
      <c r="C11" s="609">
        <v>0</v>
      </c>
      <c r="D11" s="621"/>
      <c r="E11" s="350"/>
    </row>
    <row r="12" spans="1:5" ht="25.35" customHeight="1">
      <c r="A12" s="302" t="s">
        <v>588</v>
      </c>
      <c r="B12" s="638">
        <v>0</v>
      </c>
      <c r="C12" s="609">
        <v>0</v>
      </c>
      <c r="D12" s="621"/>
    </row>
    <row r="13" spans="1:5" ht="25.35" customHeight="1">
      <c r="A13" s="102" t="s">
        <v>589</v>
      </c>
      <c r="B13" s="636">
        <v>0</v>
      </c>
      <c r="C13" s="618">
        <v>0</v>
      </c>
      <c r="D13" s="637"/>
      <c r="E13" s="350"/>
    </row>
    <row r="14" spans="1:5" s="322" customFormat="1" ht="12.75" customHeight="1">
      <c r="A14" s="541"/>
      <c r="B14" s="639"/>
      <c r="C14" s="623"/>
      <c r="D14" s="624"/>
      <c r="E14" s="99"/>
    </row>
    <row r="15" spans="1:5" s="350" customFormat="1" ht="25.35" customHeight="1">
      <c r="A15" s="281" t="s">
        <v>1115</v>
      </c>
      <c r="B15" s="638">
        <v>14785568312</v>
      </c>
      <c r="C15" s="609">
        <v>17228828664</v>
      </c>
      <c r="D15" s="610">
        <v>-0.14181233092794313</v>
      </c>
    </row>
    <row r="16" spans="1:5" ht="25.35" customHeight="1">
      <c r="A16" s="302" t="s">
        <v>586</v>
      </c>
      <c r="B16" s="638">
        <v>312633796</v>
      </c>
      <c r="C16" s="609">
        <v>519596804</v>
      </c>
      <c r="D16" s="610">
        <v>-0.39831462858651456</v>
      </c>
    </row>
    <row r="17" spans="1:7" ht="25.35" customHeight="1">
      <c r="A17" s="302" t="s">
        <v>587</v>
      </c>
      <c r="B17" s="638">
        <v>0</v>
      </c>
      <c r="C17" s="609">
        <v>0</v>
      </c>
      <c r="D17" s="610"/>
      <c r="E17" s="350"/>
    </row>
    <row r="18" spans="1:7" ht="25.35" customHeight="1">
      <c r="A18" s="302" t="s">
        <v>588</v>
      </c>
      <c r="B18" s="638">
        <v>0</v>
      </c>
      <c r="C18" s="609">
        <v>0</v>
      </c>
      <c r="D18" s="610"/>
    </row>
    <row r="19" spans="1:7" ht="25.35" customHeight="1">
      <c r="A19" s="303" t="s">
        <v>590</v>
      </c>
      <c r="B19" s="636">
        <v>15098202108</v>
      </c>
      <c r="C19" s="618">
        <v>17748425468</v>
      </c>
      <c r="D19" s="640">
        <v>-0.14932160403627304</v>
      </c>
      <c r="E19" s="350"/>
    </row>
    <row r="20" spans="1:7" s="322" customFormat="1" ht="12.75" customHeight="1">
      <c r="A20" s="541"/>
      <c r="B20" s="639"/>
      <c r="C20" s="623"/>
      <c r="D20" s="626"/>
      <c r="E20" s="99"/>
    </row>
    <row r="21" spans="1:7" s="350" customFormat="1" ht="25.35" customHeight="1">
      <c r="A21" s="281" t="s">
        <v>1115</v>
      </c>
      <c r="B21" s="638">
        <v>0</v>
      </c>
      <c r="C21" s="609">
        <v>0</v>
      </c>
      <c r="D21" s="610"/>
    </row>
    <row r="22" spans="1:7" ht="25.35" customHeight="1">
      <c r="A22" s="302" t="s">
        <v>586</v>
      </c>
      <c r="B22" s="638">
        <v>0</v>
      </c>
      <c r="C22" s="609">
        <v>0</v>
      </c>
      <c r="D22" s="610"/>
    </row>
    <row r="23" spans="1:7" ht="25.35" customHeight="1">
      <c r="A23" s="302" t="s">
        <v>587</v>
      </c>
      <c r="B23" s="638">
        <v>0</v>
      </c>
      <c r="C23" s="609">
        <v>0</v>
      </c>
      <c r="D23" s="610"/>
      <c r="E23" s="350"/>
    </row>
    <row r="24" spans="1:7" ht="25.35" customHeight="1">
      <c r="A24" s="302" t="s">
        <v>588</v>
      </c>
      <c r="B24" s="638">
        <v>0</v>
      </c>
      <c r="C24" s="609">
        <v>0</v>
      </c>
      <c r="D24" s="610"/>
    </row>
    <row r="25" spans="1:7" ht="25.35" customHeight="1">
      <c r="A25" s="102" t="s">
        <v>591</v>
      </c>
      <c r="B25" s="636">
        <v>0</v>
      </c>
      <c r="C25" s="618">
        <v>0</v>
      </c>
      <c r="D25" s="640"/>
      <c r="E25" s="350"/>
    </row>
    <row r="26" spans="1:7" s="322" customFormat="1" ht="12.75" customHeight="1">
      <c r="A26" s="541"/>
      <c r="B26" s="639"/>
      <c r="C26" s="623"/>
      <c r="D26" s="626"/>
      <c r="E26" s="99"/>
    </row>
    <row r="27" spans="1:7" ht="25.35" customHeight="1">
      <c r="A27" s="110" t="s">
        <v>592</v>
      </c>
      <c r="B27" s="638">
        <v>20686680</v>
      </c>
      <c r="C27" s="609">
        <v>12712</v>
      </c>
      <c r="D27" s="610">
        <v>824.99118942731275</v>
      </c>
      <c r="E27" s="350"/>
    </row>
    <row r="28" spans="1:7" ht="12.75" customHeight="1">
      <c r="A28" s="543"/>
      <c r="B28" s="638"/>
      <c r="C28" s="609"/>
      <c r="D28" s="610"/>
    </row>
    <row r="29" spans="1:7" ht="12.75" customHeight="1">
      <c r="A29" s="543"/>
      <c r="B29" s="638"/>
      <c r="C29" s="609"/>
      <c r="D29" s="610"/>
      <c r="E29" s="350"/>
    </row>
    <row r="30" spans="1:7" ht="25.35" customHeight="1">
      <c r="A30" s="111" t="s">
        <v>593</v>
      </c>
      <c r="B30" s="636">
        <v>15118888788</v>
      </c>
      <c r="C30" s="618">
        <v>17748438180</v>
      </c>
      <c r="D30" s="640">
        <v>-0.14873061196869775</v>
      </c>
      <c r="G30" s="666"/>
    </row>
    <row r="31" spans="1:7" s="322" customFormat="1" ht="12.75" customHeight="1">
      <c r="A31" s="544"/>
      <c r="B31" s="639"/>
      <c r="C31" s="623"/>
      <c r="D31" s="626"/>
      <c r="E31" s="350"/>
    </row>
    <row r="32" spans="1:7" ht="25.35" customHeight="1">
      <c r="A32" s="101" t="s">
        <v>161</v>
      </c>
      <c r="B32" s="638">
        <v>63508535</v>
      </c>
      <c r="C32" s="609">
        <v>31315159</v>
      </c>
      <c r="D32" s="610">
        <v>1.0280444688146082</v>
      </c>
    </row>
    <row r="33" spans="1:5" ht="25.35" customHeight="1">
      <c r="A33" s="101" t="s">
        <v>163</v>
      </c>
      <c r="B33" s="638"/>
      <c r="C33" s="609">
        <v>0</v>
      </c>
      <c r="D33" s="610"/>
      <c r="E33" s="350"/>
    </row>
    <row r="34" spans="1:5" ht="25.35" customHeight="1">
      <c r="A34" s="101" t="s">
        <v>165</v>
      </c>
      <c r="B34" s="638">
        <v>1000949</v>
      </c>
      <c r="C34" s="609">
        <v>531038</v>
      </c>
      <c r="D34" s="610">
        <v>0.88489147669281676</v>
      </c>
    </row>
    <row r="35" spans="1:5" ht="25.35" customHeight="1">
      <c r="A35" s="111" t="s">
        <v>594</v>
      </c>
      <c r="B35" s="636">
        <v>64509484</v>
      </c>
      <c r="C35" s="618">
        <v>31846197</v>
      </c>
      <c r="D35" s="640">
        <v>1.0256573806913272</v>
      </c>
      <c r="E35" s="350"/>
    </row>
    <row r="36" spans="1:5" s="322" customFormat="1" ht="12.75" customHeight="1">
      <c r="A36" s="544"/>
      <c r="B36" s="639"/>
      <c r="C36" s="623"/>
      <c r="D36" s="626"/>
      <c r="E36" s="99"/>
    </row>
    <row r="37" spans="1:5" ht="25.35" customHeight="1">
      <c r="A37" s="108" t="s">
        <v>105</v>
      </c>
      <c r="B37" s="641">
        <v>15183398272</v>
      </c>
      <c r="C37" s="642">
        <v>17780284377</v>
      </c>
      <c r="D37" s="643">
        <v>-0.14662717028150712</v>
      </c>
      <c r="E37" s="350"/>
    </row>
    <row r="38" spans="1:5" s="322" customFormat="1" ht="12.75" customHeight="1">
      <c r="A38" s="351"/>
      <c r="B38" s="325"/>
      <c r="C38" s="325"/>
      <c r="D38" s="324"/>
    </row>
    <row r="39" spans="1:5">
      <c r="A39" s="104" t="s">
        <v>317</v>
      </c>
    </row>
    <row r="40" spans="1:5">
      <c r="A40" s="868" t="s">
        <v>1518</v>
      </c>
      <c r="B40" s="903"/>
      <c r="C40" s="903"/>
      <c r="D40" s="903"/>
    </row>
    <row r="41" spans="1:5">
      <c r="A41" s="903"/>
      <c r="B41" s="903"/>
      <c r="C41" s="903"/>
      <c r="D41" s="903"/>
    </row>
    <row r="42" spans="1:5">
      <c r="A42" s="106"/>
    </row>
    <row r="43" spans="1:5">
      <c r="A43" s="104"/>
    </row>
    <row r="44" spans="1:5">
      <c r="A44" s="104"/>
    </row>
  </sheetData>
  <mergeCells count="9">
    <mergeCell ref="A40:D4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39"/>
  <sheetViews>
    <sheetView showGridLines="0" topLeftCell="A14" workbookViewId="0">
      <selection activeCell="A39" sqref="A39"/>
    </sheetView>
  </sheetViews>
  <sheetFormatPr baseColWidth="10" defaultColWidth="10.28515625" defaultRowHeight="12.75"/>
  <cols>
    <col min="1" max="1" width="33.7109375" style="99" customWidth="1" collapsed="1"/>
    <col min="2" max="2" width="16.5703125" style="99" customWidth="1" collapsed="1"/>
    <col min="3" max="3" width="18.85546875" style="99" customWidth="1" collapsed="1"/>
    <col min="4" max="4" width="17.85546875" style="99" customWidth="1" collapsed="1"/>
    <col min="5" max="16384" width="10.28515625" style="99" collapsed="1"/>
  </cols>
  <sheetData>
    <row r="1" spans="1:5" ht="18.75" customHeight="1">
      <c r="A1" s="904" t="s">
        <v>595</v>
      </c>
      <c r="B1" s="904"/>
      <c r="C1" s="904"/>
      <c r="D1" s="904"/>
    </row>
    <row r="2" spans="1:5" ht="8.1" customHeight="1"/>
    <row r="3" spans="1:5" ht="12.75" customHeight="1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5" ht="15" customHeight="1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5" ht="15" customHeight="1">
      <c r="A5" s="99" t="s">
        <v>282</v>
      </c>
      <c r="B5" s="495" t="str">
        <f>+'Fiche de renseignement R1'!$J$10</f>
        <v>000018699</v>
      </c>
      <c r="D5" s="907"/>
    </row>
    <row r="6" spans="1:5" ht="8.1" customHeight="1"/>
    <row r="7" spans="1:5" ht="25.35" customHeight="1">
      <c r="A7" s="908" t="s">
        <v>139</v>
      </c>
      <c r="B7" s="922" t="s">
        <v>371</v>
      </c>
      <c r="C7" s="922" t="s">
        <v>372</v>
      </c>
      <c r="D7" s="926" t="s">
        <v>399</v>
      </c>
    </row>
    <row r="8" spans="1:5" ht="25.35" customHeight="1">
      <c r="A8" s="909"/>
      <c r="B8" s="923"/>
      <c r="C8" s="923"/>
      <c r="D8" s="927"/>
    </row>
    <row r="9" spans="1:5" s="350" customFormat="1" ht="20.100000000000001" customHeight="1">
      <c r="A9" s="281" t="s">
        <v>1116</v>
      </c>
      <c r="B9" s="638">
        <v>0</v>
      </c>
      <c r="C9" s="609">
        <v>0</v>
      </c>
      <c r="D9" s="542"/>
    </row>
    <row r="10" spans="1:5" ht="20.100000000000001" customHeight="1">
      <c r="A10" s="302" t="s">
        <v>1103</v>
      </c>
      <c r="B10" s="638">
        <v>0</v>
      </c>
      <c r="C10" s="609">
        <v>0</v>
      </c>
      <c r="D10" s="489"/>
    </row>
    <row r="11" spans="1:5" ht="20.100000000000001" customHeight="1">
      <c r="A11" s="302" t="s">
        <v>1102</v>
      </c>
      <c r="B11" s="500">
        <v>0</v>
      </c>
      <c r="C11" s="459">
        <v>0</v>
      </c>
      <c r="D11" s="489"/>
      <c r="E11" s="350"/>
    </row>
    <row r="12" spans="1:5" ht="25.35" customHeight="1">
      <c r="A12" s="303" t="s">
        <v>596</v>
      </c>
      <c r="B12" s="501">
        <v>0</v>
      </c>
      <c r="C12" s="502">
        <v>0</v>
      </c>
      <c r="D12" s="503"/>
    </row>
    <row r="13" spans="1:5" ht="20.100000000000001" customHeight="1">
      <c r="A13" s="545"/>
      <c r="B13" s="500"/>
      <c r="C13" s="459"/>
      <c r="D13" s="489"/>
      <c r="E13" s="350"/>
    </row>
    <row r="14" spans="1:5" ht="20.100000000000001" customHeight="1">
      <c r="A14" s="281" t="s">
        <v>1116</v>
      </c>
      <c r="B14" s="500">
        <v>0</v>
      </c>
      <c r="C14" s="459">
        <v>0</v>
      </c>
      <c r="D14" s="489"/>
    </row>
    <row r="15" spans="1:5" ht="20.100000000000001" customHeight="1">
      <c r="A15" s="302" t="s">
        <v>586</v>
      </c>
      <c r="B15" s="500">
        <v>0</v>
      </c>
      <c r="C15" s="459">
        <v>0</v>
      </c>
      <c r="D15" s="489"/>
      <c r="E15" s="350"/>
    </row>
    <row r="16" spans="1:5" ht="20.100000000000001" customHeight="1">
      <c r="A16" s="302" t="s">
        <v>1102</v>
      </c>
      <c r="B16" s="500">
        <v>0</v>
      </c>
      <c r="C16" s="459">
        <v>0</v>
      </c>
      <c r="D16" s="489"/>
    </row>
    <row r="17" spans="1:5" ht="25.5" customHeight="1">
      <c r="A17" s="102" t="s">
        <v>597</v>
      </c>
      <c r="B17" s="501">
        <v>0</v>
      </c>
      <c r="C17" s="502">
        <v>0</v>
      </c>
      <c r="D17" s="503"/>
      <c r="E17" s="350"/>
    </row>
    <row r="18" spans="1:5" s="322" customFormat="1" ht="12.75" customHeight="1">
      <c r="A18" s="541"/>
      <c r="B18" s="520"/>
      <c r="C18" s="526"/>
      <c r="D18" s="525"/>
      <c r="E18" s="99"/>
    </row>
    <row r="19" spans="1:5" ht="20.100000000000001" customHeight="1">
      <c r="A19" s="101" t="s">
        <v>598</v>
      </c>
      <c r="B19" s="500">
        <v>0</v>
      </c>
      <c r="C19" s="459">
        <v>0</v>
      </c>
      <c r="D19" s="489"/>
      <c r="E19" s="350"/>
    </row>
    <row r="20" spans="1:5" ht="20.100000000000001" customHeight="1">
      <c r="A20" s="101" t="s">
        <v>599</v>
      </c>
      <c r="B20" s="500">
        <v>367022548</v>
      </c>
      <c r="C20" s="459">
        <v>400782151</v>
      </c>
      <c r="D20" s="604">
        <v>-8.4234297649647571E-2</v>
      </c>
    </row>
    <row r="21" spans="1:5" ht="20.100000000000001" customHeight="1">
      <c r="A21" s="101" t="s">
        <v>600</v>
      </c>
      <c r="B21" s="500">
        <v>0</v>
      </c>
      <c r="C21" s="459">
        <v>0</v>
      </c>
      <c r="D21" s="604" t="s">
        <v>147</v>
      </c>
      <c r="E21" s="350"/>
    </row>
    <row r="22" spans="1:5" ht="25.5" customHeight="1">
      <c r="A22" s="101" t="s">
        <v>601</v>
      </c>
      <c r="B22" s="500">
        <v>1493016390</v>
      </c>
      <c r="C22" s="459">
        <v>1804357199</v>
      </c>
      <c r="D22" s="604">
        <v>-0.17254943154966734</v>
      </c>
    </row>
    <row r="23" spans="1:5" ht="20.100000000000001" customHeight="1">
      <c r="A23" s="101" t="s">
        <v>602</v>
      </c>
      <c r="B23" s="500">
        <v>3941109</v>
      </c>
      <c r="C23" s="459">
        <v>3311235</v>
      </c>
      <c r="D23" s="604">
        <v>0.19022328526969545</v>
      </c>
      <c r="E23" s="350"/>
    </row>
    <row r="24" spans="1:5" ht="20.100000000000001" customHeight="1">
      <c r="A24" s="101" t="s">
        <v>603</v>
      </c>
      <c r="B24" s="500">
        <v>350374400</v>
      </c>
      <c r="C24" s="459">
        <v>356508080</v>
      </c>
      <c r="D24" s="604">
        <v>-1.7204883547099408E-2</v>
      </c>
    </row>
    <row r="25" spans="1:5" ht="20.100000000000001" customHeight="1">
      <c r="A25" s="101" t="s">
        <v>604</v>
      </c>
      <c r="B25" s="500">
        <v>16761753</v>
      </c>
      <c r="C25" s="459">
        <v>15405530</v>
      </c>
      <c r="D25" s="604">
        <v>8.80348160692946E-2</v>
      </c>
      <c r="E25" s="350"/>
    </row>
    <row r="26" spans="1:5" ht="20.100000000000001" customHeight="1">
      <c r="A26" s="101" t="s">
        <v>605</v>
      </c>
      <c r="B26" s="500">
        <v>190659145</v>
      </c>
      <c r="C26" s="459">
        <v>183295862</v>
      </c>
      <c r="D26" s="604">
        <v>4.0171572449355132E-2</v>
      </c>
    </row>
    <row r="27" spans="1:5" ht="20.100000000000001" customHeight="1">
      <c r="A27" s="101" t="s">
        <v>606</v>
      </c>
      <c r="B27" s="500">
        <v>14771966</v>
      </c>
      <c r="C27" s="459">
        <v>11843473</v>
      </c>
      <c r="D27" s="604">
        <v>0.24726640572406422</v>
      </c>
      <c r="E27" s="350"/>
    </row>
    <row r="28" spans="1:5" ht="20.100000000000001" customHeight="1">
      <c r="A28" s="101" t="s">
        <v>607</v>
      </c>
      <c r="B28" s="500">
        <v>7783884</v>
      </c>
      <c r="C28" s="459">
        <v>6392674</v>
      </c>
      <c r="D28" s="604">
        <v>0.21762567589087134</v>
      </c>
    </row>
    <row r="29" spans="1:5" ht="25.5" customHeight="1">
      <c r="A29" s="101" t="s">
        <v>608</v>
      </c>
      <c r="B29" s="500">
        <v>656</v>
      </c>
      <c r="C29" s="459">
        <v>0</v>
      </c>
      <c r="D29" s="604" t="s">
        <v>147</v>
      </c>
      <c r="E29" s="350"/>
    </row>
    <row r="30" spans="1:5" ht="20.100000000000001" customHeight="1">
      <c r="A30" s="101" t="s">
        <v>609</v>
      </c>
      <c r="B30" s="500">
        <v>1088037783</v>
      </c>
      <c r="C30" s="459">
        <v>1392492281</v>
      </c>
      <c r="D30" s="604">
        <v>-0.21863998971783169</v>
      </c>
    </row>
    <row r="31" spans="1:5" ht="20.100000000000001" customHeight="1">
      <c r="A31" s="101" t="s">
        <v>610</v>
      </c>
      <c r="B31" s="500">
        <v>53524821</v>
      </c>
      <c r="C31" s="459">
        <v>62626795</v>
      </c>
      <c r="D31" s="604">
        <v>-0.14533673645601694</v>
      </c>
      <c r="E31" s="350"/>
    </row>
    <row r="32" spans="1:5" ht="20.100000000000001" customHeight="1">
      <c r="A32" s="101" t="s">
        <v>611</v>
      </c>
      <c r="B32" s="500">
        <v>0</v>
      </c>
      <c r="C32" s="459">
        <v>0</v>
      </c>
      <c r="D32" s="604" t="s">
        <v>147</v>
      </c>
    </row>
    <row r="33" spans="1:5" ht="25.35" customHeight="1">
      <c r="A33" s="108" t="s">
        <v>612</v>
      </c>
      <c r="B33" s="504">
        <v>3585894455</v>
      </c>
      <c r="C33" s="505">
        <v>4237015280</v>
      </c>
      <c r="D33" s="612">
        <v>-0.1536744103976892</v>
      </c>
      <c r="E33" s="350"/>
    </row>
    <row r="34" spans="1:5" s="322" customFormat="1" ht="12.75" customHeight="1">
      <c r="A34" s="351"/>
      <c r="B34" s="325"/>
      <c r="C34" s="325"/>
      <c r="D34" s="324"/>
    </row>
    <row r="35" spans="1:5">
      <c r="A35" s="104" t="s">
        <v>317</v>
      </c>
    </row>
    <row r="36" spans="1:5">
      <c r="A36" s="868" t="s">
        <v>1519</v>
      </c>
      <c r="B36" s="903"/>
      <c r="C36" s="903"/>
      <c r="D36" s="903"/>
    </row>
    <row r="37" spans="1:5">
      <c r="A37" s="903"/>
      <c r="B37" s="903"/>
      <c r="C37" s="903"/>
      <c r="D37" s="903"/>
    </row>
    <row r="38" spans="1:5">
      <c r="A38" s="903"/>
      <c r="B38" s="903"/>
      <c r="C38" s="903"/>
      <c r="D38" s="903"/>
    </row>
    <row r="39" spans="1:5">
      <c r="A39" s="104"/>
    </row>
  </sheetData>
  <mergeCells count="9">
    <mergeCell ref="A36:D3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20"/>
  <sheetViews>
    <sheetView showGridLines="0" workbookViewId="0">
      <selection activeCell="A17" sqref="A17:D19"/>
    </sheetView>
  </sheetViews>
  <sheetFormatPr baseColWidth="10" defaultColWidth="10.28515625" defaultRowHeight="12.75"/>
  <cols>
    <col min="1" max="1" width="33.7109375" style="99" customWidth="1" collapsed="1"/>
    <col min="2" max="2" width="18.140625" style="99" customWidth="1" collapsed="1"/>
    <col min="3" max="3" width="24.5703125" style="99" customWidth="1" collapsed="1"/>
    <col min="4" max="4" width="21.28515625" style="99" customWidth="1" collapsed="1"/>
    <col min="5" max="16384" width="10.28515625" style="99" collapsed="1"/>
  </cols>
  <sheetData>
    <row r="1" spans="1:4" ht="18.75" customHeight="1">
      <c r="A1" s="904" t="s">
        <v>613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4">
      <c r="A8" s="909"/>
      <c r="B8" s="911"/>
      <c r="C8" s="912"/>
      <c r="D8" s="913"/>
    </row>
    <row r="9" spans="1:4">
      <c r="A9" s="281" t="s">
        <v>614</v>
      </c>
      <c r="B9" s="500">
        <v>3332565336</v>
      </c>
      <c r="C9" s="459">
        <v>4628126270</v>
      </c>
      <c r="D9" s="604">
        <v>-0.27993206287347039</v>
      </c>
    </row>
    <row r="10" spans="1:4">
      <c r="A10" s="281" t="s">
        <v>615</v>
      </c>
      <c r="B10" s="500">
        <v>0</v>
      </c>
      <c r="C10" s="459">
        <v>0</v>
      </c>
      <c r="D10" s="604"/>
    </row>
    <row r="11" spans="1:4">
      <c r="A11" s="281" t="s">
        <v>616</v>
      </c>
      <c r="B11" s="500">
        <v>88583687</v>
      </c>
      <c r="C11" s="459">
        <v>88841214</v>
      </c>
      <c r="D11" s="604">
        <v>-2.8987334639528901E-3</v>
      </c>
    </row>
    <row r="12" spans="1:4">
      <c r="A12" s="281" t="s">
        <v>617</v>
      </c>
      <c r="B12" s="500">
        <v>1727998</v>
      </c>
      <c r="C12" s="459">
        <v>2804078</v>
      </c>
      <c r="D12" s="604">
        <v>-0.3837553734239918</v>
      </c>
    </row>
    <row r="13" spans="1:4">
      <c r="A13" s="302" t="s">
        <v>1117</v>
      </c>
      <c r="B13" s="514">
        <v>30451552</v>
      </c>
      <c r="C13" s="546">
        <v>34205919</v>
      </c>
      <c r="D13" s="644">
        <v>-0.1097578170608426</v>
      </c>
    </row>
    <row r="14" spans="1:4">
      <c r="A14" s="108" t="s">
        <v>618</v>
      </c>
      <c r="B14" s="547">
        <v>3453328573</v>
      </c>
      <c r="C14" s="548">
        <v>4753977481</v>
      </c>
      <c r="D14" s="645">
        <v>-0.27359172675895982</v>
      </c>
    </row>
    <row r="15" spans="1:4" s="322" customFormat="1">
      <c r="A15" s="351"/>
      <c r="B15" s="325"/>
      <c r="C15" s="325"/>
      <c r="D15" s="324"/>
    </row>
    <row r="16" spans="1:4">
      <c r="A16" s="104" t="s">
        <v>317</v>
      </c>
    </row>
    <row r="17" spans="1:4">
      <c r="A17" s="868" t="s">
        <v>1520</v>
      </c>
      <c r="B17" s="903"/>
      <c r="C17" s="903"/>
      <c r="D17" s="903"/>
    </row>
    <row r="18" spans="1:4">
      <c r="A18" s="903"/>
      <c r="B18" s="903"/>
      <c r="C18" s="903"/>
      <c r="D18" s="903"/>
    </row>
    <row r="19" spans="1:4">
      <c r="A19" s="903"/>
      <c r="B19" s="903"/>
      <c r="C19" s="903"/>
      <c r="D19" s="903"/>
    </row>
    <row r="20" spans="1:4">
      <c r="A20" s="104"/>
    </row>
  </sheetData>
  <mergeCells count="9">
    <mergeCell ref="A17:D1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showGridLines="0" workbookViewId="0">
      <selection activeCell="D34" sqref="B34:D34"/>
    </sheetView>
  </sheetViews>
  <sheetFormatPr baseColWidth="10" defaultColWidth="10.28515625" defaultRowHeight="12.75"/>
  <cols>
    <col min="1" max="1" width="33.7109375" style="99" customWidth="1" collapsed="1"/>
    <col min="2" max="2" width="13" style="99" customWidth="1" collapsed="1"/>
    <col min="3" max="3" width="17.42578125" style="99" customWidth="1" collapsed="1"/>
    <col min="4" max="4" width="19.140625" style="99" customWidth="1" collapsed="1"/>
    <col min="5" max="16384" width="10.28515625" style="99" collapsed="1"/>
  </cols>
  <sheetData>
    <row r="1" spans="1:4" ht="18.75" customHeight="1">
      <c r="A1" s="904" t="s">
        <v>619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4">
      <c r="A8" s="909"/>
      <c r="B8" s="911"/>
      <c r="C8" s="912"/>
      <c r="D8" s="913"/>
    </row>
    <row r="9" spans="1:4">
      <c r="A9" s="287" t="s">
        <v>620</v>
      </c>
      <c r="B9" s="638">
        <v>36364510</v>
      </c>
      <c r="C9" s="609">
        <v>34518313</v>
      </c>
      <c r="D9" s="610">
        <v>5.348456629383945E-2</v>
      </c>
    </row>
    <row r="10" spans="1:4">
      <c r="A10" s="101" t="s">
        <v>621</v>
      </c>
      <c r="B10" s="638">
        <v>76624158</v>
      </c>
      <c r="C10" s="609">
        <v>45097930</v>
      </c>
      <c r="D10" s="610">
        <v>0.69906153120553427</v>
      </c>
    </row>
    <row r="11" spans="1:4">
      <c r="A11" s="101" t="s">
        <v>622</v>
      </c>
      <c r="B11" s="638">
        <v>0</v>
      </c>
      <c r="C11" s="609">
        <v>0</v>
      </c>
      <c r="D11" s="610"/>
    </row>
    <row r="12" spans="1:4">
      <c r="A12" s="101" t="s">
        <v>623</v>
      </c>
      <c r="B12" s="638">
        <v>248218828</v>
      </c>
      <c r="C12" s="609">
        <v>240178168</v>
      </c>
      <c r="D12" s="610">
        <v>3.3477897125104225E-2</v>
      </c>
    </row>
    <row r="13" spans="1:4">
      <c r="A13" s="101" t="s">
        <v>624</v>
      </c>
      <c r="B13" s="638">
        <v>39706211</v>
      </c>
      <c r="C13" s="609">
        <v>32510448</v>
      </c>
      <c r="D13" s="610">
        <v>0.22133693759003259</v>
      </c>
    </row>
    <row r="14" spans="1:4">
      <c r="A14" s="101" t="s">
        <v>625</v>
      </c>
      <c r="B14" s="638">
        <v>0</v>
      </c>
      <c r="C14" s="609">
        <v>72000</v>
      </c>
      <c r="D14" s="610">
        <v>-1</v>
      </c>
    </row>
    <row r="15" spans="1:4" ht="25.5" customHeight="1">
      <c r="A15" s="101" t="s">
        <v>626</v>
      </c>
      <c r="B15" s="638">
        <v>5006320</v>
      </c>
      <c r="C15" s="609">
        <v>9123870</v>
      </c>
      <c r="D15" s="610">
        <v>-0.45129424246509431</v>
      </c>
    </row>
    <row r="16" spans="1:4">
      <c r="A16" s="101" t="s">
        <v>627</v>
      </c>
      <c r="B16" s="638">
        <v>12049400</v>
      </c>
      <c r="C16" s="609">
        <v>8447764</v>
      </c>
      <c r="D16" s="610">
        <v>0.42634192905957125</v>
      </c>
    </row>
    <row r="17" spans="1:4">
      <c r="A17" s="101" t="s">
        <v>628</v>
      </c>
      <c r="B17" s="638">
        <v>147122975</v>
      </c>
      <c r="C17" s="609">
        <v>200981755</v>
      </c>
      <c r="D17" s="610">
        <v>-0.26797845406415127</v>
      </c>
    </row>
    <row r="18" spans="1:4" ht="25.5" customHeight="1">
      <c r="A18" s="101" t="s">
        <v>629</v>
      </c>
      <c r="B18" s="638">
        <v>221268390</v>
      </c>
      <c r="C18" s="609">
        <v>208294284</v>
      </c>
      <c r="D18" s="610">
        <v>6.2287383747890078E-2</v>
      </c>
    </row>
    <row r="19" spans="1:4">
      <c r="A19" s="101" t="s">
        <v>630</v>
      </c>
      <c r="B19" s="638">
        <v>8576300</v>
      </c>
      <c r="C19" s="609">
        <v>14346500</v>
      </c>
      <c r="D19" s="610">
        <v>-0.4022026278186317</v>
      </c>
    </row>
    <row r="20" spans="1:4" ht="25.5" customHeight="1">
      <c r="A20" s="101" t="s">
        <v>631</v>
      </c>
      <c r="B20" s="638">
        <v>3486238</v>
      </c>
      <c r="C20" s="609">
        <v>3535435</v>
      </c>
      <c r="D20" s="610">
        <v>-1.3915402206517727E-2</v>
      </c>
    </row>
    <row r="21" spans="1:4">
      <c r="A21" s="101" t="s">
        <v>632</v>
      </c>
      <c r="B21" s="638">
        <v>6600000</v>
      </c>
      <c r="C21" s="609">
        <v>6000000</v>
      </c>
      <c r="D21" s="610">
        <v>0.1</v>
      </c>
    </row>
    <row r="22" spans="1:4">
      <c r="A22" s="101" t="s">
        <v>633</v>
      </c>
      <c r="B22" s="638">
        <v>26332811</v>
      </c>
      <c r="C22" s="609">
        <v>15103443</v>
      </c>
      <c r="D22" s="610">
        <v>0.74349722775131477</v>
      </c>
    </row>
    <row r="23" spans="1:4">
      <c r="A23" s="101"/>
      <c r="B23" s="638"/>
      <c r="C23" s="609"/>
      <c r="D23" s="610">
        <v>0</v>
      </c>
    </row>
    <row r="24" spans="1:4">
      <c r="A24" s="108" t="s">
        <v>634</v>
      </c>
      <c r="B24" s="504">
        <v>831356141</v>
      </c>
      <c r="C24" s="505">
        <v>818209910</v>
      </c>
      <c r="D24" s="612">
        <v>1.6067064012949928E-2</v>
      </c>
    </row>
    <row r="25" spans="1:4" s="322" customFormat="1">
      <c r="A25" s="351"/>
      <c r="B25" s="325"/>
      <c r="C25" s="325"/>
      <c r="D25" s="324"/>
    </row>
    <row r="26" spans="1:4">
      <c r="A26" s="104" t="s">
        <v>317</v>
      </c>
    </row>
    <row r="27" spans="1:4">
      <c r="A27" s="841"/>
      <c r="B27" s="903"/>
      <c r="C27" s="903"/>
      <c r="D27" s="903"/>
    </row>
    <row r="28" spans="1:4">
      <c r="A28" s="903"/>
      <c r="B28" s="903"/>
      <c r="C28" s="903"/>
      <c r="D28" s="903"/>
    </row>
    <row r="29" spans="1:4">
      <c r="A29" s="903"/>
      <c r="B29" s="903"/>
      <c r="C29" s="903"/>
      <c r="D29" s="903"/>
    </row>
    <row r="30" spans="1:4">
      <c r="A30" s="104"/>
    </row>
    <row r="34" spans="4:4">
      <c r="D34" s="667"/>
    </row>
  </sheetData>
  <mergeCells count="9">
    <mergeCell ref="A27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showGridLines="0" workbookViewId="0">
      <selection activeCell="B29" sqref="B29:D29"/>
    </sheetView>
  </sheetViews>
  <sheetFormatPr baseColWidth="10" defaultColWidth="10.28515625" defaultRowHeight="12.75"/>
  <cols>
    <col min="1" max="1" width="33.7109375" style="99" customWidth="1" collapsed="1"/>
    <col min="2" max="2" width="16.85546875" style="99" customWidth="1" collapsed="1"/>
    <col min="3" max="3" width="17.42578125" style="99" customWidth="1" collapsed="1"/>
    <col min="4" max="4" width="19.85546875" style="99" customWidth="1" collapsed="1"/>
    <col min="5" max="16384" width="10.28515625" style="99" collapsed="1"/>
  </cols>
  <sheetData>
    <row r="1" spans="1:4" ht="18.75" customHeight="1">
      <c r="A1" s="904" t="s">
        <v>635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4">
      <c r="A8" s="909"/>
      <c r="B8" s="911"/>
      <c r="C8" s="912"/>
      <c r="D8" s="913"/>
    </row>
    <row r="9" spans="1:4">
      <c r="A9" s="101" t="s">
        <v>636</v>
      </c>
      <c r="B9" s="500">
        <v>12585643</v>
      </c>
      <c r="C9" s="459">
        <v>24253811</v>
      </c>
      <c r="D9" s="604">
        <v>-0.48108596211952009</v>
      </c>
    </row>
    <row r="10" spans="1:4">
      <c r="A10" s="101" t="s">
        <v>637</v>
      </c>
      <c r="B10" s="500">
        <v>0</v>
      </c>
      <c r="C10" s="459">
        <v>0</v>
      </c>
      <c r="D10" s="604"/>
    </row>
    <row r="11" spans="1:4">
      <c r="A11" s="101" t="s">
        <v>638</v>
      </c>
      <c r="B11" s="500">
        <v>0</v>
      </c>
      <c r="C11" s="459">
        <v>0</v>
      </c>
      <c r="D11" s="604"/>
    </row>
    <row r="12" spans="1:4">
      <c r="A12" s="101" t="s">
        <v>639</v>
      </c>
      <c r="B12" s="500">
        <v>0</v>
      </c>
      <c r="C12" s="459">
        <v>100000000</v>
      </c>
      <c r="D12" s="604" t="s">
        <v>1416</v>
      </c>
    </row>
    <row r="13" spans="1:4">
      <c r="A13" s="101" t="s">
        <v>640</v>
      </c>
      <c r="B13" s="500">
        <v>36784</v>
      </c>
      <c r="C13" s="459">
        <v>2169887</v>
      </c>
      <c r="D13" s="604">
        <v>-0.9830479651705365</v>
      </c>
    </row>
    <row r="14" spans="1:4">
      <c r="A14" s="101"/>
      <c r="B14" s="224"/>
      <c r="C14" s="205"/>
      <c r="D14" s="646"/>
    </row>
    <row r="15" spans="1:4">
      <c r="A15" s="108" t="s">
        <v>641</v>
      </c>
      <c r="B15" s="504">
        <v>12622427</v>
      </c>
      <c r="C15" s="505">
        <v>126423698</v>
      </c>
      <c r="D15" s="612">
        <v>-0.9001577457416251</v>
      </c>
    </row>
    <row r="16" spans="1:4" s="322" customFormat="1">
      <c r="A16" s="351"/>
      <c r="B16" s="325"/>
      <c r="C16" s="325"/>
      <c r="D16" s="324"/>
    </row>
    <row r="17" spans="1:4">
      <c r="A17" s="104" t="s">
        <v>317</v>
      </c>
    </row>
    <row r="18" spans="1:4">
      <c r="A18" s="841"/>
      <c r="B18" s="903"/>
      <c r="C18" s="903"/>
      <c r="D18" s="903"/>
    </row>
    <row r="19" spans="1:4">
      <c r="A19" s="903"/>
      <c r="B19" s="903"/>
      <c r="C19" s="903"/>
      <c r="D19" s="903"/>
    </row>
    <row r="20" spans="1:4">
      <c r="A20" s="903"/>
      <c r="B20" s="903"/>
      <c r="C20" s="903"/>
      <c r="D20" s="903"/>
    </row>
    <row r="21" spans="1:4">
      <c r="A21" s="104"/>
    </row>
    <row r="22" spans="1:4">
      <c r="A22" s="104"/>
    </row>
  </sheetData>
  <mergeCells count="9">
    <mergeCell ref="A18:D2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showGridLines="0" workbookViewId="0">
      <selection activeCell="A21" sqref="A21:D23"/>
    </sheetView>
  </sheetViews>
  <sheetFormatPr baseColWidth="10" defaultColWidth="10.28515625" defaultRowHeight="12.75"/>
  <cols>
    <col min="1" max="1" width="33.7109375" style="99" customWidth="1" collapsed="1"/>
    <col min="2" max="2" width="14.42578125" style="99" customWidth="1" collapsed="1"/>
    <col min="3" max="3" width="14.85546875" style="99" customWidth="1" collapsed="1"/>
    <col min="4" max="4" width="16.140625" style="99" customWidth="1" collapsed="1"/>
    <col min="5" max="16384" width="10.28515625" style="99" collapsed="1"/>
  </cols>
  <sheetData>
    <row r="1" spans="1:4" ht="18.75" customHeight="1">
      <c r="A1" s="904" t="s">
        <v>642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4">
      <c r="A8" s="909"/>
      <c r="B8" s="911"/>
      <c r="C8" s="912"/>
      <c r="D8" s="913"/>
    </row>
    <row r="9" spans="1:4">
      <c r="A9" s="101" t="s">
        <v>643</v>
      </c>
      <c r="B9" s="500">
        <v>0</v>
      </c>
      <c r="C9" s="459">
        <v>0</v>
      </c>
      <c r="D9" s="604"/>
    </row>
    <row r="10" spans="1:4">
      <c r="A10" s="101" t="s">
        <v>644</v>
      </c>
      <c r="B10" s="500">
        <v>0</v>
      </c>
      <c r="C10" s="459">
        <v>0</v>
      </c>
      <c r="D10" s="604"/>
    </row>
    <row r="11" spans="1:4" ht="25.5" customHeight="1">
      <c r="A11" s="101" t="s">
        <v>645</v>
      </c>
      <c r="B11" s="500">
        <v>0</v>
      </c>
      <c r="C11" s="459">
        <v>0</v>
      </c>
      <c r="D11" s="604"/>
    </row>
    <row r="12" spans="1:4" ht="25.5" customHeight="1">
      <c r="A12" s="101" t="s">
        <v>646</v>
      </c>
      <c r="B12" s="500">
        <v>0</v>
      </c>
      <c r="C12" s="459">
        <v>0</v>
      </c>
      <c r="D12" s="604"/>
    </row>
    <row r="13" spans="1:4" ht="25.5" customHeight="1">
      <c r="A13" s="101" t="s">
        <v>647</v>
      </c>
      <c r="B13" s="638">
        <v>44260341</v>
      </c>
      <c r="C13" s="609">
        <v>44260341</v>
      </c>
      <c r="D13" s="610">
        <v>0</v>
      </c>
    </row>
    <row r="14" spans="1:4">
      <c r="A14" s="101" t="s">
        <v>648</v>
      </c>
      <c r="B14" s="638">
        <v>64932726</v>
      </c>
      <c r="C14" s="609">
        <v>62348600</v>
      </c>
      <c r="D14" s="610">
        <v>4.1446415797628172E-2</v>
      </c>
    </row>
    <row r="15" spans="1:4">
      <c r="A15" s="101" t="s">
        <v>649</v>
      </c>
      <c r="B15" s="638">
        <v>3633045</v>
      </c>
      <c r="C15" s="609">
        <v>887463</v>
      </c>
      <c r="D15" s="610">
        <v>3.0937424996873109</v>
      </c>
    </row>
    <row r="16" spans="1:4" ht="38.25" customHeight="1">
      <c r="A16" s="101" t="s">
        <v>650</v>
      </c>
      <c r="B16" s="500">
        <v>93390313</v>
      </c>
      <c r="C16" s="459">
        <v>35177</v>
      </c>
      <c r="D16" s="604"/>
    </row>
    <row r="17" spans="1:4">
      <c r="A17" s="101"/>
      <c r="B17" s="224"/>
      <c r="C17" s="205"/>
      <c r="D17" s="646"/>
    </row>
    <row r="18" spans="1:4">
      <c r="A18" s="108" t="s">
        <v>651</v>
      </c>
      <c r="B18" s="549">
        <v>206216425</v>
      </c>
      <c r="C18" s="528">
        <v>107531581</v>
      </c>
      <c r="D18" s="612">
        <v>0.91772894141675454</v>
      </c>
    </row>
    <row r="19" spans="1:4" s="322" customFormat="1">
      <c r="A19" s="351"/>
      <c r="B19" s="326"/>
      <c r="C19" s="326"/>
      <c r="D19" s="324"/>
    </row>
    <row r="20" spans="1:4">
      <c r="A20" s="104" t="s">
        <v>317</v>
      </c>
    </row>
    <row r="21" spans="1:4">
      <c r="A21" s="841"/>
      <c r="B21" s="903"/>
      <c r="C21" s="903"/>
      <c r="D21" s="903"/>
    </row>
    <row r="22" spans="1:4">
      <c r="A22" s="903"/>
      <c r="B22" s="903"/>
      <c r="C22" s="903"/>
      <c r="D22" s="903"/>
    </row>
    <row r="23" spans="1:4">
      <c r="A23" s="903"/>
      <c r="B23" s="903"/>
      <c r="C23" s="903"/>
      <c r="D23" s="903"/>
    </row>
    <row r="24" spans="1:4">
      <c r="A24" s="104"/>
    </row>
  </sheetData>
  <mergeCells count="9">
    <mergeCell ref="A21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showGridLines="0" workbookViewId="0">
      <selection activeCell="G1" sqref="G1:I1048576"/>
    </sheetView>
  </sheetViews>
  <sheetFormatPr baseColWidth="10" defaultColWidth="10.28515625" defaultRowHeight="12.75"/>
  <cols>
    <col min="1" max="1" width="33.7109375" style="99" customWidth="1" collapsed="1"/>
    <col min="2" max="2" width="15.5703125" style="99" customWidth="1" collapsed="1"/>
    <col min="3" max="3" width="16.42578125" style="99" customWidth="1" collapsed="1"/>
    <col min="4" max="4" width="18.140625" style="99" customWidth="1" collapsed="1"/>
    <col min="5" max="6" width="10.28515625" style="99" collapsed="1"/>
    <col min="7" max="8" width="11" style="99" bestFit="1" customWidth="1" collapsed="1"/>
    <col min="9" max="9" width="12.5703125" style="99" bestFit="1" customWidth="1" collapsed="1"/>
    <col min="10" max="16384" width="10.28515625" style="99" collapsed="1"/>
  </cols>
  <sheetData>
    <row r="1" spans="1:4" ht="18.75" customHeight="1">
      <c r="A1" s="904" t="s">
        <v>652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10" t="s">
        <v>371</v>
      </c>
      <c r="C7" s="912" t="s">
        <v>372</v>
      </c>
      <c r="D7" s="913" t="s">
        <v>399</v>
      </c>
    </row>
    <row r="8" spans="1:4">
      <c r="A8" s="909"/>
      <c r="B8" s="911"/>
      <c r="C8" s="912"/>
      <c r="D8" s="913"/>
    </row>
    <row r="9" spans="1:4" ht="25.5" customHeight="1">
      <c r="A9" s="101" t="s">
        <v>653</v>
      </c>
      <c r="B9" s="500">
        <v>1699274204</v>
      </c>
      <c r="C9" s="459">
        <v>1601438728</v>
      </c>
      <c r="D9" s="604">
        <v>6.109223805408058E-2</v>
      </c>
    </row>
    <row r="10" spans="1:4" ht="25.5" customHeight="1">
      <c r="A10" s="101" t="s">
        <v>654</v>
      </c>
      <c r="B10" s="500">
        <v>24315693</v>
      </c>
      <c r="C10" s="459">
        <v>17262966</v>
      </c>
      <c r="D10" s="604">
        <v>0.40854665414969826</v>
      </c>
    </row>
    <row r="11" spans="1:4">
      <c r="A11" s="101" t="s">
        <v>655</v>
      </c>
      <c r="B11" s="500">
        <v>266099734</v>
      </c>
      <c r="C11" s="459">
        <v>243258769</v>
      </c>
      <c r="D11" s="604">
        <v>9.3895751811520517E-2</v>
      </c>
    </row>
    <row r="12" spans="1:4" ht="25.5" customHeight="1">
      <c r="A12" s="101" t="s">
        <v>656</v>
      </c>
      <c r="B12" s="500">
        <v>0</v>
      </c>
      <c r="C12" s="459">
        <v>0</v>
      </c>
      <c r="D12" s="604"/>
    </row>
    <row r="13" spans="1:4" ht="25.5" customHeight="1">
      <c r="A13" s="101" t="s">
        <v>657</v>
      </c>
      <c r="B13" s="500">
        <v>204020450</v>
      </c>
      <c r="C13" s="459">
        <v>235485402</v>
      </c>
      <c r="D13" s="604">
        <v>-0.13361742058218964</v>
      </c>
    </row>
    <row r="14" spans="1:4">
      <c r="A14" s="101" t="s">
        <v>658</v>
      </c>
      <c r="B14" s="500">
        <v>120043591</v>
      </c>
      <c r="C14" s="459">
        <v>117912203</v>
      </c>
      <c r="D14" s="604">
        <v>1.8076059523711892E-2</v>
      </c>
    </row>
    <row r="15" spans="1:4">
      <c r="A15" s="101"/>
      <c r="B15" s="500"/>
      <c r="C15" s="459"/>
      <c r="D15" s="604"/>
    </row>
    <row r="16" spans="1:4">
      <c r="A16" s="108" t="s">
        <v>659</v>
      </c>
      <c r="B16" s="504">
        <v>2313753672</v>
      </c>
      <c r="C16" s="505">
        <v>2215358068</v>
      </c>
      <c r="D16" s="612">
        <v>4.441521459726392E-2</v>
      </c>
    </row>
    <row r="17" spans="1:4" s="322" customFormat="1">
      <c r="A17" s="351"/>
      <c r="B17" s="325"/>
      <c r="C17" s="325"/>
      <c r="D17" s="324"/>
    </row>
    <row r="18" spans="1:4">
      <c r="A18" s="104" t="s">
        <v>317</v>
      </c>
    </row>
    <row r="19" spans="1:4">
      <c r="A19" s="841"/>
      <c r="B19" s="903"/>
      <c r="C19" s="903"/>
      <c r="D19" s="903"/>
    </row>
    <row r="20" spans="1:4">
      <c r="A20" s="903"/>
      <c r="B20" s="903"/>
      <c r="C20" s="903"/>
      <c r="D20" s="903"/>
    </row>
    <row r="21" spans="1:4">
      <c r="A21" s="903"/>
      <c r="B21" s="903"/>
      <c r="C21" s="903"/>
      <c r="D21" s="903"/>
    </row>
  </sheetData>
  <mergeCells count="9">
    <mergeCell ref="A19:D2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zoomScale="85" zoomScaleNormal="85" workbookViewId="0">
      <selection activeCell="J10" sqref="J10"/>
    </sheetView>
  </sheetViews>
  <sheetFormatPr baseColWidth="10" defaultColWidth="10.28515625" defaultRowHeight="12.75"/>
  <cols>
    <col min="1" max="1" width="4.5703125" style="99" bestFit="1" customWidth="1" collapsed="1"/>
    <col min="2" max="2" width="35.28515625" style="99" customWidth="1" collapsed="1"/>
    <col min="3" max="15" width="6.7109375" style="99" customWidth="1" collapsed="1"/>
    <col min="16" max="16" width="7.5703125" style="99" customWidth="1" collapsed="1"/>
    <col min="17" max="16384" width="10.28515625" style="99" collapsed="1"/>
  </cols>
  <sheetData>
    <row r="1" spans="1:17" ht="18.75" customHeight="1">
      <c r="B1" s="904" t="s">
        <v>660</v>
      </c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</row>
    <row r="3" spans="1:17">
      <c r="B3" s="99" t="s">
        <v>279</v>
      </c>
      <c r="C3" s="112"/>
      <c r="D3" s="112"/>
      <c r="E3" s="112"/>
      <c r="F3" s="112"/>
      <c r="K3" s="99" t="s">
        <v>280</v>
      </c>
      <c r="N3" s="1005">
        <f>+'Fiche de renseignement R1'!$V$10</f>
        <v>45657</v>
      </c>
      <c r="O3" s="1006"/>
      <c r="P3" s="1006"/>
    </row>
    <row r="4" spans="1:17">
      <c r="B4" s="1007" t="str">
        <f>'Fiche de renseignement R1'!$J$4</f>
        <v>SOCIETE NOUVELLE DES SALINS DU SINE SALOUM</v>
      </c>
      <c r="C4" s="1006"/>
      <c r="D4" s="1006"/>
      <c r="E4" s="1006"/>
      <c r="F4" s="1006"/>
      <c r="G4" s="1006"/>
      <c r="H4" s="1006"/>
    </row>
    <row r="5" spans="1:17">
      <c r="B5" s="99" t="s">
        <v>282</v>
      </c>
      <c r="C5" s="1007" t="str">
        <f>+'Fiche de renseignement R1'!$J$10</f>
        <v>000018699</v>
      </c>
      <c r="D5" s="1006"/>
      <c r="E5" s="1006"/>
      <c r="K5" s="99" t="s">
        <v>281</v>
      </c>
      <c r="M5" s="1007">
        <f>+'Fiche de renseignement R1'!$AH$10</f>
        <v>12</v>
      </c>
      <c r="N5" s="1006"/>
    </row>
    <row r="7" spans="1:17" s="113" customFormat="1">
      <c r="B7" s="1008" t="s">
        <v>661</v>
      </c>
      <c r="C7" s="1011" t="s">
        <v>662</v>
      </c>
      <c r="D7" s="1012"/>
      <c r="E7" s="1012"/>
      <c r="F7" s="1012"/>
      <c r="G7" s="1012"/>
      <c r="H7" s="1012"/>
      <c r="I7" s="1013"/>
      <c r="J7" s="1012" t="s">
        <v>663</v>
      </c>
      <c r="K7" s="1012"/>
      <c r="L7" s="1012"/>
      <c r="M7" s="1012"/>
      <c r="N7" s="1012"/>
      <c r="O7" s="1012"/>
      <c r="P7" s="1014"/>
    </row>
    <row r="8" spans="1:17" s="113" customFormat="1">
      <c r="B8" s="1009"/>
      <c r="C8" s="1015" t="s">
        <v>664</v>
      </c>
      <c r="D8" s="1016"/>
      <c r="E8" s="1017" t="s">
        <v>665</v>
      </c>
      <c r="F8" s="1018"/>
      <c r="G8" s="1015" t="s">
        <v>666</v>
      </c>
      <c r="H8" s="1016"/>
      <c r="I8" s="114" t="s">
        <v>105</v>
      </c>
      <c r="J8" s="1019" t="s">
        <v>664</v>
      </c>
      <c r="K8" s="1016"/>
      <c r="L8" s="1020" t="s">
        <v>665</v>
      </c>
      <c r="M8" s="1021"/>
      <c r="N8" s="1022" t="s">
        <v>666</v>
      </c>
      <c r="O8" s="1023"/>
      <c r="P8" s="115" t="s">
        <v>105</v>
      </c>
    </row>
    <row r="9" spans="1:17" s="113" customFormat="1">
      <c r="B9" s="1010"/>
      <c r="C9" s="116" t="s">
        <v>667</v>
      </c>
      <c r="D9" s="116" t="s">
        <v>274</v>
      </c>
      <c r="E9" s="116" t="s">
        <v>667</v>
      </c>
      <c r="F9" s="116" t="s">
        <v>274</v>
      </c>
      <c r="G9" s="116" t="s">
        <v>667</v>
      </c>
      <c r="H9" s="116" t="s">
        <v>274</v>
      </c>
      <c r="I9" s="117"/>
      <c r="J9" s="118" t="s">
        <v>667</v>
      </c>
      <c r="K9" s="116" t="s">
        <v>274</v>
      </c>
      <c r="L9" s="119" t="s">
        <v>667</v>
      </c>
      <c r="M9" s="119" t="s">
        <v>274</v>
      </c>
      <c r="N9" s="119" t="s">
        <v>667</v>
      </c>
      <c r="O9" s="119" t="s">
        <v>274</v>
      </c>
      <c r="P9" s="120"/>
    </row>
    <row r="10" spans="1:17" s="113" customFormat="1">
      <c r="A10" s="121" t="s">
        <v>668</v>
      </c>
      <c r="B10" s="216" t="s">
        <v>669</v>
      </c>
      <c r="C10" s="550">
        <v>5</v>
      </c>
      <c r="D10" s="459"/>
      <c r="E10" s="459"/>
      <c r="F10" s="459">
        <v>1</v>
      </c>
      <c r="G10" s="459">
        <v>3</v>
      </c>
      <c r="H10" s="459"/>
      <c r="I10" s="551">
        <v>9</v>
      </c>
      <c r="J10" s="498">
        <v>180</v>
      </c>
      <c r="K10" s="459">
        <v>17</v>
      </c>
      <c r="L10" s="459">
        <v>0</v>
      </c>
      <c r="M10" s="459">
        <v>76</v>
      </c>
      <c r="N10" s="459">
        <v>455</v>
      </c>
      <c r="O10" s="459"/>
      <c r="P10" s="459">
        <v>728</v>
      </c>
    </row>
    <row r="11" spans="1:17" s="113" customFormat="1" ht="25.5" customHeight="1">
      <c r="A11" s="121" t="s">
        <v>670</v>
      </c>
      <c r="B11" s="216" t="s">
        <v>671</v>
      </c>
      <c r="C11" s="550"/>
      <c r="D11" s="459"/>
      <c r="E11" s="459"/>
      <c r="F11" s="459"/>
      <c r="G11" s="459"/>
      <c r="H11" s="459"/>
      <c r="I11" s="551">
        <v>0</v>
      </c>
      <c r="J11" s="498"/>
      <c r="K11" s="459"/>
      <c r="L11" s="459"/>
      <c r="M11" s="459"/>
      <c r="N11" s="552"/>
      <c r="O11" s="459"/>
      <c r="P11" s="459">
        <v>0</v>
      </c>
    </row>
    <row r="12" spans="1:17" s="113" customFormat="1" ht="25.5" customHeight="1">
      <c r="A12" s="121" t="s">
        <v>672</v>
      </c>
      <c r="B12" s="216" t="s">
        <v>673</v>
      </c>
      <c r="C12" s="550">
        <v>11</v>
      </c>
      <c r="D12" s="459">
        <v>3</v>
      </c>
      <c r="E12" s="459">
        <v>1</v>
      </c>
      <c r="F12" s="459"/>
      <c r="G12" s="459"/>
      <c r="H12" s="459"/>
      <c r="I12" s="551">
        <v>15</v>
      </c>
      <c r="J12" s="498">
        <v>124</v>
      </c>
      <c r="K12" s="459">
        <v>23</v>
      </c>
      <c r="L12" s="459">
        <v>7</v>
      </c>
      <c r="M12" s="459"/>
      <c r="N12" s="459"/>
      <c r="O12" s="459"/>
      <c r="P12" s="459">
        <v>154</v>
      </c>
    </row>
    <row r="13" spans="1:17" s="113" customFormat="1" ht="25.5" customHeight="1">
      <c r="A13" s="121" t="s">
        <v>674</v>
      </c>
      <c r="B13" s="216" t="s">
        <v>675</v>
      </c>
      <c r="C13" s="550">
        <v>120</v>
      </c>
      <c r="D13" s="459">
        <v>6</v>
      </c>
      <c r="E13" s="459"/>
      <c r="F13" s="459"/>
      <c r="G13" s="459"/>
      <c r="H13" s="459"/>
      <c r="I13" s="551">
        <v>126</v>
      </c>
      <c r="J13" s="498">
        <v>568</v>
      </c>
      <c r="K13" s="459">
        <v>24</v>
      </c>
      <c r="L13" s="459"/>
      <c r="M13" s="459"/>
      <c r="N13" s="459"/>
      <c r="O13" s="459"/>
      <c r="P13" s="459">
        <v>592</v>
      </c>
    </row>
    <row r="14" spans="1:17" s="113" customFormat="1">
      <c r="A14" s="121" t="s">
        <v>676</v>
      </c>
      <c r="B14" s="127" t="s">
        <v>677</v>
      </c>
      <c r="C14" s="553">
        <v>136</v>
      </c>
      <c r="D14" s="553">
        <v>9</v>
      </c>
      <c r="E14" s="553">
        <v>1</v>
      </c>
      <c r="F14" s="553">
        <v>1</v>
      </c>
      <c r="G14" s="553">
        <v>3</v>
      </c>
      <c r="H14" s="553">
        <v>0</v>
      </c>
      <c r="I14" s="554">
        <v>150</v>
      </c>
      <c r="J14" s="555">
        <v>872</v>
      </c>
      <c r="K14" s="553">
        <v>64</v>
      </c>
      <c r="L14" s="553">
        <v>7</v>
      </c>
      <c r="M14" s="553">
        <v>76</v>
      </c>
      <c r="N14" s="553">
        <v>455</v>
      </c>
      <c r="O14" s="553">
        <v>0</v>
      </c>
      <c r="P14" s="553">
        <v>1474</v>
      </c>
      <c r="Q14" s="376"/>
    </row>
    <row r="15" spans="1:17" s="113" customFormat="1">
      <c r="A15" s="121"/>
      <c r="B15" s="127"/>
      <c r="C15" s="556"/>
      <c r="D15" s="556"/>
      <c r="E15" s="556"/>
      <c r="F15" s="556"/>
      <c r="G15" s="556"/>
      <c r="H15" s="556"/>
      <c r="I15" s="557"/>
      <c r="J15" s="558"/>
      <c r="K15" s="556"/>
      <c r="L15" s="556">
        <v>0</v>
      </c>
      <c r="M15" s="556">
        <v>0</v>
      </c>
      <c r="N15" s="556">
        <v>0</v>
      </c>
      <c r="O15" s="556">
        <v>0</v>
      </c>
      <c r="P15" s="556">
        <v>0</v>
      </c>
    </row>
    <row r="16" spans="1:17" s="113" customFormat="1" ht="12" customHeight="1">
      <c r="A16" s="121" t="s">
        <v>678</v>
      </c>
      <c r="B16" s="122" t="s">
        <v>1118</v>
      </c>
      <c r="C16" s="459">
        <v>136</v>
      </c>
      <c r="D16" s="459">
        <v>9</v>
      </c>
      <c r="E16" s="459">
        <v>1</v>
      </c>
      <c r="F16" s="459">
        <v>1</v>
      </c>
      <c r="G16" s="459">
        <v>3</v>
      </c>
      <c r="H16" s="459">
        <v>0</v>
      </c>
      <c r="I16" s="557">
        <v>150</v>
      </c>
      <c r="J16" s="498">
        <v>872</v>
      </c>
      <c r="K16" s="459">
        <v>64</v>
      </c>
      <c r="L16" s="459">
        <v>7</v>
      </c>
      <c r="M16" s="459">
        <v>76</v>
      </c>
      <c r="N16" s="459">
        <v>455</v>
      </c>
      <c r="O16" s="459">
        <v>0</v>
      </c>
      <c r="P16" s="459">
        <v>1474</v>
      </c>
    </row>
    <row r="17" spans="1:17" s="113" customFormat="1" ht="13.5" thickBot="1">
      <c r="A17" s="121" t="s">
        <v>679</v>
      </c>
      <c r="B17" s="122" t="s">
        <v>1119</v>
      </c>
      <c r="C17" s="647">
        <v>197</v>
      </c>
      <c r="D17" s="647"/>
      <c r="E17" s="647"/>
      <c r="F17" s="647"/>
      <c r="G17" s="647"/>
      <c r="H17" s="647"/>
      <c r="I17" s="648">
        <v>197</v>
      </c>
      <c r="J17" s="242">
        <v>254</v>
      </c>
      <c r="K17" s="241"/>
      <c r="L17" s="241"/>
      <c r="M17" s="241"/>
      <c r="N17" s="241"/>
      <c r="O17" s="241"/>
      <c r="P17" s="360">
        <v>254</v>
      </c>
      <c r="Q17" s="376"/>
    </row>
    <row r="18" spans="1:17" s="113" customFormat="1">
      <c r="A18" s="123"/>
      <c r="C18" s="234"/>
      <c r="D18" s="234"/>
      <c r="E18" s="234"/>
      <c r="F18" s="234"/>
      <c r="G18" s="234"/>
      <c r="H18" s="234"/>
      <c r="I18" s="234"/>
      <c r="J18" s="234"/>
      <c r="K18" s="234"/>
      <c r="L18" s="235"/>
      <c r="M18" s="235"/>
      <c r="N18" s="235"/>
      <c r="O18" s="235"/>
      <c r="P18" s="235"/>
    </row>
    <row r="19" spans="1:17" s="113" customFormat="1" ht="9.75" customHeight="1">
      <c r="A19" s="123"/>
      <c r="B19" s="125"/>
      <c r="L19" s="124"/>
      <c r="M19" s="124"/>
      <c r="N19" s="124"/>
      <c r="O19" s="124"/>
      <c r="P19" s="124"/>
    </row>
    <row r="20" spans="1:17" s="113" customFormat="1" ht="23.25" customHeight="1">
      <c r="A20" s="123"/>
      <c r="B20" s="278" t="s">
        <v>680</v>
      </c>
      <c r="J20" s="1003" t="s">
        <v>681</v>
      </c>
      <c r="K20" s="1004"/>
      <c r="L20" s="124"/>
      <c r="M20" s="124"/>
      <c r="N20" s="124"/>
      <c r="O20" s="124"/>
      <c r="P20" s="124"/>
    </row>
    <row r="21" spans="1:17" s="113" customFormat="1">
      <c r="A21" s="121" t="s">
        <v>682</v>
      </c>
      <c r="B21" s="216" t="s">
        <v>669</v>
      </c>
      <c r="C21" s="559">
        <v>0</v>
      </c>
      <c r="D21" s="559">
        <v>0</v>
      </c>
      <c r="E21" s="559">
        <v>0</v>
      </c>
      <c r="F21" s="559">
        <v>0</v>
      </c>
      <c r="G21" s="559">
        <v>0</v>
      </c>
      <c r="H21" s="559">
        <v>0</v>
      </c>
      <c r="I21" s="560">
        <v>0</v>
      </c>
      <c r="J21" s="561">
        <v>0</v>
      </c>
      <c r="K21" s="559">
        <v>0</v>
      </c>
      <c r="L21" s="124"/>
      <c r="M21" s="124"/>
      <c r="N21" s="124"/>
      <c r="O21" s="124"/>
      <c r="P21" s="124"/>
    </row>
    <row r="22" spans="1:17" s="113" customFormat="1" ht="25.5" customHeight="1">
      <c r="A22" s="121" t="s">
        <v>683</v>
      </c>
      <c r="B22" s="216" t="s">
        <v>671</v>
      </c>
      <c r="C22" s="559">
        <v>0</v>
      </c>
      <c r="D22" s="559">
        <v>0</v>
      </c>
      <c r="E22" s="559">
        <v>0</v>
      </c>
      <c r="F22" s="559">
        <v>0</v>
      </c>
      <c r="G22" s="559">
        <v>0</v>
      </c>
      <c r="H22" s="559">
        <v>0</v>
      </c>
      <c r="I22" s="557">
        <v>0</v>
      </c>
      <c r="J22" s="561">
        <v>0</v>
      </c>
      <c r="K22" s="559">
        <v>0</v>
      </c>
      <c r="L22" s="124"/>
      <c r="M22" s="124"/>
      <c r="N22" s="124"/>
      <c r="O22" s="124"/>
      <c r="P22" s="124"/>
    </row>
    <row r="23" spans="1:17" s="113" customFormat="1" ht="25.5" customHeight="1">
      <c r="A23" s="121" t="s">
        <v>684</v>
      </c>
      <c r="B23" s="216" t="s">
        <v>673</v>
      </c>
      <c r="C23" s="559">
        <v>0</v>
      </c>
      <c r="D23" s="559">
        <v>0</v>
      </c>
      <c r="E23" s="559">
        <v>0</v>
      </c>
      <c r="F23" s="559">
        <v>0</v>
      </c>
      <c r="G23" s="559">
        <v>0</v>
      </c>
      <c r="H23" s="559">
        <v>0</v>
      </c>
      <c r="I23" s="557">
        <v>0</v>
      </c>
      <c r="J23" s="561">
        <v>0</v>
      </c>
      <c r="K23" s="559">
        <v>0</v>
      </c>
      <c r="L23" s="124"/>
      <c r="M23" s="124"/>
      <c r="N23" s="124"/>
      <c r="O23" s="124"/>
      <c r="P23" s="124"/>
    </row>
    <row r="24" spans="1:17" s="113" customFormat="1" ht="25.5" customHeight="1">
      <c r="A24" s="121" t="s">
        <v>685</v>
      </c>
      <c r="B24" s="216" t="s">
        <v>675</v>
      </c>
      <c r="C24" s="559">
        <v>149</v>
      </c>
      <c r="D24" s="559"/>
      <c r="E24" s="559"/>
      <c r="F24" s="559"/>
      <c r="G24" s="559"/>
      <c r="H24" s="559"/>
      <c r="I24" s="557">
        <v>149</v>
      </c>
      <c r="J24" s="561">
        <v>204</v>
      </c>
      <c r="K24" s="559">
        <v>0</v>
      </c>
      <c r="L24" s="124"/>
      <c r="M24" s="124"/>
      <c r="N24" s="124"/>
      <c r="O24" s="124"/>
      <c r="P24" s="124"/>
    </row>
    <row r="25" spans="1:17" s="113" customFormat="1">
      <c r="A25" s="121" t="s">
        <v>686</v>
      </c>
      <c r="B25" s="279" t="s">
        <v>687</v>
      </c>
      <c r="C25" s="553">
        <v>149</v>
      </c>
      <c r="D25" s="553"/>
      <c r="E25" s="553"/>
      <c r="F25" s="553"/>
      <c r="G25" s="553"/>
      <c r="H25" s="553"/>
      <c r="I25" s="554">
        <v>149</v>
      </c>
      <c r="J25" s="562">
        <v>204</v>
      </c>
      <c r="K25" s="553">
        <v>0</v>
      </c>
      <c r="L25" s="377"/>
      <c r="M25" s="124"/>
      <c r="N25" s="124"/>
      <c r="O25" s="124"/>
      <c r="P25" s="124"/>
    </row>
    <row r="26" spans="1:17" s="113" customFormat="1">
      <c r="A26" s="121"/>
      <c r="B26" s="279"/>
      <c r="C26" s="563"/>
      <c r="D26" s="563"/>
      <c r="E26" s="563"/>
      <c r="F26" s="563"/>
      <c r="G26" s="563"/>
      <c r="H26" s="563"/>
      <c r="I26" s="557"/>
      <c r="J26" s="564"/>
      <c r="K26" s="563"/>
      <c r="L26" s="124"/>
      <c r="M26" s="124"/>
      <c r="N26" s="124"/>
      <c r="O26" s="124"/>
      <c r="P26" s="124"/>
    </row>
    <row r="27" spans="1:17" s="113" customFormat="1">
      <c r="A27" s="121" t="s">
        <v>688</v>
      </c>
      <c r="B27" s="280" t="s">
        <v>1118</v>
      </c>
      <c r="C27" s="559">
        <v>0</v>
      </c>
      <c r="D27" s="559">
        <v>0</v>
      </c>
      <c r="E27" s="559">
        <v>0</v>
      </c>
      <c r="F27" s="559">
        <v>0</v>
      </c>
      <c r="G27" s="559">
        <v>0</v>
      </c>
      <c r="H27" s="559">
        <v>0</v>
      </c>
      <c r="I27" s="557">
        <v>0</v>
      </c>
      <c r="J27" s="561">
        <v>0</v>
      </c>
      <c r="K27" s="559">
        <v>0</v>
      </c>
      <c r="L27" s="124"/>
      <c r="M27" s="124"/>
      <c r="N27" s="124"/>
      <c r="O27" s="124"/>
      <c r="P27" s="124"/>
    </row>
    <row r="28" spans="1:17" s="124" customFormat="1">
      <c r="A28" s="126" t="s">
        <v>689</v>
      </c>
      <c r="B28" s="280" t="s">
        <v>1119</v>
      </c>
      <c r="C28" s="559">
        <v>0</v>
      </c>
      <c r="D28" s="559">
        <v>0</v>
      </c>
      <c r="E28" s="559">
        <v>0</v>
      </c>
      <c r="F28" s="559">
        <v>0</v>
      </c>
      <c r="G28" s="559">
        <v>0</v>
      </c>
      <c r="H28" s="559">
        <v>0</v>
      </c>
      <c r="I28" s="557">
        <v>0</v>
      </c>
      <c r="J28" s="561">
        <v>0</v>
      </c>
      <c r="K28" s="559">
        <v>0</v>
      </c>
      <c r="Q28" s="113"/>
    </row>
    <row r="29" spans="1:17" s="124" customFormat="1">
      <c r="A29" s="126"/>
      <c r="B29" s="280"/>
      <c r="C29" s="559"/>
      <c r="D29" s="559"/>
      <c r="E29" s="559"/>
      <c r="F29" s="559"/>
      <c r="G29" s="559"/>
      <c r="H29" s="559"/>
      <c r="I29" s="557"/>
      <c r="J29" s="565"/>
      <c r="K29" s="566"/>
      <c r="Q29" s="113"/>
    </row>
    <row r="30" spans="1:17" s="124" customFormat="1">
      <c r="A30" s="126" t="s">
        <v>690</v>
      </c>
      <c r="B30" s="279" t="s">
        <v>691</v>
      </c>
      <c r="C30" s="553">
        <v>285</v>
      </c>
      <c r="D30" s="553">
        <v>9</v>
      </c>
      <c r="E30" s="553">
        <v>1</v>
      </c>
      <c r="F30" s="553">
        <v>1</v>
      </c>
      <c r="G30" s="553">
        <v>3</v>
      </c>
      <c r="H30" s="553">
        <v>0</v>
      </c>
      <c r="I30" s="554">
        <v>299</v>
      </c>
      <c r="J30" s="567">
        <v>204</v>
      </c>
      <c r="K30" s="568">
        <v>0</v>
      </c>
      <c r="L30" s="377"/>
      <c r="Q30" s="113"/>
    </row>
    <row r="31" spans="1:17" s="358" customFormat="1">
      <c r="A31" s="354"/>
      <c r="B31" s="355"/>
      <c r="C31" s="356"/>
      <c r="D31" s="356"/>
      <c r="E31" s="356"/>
      <c r="F31" s="356"/>
      <c r="G31" s="356"/>
      <c r="H31" s="356"/>
      <c r="I31" s="356"/>
      <c r="J31" s="357"/>
      <c r="K31" s="357"/>
    </row>
    <row r="32" spans="1:17" ht="15" customHeight="1">
      <c r="B32" s="104" t="s">
        <v>317</v>
      </c>
      <c r="C32" s="232"/>
      <c r="D32" s="232"/>
      <c r="E32" s="232"/>
      <c r="F32" s="232"/>
      <c r="G32" s="232"/>
      <c r="H32" s="232"/>
      <c r="I32" s="232"/>
      <c r="J32" s="232"/>
      <c r="K32" s="232"/>
    </row>
    <row r="33" spans="1:11">
      <c r="A33" s="206"/>
      <c r="B33" s="841"/>
      <c r="C33" s="903"/>
      <c r="D33" s="903"/>
      <c r="E33" s="903"/>
      <c r="F33" s="903"/>
      <c r="G33" s="903"/>
      <c r="H33" s="903"/>
      <c r="I33" s="903"/>
      <c r="J33" s="903"/>
      <c r="K33" s="903"/>
    </row>
    <row r="34" spans="1:11">
      <c r="A34" s="206"/>
      <c r="B34" s="903"/>
      <c r="C34" s="903"/>
      <c r="D34" s="903"/>
      <c r="E34" s="903"/>
      <c r="F34" s="903"/>
      <c r="G34" s="903"/>
      <c r="H34" s="903"/>
      <c r="I34" s="903"/>
      <c r="J34" s="903"/>
      <c r="K34" s="903"/>
    </row>
    <row r="35" spans="1:11">
      <c r="A35" s="206"/>
      <c r="B35" s="903"/>
      <c r="C35" s="903"/>
      <c r="D35" s="903"/>
      <c r="E35" s="903"/>
      <c r="F35" s="903"/>
      <c r="G35" s="903"/>
      <c r="H35" s="903"/>
      <c r="I35" s="903"/>
      <c r="J35" s="903"/>
      <c r="K35" s="903"/>
    </row>
  </sheetData>
  <mergeCells count="16">
    <mergeCell ref="B33:K35"/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I30:I31 J10:P17 I10:I14 C10:H17 I16:I17 J21:K26 I27:I28 I21:I25 C21:H31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4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topLeftCell="B3" workbookViewId="0">
      <selection activeCell="B36" sqref="B36:I36"/>
    </sheetView>
  </sheetViews>
  <sheetFormatPr baseColWidth="10" defaultColWidth="10.28515625" defaultRowHeight="12.75"/>
  <cols>
    <col min="1" max="1" width="38.85546875" style="128" customWidth="1" collapsed="1"/>
    <col min="2" max="9" width="13.7109375" style="128" customWidth="1" collapsed="1"/>
    <col min="10" max="16384" width="10.28515625" style="128" collapsed="1"/>
  </cols>
  <sheetData>
    <row r="1" spans="1:9" s="99" customFormat="1" ht="18.75" customHeight="1">
      <c r="A1" s="904" t="s">
        <v>692</v>
      </c>
      <c r="B1" s="904"/>
      <c r="C1" s="904"/>
      <c r="D1" s="904"/>
      <c r="E1" s="904"/>
      <c r="F1" s="904"/>
      <c r="G1" s="904"/>
      <c r="H1" s="904"/>
      <c r="I1" s="904"/>
    </row>
    <row r="2" spans="1:9" s="99" customFormat="1"/>
    <row r="3" spans="1:9" s="99" customFormat="1">
      <c r="A3" s="905" t="s">
        <v>279</v>
      </c>
      <c r="B3" s="905"/>
      <c r="C3" s="905"/>
      <c r="G3" s="99" t="s">
        <v>280</v>
      </c>
      <c r="H3" s="881">
        <f>+'Fiche de renseignement R1'!$V$10</f>
        <v>45657</v>
      </c>
      <c r="I3" s="989"/>
    </row>
    <row r="4" spans="1:9" s="99" customFormat="1">
      <c r="A4" s="883" t="str">
        <f>'Fiche de renseignement R1'!$J$4</f>
        <v>SOCIETE NOUVELLE DES SALINS DU SINE SALOUM</v>
      </c>
      <c r="B4" s="906"/>
      <c r="C4" s="906"/>
      <c r="G4" s="990" t="s">
        <v>281</v>
      </c>
      <c r="H4" s="770">
        <f>+'Fiche de renseignement R1'!$AH$10</f>
        <v>12</v>
      </c>
      <c r="I4" s="932"/>
    </row>
    <row r="5" spans="1:9" s="99" customFormat="1">
      <c r="A5" s="99" t="s">
        <v>282</v>
      </c>
      <c r="B5" s="888" t="str">
        <f>+'Fiche de renseignement R1'!$J$10</f>
        <v>000018699</v>
      </c>
      <c r="C5" s="933"/>
      <c r="G5" s="990"/>
      <c r="H5" s="907"/>
      <c r="I5" s="907"/>
    </row>
    <row r="7" spans="1:9" s="113" customFormat="1">
      <c r="A7" s="129" t="s">
        <v>323</v>
      </c>
      <c r="B7" s="130" t="s">
        <v>118</v>
      </c>
      <c r="C7" s="1025" t="s">
        <v>240</v>
      </c>
      <c r="D7" s="1026"/>
      <c r="E7" s="1027"/>
      <c r="F7" s="1025" t="s">
        <v>253</v>
      </c>
      <c r="G7" s="1026"/>
      <c r="H7" s="1027"/>
      <c r="I7" s="131" t="s">
        <v>693</v>
      </c>
    </row>
    <row r="8" spans="1:9" s="113" customFormat="1">
      <c r="A8" s="132"/>
      <c r="B8" s="1028" t="s">
        <v>694</v>
      </c>
      <c r="C8" s="1025" t="s">
        <v>695</v>
      </c>
      <c r="D8" s="1026"/>
      <c r="E8" s="1027"/>
      <c r="F8" s="1025" t="s">
        <v>696</v>
      </c>
      <c r="G8" s="1026"/>
      <c r="H8" s="1027"/>
      <c r="I8" s="1024" t="s">
        <v>697</v>
      </c>
    </row>
    <row r="9" spans="1:9" s="113" customFormat="1" ht="25.5" customHeight="1">
      <c r="A9" s="133" t="s">
        <v>698</v>
      </c>
      <c r="B9" s="1028"/>
      <c r="C9" s="134" t="s">
        <v>699</v>
      </c>
      <c r="D9" s="135" t="s">
        <v>700</v>
      </c>
      <c r="E9" s="136" t="s">
        <v>701</v>
      </c>
      <c r="F9" s="134" t="s">
        <v>699</v>
      </c>
      <c r="G9" s="135" t="s">
        <v>700</v>
      </c>
      <c r="H9" s="136" t="s">
        <v>701</v>
      </c>
      <c r="I9" s="1024"/>
    </row>
    <row r="10" spans="1:9" s="137" customFormat="1">
      <c r="A10" s="491" t="s">
        <v>1424</v>
      </c>
      <c r="B10" s="569">
        <v>0</v>
      </c>
      <c r="C10" s="570">
        <v>0</v>
      </c>
      <c r="D10" s="571">
        <v>0</v>
      </c>
      <c r="E10" s="569">
        <v>0</v>
      </c>
      <c r="F10" s="570">
        <v>0</v>
      </c>
      <c r="G10" s="571">
        <v>0</v>
      </c>
      <c r="H10" s="569">
        <v>0</v>
      </c>
      <c r="I10" s="572">
        <v>0</v>
      </c>
    </row>
    <row r="11" spans="1:9" s="137" customFormat="1" ht="25.5" customHeight="1">
      <c r="A11" s="491" t="s">
        <v>1425</v>
      </c>
      <c r="B11" s="569">
        <v>1677152885</v>
      </c>
      <c r="C11" s="570">
        <v>1716510</v>
      </c>
      <c r="D11" s="571">
        <v>0</v>
      </c>
      <c r="E11" s="569">
        <v>0</v>
      </c>
      <c r="F11" s="571">
        <v>0</v>
      </c>
      <c r="G11" s="571">
        <v>0</v>
      </c>
      <c r="H11" s="569">
        <v>0</v>
      </c>
      <c r="I11" s="572">
        <v>1678869395</v>
      </c>
    </row>
    <row r="12" spans="1:9" s="137" customFormat="1">
      <c r="A12" s="491" t="s">
        <v>1426</v>
      </c>
      <c r="B12" s="569">
        <v>58232009</v>
      </c>
      <c r="C12" s="570">
        <v>0</v>
      </c>
      <c r="D12" s="571">
        <v>0</v>
      </c>
      <c r="E12" s="569">
        <v>0</v>
      </c>
      <c r="F12" s="570">
        <v>0</v>
      </c>
      <c r="G12" s="571">
        <v>0</v>
      </c>
      <c r="H12" s="569">
        <v>0</v>
      </c>
      <c r="I12" s="572">
        <v>58232009</v>
      </c>
    </row>
    <row r="13" spans="1:9" s="137" customFormat="1">
      <c r="A13" s="540" t="s">
        <v>1427</v>
      </c>
      <c r="B13" s="573">
        <v>1735384894</v>
      </c>
      <c r="C13" s="574">
        <v>1716510</v>
      </c>
      <c r="D13" s="575">
        <v>0</v>
      </c>
      <c r="E13" s="573">
        <v>0</v>
      </c>
      <c r="F13" s="575">
        <v>0</v>
      </c>
      <c r="G13" s="575">
        <v>0</v>
      </c>
      <c r="H13" s="573">
        <v>0</v>
      </c>
      <c r="I13" s="576">
        <v>1737101404</v>
      </c>
    </row>
    <row r="14" spans="1:9" s="361" customFormat="1">
      <c r="A14" s="541"/>
      <c r="B14" s="577"/>
      <c r="C14" s="578"/>
      <c r="D14" s="579"/>
      <c r="E14" s="577"/>
      <c r="F14" s="578"/>
      <c r="G14" s="579"/>
      <c r="H14" s="577"/>
      <c r="I14" s="580"/>
    </row>
    <row r="15" spans="1:9" s="137" customFormat="1">
      <c r="A15" s="491" t="s">
        <v>1428</v>
      </c>
      <c r="B15" s="569">
        <v>99849200</v>
      </c>
      <c r="C15" s="570">
        <v>93390313</v>
      </c>
      <c r="D15" s="571"/>
      <c r="E15" s="569"/>
      <c r="F15" s="570">
        <v>0</v>
      </c>
      <c r="G15" s="571"/>
      <c r="H15" s="569"/>
      <c r="I15" s="572">
        <v>193239513</v>
      </c>
    </row>
    <row r="16" spans="1:9" s="137" customFormat="1">
      <c r="A16" s="491" t="s">
        <v>1429</v>
      </c>
      <c r="B16" s="569">
        <v>0</v>
      </c>
      <c r="C16" s="570">
        <v>0</v>
      </c>
      <c r="D16" s="571">
        <v>0</v>
      </c>
      <c r="E16" s="569">
        <v>0</v>
      </c>
      <c r="F16" s="570">
        <v>0</v>
      </c>
      <c r="G16" s="571">
        <v>0</v>
      </c>
      <c r="H16" s="569">
        <v>0</v>
      </c>
      <c r="I16" s="572">
        <v>0</v>
      </c>
    </row>
    <row r="17" spans="1:9" s="137" customFormat="1">
      <c r="A17" s="491" t="s">
        <v>1430</v>
      </c>
      <c r="B17" s="569">
        <v>0</v>
      </c>
      <c r="C17" s="570">
        <v>0</v>
      </c>
      <c r="D17" s="571">
        <v>0</v>
      </c>
      <c r="E17" s="569">
        <v>0</v>
      </c>
      <c r="F17" s="570">
        <v>0</v>
      </c>
      <c r="G17" s="571">
        <v>0</v>
      </c>
      <c r="H17" s="569">
        <v>0</v>
      </c>
      <c r="I17" s="572">
        <v>0</v>
      </c>
    </row>
    <row r="18" spans="1:9" s="137" customFormat="1">
      <c r="A18" s="491" t="s">
        <v>1431</v>
      </c>
      <c r="B18" s="569">
        <v>0</v>
      </c>
      <c r="C18" s="570">
        <v>0</v>
      </c>
      <c r="D18" s="571">
        <v>0</v>
      </c>
      <c r="E18" s="569">
        <v>0</v>
      </c>
      <c r="F18" s="570">
        <v>0</v>
      </c>
      <c r="G18" s="571">
        <v>0</v>
      </c>
      <c r="H18" s="569">
        <v>0</v>
      </c>
      <c r="I18" s="572">
        <v>0</v>
      </c>
    </row>
    <row r="19" spans="1:9" s="137" customFormat="1">
      <c r="A19" s="491" t="s">
        <v>1432</v>
      </c>
      <c r="B19" s="569">
        <v>0</v>
      </c>
      <c r="C19" s="570">
        <v>0</v>
      </c>
      <c r="D19" s="571">
        <v>0</v>
      </c>
      <c r="E19" s="569">
        <v>0</v>
      </c>
      <c r="F19" s="570">
        <v>0</v>
      </c>
      <c r="G19" s="571">
        <v>0</v>
      </c>
      <c r="H19" s="569">
        <v>0</v>
      </c>
      <c r="I19" s="572">
        <v>0</v>
      </c>
    </row>
    <row r="20" spans="1:9" s="137" customFormat="1">
      <c r="A20" s="491" t="s">
        <v>1433</v>
      </c>
      <c r="B20" s="569">
        <v>0</v>
      </c>
      <c r="C20" s="570">
        <v>0</v>
      </c>
      <c r="D20" s="571">
        <v>0</v>
      </c>
      <c r="E20" s="569">
        <v>0</v>
      </c>
      <c r="F20" s="570">
        <v>0</v>
      </c>
      <c r="G20" s="571">
        <v>0</v>
      </c>
      <c r="H20" s="569">
        <v>0</v>
      </c>
      <c r="I20" s="572">
        <v>0</v>
      </c>
    </row>
    <row r="21" spans="1:9" s="137" customFormat="1">
      <c r="A21" s="491" t="s">
        <v>1434</v>
      </c>
      <c r="B21" s="569">
        <v>0</v>
      </c>
      <c r="C21" s="570">
        <v>0</v>
      </c>
      <c r="D21" s="571">
        <v>0</v>
      </c>
      <c r="E21" s="569">
        <v>0</v>
      </c>
      <c r="F21" s="570">
        <v>0</v>
      </c>
      <c r="G21" s="571">
        <v>0</v>
      </c>
      <c r="H21" s="569">
        <v>0</v>
      </c>
      <c r="I21" s="572">
        <v>0</v>
      </c>
    </row>
    <row r="22" spans="1:9" s="137" customFormat="1" ht="25.5" customHeight="1">
      <c r="A22" s="491" t="s">
        <v>1435</v>
      </c>
      <c r="B22" s="569">
        <v>7829322</v>
      </c>
      <c r="C22" s="570">
        <v>0</v>
      </c>
      <c r="D22" s="571"/>
      <c r="E22" s="569"/>
      <c r="F22" s="570">
        <v>0</v>
      </c>
      <c r="G22" s="571"/>
      <c r="H22" s="569"/>
      <c r="I22" s="572">
        <v>7829322</v>
      </c>
    </row>
    <row r="23" spans="1:9" s="137" customFormat="1" ht="25.5" customHeight="1">
      <c r="A23" s="491" t="s">
        <v>1436</v>
      </c>
      <c r="B23" s="569">
        <v>0</v>
      </c>
      <c r="C23" s="570">
        <v>0</v>
      </c>
      <c r="D23" s="571">
        <v>0</v>
      </c>
      <c r="E23" s="569">
        <v>0</v>
      </c>
      <c r="F23" s="570">
        <v>0</v>
      </c>
      <c r="G23" s="571">
        <v>0</v>
      </c>
      <c r="H23" s="569">
        <v>0</v>
      </c>
      <c r="I23" s="572">
        <v>69793419</v>
      </c>
    </row>
    <row r="24" spans="1:9" s="137" customFormat="1" ht="25.5" customHeight="1">
      <c r="A24" s="491" t="s">
        <v>1437</v>
      </c>
      <c r="B24" s="569">
        <v>0</v>
      </c>
      <c r="C24" s="570">
        <v>0</v>
      </c>
      <c r="D24" s="571">
        <v>0</v>
      </c>
      <c r="E24" s="569">
        <v>0</v>
      </c>
      <c r="F24" s="570">
        <v>0</v>
      </c>
      <c r="G24" s="571">
        <v>0</v>
      </c>
      <c r="H24" s="569">
        <v>0</v>
      </c>
      <c r="I24" s="572">
        <v>7829322</v>
      </c>
    </row>
    <row r="25" spans="1:9" s="137" customFormat="1" ht="25.5" customHeight="1">
      <c r="A25" s="540" t="s">
        <v>1438</v>
      </c>
      <c r="B25" s="573">
        <v>107678522</v>
      </c>
      <c r="C25" s="574">
        <v>93390313</v>
      </c>
      <c r="D25" s="575">
        <v>0</v>
      </c>
      <c r="E25" s="573">
        <v>0</v>
      </c>
      <c r="F25" s="574">
        <v>0</v>
      </c>
      <c r="G25" s="575">
        <v>0</v>
      </c>
      <c r="H25" s="573">
        <v>0</v>
      </c>
      <c r="I25" s="576">
        <v>201068835</v>
      </c>
    </row>
    <row r="26" spans="1:9" s="137" customFormat="1">
      <c r="A26" s="543"/>
      <c r="B26" s="569"/>
      <c r="C26" s="570"/>
      <c r="D26" s="571"/>
      <c r="E26" s="569"/>
      <c r="F26" s="570"/>
      <c r="G26" s="571"/>
      <c r="H26" s="569"/>
      <c r="I26" s="572"/>
    </row>
    <row r="27" spans="1:9" s="113" customFormat="1">
      <c r="A27" s="581" t="s">
        <v>1439</v>
      </c>
      <c r="B27" s="582">
        <v>1843063416</v>
      </c>
      <c r="C27" s="583">
        <v>95106823</v>
      </c>
      <c r="D27" s="584">
        <v>0</v>
      </c>
      <c r="E27" s="582">
        <v>0</v>
      </c>
      <c r="F27" s="583">
        <v>0</v>
      </c>
      <c r="G27" s="584">
        <v>0</v>
      </c>
      <c r="H27" s="582">
        <v>0</v>
      </c>
      <c r="I27" s="585">
        <v>1938170239</v>
      </c>
    </row>
    <row r="28" spans="1:9" s="359" customFormat="1">
      <c r="A28" s="362"/>
      <c r="B28" s="363"/>
      <c r="C28" s="363"/>
      <c r="D28" s="363"/>
      <c r="E28" s="363"/>
      <c r="F28" s="363"/>
      <c r="G28" s="363"/>
      <c r="H28" s="363"/>
      <c r="I28" s="363"/>
    </row>
    <row r="29" spans="1:9">
      <c r="A29" s="104" t="s">
        <v>317</v>
      </c>
    </row>
    <row r="30" spans="1:9">
      <c r="A30" s="841"/>
      <c r="B30" s="903"/>
      <c r="C30" s="903"/>
      <c r="D30" s="903"/>
      <c r="E30" s="903"/>
      <c r="F30" s="903"/>
      <c r="G30" s="903"/>
      <c r="H30" s="903"/>
      <c r="I30" s="903"/>
    </row>
    <row r="31" spans="1:9">
      <c r="A31" s="903"/>
      <c r="B31" s="903"/>
      <c r="C31" s="903"/>
      <c r="D31" s="903"/>
      <c r="E31" s="903"/>
      <c r="F31" s="903"/>
      <c r="G31" s="903"/>
      <c r="H31" s="903"/>
      <c r="I31" s="903"/>
    </row>
    <row r="32" spans="1:9">
      <c r="A32" s="903"/>
      <c r="B32" s="903"/>
      <c r="C32" s="903"/>
      <c r="D32" s="903"/>
      <c r="E32" s="903"/>
      <c r="F32" s="903"/>
      <c r="G32" s="903"/>
      <c r="H32" s="903"/>
      <c r="I32" s="903"/>
    </row>
    <row r="33" spans="1:9">
      <c r="A33" s="903"/>
      <c r="B33" s="903"/>
      <c r="C33" s="903"/>
      <c r="D33" s="903"/>
      <c r="E33" s="903"/>
      <c r="F33" s="903"/>
      <c r="G33" s="903"/>
      <c r="H33" s="903"/>
      <c r="I33" s="903"/>
    </row>
  </sheetData>
  <mergeCells count="14">
    <mergeCell ref="A30:I33"/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 B10:I2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5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37"/>
  <sheetViews>
    <sheetView showGridLines="0" topLeftCell="A6" workbookViewId="0">
      <selection activeCell="B40" sqref="B40:D40"/>
    </sheetView>
  </sheetViews>
  <sheetFormatPr baseColWidth="10" defaultColWidth="10.28515625" defaultRowHeight="12.75"/>
  <cols>
    <col min="1" max="1" width="39.28515625" style="99" customWidth="1" collapsed="1"/>
    <col min="2" max="2" width="15.140625" style="99" customWidth="1" collapsed="1"/>
    <col min="3" max="3" width="17.85546875" style="99" customWidth="1" collapsed="1"/>
    <col min="4" max="4" width="17.7109375" style="99" customWidth="1" collapsed="1"/>
    <col min="5" max="16384" width="10.28515625" style="99" collapsed="1"/>
  </cols>
  <sheetData>
    <row r="1" spans="1:4" ht="18.75" customHeight="1">
      <c r="A1" s="904" t="s">
        <v>702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94">
        <f>+'Fiche de renseignement R1'!$V$10</f>
        <v>45657</v>
      </c>
    </row>
    <row r="4" spans="1:4">
      <c r="A4" s="883" t="str">
        <f>'Fiche de renseignement R1'!$J$4</f>
        <v>SOCIETE NOUVELLE DES SALINS DU SINE SALOUM</v>
      </c>
      <c r="B4" s="906"/>
      <c r="C4" s="99" t="s">
        <v>281</v>
      </c>
      <c r="D4" s="770">
        <f>+'Fiche de renseignement R1'!$AH$10</f>
        <v>12</v>
      </c>
    </row>
    <row r="5" spans="1:4">
      <c r="A5" s="99" t="s">
        <v>282</v>
      </c>
      <c r="B5" s="495" t="str">
        <f>+'Fiche de renseignement R1'!$J$10</f>
        <v>000018699</v>
      </c>
      <c r="D5" s="907"/>
    </row>
    <row r="7" spans="1:4">
      <c r="A7" s="908" t="s">
        <v>139</v>
      </c>
      <c r="B7" s="922" t="s">
        <v>371</v>
      </c>
      <c r="C7" s="922" t="s">
        <v>372</v>
      </c>
      <c r="D7" s="926" t="s">
        <v>399</v>
      </c>
    </row>
    <row r="8" spans="1:4">
      <c r="A8" s="909"/>
      <c r="B8" s="923"/>
      <c r="C8" s="923"/>
      <c r="D8" s="927"/>
    </row>
    <row r="9" spans="1:4">
      <c r="A9" s="101" t="s">
        <v>703</v>
      </c>
      <c r="B9" s="500">
        <v>0</v>
      </c>
      <c r="C9" s="459">
        <v>0</v>
      </c>
      <c r="D9" s="489"/>
    </row>
    <row r="10" spans="1:4">
      <c r="A10" s="101" t="s">
        <v>704</v>
      </c>
      <c r="B10" s="500">
        <v>0</v>
      </c>
      <c r="C10" s="459">
        <v>0</v>
      </c>
      <c r="D10" s="489"/>
    </row>
    <row r="11" spans="1:4">
      <c r="A11" s="101" t="s">
        <v>705</v>
      </c>
      <c r="B11" s="500">
        <v>0</v>
      </c>
      <c r="C11" s="459">
        <v>0</v>
      </c>
      <c r="D11" s="489"/>
    </row>
    <row r="12" spans="1:4">
      <c r="A12" s="101" t="s">
        <v>706</v>
      </c>
      <c r="B12" s="500">
        <v>0</v>
      </c>
      <c r="C12" s="459">
        <v>0</v>
      </c>
      <c r="D12" s="489"/>
    </row>
    <row r="13" spans="1:4">
      <c r="A13" s="101" t="s">
        <v>707</v>
      </c>
      <c r="B13" s="500">
        <v>0</v>
      </c>
      <c r="C13" s="459">
        <v>0</v>
      </c>
      <c r="D13" s="489"/>
    </row>
    <row r="14" spans="1:4">
      <c r="A14" s="101" t="s">
        <v>708</v>
      </c>
      <c r="B14" s="500">
        <v>0</v>
      </c>
      <c r="C14" s="459">
        <v>8096</v>
      </c>
      <c r="D14" s="604" t="s">
        <v>1416</v>
      </c>
    </row>
    <row r="15" spans="1:4">
      <c r="A15" s="101" t="s">
        <v>709</v>
      </c>
      <c r="B15" s="500">
        <v>0</v>
      </c>
      <c r="C15" s="459">
        <v>0</v>
      </c>
      <c r="D15" s="604"/>
    </row>
    <row r="16" spans="1:4" ht="25.5" customHeight="1">
      <c r="A16" s="101" t="s">
        <v>710</v>
      </c>
      <c r="B16" s="500">
        <v>0</v>
      </c>
      <c r="C16" s="459">
        <v>0</v>
      </c>
      <c r="D16" s="604"/>
    </row>
    <row r="17" spans="1:5">
      <c r="A17" s="101" t="s">
        <v>711</v>
      </c>
      <c r="B17" s="500">
        <v>0</v>
      </c>
      <c r="C17" s="459">
        <v>0</v>
      </c>
      <c r="D17" s="604"/>
    </row>
    <row r="18" spans="1:5" ht="25.5" customHeight="1">
      <c r="A18" s="101" t="s">
        <v>712</v>
      </c>
      <c r="B18" s="500">
        <v>0</v>
      </c>
      <c r="C18" s="459">
        <v>0</v>
      </c>
      <c r="D18" s="604"/>
    </row>
    <row r="19" spans="1:5">
      <c r="A19" s="111" t="s">
        <v>713</v>
      </c>
      <c r="B19" s="501">
        <v>0</v>
      </c>
      <c r="C19" s="502">
        <v>0</v>
      </c>
      <c r="D19" s="611"/>
    </row>
    <row r="20" spans="1:5" s="322" customFormat="1">
      <c r="A20" s="352"/>
      <c r="B20" s="520"/>
      <c r="C20" s="526"/>
      <c r="D20" s="635"/>
      <c r="E20" s="99"/>
    </row>
    <row r="21" spans="1:5">
      <c r="A21" s="101" t="s">
        <v>714</v>
      </c>
      <c r="B21" s="500">
        <v>6528111</v>
      </c>
      <c r="C21" s="459">
        <v>12269602</v>
      </c>
      <c r="D21" s="604">
        <v>-0.46794435548928154</v>
      </c>
    </row>
    <row r="22" spans="1:5">
      <c r="A22" s="101" t="s">
        <v>715</v>
      </c>
      <c r="B22" s="500">
        <v>0</v>
      </c>
      <c r="C22" s="459">
        <v>0</v>
      </c>
      <c r="D22" s="604"/>
    </row>
    <row r="23" spans="1:5">
      <c r="A23" s="101" t="s">
        <v>716</v>
      </c>
      <c r="B23" s="500">
        <v>0</v>
      </c>
      <c r="C23" s="459">
        <v>0</v>
      </c>
      <c r="D23" s="604"/>
    </row>
    <row r="24" spans="1:5">
      <c r="A24" s="101" t="s">
        <v>717</v>
      </c>
      <c r="B24" s="500">
        <v>17352679</v>
      </c>
      <c r="C24" s="459">
        <v>0</v>
      </c>
      <c r="D24" s="604"/>
    </row>
    <row r="25" spans="1:5">
      <c r="A25" s="304" t="s">
        <v>930</v>
      </c>
      <c r="B25" s="500">
        <v>0</v>
      </c>
      <c r="C25" s="459">
        <v>0</v>
      </c>
      <c r="D25" s="604"/>
    </row>
    <row r="26" spans="1:5">
      <c r="A26" s="101" t="s">
        <v>718</v>
      </c>
      <c r="B26" s="500">
        <v>0</v>
      </c>
      <c r="C26" s="459">
        <v>183323</v>
      </c>
      <c r="D26" s="604">
        <v>-1</v>
      </c>
    </row>
    <row r="27" spans="1:5">
      <c r="A27" s="101" t="s">
        <v>719</v>
      </c>
      <c r="B27" s="500">
        <v>0</v>
      </c>
      <c r="C27" s="459">
        <v>0</v>
      </c>
      <c r="D27" s="604"/>
    </row>
    <row r="28" spans="1:5">
      <c r="A28" s="101" t="s">
        <v>720</v>
      </c>
      <c r="B28" s="500">
        <v>0</v>
      </c>
      <c r="C28" s="459">
        <v>0</v>
      </c>
      <c r="D28" s="604"/>
    </row>
    <row r="29" spans="1:5" ht="38.25" customHeight="1">
      <c r="A29" s="101" t="s">
        <v>721</v>
      </c>
      <c r="B29" s="500">
        <v>0</v>
      </c>
      <c r="C29" s="459">
        <v>0</v>
      </c>
      <c r="D29" s="604"/>
    </row>
    <row r="30" spans="1:5">
      <c r="A30" s="111" t="s">
        <v>722</v>
      </c>
      <c r="B30" s="501">
        <v>23880790</v>
      </c>
      <c r="C30" s="502">
        <v>12452925</v>
      </c>
      <c r="D30" s="611">
        <v>0.91768520247251151</v>
      </c>
    </row>
    <row r="31" spans="1:5">
      <c r="A31" s="101"/>
      <c r="B31" s="500"/>
      <c r="C31" s="459"/>
      <c r="D31" s="604"/>
    </row>
    <row r="32" spans="1:5">
      <c r="A32" s="108" t="s">
        <v>105</v>
      </c>
      <c r="B32" s="504">
        <v>23880790</v>
      </c>
      <c r="C32" s="505">
        <v>12444829</v>
      </c>
      <c r="D32" s="612">
        <v>0.91893275512262962</v>
      </c>
    </row>
    <row r="33" spans="1:4" s="322" customFormat="1">
      <c r="A33" s="351"/>
      <c r="B33" s="325"/>
      <c r="C33" s="325"/>
      <c r="D33" s="324"/>
    </row>
    <row r="34" spans="1:4">
      <c r="A34" s="104" t="s">
        <v>317</v>
      </c>
    </row>
    <row r="35" spans="1:4">
      <c r="A35" s="841"/>
      <c r="B35" s="903"/>
      <c r="C35" s="903"/>
      <c r="D35" s="903"/>
    </row>
    <row r="36" spans="1:4">
      <c r="A36" s="903"/>
      <c r="B36" s="903"/>
      <c r="C36" s="903"/>
      <c r="D36" s="903"/>
    </row>
    <row r="37" spans="1:4">
      <c r="A37" s="903"/>
      <c r="B37" s="903"/>
      <c r="C37" s="903"/>
      <c r="D37" s="903"/>
    </row>
  </sheetData>
  <mergeCells count="9">
    <mergeCell ref="A35:D37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6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35"/>
  <sheetViews>
    <sheetView showGridLines="0" workbookViewId="0">
      <selection activeCell="C31" sqref="C31"/>
    </sheetView>
  </sheetViews>
  <sheetFormatPr baseColWidth="10" defaultColWidth="10.28515625" defaultRowHeight="12.75"/>
  <cols>
    <col min="1" max="1" width="39.28515625" style="99" customWidth="1" collapsed="1"/>
    <col min="2" max="2" width="16.140625" style="99" customWidth="1" collapsed="1"/>
    <col min="3" max="3" width="19.140625" style="99" customWidth="1" collapsed="1"/>
    <col min="4" max="4" width="17.7109375" style="99" customWidth="1" collapsed="1"/>
    <col min="5" max="16384" width="10.28515625" style="99" collapsed="1"/>
  </cols>
  <sheetData>
    <row r="1" spans="1:4" ht="18.75" customHeight="1">
      <c r="A1" s="904" t="s">
        <v>723</v>
      </c>
      <c r="B1" s="904"/>
      <c r="C1" s="904"/>
      <c r="D1" s="904"/>
    </row>
    <row r="3" spans="1:4">
      <c r="A3" s="905" t="s">
        <v>279</v>
      </c>
      <c r="B3" s="905"/>
      <c r="C3" s="99" t="s">
        <v>280</v>
      </c>
      <c r="D3" s="448">
        <f>+'Fiche de renseignement R1'!$V$10</f>
        <v>45657</v>
      </c>
    </row>
    <row r="4" spans="1:4">
      <c r="A4" s="768" t="str">
        <f>'Fiche de renseignement R1'!$J$4</f>
        <v>SOCIETE NOUVELLE DES SALINS DU SINE SALOUM</v>
      </c>
      <c r="B4" s="907"/>
      <c r="C4" s="99" t="s">
        <v>281</v>
      </c>
      <c r="D4" s="874">
        <f>+'Fiche de renseignement R1'!$AH$10</f>
        <v>12</v>
      </c>
    </row>
    <row r="5" spans="1:4">
      <c r="A5" s="99" t="s">
        <v>282</v>
      </c>
      <c r="B5" s="515" t="str">
        <f>+'Fiche de renseignement R1'!$J$10</f>
        <v>000018699</v>
      </c>
      <c r="D5" s="1029"/>
    </row>
    <row r="7" spans="1:4">
      <c r="A7" s="908" t="s">
        <v>139</v>
      </c>
      <c r="B7" s="922" t="s">
        <v>371</v>
      </c>
      <c r="C7" s="922" t="s">
        <v>372</v>
      </c>
      <c r="D7" s="926" t="s">
        <v>399</v>
      </c>
    </row>
    <row r="8" spans="1:4">
      <c r="A8" s="909"/>
      <c r="B8" s="923"/>
      <c r="C8" s="923"/>
      <c r="D8" s="927"/>
    </row>
    <row r="9" spans="1:4">
      <c r="A9" s="491" t="s">
        <v>1440</v>
      </c>
      <c r="B9" s="500">
        <v>0</v>
      </c>
      <c r="C9" s="459">
        <v>530648278</v>
      </c>
      <c r="D9" s="489"/>
    </row>
    <row r="10" spans="1:4">
      <c r="A10" s="491" t="s">
        <v>1441</v>
      </c>
      <c r="B10" s="500">
        <v>0</v>
      </c>
      <c r="C10" s="459">
        <v>0</v>
      </c>
      <c r="D10" s="489"/>
    </row>
    <row r="11" spans="1:4">
      <c r="A11" s="491" t="s">
        <v>1441</v>
      </c>
      <c r="B11" s="500">
        <v>0</v>
      </c>
      <c r="C11" s="459">
        <v>0</v>
      </c>
      <c r="D11" s="489"/>
    </row>
    <row r="12" spans="1:4">
      <c r="A12" s="491" t="s">
        <v>1442</v>
      </c>
      <c r="B12" s="500">
        <v>0</v>
      </c>
      <c r="C12" s="459">
        <v>0</v>
      </c>
      <c r="D12" s="489"/>
    </row>
    <row r="13" spans="1:4">
      <c r="A13" s="491" t="s">
        <v>914</v>
      </c>
      <c r="B13" s="500">
        <v>0</v>
      </c>
      <c r="C13" s="459">
        <v>0</v>
      </c>
      <c r="D13" s="489"/>
    </row>
    <row r="14" spans="1:4">
      <c r="A14" s="491" t="s">
        <v>1443</v>
      </c>
      <c r="B14" s="500">
        <v>0</v>
      </c>
      <c r="C14" s="459">
        <v>0</v>
      </c>
      <c r="D14" s="489"/>
    </row>
    <row r="15" spans="1:4">
      <c r="A15" s="491" t="s">
        <v>1444</v>
      </c>
      <c r="B15" s="500">
        <v>0</v>
      </c>
      <c r="C15" s="459">
        <v>0</v>
      </c>
      <c r="D15" s="489"/>
    </row>
    <row r="16" spans="1:4">
      <c r="A16" s="491" t="s">
        <v>1445</v>
      </c>
      <c r="B16" s="500">
        <v>0</v>
      </c>
      <c r="C16" s="459">
        <v>0</v>
      </c>
      <c r="D16" s="489"/>
    </row>
    <row r="17" spans="1:4">
      <c r="A17" s="491" t="s">
        <v>1446</v>
      </c>
      <c r="B17" s="500">
        <v>0</v>
      </c>
      <c r="C17" s="459">
        <v>0</v>
      </c>
      <c r="D17" s="489"/>
    </row>
    <row r="18" spans="1:4">
      <c r="A18" s="586" t="s">
        <v>1447</v>
      </c>
      <c r="B18" s="501">
        <v>0</v>
      </c>
      <c r="C18" s="502">
        <v>530648278</v>
      </c>
      <c r="D18" s="503"/>
    </row>
    <row r="19" spans="1:4">
      <c r="A19" s="491" t="s">
        <v>1448</v>
      </c>
      <c r="B19" s="500">
        <v>0</v>
      </c>
      <c r="C19" s="459">
        <v>0</v>
      </c>
      <c r="D19" s="489"/>
    </row>
    <row r="20" spans="1:4">
      <c r="A20" s="491" t="s">
        <v>1441</v>
      </c>
      <c r="B20" s="500">
        <v>0</v>
      </c>
      <c r="C20" s="459">
        <v>0</v>
      </c>
      <c r="D20" s="489"/>
    </row>
    <row r="21" spans="1:4">
      <c r="A21" s="491" t="s">
        <v>1441</v>
      </c>
      <c r="B21" s="500">
        <v>0</v>
      </c>
      <c r="C21" s="459">
        <v>0</v>
      </c>
      <c r="D21" s="489"/>
    </row>
    <row r="22" spans="1:4">
      <c r="A22" s="491" t="s">
        <v>1449</v>
      </c>
      <c r="B22" s="500">
        <v>0</v>
      </c>
      <c r="C22" s="459">
        <v>0</v>
      </c>
      <c r="D22" s="489"/>
    </row>
    <row r="23" spans="1:4">
      <c r="A23" s="491" t="s">
        <v>1450</v>
      </c>
      <c r="B23" s="500">
        <v>0</v>
      </c>
      <c r="C23" s="459">
        <v>0</v>
      </c>
      <c r="D23" s="489"/>
    </row>
    <row r="24" spans="1:4">
      <c r="A24" s="491" t="s">
        <v>1451</v>
      </c>
      <c r="B24" s="500">
        <v>0</v>
      </c>
      <c r="C24" s="459">
        <v>0</v>
      </c>
      <c r="D24" s="489"/>
    </row>
    <row r="25" spans="1:4" ht="25.5" customHeight="1">
      <c r="A25" s="491" t="s">
        <v>1452</v>
      </c>
      <c r="B25" s="500">
        <v>0</v>
      </c>
      <c r="C25" s="459">
        <v>0</v>
      </c>
      <c r="D25" s="489"/>
    </row>
    <row r="26" spans="1:4" ht="12.75" customHeight="1">
      <c r="A26" s="491" t="s">
        <v>1453</v>
      </c>
      <c r="B26" s="500">
        <v>0</v>
      </c>
      <c r="C26" s="459">
        <v>0</v>
      </c>
      <c r="D26" s="489"/>
    </row>
    <row r="27" spans="1:4">
      <c r="A27" s="491" t="s">
        <v>1454</v>
      </c>
      <c r="B27" s="500">
        <v>0</v>
      </c>
      <c r="C27" s="459">
        <v>0</v>
      </c>
      <c r="D27" s="489"/>
    </row>
    <row r="28" spans="1:4">
      <c r="A28" s="586" t="s">
        <v>1455</v>
      </c>
      <c r="B28" s="501">
        <v>0</v>
      </c>
      <c r="C28" s="502">
        <v>0</v>
      </c>
      <c r="D28" s="503"/>
    </row>
    <row r="29" spans="1:4">
      <c r="A29" s="491"/>
      <c r="B29" s="500"/>
      <c r="C29" s="459"/>
      <c r="D29" s="489"/>
    </row>
    <row r="30" spans="1:4">
      <c r="A30" s="581" t="s">
        <v>105</v>
      </c>
      <c r="B30" s="549">
        <v>0</v>
      </c>
      <c r="C30" s="528">
        <v>530648278</v>
      </c>
      <c r="D30" s="506"/>
    </row>
    <row r="31" spans="1:4" s="322" customFormat="1">
      <c r="A31" s="353"/>
      <c r="B31" s="326"/>
      <c r="C31" s="326"/>
      <c r="D31" s="324"/>
    </row>
    <row r="32" spans="1:4">
      <c r="A32" s="104" t="s">
        <v>317</v>
      </c>
    </row>
    <row r="33" spans="1:4">
      <c r="A33" s="868"/>
      <c r="B33" s="903"/>
      <c r="C33" s="903"/>
      <c r="D33" s="903"/>
    </row>
    <row r="34" spans="1:4">
      <c r="A34" s="903"/>
      <c r="B34" s="903"/>
      <c r="C34" s="903"/>
      <c r="D34" s="903"/>
    </row>
    <row r="35" spans="1:4">
      <c r="A35" s="903"/>
      <c r="B35" s="903"/>
      <c r="C35" s="903"/>
      <c r="D35" s="903"/>
    </row>
  </sheetData>
  <mergeCells count="9">
    <mergeCell ref="A33:D35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showGridLines="0" topLeftCell="A5" workbookViewId="0">
      <selection activeCell="B30" sqref="B30"/>
    </sheetView>
  </sheetViews>
  <sheetFormatPr baseColWidth="10" defaultColWidth="10.28515625" defaultRowHeight="12.75"/>
  <cols>
    <col min="1" max="1" width="58.85546875" style="593" customWidth="1" collapsed="1"/>
    <col min="2" max="3" width="13.140625" style="587" customWidth="1" collapsed="1"/>
    <col min="4" max="4" width="13.28515625" style="593" customWidth="1" collapsed="1"/>
    <col min="5" max="5" width="13.5703125" style="593" customWidth="1" collapsed="1"/>
    <col min="6" max="6" width="13.42578125" style="593" customWidth="1" collapsed="1"/>
    <col min="7" max="16384" width="10.28515625" style="593" collapsed="1"/>
  </cols>
  <sheetData>
    <row r="1" spans="1:6" s="99" customFormat="1" ht="34.5" customHeight="1">
      <c r="A1" s="1032" t="s">
        <v>724</v>
      </c>
      <c r="B1" s="1032"/>
      <c r="C1" s="1032"/>
      <c r="D1" s="1032"/>
      <c r="E1" s="1032"/>
      <c r="F1" s="1032"/>
    </row>
    <row r="2" spans="1:6" s="99" customFormat="1" ht="8.1" customHeight="1"/>
    <row r="3" spans="1:6" s="99" customFormat="1" ht="12.75" customHeight="1">
      <c r="A3" s="905" t="s">
        <v>279</v>
      </c>
      <c r="B3" s="905"/>
      <c r="C3" s="905"/>
      <c r="D3" s="217" t="s">
        <v>280</v>
      </c>
      <c r="E3" s="881">
        <f>+'Fiche de renseignement R1'!$V$10</f>
        <v>45657</v>
      </c>
      <c r="F3" s="930"/>
    </row>
    <row r="4" spans="1:6" s="99" customFormat="1">
      <c r="A4" s="883" t="str">
        <f>'Fiche de renseignement R1'!$J$4</f>
        <v>SOCIETE NOUVELLE DES SALINS DU SINE SALOUM</v>
      </c>
      <c r="B4" s="906"/>
      <c r="C4" s="906"/>
      <c r="D4" s="990" t="s">
        <v>281</v>
      </c>
      <c r="E4" s="991">
        <f>+'Fiche de renseignement R1'!$AH$10</f>
        <v>12</v>
      </c>
      <c r="F4" s="992"/>
    </row>
    <row r="5" spans="1:6" s="99" customFormat="1">
      <c r="A5" s="99" t="s">
        <v>282</v>
      </c>
      <c r="B5" s="888" t="str">
        <f>+'Fiche de renseignement R1'!$J$10</f>
        <v>000018699</v>
      </c>
      <c r="C5" s="933"/>
      <c r="D5" s="990"/>
      <c r="E5" s="993"/>
      <c r="F5" s="993"/>
    </row>
    <row r="6" spans="1:6" ht="5.25" customHeight="1"/>
    <row r="7" spans="1:6" ht="17.100000000000001" customHeight="1">
      <c r="A7" s="1033" t="s">
        <v>844</v>
      </c>
      <c r="B7" s="1030" t="s">
        <v>725</v>
      </c>
      <c r="C7" s="1030" t="s">
        <v>726</v>
      </c>
      <c r="D7" s="1030" t="s">
        <v>727</v>
      </c>
      <c r="E7" s="1030" t="s">
        <v>728</v>
      </c>
      <c r="F7" s="1030" t="s">
        <v>729</v>
      </c>
    </row>
    <row r="8" spans="1:6" ht="17.100000000000001" customHeight="1">
      <c r="A8" s="1034"/>
      <c r="B8" s="1031"/>
      <c r="C8" s="1031"/>
      <c r="D8" s="1031"/>
      <c r="E8" s="1031"/>
      <c r="F8" s="1031"/>
    </row>
    <row r="9" spans="1:6" ht="15" customHeight="1">
      <c r="A9" s="140" t="s">
        <v>845</v>
      </c>
      <c r="B9" s="502"/>
      <c r="C9" s="502"/>
      <c r="D9" s="502"/>
      <c r="E9" s="502"/>
      <c r="F9" s="502"/>
    </row>
    <row r="10" spans="1:6">
      <c r="A10" s="141" t="s">
        <v>730</v>
      </c>
      <c r="B10" s="459">
        <v>554420000</v>
      </c>
      <c r="C10" s="459">
        <v>554420000</v>
      </c>
      <c r="D10" s="459">
        <v>554420000</v>
      </c>
      <c r="E10" s="459">
        <v>554420000</v>
      </c>
      <c r="F10" s="459">
        <v>554420000</v>
      </c>
    </row>
    <row r="11" spans="1:6">
      <c r="A11" s="141" t="s">
        <v>731</v>
      </c>
      <c r="B11" s="459">
        <v>55442</v>
      </c>
      <c r="C11" s="459">
        <v>55442</v>
      </c>
      <c r="D11" s="459">
        <v>55442</v>
      </c>
      <c r="E11" s="459">
        <v>55442</v>
      </c>
      <c r="F11" s="459">
        <v>55442</v>
      </c>
    </row>
    <row r="12" spans="1:6">
      <c r="A12" s="141" t="s">
        <v>732</v>
      </c>
      <c r="B12" s="459">
        <v>0</v>
      </c>
      <c r="C12" s="459">
        <v>0</v>
      </c>
      <c r="D12" s="459">
        <v>0</v>
      </c>
      <c r="E12" s="459">
        <v>0</v>
      </c>
      <c r="F12" s="459">
        <v>0</v>
      </c>
    </row>
    <row r="13" spans="1:6">
      <c r="A13" s="141" t="s">
        <v>733</v>
      </c>
      <c r="B13" s="459">
        <v>0</v>
      </c>
      <c r="C13" s="459">
        <v>0</v>
      </c>
      <c r="D13" s="459">
        <v>0</v>
      </c>
      <c r="E13" s="459">
        <v>0</v>
      </c>
      <c r="F13" s="459">
        <v>0</v>
      </c>
    </row>
    <row r="14" spans="1:6">
      <c r="A14" s="142" t="s">
        <v>734</v>
      </c>
      <c r="B14" s="459">
        <v>0</v>
      </c>
      <c r="C14" s="459">
        <v>0</v>
      </c>
      <c r="D14" s="459">
        <v>0</v>
      </c>
      <c r="E14" s="459">
        <v>0</v>
      </c>
      <c r="F14" s="459">
        <v>0</v>
      </c>
    </row>
    <row r="15" spans="1:6">
      <c r="A15" s="142" t="s">
        <v>735</v>
      </c>
      <c r="B15" s="459">
        <v>0</v>
      </c>
      <c r="C15" s="459">
        <v>0</v>
      </c>
      <c r="D15" s="459">
        <v>0</v>
      </c>
      <c r="E15" s="459">
        <v>0</v>
      </c>
      <c r="F15" s="459">
        <v>0</v>
      </c>
    </row>
    <row r="16" spans="1:6" ht="15" customHeight="1">
      <c r="A16" s="140" t="s">
        <v>846</v>
      </c>
      <c r="B16" s="502"/>
      <c r="C16" s="502"/>
      <c r="D16" s="502"/>
      <c r="E16" s="502"/>
      <c r="F16" s="502"/>
    </row>
    <row r="17" spans="1:6">
      <c r="A17" s="141" t="s">
        <v>736</v>
      </c>
      <c r="B17" s="459">
        <v>15118888788</v>
      </c>
      <c r="C17" s="459">
        <v>17748438180</v>
      </c>
      <c r="D17" s="459">
        <v>17756037547</v>
      </c>
      <c r="E17" s="459">
        <v>15125278265</v>
      </c>
      <c r="F17" s="459">
        <v>14194822618</v>
      </c>
    </row>
    <row r="18" spans="1:6" ht="24" customHeight="1">
      <c r="A18" s="141" t="s">
        <v>737</v>
      </c>
      <c r="B18" s="459">
        <v>5160891573</v>
      </c>
      <c r="C18" s="459">
        <v>6018835347</v>
      </c>
      <c r="D18" s="459">
        <v>5695910923</v>
      </c>
      <c r="E18" s="459">
        <v>5162555732</v>
      </c>
      <c r="F18" s="459">
        <v>4312470038</v>
      </c>
    </row>
    <row r="19" spans="1:6">
      <c r="A19" s="141" t="s">
        <v>738</v>
      </c>
      <c r="B19" s="459">
        <v>0</v>
      </c>
      <c r="C19" s="459">
        <v>0</v>
      </c>
      <c r="D19" s="459"/>
      <c r="E19" s="459">
        <v>0</v>
      </c>
      <c r="F19" s="459">
        <v>0</v>
      </c>
    </row>
    <row r="20" spans="1:6">
      <c r="A20" s="141" t="s">
        <v>739</v>
      </c>
      <c r="B20" s="459">
        <v>689324700</v>
      </c>
      <c r="C20" s="459">
        <v>822376950</v>
      </c>
      <c r="D20" s="459">
        <v>770337900</v>
      </c>
      <c r="E20" s="459">
        <v>702253950</v>
      </c>
      <c r="F20" s="459">
        <v>245703150</v>
      </c>
    </row>
    <row r="21" spans="1:6" ht="14.25" customHeight="1">
      <c r="A21" s="141" t="s">
        <v>847</v>
      </c>
      <c r="B21" s="459">
        <v>3693778426</v>
      </c>
      <c r="C21" s="459">
        <v>4369124484</v>
      </c>
      <c r="D21" s="459">
        <v>4495076397</v>
      </c>
      <c r="E21" s="459">
        <v>3851027626</v>
      </c>
      <c r="F21" s="459">
        <v>1153625579</v>
      </c>
    </row>
    <row r="22" spans="1:6">
      <c r="A22" s="140" t="s">
        <v>740</v>
      </c>
      <c r="B22" s="502"/>
      <c r="C22" s="502"/>
      <c r="D22" s="502"/>
      <c r="E22" s="502"/>
      <c r="F22" s="502"/>
    </row>
    <row r="23" spans="1:6" ht="15" customHeight="1">
      <c r="A23" s="143" t="s">
        <v>848</v>
      </c>
      <c r="B23" s="459">
        <v>3603730000</v>
      </c>
      <c r="C23" s="459">
        <v>3603730000</v>
      </c>
      <c r="D23" s="459">
        <v>3853219000</v>
      </c>
      <c r="E23" s="459">
        <v>1153193600</v>
      </c>
      <c r="F23" s="459">
        <v>2217680000</v>
      </c>
    </row>
    <row r="24" spans="1:6">
      <c r="A24" s="143" t="s">
        <v>741</v>
      </c>
      <c r="B24" s="459">
        <v>65000</v>
      </c>
      <c r="C24" s="459">
        <v>65000</v>
      </c>
      <c r="D24" s="459">
        <v>69500</v>
      </c>
      <c r="E24" s="459">
        <v>20800</v>
      </c>
      <c r="F24" s="459">
        <v>40000</v>
      </c>
    </row>
    <row r="25" spans="1:6">
      <c r="A25" s="140" t="s">
        <v>742</v>
      </c>
      <c r="B25" s="502"/>
      <c r="C25" s="502"/>
      <c r="D25" s="502"/>
      <c r="E25" s="502"/>
      <c r="F25" s="502"/>
    </row>
    <row r="26" spans="1:6" ht="15" customHeight="1">
      <c r="A26" s="143" t="s">
        <v>849</v>
      </c>
      <c r="B26" s="459">
        <v>150</v>
      </c>
      <c r="C26" s="459">
        <v>152</v>
      </c>
      <c r="D26" s="459">
        <v>153</v>
      </c>
      <c r="E26" s="459">
        <v>135</v>
      </c>
      <c r="F26" s="459">
        <v>135</v>
      </c>
    </row>
    <row r="27" spans="1:6">
      <c r="A27" s="143" t="s">
        <v>743</v>
      </c>
      <c r="B27" s="459">
        <v>149</v>
      </c>
      <c r="C27" s="459">
        <v>183</v>
      </c>
      <c r="D27" s="459">
        <v>183</v>
      </c>
      <c r="E27" s="459">
        <v>181</v>
      </c>
      <c r="F27" s="459">
        <v>189</v>
      </c>
    </row>
    <row r="28" spans="1:6" ht="15" customHeight="1">
      <c r="A28" s="143" t="s">
        <v>850</v>
      </c>
      <c r="B28" s="459">
        <v>1723589897</v>
      </c>
      <c r="C28" s="459">
        <v>1618701694</v>
      </c>
      <c r="D28" s="459">
        <v>1841506997</v>
      </c>
      <c r="E28" s="459">
        <v>1683783511</v>
      </c>
      <c r="F28" s="459">
        <v>1535940590</v>
      </c>
    </row>
    <row r="29" spans="1:6" ht="27.75" customHeight="1">
      <c r="A29" s="143" t="s">
        <v>851</v>
      </c>
      <c r="B29" s="459">
        <v>386143325</v>
      </c>
      <c r="C29" s="459">
        <v>361170972</v>
      </c>
      <c r="D29" s="459">
        <v>378107696</v>
      </c>
      <c r="E29" s="459">
        <v>384674881</v>
      </c>
      <c r="F29" s="459">
        <v>379350764</v>
      </c>
    </row>
    <row r="30" spans="1:6" ht="15" customHeight="1">
      <c r="A30" s="143" t="s">
        <v>852</v>
      </c>
      <c r="B30" s="459">
        <v>204020450</v>
      </c>
      <c r="C30" s="459">
        <v>235485402</v>
      </c>
      <c r="D30" s="459">
        <v>227403029</v>
      </c>
      <c r="E30" s="459">
        <v>216225207</v>
      </c>
      <c r="F30" s="459">
        <v>227444659</v>
      </c>
    </row>
    <row r="31" spans="1:6" ht="6" customHeight="1">
      <c r="A31" s="144"/>
      <c r="B31" s="124"/>
      <c r="C31" s="124"/>
      <c r="D31" s="124"/>
      <c r="E31" s="124"/>
      <c r="F31" s="124"/>
    </row>
    <row r="32" spans="1:6" ht="8.1" customHeight="1">
      <c r="A32" s="145" t="s">
        <v>744</v>
      </c>
      <c r="B32" s="146"/>
      <c r="C32" s="145" t="s">
        <v>745</v>
      </c>
      <c r="D32" s="147"/>
      <c r="E32" s="147"/>
      <c r="F32" s="146"/>
    </row>
    <row r="33" spans="1:6" ht="8.1" customHeight="1">
      <c r="A33" s="145" t="s">
        <v>746</v>
      </c>
      <c r="B33" s="146"/>
      <c r="C33" s="145" t="s">
        <v>747</v>
      </c>
      <c r="D33" s="147"/>
      <c r="E33" s="147"/>
      <c r="F33" s="146"/>
    </row>
    <row r="34" spans="1:6" ht="8.1" customHeight="1">
      <c r="A34" s="145" t="s">
        <v>748</v>
      </c>
      <c r="B34" s="146"/>
      <c r="C34" s="145" t="s">
        <v>749</v>
      </c>
      <c r="D34" s="147"/>
      <c r="E34" s="147"/>
      <c r="F34" s="146"/>
    </row>
    <row r="35" spans="1:6" ht="8.1" customHeight="1">
      <c r="A35" s="145" t="s">
        <v>750</v>
      </c>
      <c r="B35" s="146"/>
      <c r="C35" s="145" t="s">
        <v>751</v>
      </c>
      <c r="D35" s="147"/>
      <c r="E35" s="147"/>
      <c r="F35" s="146"/>
    </row>
    <row r="36" spans="1:6" ht="8.1" customHeight="1">
      <c r="A36" s="145" t="s">
        <v>752</v>
      </c>
      <c r="B36" s="146"/>
      <c r="C36" s="148"/>
      <c r="D36" s="147"/>
      <c r="E36" s="147"/>
      <c r="F36" s="146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showGridLines="0" topLeftCell="J1" workbookViewId="0">
      <selection activeCell="M31" sqref="M31"/>
    </sheetView>
  </sheetViews>
  <sheetFormatPr baseColWidth="10" defaultColWidth="10.28515625" defaultRowHeight="11.25"/>
  <cols>
    <col min="1" max="1" width="27.7109375" style="593" customWidth="1" collapsed="1"/>
    <col min="2" max="2" width="9.7109375" style="593" customWidth="1" collapsed="1"/>
    <col min="3" max="14" width="8.7109375" style="593" customWidth="1" collapsed="1"/>
    <col min="15" max="16384" width="10.28515625" style="593" collapsed="1"/>
  </cols>
  <sheetData>
    <row r="1" spans="1:14" s="99" customFormat="1" ht="18.75" customHeight="1">
      <c r="A1" s="1032" t="s">
        <v>753</v>
      </c>
      <c r="B1" s="1032"/>
      <c r="C1" s="1032"/>
      <c r="D1" s="1032"/>
      <c r="E1" s="1032"/>
      <c r="F1" s="1032"/>
      <c r="G1" s="1032"/>
      <c r="H1" s="1032"/>
      <c r="I1" s="1032"/>
      <c r="J1" s="1032"/>
      <c r="K1" s="1032"/>
      <c r="L1" s="1032"/>
      <c r="M1" s="1032"/>
      <c r="N1" s="1032"/>
    </row>
    <row r="2" spans="1:14" s="99" customFormat="1" ht="12.75"/>
    <row r="3" spans="1:14" s="99" customFormat="1" ht="12.75">
      <c r="A3" s="905" t="s">
        <v>279</v>
      </c>
      <c r="B3" s="905"/>
      <c r="C3" s="905"/>
      <c r="K3" s="107" t="s">
        <v>280</v>
      </c>
      <c r="L3" s="881">
        <f>+'Fiche de renseignement R1'!$V$10</f>
        <v>45657</v>
      </c>
      <c r="M3" s="930"/>
    </row>
    <row r="4" spans="1:14" s="99" customFormat="1" ht="12.75" customHeight="1">
      <c r="A4" s="768" t="str">
        <f>'Fiche de renseignement R1'!$J$4</f>
        <v>SOCIETE NOUVELLE DES SALINS DU SINE SALOUM</v>
      </c>
      <c r="B4" s="907"/>
      <c r="C4" s="907"/>
      <c r="K4" s="931" t="s">
        <v>281</v>
      </c>
      <c r="L4" s="770">
        <f>+'Fiche de renseignement R1'!$AH$10</f>
        <v>12</v>
      </c>
      <c r="M4" s="932"/>
    </row>
    <row r="5" spans="1:14" s="99" customFormat="1" ht="12.75">
      <c r="A5" s="99" t="s">
        <v>282</v>
      </c>
      <c r="B5" s="772" t="str">
        <f>+'Fiche de renseignement R1'!$J$10</f>
        <v>000018699</v>
      </c>
      <c r="C5" s="1053"/>
      <c r="K5" s="931"/>
      <c r="L5" s="907"/>
      <c r="M5" s="907"/>
    </row>
    <row r="7" spans="1:14" ht="34.5" customHeight="1">
      <c r="A7" s="1030" t="s">
        <v>754</v>
      </c>
      <c r="B7" s="1051" t="s">
        <v>755</v>
      </c>
      <c r="C7" s="1043" t="s">
        <v>756</v>
      </c>
      <c r="D7" s="1044"/>
      <c r="E7" s="1043" t="s">
        <v>757</v>
      </c>
      <c r="F7" s="1044"/>
      <c r="G7" s="1043" t="s">
        <v>758</v>
      </c>
      <c r="H7" s="1044"/>
      <c r="I7" s="1043" t="s">
        <v>759</v>
      </c>
      <c r="J7" s="1044"/>
      <c r="K7" s="1043" t="s">
        <v>760</v>
      </c>
      <c r="L7" s="1044"/>
      <c r="M7" s="1043" t="s">
        <v>761</v>
      </c>
      <c r="N7" s="1044"/>
    </row>
    <row r="8" spans="1:14" ht="25.5" customHeight="1">
      <c r="A8" s="1031"/>
      <c r="B8" s="1052"/>
      <c r="C8" s="149" t="s">
        <v>762</v>
      </c>
      <c r="D8" s="149" t="s">
        <v>763</v>
      </c>
      <c r="E8" s="149" t="s">
        <v>762</v>
      </c>
      <c r="F8" s="149" t="s">
        <v>763</v>
      </c>
      <c r="G8" s="149" t="s">
        <v>762</v>
      </c>
      <c r="H8" s="149" t="s">
        <v>763</v>
      </c>
      <c r="I8" s="149" t="s">
        <v>762</v>
      </c>
      <c r="J8" s="149" t="s">
        <v>763</v>
      </c>
      <c r="K8" s="149" t="s">
        <v>762</v>
      </c>
      <c r="L8" s="149" t="s">
        <v>763</v>
      </c>
      <c r="M8" s="149" t="s">
        <v>762</v>
      </c>
      <c r="N8" s="149" t="s">
        <v>763</v>
      </c>
    </row>
    <row r="9" spans="1:14">
      <c r="A9" s="649" t="s">
        <v>1477</v>
      </c>
      <c r="B9" s="650" t="s">
        <v>1480</v>
      </c>
      <c r="C9" s="590">
        <v>52917</v>
      </c>
      <c r="D9" s="590">
        <v>2985215</v>
      </c>
      <c r="E9" s="591">
        <f>17780+37558+60200+78388</f>
        <v>193926</v>
      </c>
      <c r="F9" s="590">
        <v>11800353</v>
      </c>
      <c r="G9" s="591">
        <v>4450</v>
      </c>
      <c r="H9" s="590">
        <v>312634</v>
      </c>
      <c r="I9" s="591"/>
      <c r="J9" s="590"/>
      <c r="K9" s="591">
        <v>197342</v>
      </c>
      <c r="L9" s="590">
        <v>1390087</v>
      </c>
      <c r="M9" s="591">
        <v>234554.75</v>
      </c>
      <c r="N9" s="590">
        <v>1633464</v>
      </c>
    </row>
    <row r="10" spans="1:14">
      <c r="A10" s="649" t="s">
        <v>1478</v>
      </c>
      <c r="B10" s="590">
        <v>0</v>
      </c>
      <c r="C10" s="590">
        <v>0</v>
      </c>
      <c r="D10" s="590">
        <v>0</v>
      </c>
      <c r="E10" s="591">
        <v>0</v>
      </c>
      <c r="F10" s="590">
        <v>0</v>
      </c>
      <c r="G10" s="591">
        <v>0</v>
      </c>
      <c r="H10" s="590">
        <v>0</v>
      </c>
      <c r="I10" s="591">
        <v>0</v>
      </c>
      <c r="J10" s="590">
        <v>63509</v>
      </c>
      <c r="K10" s="591">
        <v>0</v>
      </c>
      <c r="L10" s="590">
        <v>0</v>
      </c>
      <c r="M10" s="591">
        <v>0</v>
      </c>
      <c r="N10" s="590">
        <v>0</v>
      </c>
    </row>
    <row r="11" spans="1:14">
      <c r="A11" s="649" t="s">
        <v>1479</v>
      </c>
      <c r="B11" s="650" t="s">
        <v>1480</v>
      </c>
      <c r="C11" s="590">
        <v>0</v>
      </c>
      <c r="D11" s="590">
        <v>0</v>
      </c>
      <c r="E11" s="591">
        <v>0</v>
      </c>
      <c r="F11" s="590">
        <v>0</v>
      </c>
      <c r="G11" s="591">
        <v>0</v>
      </c>
      <c r="H11" s="590">
        <v>0</v>
      </c>
      <c r="I11" s="591">
        <v>0</v>
      </c>
      <c r="J11" s="590">
        <v>0</v>
      </c>
      <c r="K11" s="591">
        <v>0</v>
      </c>
      <c r="L11" s="590">
        <v>689421</v>
      </c>
      <c r="M11" s="591">
        <v>0</v>
      </c>
      <c r="N11" s="590">
        <v>683130</v>
      </c>
    </row>
    <row r="12" spans="1:14">
      <c r="A12" s="649"/>
      <c r="B12" s="589" t="s">
        <v>829</v>
      </c>
      <c r="C12" s="590">
        <v>0</v>
      </c>
      <c r="D12" s="590">
        <v>0</v>
      </c>
      <c r="E12" s="591">
        <v>0</v>
      </c>
      <c r="F12" s="590">
        <v>0</v>
      </c>
      <c r="G12" s="591">
        <v>0</v>
      </c>
      <c r="H12" s="590">
        <v>0</v>
      </c>
      <c r="I12" s="591">
        <v>0</v>
      </c>
      <c r="J12" s="590">
        <v>0</v>
      </c>
      <c r="K12" s="591">
        <v>0</v>
      </c>
      <c r="L12" s="591">
        <v>0</v>
      </c>
      <c r="M12" s="591">
        <v>0</v>
      </c>
      <c r="N12" s="591">
        <v>0</v>
      </c>
    </row>
    <row r="13" spans="1:14">
      <c r="A13" s="588"/>
      <c r="B13" s="589" t="s">
        <v>829</v>
      </c>
      <c r="C13" s="590">
        <v>0</v>
      </c>
      <c r="D13" s="590">
        <v>0</v>
      </c>
      <c r="E13" s="591">
        <v>0</v>
      </c>
      <c r="F13" s="590">
        <v>0</v>
      </c>
      <c r="G13" s="591">
        <v>0</v>
      </c>
      <c r="H13" s="590">
        <v>0</v>
      </c>
      <c r="I13" s="591">
        <v>0</v>
      </c>
      <c r="J13" s="590">
        <v>0</v>
      </c>
      <c r="K13" s="591">
        <v>0</v>
      </c>
      <c r="L13" s="590">
        <v>0</v>
      </c>
      <c r="M13" s="591">
        <v>0</v>
      </c>
      <c r="N13" s="590">
        <v>0</v>
      </c>
    </row>
    <row r="14" spans="1:14">
      <c r="A14" s="588"/>
      <c r="B14" s="589" t="s">
        <v>829</v>
      </c>
      <c r="C14" s="590">
        <v>0</v>
      </c>
      <c r="D14" s="590">
        <v>0</v>
      </c>
      <c r="E14" s="591">
        <v>0</v>
      </c>
      <c r="F14" s="590">
        <v>0</v>
      </c>
      <c r="G14" s="591">
        <v>0</v>
      </c>
      <c r="H14" s="590">
        <v>0</v>
      </c>
      <c r="I14" s="591">
        <v>0</v>
      </c>
      <c r="J14" s="590">
        <v>0</v>
      </c>
      <c r="K14" s="591">
        <v>0</v>
      </c>
      <c r="L14" s="590">
        <v>0</v>
      </c>
      <c r="M14" s="591">
        <v>0</v>
      </c>
      <c r="N14" s="590">
        <v>0</v>
      </c>
    </row>
    <row r="15" spans="1:14">
      <c r="A15" s="588"/>
      <c r="B15" s="589" t="s">
        <v>829</v>
      </c>
      <c r="C15" s="590">
        <v>0</v>
      </c>
      <c r="D15" s="590">
        <v>0</v>
      </c>
      <c r="E15" s="591">
        <v>0</v>
      </c>
      <c r="F15" s="590">
        <v>0</v>
      </c>
      <c r="G15" s="591">
        <v>0</v>
      </c>
      <c r="H15" s="590">
        <v>0</v>
      </c>
      <c r="I15" s="591">
        <v>0</v>
      </c>
      <c r="J15" s="590">
        <v>0</v>
      </c>
      <c r="K15" s="591">
        <v>0</v>
      </c>
      <c r="L15" s="590">
        <v>0</v>
      </c>
      <c r="M15" s="591">
        <v>0</v>
      </c>
      <c r="N15" s="590">
        <v>0</v>
      </c>
    </row>
    <row r="16" spans="1:14">
      <c r="A16" s="588"/>
      <c r="B16" s="589" t="s">
        <v>829</v>
      </c>
      <c r="C16" s="590">
        <v>0</v>
      </c>
      <c r="D16" s="590">
        <v>0</v>
      </c>
      <c r="E16" s="591">
        <v>0</v>
      </c>
      <c r="F16" s="590">
        <v>0</v>
      </c>
      <c r="G16" s="591">
        <v>0</v>
      </c>
      <c r="H16" s="590">
        <v>0</v>
      </c>
      <c r="I16" s="591">
        <v>0</v>
      </c>
      <c r="J16" s="590">
        <v>0</v>
      </c>
      <c r="K16" s="591">
        <v>0</v>
      </c>
      <c r="L16" s="590">
        <v>0</v>
      </c>
      <c r="M16" s="591">
        <v>0</v>
      </c>
      <c r="N16" s="590">
        <v>0</v>
      </c>
    </row>
    <row r="17" spans="1:14">
      <c r="A17" s="588"/>
      <c r="B17" s="592" t="s">
        <v>829</v>
      </c>
      <c r="C17" s="590">
        <v>0</v>
      </c>
      <c r="D17" s="590">
        <v>0</v>
      </c>
      <c r="E17" s="591">
        <v>0</v>
      </c>
      <c r="F17" s="590">
        <v>0</v>
      </c>
      <c r="G17" s="591">
        <v>0</v>
      </c>
      <c r="H17" s="590">
        <v>0</v>
      </c>
      <c r="I17" s="591">
        <v>0</v>
      </c>
      <c r="J17" s="590">
        <v>0</v>
      </c>
      <c r="K17" s="591">
        <v>0</v>
      </c>
      <c r="L17" s="590">
        <v>0</v>
      </c>
      <c r="M17" s="591">
        <v>0</v>
      </c>
      <c r="N17" s="590">
        <v>0</v>
      </c>
    </row>
    <row r="18" spans="1:14">
      <c r="A18" s="588"/>
      <c r="B18" s="592" t="s">
        <v>829</v>
      </c>
      <c r="C18" s="590">
        <v>0</v>
      </c>
      <c r="D18" s="590">
        <v>0</v>
      </c>
      <c r="E18" s="591">
        <v>0</v>
      </c>
      <c r="F18" s="590">
        <v>0</v>
      </c>
      <c r="G18" s="591">
        <v>0</v>
      </c>
      <c r="H18" s="590">
        <v>0</v>
      </c>
      <c r="I18" s="591">
        <v>0</v>
      </c>
      <c r="J18" s="590">
        <v>0</v>
      </c>
      <c r="K18" s="591">
        <v>0</v>
      </c>
      <c r="L18" s="590">
        <v>0</v>
      </c>
      <c r="M18" s="591">
        <v>0</v>
      </c>
      <c r="N18" s="590">
        <v>0</v>
      </c>
    </row>
    <row r="19" spans="1:14">
      <c r="A19" s="588"/>
      <c r="B19" s="592" t="s">
        <v>829</v>
      </c>
      <c r="C19" s="590">
        <v>0</v>
      </c>
      <c r="D19" s="590">
        <v>0</v>
      </c>
      <c r="E19" s="591">
        <v>0</v>
      </c>
      <c r="F19" s="590">
        <v>0</v>
      </c>
      <c r="G19" s="591">
        <v>0</v>
      </c>
      <c r="H19" s="590">
        <v>0</v>
      </c>
      <c r="I19" s="591">
        <v>0</v>
      </c>
      <c r="J19" s="590">
        <v>0</v>
      </c>
      <c r="K19" s="591">
        <v>0</v>
      </c>
      <c r="L19" s="590">
        <v>0</v>
      </c>
      <c r="M19" s="591">
        <v>0</v>
      </c>
      <c r="N19" s="590">
        <v>0</v>
      </c>
    </row>
    <row r="20" spans="1:14">
      <c r="A20" s="588"/>
      <c r="B20" s="592" t="s">
        <v>829</v>
      </c>
      <c r="C20" s="590">
        <v>0</v>
      </c>
      <c r="D20" s="590">
        <v>0</v>
      </c>
      <c r="E20" s="591">
        <v>0</v>
      </c>
      <c r="F20" s="590">
        <v>0</v>
      </c>
      <c r="G20" s="591">
        <v>0</v>
      </c>
      <c r="H20" s="590">
        <v>0</v>
      </c>
      <c r="I20" s="591">
        <v>0</v>
      </c>
      <c r="J20" s="590">
        <v>0</v>
      </c>
      <c r="K20" s="591">
        <v>0</v>
      </c>
      <c r="L20" s="590">
        <v>0</v>
      </c>
      <c r="M20" s="591">
        <v>0</v>
      </c>
      <c r="N20" s="590">
        <v>0</v>
      </c>
    </row>
    <row r="21" spans="1:14">
      <c r="A21" s="588"/>
      <c r="B21" s="592" t="s">
        <v>829</v>
      </c>
      <c r="C21" s="590">
        <v>0</v>
      </c>
      <c r="D21" s="590">
        <v>0</v>
      </c>
      <c r="E21" s="591">
        <v>0</v>
      </c>
      <c r="F21" s="590">
        <v>0</v>
      </c>
      <c r="G21" s="591">
        <v>0</v>
      </c>
      <c r="H21" s="590">
        <v>0</v>
      </c>
      <c r="I21" s="591">
        <v>0</v>
      </c>
      <c r="J21" s="590">
        <v>0</v>
      </c>
      <c r="K21" s="591">
        <v>0</v>
      </c>
      <c r="L21" s="590">
        <v>0</v>
      </c>
      <c r="M21" s="591">
        <v>0</v>
      </c>
      <c r="N21" s="590">
        <v>0</v>
      </c>
    </row>
    <row r="22" spans="1:14">
      <c r="A22" s="588"/>
      <c r="B22" s="592" t="s">
        <v>829</v>
      </c>
      <c r="C22" s="590">
        <v>0</v>
      </c>
      <c r="D22" s="590">
        <v>0</v>
      </c>
      <c r="E22" s="591">
        <v>0</v>
      </c>
      <c r="F22" s="590">
        <v>0</v>
      </c>
      <c r="G22" s="591">
        <v>0</v>
      </c>
      <c r="H22" s="590">
        <v>0</v>
      </c>
      <c r="I22" s="591">
        <v>0</v>
      </c>
      <c r="J22" s="590">
        <v>0</v>
      </c>
      <c r="K22" s="591">
        <v>0</v>
      </c>
      <c r="L22" s="590">
        <v>0</v>
      </c>
      <c r="M22" s="591">
        <v>0</v>
      </c>
      <c r="N22" s="590">
        <v>0</v>
      </c>
    </row>
    <row r="23" spans="1:14">
      <c r="A23" s="1045" t="s">
        <v>764</v>
      </c>
      <c r="B23" s="1047" t="s">
        <v>829</v>
      </c>
      <c r="C23" s="1041">
        <v>0</v>
      </c>
      <c r="D23" s="1041">
        <v>0</v>
      </c>
      <c r="E23" s="1039">
        <v>0</v>
      </c>
      <c r="F23" s="1041">
        <v>0</v>
      </c>
      <c r="G23" s="1039">
        <v>0</v>
      </c>
      <c r="H23" s="1041">
        <v>0</v>
      </c>
      <c r="I23" s="1039">
        <v>0</v>
      </c>
      <c r="J23" s="1041">
        <v>0</v>
      </c>
      <c r="K23" s="1039">
        <v>0</v>
      </c>
      <c r="L23" s="1041">
        <v>0</v>
      </c>
      <c r="M23" s="1039">
        <v>0</v>
      </c>
      <c r="N23" s="1041">
        <v>0</v>
      </c>
    </row>
    <row r="24" spans="1:14">
      <c r="A24" s="1046"/>
      <c r="B24" s="1048"/>
      <c r="C24" s="1042"/>
      <c r="D24" s="1042"/>
      <c r="E24" s="1040"/>
      <c r="F24" s="1042"/>
      <c r="G24" s="1040"/>
      <c r="H24" s="1042"/>
      <c r="I24" s="1040"/>
      <c r="J24" s="1042"/>
      <c r="K24" s="1040"/>
      <c r="L24" s="1042"/>
      <c r="M24" s="1040"/>
      <c r="N24" s="1042"/>
    </row>
    <row r="25" spans="1:14">
      <c r="A25" s="1049">
        <v>0</v>
      </c>
      <c r="B25" s="1035">
        <v>0</v>
      </c>
      <c r="C25" s="1035">
        <v>55691</v>
      </c>
      <c r="D25" s="1035">
        <v>0</v>
      </c>
      <c r="E25" s="1037">
        <v>233104</v>
      </c>
      <c r="F25" s="1035">
        <v>14785568</v>
      </c>
      <c r="G25" s="1037">
        <v>7553</v>
      </c>
      <c r="H25" s="1035">
        <v>312634</v>
      </c>
      <c r="I25" s="1037">
        <v>0</v>
      </c>
      <c r="J25" s="1035">
        <v>63509</v>
      </c>
      <c r="K25" s="1037">
        <v>228690</v>
      </c>
      <c r="L25" s="1035">
        <v>1979148</v>
      </c>
      <c r="M25" s="1037">
        <v>197342</v>
      </c>
      <c r="N25" s="1035">
        <v>2316594</v>
      </c>
    </row>
    <row r="26" spans="1:14">
      <c r="A26" s="1050"/>
      <c r="B26" s="1036"/>
      <c r="C26" s="1036"/>
      <c r="D26" s="1036"/>
      <c r="E26" s="1038"/>
      <c r="F26" s="1036"/>
      <c r="G26" s="1038"/>
      <c r="H26" s="1036"/>
      <c r="I26" s="1038"/>
      <c r="J26" s="1036"/>
      <c r="K26" s="1038"/>
      <c r="L26" s="1036"/>
      <c r="M26" s="1038"/>
      <c r="N26" s="1036"/>
    </row>
  </sheetData>
  <mergeCells count="43">
    <mergeCell ref="C25:C26"/>
    <mergeCell ref="D25:D26"/>
    <mergeCell ref="E25:E26"/>
    <mergeCell ref="G25:G26"/>
    <mergeCell ref="A1:N1"/>
    <mergeCell ref="A3:C3"/>
    <mergeCell ref="L3:M3"/>
    <mergeCell ref="A4:C4"/>
    <mergeCell ref="K4:K5"/>
    <mergeCell ref="L4:M5"/>
    <mergeCell ref="B5:C5"/>
    <mergeCell ref="C7:D7"/>
    <mergeCell ref="E7:F7"/>
    <mergeCell ref="G7:H7"/>
    <mergeCell ref="I7:J7"/>
    <mergeCell ref="C23:C24"/>
    <mergeCell ref="A23:A24"/>
    <mergeCell ref="B23:B24"/>
    <mergeCell ref="A25:A26"/>
    <mergeCell ref="B25:B26"/>
    <mergeCell ref="A7:A8"/>
    <mergeCell ref="B7:B8"/>
    <mergeCell ref="K7:L7"/>
    <mergeCell ref="K25:K26"/>
    <mergeCell ref="L25:L26"/>
    <mergeCell ref="M7:N7"/>
    <mergeCell ref="M25:M26"/>
    <mergeCell ref="N25:N26"/>
    <mergeCell ref="N23:N24"/>
    <mergeCell ref="K23:K24"/>
    <mergeCell ref="L23:L24"/>
    <mergeCell ref="M23:M24"/>
    <mergeCell ref="D23:D24"/>
    <mergeCell ref="E23:E24"/>
    <mergeCell ref="F23:F24"/>
    <mergeCell ref="G23:G24"/>
    <mergeCell ref="H23:H24"/>
    <mergeCell ref="F25:F26"/>
    <mergeCell ref="H25:H26"/>
    <mergeCell ref="I25:I26"/>
    <mergeCell ref="I23:I24"/>
    <mergeCell ref="J23:J24"/>
    <mergeCell ref="J25:J26"/>
  </mergeCells>
  <phoneticPr fontId="49" type="noConversion"/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24:N26 C25:C2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1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showGridLines="0" workbookViewId="0">
      <selection activeCell="G10" sqref="G10"/>
    </sheetView>
  </sheetViews>
  <sheetFormatPr baseColWidth="10" defaultColWidth="10.28515625" defaultRowHeight="11.25"/>
  <cols>
    <col min="1" max="1" width="27.7109375" style="593" customWidth="1" collapsed="1"/>
    <col min="2" max="2" width="11.7109375" style="593" customWidth="1" collapsed="1"/>
    <col min="3" max="8" width="8.7109375" style="593" customWidth="1" collapsed="1"/>
    <col min="9" max="9" width="11.7109375" style="593" customWidth="1" collapsed="1"/>
    <col min="10" max="16384" width="10.28515625" style="593" collapsed="1"/>
  </cols>
  <sheetData>
    <row r="1" spans="1:9" s="99" customFormat="1" ht="18.75" customHeight="1">
      <c r="A1" s="1032" t="s">
        <v>765</v>
      </c>
      <c r="B1" s="1032"/>
      <c r="C1" s="1032"/>
      <c r="D1" s="1032"/>
      <c r="E1" s="1032"/>
      <c r="F1" s="1032"/>
      <c r="G1" s="1032"/>
      <c r="H1" s="1032"/>
      <c r="I1" s="1032"/>
    </row>
    <row r="2" spans="1:9" s="99" customFormat="1" ht="12.75"/>
    <row r="3" spans="1:9" s="99" customFormat="1" ht="12.75">
      <c r="A3" s="905" t="s">
        <v>279</v>
      </c>
      <c r="B3" s="905"/>
      <c r="C3" s="905"/>
      <c r="G3" s="100" t="s">
        <v>280</v>
      </c>
      <c r="H3" s="881">
        <f>+'Fiche de renseignement R1'!$V$10</f>
        <v>45657</v>
      </c>
      <c r="I3" s="989"/>
    </row>
    <row r="4" spans="1:9" s="99" customFormat="1" ht="12.75">
      <c r="A4" s="883" t="str">
        <f>'Fiche de renseignement R1'!$J$4</f>
        <v>SOCIETE NOUVELLE DES SALINS DU SINE SALOUM</v>
      </c>
      <c r="B4" s="906"/>
      <c r="C4" s="906"/>
      <c r="G4" s="931" t="s">
        <v>281</v>
      </c>
      <c r="H4" s="991">
        <f>+'Fiche de renseignement R1'!$AH$10</f>
        <v>12</v>
      </c>
      <c r="I4" s="992"/>
    </row>
    <row r="5" spans="1:9" s="99" customFormat="1" ht="12.75">
      <c r="A5" s="99" t="s">
        <v>282</v>
      </c>
      <c r="B5" s="888" t="str">
        <f>+'Fiche de renseignement R1'!$J$10</f>
        <v>000018699</v>
      </c>
      <c r="C5" s="933"/>
      <c r="G5" s="931"/>
      <c r="H5" s="993"/>
      <c r="I5" s="993"/>
    </row>
    <row r="7" spans="1:9" ht="12.75">
      <c r="A7" s="1059" t="s">
        <v>766</v>
      </c>
      <c r="B7" s="1059" t="s">
        <v>755</v>
      </c>
      <c r="C7" s="1062" t="s">
        <v>767</v>
      </c>
      <c r="D7" s="1063"/>
      <c r="E7" s="1063"/>
      <c r="F7" s="1063"/>
      <c r="G7" s="1063"/>
      <c r="H7" s="1064"/>
      <c r="I7" s="1065" t="s">
        <v>768</v>
      </c>
    </row>
    <row r="8" spans="1:9" ht="12.75">
      <c r="A8" s="1060"/>
      <c r="B8" s="1060"/>
      <c r="C8" s="1068" t="s">
        <v>769</v>
      </c>
      <c r="D8" s="1069"/>
      <c r="E8" s="1062" t="s">
        <v>770</v>
      </c>
      <c r="F8" s="1063"/>
      <c r="G8" s="1063"/>
      <c r="H8" s="1064"/>
      <c r="I8" s="1066"/>
    </row>
    <row r="9" spans="1:9" ht="23.25" customHeight="1">
      <c r="A9" s="1060"/>
      <c r="B9" s="1060"/>
      <c r="C9" s="1070"/>
      <c r="D9" s="1071"/>
      <c r="E9" s="1072" t="s">
        <v>771</v>
      </c>
      <c r="F9" s="1073"/>
      <c r="G9" s="1074" t="s">
        <v>772</v>
      </c>
      <c r="H9" s="1075"/>
      <c r="I9" s="1067"/>
    </row>
    <row r="10" spans="1:9">
      <c r="A10" s="1061"/>
      <c r="B10" s="1061"/>
      <c r="C10" s="149" t="s">
        <v>762</v>
      </c>
      <c r="D10" s="149" t="s">
        <v>763</v>
      </c>
      <c r="E10" s="149" t="s">
        <v>762</v>
      </c>
      <c r="F10" s="149" t="s">
        <v>763</v>
      </c>
      <c r="G10" s="149" t="s">
        <v>762</v>
      </c>
      <c r="H10" s="149" t="s">
        <v>763</v>
      </c>
      <c r="I10" s="149" t="s">
        <v>763</v>
      </c>
    </row>
    <row r="11" spans="1:9">
      <c r="A11" s="588" t="s">
        <v>1481</v>
      </c>
      <c r="B11" s="589" t="s">
        <v>829</v>
      </c>
      <c r="C11" s="591">
        <v>0</v>
      </c>
      <c r="D11" s="590">
        <v>231045</v>
      </c>
      <c r="E11" s="591">
        <v>0</v>
      </c>
      <c r="F11" s="590">
        <v>15572</v>
      </c>
      <c r="G11" s="591">
        <v>0</v>
      </c>
      <c r="H11" s="590">
        <v>856930</v>
      </c>
      <c r="I11" s="590">
        <v>89696.043000000005</v>
      </c>
    </row>
    <row r="12" spans="1:9">
      <c r="A12" s="588" t="s">
        <v>1482</v>
      </c>
      <c r="B12" s="589" t="s">
        <v>829</v>
      </c>
      <c r="C12" s="591">
        <v>0</v>
      </c>
      <c r="D12" s="590"/>
      <c r="E12" s="591">
        <v>0</v>
      </c>
      <c r="F12" s="590">
        <v>358098</v>
      </c>
      <c r="G12" s="591">
        <v>0</v>
      </c>
      <c r="H12" s="590"/>
      <c r="I12" s="590">
        <v>-27654.47</v>
      </c>
    </row>
    <row r="13" spans="1:9">
      <c r="A13" s="588" t="s">
        <v>1483</v>
      </c>
      <c r="B13" s="589" t="s">
        <v>829</v>
      </c>
      <c r="C13" s="591">
        <v>0</v>
      </c>
      <c r="D13" s="590">
        <v>27422</v>
      </c>
      <c r="E13" s="591">
        <v>0</v>
      </c>
      <c r="F13" s="590"/>
      <c r="G13" s="591">
        <v>0</v>
      </c>
      <c r="H13" s="590"/>
      <c r="I13" s="590">
        <v>-2464.1909999999998</v>
      </c>
    </row>
    <row r="14" spans="1:9">
      <c r="A14" s="588" t="s">
        <v>104</v>
      </c>
      <c r="B14" s="589" t="s">
        <v>829</v>
      </c>
      <c r="C14" s="591">
        <v>0</v>
      </c>
      <c r="D14" s="590">
        <v>43077</v>
      </c>
      <c r="E14" s="591">
        <v>0</v>
      </c>
      <c r="F14" s="590">
        <v>320358</v>
      </c>
      <c r="G14" s="591">
        <v>0</v>
      </c>
      <c r="H14" s="590">
        <v>1026510</v>
      </c>
      <c r="I14" s="590">
        <v>60121.268999999993</v>
      </c>
    </row>
    <row r="15" spans="1:9">
      <c r="A15" s="588"/>
      <c r="B15" s="589" t="s">
        <v>829</v>
      </c>
      <c r="C15" s="591">
        <v>0</v>
      </c>
      <c r="D15" s="590">
        <v>0</v>
      </c>
      <c r="E15" s="591">
        <v>0</v>
      </c>
      <c r="F15" s="590">
        <v>0</v>
      </c>
      <c r="G15" s="591">
        <v>0</v>
      </c>
      <c r="H15" s="590">
        <v>0</v>
      </c>
      <c r="I15" s="590">
        <v>0</v>
      </c>
    </row>
    <row r="16" spans="1:9">
      <c r="A16" s="588"/>
      <c r="B16" s="589" t="s">
        <v>829</v>
      </c>
      <c r="C16" s="591">
        <v>0</v>
      </c>
      <c r="D16" s="590">
        <v>0</v>
      </c>
      <c r="E16" s="591">
        <v>0</v>
      </c>
      <c r="F16" s="590">
        <v>0</v>
      </c>
      <c r="G16" s="591">
        <v>0</v>
      </c>
      <c r="H16" s="590">
        <v>0</v>
      </c>
      <c r="I16" s="590">
        <v>0</v>
      </c>
    </row>
    <row r="17" spans="1:9">
      <c r="A17" s="588"/>
      <c r="B17" s="589" t="s">
        <v>829</v>
      </c>
      <c r="C17" s="591">
        <v>0</v>
      </c>
      <c r="D17" s="590">
        <v>0</v>
      </c>
      <c r="E17" s="591">
        <v>0</v>
      </c>
      <c r="F17" s="590">
        <v>0</v>
      </c>
      <c r="G17" s="591">
        <v>0</v>
      </c>
      <c r="H17" s="590">
        <v>0</v>
      </c>
      <c r="I17" s="590">
        <v>0</v>
      </c>
    </row>
    <row r="18" spans="1:9">
      <c r="A18" s="588"/>
      <c r="B18" s="589" t="s">
        <v>829</v>
      </c>
      <c r="C18" s="591">
        <v>0</v>
      </c>
      <c r="D18" s="590">
        <v>0</v>
      </c>
      <c r="E18" s="591">
        <v>0</v>
      </c>
      <c r="F18" s="590">
        <v>0</v>
      </c>
      <c r="G18" s="591">
        <v>0</v>
      </c>
      <c r="H18" s="590">
        <v>0</v>
      </c>
      <c r="I18" s="590">
        <v>0</v>
      </c>
    </row>
    <row r="19" spans="1:9">
      <c r="A19" s="588"/>
      <c r="B19" s="589" t="s">
        <v>829</v>
      </c>
      <c r="C19" s="591">
        <v>0</v>
      </c>
      <c r="D19" s="590">
        <v>0</v>
      </c>
      <c r="E19" s="591">
        <v>0</v>
      </c>
      <c r="F19" s="590">
        <v>0</v>
      </c>
      <c r="G19" s="591">
        <v>0</v>
      </c>
      <c r="H19" s="590">
        <v>0</v>
      </c>
      <c r="I19" s="590">
        <v>0</v>
      </c>
    </row>
    <row r="20" spans="1:9">
      <c r="A20" s="588"/>
      <c r="B20" s="589" t="s">
        <v>829</v>
      </c>
      <c r="C20" s="591">
        <v>0</v>
      </c>
      <c r="D20" s="590">
        <v>0</v>
      </c>
      <c r="E20" s="591">
        <v>0</v>
      </c>
      <c r="F20" s="590">
        <v>0</v>
      </c>
      <c r="G20" s="591">
        <v>0</v>
      </c>
      <c r="H20" s="590">
        <v>0</v>
      </c>
      <c r="I20" s="590">
        <v>0</v>
      </c>
    </row>
    <row r="21" spans="1:9">
      <c r="A21" s="588"/>
      <c r="B21" s="589" t="s">
        <v>829</v>
      </c>
      <c r="C21" s="591">
        <v>0</v>
      </c>
      <c r="D21" s="590">
        <v>0</v>
      </c>
      <c r="E21" s="591">
        <v>0</v>
      </c>
      <c r="F21" s="590">
        <v>0</v>
      </c>
      <c r="G21" s="591">
        <v>0</v>
      </c>
      <c r="H21" s="590">
        <v>0</v>
      </c>
      <c r="I21" s="590">
        <v>0</v>
      </c>
    </row>
    <row r="22" spans="1:9">
      <c r="A22" s="588"/>
      <c r="B22" s="592" t="s">
        <v>829</v>
      </c>
      <c r="C22" s="591">
        <v>0</v>
      </c>
      <c r="D22" s="590">
        <v>0</v>
      </c>
      <c r="E22" s="591">
        <v>0</v>
      </c>
      <c r="F22" s="590">
        <v>0</v>
      </c>
      <c r="G22" s="591">
        <v>0</v>
      </c>
      <c r="H22" s="590">
        <v>0</v>
      </c>
      <c r="I22" s="590">
        <v>0</v>
      </c>
    </row>
    <row r="23" spans="1:9">
      <c r="A23" s="588"/>
      <c r="B23" s="592" t="s">
        <v>829</v>
      </c>
      <c r="C23" s="591">
        <v>0</v>
      </c>
      <c r="D23" s="590">
        <v>0</v>
      </c>
      <c r="E23" s="591">
        <v>0</v>
      </c>
      <c r="F23" s="590">
        <v>0</v>
      </c>
      <c r="G23" s="591">
        <v>0</v>
      </c>
      <c r="H23" s="590">
        <v>0</v>
      </c>
      <c r="I23" s="590">
        <v>0</v>
      </c>
    </row>
    <row r="24" spans="1:9">
      <c r="A24" s="588"/>
      <c r="B24" s="592" t="s">
        <v>829</v>
      </c>
      <c r="C24" s="591">
        <v>0</v>
      </c>
      <c r="D24" s="590">
        <v>0</v>
      </c>
      <c r="E24" s="591">
        <v>0</v>
      </c>
      <c r="F24" s="590">
        <v>0</v>
      </c>
      <c r="G24" s="591">
        <v>0</v>
      </c>
      <c r="H24" s="590">
        <v>0</v>
      </c>
      <c r="I24" s="590">
        <v>0</v>
      </c>
    </row>
    <row r="25" spans="1:9">
      <c r="A25" s="1045" t="s">
        <v>773</v>
      </c>
      <c r="B25" s="1054">
        <v>0</v>
      </c>
      <c r="C25" s="1077">
        <v>0</v>
      </c>
      <c r="D25" s="1079">
        <v>0</v>
      </c>
      <c r="E25" s="1077">
        <v>0</v>
      </c>
      <c r="F25" s="1079">
        <v>0</v>
      </c>
      <c r="G25" s="1077">
        <v>0</v>
      </c>
      <c r="H25" s="1079">
        <v>0</v>
      </c>
      <c r="I25" s="1079">
        <v>0</v>
      </c>
    </row>
    <row r="26" spans="1:9">
      <c r="A26" s="1046"/>
      <c r="B26" s="1055"/>
      <c r="C26" s="1078"/>
      <c r="D26" s="1080"/>
      <c r="E26" s="1078"/>
      <c r="F26" s="1080"/>
      <c r="G26" s="1078"/>
      <c r="H26" s="1080"/>
      <c r="I26" s="1080"/>
    </row>
    <row r="27" spans="1:9">
      <c r="A27" s="1056" t="s">
        <v>105</v>
      </c>
      <c r="B27" s="1057"/>
      <c r="C27" s="1081"/>
      <c r="D27" s="1076">
        <v>301544</v>
      </c>
      <c r="E27" s="1081"/>
      <c r="F27" s="1076">
        <v>694028</v>
      </c>
      <c r="G27" s="1081"/>
      <c r="H27" s="1076">
        <v>1883440</v>
      </c>
      <c r="I27" s="1076">
        <v>119699</v>
      </c>
    </row>
    <row r="28" spans="1:9">
      <c r="A28" s="1050"/>
      <c r="B28" s="1058"/>
      <c r="C28" s="1038"/>
      <c r="D28" s="1036"/>
      <c r="E28" s="1038"/>
      <c r="F28" s="1036"/>
      <c r="G28" s="1038"/>
      <c r="H28" s="1036"/>
      <c r="I28" s="1036"/>
    </row>
  </sheetData>
  <mergeCells count="33">
    <mergeCell ref="H27:H28"/>
    <mergeCell ref="I27:I28"/>
    <mergeCell ref="C25:C26"/>
    <mergeCell ref="D25:D26"/>
    <mergeCell ref="E25:E26"/>
    <mergeCell ref="F25:F26"/>
    <mergeCell ref="G25:G26"/>
    <mergeCell ref="H25:H26"/>
    <mergeCell ref="I25:I26"/>
    <mergeCell ref="C27:C28"/>
    <mergeCell ref="D27:D28"/>
    <mergeCell ref="E27:E28"/>
    <mergeCell ref="F27:F28"/>
    <mergeCell ref="G27:G28"/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xWindow="710" yWindow="623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B28 H27 C27 D27 E27 F27 G27 C11:C25 D11:D25 E11:E25 F11:F25 G11:G25 H11:H25 I11:I25 I27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K66"/>
  <sheetViews>
    <sheetView showGridLines="0" topLeftCell="A40" workbookViewId="0">
      <selection activeCell="G37" sqref="G37"/>
    </sheetView>
  </sheetViews>
  <sheetFormatPr baseColWidth="10" defaultColWidth="10.28515625" defaultRowHeight="12.75"/>
  <cols>
    <col min="1" max="1" width="65.7109375" style="99" customWidth="1" collapsed="1"/>
    <col min="2" max="3" width="14.140625" style="99" customWidth="1" collapsed="1"/>
    <col min="4" max="4" width="15.7109375" style="99" customWidth="1" collapsed="1"/>
    <col min="5" max="16384" width="10.28515625" style="99" collapsed="1"/>
  </cols>
  <sheetData>
    <row r="1" spans="1:6" ht="21" customHeight="1">
      <c r="A1" s="904" t="s">
        <v>802</v>
      </c>
      <c r="B1" s="904"/>
      <c r="C1" s="904"/>
      <c r="D1" s="904"/>
    </row>
    <row r="2" spans="1:6" ht="8.1" customHeight="1"/>
    <row r="3" spans="1:6" ht="12.75" customHeight="1">
      <c r="A3" s="150" t="s">
        <v>279</v>
      </c>
      <c r="B3" s="218" t="s">
        <v>280</v>
      </c>
      <c r="C3" s="766">
        <f>+'Fiche de renseignement R1'!$V$10</f>
        <v>45657</v>
      </c>
      <c r="D3" s="907"/>
      <c r="E3" s="150"/>
    </row>
    <row r="4" spans="1:6" ht="15" customHeight="1">
      <c r="A4" s="449" t="str">
        <f>'Fiche de renseignement R1'!$J$4</f>
        <v>SOCIETE NOUVELLE DES SALINS DU SINE SALOUM</v>
      </c>
      <c r="B4" s="151"/>
      <c r="C4" s="150" t="s">
        <v>281</v>
      </c>
      <c r="D4" s="594">
        <f>+'Fiche de renseignement R1'!$AH$10</f>
        <v>12</v>
      </c>
      <c r="E4" s="150"/>
      <c r="F4" s="151"/>
    </row>
    <row r="5" spans="1:6" ht="15" customHeight="1">
      <c r="A5" s="150" t="s">
        <v>282</v>
      </c>
      <c r="B5" s="1085" t="str">
        <f>+'Fiche de renseignement R1'!$J$10</f>
        <v>000018699</v>
      </c>
      <c r="C5" s="993"/>
      <c r="D5" s="151"/>
      <c r="E5" s="150"/>
      <c r="F5" s="151"/>
    </row>
    <row r="6" spans="1:6" ht="8.1" customHeight="1"/>
    <row r="7" spans="1:6" ht="25.35" customHeight="1">
      <c r="A7" s="207" t="s">
        <v>774</v>
      </c>
      <c r="B7" s="208" t="s">
        <v>371</v>
      </c>
      <c r="C7" s="209" t="s">
        <v>372</v>
      </c>
      <c r="D7" s="209" t="s">
        <v>399</v>
      </c>
    </row>
    <row r="8" spans="1:6" ht="20.100000000000001" customHeight="1">
      <c r="A8" s="1086" t="s">
        <v>775</v>
      </c>
      <c r="B8" s="1087">
        <v>0</v>
      </c>
      <c r="C8" s="1087">
        <v>0</v>
      </c>
      <c r="D8" s="1088"/>
    </row>
    <row r="9" spans="1:6" ht="25.35" customHeight="1">
      <c r="A9" s="152" t="s">
        <v>776</v>
      </c>
      <c r="B9" s="595"/>
      <c r="C9" s="596"/>
      <c r="D9" s="597"/>
    </row>
    <row r="10" spans="1:6">
      <c r="A10" s="101" t="s">
        <v>777</v>
      </c>
      <c r="B10" s="500">
        <v>15118888.788000001</v>
      </c>
      <c r="C10" s="459">
        <v>17748438.18</v>
      </c>
      <c r="D10" s="604">
        <v>-0.14815666400230823</v>
      </c>
    </row>
    <row r="11" spans="1:6">
      <c r="A11" s="101" t="s">
        <v>778</v>
      </c>
      <c r="B11" s="500">
        <v>0</v>
      </c>
      <c r="C11" s="459">
        <v>0</v>
      </c>
      <c r="D11" s="604" t="s">
        <v>147</v>
      </c>
    </row>
    <row r="12" spans="1:6">
      <c r="A12" s="101" t="s">
        <v>779</v>
      </c>
      <c r="B12" s="500">
        <v>7450764.4550000001</v>
      </c>
      <c r="C12" s="459">
        <v>8221748.5860000001</v>
      </c>
      <c r="D12" s="604">
        <v>-9.3773742037409472E-2</v>
      </c>
    </row>
    <row r="13" spans="1:6">
      <c r="A13" s="101" t="s">
        <v>780</v>
      </c>
      <c r="B13" s="500">
        <v>5137010.7829999998</v>
      </c>
      <c r="C13" s="459">
        <v>6006390.5180000002</v>
      </c>
      <c r="D13" s="604">
        <v>-0.14474245928476279</v>
      </c>
    </row>
    <row r="14" spans="1:6">
      <c r="A14" s="101" t="s">
        <v>781</v>
      </c>
      <c r="B14" s="500">
        <v>4357707.9910000004</v>
      </c>
      <c r="C14" s="459">
        <v>5714319.3039999995</v>
      </c>
      <c r="D14" s="604">
        <v>-0.2374055842574945</v>
      </c>
    </row>
    <row r="15" spans="1:6">
      <c r="A15" s="101" t="s">
        <v>782</v>
      </c>
      <c r="B15" s="500">
        <v>23880.79</v>
      </c>
      <c r="C15" s="459">
        <v>12444.829</v>
      </c>
      <c r="D15" s="604">
        <v>0.91893275512262973</v>
      </c>
    </row>
    <row r="16" spans="1:6">
      <c r="A16" s="101" t="s">
        <v>783</v>
      </c>
      <c r="B16" s="500">
        <v>4381588.7810000004</v>
      </c>
      <c r="C16" s="459">
        <v>5726764.1330000004</v>
      </c>
      <c r="D16" s="604">
        <v>-0.23489274584377226</v>
      </c>
    </row>
    <row r="17" spans="1:4">
      <c r="A17" s="101" t="s">
        <v>784</v>
      </c>
      <c r="B17" s="500">
        <v>1514.345</v>
      </c>
      <c r="C17" s="459">
        <v>-535262.69900000002</v>
      </c>
      <c r="D17" s="604">
        <v>-1.0028291622091903</v>
      </c>
    </row>
    <row r="18" spans="1:4">
      <c r="A18" s="101" t="s">
        <v>785</v>
      </c>
      <c r="B18" s="500">
        <v>3693778.426</v>
      </c>
      <c r="C18" s="459">
        <v>4369124.4840000002</v>
      </c>
      <c r="D18" s="604">
        <v>-0.15457240013946927</v>
      </c>
    </row>
    <row r="19" spans="1:4" ht="20.100000000000001" customHeight="1">
      <c r="A19" s="111" t="s">
        <v>786</v>
      </c>
      <c r="B19" s="501">
        <v>0</v>
      </c>
      <c r="C19" s="502">
        <v>0</v>
      </c>
      <c r="D19" s="516"/>
    </row>
    <row r="20" spans="1:4" ht="20.100000000000001" customHeight="1">
      <c r="A20" s="110" t="s">
        <v>1120</v>
      </c>
      <c r="B20" s="500">
        <v>5137010.7829999998</v>
      </c>
      <c r="C20" s="459">
        <v>6006390.5180000002</v>
      </c>
      <c r="D20" s="503"/>
    </row>
    <row r="21" spans="1:4">
      <c r="A21" s="364" t="s">
        <v>787</v>
      </c>
      <c r="B21" s="500">
        <v>0</v>
      </c>
      <c r="C21" s="459">
        <v>0</v>
      </c>
      <c r="D21" s="503"/>
    </row>
    <row r="22" spans="1:4">
      <c r="A22" s="364" t="s">
        <v>788</v>
      </c>
      <c r="B22" s="500">
        <v>0</v>
      </c>
      <c r="C22" s="459">
        <v>0</v>
      </c>
      <c r="D22" s="503"/>
    </row>
    <row r="23" spans="1:4" ht="20.100000000000001" customHeight="1">
      <c r="A23" s="153" t="s">
        <v>789</v>
      </c>
      <c r="B23" s="501">
        <v>5137010.7829999998</v>
      </c>
      <c r="C23" s="501">
        <v>6006390.5180000002</v>
      </c>
      <c r="D23" s="503"/>
    </row>
    <row r="24" spans="1:4">
      <c r="A24" s="364" t="s">
        <v>790</v>
      </c>
      <c r="B24" s="500">
        <v>23880.79</v>
      </c>
      <c r="C24" s="459">
        <v>12452.924999999999</v>
      </c>
      <c r="D24" s="503"/>
    </row>
    <row r="25" spans="1:4">
      <c r="A25" s="364" t="s">
        <v>791</v>
      </c>
      <c r="B25" s="500">
        <v>0</v>
      </c>
      <c r="C25" s="459">
        <v>0</v>
      </c>
      <c r="D25" s="503"/>
    </row>
    <row r="26" spans="1:4">
      <c r="A26" s="364" t="s">
        <v>792</v>
      </c>
      <c r="B26" s="500">
        <v>0</v>
      </c>
      <c r="C26" s="459">
        <v>0</v>
      </c>
      <c r="D26" s="503"/>
    </row>
    <row r="27" spans="1:4">
      <c r="A27" s="365" t="s">
        <v>793</v>
      </c>
      <c r="B27" s="500">
        <v>0</v>
      </c>
      <c r="C27" s="459">
        <v>0</v>
      </c>
      <c r="D27" s="503"/>
    </row>
    <row r="28" spans="1:4">
      <c r="A28" s="365" t="s">
        <v>928</v>
      </c>
      <c r="B28" s="500">
        <v>0</v>
      </c>
      <c r="C28" s="459">
        <v>0</v>
      </c>
      <c r="D28" s="503"/>
    </row>
    <row r="29" spans="1:4">
      <c r="A29" s="364" t="s">
        <v>794</v>
      </c>
      <c r="B29" s="500">
        <v>0</v>
      </c>
      <c r="C29" s="654">
        <v>-8.0960000000000001</v>
      </c>
      <c r="D29" s="503"/>
    </row>
    <row r="30" spans="1:4">
      <c r="A30" s="365" t="s">
        <v>795</v>
      </c>
      <c r="B30" s="500">
        <v>0</v>
      </c>
      <c r="C30" s="459">
        <v>0</v>
      </c>
      <c r="D30" s="503"/>
    </row>
    <row r="31" spans="1:4">
      <c r="A31" s="366" t="s">
        <v>1121</v>
      </c>
      <c r="B31" s="500">
        <v>0</v>
      </c>
      <c r="C31" s="459">
        <v>-530648</v>
      </c>
      <c r="D31" s="503"/>
    </row>
    <row r="32" spans="1:4">
      <c r="A32" s="365" t="s">
        <v>796</v>
      </c>
      <c r="B32" s="500">
        <v>0</v>
      </c>
      <c r="C32" s="459">
        <v>0</v>
      </c>
      <c r="D32" s="503"/>
    </row>
    <row r="33" spans="1:11">
      <c r="A33" s="365" t="s">
        <v>797</v>
      </c>
      <c r="B33" s="500">
        <v>-689324.7</v>
      </c>
      <c r="C33" s="459">
        <v>-822376.95</v>
      </c>
      <c r="D33" s="503"/>
    </row>
    <row r="34" spans="1:11" ht="20.100000000000001" customHeight="1">
      <c r="A34" s="153" t="s">
        <v>798</v>
      </c>
      <c r="B34" s="501">
        <v>4471566.8729999997</v>
      </c>
      <c r="C34" s="501">
        <v>4665810</v>
      </c>
      <c r="D34" s="503"/>
    </row>
    <row r="35" spans="1:11" ht="15">
      <c r="A35" s="154" t="s">
        <v>799</v>
      </c>
      <c r="B35" s="500">
        <v>-3603730</v>
      </c>
      <c r="C35" s="459">
        <v>-3603730</v>
      </c>
      <c r="D35" s="489"/>
      <c r="G35" s="432"/>
      <c r="I35" s="432"/>
      <c r="J35" s="432"/>
      <c r="K35" s="432"/>
    </row>
    <row r="36" spans="1:11" ht="20.100000000000001" customHeight="1">
      <c r="A36" s="153" t="s">
        <v>800</v>
      </c>
      <c r="B36" s="501">
        <v>867836.87299999967</v>
      </c>
      <c r="C36" s="501">
        <v>1062080</v>
      </c>
      <c r="D36" s="516"/>
      <c r="E36" s="99">
        <v>219336.87299999967</v>
      </c>
      <c r="G36" s="236"/>
      <c r="H36" s="222"/>
      <c r="I36" s="236"/>
      <c r="J36" s="236"/>
      <c r="K36" s="236"/>
    </row>
    <row r="37" spans="1:11" ht="20.100000000000001" customHeight="1">
      <c r="A37" s="1082" t="s">
        <v>801</v>
      </c>
      <c r="B37" s="1083">
        <v>0</v>
      </c>
      <c r="C37" s="1083">
        <v>0</v>
      </c>
      <c r="D37" s="1084"/>
    </row>
    <row r="38" spans="1:11" ht="32.1" customHeight="1">
      <c r="A38" s="281"/>
      <c r="B38" s="652">
        <v>0.40707020720375581</v>
      </c>
      <c r="C38" s="651">
        <v>0.53841179758518243</v>
      </c>
      <c r="D38" s="604">
        <v>-0.32265095321919401</v>
      </c>
    </row>
    <row r="39" spans="1:11" ht="32.1" customHeight="1">
      <c r="A39" s="281"/>
      <c r="B39" s="652">
        <v>0.40922927565935768</v>
      </c>
      <c r="C39" s="651">
        <v>0.48892777233692059</v>
      </c>
      <c r="D39" s="604">
        <v>-0.19475267635520754</v>
      </c>
    </row>
    <row r="40" spans="1:11" ht="20.100000000000001" customHeight="1">
      <c r="A40" s="1082" t="s">
        <v>803</v>
      </c>
      <c r="B40" s="1083">
        <v>0</v>
      </c>
      <c r="C40" s="1083">
        <v>0</v>
      </c>
      <c r="D40" s="1084"/>
    </row>
    <row r="41" spans="1:11">
      <c r="A41" s="367" t="s">
        <v>804</v>
      </c>
      <c r="B41" s="500">
        <v>9026183.2320000008</v>
      </c>
      <c r="C41" s="459">
        <v>8936134.8059999999</v>
      </c>
      <c r="D41" s="604">
        <v>1.0076887597928758E-2</v>
      </c>
    </row>
    <row r="42" spans="1:11">
      <c r="A42" s="364" t="s">
        <v>805</v>
      </c>
      <c r="B42" s="500">
        <v>1678869.395</v>
      </c>
      <c r="C42" s="459">
        <v>1677152.885</v>
      </c>
      <c r="D42" s="604">
        <v>1.0234666233186066E-3</v>
      </c>
    </row>
    <row r="43" spans="1:11">
      <c r="A43" s="154" t="s">
        <v>806</v>
      </c>
      <c r="B43" s="500">
        <v>10705052.627</v>
      </c>
      <c r="C43" s="500">
        <v>10613287.691</v>
      </c>
      <c r="D43" s="604">
        <v>8.6462309014591933E-3</v>
      </c>
    </row>
    <row r="44" spans="1:11">
      <c r="A44" s="154" t="s">
        <v>807</v>
      </c>
      <c r="B44" s="500">
        <v>3080294.1749999998</v>
      </c>
      <c r="C44" s="500">
        <v>3034158.551</v>
      </c>
      <c r="D44" s="604">
        <v>1.5205409745246973E-2</v>
      </c>
    </row>
    <row r="45" spans="1:11" ht="20.100000000000001" customHeight="1">
      <c r="A45" s="153" t="s">
        <v>808</v>
      </c>
      <c r="B45" s="501">
        <v>7624758.4520000005</v>
      </c>
      <c r="C45" s="501">
        <v>7579129.1399999997</v>
      </c>
      <c r="D45" s="611">
        <v>6.0203898306977329E-3</v>
      </c>
    </row>
    <row r="46" spans="1:11">
      <c r="A46" s="367" t="s">
        <v>809</v>
      </c>
      <c r="B46" s="500">
        <v>6058212.4160000002</v>
      </c>
      <c r="C46" s="459">
        <v>5936719.0650000004</v>
      </c>
      <c r="D46" s="604">
        <v>2.0464729705042862E-2</v>
      </c>
    </row>
    <row r="47" spans="1:11">
      <c r="A47" s="364" t="s">
        <v>810</v>
      </c>
      <c r="B47" s="500">
        <v>1853562.9720000001</v>
      </c>
      <c r="C47" s="459">
        <v>2140422.3450000002</v>
      </c>
      <c r="D47" s="604">
        <v>-0.13401998613502614</v>
      </c>
    </row>
    <row r="48" spans="1:11">
      <c r="A48" s="154" t="s">
        <v>811</v>
      </c>
      <c r="B48" s="500">
        <v>4204649.4440000001</v>
      </c>
      <c r="C48" s="500">
        <v>3796296.72</v>
      </c>
      <c r="D48" s="604">
        <v>0.10756607138969894</v>
      </c>
    </row>
    <row r="49" spans="1:5">
      <c r="A49" s="367" t="s">
        <v>812</v>
      </c>
      <c r="B49" s="500">
        <v>0</v>
      </c>
      <c r="C49" s="500">
        <v>0</v>
      </c>
      <c r="D49" s="489"/>
    </row>
    <row r="50" spans="1:5">
      <c r="A50" s="364" t="s">
        <v>813</v>
      </c>
      <c r="B50" s="500">
        <v>0</v>
      </c>
      <c r="C50" s="500">
        <v>0</v>
      </c>
      <c r="D50" s="489"/>
    </row>
    <row r="51" spans="1:5">
      <c r="A51" s="154" t="s">
        <v>814</v>
      </c>
      <c r="B51" s="500">
        <v>0</v>
      </c>
      <c r="C51" s="500">
        <v>0</v>
      </c>
      <c r="D51" s="489"/>
    </row>
    <row r="52" spans="1:5" ht="20.100000000000001" customHeight="1">
      <c r="A52" s="153" t="s">
        <v>815</v>
      </c>
      <c r="B52" s="501">
        <v>4204649.4440000001</v>
      </c>
      <c r="C52" s="501">
        <v>3796296.72</v>
      </c>
      <c r="D52" s="611">
        <v>0.10756607138969894</v>
      </c>
    </row>
    <row r="53" spans="1:5" s="322" customFormat="1" ht="12" customHeight="1">
      <c r="A53" s="368"/>
      <c r="B53" s="520">
        <v>0</v>
      </c>
      <c r="C53" s="520">
        <v>0</v>
      </c>
      <c r="D53" s="525"/>
      <c r="E53" s="99"/>
    </row>
    <row r="54" spans="1:5" ht="20.100000000000001" customHeight="1">
      <c r="A54" s="153" t="s">
        <v>816</v>
      </c>
      <c r="B54" s="501">
        <v>3420109.0080000004</v>
      </c>
      <c r="C54" s="501">
        <v>3782832.4199999995</v>
      </c>
      <c r="D54" s="503"/>
    </row>
    <row r="55" spans="1:5">
      <c r="A55" s="101" t="s">
        <v>817</v>
      </c>
      <c r="B55" s="500">
        <v>3420109.0080000004</v>
      </c>
      <c r="C55" s="459">
        <v>3782832</v>
      </c>
      <c r="D55" s="489"/>
    </row>
    <row r="56" spans="1:5" ht="20.100000000000001" customHeight="1">
      <c r="A56" s="1082" t="s">
        <v>818</v>
      </c>
      <c r="B56" s="1083">
        <v>0</v>
      </c>
      <c r="C56" s="1083">
        <v>0</v>
      </c>
      <c r="D56" s="1084"/>
    </row>
    <row r="57" spans="1:5">
      <c r="A57" s="155" t="s">
        <v>819</v>
      </c>
      <c r="B57" s="500">
        <v>4063214.1490000002</v>
      </c>
      <c r="C57" s="459">
        <v>3855625.7289999998</v>
      </c>
      <c r="D57" s="604">
        <v>5.3840397017435815E-2</v>
      </c>
    </row>
    <row r="58" spans="1:5">
      <c r="A58" s="154" t="s">
        <v>820</v>
      </c>
      <c r="B58" s="500">
        <v>-822032.56099999999</v>
      </c>
      <c r="C58" s="459">
        <v>-553637.24100000004</v>
      </c>
      <c r="D58" s="604">
        <v>0.48478552402872033</v>
      </c>
    </row>
    <row r="59" spans="1:5">
      <c r="A59" s="154" t="s">
        <v>821</v>
      </c>
      <c r="B59" s="500">
        <v>-3603730</v>
      </c>
      <c r="C59" s="459">
        <v>-3603730</v>
      </c>
      <c r="D59" s="604">
        <v>0</v>
      </c>
    </row>
    <row r="60" spans="1:5" ht="20.100000000000001" customHeight="1">
      <c r="A60" s="153" t="s">
        <v>822</v>
      </c>
      <c r="B60" s="501">
        <v>-362548.41199999955</v>
      </c>
      <c r="C60" s="501">
        <v>-301741.5120000001</v>
      </c>
      <c r="D60" s="611">
        <v>0.20151983595813433</v>
      </c>
    </row>
    <row r="61" spans="1:5" ht="20.100000000000001" customHeight="1">
      <c r="A61" s="1082" t="s">
        <v>823</v>
      </c>
      <c r="B61" s="1083">
        <v>0</v>
      </c>
      <c r="C61" s="1083">
        <v>0</v>
      </c>
      <c r="D61" s="1084"/>
    </row>
    <row r="62" spans="1:5" s="221" customFormat="1" ht="25.5" customHeight="1">
      <c r="A62" s="220" t="s">
        <v>824</v>
      </c>
      <c r="B62" s="556">
        <v>3420109.0079999999</v>
      </c>
      <c r="C62" s="556">
        <v>3782832.42</v>
      </c>
      <c r="D62" s="653">
        <v>-9.5886624624091185E-2</v>
      </c>
      <c r="E62" s="99"/>
    </row>
    <row r="63" spans="1:5" ht="25.35" customHeight="1">
      <c r="A63" s="156" t="s">
        <v>825</v>
      </c>
      <c r="B63" s="504">
        <v>-3420109.0079999999</v>
      </c>
      <c r="C63" s="505">
        <v>-3782832.42</v>
      </c>
      <c r="D63" s="612">
        <v>-9.5886725005915011E-2</v>
      </c>
    </row>
    <row r="64" spans="1:5">
      <c r="A64" s="106" t="s">
        <v>826</v>
      </c>
      <c r="B64" s="223"/>
      <c r="C64" s="223"/>
      <c r="D64" s="223"/>
    </row>
    <row r="65" spans="1:1">
      <c r="A65" s="106" t="s">
        <v>827</v>
      </c>
    </row>
    <row r="66" spans="1:1">
      <c r="A66" s="106" t="s">
        <v>828</v>
      </c>
    </row>
  </sheetData>
  <mergeCells count="8">
    <mergeCell ref="A37:D37"/>
    <mergeCell ref="A40:D40"/>
    <mergeCell ref="A56:D56"/>
    <mergeCell ref="A61:D61"/>
    <mergeCell ref="A1:D1"/>
    <mergeCell ref="C3:D3"/>
    <mergeCell ref="B5:C5"/>
    <mergeCell ref="A8:D8"/>
  </mergeCells>
  <dataValidations count="4">
    <dataValidation type="whole" operator="notEqual" allowBlank="1" showInputMessage="1" showErrorMessage="1" sqref="B41:C53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63:C63 B54:C55 B38:C39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B36 C20:C28 C30:C3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3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showGridLines="0" workbookViewId="0"/>
  </sheetViews>
  <sheetFormatPr baseColWidth="10" defaultColWidth="9.140625" defaultRowHeight="12.75"/>
  <cols>
    <col min="1" max="1" width="87.5703125" style="159" customWidth="1" collapsed="1"/>
    <col min="2" max="16384" width="9.140625" style="159" collapsed="1"/>
  </cols>
  <sheetData>
    <row r="1" spans="1:6" ht="37.5" customHeight="1">
      <c r="A1" s="158" t="s">
        <v>853</v>
      </c>
    </row>
    <row r="2" spans="1:6">
      <c r="A2" s="160"/>
    </row>
    <row r="3" spans="1:6" s="99" customFormat="1">
      <c r="A3" s="99" t="s">
        <v>279</v>
      </c>
      <c r="B3" s="931" t="s">
        <v>280</v>
      </c>
      <c r="C3" s="974">
        <f>+'Fiche de renseignement R1'!$V$10</f>
        <v>45657</v>
      </c>
      <c r="D3" s="1089"/>
    </row>
    <row r="4" spans="1:6" s="99" customFormat="1">
      <c r="A4" s="449" t="str">
        <f>'Fiche de renseignement R1'!$J$4</f>
        <v>SOCIETE NOUVELLE DES SALINS DU SINE SALOUM</v>
      </c>
      <c r="B4" s="931"/>
      <c r="C4" s="1089"/>
      <c r="D4" s="1089"/>
    </row>
    <row r="5" spans="1:6" s="99" customFormat="1">
      <c r="A5" s="99" t="s">
        <v>282</v>
      </c>
      <c r="B5" s="931" t="s">
        <v>281</v>
      </c>
      <c r="C5" s="770">
        <f>+'Fiche de renseignement R1'!$AH$10</f>
        <v>12</v>
      </c>
      <c r="D5" s="151"/>
    </row>
    <row r="6" spans="1:6" s="99" customFormat="1">
      <c r="A6" s="598" t="str">
        <f>+'Fiche de renseignement R1'!$J$10</f>
        <v>000018699</v>
      </c>
      <c r="B6" s="931"/>
      <c r="C6" s="1090"/>
      <c r="D6" s="139"/>
      <c r="E6" s="161"/>
      <c r="F6" s="161"/>
    </row>
    <row r="7" spans="1:6">
      <c r="A7" s="99"/>
    </row>
    <row r="8" spans="1:6">
      <c r="A8" s="162" t="s">
        <v>854</v>
      </c>
    </row>
    <row r="9" spans="1:6">
      <c r="A9" s="163" t="s">
        <v>855</v>
      </c>
    </row>
    <row r="10" spans="1:6">
      <c r="A10" s="164" t="s">
        <v>856</v>
      </c>
    </row>
    <row r="11" spans="1:6" ht="51" customHeight="1">
      <c r="A11" s="165" t="s">
        <v>857</v>
      </c>
    </row>
    <row r="12" spans="1:6" ht="38.25" customHeight="1">
      <c r="A12" s="165" t="s">
        <v>858</v>
      </c>
    </row>
    <row r="13" spans="1:6" ht="51" customHeight="1">
      <c r="A13" s="165" t="s">
        <v>859</v>
      </c>
    </row>
    <row r="14" spans="1:6" ht="38.25" customHeight="1">
      <c r="A14" s="165" t="s">
        <v>860</v>
      </c>
    </row>
    <row r="15" spans="1:6" ht="38.25" customHeight="1">
      <c r="A15" s="165" t="s">
        <v>861</v>
      </c>
    </row>
    <row r="16" spans="1:6">
      <c r="A16" s="164" t="s">
        <v>862</v>
      </c>
    </row>
    <row r="17" spans="1:1" ht="76.5" customHeight="1">
      <c r="A17" s="165" t="s">
        <v>863</v>
      </c>
    </row>
    <row r="18" spans="1:1" ht="63.75" customHeight="1">
      <c r="A18" s="165" t="s">
        <v>864</v>
      </c>
    </row>
    <row r="19" spans="1:1" ht="76.5" customHeight="1">
      <c r="A19" s="165" t="s">
        <v>865</v>
      </c>
    </row>
    <row r="20" spans="1:1" ht="25.5" customHeight="1">
      <c r="A20" s="165" t="s">
        <v>866</v>
      </c>
    </row>
    <row r="21" spans="1:1" ht="25.5" customHeight="1">
      <c r="A21" s="165" t="s">
        <v>867</v>
      </c>
    </row>
    <row r="22" spans="1:1">
      <c r="A22" s="164" t="s">
        <v>868</v>
      </c>
    </row>
    <row r="23" spans="1:1" ht="38.25" customHeight="1">
      <c r="A23" s="165" t="s">
        <v>869</v>
      </c>
    </row>
    <row r="24" spans="1:1" ht="51" customHeight="1">
      <c r="A24" s="165" t="s">
        <v>870</v>
      </c>
    </row>
    <row r="25" spans="1:1" ht="25.5" customHeight="1">
      <c r="A25" s="165" t="s">
        <v>871</v>
      </c>
    </row>
  </sheetData>
  <mergeCells count="4">
    <mergeCell ref="B3:B4"/>
    <mergeCell ref="C3:D4"/>
    <mergeCell ref="B5:B6"/>
    <mergeCell ref="C5:C6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2"/>
  <sheetViews>
    <sheetView showGridLines="0" topLeftCell="A11" workbookViewId="0">
      <selection activeCell="F26" sqref="F26"/>
    </sheetView>
  </sheetViews>
  <sheetFormatPr baseColWidth="10" defaultColWidth="10.28515625" defaultRowHeight="11.25"/>
  <cols>
    <col min="1" max="1" width="30.28515625" style="593" customWidth="1" collapsed="1"/>
    <col min="2" max="7" width="2.42578125" style="593" customWidth="1" collapsed="1"/>
    <col min="8" max="8" width="26.5703125" style="593" bestFit="1" customWidth="1" collapsed="1"/>
    <col min="9" max="14" width="2.42578125" style="593" customWidth="1" collapsed="1"/>
    <col min="15" max="16384" width="10.28515625" style="593" collapsed="1"/>
  </cols>
  <sheetData>
    <row r="1" spans="1:14" ht="18.75" customHeight="1">
      <c r="A1" s="1091" t="s">
        <v>872</v>
      </c>
      <c r="B1" s="1092"/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</row>
    <row r="5" spans="1:14" ht="12.75">
      <c r="A5" s="166"/>
      <c r="B5" s="167"/>
      <c r="C5" s="167"/>
      <c r="D5" s="167"/>
      <c r="E5" s="167"/>
      <c r="F5" s="167"/>
      <c r="G5" s="168"/>
      <c r="H5" s="166"/>
      <c r="I5" s="167"/>
      <c r="J5" s="167"/>
      <c r="K5" s="167"/>
      <c r="L5" s="167"/>
      <c r="M5" s="169"/>
      <c r="N5" s="168"/>
    </row>
    <row r="6" spans="1:14" ht="15" customHeight="1">
      <c r="A6" s="1093" t="s">
        <v>873</v>
      </c>
      <c r="B6" s="1094"/>
      <c r="C6" s="1094"/>
      <c r="D6" s="1094"/>
      <c r="E6" s="1094"/>
      <c r="F6" s="1094"/>
      <c r="G6" s="1095"/>
      <c r="H6" s="1093" t="s">
        <v>874</v>
      </c>
      <c r="I6" s="1094"/>
      <c r="J6" s="1094"/>
      <c r="K6" s="1094"/>
      <c r="L6" s="1094"/>
      <c r="M6" s="1094"/>
      <c r="N6" s="1095"/>
    </row>
    <row r="7" spans="1:14" ht="12.75">
      <c r="A7" s="170"/>
      <c r="G7" s="171"/>
      <c r="H7" s="170"/>
      <c r="N7" s="171"/>
    </row>
    <row r="8" spans="1:14" ht="12.75">
      <c r="A8" s="172" t="s">
        <v>875</v>
      </c>
      <c r="C8" s="173">
        <v>0</v>
      </c>
      <c r="D8" s="173"/>
      <c r="F8" s="173">
        <v>0</v>
      </c>
      <c r="G8" s="171"/>
      <c r="H8" s="172" t="s">
        <v>876</v>
      </c>
      <c r="K8" s="173"/>
      <c r="N8" s="171"/>
    </row>
    <row r="9" spans="1:14" ht="12.75">
      <c r="A9" s="172"/>
      <c r="G9" s="171"/>
      <c r="H9" s="172"/>
      <c r="N9" s="171"/>
    </row>
    <row r="10" spans="1:14" ht="12.75">
      <c r="A10" s="172" t="s">
        <v>877</v>
      </c>
      <c r="C10" s="173">
        <v>0</v>
      </c>
      <c r="D10" s="173"/>
      <c r="F10" s="173">
        <v>1</v>
      </c>
      <c r="G10" s="171"/>
      <c r="H10" s="172" t="s">
        <v>878</v>
      </c>
      <c r="J10" s="173">
        <v>2</v>
      </c>
      <c r="K10" s="173"/>
      <c r="M10" s="173">
        <v>1</v>
      </c>
      <c r="N10" s="171"/>
    </row>
    <row r="11" spans="1:14" ht="12.75">
      <c r="A11" s="172"/>
      <c r="G11" s="171"/>
      <c r="H11" s="172"/>
      <c r="N11" s="171"/>
    </row>
    <row r="12" spans="1:14" ht="12.75">
      <c r="A12" s="172" t="s">
        <v>879</v>
      </c>
      <c r="C12" s="173">
        <v>0</v>
      </c>
      <c r="D12" s="173"/>
      <c r="F12" s="173">
        <v>2</v>
      </c>
      <c r="G12" s="171"/>
      <c r="H12" s="172" t="s">
        <v>880</v>
      </c>
      <c r="J12" s="173">
        <v>2</v>
      </c>
      <c r="K12" s="173"/>
      <c r="M12" s="173">
        <v>3</v>
      </c>
      <c r="N12" s="171"/>
    </row>
    <row r="13" spans="1:14" ht="12.75">
      <c r="A13" s="172"/>
      <c r="G13" s="171"/>
      <c r="H13" s="172"/>
      <c r="N13" s="171"/>
    </row>
    <row r="14" spans="1:14" ht="12.75">
      <c r="A14" s="172" t="s">
        <v>881</v>
      </c>
      <c r="C14" s="173">
        <v>0</v>
      </c>
      <c r="D14" s="173"/>
      <c r="F14" s="173">
        <v>3</v>
      </c>
      <c r="G14" s="171"/>
      <c r="H14" s="172" t="s">
        <v>882</v>
      </c>
      <c r="J14" s="173">
        <v>3</v>
      </c>
      <c r="K14" s="173"/>
      <c r="M14" s="173">
        <v>9</v>
      </c>
      <c r="N14" s="171"/>
    </row>
    <row r="15" spans="1:14" ht="12.75">
      <c r="A15" s="172"/>
      <c r="G15" s="171"/>
      <c r="H15" s="172"/>
      <c r="N15" s="171"/>
    </row>
    <row r="16" spans="1:14" ht="12.75">
      <c r="A16" s="172" t="s">
        <v>883</v>
      </c>
      <c r="C16" s="173">
        <v>0</v>
      </c>
      <c r="D16" s="173"/>
      <c r="F16" s="173">
        <v>4</v>
      </c>
      <c r="G16" s="171"/>
      <c r="H16" s="172" t="s">
        <v>884</v>
      </c>
      <c r="J16" s="173">
        <v>4</v>
      </c>
      <c r="K16" s="173"/>
      <c r="M16" s="173">
        <v>0</v>
      </c>
      <c r="N16" s="171"/>
    </row>
    <row r="17" spans="1:14" ht="12.75">
      <c r="A17" s="172"/>
      <c r="G17" s="171"/>
      <c r="H17" s="172"/>
      <c r="N17" s="171"/>
    </row>
    <row r="18" spans="1:14" ht="12.75">
      <c r="A18" s="172" t="s">
        <v>885</v>
      </c>
      <c r="C18" s="173">
        <v>0</v>
      </c>
      <c r="D18" s="173"/>
      <c r="F18" s="173">
        <v>5</v>
      </c>
      <c r="G18" s="171"/>
      <c r="H18" s="172" t="s">
        <v>886</v>
      </c>
      <c r="J18" s="173">
        <v>4</v>
      </c>
      <c r="K18" s="173"/>
      <c r="M18" s="173">
        <v>1</v>
      </c>
      <c r="N18" s="171"/>
    </row>
    <row r="19" spans="1:14" ht="12.75">
      <c r="A19" s="172"/>
      <c r="G19" s="171"/>
      <c r="H19" s="172"/>
      <c r="N19" s="171"/>
    </row>
    <row r="20" spans="1:14" ht="12.75">
      <c r="A20" s="172" t="s">
        <v>887</v>
      </c>
      <c r="C20" s="173">
        <v>0</v>
      </c>
      <c r="D20" s="173"/>
      <c r="F20" s="173">
        <v>6</v>
      </c>
      <c r="G20" s="171"/>
      <c r="H20" s="172" t="s">
        <v>888</v>
      </c>
      <c r="J20" s="173">
        <v>4</v>
      </c>
      <c r="K20" s="173"/>
      <c r="M20" s="173">
        <v>9</v>
      </c>
      <c r="N20" s="171"/>
    </row>
    <row r="21" spans="1:14" ht="12.75">
      <c r="A21" s="172"/>
      <c r="G21" s="171"/>
      <c r="H21" s="172"/>
      <c r="N21" s="171"/>
    </row>
    <row r="22" spans="1:14" ht="12.75">
      <c r="A22" s="172" t="s">
        <v>889</v>
      </c>
      <c r="C22" s="173">
        <v>0</v>
      </c>
      <c r="D22" s="173"/>
      <c r="F22" s="173">
        <v>7</v>
      </c>
      <c r="G22" s="171"/>
      <c r="H22" s="172" t="s">
        <v>890</v>
      </c>
      <c r="J22" s="173">
        <v>5</v>
      </c>
      <c r="K22" s="173"/>
      <c r="M22" s="173">
        <v>0</v>
      </c>
      <c r="N22" s="171"/>
    </row>
    <row r="23" spans="1:14" ht="12.75">
      <c r="A23" s="172"/>
      <c r="C23" s="173"/>
      <c r="D23" s="173"/>
      <c r="F23" s="173"/>
      <c r="G23" s="171"/>
      <c r="H23" s="172"/>
      <c r="J23" s="173"/>
      <c r="K23" s="173"/>
      <c r="M23" s="173"/>
      <c r="N23" s="171"/>
    </row>
    <row r="24" spans="1:14" ht="12.75">
      <c r="A24" s="172" t="s">
        <v>891</v>
      </c>
      <c r="C24" s="173">
        <v>0</v>
      </c>
      <c r="D24" s="173"/>
      <c r="F24" s="173">
        <v>8</v>
      </c>
      <c r="G24" s="171"/>
      <c r="H24" s="172" t="s">
        <v>892</v>
      </c>
      <c r="J24" s="173">
        <v>9</v>
      </c>
      <c r="K24" s="173"/>
      <c r="M24" s="173">
        <v>9</v>
      </c>
      <c r="N24" s="171"/>
    </row>
    <row r="25" spans="1:14" ht="12.75">
      <c r="A25" s="172"/>
      <c r="G25" s="171"/>
      <c r="H25" s="172"/>
      <c r="N25" s="171"/>
    </row>
    <row r="26" spans="1:14" ht="12.75">
      <c r="A26" s="172" t="s">
        <v>893</v>
      </c>
      <c r="C26" s="173">
        <v>0</v>
      </c>
      <c r="D26" s="173"/>
      <c r="F26" s="173">
        <v>9</v>
      </c>
      <c r="G26" s="171"/>
      <c r="H26" s="172"/>
      <c r="J26" s="173"/>
      <c r="K26" s="173"/>
      <c r="M26" s="173"/>
      <c r="N26" s="171"/>
    </row>
    <row r="27" spans="1:14" ht="12.75">
      <c r="A27" s="172"/>
      <c r="C27" s="173"/>
      <c r="D27" s="173"/>
      <c r="F27" s="173"/>
      <c r="G27" s="171"/>
      <c r="H27" s="172"/>
      <c r="J27" s="173"/>
      <c r="K27" s="173"/>
      <c r="M27" s="173"/>
      <c r="N27" s="171"/>
    </row>
    <row r="28" spans="1:14" ht="12.75">
      <c r="A28" s="174" t="s">
        <v>894</v>
      </c>
      <c r="C28" s="173"/>
      <c r="D28" s="173"/>
      <c r="F28" s="173"/>
      <c r="G28" s="171"/>
      <c r="H28" s="172"/>
      <c r="J28" s="173"/>
      <c r="K28" s="173"/>
      <c r="M28" s="173"/>
      <c r="N28" s="171"/>
    </row>
    <row r="29" spans="1:14" ht="12.75">
      <c r="A29" s="172"/>
      <c r="C29" s="173"/>
      <c r="D29" s="173"/>
      <c r="F29" s="173"/>
      <c r="G29" s="171"/>
      <c r="H29" s="172"/>
      <c r="N29" s="171"/>
    </row>
    <row r="30" spans="1:14" ht="12.75">
      <c r="A30" s="172" t="s">
        <v>895</v>
      </c>
      <c r="C30" s="173"/>
      <c r="D30" s="173"/>
      <c r="F30" s="173">
        <v>1</v>
      </c>
      <c r="G30" s="171"/>
      <c r="H30" s="172"/>
      <c r="J30" s="173"/>
      <c r="K30" s="173"/>
      <c r="M30" s="173"/>
      <c r="N30" s="171"/>
    </row>
    <row r="31" spans="1:14" ht="12.75">
      <c r="A31" s="172"/>
      <c r="C31" s="173"/>
      <c r="D31" s="173"/>
      <c r="G31" s="171"/>
      <c r="H31" s="172"/>
      <c r="N31" s="171"/>
    </row>
    <row r="32" spans="1:14" ht="12.75">
      <c r="A32" s="172" t="s">
        <v>896</v>
      </c>
      <c r="C32" s="173"/>
      <c r="D32" s="173"/>
      <c r="F32" s="173">
        <v>2</v>
      </c>
      <c r="G32" s="171"/>
      <c r="H32" s="172"/>
      <c r="J32" s="173"/>
      <c r="K32" s="173"/>
      <c r="M32" s="173"/>
      <c r="N32" s="171"/>
    </row>
    <row r="33" spans="1:38" ht="12.75">
      <c r="A33" s="172"/>
      <c r="C33" s="173"/>
      <c r="D33" s="173"/>
      <c r="G33" s="171"/>
      <c r="H33" s="170"/>
      <c r="N33" s="171"/>
    </row>
    <row r="34" spans="1:38" ht="12.75">
      <c r="A34" s="172" t="s">
        <v>897</v>
      </c>
      <c r="C34" s="173"/>
      <c r="D34" s="173"/>
      <c r="F34" s="173">
        <v>3</v>
      </c>
      <c r="G34" s="171"/>
      <c r="H34" s="170"/>
      <c r="N34" s="171"/>
    </row>
    <row r="35" spans="1:38" ht="18.75" customHeight="1">
      <c r="A35" s="170"/>
      <c r="G35" s="171"/>
      <c r="H35" s="170"/>
      <c r="I35" s="175"/>
      <c r="J35" s="175"/>
      <c r="K35" s="175"/>
      <c r="L35" s="175"/>
      <c r="M35" s="175"/>
      <c r="N35" s="176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</row>
    <row r="36" spans="1:38" ht="12.75">
      <c r="A36" s="170" t="s">
        <v>898</v>
      </c>
      <c r="F36" s="173">
        <v>4</v>
      </c>
      <c r="G36" s="171"/>
      <c r="H36" s="170"/>
      <c r="N36" s="171"/>
    </row>
    <row r="37" spans="1:38" ht="12.75">
      <c r="A37" s="177"/>
      <c r="B37" s="178"/>
      <c r="C37" s="178"/>
      <c r="D37" s="178"/>
      <c r="E37" s="178"/>
      <c r="F37" s="178"/>
      <c r="G37" s="179"/>
      <c r="H37" s="177"/>
      <c r="I37" s="178"/>
      <c r="J37" s="178"/>
      <c r="K37" s="178"/>
      <c r="L37" s="178"/>
      <c r="M37" s="178"/>
      <c r="N37" s="179"/>
    </row>
    <row r="39" spans="1:38" s="381" customFormat="1" ht="15" customHeight="1">
      <c r="A39" s="380" t="s">
        <v>1124</v>
      </c>
    </row>
    <row r="40" spans="1:38" s="381" customFormat="1" ht="15" customHeight="1">
      <c r="A40" s="380" t="s">
        <v>1125</v>
      </c>
      <c r="B40" s="382"/>
      <c r="C40" s="382"/>
      <c r="D40" s="382"/>
    </row>
    <row r="41" spans="1:38" s="381" customFormat="1" ht="12.75">
      <c r="A41" s="383" t="s">
        <v>899</v>
      </c>
    </row>
    <row r="42" spans="1:38" s="381" customFormat="1" ht="12.75">
      <c r="A42" s="383" t="s">
        <v>900</v>
      </c>
      <c r="G42" s="384"/>
    </row>
  </sheetData>
  <mergeCells count="3">
    <mergeCell ref="A1:N1"/>
    <mergeCell ref="A6:G6"/>
    <mergeCell ref="H6:N6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944"/>
  <sheetViews>
    <sheetView showGridLines="0" workbookViewId="0">
      <selection activeCell="A26" sqref="A26"/>
    </sheetView>
  </sheetViews>
  <sheetFormatPr baseColWidth="10" defaultColWidth="12.42578125" defaultRowHeight="11.25" customHeight="1"/>
  <cols>
    <col min="1" max="1" width="59.28515625" style="211" customWidth="1" collapsed="1"/>
    <col min="2" max="2" width="7.28515625" style="211" customWidth="1" collapsed="1"/>
    <col min="3" max="3" width="59.28515625" style="211" customWidth="1" collapsed="1"/>
    <col min="4" max="22" width="10.5703125" style="211" customWidth="1" collapsed="1"/>
    <col min="23" max="33" width="10.28515625" style="211" customWidth="1" collapsed="1"/>
    <col min="34" max="16384" width="12.42578125" style="211" collapsed="1"/>
  </cols>
  <sheetData>
    <row r="1" spans="1:33" ht="18.75" customHeight="1">
      <c r="A1" s="1096" t="s">
        <v>933</v>
      </c>
      <c r="B1" s="1096"/>
      <c r="C1" s="1096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3" ht="12.75" customHeight="1">
      <c r="A2" s="288"/>
      <c r="B2" s="288"/>
      <c r="C2" s="288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3" ht="12.75" customHeight="1">
      <c r="A3" s="289"/>
      <c r="B3" s="289"/>
      <c r="C3" s="289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</row>
    <row r="4" spans="1:33" ht="12.75" customHeight="1">
      <c r="A4" s="290" t="s">
        <v>934</v>
      </c>
      <c r="B4" s="1097"/>
      <c r="C4" s="294" t="s">
        <v>935</v>
      </c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3" ht="12.75" customHeight="1">
      <c r="A5" s="291" t="s">
        <v>936</v>
      </c>
      <c r="B5" s="1098"/>
      <c r="C5" s="295" t="s">
        <v>937</v>
      </c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</row>
    <row r="6" spans="1:33" ht="12.75" customHeight="1">
      <c r="A6" s="291" t="s">
        <v>938</v>
      </c>
      <c r="B6" s="1098"/>
      <c r="C6" s="295" t="s">
        <v>939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</row>
    <row r="7" spans="1:33" ht="12.75" customHeight="1">
      <c r="A7" s="291" t="s">
        <v>940</v>
      </c>
      <c r="B7" s="1098"/>
      <c r="C7" s="295" t="s">
        <v>941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</row>
    <row r="8" spans="1:33" ht="12.75" customHeight="1">
      <c r="A8" s="291" t="s">
        <v>942</v>
      </c>
      <c r="B8" s="1098"/>
      <c r="C8" s="296" t="s">
        <v>943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</row>
    <row r="9" spans="1:33" ht="12.75" customHeight="1">
      <c r="A9" s="291" t="s">
        <v>944</v>
      </c>
      <c r="B9" s="1098"/>
      <c r="C9" s="297" t="s">
        <v>945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</row>
    <row r="10" spans="1:33" ht="12.75" customHeight="1">
      <c r="A10" s="291" t="s">
        <v>946</v>
      </c>
      <c r="B10" s="1098"/>
      <c r="C10" s="295" t="s">
        <v>947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</row>
    <row r="11" spans="1:33" ht="12.75" customHeight="1">
      <c r="A11" s="292" t="s">
        <v>948</v>
      </c>
      <c r="B11" s="1098"/>
      <c r="C11" s="295" t="s">
        <v>949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</row>
    <row r="12" spans="1:33" ht="12.75" customHeight="1">
      <c r="A12" s="291" t="s">
        <v>950</v>
      </c>
      <c r="B12" s="1098"/>
      <c r="C12" s="295" t="s">
        <v>951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</row>
    <row r="13" spans="1:33" ht="12.75" customHeight="1">
      <c r="A13" s="291" t="s">
        <v>952</v>
      </c>
      <c r="B13" s="1098"/>
      <c r="C13" s="296" t="s">
        <v>953</v>
      </c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</row>
    <row r="14" spans="1:33" ht="12.75" customHeight="1">
      <c r="A14" s="291" t="s">
        <v>954</v>
      </c>
      <c r="B14" s="1098"/>
      <c r="C14" s="295" t="s">
        <v>955</v>
      </c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</row>
    <row r="15" spans="1:33" ht="12.75" customHeight="1">
      <c r="A15" s="291" t="s">
        <v>956</v>
      </c>
      <c r="B15" s="1098"/>
      <c r="C15" s="295" t="s">
        <v>957</v>
      </c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</row>
    <row r="16" spans="1:33" ht="12.75" customHeight="1">
      <c r="A16" s="291" t="s">
        <v>958</v>
      </c>
      <c r="B16" s="1098"/>
      <c r="C16" s="296" t="s">
        <v>959</v>
      </c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</row>
    <row r="17" spans="1:33" ht="12.75" customHeight="1">
      <c r="A17" s="291" t="s">
        <v>960</v>
      </c>
      <c r="B17" s="1098"/>
      <c r="C17" s="295" t="s">
        <v>961</v>
      </c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</row>
    <row r="18" spans="1:33" ht="12.75" customHeight="1">
      <c r="A18" s="291" t="s">
        <v>962</v>
      </c>
      <c r="B18" s="1098"/>
      <c r="C18" s="295" t="s">
        <v>963</v>
      </c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</row>
    <row r="19" spans="1:33" ht="12.75" customHeight="1">
      <c r="A19" s="291" t="s">
        <v>964</v>
      </c>
      <c r="B19" s="1098"/>
      <c r="C19" s="295" t="s">
        <v>965</v>
      </c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</row>
    <row r="20" spans="1:33" ht="12.75" customHeight="1">
      <c r="A20" s="291" t="s">
        <v>966</v>
      </c>
      <c r="B20" s="1098"/>
      <c r="C20" s="296" t="s">
        <v>967</v>
      </c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</row>
    <row r="21" spans="1:33" ht="12.75" customHeight="1">
      <c r="A21" s="291" t="s">
        <v>968</v>
      </c>
      <c r="B21" s="1098"/>
      <c r="C21" s="296" t="s">
        <v>969</v>
      </c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</row>
    <row r="22" spans="1:33" ht="12.75" customHeight="1">
      <c r="A22" s="291" t="s">
        <v>970</v>
      </c>
      <c r="B22" s="1098"/>
      <c r="C22" s="295" t="s">
        <v>971</v>
      </c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</row>
    <row r="23" spans="1:33" ht="12.75" customHeight="1">
      <c r="A23" s="292" t="s">
        <v>972</v>
      </c>
      <c r="B23" s="1098"/>
      <c r="C23" s="295" t="s">
        <v>973</v>
      </c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</row>
    <row r="24" spans="1:33" ht="12.75" customHeight="1">
      <c r="A24" s="291" t="s">
        <v>974</v>
      </c>
      <c r="B24" s="1098"/>
      <c r="C24" s="296" t="s">
        <v>975</v>
      </c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</row>
    <row r="25" spans="1:33" ht="12.75" customHeight="1">
      <c r="A25" s="291" t="s">
        <v>976</v>
      </c>
      <c r="B25" s="1098"/>
      <c r="C25" s="295" t="s">
        <v>977</v>
      </c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</row>
    <row r="26" spans="1:33" ht="12.75" customHeight="1">
      <c r="A26" s="291" t="s">
        <v>978</v>
      </c>
      <c r="B26" s="1098"/>
      <c r="C26" s="295" t="s">
        <v>979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</row>
    <row r="27" spans="1:33" ht="12.75" customHeight="1">
      <c r="A27" s="291" t="s">
        <v>980</v>
      </c>
      <c r="B27" s="1098"/>
      <c r="C27" s="297" t="s">
        <v>981</v>
      </c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</row>
    <row r="28" spans="1:33" ht="12.75" customHeight="1">
      <c r="A28" s="291" t="s">
        <v>982</v>
      </c>
      <c r="B28" s="1098"/>
      <c r="C28" s="295" t="s">
        <v>983</v>
      </c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</row>
    <row r="29" spans="1:33" ht="12.75" customHeight="1">
      <c r="A29" s="292" t="s">
        <v>984</v>
      </c>
      <c r="B29" s="1098"/>
      <c r="C29" s="295" t="s">
        <v>985</v>
      </c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</row>
    <row r="30" spans="1:33" ht="12.75" customHeight="1">
      <c r="A30" s="291" t="s">
        <v>986</v>
      </c>
      <c r="B30" s="1098"/>
      <c r="C30" s="296" t="s">
        <v>987</v>
      </c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</row>
    <row r="31" spans="1:33" ht="12.75" customHeight="1">
      <c r="A31" s="291" t="s">
        <v>988</v>
      </c>
      <c r="B31" s="1098"/>
      <c r="C31" s="295" t="s">
        <v>989</v>
      </c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</row>
    <row r="32" spans="1:33" ht="12.75" customHeight="1">
      <c r="A32" s="292" t="s">
        <v>990</v>
      </c>
      <c r="B32" s="1098"/>
      <c r="C32" s="295" t="s">
        <v>991</v>
      </c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</row>
    <row r="33" spans="1:33" ht="12.75" customHeight="1">
      <c r="A33" s="291" t="s">
        <v>992</v>
      </c>
      <c r="B33" s="1098"/>
      <c r="C33" s="295" t="s">
        <v>993</v>
      </c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</row>
    <row r="34" spans="1:33" ht="12.75" customHeight="1">
      <c r="A34" s="291" t="s">
        <v>994</v>
      </c>
      <c r="B34" s="1098"/>
      <c r="C34" s="297" t="s">
        <v>995</v>
      </c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</row>
    <row r="35" spans="1:33" ht="12.75" customHeight="1">
      <c r="A35" s="292" t="s">
        <v>996</v>
      </c>
      <c r="B35" s="1098"/>
      <c r="C35" s="295" t="s">
        <v>997</v>
      </c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</row>
    <row r="36" spans="1:33" ht="12.75" customHeight="1">
      <c r="A36" s="291" t="s">
        <v>998</v>
      </c>
      <c r="B36" s="1098"/>
      <c r="C36" s="295" t="s">
        <v>999</v>
      </c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</row>
    <row r="37" spans="1:33" ht="12.75" customHeight="1">
      <c r="A37" s="291" t="s">
        <v>1000</v>
      </c>
      <c r="B37" s="1098"/>
      <c r="C37" s="297" t="s">
        <v>1001</v>
      </c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</row>
    <row r="38" spans="1:33" ht="12.75" customHeight="1">
      <c r="A38" s="292" t="s">
        <v>1002</v>
      </c>
      <c r="B38" s="1098"/>
      <c r="C38" s="295" t="s">
        <v>1003</v>
      </c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</row>
    <row r="39" spans="1:33" ht="12.75" customHeight="1">
      <c r="A39" s="291" t="s">
        <v>1004</v>
      </c>
      <c r="B39" s="1098"/>
      <c r="C39" s="295" t="s">
        <v>1005</v>
      </c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</row>
    <row r="40" spans="1:33" ht="12.75" customHeight="1">
      <c r="A40" s="291" t="s">
        <v>1006</v>
      </c>
      <c r="B40" s="1098"/>
      <c r="C40" s="295" t="s">
        <v>1007</v>
      </c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</row>
    <row r="41" spans="1:33" ht="12.75" customHeight="1">
      <c r="A41" s="292" t="s">
        <v>1008</v>
      </c>
      <c r="B41" s="1098"/>
      <c r="C41" s="297" t="s">
        <v>1009</v>
      </c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  <c r="AG41" s="210"/>
    </row>
    <row r="42" spans="1:33" ht="12.75" customHeight="1">
      <c r="A42" s="291" t="s">
        <v>1010</v>
      </c>
      <c r="B42" s="1098"/>
      <c r="C42" s="295" t="s">
        <v>1011</v>
      </c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</row>
    <row r="43" spans="1:33" ht="12.75" customHeight="1">
      <c r="A43" s="292" t="s">
        <v>1012</v>
      </c>
      <c r="B43" s="1098"/>
      <c r="C43" s="295" t="s">
        <v>1013</v>
      </c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</row>
    <row r="44" spans="1:33" ht="12.75" customHeight="1">
      <c r="A44" s="291" t="s">
        <v>1014</v>
      </c>
      <c r="B44" s="1098"/>
      <c r="C44" s="297" t="s">
        <v>1015</v>
      </c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  <c r="AG44" s="210"/>
    </row>
    <row r="45" spans="1:33" ht="12.75" customHeight="1">
      <c r="A45" s="291" t="s">
        <v>1016</v>
      </c>
      <c r="B45" s="1098"/>
      <c r="C45" s="298" t="s">
        <v>1017</v>
      </c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</row>
    <row r="46" spans="1:33" ht="12.75" customHeight="1">
      <c r="A46" s="292" t="s">
        <v>1018</v>
      </c>
      <c r="B46" s="1098"/>
      <c r="C46" s="295" t="s">
        <v>1019</v>
      </c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</row>
    <row r="47" spans="1:33" ht="12.75" customHeight="1">
      <c r="A47" s="291" t="s">
        <v>1020</v>
      </c>
      <c r="B47" s="1098"/>
      <c r="C47" s="296" t="s">
        <v>1021</v>
      </c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</row>
    <row r="48" spans="1:33" ht="12.75" customHeight="1">
      <c r="A48" s="291" t="s">
        <v>1022</v>
      </c>
      <c r="B48" s="1098"/>
      <c r="C48" s="295" t="s">
        <v>1023</v>
      </c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</row>
    <row r="49" spans="1:33" ht="12.75" customHeight="1">
      <c r="A49" s="292" t="s">
        <v>1024</v>
      </c>
      <c r="B49" s="1098"/>
      <c r="C49" s="295" t="s">
        <v>1025</v>
      </c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</row>
    <row r="50" spans="1:33" ht="12.75" customHeight="1">
      <c r="A50" s="291" t="s">
        <v>1026</v>
      </c>
      <c r="B50" s="1098"/>
      <c r="C50" s="295" t="s">
        <v>1027</v>
      </c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</row>
    <row r="51" spans="1:33" ht="12.75" customHeight="1">
      <c r="A51" s="291" t="s">
        <v>1028</v>
      </c>
      <c r="B51" s="1098"/>
      <c r="C51" s="295" t="s">
        <v>1029</v>
      </c>
      <c r="D51" s="21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/>
      <c r="AE51" s="210"/>
      <c r="AF51" s="210"/>
      <c r="AG51" s="210"/>
    </row>
    <row r="52" spans="1:33" ht="12.75" customHeight="1">
      <c r="A52" s="292" t="s">
        <v>1030</v>
      </c>
      <c r="B52" s="1098"/>
      <c r="C52" s="295" t="s">
        <v>1031</v>
      </c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</row>
    <row r="53" spans="1:33" ht="12.75" customHeight="1">
      <c r="A53" s="291" t="s">
        <v>1032</v>
      </c>
      <c r="B53" s="1098"/>
      <c r="C53" s="296" t="s">
        <v>1033</v>
      </c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/>
      <c r="AG53" s="210"/>
    </row>
    <row r="54" spans="1:33" ht="12.75" customHeight="1">
      <c r="A54" s="292" t="s">
        <v>1034</v>
      </c>
      <c r="B54" s="1098"/>
      <c r="C54" s="298" t="s">
        <v>1035</v>
      </c>
      <c r="D54" s="210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/>
      <c r="AE54" s="210"/>
      <c r="AF54" s="210"/>
      <c r="AG54" s="210"/>
    </row>
    <row r="55" spans="1:33" ht="12.75" customHeight="1">
      <c r="A55" s="292" t="s">
        <v>1036</v>
      </c>
      <c r="B55" s="1098"/>
      <c r="C55" s="295" t="s">
        <v>1037</v>
      </c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  <c r="AG55" s="210"/>
    </row>
    <row r="56" spans="1:33" ht="12.75" customHeight="1">
      <c r="A56" s="291" t="s">
        <v>1038</v>
      </c>
      <c r="B56" s="1098"/>
      <c r="C56" s="296" t="s">
        <v>1039</v>
      </c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/>
      <c r="AE56" s="210"/>
      <c r="AF56" s="210"/>
      <c r="AG56" s="210"/>
    </row>
    <row r="57" spans="1:33" ht="12.75" customHeight="1">
      <c r="A57" s="291" t="s">
        <v>1040</v>
      </c>
      <c r="B57" s="1098"/>
      <c r="C57" s="295" t="s">
        <v>1041</v>
      </c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  <c r="AG57" s="210"/>
    </row>
    <row r="58" spans="1:33" ht="12.75" customHeight="1">
      <c r="A58" s="291" t="s">
        <v>1042</v>
      </c>
      <c r="B58" s="1098"/>
      <c r="C58" s="295" t="s">
        <v>1043</v>
      </c>
      <c r="D58" s="210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  <c r="AG58" s="210"/>
    </row>
    <row r="59" spans="1:33" ht="12.75" customHeight="1">
      <c r="A59" s="292" t="s">
        <v>1044</v>
      </c>
      <c r="B59" s="1098"/>
      <c r="C59" s="295" t="s">
        <v>1045</v>
      </c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</row>
    <row r="60" spans="1:33" ht="12.75" customHeight="1">
      <c r="A60" s="291" t="s">
        <v>1046</v>
      </c>
      <c r="B60" s="1098"/>
      <c r="C60" s="296" t="s">
        <v>1047</v>
      </c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</row>
    <row r="61" spans="1:33" ht="12.75" customHeight="1">
      <c r="A61" s="291" t="s">
        <v>1048</v>
      </c>
      <c r="B61" s="1098"/>
      <c r="C61" s="295" t="s">
        <v>1049</v>
      </c>
      <c r="D61" s="210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/>
      <c r="AG61" s="210"/>
    </row>
    <row r="62" spans="1:33" ht="12.75" customHeight="1">
      <c r="A62" s="291" t="s">
        <v>1050</v>
      </c>
      <c r="B62" s="1098"/>
      <c r="C62" s="295" t="s">
        <v>1051</v>
      </c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0"/>
      <c r="AB62" s="210"/>
      <c r="AC62" s="210"/>
      <c r="AD62" s="210"/>
      <c r="AE62" s="210"/>
      <c r="AF62" s="210"/>
      <c r="AG62" s="210"/>
    </row>
    <row r="63" spans="1:33" ht="12.75" customHeight="1">
      <c r="A63" s="292" t="s">
        <v>1052</v>
      </c>
      <c r="B63" s="1098"/>
      <c r="C63" s="296" t="s">
        <v>1053</v>
      </c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  <c r="AB63" s="210"/>
      <c r="AC63" s="210"/>
      <c r="AD63" s="210"/>
      <c r="AE63" s="210"/>
      <c r="AF63" s="210"/>
      <c r="AG63" s="210"/>
    </row>
    <row r="64" spans="1:33" ht="12.75" customHeight="1">
      <c r="A64" s="291" t="s">
        <v>1054</v>
      </c>
      <c r="B64" s="1098"/>
      <c r="C64" s="295" t="s">
        <v>1055</v>
      </c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0"/>
      <c r="AB64" s="210"/>
      <c r="AC64" s="210"/>
      <c r="AD64" s="210"/>
      <c r="AE64" s="210"/>
      <c r="AF64" s="210"/>
      <c r="AG64" s="210"/>
    </row>
    <row r="65" spans="1:33" ht="12.75" customHeight="1">
      <c r="A65" s="292" t="s">
        <v>1056</v>
      </c>
      <c r="B65" s="1098"/>
      <c r="C65" s="295" t="s">
        <v>1057</v>
      </c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  <c r="AD65" s="210"/>
      <c r="AE65" s="210"/>
      <c r="AF65" s="210"/>
      <c r="AG65" s="210"/>
    </row>
    <row r="66" spans="1:33" ht="12.75" customHeight="1">
      <c r="A66" s="291" t="s">
        <v>1058</v>
      </c>
      <c r="B66" s="1098"/>
      <c r="C66" s="295" t="s">
        <v>1059</v>
      </c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  <c r="AD66" s="210"/>
      <c r="AE66" s="210"/>
      <c r="AF66" s="210"/>
      <c r="AG66" s="210"/>
    </row>
    <row r="67" spans="1:33" ht="12.75" customHeight="1">
      <c r="A67" s="291" t="s">
        <v>1060</v>
      </c>
      <c r="B67" s="1098"/>
      <c r="C67" s="296" t="s">
        <v>1061</v>
      </c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0"/>
      <c r="AB67" s="210"/>
      <c r="AC67" s="210"/>
      <c r="AD67" s="210"/>
      <c r="AE67" s="210"/>
      <c r="AF67" s="210"/>
      <c r="AG67" s="210"/>
    </row>
    <row r="68" spans="1:33" ht="12.75" customHeight="1">
      <c r="A68" s="292" t="s">
        <v>1062</v>
      </c>
      <c r="B68" s="1098"/>
      <c r="C68" s="295" t="s">
        <v>1063</v>
      </c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0"/>
      <c r="AB68" s="210"/>
      <c r="AC68" s="210"/>
      <c r="AD68" s="210"/>
      <c r="AE68" s="210"/>
      <c r="AF68" s="210"/>
      <c r="AG68" s="210"/>
    </row>
    <row r="69" spans="1:33" ht="12.75" customHeight="1">
      <c r="A69" s="291" t="s">
        <v>1064</v>
      </c>
      <c r="B69" s="1098"/>
      <c r="C69" s="295" t="s">
        <v>1065</v>
      </c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  <c r="AG69" s="210"/>
    </row>
    <row r="70" spans="1:33" ht="12.75" customHeight="1">
      <c r="A70" s="291" t="s">
        <v>1066</v>
      </c>
      <c r="B70" s="1098"/>
      <c r="C70" s="295" t="s">
        <v>1067</v>
      </c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</row>
    <row r="71" spans="1:33" ht="12.75" customHeight="1">
      <c r="A71" s="292" t="s">
        <v>1068</v>
      </c>
      <c r="B71" s="1098"/>
      <c r="C71" s="297" t="s">
        <v>1069</v>
      </c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</row>
    <row r="72" spans="1:33" ht="12.75" customHeight="1">
      <c r="A72" s="291" t="s">
        <v>1070</v>
      </c>
      <c r="B72" s="1098"/>
      <c r="C72" s="298" t="s">
        <v>1071</v>
      </c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  <c r="AG72" s="210"/>
    </row>
    <row r="73" spans="1:33" ht="12.75" customHeight="1">
      <c r="A73" s="291" t="s">
        <v>1072</v>
      </c>
      <c r="B73" s="1098"/>
      <c r="C73" s="296" t="s">
        <v>1073</v>
      </c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  <c r="AG73" s="210"/>
    </row>
    <row r="74" spans="1:33" ht="12.75" customHeight="1">
      <c r="A74" s="291" t="s">
        <v>1074</v>
      </c>
      <c r="B74" s="1098"/>
      <c r="C74" s="295" t="s">
        <v>1075</v>
      </c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0"/>
      <c r="AE74" s="210"/>
      <c r="AF74" s="210"/>
      <c r="AG74" s="210"/>
    </row>
    <row r="75" spans="1:33" ht="12.75" customHeight="1">
      <c r="A75" s="292" t="s">
        <v>1076</v>
      </c>
      <c r="B75" s="1098"/>
      <c r="C75" s="295" t="s">
        <v>1077</v>
      </c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</row>
    <row r="76" spans="1:33" ht="12.75" customHeight="1">
      <c r="A76" s="291" t="s">
        <v>1078</v>
      </c>
      <c r="B76" s="1098"/>
      <c r="C76" s="295" t="s">
        <v>1079</v>
      </c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  <c r="AG76" s="210"/>
    </row>
    <row r="77" spans="1:33" ht="12.75" customHeight="1">
      <c r="A77" s="291" t="s">
        <v>1080</v>
      </c>
      <c r="B77" s="1098"/>
      <c r="C77" s="296" t="s">
        <v>1081</v>
      </c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</row>
    <row r="78" spans="1:33" ht="12.75" customHeight="1">
      <c r="A78" s="292" t="s">
        <v>1082</v>
      </c>
      <c r="B78" s="1098"/>
      <c r="C78" s="295" t="s">
        <v>1083</v>
      </c>
      <c r="D78" s="210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  <c r="AD78" s="210"/>
      <c r="AE78" s="210"/>
      <c r="AF78" s="210"/>
      <c r="AG78" s="210"/>
    </row>
    <row r="79" spans="1:33" ht="12.75" customHeight="1">
      <c r="A79" s="291" t="s">
        <v>1084</v>
      </c>
      <c r="B79" s="1098"/>
      <c r="C79" s="295" t="s">
        <v>1085</v>
      </c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</row>
    <row r="80" spans="1:33" ht="12.75" customHeight="1">
      <c r="A80" s="292" t="s">
        <v>1086</v>
      </c>
      <c r="B80" s="1098"/>
      <c r="C80" s="295" t="s">
        <v>1087</v>
      </c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</row>
    <row r="81" spans="1:33" ht="12.75" customHeight="1">
      <c r="A81" s="291" t="s">
        <v>1088</v>
      </c>
      <c r="B81" s="1098"/>
      <c r="C81" s="295" t="s">
        <v>1089</v>
      </c>
      <c r="D81" s="210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  <c r="AG81" s="210"/>
    </row>
    <row r="82" spans="1:33" ht="12.75" customHeight="1">
      <c r="A82" s="291" t="s">
        <v>1090</v>
      </c>
      <c r="B82" s="1098"/>
      <c r="C82" s="295" t="s">
        <v>1091</v>
      </c>
      <c r="D82" s="210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  <c r="AG82" s="210"/>
    </row>
    <row r="83" spans="1:33" ht="12.75" customHeight="1">
      <c r="A83" s="291" t="s">
        <v>1092</v>
      </c>
      <c r="B83" s="1098"/>
      <c r="C83" s="296" t="s">
        <v>1093</v>
      </c>
      <c r="D83" s="210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</row>
    <row r="84" spans="1:33" ht="12.75" customHeight="1">
      <c r="A84" s="291" t="s">
        <v>1094</v>
      </c>
      <c r="B84" s="1098"/>
      <c r="C84" s="295" t="s">
        <v>1095</v>
      </c>
      <c r="D84" s="210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  <c r="AG84" s="210"/>
    </row>
    <row r="85" spans="1:33" ht="12.75" customHeight="1">
      <c r="A85" s="291" t="s">
        <v>1096</v>
      </c>
      <c r="B85" s="1098"/>
      <c r="C85" s="296" t="s">
        <v>1097</v>
      </c>
      <c r="D85" s="210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</row>
    <row r="86" spans="1:33" ht="12.75" customHeight="1">
      <c r="A86" s="293"/>
      <c r="B86" s="1099"/>
      <c r="C86" s="299" t="s">
        <v>1098</v>
      </c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  <c r="AG86" s="210"/>
    </row>
    <row r="87" spans="1:33" ht="12.75" customHeight="1">
      <c r="A87" s="210"/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  <c r="AG87" s="210"/>
    </row>
    <row r="88" spans="1:33" ht="12.75" customHeight="1">
      <c r="A88" s="210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</row>
    <row r="89" spans="1:33" ht="12.75" customHeight="1">
      <c r="A89" s="210"/>
      <c r="B89" s="210"/>
      <c r="C89" s="210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/>
      <c r="AE89" s="210"/>
      <c r="AF89" s="210"/>
      <c r="AG89" s="210"/>
    </row>
    <row r="90" spans="1:33" ht="12.75" customHeight="1">
      <c r="A90" s="210"/>
      <c r="B90" s="210"/>
      <c r="C90" s="210"/>
      <c r="D90" s="210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  <c r="AG90" s="210"/>
    </row>
    <row r="91" spans="1:33" ht="12.75" customHeight="1">
      <c r="A91" s="210"/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/>
      <c r="AG91" s="210"/>
    </row>
    <row r="92" spans="1:33" ht="12.75" customHeight="1">
      <c r="A92" s="210"/>
      <c r="B92" s="210"/>
      <c r="C92" s="210"/>
      <c r="D92" s="210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10"/>
      <c r="AF92" s="210"/>
      <c r="AG92" s="210"/>
    </row>
    <row r="93" spans="1:33" ht="12.75" customHeight="1">
      <c r="A93" s="210"/>
      <c r="B93" s="210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0"/>
      <c r="AG93" s="210"/>
    </row>
    <row r="94" spans="1:33" ht="12.75" customHeight="1">
      <c r="A94" s="210"/>
      <c r="B94" s="210"/>
      <c r="C94" s="210"/>
      <c r="D94" s="210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  <c r="AD94" s="210"/>
      <c r="AE94" s="210"/>
      <c r="AF94" s="210"/>
      <c r="AG94" s="210"/>
    </row>
    <row r="95" spans="1:33" ht="12.75" customHeight="1">
      <c r="A95" s="210"/>
      <c r="B95" s="210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/>
      <c r="AG95" s="210"/>
    </row>
    <row r="96" spans="1:33" ht="12.75" customHeight="1">
      <c r="A96" s="210"/>
      <c r="B96" s="210"/>
      <c r="C96" s="210"/>
      <c r="D96" s="210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  <c r="AG96" s="210"/>
    </row>
    <row r="97" spans="1:33" ht="12.75" customHeight="1">
      <c r="A97" s="210"/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/>
      <c r="AE97" s="210"/>
      <c r="AF97" s="210"/>
      <c r="AG97" s="210"/>
    </row>
    <row r="98" spans="1:33" ht="12.75" customHeight="1">
      <c r="A98" s="210"/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  <c r="AD98" s="210"/>
      <c r="AE98" s="210"/>
      <c r="AF98" s="210"/>
      <c r="AG98" s="210"/>
    </row>
    <row r="99" spans="1:33" ht="12.75" customHeight="1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0"/>
      <c r="AE99" s="210"/>
      <c r="AF99" s="210"/>
      <c r="AG99" s="210"/>
    </row>
    <row r="100" spans="1:33" ht="12.75" customHeight="1">
      <c r="A100" s="210"/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0"/>
      <c r="AE100" s="210"/>
      <c r="AF100" s="210"/>
      <c r="AG100" s="210"/>
    </row>
    <row r="101" spans="1:33" ht="12.75" customHeight="1">
      <c r="A101" s="210"/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0"/>
      <c r="AE101" s="210"/>
      <c r="AF101" s="210"/>
      <c r="AG101" s="210"/>
    </row>
    <row r="102" spans="1:33" ht="12.75" customHeight="1">
      <c r="A102" s="210"/>
      <c r="B102" s="210"/>
      <c r="C102" s="210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  <c r="AD102" s="210"/>
      <c r="AE102" s="210"/>
      <c r="AF102" s="210"/>
      <c r="AG102" s="210"/>
    </row>
    <row r="103" spans="1:33" ht="12.75" customHeight="1">
      <c r="A103" s="210"/>
      <c r="B103" s="210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/>
      <c r="AE103" s="210"/>
      <c r="AF103" s="210"/>
      <c r="AG103" s="210"/>
    </row>
    <row r="104" spans="1:33" ht="12.75" customHeight="1">
      <c r="A104" s="210"/>
      <c r="B104" s="210"/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0"/>
      <c r="AE104" s="210"/>
      <c r="AF104" s="210"/>
      <c r="AG104" s="210"/>
    </row>
    <row r="105" spans="1:33" ht="12.75" customHeight="1">
      <c r="A105" s="210"/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/>
      <c r="AG105" s="210"/>
    </row>
    <row r="106" spans="1:33" ht="12.75" customHeight="1">
      <c r="A106" s="210"/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</row>
    <row r="107" spans="1:33" ht="12.75" customHeight="1">
      <c r="A107" s="210"/>
      <c r="B107" s="210"/>
      <c r="C107" s="210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</row>
    <row r="108" spans="1:33" ht="12.75" customHeight="1">
      <c r="A108" s="210"/>
      <c r="B108" s="210"/>
      <c r="C108" s="210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/>
      <c r="AE108" s="210"/>
      <c r="AF108" s="210"/>
      <c r="AG108" s="210"/>
    </row>
    <row r="109" spans="1:33" ht="12.75" customHeight="1">
      <c r="A109" s="210"/>
      <c r="B109" s="210"/>
      <c r="C109" s="210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/>
      <c r="AE109" s="210"/>
      <c r="AF109" s="210"/>
      <c r="AG109" s="210"/>
    </row>
    <row r="110" spans="1:33" ht="12.75" customHeight="1">
      <c r="A110" s="210"/>
      <c r="B110" s="210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/>
      <c r="AE110" s="210"/>
      <c r="AF110" s="210"/>
      <c r="AG110" s="210"/>
    </row>
    <row r="111" spans="1:33" ht="12.75" customHeight="1">
      <c r="A111" s="210"/>
      <c r="B111" s="210"/>
      <c r="C111" s="210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/>
      <c r="AG111" s="210"/>
    </row>
    <row r="112" spans="1:33" ht="12.75" customHeight="1">
      <c r="A112" s="210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</row>
    <row r="113" spans="1:33" ht="12.75" customHeight="1">
      <c r="A113" s="210"/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</row>
    <row r="114" spans="1:33" ht="12.75" customHeight="1">
      <c r="A114" s="210"/>
      <c r="B114" s="210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  <c r="AG114" s="210"/>
    </row>
    <row r="115" spans="1:33" ht="12.75" customHeight="1">
      <c r="A115" s="210"/>
      <c r="B115" s="210"/>
      <c r="C115" s="210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</row>
    <row r="116" spans="1:33" ht="12.75" customHeight="1">
      <c r="A116" s="210"/>
      <c r="B116" s="210"/>
      <c r="C116" s="210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</row>
    <row r="117" spans="1:33" ht="12.75" customHeight="1">
      <c r="A117" s="210"/>
      <c r="B117" s="210"/>
      <c r="C117" s="210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  <c r="AG117" s="210"/>
    </row>
    <row r="118" spans="1:33" ht="12.75" customHeight="1">
      <c r="A118" s="210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</row>
    <row r="119" spans="1:33" ht="12.75" customHeight="1">
      <c r="A119" s="210"/>
      <c r="B119" s="210"/>
      <c r="C119" s="210"/>
      <c r="D119" s="210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</row>
    <row r="120" spans="1:33" ht="12.75" customHeight="1">
      <c r="A120" s="210"/>
      <c r="B120" s="210"/>
      <c r="C120" s="210"/>
      <c r="D120" s="210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</row>
    <row r="121" spans="1:33" ht="12.75" customHeight="1">
      <c r="A121" s="210"/>
      <c r="B121" s="210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</row>
    <row r="122" spans="1:33" ht="12.75" customHeight="1">
      <c r="A122" s="210"/>
      <c r="B122" s="210"/>
      <c r="C122" s="210"/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</row>
    <row r="123" spans="1:33" ht="12.75" customHeight="1">
      <c r="A123" s="210"/>
      <c r="B123" s="210"/>
      <c r="C123" s="210"/>
      <c r="D123" s="210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</row>
    <row r="124" spans="1:33" ht="12.75" customHeight="1">
      <c r="A124" s="210"/>
      <c r="B124" s="210"/>
      <c r="C124" s="210"/>
      <c r="D124" s="210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</row>
    <row r="125" spans="1:33" ht="12.75" customHeight="1">
      <c r="A125" s="210"/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</row>
    <row r="126" spans="1:33" ht="12.75" customHeight="1">
      <c r="A126" s="210"/>
      <c r="B126" s="210"/>
      <c r="C126" s="210"/>
      <c r="D126" s="210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0"/>
      <c r="AE126" s="210"/>
      <c r="AF126" s="210"/>
      <c r="AG126" s="210"/>
    </row>
    <row r="127" spans="1:33" ht="12.75" customHeight="1">
      <c r="A127" s="210"/>
      <c r="B127" s="210"/>
      <c r="C127" s="210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/>
      <c r="AG127" s="210"/>
    </row>
    <row r="128" spans="1:33" ht="12.75" customHeight="1">
      <c r="A128" s="210"/>
      <c r="B128" s="210"/>
      <c r="C128" s="210"/>
      <c r="D128" s="210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  <c r="AG128" s="210"/>
    </row>
    <row r="129" spans="1:33" ht="12.75" customHeight="1">
      <c r="A129" s="210"/>
      <c r="B129" s="210"/>
      <c r="C129" s="210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</row>
    <row r="130" spans="1:33" ht="12.75" customHeight="1">
      <c r="A130" s="210"/>
      <c r="B130" s="210"/>
      <c r="C130" s="210"/>
      <c r="D130" s="210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  <c r="AG130" s="210"/>
    </row>
    <row r="131" spans="1:33" ht="12.75" customHeight="1">
      <c r="A131" s="210"/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</row>
    <row r="132" spans="1:33" ht="12.75" customHeight="1">
      <c r="A132" s="210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</row>
    <row r="133" spans="1:33" ht="12.75" customHeight="1">
      <c r="A133" s="210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  <c r="AG133" s="210"/>
    </row>
    <row r="134" spans="1:33" ht="12.75" customHeight="1">
      <c r="A134" s="210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  <c r="AG134" s="210"/>
    </row>
    <row r="135" spans="1:33" ht="12.75" customHeight="1">
      <c r="A135" s="210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  <c r="AG135" s="210"/>
    </row>
    <row r="136" spans="1:33" ht="12.75" customHeight="1">
      <c r="A136" s="210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</row>
    <row r="137" spans="1:33" ht="12.75" customHeight="1">
      <c r="A137" s="210"/>
      <c r="B137" s="210"/>
      <c r="C137" s="210"/>
      <c r="D137" s="210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  <c r="AG137" s="210"/>
    </row>
    <row r="138" spans="1:33" ht="12.75" customHeight="1">
      <c r="A138" s="210"/>
      <c r="B138" s="210"/>
      <c r="C138" s="210"/>
      <c r="D138" s="210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</row>
    <row r="139" spans="1:33" ht="12.75" customHeight="1">
      <c r="A139" s="210"/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  <c r="AG139" s="210"/>
    </row>
    <row r="140" spans="1:33" ht="12.75" customHeight="1">
      <c r="A140" s="210"/>
      <c r="B140" s="210"/>
      <c r="C140" s="210"/>
      <c r="D140" s="210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  <c r="AG140" s="210"/>
    </row>
    <row r="141" spans="1:33" ht="12.75" customHeight="1">
      <c r="A141" s="210"/>
      <c r="B141" s="210"/>
      <c r="C141" s="210"/>
      <c r="D141" s="210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</row>
    <row r="142" spans="1:33" ht="12.75" customHeight="1">
      <c r="A142" s="210"/>
      <c r="B142" s="210"/>
      <c r="C142" s="210"/>
      <c r="D142" s="210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  <c r="AG142" s="210"/>
    </row>
    <row r="143" spans="1:33" ht="12.75" customHeight="1">
      <c r="A143" s="210"/>
      <c r="B143" s="210"/>
      <c r="C143" s="210"/>
      <c r="D143" s="210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  <c r="AG143" s="210"/>
    </row>
    <row r="144" spans="1:33" ht="12.75" customHeight="1">
      <c r="A144" s="210"/>
      <c r="B144" s="210"/>
      <c r="C144" s="210"/>
      <c r="D144" s="210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  <c r="AG144" s="210"/>
    </row>
    <row r="145" spans="1:33" ht="12.75" customHeight="1">
      <c r="A145" s="210"/>
      <c r="B145" s="210"/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</row>
    <row r="146" spans="1:33" ht="12.75" customHeight="1">
      <c r="A146" s="210"/>
      <c r="B146" s="210"/>
      <c r="C146" s="210"/>
      <c r="D146" s="210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</row>
    <row r="147" spans="1:33" ht="12.75" customHeight="1">
      <c r="A147" s="210"/>
      <c r="B147" s="210"/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</row>
    <row r="148" spans="1:33" ht="12.75" customHeight="1">
      <c r="A148" s="210"/>
      <c r="B148" s="210"/>
      <c r="C148" s="210"/>
      <c r="D148" s="210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  <c r="AG148" s="210"/>
    </row>
    <row r="149" spans="1:33" ht="12.75" customHeight="1">
      <c r="A149" s="210"/>
      <c r="B149" s="210"/>
      <c r="C149" s="210"/>
      <c r="D149" s="210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  <c r="AG149" s="210"/>
    </row>
    <row r="150" spans="1:33" ht="12.75" customHeight="1">
      <c r="A150" s="210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  <c r="AG150" s="210"/>
    </row>
    <row r="151" spans="1:33" ht="12.75" customHeight="1">
      <c r="A151" s="210"/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/>
      <c r="AG151" s="210"/>
    </row>
    <row r="152" spans="1:33" ht="12.75" customHeight="1">
      <c r="A152" s="210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0"/>
      <c r="AE152" s="210"/>
      <c r="AF152" s="210"/>
      <c r="AG152" s="210"/>
    </row>
    <row r="153" spans="1:33" ht="12.75" customHeight="1">
      <c r="A153" s="210"/>
      <c r="B153" s="210"/>
      <c r="C153" s="210"/>
      <c r="D153" s="210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/>
      <c r="AG153" s="210"/>
    </row>
    <row r="154" spans="1:33" ht="12.75" customHeight="1">
      <c r="A154" s="210"/>
      <c r="B154" s="210"/>
      <c r="C154" s="210"/>
      <c r="D154" s="210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/>
      <c r="AE154" s="210"/>
      <c r="AF154" s="210"/>
      <c r="AG154" s="210"/>
    </row>
    <row r="155" spans="1:33" ht="12.75" customHeight="1">
      <c r="A155" s="210"/>
      <c r="B155" s="210"/>
      <c r="C155" s="210"/>
      <c r="D155" s="210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  <c r="AG155" s="210"/>
    </row>
    <row r="156" spans="1:33" ht="12.75" customHeight="1">
      <c r="A156" s="210"/>
      <c r="B156" s="210"/>
      <c r="C156" s="210"/>
      <c r="D156" s="210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  <c r="AG156" s="210"/>
    </row>
    <row r="157" spans="1:33" ht="12.75" customHeight="1">
      <c r="A157" s="210"/>
      <c r="B157" s="210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0"/>
    </row>
    <row r="158" spans="1:33" ht="12.75" customHeight="1">
      <c r="A158" s="210"/>
      <c r="B158" s="210"/>
      <c r="C158" s="210"/>
      <c r="D158" s="210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/>
      <c r="AE158" s="210"/>
      <c r="AF158" s="210"/>
      <c r="AG158" s="210"/>
    </row>
    <row r="159" spans="1:33" ht="12.75" customHeight="1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  <c r="AG159" s="210"/>
    </row>
    <row r="160" spans="1:33" ht="12.75" customHeight="1">
      <c r="A160" s="210"/>
      <c r="B160" s="210"/>
      <c r="C160" s="210"/>
      <c r="D160" s="210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/>
      <c r="AE160" s="210"/>
      <c r="AF160" s="210"/>
      <c r="AG160" s="210"/>
    </row>
    <row r="161" spans="1:33" ht="12.75" customHeight="1">
      <c r="A161" s="210"/>
      <c r="B161" s="210"/>
      <c r="C161" s="210"/>
      <c r="D161" s="210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/>
      <c r="AG161" s="210"/>
    </row>
    <row r="162" spans="1:33" ht="12.75" customHeight="1">
      <c r="A162" s="210"/>
      <c r="B162" s="210"/>
      <c r="C162" s="210"/>
      <c r="D162" s="210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0"/>
      <c r="AE162" s="210"/>
      <c r="AF162" s="210"/>
      <c r="AG162" s="210"/>
    </row>
    <row r="163" spans="1:33" ht="12.75" customHeight="1">
      <c r="A163" s="210"/>
      <c r="B163" s="210"/>
      <c r="C163" s="210"/>
      <c r="D163" s="210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/>
      <c r="AE163" s="210"/>
      <c r="AF163" s="210"/>
      <c r="AG163" s="210"/>
    </row>
    <row r="164" spans="1:33" ht="12.75" customHeight="1">
      <c r="A164" s="210"/>
      <c r="B164" s="210"/>
      <c r="C164" s="210"/>
      <c r="D164" s="210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0"/>
      <c r="AE164" s="210"/>
      <c r="AF164" s="210"/>
      <c r="AG164" s="210"/>
    </row>
    <row r="165" spans="1:33" ht="12.75" customHeight="1">
      <c r="A165" s="210"/>
      <c r="B165" s="210"/>
      <c r="C165" s="210"/>
      <c r="D165" s="210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0"/>
      <c r="AE165" s="210"/>
      <c r="AF165" s="210"/>
      <c r="AG165" s="210"/>
    </row>
    <row r="166" spans="1:33" ht="12.75" customHeight="1">
      <c r="A166" s="210"/>
      <c r="B166" s="210"/>
      <c r="C166" s="210"/>
      <c r="D166" s="210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0"/>
      <c r="AE166" s="210"/>
      <c r="AF166" s="210"/>
      <c r="AG166" s="210"/>
    </row>
    <row r="167" spans="1:33" ht="12.75" customHeight="1">
      <c r="A167" s="210"/>
      <c r="B167" s="210"/>
      <c r="C167" s="210"/>
      <c r="D167" s="210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/>
      <c r="AE167" s="210"/>
      <c r="AF167" s="210"/>
      <c r="AG167" s="210"/>
    </row>
    <row r="168" spans="1:33" ht="12.75" customHeight="1">
      <c r="A168" s="210"/>
      <c r="B168" s="210"/>
      <c r="C168" s="210"/>
      <c r="D168" s="210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0"/>
      <c r="AE168" s="210"/>
      <c r="AF168" s="210"/>
      <c r="AG168" s="210"/>
    </row>
    <row r="169" spans="1:33" ht="12.75" customHeight="1">
      <c r="A169" s="210"/>
      <c r="B169" s="210"/>
      <c r="C169" s="210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  <c r="AG169" s="210"/>
    </row>
    <row r="170" spans="1:33" ht="12.75" customHeight="1">
      <c r="A170" s="210"/>
      <c r="B170" s="210"/>
      <c r="C170" s="210"/>
      <c r="D170" s="210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/>
      <c r="AE170" s="210"/>
      <c r="AF170" s="210"/>
      <c r="AG170" s="210"/>
    </row>
    <row r="171" spans="1:33" ht="12.75" customHeight="1">
      <c r="A171" s="210"/>
      <c r="B171" s="210"/>
      <c r="C171" s="210"/>
      <c r="D171" s="210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/>
      <c r="AG171" s="210"/>
    </row>
    <row r="172" spans="1:33" ht="12.75" customHeight="1">
      <c r="A172" s="210"/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  <c r="AG172" s="210"/>
    </row>
    <row r="173" spans="1:33" ht="12.75" customHeight="1">
      <c r="A173" s="210"/>
      <c r="B173" s="210"/>
      <c r="C173" s="210"/>
      <c r="D173" s="210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/>
      <c r="AE173" s="210"/>
      <c r="AF173" s="210"/>
      <c r="AG173" s="210"/>
    </row>
    <row r="174" spans="1:33" ht="12.75" customHeight="1">
      <c r="A174" s="210"/>
      <c r="B174" s="210"/>
      <c r="C174" s="210"/>
      <c r="D174" s="210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  <c r="AA174" s="210"/>
      <c r="AB174" s="210"/>
      <c r="AC174" s="210"/>
      <c r="AD174" s="210"/>
      <c r="AE174" s="210"/>
      <c r="AF174" s="210"/>
      <c r="AG174" s="210"/>
    </row>
    <row r="175" spans="1:33" ht="12.75" customHeight="1">
      <c r="A175" s="210"/>
      <c r="B175" s="210"/>
      <c r="C175" s="210"/>
      <c r="D175" s="210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  <c r="AD175" s="210"/>
      <c r="AE175" s="210"/>
      <c r="AF175" s="210"/>
      <c r="AG175" s="210"/>
    </row>
    <row r="176" spans="1:33" ht="12.75" customHeight="1">
      <c r="A176" s="210"/>
      <c r="B176" s="210"/>
      <c r="C176" s="210"/>
      <c r="D176" s="210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  <c r="AA176" s="210"/>
      <c r="AB176" s="210"/>
      <c r="AC176" s="210"/>
      <c r="AD176" s="210"/>
      <c r="AE176" s="210"/>
      <c r="AF176" s="210"/>
      <c r="AG176" s="210"/>
    </row>
    <row r="177" spans="1:33" ht="12.75" customHeight="1">
      <c r="A177" s="210"/>
      <c r="B177" s="210"/>
      <c r="C177" s="210"/>
      <c r="D177" s="210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  <c r="AD177" s="210"/>
      <c r="AE177" s="210"/>
      <c r="AF177" s="210"/>
      <c r="AG177" s="210"/>
    </row>
    <row r="178" spans="1:33" ht="12.75" customHeight="1">
      <c r="A178" s="210"/>
      <c r="B178" s="210"/>
      <c r="C178" s="210"/>
      <c r="D178" s="210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  <c r="AA178" s="210"/>
      <c r="AB178" s="210"/>
      <c r="AC178" s="210"/>
      <c r="AD178" s="210"/>
      <c r="AE178" s="210"/>
      <c r="AF178" s="210"/>
      <c r="AG178" s="210"/>
    </row>
    <row r="179" spans="1:33" ht="12.75" customHeight="1">
      <c r="A179" s="210"/>
      <c r="B179" s="210"/>
      <c r="C179" s="210"/>
      <c r="D179" s="210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  <c r="AD179" s="210"/>
      <c r="AE179" s="210"/>
      <c r="AF179" s="210"/>
      <c r="AG179" s="210"/>
    </row>
    <row r="180" spans="1:33" ht="12.75" customHeight="1">
      <c r="A180" s="210"/>
      <c r="B180" s="210"/>
      <c r="C180" s="210"/>
      <c r="D180" s="210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  <c r="AA180" s="210"/>
      <c r="AB180" s="210"/>
      <c r="AC180" s="210"/>
      <c r="AD180" s="210"/>
      <c r="AE180" s="210"/>
      <c r="AF180" s="210"/>
      <c r="AG180" s="210"/>
    </row>
    <row r="181" spans="1:33" ht="12.75" customHeight="1">
      <c r="A181" s="210"/>
      <c r="B181" s="210"/>
      <c r="C181" s="210"/>
      <c r="D181" s="210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  <c r="AD181" s="210"/>
      <c r="AE181" s="210"/>
      <c r="AF181" s="210"/>
      <c r="AG181" s="210"/>
    </row>
    <row r="182" spans="1:33" ht="12.75" customHeight="1">
      <c r="A182" s="210"/>
      <c r="B182" s="210"/>
      <c r="C182" s="210"/>
      <c r="D182" s="210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  <c r="AD182" s="210"/>
      <c r="AE182" s="210"/>
      <c r="AF182" s="210"/>
      <c r="AG182" s="210"/>
    </row>
    <row r="183" spans="1:33" ht="12.75" customHeight="1">
      <c r="A183" s="210"/>
      <c r="B183" s="210"/>
      <c r="C183" s="210"/>
      <c r="D183" s="210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0"/>
      <c r="AE183" s="210"/>
      <c r="AF183" s="210"/>
      <c r="AG183" s="210"/>
    </row>
    <row r="184" spans="1:33" ht="12.75" customHeight="1">
      <c r="A184" s="210"/>
      <c r="B184" s="210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  <c r="AA184" s="210"/>
      <c r="AB184" s="210"/>
      <c r="AC184" s="210"/>
      <c r="AD184" s="210"/>
      <c r="AE184" s="210"/>
      <c r="AF184" s="210"/>
      <c r="AG184" s="210"/>
    </row>
    <row r="185" spans="1:33" ht="12.75" customHeight="1">
      <c r="A185" s="210"/>
      <c r="B185" s="210"/>
      <c r="C185" s="210"/>
      <c r="D185" s="210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  <c r="AA185" s="210"/>
      <c r="AB185" s="210"/>
      <c r="AC185" s="210"/>
      <c r="AD185" s="210"/>
      <c r="AE185" s="210"/>
      <c r="AF185" s="210"/>
      <c r="AG185" s="210"/>
    </row>
    <row r="186" spans="1:33" ht="12.75" customHeight="1">
      <c r="A186" s="210"/>
      <c r="B186" s="210"/>
      <c r="C186" s="210"/>
      <c r="D186" s="210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  <c r="AA186" s="210"/>
      <c r="AB186" s="210"/>
      <c r="AC186" s="210"/>
      <c r="AD186" s="210"/>
      <c r="AE186" s="210"/>
      <c r="AF186" s="210"/>
      <c r="AG186" s="210"/>
    </row>
    <row r="187" spans="1:33" ht="12.75" customHeight="1">
      <c r="A187" s="210"/>
      <c r="B187" s="210"/>
      <c r="C187" s="210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210"/>
      <c r="AC187" s="210"/>
      <c r="AD187" s="210"/>
      <c r="AE187" s="210"/>
      <c r="AF187" s="210"/>
      <c r="AG187" s="210"/>
    </row>
    <row r="188" spans="1:33" ht="12.75" customHeight="1">
      <c r="A188" s="210"/>
      <c r="B188" s="210"/>
      <c r="C188" s="210"/>
      <c r="D188" s="210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  <c r="AA188" s="210"/>
      <c r="AB188" s="210"/>
      <c r="AC188" s="210"/>
      <c r="AD188" s="210"/>
      <c r="AE188" s="210"/>
      <c r="AF188" s="210"/>
      <c r="AG188" s="210"/>
    </row>
    <row r="189" spans="1:33" ht="12.75" customHeight="1">
      <c r="A189" s="210"/>
      <c r="B189" s="210"/>
      <c r="C189" s="210"/>
      <c r="D189" s="210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  <c r="AA189" s="210"/>
      <c r="AB189" s="210"/>
      <c r="AC189" s="210"/>
      <c r="AD189" s="210"/>
      <c r="AE189" s="210"/>
      <c r="AF189" s="210"/>
      <c r="AG189" s="210"/>
    </row>
    <row r="190" spans="1:33" ht="12.75" customHeight="1">
      <c r="A190" s="210"/>
      <c r="B190" s="210"/>
      <c r="C190" s="210"/>
      <c r="D190" s="210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  <c r="AA190" s="210"/>
      <c r="AB190" s="210"/>
      <c r="AC190" s="210"/>
      <c r="AD190" s="210"/>
      <c r="AE190" s="210"/>
      <c r="AF190" s="210"/>
      <c r="AG190" s="210"/>
    </row>
    <row r="191" spans="1:33" ht="12.75" customHeight="1">
      <c r="A191" s="210"/>
      <c r="B191" s="210"/>
      <c r="C191" s="210"/>
      <c r="D191" s="210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  <c r="AA191" s="210"/>
      <c r="AB191" s="210"/>
      <c r="AC191" s="210"/>
      <c r="AD191" s="210"/>
      <c r="AE191" s="210"/>
      <c r="AF191" s="210"/>
      <c r="AG191" s="210"/>
    </row>
    <row r="192" spans="1:33" ht="12.75" customHeight="1">
      <c r="A192" s="210"/>
      <c r="B192" s="210"/>
      <c r="C192" s="210"/>
      <c r="D192" s="210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  <c r="AA192" s="210"/>
      <c r="AB192" s="210"/>
      <c r="AC192" s="210"/>
      <c r="AD192" s="210"/>
      <c r="AE192" s="210"/>
      <c r="AF192" s="210"/>
      <c r="AG192" s="210"/>
    </row>
    <row r="193" spans="1:33" ht="12.75" customHeight="1">
      <c r="A193" s="210"/>
      <c r="B193" s="210"/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  <c r="AA193" s="210"/>
      <c r="AB193" s="210"/>
      <c r="AC193" s="210"/>
      <c r="AD193" s="210"/>
      <c r="AE193" s="210"/>
      <c r="AF193" s="210"/>
      <c r="AG193" s="210"/>
    </row>
    <row r="194" spans="1:33" ht="12.75" customHeight="1">
      <c r="A194" s="210"/>
      <c r="B194" s="210"/>
      <c r="C194" s="210"/>
      <c r="D194" s="210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  <c r="AA194" s="210"/>
      <c r="AB194" s="210"/>
      <c r="AC194" s="210"/>
      <c r="AD194" s="210"/>
      <c r="AE194" s="210"/>
      <c r="AF194" s="210"/>
      <c r="AG194" s="210"/>
    </row>
    <row r="195" spans="1:33" ht="12.75" customHeight="1">
      <c r="A195" s="210"/>
      <c r="B195" s="210"/>
      <c r="C195" s="210"/>
      <c r="D195" s="210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  <c r="AA195" s="210"/>
      <c r="AB195" s="210"/>
      <c r="AC195" s="210"/>
      <c r="AD195" s="210"/>
      <c r="AE195" s="210"/>
      <c r="AF195" s="210"/>
      <c r="AG195" s="210"/>
    </row>
    <row r="196" spans="1:33" ht="12.75" customHeight="1">
      <c r="A196" s="210"/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  <c r="AA196" s="210"/>
      <c r="AB196" s="210"/>
      <c r="AC196" s="210"/>
      <c r="AD196" s="210"/>
      <c r="AE196" s="210"/>
      <c r="AF196" s="210"/>
      <c r="AG196" s="210"/>
    </row>
    <row r="197" spans="1:33" ht="12.75" customHeight="1">
      <c r="A197" s="210"/>
      <c r="B197" s="210"/>
      <c r="C197" s="210"/>
      <c r="D197" s="210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  <c r="AD197" s="210"/>
      <c r="AE197" s="210"/>
      <c r="AF197" s="210"/>
      <c r="AG197" s="210"/>
    </row>
    <row r="198" spans="1:33" ht="12.75" customHeight="1">
      <c r="A198" s="210"/>
      <c r="B198" s="210"/>
      <c r="C198" s="210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  <c r="AA198" s="210"/>
      <c r="AB198" s="210"/>
      <c r="AC198" s="210"/>
      <c r="AD198" s="210"/>
      <c r="AE198" s="210"/>
      <c r="AF198" s="210"/>
      <c r="AG198" s="210"/>
    </row>
    <row r="199" spans="1:33" ht="12.75" customHeight="1">
      <c r="A199" s="210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  <c r="AD199" s="210"/>
      <c r="AE199" s="210"/>
      <c r="AF199" s="210"/>
      <c r="AG199" s="210"/>
    </row>
    <row r="200" spans="1:33" ht="12.75" customHeight="1">
      <c r="A200" s="210"/>
      <c r="B200" s="210"/>
      <c r="C200" s="210"/>
      <c r="D200" s="210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  <c r="AA200" s="210"/>
      <c r="AB200" s="210"/>
      <c r="AC200" s="210"/>
      <c r="AD200" s="210"/>
      <c r="AE200" s="210"/>
      <c r="AF200" s="210"/>
      <c r="AG200" s="210"/>
    </row>
    <row r="201" spans="1:33" ht="12.75" customHeight="1">
      <c r="A201" s="210"/>
      <c r="B201" s="210"/>
      <c r="C201" s="210"/>
      <c r="D201" s="210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  <c r="AA201" s="210"/>
      <c r="AB201" s="210"/>
      <c r="AC201" s="210"/>
      <c r="AD201" s="210"/>
      <c r="AE201" s="210"/>
      <c r="AF201" s="210"/>
      <c r="AG201" s="210"/>
    </row>
    <row r="202" spans="1:33" ht="12.75" customHeight="1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  <c r="AA202" s="210"/>
      <c r="AB202" s="210"/>
      <c r="AC202" s="210"/>
      <c r="AD202" s="210"/>
      <c r="AE202" s="210"/>
      <c r="AF202" s="210"/>
      <c r="AG202" s="210"/>
    </row>
    <row r="203" spans="1:33" ht="12.75" customHeight="1">
      <c r="A203" s="210"/>
      <c r="B203" s="210"/>
      <c r="C203" s="210"/>
      <c r="D203" s="210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  <c r="AA203" s="210"/>
      <c r="AB203" s="210"/>
      <c r="AC203" s="210"/>
      <c r="AD203" s="210"/>
      <c r="AE203" s="210"/>
      <c r="AF203" s="210"/>
      <c r="AG203" s="210"/>
    </row>
    <row r="204" spans="1:33" ht="12.75" customHeight="1">
      <c r="A204" s="210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  <c r="AA204" s="210"/>
      <c r="AB204" s="210"/>
      <c r="AC204" s="210"/>
      <c r="AD204" s="210"/>
      <c r="AE204" s="210"/>
      <c r="AF204" s="210"/>
      <c r="AG204" s="210"/>
    </row>
    <row r="205" spans="1:33" ht="12.75" customHeight="1">
      <c r="A205" s="210"/>
      <c r="B205" s="210"/>
      <c r="C205" s="210"/>
      <c r="D205" s="210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  <c r="AA205" s="210"/>
      <c r="AB205" s="210"/>
      <c r="AC205" s="210"/>
      <c r="AD205" s="210"/>
      <c r="AE205" s="210"/>
      <c r="AF205" s="210"/>
      <c r="AG205" s="210"/>
    </row>
    <row r="206" spans="1:33" ht="12.75" customHeight="1">
      <c r="A206" s="210"/>
      <c r="B206" s="210"/>
      <c r="C206" s="210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  <c r="AA206" s="210"/>
      <c r="AB206" s="210"/>
      <c r="AC206" s="210"/>
      <c r="AD206" s="210"/>
      <c r="AE206" s="210"/>
      <c r="AF206" s="210"/>
      <c r="AG206" s="210"/>
    </row>
    <row r="207" spans="1:33" ht="12.75" customHeight="1">
      <c r="A207" s="210"/>
      <c r="B207" s="210"/>
      <c r="C207" s="210"/>
      <c r="D207" s="210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  <c r="AA207" s="210"/>
      <c r="AB207" s="210"/>
      <c r="AC207" s="210"/>
      <c r="AD207" s="210"/>
      <c r="AE207" s="210"/>
      <c r="AF207" s="210"/>
      <c r="AG207" s="210"/>
    </row>
    <row r="208" spans="1:33" ht="12.75" customHeight="1">
      <c r="A208" s="210"/>
      <c r="B208" s="210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  <c r="AA208" s="210"/>
      <c r="AB208" s="210"/>
      <c r="AC208" s="210"/>
      <c r="AD208" s="210"/>
      <c r="AE208" s="210"/>
      <c r="AF208" s="210"/>
      <c r="AG208" s="210"/>
    </row>
    <row r="209" spans="1:33" ht="12.75" customHeight="1">
      <c r="A209" s="210"/>
      <c r="B209" s="210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0"/>
      <c r="AG209" s="210"/>
    </row>
    <row r="210" spans="1:33" ht="12.75" customHeight="1">
      <c r="A210" s="210"/>
      <c r="B210" s="210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  <c r="AA210" s="210"/>
      <c r="AB210" s="210"/>
      <c r="AC210" s="210"/>
      <c r="AD210" s="210"/>
      <c r="AE210" s="210"/>
      <c r="AF210" s="210"/>
      <c r="AG210" s="210"/>
    </row>
    <row r="211" spans="1:33" ht="12.75" customHeight="1">
      <c r="A211" s="210"/>
      <c r="B211" s="210"/>
      <c r="C211" s="210"/>
      <c r="D211" s="210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  <c r="AA211" s="210"/>
      <c r="AB211" s="210"/>
      <c r="AC211" s="210"/>
      <c r="AD211" s="210"/>
      <c r="AE211" s="210"/>
      <c r="AF211" s="210"/>
      <c r="AG211" s="210"/>
    </row>
    <row r="212" spans="1:33" ht="12.75" customHeight="1">
      <c r="A212" s="210"/>
      <c r="B212" s="210"/>
      <c r="C212" s="210"/>
      <c r="D212" s="210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  <c r="AA212" s="210"/>
      <c r="AB212" s="210"/>
      <c r="AC212" s="210"/>
      <c r="AD212" s="210"/>
      <c r="AE212" s="210"/>
      <c r="AF212" s="210"/>
      <c r="AG212" s="210"/>
    </row>
    <row r="213" spans="1:33" ht="12.75" customHeight="1">
      <c r="A213" s="210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  <c r="AA213" s="210"/>
      <c r="AB213" s="210"/>
      <c r="AC213" s="210"/>
      <c r="AD213" s="210"/>
      <c r="AE213" s="210"/>
      <c r="AF213" s="210"/>
      <c r="AG213" s="210"/>
    </row>
    <row r="214" spans="1:33" ht="12.75" customHeight="1">
      <c r="A214" s="210"/>
      <c r="B214" s="210"/>
      <c r="C214" s="210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  <c r="AA214" s="210"/>
      <c r="AB214" s="210"/>
      <c r="AC214" s="210"/>
      <c r="AD214" s="210"/>
      <c r="AE214" s="210"/>
      <c r="AF214" s="210"/>
      <c r="AG214" s="210"/>
    </row>
    <row r="215" spans="1:33" ht="12.75" customHeight="1">
      <c r="A215" s="210"/>
      <c r="B215" s="210"/>
      <c r="C215" s="210"/>
      <c r="D215" s="210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  <c r="AA215" s="210"/>
      <c r="AB215" s="210"/>
      <c r="AC215" s="210"/>
      <c r="AD215" s="210"/>
      <c r="AE215" s="210"/>
      <c r="AF215" s="210"/>
      <c r="AG215" s="210"/>
    </row>
    <row r="216" spans="1:33" ht="12.75" customHeight="1">
      <c r="A216" s="210"/>
      <c r="B216" s="210"/>
      <c r="C216" s="210"/>
      <c r="D216" s="210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  <c r="AA216" s="210"/>
      <c r="AB216" s="210"/>
      <c r="AC216" s="210"/>
      <c r="AD216" s="210"/>
      <c r="AE216" s="210"/>
      <c r="AF216" s="210"/>
      <c r="AG216" s="210"/>
    </row>
    <row r="217" spans="1:33" ht="12.75" customHeight="1">
      <c r="A217" s="210"/>
      <c r="B217" s="210"/>
      <c r="C217" s="210"/>
      <c r="D217" s="210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  <c r="AA217" s="210"/>
      <c r="AB217" s="210"/>
      <c r="AC217" s="210"/>
      <c r="AD217" s="210"/>
      <c r="AE217" s="210"/>
      <c r="AF217" s="210"/>
      <c r="AG217" s="210"/>
    </row>
    <row r="218" spans="1:33" ht="12.75" customHeight="1">
      <c r="A218" s="210"/>
      <c r="B218" s="210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  <c r="AA218" s="210"/>
      <c r="AB218" s="210"/>
      <c r="AC218" s="210"/>
      <c r="AD218" s="210"/>
      <c r="AE218" s="210"/>
      <c r="AF218" s="210"/>
      <c r="AG218" s="210"/>
    </row>
    <row r="219" spans="1:33" ht="12.75" customHeight="1">
      <c r="A219" s="210"/>
      <c r="B219" s="210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  <c r="AD219" s="210"/>
      <c r="AE219" s="210"/>
      <c r="AF219" s="210"/>
      <c r="AG219" s="210"/>
    </row>
    <row r="220" spans="1:33" ht="12.75" customHeight="1">
      <c r="A220" s="210"/>
      <c r="B220" s="210"/>
      <c r="C220" s="210"/>
      <c r="D220" s="210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10"/>
      <c r="AB220" s="210"/>
      <c r="AC220" s="210"/>
      <c r="AD220" s="210"/>
      <c r="AE220" s="210"/>
      <c r="AF220" s="210"/>
      <c r="AG220" s="210"/>
    </row>
    <row r="221" spans="1:33" ht="12.75" customHeight="1">
      <c r="A221" s="210"/>
      <c r="B221" s="210"/>
      <c r="C221" s="210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  <c r="AD221" s="210"/>
      <c r="AE221" s="210"/>
      <c r="AF221" s="210"/>
      <c r="AG221" s="210"/>
    </row>
    <row r="222" spans="1:33" ht="12.75" customHeight="1">
      <c r="A222" s="210"/>
      <c r="B222" s="210"/>
      <c r="C222" s="210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  <c r="AA222" s="210"/>
      <c r="AB222" s="210"/>
      <c r="AC222" s="210"/>
      <c r="AD222" s="210"/>
      <c r="AE222" s="210"/>
      <c r="AF222" s="210"/>
      <c r="AG222" s="210"/>
    </row>
    <row r="223" spans="1:33" ht="12.75" customHeight="1">
      <c r="A223" s="210"/>
      <c r="B223" s="210"/>
      <c r="C223" s="210"/>
      <c r="D223" s="210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  <c r="AD223" s="210"/>
      <c r="AE223" s="210"/>
      <c r="AF223" s="210"/>
      <c r="AG223" s="210"/>
    </row>
    <row r="224" spans="1:33" ht="12.75" customHeight="1">
      <c r="A224" s="210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  <c r="AA224" s="210"/>
      <c r="AB224" s="210"/>
      <c r="AC224" s="210"/>
      <c r="AD224" s="210"/>
      <c r="AE224" s="210"/>
      <c r="AF224" s="210"/>
      <c r="AG224" s="210"/>
    </row>
    <row r="225" spans="1:33" ht="12.75" customHeight="1">
      <c r="A225" s="210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  <c r="AD225" s="210"/>
      <c r="AE225" s="210"/>
      <c r="AF225" s="210"/>
      <c r="AG225" s="210"/>
    </row>
    <row r="226" spans="1:33" ht="12.75" customHeight="1">
      <c r="A226" s="210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  <c r="AD226" s="210"/>
      <c r="AE226" s="210"/>
      <c r="AF226" s="210"/>
      <c r="AG226" s="210"/>
    </row>
    <row r="227" spans="1:33" ht="12.75" customHeight="1">
      <c r="A227" s="210"/>
      <c r="B227" s="210"/>
      <c r="C227" s="210"/>
      <c r="D227" s="210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  <c r="AD227" s="210"/>
      <c r="AE227" s="210"/>
      <c r="AF227" s="210"/>
      <c r="AG227" s="210"/>
    </row>
    <row r="228" spans="1:33" ht="12.75" customHeight="1">
      <c r="A228" s="210"/>
      <c r="B228" s="210"/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10"/>
      <c r="AB228" s="210"/>
      <c r="AC228" s="210"/>
      <c r="AD228" s="210"/>
      <c r="AE228" s="210"/>
      <c r="AF228" s="210"/>
      <c r="AG228" s="210"/>
    </row>
    <row r="229" spans="1:33" ht="12.75" customHeight="1">
      <c r="A229" s="210"/>
      <c r="B229" s="210"/>
      <c r="C229" s="210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  <c r="AD229" s="210"/>
      <c r="AE229" s="210"/>
      <c r="AF229" s="210"/>
      <c r="AG229" s="210"/>
    </row>
    <row r="230" spans="1:33" ht="12.75" customHeight="1">
      <c r="A230" s="210"/>
      <c r="B230" s="210"/>
      <c r="C230" s="210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  <c r="AA230" s="210"/>
      <c r="AB230" s="210"/>
      <c r="AC230" s="210"/>
      <c r="AD230" s="210"/>
      <c r="AE230" s="210"/>
      <c r="AF230" s="210"/>
      <c r="AG230" s="210"/>
    </row>
    <row r="231" spans="1:33" ht="12.75" customHeight="1">
      <c r="A231" s="210"/>
      <c r="B231" s="210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  <c r="AA231" s="210"/>
      <c r="AB231" s="210"/>
      <c r="AC231" s="210"/>
      <c r="AD231" s="210"/>
      <c r="AE231" s="210"/>
      <c r="AF231" s="210"/>
      <c r="AG231" s="210"/>
    </row>
    <row r="232" spans="1:33" ht="12.75" customHeight="1">
      <c r="A232" s="210"/>
      <c r="B232" s="210"/>
      <c r="C232" s="210"/>
      <c r="D232" s="210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  <c r="AA232" s="210"/>
      <c r="AB232" s="210"/>
      <c r="AC232" s="210"/>
      <c r="AD232" s="210"/>
      <c r="AE232" s="210"/>
      <c r="AF232" s="210"/>
      <c r="AG232" s="210"/>
    </row>
    <row r="233" spans="1:33" ht="12.75" customHeight="1">
      <c r="A233" s="210"/>
      <c r="B233" s="210"/>
      <c r="C233" s="210"/>
      <c r="D233" s="210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  <c r="AD233" s="210"/>
      <c r="AE233" s="210"/>
      <c r="AF233" s="210"/>
      <c r="AG233" s="210"/>
    </row>
    <row r="234" spans="1:33" ht="12.75" customHeight="1">
      <c r="A234" s="210"/>
      <c r="B234" s="210"/>
      <c r="C234" s="210"/>
      <c r="D234" s="210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  <c r="AA234" s="210"/>
      <c r="AB234" s="210"/>
      <c r="AC234" s="210"/>
      <c r="AD234" s="210"/>
      <c r="AE234" s="210"/>
      <c r="AF234" s="210"/>
      <c r="AG234" s="210"/>
    </row>
    <row r="235" spans="1:33" ht="12.75" customHeight="1">
      <c r="A235" s="210"/>
      <c r="B235" s="210"/>
      <c r="C235" s="210"/>
      <c r="D235" s="210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0"/>
      <c r="AE235" s="210"/>
      <c r="AF235" s="210"/>
      <c r="AG235" s="210"/>
    </row>
    <row r="236" spans="1:33" ht="12.75" customHeight="1">
      <c r="A236" s="210"/>
      <c r="B236" s="210"/>
      <c r="C236" s="210"/>
      <c r="D236" s="210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  <c r="AA236" s="210"/>
      <c r="AB236" s="210"/>
      <c r="AC236" s="210"/>
      <c r="AD236" s="210"/>
      <c r="AE236" s="210"/>
      <c r="AF236" s="210"/>
      <c r="AG236" s="210"/>
    </row>
    <row r="237" spans="1:33" ht="12.75" customHeight="1">
      <c r="A237" s="210"/>
      <c r="B237" s="210"/>
      <c r="C237" s="210"/>
      <c r="D237" s="210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  <c r="AD237" s="210"/>
      <c r="AE237" s="210"/>
      <c r="AF237" s="210"/>
      <c r="AG237" s="210"/>
    </row>
    <row r="238" spans="1:33" ht="12.75" customHeight="1">
      <c r="A238" s="210"/>
      <c r="B238" s="210"/>
      <c r="C238" s="210"/>
      <c r="D238" s="210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10"/>
      <c r="AB238" s="210"/>
      <c r="AC238" s="210"/>
      <c r="AD238" s="210"/>
      <c r="AE238" s="210"/>
      <c r="AF238" s="210"/>
      <c r="AG238" s="210"/>
    </row>
    <row r="239" spans="1:33" ht="12.75" customHeight="1">
      <c r="A239" s="210"/>
      <c r="B239" s="210"/>
      <c r="C239" s="210"/>
      <c r="D239" s="210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  <c r="AD239" s="210"/>
      <c r="AE239" s="210"/>
      <c r="AF239" s="210"/>
      <c r="AG239" s="210"/>
    </row>
    <row r="240" spans="1:33" ht="12.75" customHeight="1">
      <c r="A240" s="210"/>
      <c r="B240" s="210"/>
      <c r="C240" s="210"/>
      <c r="D240" s="210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  <c r="AA240" s="210"/>
      <c r="AB240" s="210"/>
      <c r="AC240" s="210"/>
      <c r="AD240" s="210"/>
      <c r="AE240" s="210"/>
      <c r="AF240" s="210"/>
      <c r="AG240" s="210"/>
    </row>
    <row r="241" spans="1:33" ht="12.75" customHeight="1">
      <c r="A241" s="210"/>
      <c r="B241" s="210"/>
      <c r="C241" s="210"/>
      <c r="D241" s="210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  <c r="AD241" s="210"/>
      <c r="AE241" s="210"/>
      <c r="AF241" s="210"/>
      <c r="AG241" s="210"/>
    </row>
    <row r="242" spans="1:33" ht="12.75" customHeight="1">
      <c r="A242" s="210"/>
      <c r="B242" s="210"/>
      <c r="C242" s="210"/>
      <c r="D242" s="210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  <c r="AA242" s="210"/>
      <c r="AB242" s="210"/>
      <c r="AC242" s="210"/>
      <c r="AD242" s="210"/>
      <c r="AE242" s="210"/>
      <c r="AF242" s="210"/>
      <c r="AG242" s="210"/>
    </row>
    <row r="243" spans="1:33" ht="12.75" customHeight="1">
      <c r="A243" s="210"/>
      <c r="B243" s="210"/>
      <c r="C243" s="210"/>
      <c r="D243" s="210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  <c r="AD243" s="210"/>
      <c r="AE243" s="210"/>
      <c r="AF243" s="210"/>
      <c r="AG243" s="210"/>
    </row>
    <row r="244" spans="1:33" ht="12.75" customHeight="1">
      <c r="A244" s="210"/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  <c r="AA244" s="210"/>
      <c r="AB244" s="210"/>
      <c r="AC244" s="210"/>
      <c r="AD244" s="210"/>
      <c r="AE244" s="210"/>
      <c r="AF244" s="210"/>
      <c r="AG244" s="210"/>
    </row>
    <row r="245" spans="1:33" ht="12.75" customHeight="1">
      <c r="A245" s="210"/>
      <c r="B245" s="210"/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0"/>
      <c r="AE245" s="210"/>
      <c r="AF245" s="210"/>
      <c r="AG245" s="210"/>
    </row>
    <row r="246" spans="1:33" ht="12.75" customHeight="1">
      <c r="A246" s="210"/>
      <c r="B246" s="210"/>
      <c r="C246" s="210"/>
      <c r="D246" s="210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  <c r="AA246" s="210"/>
      <c r="AB246" s="210"/>
      <c r="AC246" s="210"/>
      <c r="AD246" s="210"/>
      <c r="AE246" s="210"/>
      <c r="AF246" s="210"/>
      <c r="AG246" s="210"/>
    </row>
    <row r="247" spans="1:33" ht="12.75" customHeight="1">
      <c r="A247" s="210"/>
      <c r="B247" s="210"/>
      <c r="C247" s="210"/>
      <c r="D247" s="210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  <c r="AD247" s="210"/>
      <c r="AE247" s="210"/>
      <c r="AF247" s="210"/>
      <c r="AG247" s="210"/>
    </row>
    <row r="248" spans="1:33" ht="12.75" customHeight="1">
      <c r="A248" s="210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  <c r="AA248" s="210"/>
      <c r="AB248" s="210"/>
      <c r="AC248" s="210"/>
      <c r="AD248" s="210"/>
      <c r="AE248" s="210"/>
      <c r="AF248" s="210"/>
      <c r="AG248" s="210"/>
    </row>
    <row r="249" spans="1:33" ht="12.75" customHeight="1">
      <c r="A249" s="210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  <c r="AD249" s="210"/>
      <c r="AE249" s="210"/>
      <c r="AF249" s="210"/>
      <c r="AG249" s="210"/>
    </row>
    <row r="250" spans="1:33" ht="12.75" customHeight="1">
      <c r="A250" s="210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  <c r="AA250" s="210"/>
      <c r="AB250" s="210"/>
      <c r="AC250" s="210"/>
      <c r="AD250" s="210"/>
      <c r="AE250" s="210"/>
      <c r="AF250" s="210"/>
      <c r="AG250" s="210"/>
    </row>
    <row r="251" spans="1:33" ht="12.75" customHeight="1">
      <c r="A251" s="210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  <c r="AD251" s="210"/>
      <c r="AE251" s="210"/>
      <c r="AF251" s="210"/>
      <c r="AG251" s="210"/>
    </row>
    <row r="252" spans="1:33" ht="12.75" customHeight="1">
      <c r="A252" s="210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  <c r="AA252" s="210"/>
      <c r="AB252" s="210"/>
      <c r="AC252" s="210"/>
      <c r="AD252" s="210"/>
      <c r="AE252" s="210"/>
      <c r="AF252" s="210"/>
      <c r="AG252" s="210"/>
    </row>
    <row r="253" spans="1:33" ht="12.75" customHeight="1">
      <c r="A253" s="210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0"/>
      <c r="AE253" s="210"/>
      <c r="AF253" s="210"/>
      <c r="AG253" s="210"/>
    </row>
    <row r="254" spans="1:33" ht="12.75" customHeight="1">
      <c r="A254" s="210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  <c r="AD254" s="210"/>
      <c r="AE254" s="210"/>
      <c r="AF254" s="210"/>
      <c r="AG254" s="210"/>
    </row>
    <row r="255" spans="1:33" ht="12.75" customHeight="1">
      <c r="A255" s="210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  <c r="AD255" s="210"/>
      <c r="AE255" s="210"/>
      <c r="AF255" s="210"/>
      <c r="AG255" s="210"/>
    </row>
    <row r="256" spans="1:33" ht="12.75" customHeight="1">
      <c r="A256" s="210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  <c r="AA256" s="210"/>
      <c r="AB256" s="210"/>
      <c r="AC256" s="210"/>
      <c r="AD256" s="210"/>
      <c r="AE256" s="210"/>
      <c r="AF256" s="210"/>
      <c r="AG256" s="210"/>
    </row>
    <row r="257" spans="1:33" ht="12.75" customHeight="1">
      <c r="A257" s="210"/>
      <c r="B257" s="210"/>
      <c r="C257" s="210"/>
      <c r="D257" s="210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  <c r="AD257" s="210"/>
      <c r="AE257" s="210"/>
      <c r="AF257" s="210"/>
      <c r="AG257" s="210"/>
    </row>
    <row r="258" spans="1:33" ht="12.75" customHeight="1">
      <c r="A258" s="210"/>
      <c r="B258" s="210"/>
      <c r="C258" s="210"/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  <c r="AA258" s="210"/>
      <c r="AB258" s="210"/>
      <c r="AC258" s="210"/>
      <c r="AD258" s="210"/>
      <c r="AE258" s="210"/>
      <c r="AF258" s="210"/>
      <c r="AG258" s="210"/>
    </row>
    <row r="259" spans="1:33" ht="12.75" customHeight="1">
      <c r="A259" s="210"/>
      <c r="B259" s="210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0"/>
      <c r="AE259" s="210"/>
      <c r="AF259" s="210"/>
      <c r="AG259" s="210"/>
    </row>
    <row r="260" spans="1:33" ht="12.75" customHeight="1">
      <c r="A260" s="210"/>
      <c r="B260" s="210"/>
      <c r="C260" s="210"/>
      <c r="D260" s="210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  <c r="AA260" s="210"/>
      <c r="AB260" s="210"/>
      <c r="AC260" s="210"/>
      <c r="AD260" s="210"/>
      <c r="AE260" s="210"/>
      <c r="AF260" s="210"/>
      <c r="AG260" s="210"/>
    </row>
    <row r="261" spans="1:33" ht="12.75" customHeight="1">
      <c r="A261" s="210"/>
      <c r="B261" s="210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0"/>
      <c r="AG261" s="210"/>
    </row>
    <row r="262" spans="1:33" ht="12.75" customHeight="1">
      <c r="A262" s="210"/>
      <c r="B262" s="210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  <c r="AA262" s="210"/>
      <c r="AB262" s="210"/>
      <c r="AC262" s="210"/>
      <c r="AD262" s="210"/>
      <c r="AE262" s="210"/>
      <c r="AF262" s="210"/>
      <c r="AG262" s="210"/>
    </row>
    <row r="263" spans="1:33" ht="12.75" customHeight="1">
      <c r="A263" s="210"/>
      <c r="B263" s="210"/>
      <c r="C263" s="210"/>
      <c r="D263" s="210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  <c r="AD263" s="210"/>
      <c r="AE263" s="210"/>
      <c r="AF263" s="210"/>
      <c r="AG263" s="210"/>
    </row>
    <row r="264" spans="1:33" ht="12.75" customHeight="1">
      <c r="A264" s="210"/>
      <c r="B264" s="210"/>
      <c r="C264" s="210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  <c r="AA264" s="210"/>
      <c r="AB264" s="210"/>
      <c r="AC264" s="210"/>
      <c r="AD264" s="210"/>
      <c r="AE264" s="210"/>
      <c r="AF264" s="210"/>
      <c r="AG264" s="210"/>
    </row>
    <row r="265" spans="1:33" ht="12.75" customHeight="1">
      <c r="A265" s="210"/>
      <c r="B265" s="210"/>
      <c r="C265" s="210"/>
      <c r="D265" s="210"/>
      <c r="E265" s="21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  <c r="AD265" s="210"/>
      <c r="AE265" s="210"/>
      <c r="AF265" s="210"/>
      <c r="AG265" s="210"/>
    </row>
    <row r="266" spans="1:33" ht="12.75" customHeight="1">
      <c r="A266" s="210"/>
      <c r="B266" s="210"/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  <c r="AA266" s="210"/>
      <c r="AB266" s="210"/>
      <c r="AC266" s="210"/>
      <c r="AD266" s="210"/>
      <c r="AE266" s="210"/>
      <c r="AF266" s="210"/>
      <c r="AG266" s="210"/>
    </row>
    <row r="267" spans="1:33" ht="12.75" customHeight="1">
      <c r="A267" s="210"/>
      <c r="B267" s="210"/>
      <c r="C267" s="210"/>
      <c r="D267" s="210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  <c r="AA267" s="210"/>
      <c r="AB267" s="210"/>
      <c r="AC267" s="210"/>
      <c r="AD267" s="210"/>
      <c r="AE267" s="210"/>
      <c r="AF267" s="210"/>
      <c r="AG267" s="210"/>
    </row>
    <row r="268" spans="1:33" ht="12.75" customHeight="1">
      <c r="A268" s="210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  <c r="AA268" s="210"/>
      <c r="AB268" s="210"/>
      <c r="AC268" s="210"/>
      <c r="AD268" s="210"/>
      <c r="AE268" s="210"/>
      <c r="AF268" s="210"/>
      <c r="AG268" s="210"/>
    </row>
    <row r="269" spans="1:33" ht="12.75" customHeight="1">
      <c r="A269" s="210"/>
      <c r="B269" s="210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  <c r="AA269" s="210"/>
      <c r="AB269" s="210"/>
      <c r="AC269" s="210"/>
      <c r="AD269" s="210"/>
      <c r="AE269" s="210"/>
      <c r="AF269" s="210"/>
      <c r="AG269" s="210"/>
    </row>
    <row r="270" spans="1:33" ht="12.75" customHeight="1">
      <c r="A270" s="210"/>
      <c r="B270" s="210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  <c r="AA270" s="210"/>
      <c r="AB270" s="210"/>
      <c r="AC270" s="210"/>
      <c r="AD270" s="210"/>
      <c r="AE270" s="210"/>
      <c r="AF270" s="210"/>
      <c r="AG270" s="210"/>
    </row>
    <row r="271" spans="1:33" ht="12.75" customHeight="1">
      <c r="A271" s="210"/>
      <c r="B271" s="210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  <c r="AA271" s="210"/>
      <c r="AB271" s="210"/>
      <c r="AC271" s="210"/>
      <c r="AD271" s="210"/>
      <c r="AE271" s="210"/>
      <c r="AF271" s="210"/>
      <c r="AG271" s="210"/>
    </row>
    <row r="272" spans="1:33" ht="12.75" customHeight="1">
      <c r="A272" s="210"/>
      <c r="B272" s="210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  <c r="AA272" s="210"/>
      <c r="AB272" s="210"/>
      <c r="AC272" s="210"/>
      <c r="AD272" s="210"/>
      <c r="AE272" s="210"/>
      <c r="AF272" s="210"/>
      <c r="AG272" s="210"/>
    </row>
    <row r="273" spans="1:33" ht="12.75" customHeight="1">
      <c r="A273" s="210"/>
      <c r="B273" s="210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  <c r="AA273" s="210"/>
      <c r="AB273" s="210"/>
      <c r="AC273" s="210"/>
      <c r="AD273" s="210"/>
      <c r="AE273" s="210"/>
      <c r="AF273" s="210"/>
      <c r="AG273" s="210"/>
    </row>
    <row r="274" spans="1:33" ht="12.75" customHeight="1">
      <c r="A274" s="210"/>
      <c r="B274" s="210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  <c r="AA274" s="210"/>
      <c r="AB274" s="210"/>
      <c r="AC274" s="210"/>
      <c r="AD274" s="210"/>
      <c r="AE274" s="210"/>
      <c r="AF274" s="210"/>
      <c r="AG274" s="210"/>
    </row>
    <row r="275" spans="1:33" ht="12.75" customHeight="1">
      <c r="A275" s="210"/>
      <c r="B275" s="210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  <c r="AA275" s="210"/>
      <c r="AB275" s="210"/>
      <c r="AC275" s="210"/>
      <c r="AD275" s="210"/>
      <c r="AE275" s="210"/>
      <c r="AF275" s="210"/>
      <c r="AG275" s="210"/>
    </row>
    <row r="276" spans="1:33" ht="12.75" customHeight="1">
      <c r="A276" s="210"/>
      <c r="B276" s="210"/>
      <c r="C276" s="210"/>
      <c r="D276" s="210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  <c r="AA276" s="210"/>
      <c r="AB276" s="210"/>
      <c r="AC276" s="210"/>
      <c r="AD276" s="210"/>
      <c r="AE276" s="210"/>
      <c r="AF276" s="210"/>
      <c r="AG276" s="210"/>
    </row>
    <row r="277" spans="1:33" ht="12.75" customHeight="1">
      <c r="A277" s="210"/>
      <c r="B277" s="210"/>
      <c r="C277" s="210"/>
      <c r="D277" s="210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  <c r="AA277" s="210"/>
      <c r="AB277" s="210"/>
      <c r="AC277" s="210"/>
      <c r="AD277" s="210"/>
      <c r="AE277" s="210"/>
      <c r="AF277" s="210"/>
      <c r="AG277" s="210"/>
    </row>
    <row r="278" spans="1:33" ht="12.75" customHeight="1">
      <c r="A278" s="210"/>
      <c r="B278" s="210"/>
      <c r="C278" s="210"/>
      <c r="D278" s="210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  <c r="AA278" s="210"/>
      <c r="AB278" s="210"/>
      <c r="AC278" s="210"/>
      <c r="AD278" s="210"/>
      <c r="AE278" s="210"/>
      <c r="AF278" s="210"/>
      <c r="AG278" s="210"/>
    </row>
    <row r="279" spans="1:33" ht="12.75" customHeight="1">
      <c r="A279" s="210"/>
      <c r="B279" s="210"/>
      <c r="C279" s="210"/>
      <c r="D279" s="210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  <c r="AA279" s="210"/>
      <c r="AB279" s="210"/>
      <c r="AC279" s="210"/>
      <c r="AD279" s="210"/>
      <c r="AE279" s="210"/>
      <c r="AF279" s="210"/>
      <c r="AG279" s="210"/>
    </row>
    <row r="280" spans="1:33" ht="12.75" customHeight="1">
      <c r="A280" s="210"/>
      <c r="B280" s="210"/>
      <c r="C280" s="210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  <c r="AA280" s="210"/>
      <c r="AB280" s="210"/>
      <c r="AC280" s="210"/>
      <c r="AD280" s="210"/>
      <c r="AE280" s="210"/>
      <c r="AF280" s="210"/>
      <c r="AG280" s="210"/>
    </row>
    <row r="281" spans="1:33" ht="12.75" customHeight="1">
      <c r="A281" s="210"/>
      <c r="B281" s="210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  <c r="AA281" s="210"/>
      <c r="AB281" s="210"/>
      <c r="AC281" s="210"/>
      <c r="AD281" s="210"/>
      <c r="AE281" s="210"/>
      <c r="AF281" s="210"/>
      <c r="AG281" s="210"/>
    </row>
    <row r="282" spans="1:33" ht="12.75" customHeight="1">
      <c r="A282" s="210"/>
      <c r="B282" s="210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  <c r="AA282" s="210"/>
      <c r="AB282" s="210"/>
      <c r="AC282" s="210"/>
      <c r="AD282" s="210"/>
      <c r="AE282" s="210"/>
      <c r="AF282" s="210"/>
      <c r="AG282" s="210"/>
    </row>
    <row r="283" spans="1:33" ht="12.75" customHeight="1">
      <c r="A283" s="210"/>
      <c r="B283" s="210"/>
      <c r="C283" s="210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  <c r="AA283" s="210"/>
      <c r="AB283" s="210"/>
      <c r="AC283" s="210"/>
      <c r="AD283" s="210"/>
      <c r="AE283" s="210"/>
      <c r="AF283" s="210"/>
      <c r="AG283" s="210"/>
    </row>
    <row r="284" spans="1:33" ht="12.75" customHeight="1">
      <c r="A284" s="210"/>
      <c r="B284" s="210"/>
      <c r="C284" s="210"/>
      <c r="D284" s="210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  <c r="AA284" s="210"/>
      <c r="AB284" s="210"/>
      <c r="AC284" s="210"/>
      <c r="AD284" s="210"/>
      <c r="AE284" s="210"/>
      <c r="AF284" s="210"/>
      <c r="AG284" s="210"/>
    </row>
    <row r="285" spans="1:33" ht="12.75" customHeight="1">
      <c r="A285" s="210"/>
      <c r="B285" s="210"/>
      <c r="C285" s="210"/>
      <c r="D285" s="210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  <c r="AA285" s="210"/>
      <c r="AB285" s="210"/>
      <c r="AC285" s="210"/>
      <c r="AD285" s="210"/>
      <c r="AE285" s="210"/>
      <c r="AF285" s="210"/>
      <c r="AG285" s="210"/>
    </row>
    <row r="286" spans="1:33" ht="12.75" customHeight="1">
      <c r="A286" s="210"/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  <c r="AA286" s="210"/>
      <c r="AB286" s="210"/>
      <c r="AC286" s="210"/>
      <c r="AD286" s="210"/>
      <c r="AE286" s="210"/>
      <c r="AF286" s="210"/>
      <c r="AG286" s="210"/>
    </row>
    <row r="287" spans="1:33" ht="12.75" customHeight="1">
      <c r="A287" s="210"/>
      <c r="B287" s="210"/>
      <c r="C287" s="210"/>
      <c r="D287" s="210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  <c r="AA287" s="210"/>
      <c r="AB287" s="210"/>
      <c r="AC287" s="210"/>
      <c r="AD287" s="210"/>
      <c r="AE287" s="210"/>
      <c r="AF287" s="210"/>
      <c r="AG287" s="210"/>
    </row>
    <row r="288" spans="1:33" ht="12.75" customHeight="1">
      <c r="A288" s="210"/>
      <c r="B288" s="210"/>
      <c r="C288" s="210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  <c r="AA288" s="210"/>
      <c r="AB288" s="210"/>
      <c r="AC288" s="210"/>
      <c r="AD288" s="210"/>
      <c r="AE288" s="210"/>
      <c r="AF288" s="210"/>
      <c r="AG288" s="210"/>
    </row>
    <row r="289" spans="1:33" ht="12.75" customHeight="1">
      <c r="A289" s="210"/>
      <c r="B289" s="210"/>
      <c r="C289" s="210"/>
      <c r="D289" s="210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  <c r="AA289" s="210"/>
      <c r="AB289" s="210"/>
      <c r="AC289" s="210"/>
      <c r="AD289" s="210"/>
      <c r="AE289" s="210"/>
      <c r="AF289" s="210"/>
      <c r="AG289" s="210"/>
    </row>
    <row r="290" spans="1:33" ht="12.75" customHeight="1">
      <c r="A290" s="210"/>
      <c r="B290" s="210"/>
      <c r="C290" s="210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  <c r="AA290" s="210"/>
      <c r="AB290" s="210"/>
      <c r="AC290" s="210"/>
      <c r="AD290" s="210"/>
      <c r="AE290" s="210"/>
      <c r="AF290" s="210"/>
      <c r="AG290" s="210"/>
    </row>
    <row r="291" spans="1:33" ht="12.75" customHeight="1">
      <c r="A291" s="210"/>
      <c r="B291" s="210"/>
      <c r="C291" s="210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  <c r="AA291" s="210"/>
      <c r="AB291" s="210"/>
      <c r="AC291" s="210"/>
      <c r="AD291" s="210"/>
      <c r="AE291" s="210"/>
      <c r="AF291" s="210"/>
      <c r="AG291" s="210"/>
    </row>
    <row r="292" spans="1:33" ht="12.75" customHeight="1">
      <c r="A292" s="210"/>
      <c r="B292" s="210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  <c r="AA292" s="210"/>
      <c r="AB292" s="210"/>
      <c r="AC292" s="210"/>
      <c r="AD292" s="210"/>
      <c r="AE292" s="210"/>
      <c r="AF292" s="210"/>
      <c r="AG292" s="210"/>
    </row>
    <row r="293" spans="1:33" ht="12.75" customHeight="1">
      <c r="A293" s="210"/>
      <c r="B293" s="210"/>
      <c r="C293" s="210"/>
      <c r="D293" s="210"/>
      <c r="E293" s="21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  <c r="AA293" s="210"/>
      <c r="AB293" s="210"/>
      <c r="AC293" s="210"/>
      <c r="AD293" s="210"/>
      <c r="AE293" s="210"/>
      <c r="AF293" s="210"/>
      <c r="AG293" s="210"/>
    </row>
    <row r="294" spans="1:33" ht="12.75" customHeight="1">
      <c r="A294" s="210"/>
      <c r="B294" s="210"/>
      <c r="C294" s="210"/>
      <c r="D294" s="210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  <c r="AA294" s="210"/>
      <c r="AB294" s="210"/>
      <c r="AC294" s="210"/>
      <c r="AD294" s="210"/>
      <c r="AE294" s="210"/>
      <c r="AF294" s="210"/>
      <c r="AG294" s="210"/>
    </row>
    <row r="295" spans="1:33" ht="12.75" customHeight="1">
      <c r="A295" s="210"/>
      <c r="B295" s="210"/>
      <c r="C295" s="210"/>
      <c r="D295" s="210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  <c r="AA295" s="210"/>
      <c r="AB295" s="210"/>
      <c r="AC295" s="210"/>
      <c r="AD295" s="210"/>
      <c r="AE295" s="210"/>
      <c r="AF295" s="210"/>
      <c r="AG295" s="210"/>
    </row>
    <row r="296" spans="1:33" ht="12.75" customHeight="1">
      <c r="A296" s="210"/>
      <c r="B296" s="210"/>
      <c r="C296" s="210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  <c r="AA296" s="210"/>
      <c r="AB296" s="210"/>
      <c r="AC296" s="210"/>
      <c r="AD296" s="210"/>
      <c r="AE296" s="210"/>
      <c r="AF296" s="210"/>
      <c r="AG296" s="210"/>
    </row>
    <row r="297" spans="1:33" ht="12.75" customHeight="1">
      <c r="A297" s="210"/>
      <c r="B297" s="210"/>
      <c r="C297" s="210"/>
      <c r="D297" s="210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  <c r="AA297" s="210"/>
      <c r="AB297" s="210"/>
      <c r="AC297" s="210"/>
      <c r="AD297" s="210"/>
      <c r="AE297" s="210"/>
      <c r="AF297" s="210"/>
      <c r="AG297" s="210"/>
    </row>
    <row r="298" spans="1:33" ht="12.75" customHeight="1">
      <c r="A298" s="210"/>
      <c r="B298" s="210"/>
      <c r="C298" s="210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  <c r="AA298" s="210"/>
      <c r="AB298" s="210"/>
      <c r="AC298" s="210"/>
      <c r="AD298" s="210"/>
      <c r="AE298" s="210"/>
      <c r="AF298" s="210"/>
      <c r="AG298" s="210"/>
    </row>
    <row r="299" spans="1:33" ht="12.75" customHeight="1">
      <c r="A299" s="210"/>
      <c r="B299" s="210"/>
      <c r="C299" s="210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  <c r="AA299" s="210"/>
      <c r="AB299" s="210"/>
      <c r="AC299" s="210"/>
      <c r="AD299" s="210"/>
      <c r="AE299" s="210"/>
      <c r="AF299" s="210"/>
      <c r="AG299" s="210"/>
    </row>
    <row r="300" spans="1:33" ht="12.75" customHeight="1">
      <c r="A300" s="210"/>
      <c r="B300" s="210"/>
      <c r="C300" s="210"/>
      <c r="D300" s="210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  <c r="AA300" s="210"/>
      <c r="AB300" s="210"/>
      <c r="AC300" s="210"/>
      <c r="AD300" s="210"/>
      <c r="AE300" s="210"/>
      <c r="AF300" s="210"/>
      <c r="AG300" s="210"/>
    </row>
    <row r="301" spans="1:33" ht="12.75" customHeight="1">
      <c r="A301" s="210"/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  <c r="AA301" s="210"/>
      <c r="AB301" s="210"/>
      <c r="AC301" s="210"/>
      <c r="AD301" s="210"/>
      <c r="AE301" s="210"/>
      <c r="AF301" s="210"/>
      <c r="AG301" s="210"/>
    </row>
    <row r="302" spans="1:33" ht="12.75" customHeight="1">
      <c r="A302" s="210"/>
      <c r="B302" s="210"/>
      <c r="C302" s="210"/>
      <c r="D302" s="210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  <c r="AA302" s="210"/>
      <c r="AB302" s="210"/>
      <c r="AC302" s="210"/>
      <c r="AD302" s="210"/>
      <c r="AE302" s="210"/>
      <c r="AF302" s="210"/>
      <c r="AG302" s="210"/>
    </row>
    <row r="303" spans="1:33" ht="12.75" customHeight="1">
      <c r="A303" s="210"/>
      <c r="B303" s="210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  <c r="AA303" s="210"/>
      <c r="AB303" s="210"/>
      <c r="AC303" s="210"/>
      <c r="AD303" s="210"/>
      <c r="AE303" s="210"/>
      <c r="AF303" s="210"/>
      <c r="AG303" s="210"/>
    </row>
    <row r="304" spans="1:33" ht="12.75" customHeight="1">
      <c r="A304" s="210"/>
      <c r="B304" s="210"/>
      <c r="C304" s="210"/>
      <c r="D304" s="210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  <c r="AA304" s="210"/>
      <c r="AB304" s="210"/>
      <c r="AC304" s="210"/>
      <c r="AD304" s="210"/>
      <c r="AE304" s="210"/>
      <c r="AF304" s="210"/>
      <c r="AG304" s="210"/>
    </row>
    <row r="305" spans="1:33" ht="12.75" customHeight="1">
      <c r="A305" s="210"/>
      <c r="B305" s="210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  <c r="AA305" s="210"/>
      <c r="AB305" s="210"/>
      <c r="AC305" s="210"/>
      <c r="AD305" s="210"/>
      <c r="AE305" s="210"/>
      <c r="AF305" s="210"/>
      <c r="AG305" s="210"/>
    </row>
    <row r="306" spans="1:33" ht="12.75" customHeight="1">
      <c r="A306" s="210"/>
      <c r="B306" s="210"/>
      <c r="C306" s="210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  <c r="AA306" s="210"/>
      <c r="AB306" s="210"/>
      <c r="AC306" s="210"/>
      <c r="AD306" s="210"/>
      <c r="AE306" s="210"/>
      <c r="AF306" s="210"/>
      <c r="AG306" s="210"/>
    </row>
    <row r="307" spans="1:33" ht="12.75" customHeight="1">
      <c r="A307" s="210"/>
      <c r="B307" s="210"/>
      <c r="C307" s="210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  <c r="AA307" s="210"/>
      <c r="AB307" s="210"/>
      <c r="AC307" s="210"/>
      <c r="AD307" s="210"/>
      <c r="AE307" s="210"/>
      <c r="AF307" s="210"/>
      <c r="AG307" s="210"/>
    </row>
    <row r="308" spans="1:33" ht="12.75" customHeight="1">
      <c r="A308" s="210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  <c r="AA308" s="210"/>
      <c r="AB308" s="210"/>
      <c r="AC308" s="210"/>
      <c r="AD308" s="210"/>
      <c r="AE308" s="210"/>
      <c r="AF308" s="210"/>
      <c r="AG308" s="210"/>
    </row>
    <row r="309" spans="1:33" ht="12.75" customHeight="1">
      <c r="A309" s="210"/>
      <c r="B309" s="210"/>
      <c r="C309" s="210"/>
      <c r="D309" s="210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  <c r="AA309" s="210"/>
      <c r="AB309" s="210"/>
      <c r="AC309" s="210"/>
      <c r="AD309" s="210"/>
      <c r="AE309" s="210"/>
      <c r="AF309" s="210"/>
      <c r="AG309" s="210"/>
    </row>
    <row r="310" spans="1:33" ht="12.75" customHeight="1">
      <c r="A310" s="210"/>
      <c r="B310" s="210"/>
      <c r="C310" s="210"/>
      <c r="D310" s="210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  <c r="AA310" s="210"/>
      <c r="AB310" s="210"/>
      <c r="AC310" s="210"/>
      <c r="AD310" s="210"/>
      <c r="AE310" s="210"/>
      <c r="AF310" s="210"/>
      <c r="AG310" s="210"/>
    </row>
    <row r="311" spans="1:33" ht="12.75" customHeight="1">
      <c r="A311" s="210"/>
      <c r="B311" s="210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  <c r="AA311" s="210"/>
      <c r="AB311" s="210"/>
      <c r="AC311" s="210"/>
      <c r="AD311" s="210"/>
      <c r="AE311" s="210"/>
      <c r="AF311" s="210"/>
      <c r="AG311" s="210"/>
    </row>
    <row r="312" spans="1:33" ht="12.75" customHeight="1">
      <c r="A312" s="210"/>
      <c r="B312" s="210"/>
      <c r="C312" s="210"/>
      <c r="D312" s="210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  <c r="AA312" s="210"/>
      <c r="AB312" s="210"/>
      <c r="AC312" s="210"/>
      <c r="AD312" s="210"/>
      <c r="AE312" s="210"/>
      <c r="AF312" s="210"/>
      <c r="AG312" s="210"/>
    </row>
    <row r="313" spans="1:33" ht="12.75" customHeight="1">
      <c r="A313" s="210"/>
      <c r="B313" s="210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0"/>
      <c r="AG313" s="210"/>
    </row>
    <row r="314" spans="1:33" ht="12.75" customHeight="1">
      <c r="A314" s="210"/>
      <c r="B314" s="210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  <c r="AA314" s="210"/>
      <c r="AB314" s="210"/>
      <c r="AC314" s="210"/>
      <c r="AD314" s="210"/>
      <c r="AE314" s="210"/>
      <c r="AF314" s="210"/>
      <c r="AG314" s="210"/>
    </row>
    <row r="315" spans="1:33" ht="12.75" customHeight="1">
      <c r="A315" s="210"/>
      <c r="B315" s="210"/>
      <c r="C315" s="210"/>
      <c r="D315" s="210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  <c r="AA315" s="210"/>
      <c r="AB315" s="210"/>
      <c r="AC315" s="210"/>
      <c r="AD315" s="210"/>
      <c r="AE315" s="210"/>
      <c r="AF315" s="210"/>
      <c r="AG315" s="210"/>
    </row>
    <row r="316" spans="1:33" ht="12.75" customHeight="1">
      <c r="A316" s="210"/>
      <c r="B316" s="210"/>
      <c r="C316" s="210"/>
      <c r="D316" s="210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  <c r="AA316" s="210"/>
      <c r="AB316" s="210"/>
      <c r="AC316" s="210"/>
      <c r="AD316" s="210"/>
      <c r="AE316" s="210"/>
      <c r="AF316" s="210"/>
      <c r="AG316" s="210"/>
    </row>
    <row r="317" spans="1:33" ht="12.75" customHeight="1">
      <c r="A317" s="210"/>
      <c r="B317" s="210"/>
      <c r="C317" s="210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  <c r="AA317" s="210"/>
      <c r="AB317" s="210"/>
      <c r="AC317" s="210"/>
      <c r="AD317" s="210"/>
      <c r="AE317" s="210"/>
      <c r="AF317" s="210"/>
      <c r="AG317" s="210"/>
    </row>
    <row r="318" spans="1:33" ht="12.75" customHeight="1">
      <c r="A318" s="210"/>
      <c r="B318" s="210"/>
      <c r="C318" s="210"/>
      <c r="D318" s="210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  <c r="AA318" s="210"/>
      <c r="AB318" s="210"/>
      <c r="AC318" s="210"/>
      <c r="AD318" s="210"/>
      <c r="AE318" s="210"/>
      <c r="AF318" s="210"/>
      <c r="AG318" s="210"/>
    </row>
    <row r="319" spans="1:33" ht="12.75" customHeight="1">
      <c r="A319" s="210"/>
      <c r="B319" s="210"/>
      <c r="C319" s="210"/>
      <c r="D319" s="210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  <c r="AA319" s="210"/>
      <c r="AB319" s="210"/>
      <c r="AC319" s="210"/>
      <c r="AD319" s="210"/>
      <c r="AE319" s="210"/>
      <c r="AF319" s="210"/>
      <c r="AG319" s="210"/>
    </row>
    <row r="320" spans="1:33" ht="12.75" customHeight="1">
      <c r="A320" s="210"/>
      <c r="B320" s="210"/>
      <c r="C320" s="210"/>
      <c r="D320" s="210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  <c r="AA320" s="210"/>
      <c r="AB320" s="210"/>
      <c r="AC320" s="210"/>
      <c r="AD320" s="210"/>
      <c r="AE320" s="210"/>
      <c r="AF320" s="210"/>
      <c r="AG320" s="210"/>
    </row>
    <row r="321" spans="1:33" ht="12.75" customHeight="1">
      <c r="A321" s="210"/>
      <c r="B321" s="210"/>
      <c r="C321" s="210"/>
      <c r="D321" s="210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  <c r="AA321" s="210"/>
      <c r="AB321" s="210"/>
      <c r="AC321" s="210"/>
      <c r="AD321" s="210"/>
      <c r="AE321" s="210"/>
      <c r="AF321" s="210"/>
      <c r="AG321" s="210"/>
    </row>
    <row r="322" spans="1:33" ht="12.75" customHeight="1">
      <c r="A322" s="210"/>
      <c r="B322" s="210"/>
      <c r="C322" s="210"/>
      <c r="D322" s="210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  <c r="AA322" s="210"/>
      <c r="AB322" s="210"/>
      <c r="AC322" s="210"/>
      <c r="AD322" s="210"/>
      <c r="AE322" s="210"/>
      <c r="AF322" s="210"/>
      <c r="AG322" s="210"/>
    </row>
    <row r="323" spans="1:33" ht="12.75" customHeight="1">
      <c r="A323" s="210"/>
      <c r="B323" s="210"/>
      <c r="C323" s="210"/>
      <c r="D323" s="210"/>
      <c r="E323" s="21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  <c r="AA323" s="210"/>
      <c r="AB323" s="210"/>
      <c r="AC323" s="210"/>
      <c r="AD323" s="210"/>
      <c r="AE323" s="210"/>
      <c r="AF323" s="210"/>
      <c r="AG323" s="210"/>
    </row>
    <row r="324" spans="1:33" ht="12.75" customHeight="1">
      <c r="A324" s="210"/>
      <c r="B324" s="210"/>
      <c r="C324" s="210"/>
      <c r="D324" s="210"/>
      <c r="E324" s="21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  <c r="AA324" s="210"/>
      <c r="AB324" s="210"/>
      <c r="AC324" s="210"/>
      <c r="AD324" s="210"/>
      <c r="AE324" s="210"/>
      <c r="AF324" s="210"/>
      <c r="AG324" s="210"/>
    </row>
    <row r="325" spans="1:33" ht="12.75" customHeight="1">
      <c r="A325" s="210"/>
      <c r="B325" s="210"/>
      <c r="C325" s="210"/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  <c r="AA325" s="210"/>
      <c r="AB325" s="210"/>
      <c r="AC325" s="210"/>
      <c r="AD325" s="210"/>
      <c r="AE325" s="210"/>
      <c r="AF325" s="210"/>
      <c r="AG325" s="210"/>
    </row>
    <row r="326" spans="1:33" ht="12.75" customHeight="1">
      <c r="A326" s="210"/>
      <c r="B326" s="210"/>
      <c r="C326" s="210"/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  <c r="AA326" s="210"/>
      <c r="AB326" s="210"/>
      <c r="AC326" s="210"/>
      <c r="AD326" s="210"/>
      <c r="AE326" s="210"/>
      <c r="AF326" s="210"/>
      <c r="AG326" s="210"/>
    </row>
    <row r="327" spans="1:33" ht="12.75" customHeight="1">
      <c r="A327" s="210"/>
      <c r="B327" s="210"/>
      <c r="C327" s="210"/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  <c r="AA327" s="210"/>
      <c r="AB327" s="210"/>
      <c r="AC327" s="210"/>
      <c r="AD327" s="210"/>
      <c r="AE327" s="210"/>
      <c r="AF327" s="210"/>
      <c r="AG327" s="210"/>
    </row>
    <row r="328" spans="1:33" ht="12.75" customHeight="1">
      <c r="A328" s="210"/>
      <c r="B328" s="210"/>
      <c r="C328" s="210"/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  <c r="AA328" s="210"/>
      <c r="AB328" s="210"/>
      <c r="AC328" s="210"/>
      <c r="AD328" s="210"/>
      <c r="AE328" s="210"/>
      <c r="AF328" s="210"/>
      <c r="AG328" s="210"/>
    </row>
    <row r="329" spans="1:33" ht="12.75" customHeight="1">
      <c r="A329" s="210"/>
      <c r="B329" s="210"/>
      <c r="C329" s="210"/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  <c r="AA329" s="210"/>
      <c r="AB329" s="210"/>
      <c r="AC329" s="210"/>
      <c r="AD329" s="210"/>
      <c r="AE329" s="210"/>
      <c r="AF329" s="210"/>
      <c r="AG329" s="210"/>
    </row>
    <row r="330" spans="1:33" ht="12.75" customHeight="1">
      <c r="A330" s="210"/>
      <c r="B330" s="210"/>
      <c r="C330" s="210"/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  <c r="AA330" s="210"/>
      <c r="AB330" s="210"/>
      <c r="AC330" s="210"/>
      <c r="AD330" s="210"/>
      <c r="AE330" s="210"/>
      <c r="AF330" s="210"/>
      <c r="AG330" s="210"/>
    </row>
    <row r="331" spans="1:33" ht="12.75" customHeight="1">
      <c r="A331" s="210"/>
      <c r="B331" s="210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  <c r="AA331" s="210"/>
      <c r="AB331" s="210"/>
      <c r="AC331" s="210"/>
      <c r="AD331" s="210"/>
      <c r="AE331" s="210"/>
      <c r="AF331" s="210"/>
      <c r="AG331" s="210"/>
    </row>
    <row r="332" spans="1:33" ht="12.75" customHeight="1">
      <c r="A332" s="210"/>
      <c r="B332" s="210"/>
      <c r="C332" s="210"/>
      <c r="D332" s="210"/>
      <c r="E332" s="21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  <c r="AA332" s="210"/>
      <c r="AB332" s="210"/>
      <c r="AC332" s="210"/>
      <c r="AD332" s="210"/>
      <c r="AE332" s="210"/>
      <c r="AF332" s="210"/>
      <c r="AG332" s="210"/>
    </row>
    <row r="333" spans="1:33" ht="12.75" customHeight="1">
      <c r="A333" s="210"/>
      <c r="B333" s="210"/>
      <c r="C333" s="210"/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  <c r="AA333" s="210"/>
      <c r="AB333" s="210"/>
      <c r="AC333" s="210"/>
      <c r="AD333" s="210"/>
      <c r="AE333" s="210"/>
      <c r="AF333" s="210"/>
      <c r="AG333" s="210"/>
    </row>
    <row r="334" spans="1:33" ht="12.75" customHeight="1">
      <c r="A334" s="210"/>
      <c r="B334" s="210"/>
      <c r="C334" s="210"/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  <c r="AA334" s="210"/>
      <c r="AB334" s="210"/>
      <c r="AC334" s="210"/>
      <c r="AD334" s="210"/>
      <c r="AE334" s="210"/>
      <c r="AF334" s="210"/>
      <c r="AG334" s="210"/>
    </row>
    <row r="335" spans="1:33" ht="12.75" customHeight="1">
      <c r="A335" s="210"/>
      <c r="B335" s="210"/>
      <c r="C335" s="210"/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  <c r="AA335" s="210"/>
      <c r="AB335" s="210"/>
      <c r="AC335" s="210"/>
      <c r="AD335" s="210"/>
      <c r="AE335" s="210"/>
      <c r="AF335" s="210"/>
      <c r="AG335" s="210"/>
    </row>
    <row r="336" spans="1:33" ht="12.75" customHeight="1">
      <c r="A336" s="210"/>
      <c r="B336" s="210"/>
      <c r="C336" s="210"/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  <c r="AA336" s="210"/>
      <c r="AB336" s="210"/>
      <c r="AC336" s="210"/>
      <c r="AD336" s="210"/>
      <c r="AE336" s="210"/>
      <c r="AF336" s="210"/>
      <c r="AG336" s="210"/>
    </row>
    <row r="337" spans="1:33" ht="12.75" customHeight="1">
      <c r="A337" s="210"/>
      <c r="B337" s="210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  <c r="AA337" s="210"/>
      <c r="AB337" s="210"/>
      <c r="AC337" s="210"/>
      <c r="AD337" s="210"/>
      <c r="AE337" s="210"/>
      <c r="AF337" s="210"/>
      <c r="AG337" s="210"/>
    </row>
    <row r="338" spans="1:33" ht="12.75" customHeight="1">
      <c r="A338" s="210"/>
      <c r="B338" s="210"/>
      <c r="C338" s="210"/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  <c r="AA338" s="210"/>
      <c r="AB338" s="210"/>
      <c r="AC338" s="210"/>
      <c r="AD338" s="210"/>
      <c r="AE338" s="210"/>
      <c r="AF338" s="210"/>
      <c r="AG338" s="210"/>
    </row>
    <row r="339" spans="1:33" ht="12.75" customHeight="1">
      <c r="A339" s="210"/>
      <c r="B339" s="210"/>
      <c r="C339" s="210"/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  <c r="AA339" s="210"/>
      <c r="AB339" s="210"/>
      <c r="AC339" s="210"/>
      <c r="AD339" s="210"/>
      <c r="AE339" s="210"/>
      <c r="AF339" s="210"/>
      <c r="AG339" s="210"/>
    </row>
    <row r="340" spans="1:33" ht="12.75" customHeight="1">
      <c r="A340" s="210"/>
      <c r="B340" s="210"/>
      <c r="C340" s="210"/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  <c r="AA340" s="210"/>
      <c r="AB340" s="210"/>
      <c r="AC340" s="210"/>
      <c r="AD340" s="210"/>
      <c r="AE340" s="210"/>
      <c r="AF340" s="210"/>
      <c r="AG340" s="210"/>
    </row>
    <row r="341" spans="1:33" ht="12.75" customHeight="1">
      <c r="A341" s="210"/>
      <c r="B341" s="210"/>
      <c r="C341" s="210"/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  <c r="AA341" s="210"/>
      <c r="AB341" s="210"/>
      <c r="AC341" s="210"/>
      <c r="AD341" s="210"/>
      <c r="AE341" s="210"/>
      <c r="AF341" s="210"/>
      <c r="AG341" s="210"/>
    </row>
    <row r="342" spans="1:33" ht="12.75" customHeight="1">
      <c r="A342" s="210"/>
      <c r="B342" s="210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  <c r="AA342" s="210"/>
      <c r="AB342" s="210"/>
      <c r="AC342" s="210"/>
      <c r="AD342" s="210"/>
      <c r="AE342" s="210"/>
      <c r="AF342" s="210"/>
      <c r="AG342" s="210"/>
    </row>
    <row r="343" spans="1:33" ht="12.75" customHeight="1">
      <c r="A343" s="210"/>
      <c r="B343" s="210"/>
      <c r="C343" s="210"/>
      <c r="D343" s="210"/>
      <c r="E343" s="21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  <c r="AA343" s="210"/>
      <c r="AB343" s="210"/>
      <c r="AC343" s="210"/>
      <c r="AD343" s="210"/>
      <c r="AE343" s="210"/>
      <c r="AF343" s="210"/>
      <c r="AG343" s="210"/>
    </row>
    <row r="344" spans="1:33" ht="12.75" customHeight="1">
      <c r="A344" s="210"/>
      <c r="B344" s="210"/>
      <c r="C344" s="210"/>
      <c r="D344" s="210"/>
      <c r="E344" s="21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  <c r="AA344" s="210"/>
      <c r="AB344" s="210"/>
      <c r="AC344" s="210"/>
      <c r="AD344" s="210"/>
      <c r="AE344" s="210"/>
      <c r="AF344" s="210"/>
      <c r="AG344" s="210"/>
    </row>
    <row r="345" spans="1:33" ht="12.75" customHeight="1">
      <c r="A345" s="210"/>
      <c r="B345" s="210"/>
      <c r="C345" s="210"/>
      <c r="D345" s="210"/>
      <c r="E345" s="21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  <c r="AA345" s="210"/>
      <c r="AB345" s="210"/>
      <c r="AC345" s="210"/>
      <c r="AD345" s="210"/>
      <c r="AE345" s="210"/>
      <c r="AF345" s="210"/>
      <c r="AG345" s="210"/>
    </row>
    <row r="346" spans="1:33" ht="12.75" customHeight="1">
      <c r="A346" s="210"/>
      <c r="B346" s="210"/>
      <c r="C346" s="210"/>
      <c r="D346" s="210"/>
      <c r="E346" s="21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  <c r="AA346" s="210"/>
      <c r="AB346" s="210"/>
      <c r="AC346" s="210"/>
      <c r="AD346" s="210"/>
      <c r="AE346" s="210"/>
      <c r="AF346" s="210"/>
      <c r="AG346" s="210"/>
    </row>
    <row r="347" spans="1:33" ht="12.75" customHeight="1">
      <c r="A347" s="210"/>
      <c r="B347" s="210"/>
      <c r="C347" s="210"/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  <c r="AA347" s="210"/>
      <c r="AB347" s="210"/>
      <c r="AC347" s="210"/>
      <c r="AD347" s="210"/>
      <c r="AE347" s="210"/>
      <c r="AF347" s="210"/>
      <c r="AG347" s="210"/>
    </row>
    <row r="348" spans="1:33" ht="12.75" customHeight="1">
      <c r="A348" s="210"/>
      <c r="B348" s="210"/>
      <c r="C348" s="210"/>
      <c r="D348" s="210"/>
      <c r="E348" s="21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  <c r="AA348" s="210"/>
      <c r="AB348" s="210"/>
      <c r="AC348" s="210"/>
      <c r="AD348" s="210"/>
      <c r="AE348" s="210"/>
      <c r="AF348" s="210"/>
      <c r="AG348" s="210"/>
    </row>
    <row r="349" spans="1:33" ht="12.75" customHeight="1">
      <c r="A349" s="210"/>
      <c r="B349" s="210"/>
      <c r="C349" s="210"/>
      <c r="D349" s="210"/>
      <c r="E349" s="21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  <c r="AA349" s="210"/>
      <c r="AB349" s="210"/>
      <c r="AC349" s="210"/>
      <c r="AD349" s="210"/>
      <c r="AE349" s="210"/>
      <c r="AF349" s="210"/>
      <c r="AG349" s="210"/>
    </row>
    <row r="350" spans="1:33" ht="12.75" customHeight="1">
      <c r="A350" s="210"/>
      <c r="B350" s="210"/>
      <c r="C350" s="210"/>
      <c r="D350" s="210"/>
      <c r="E350" s="21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  <c r="AA350" s="210"/>
      <c r="AB350" s="210"/>
      <c r="AC350" s="210"/>
      <c r="AD350" s="210"/>
      <c r="AE350" s="210"/>
      <c r="AF350" s="210"/>
      <c r="AG350" s="210"/>
    </row>
    <row r="351" spans="1:33" ht="12.75" customHeight="1">
      <c r="A351" s="210"/>
      <c r="B351" s="210"/>
      <c r="C351" s="210"/>
      <c r="D351" s="210"/>
      <c r="E351" s="21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  <c r="AA351" s="210"/>
      <c r="AB351" s="210"/>
      <c r="AC351" s="210"/>
      <c r="AD351" s="210"/>
      <c r="AE351" s="210"/>
      <c r="AF351" s="210"/>
      <c r="AG351" s="210"/>
    </row>
    <row r="352" spans="1:33" ht="12.75" customHeight="1">
      <c r="A352" s="210"/>
      <c r="B352" s="210"/>
      <c r="C352" s="210"/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  <c r="AA352" s="210"/>
      <c r="AB352" s="210"/>
      <c r="AC352" s="210"/>
      <c r="AD352" s="210"/>
      <c r="AE352" s="210"/>
      <c r="AF352" s="210"/>
      <c r="AG352" s="210"/>
    </row>
    <row r="353" spans="1:33" ht="12.75" customHeight="1">
      <c r="A353" s="210"/>
      <c r="B353" s="210"/>
      <c r="C353" s="210"/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  <c r="AA353" s="210"/>
      <c r="AB353" s="210"/>
      <c r="AC353" s="210"/>
      <c r="AD353" s="210"/>
      <c r="AE353" s="210"/>
      <c r="AF353" s="210"/>
      <c r="AG353" s="210"/>
    </row>
    <row r="354" spans="1:33" ht="12.75" customHeight="1">
      <c r="A354" s="210"/>
      <c r="B354" s="210"/>
      <c r="C354" s="210"/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  <c r="AA354" s="210"/>
      <c r="AB354" s="210"/>
      <c r="AC354" s="210"/>
      <c r="AD354" s="210"/>
      <c r="AE354" s="210"/>
      <c r="AF354" s="210"/>
      <c r="AG354" s="210"/>
    </row>
    <row r="355" spans="1:33" ht="12.75" customHeight="1">
      <c r="A355" s="210"/>
      <c r="B355" s="210"/>
      <c r="C355" s="210"/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  <c r="AA355" s="210"/>
      <c r="AB355" s="210"/>
      <c r="AC355" s="210"/>
      <c r="AD355" s="210"/>
      <c r="AE355" s="210"/>
      <c r="AF355" s="210"/>
      <c r="AG355" s="210"/>
    </row>
    <row r="356" spans="1:33" ht="12.75" customHeight="1">
      <c r="A356" s="210"/>
      <c r="B356" s="210"/>
      <c r="C356" s="210"/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  <c r="AA356" s="210"/>
      <c r="AB356" s="210"/>
      <c r="AC356" s="210"/>
      <c r="AD356" s="210"/>
      <c r="AE356" s="210"/>
      <c r="AF356" s="210"/>
      <c r="AG356" s="210"/>
    </row>
    <row r="357" spans="1:33" ht="12.75" customHeight="1">
      <c r="A357" s="210"/>
      <c r="B357" s="210"/>
      <c r="C357" s="210"/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  <c r="AA357" s="210"/>
      <c r="AB357" s="210"/>
      <c r="AC357" s="210"/>
      <c r="AD357" s="210"/>
      <c r="AE357" s="210"/>
      <c r="AF357" s="210"/>
      <c r="AG357" s="210"/>
    </row>
    <row r="358" spans="1:33" ht="12.75" customHeight="1">
      <c r="A358" s="210"/>
      <c r="B358" s="210"/>
      <c r="C358" s="210"/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  <c r="AA358" s="210"/>
      <c r="AB358" s="210"/>
      <c r="AC358" s="210"/>
      <c r="AD358" s="210"/>
      <c r="AE358" s="210"/>
      <c r="AF358" s="210"/>
      <c r="AG358" s="210"/>
    </row>
    <row r="359" spans="1:33" ht="12.75" customHeight="1">
      <c r="A359" s="210"/>
      <c r="B359" s="210"/>
      <c r="C359" s="210"/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  <c r="AA359" s="210"/>
      <c r="AB359" s="210"/>
      <c r="AC359" s="210"/>
      <c r="AD359" s="210"/>
      <c r="AE359" s="210"/>
      <c r="AF359" s="210"/>
      <c r="AG359" s="210"/>
    </row>
    <row r="360" spans="1:33" ht="12.75" customHeight="1">
      <c r="A360" s="210"/>
      <c r="B360" s="210"/>
      <c r="C360" s="210"/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  <c r="AA360" s="210"/>
      <c r="AB360" s="210"/>
      <c r="AC360" s="210"/>
      <c r="AD360" s="210"/>
      <c r="AE360" s="210"/>
      <c r="AF360" s="210"/>
      <c r="AG360" s="210"/>
    </row>
    <row r="361" spans="1:33" ht="12.75" customHeight="1">
      <c r="A361" s="210"/>
      <c r="B361" s="210"/>
      <c r="C361" s="210"/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  <c r="AA361" s="210"/>
      <c r="AB361" s="210"/>
      <c r="AC361" s="210"/>
      <c r="AD361" s="210"/>
      <c r="AE361" s="210"/>
      <c r="AF361" s="210"/>
      <c r="AG361" s="210"/>
    </row>
    <row r="362" spans="1:33" ht="12.75" customHeight="1">
      <c r="A362" s="210"/>
      <c r="B362" s="210"/>
      <c r="C362" s="210"/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  <c r="AA362" s="210"/>
      <c r="AB362" s="210"/>
      <c r="AC362" s="210"/>
      <c r="AD362" s="210"/>
      <c r="AE362" s="210"/>
      <c r="AF362" s="210"/>
      <c r="AG362" s="210"/>
    </row>
    <row r="363" spans="1:33" ht="12.75" customHeight="1">
      <c r="A363" s="210"/>
      <c r="B363" s="210"/>
      <c r="C363" s="210"/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  <c r="AA363" s="210"/>
      <c r="AB363" s="210"/>
      <c r="AC363" s="210"/>
      <c r="AD363" s="210"/>
      <c r="AE363" s="210"/>
      <c r="AF363" s="210"/>
      <c r="AG363" s="210"/>
    </row>
    <row r="364" spans="1:33" ht="12.75" customHeight="1">
      <c r="A364" s="210"/>
      <c r="B364" s="210"/>
      <c r="C364" s="210"/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  <c r="AA364" s="210"/>
      <c r="AB364" s="210"/>
      <c r="AC364" s="210"/>
      <c r="AD364" s="210"/>
      <c r="AE364" s="210"/>
      <c r="AF364" s="210"/>
      <c r="AG364" s="210"/>
    </row>
    <row r="365" spans="1:33" ht="12.75" customHeight="1">
      <c r="A365" s="210"/>
      <c r="B365" s="210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0"/>
      <c r="AG365" s="210"/>
    </row>
    <row r="366" spans="1:33" ht="12.75" customHeight="1">
      <c r="A366" s="210"/>
      <c r="B366" s="210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  <c r="AA366" s="210"/>
      <c r="AB366" s="210"/>
      <c r="AC366" s="210"/>
      <c r="AD366" s="210"/>
      <c r="AE366" s="210"/>
      <c r="AF366" s="210"/>
      <c r="AG366" s="210"/>
    </row>
    <row r="367" spans="1:33" ht="12.75" customHeight="1">
      <c r="A367" s="210"/>
      <c r="B367" s="210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  <c r="AA367" s="210"/>
      <c r="AB367" s="210"/>
      <c r="AC367" s="210"/>
      <c r="AD367" s="210"/>
      <c r="AE367" s="210"/>
      <c r="AF367" s="210"/>
      <c r="AG367" s="210"/>
    </row>
    <row r="368" spans="1:33" ht="12.75" customHeight="1">
      <c r="A368" s="210"/>
      <c r="B368" s="210"/>
      <c r="C368" s="210"/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  <c r="AA368" s="210"/>
      <c r="AB368" s="210"/>
      <c r="AC368" s="210"/>
      <c r="AD368" s="210"/>
      <c r="AE368" s="210"/>
      <c r="AF368" s="210"/>
      <c r="AG368" s="210"/>
    </row>
    <row r="369" spans="1:33" ht="12.75" customHeight="1">
      <c r="A369" s="210"/>
      <c r="B369" s="210"/>
      <c r="C369" s="210"/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  <c r="AA369" s="210"/>
      <c r="AB369" s="210"/>
      <c r="AC369" s="210"/>
      <c r="AD369" s="210"/>
      <c r="AE369" s="210"/>
      <c r="AF369" s="210"/>
      <c r="AG369" s="210"/>
    </row>
    <row r="370" spans="1:33" ht="12.75" customHeight="1">
      <c r="A370" s="210"/>
      <c r="B370" s="210"/>
      <c r="C370" s="210"/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  <c r="AA370" s="210"/>
      <c r="AB370" s="210"/>
      <c r="AC370" s="210"/>
      <c r="AD370" s="210"/>
      <c r="AE370" s="210"/>
      <c r="AF370" s="210"/>
      <c r="AG370" s="210"/>
    </row>
    <row r="371" spans="1:33" ht="12.75" customHeight="1">
      <c r="A371" s="210"/>
      <c r="B371" s="210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  <c r="AA371" s="210"/>
      <c r="AB371" s="210"/>
      <c r="AC371" s="210"/>
      <c r="AD371" s="210"/>
      <c r="AE371" s="210"/>
      <c r="AF371" s="210"/>
      <c r="AG371" s="210"/>
    </row>
    <row r="372" spans="1:33" ht="12.75" customHeight="1">
      <c r="A372" s="210"/>
      <c r="B372" s="210"/>
      <c r="C372" s="210"/>
      <c r="D372" s="210"/>
      <c r="E372" s="21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  <c r="AA372" s="210"/>
      <c r="AB372" s="210"/>
      <c r="AC372" s="210"/>
      <c r="AD372" s="210"/>
      <c r="AE372" s="210"/>
      <c r="AF372" s="210"/>
      <c r="AG372" s="210"/>
    </row>
    <row r="373" spans="1:33" ht="12.75" customHeight="1">
      <c r="A373" s="210"/>
      <c r="B373" s="210"/>
      <c r="C373" s="210"/>
      <c r="D373" s="210"/>
      <c r="E373" s="21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  <c r="AA373" s="210"/>
      <c r="AB373" s="210"/>
      <c r="AC373" s="210"/>
      <c r="AD373" s="210"/>
      <c r="AE373" s="210"/>
      <c r="AF373" s="210"/>
      <c r="AG373" s="210"/>
    </row>
    <row r="374" spans="1:33" ht="12.75" customHeight="1">
      <c r="A374" s="210"/>
      <c r="B374" s="210"/>
      <c r="C374" s="210"/>
      <c r="D374" s="210"/>
      <c r="E374" s="21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  <c r="AA374" s="210"/>
      <c r="AB374" s="210"/>
      <c r="AC374" s="210"/>
      <c r="AD374" s="210"/>
      <c r="AE374" s="210"/>
      <c r="AF374" s="210"/>
      <c r="AG374" s="210"/>
    </row>
    <row r="375" spans="1:33" ht="12.75" customHeight="1">
      <c r="A375" s="210"/>
      <c r="B375" s="210"/>
      <c r="C375" s="210"/>
      <c r="D375" s="210"/>
      <c r="E375" s="21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  <c r="AA375" s="210"/>
      <c r="AB375" s="210"/>
      <c r="AC375" s="210"/>
      <c r="AD375" s="210"/>
      <c r="AE375" s="210"/>
      <c r="AF375" s="210"/>
      <c r="AG375" s="210"/>
    </row>
    <row r="376" spans="1:33" ht="12.75" customHeight="1">
      <c r="A376" s="210"/>
      <c r="B376" s="210"/>
      <c r="C376" s="210"/>
      <c r="D376" s="210"/>
      <c r="E376" s="21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  <c r="AA376" s="210"/>
      <c r="AB376" s="210"/>
      <c r="AC376" s="210"/>
      <c r="AD376" s="210"/>
      <c r="AE376" s="210"/>
      <c r="AF376" s="210"/>
      <c r="AG376" s="210"/>
    </row>
    <row r="377" spans="1:33" ht="12.75" customHeight="1">
      <c r="A377" s="210"/>
      <c r="B377" s="210"/>
      <c r="C377" s="210"/>
      <c r="D377" s="210"/>
      <c r="E377" s="21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  <c r="AA377" s="210"/>
      <c r="AB377" s="210"/>
      <c r="AC377" s="210"/>
      <c r="AD377" s="210"/>
      <c r="AE377" s="210"/>
      <c r="AF377" s="210"/>
      <c r="AG377" s="210"/>
    </row>
    <row r="378" spans="1:33" ht="12.75" customHeight="1">
      <c r="A378" s="210"/>
      <c r="B378" s="210"/>
      <c r="C378" s="210"/>
      <c r="D378" s="210"/>
      <c r="E378" s="21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  <c r="AA378" s="210"/>
      <c r="AB378" s="210"/>
      <c r="AC378" s="210"/>
      <c r="AD378" s="210"/>
      <c r="AE378" s="210"/>
      <c r="AF378" s="210"/>
      <c r="AG378" s="210"/>
    </row>
    <row r="379" spans="1:33" ht="12.75" customHeight="1">
      <c r="A379" s="210"/>
      <c r="B379" s="210"/>
      <c r="C379" s="210"/>
      <c r="D379" s="210"/>
      <c r="E379" s="21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  <c r="AA379" s="210"/>
      <c r="AB379" s="210"/>
      <c r="AC379" s="210"/>
      <c r="AD379" s="210"/>
      <c r="AE379" s="210"/>
      <c r="AF379" s="210"/>
      <c r="AG379" s="210"/>
    </row>
    <row r="380" spans="1:33" ht="12.75" customHeight="1">
      <c r="A380" s="210"/>
      <c r="B380" s="210"/>
      <c r="C380" s="210"/>
      <c r="D380" s="210"/>
      <c r="E380" s="21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  <c r="AA380" s="210"/>
      <c r="AB380" s="210"/>
      <c r="AC380" s="210"/>
      <c r="AD380" s="210"/>
      <c r="AE380" s="210"/>
      <c r="AF380" s="210"/>
      <c r="AG380" s="210"/>
    </row>
    <row r="381" spans="1:33" ht="12.75" customHeight="1">
      <c r="A381" s="210"/>
      <c r="B381" s="210"/>
      <c r="C381" s="210"/>
      <c r="D381" s="210"/>
      <c r="E381" s="21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  <c r="AA381" s="210"/>
      <c r="AB381" s="210"/>
      <c r="AC381" s="210"/>
      <c r="AD381" s="210"/>
      <c r="AE381" s="210"/>
      <c r="AF381" s="210"/>
      <c r="AG381" s="210"/>
    </row>
    <row r="382" spans="1:33" ht="12.75" customHeight="1">
      <c r="A382" s="210"/>
      <c r="B382" s="210"/>
      <c r="C382" s="210"/>
      <c r="D382" s="210"/>
      <c r="E382" s="21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  <c r="AA382" s="210"/>
      <c r="AB382" s="210"/>
      <c r="AC382" s="210"/>
      <c r="AD382" s="210"/>
      <c r="AE382" s="210"/>
      <c r="AF382" s="210"/>
      <c r="AG382" s="210"/>
    </row>
    <row r="383" spans="1:33" ht="12.75" customHeight="1">
      <c r="A383" s="210"/>
      <c r="B383" s="210"/>
      <c r="C383" s="210"/>
      <c r="D383" s="210"/>
      <c r="E383" s="21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  <c r="AA383" s="210"/>
      <c r="AB383" s="210"/>
      <c r="AC383" s="210"/>
      <c r="AD383" s="210"/>
      <c r="AE383" s="210"/>
      <c r="AF383" s="210"/>
      <c r="AG383" s="210"/>
    </row>
    <row r="384" spans="1:33" ht="12.75" customHeight="1">
      <c r="A384" s="210"/>
      <c r="B384" s="210"/>
      <c r="C384" s="210"/>
      <c r="D384" s="210"/>
      <c r="E384" s="21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  <c r="AA384" s="210"/>
      <c r="AB384" s="210"/>
      <c r="AC384" s="210"/>
      <c r="AD384" s="210"/>
      <c r="AE384" s="210"/>
      <c r="AF384" s="210"/>
      <c r="AG384" s="210"/>
    </row>
    <row r="385" spans="1:33" ht="12.75" customHeight="1">
      <c r="A385" s="210"/>
      <c r="B385" s="210"/>
      <c r="C385" s="210"/>
      <c r="D385" s="210"/>
      <c r="E385" s="21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  <c r="AA385" s="210"/>
      <c r="AB385" s="210"/>
      <c r="AC385" s="210"/>
      <c r="AD385" s="210"/>
      <c r="AE385" s="210"/>
      <c r="AF385" s="210"/>
      <c r="AG385" s="210"/>
    </row>
    <row r="386" spans="1:33" ht="12.75" customHeight="1">
      <c r="A386" s="210"/>
      <c r="B386" s="210"/>
      <c r="C386" s="210"/>
      <c r="D386" s="210"/>
      <c r="E386" s="21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  <c r="AA386" s="210"/>
      <c r="AB386" s="210"/>
      <c r="AC386" s="210"/>
      <c r="AD386" s="210"/>
      <c r="AE386" s="210"/>
      <c r="AF386" s="210"/>
      <c r="AG386" s="210"/>
    </row>
    <row r="387" spans="1:33" ht="12.75" customHeight="1">
      <c r="A387" s="210"/>
      <c r="B387" s="210"/>
      <c r="C387" s="210"/>
      <c r="D387" s="210"/>
      <c r="E387" s="21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  <c r="AA387" s="210"/>
      <c r="AB387" s="210"/>
      <c r="AC387" s="210"/>
      <c r="AD387" s="210"/>
      <c r="AE387" s="210"/>
      <c r="AF387" s="210"/>
      <c r="AG387" s="210"/>
    </row>
    <row r="388" spans="1:33" ht="12.75" customHeight="1">
      <c r="A388" s="210"/>
      <c r="B388" s="210"/>
      <c r="C388" s="210"/>
      <c r="D388" s="210"/>
      <c r="E388" s="21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  <c r="AA388" s="210"/>
      <c r="AB388" s="210"/>
      <c r="AC388" s="210"/>
      <c r="AD388" s="210"/>
      <c r="AE388" s="210"/>
      <c r="AF388" s="210"/>
      <c r="AG388" s="210"/>
    </row>
    <row r="389" spans="1:33" ht="12.75" customHeight="1">
      <c r="A389" s="210"/>
      <c r="B389" s="210"/>
      <c r="C389" s="210"/>
      <c r="D389" s="210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  <c r="AA389" s="210"/>
      <c r="AB389" s="210"/>
      <c r="AC389" s="210"/>
      <c r="AD389" s="210"/>
      <c r="AE389" s="210"/>
      <c r="AF389" s="210"/>
      <c r="AG389" s="210"/>
    </row>
    <row r="390" spans="1:33" ht="12.75" customHeight="1">
      <c r="A390" s="210"/>
      <c r="B390" s="210"/>
      <c r="C390" s="210"/>
      <c r="D390" s="210"/>
      <c r="E390" s="21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  <c r="AA390" s="210"/>
      <c r="AB390" s="210"/>
      <c r="AC390" s="210"/>
      <c r="AD390" s="210"/>
      <c r="AE390" s="210"/>
      <c r="AF390" s="210"/>
      <c r="AG390" s="210"/>
    </row>
    <row r="391" spans="1:33" ht="12.75" customHeight="1">
      <c r="A391" s="210"/>
      <c r="B391" s="210"/>
      <c r="C391" s="210"/>
      <c r="D391" s="210"/>
      <c r="E391" s="21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  <c r="AA391" s="210"/>
      <c r="AB391" s="210"/>
      <c r="AC391" s="210"/>
      <c r="AD391" s="210"/>
      <c r="AE391" s="210"/>
      <c r="AF391" s="210"/>
      <c r="AG391" s="210"/>
    </row>
    <row r="392" spans="1:33" ht="12.75" customHeight="1">
      <c r="A392" s="210"/>
      <c r="B392" s="210"/>
      <c r="C392" s="210"/>
      <c r="D392" s="210"/>
      <c r="E392" s="21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  <c r="AA392" s="210"/>
      <c r="AB392" s="210"/>
      <c r="AC392" s="210"/>
      <c r="AD392" s="210"/>
      <c r="AE392" s="210"/>
      <c r="AF392" s="210"/>
      <c r="AG392" s="210"/>
    </row>
    <row r="393" spans="1:33" ht="12.75" customHeight="1">
      <c r="A393" s="210"/>
      <c r="B393" s="210"/>
      <c r="C393" s="210"/>
      <c r="D393" s="210"/>
      <c r="E393" s="21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  <c r="AA393" s="210"/>
      <c r="AB393" s="210"/>
      <c r="AC393" s="210"/>
      <c r="AD393" s="210"/>
      <c r="AE393" s="210"/>
      <c r="AF393" s="210"/>
      <c r="AG393" s="210"/>
    </row>
    <row r="394" spans="1:33" ht="12.75" customHeight="1">
      <c r="A394" s="210"/>
      <c r="B394" s="210"/>
      <c r="C394" s="210"/>
      <c r="D394" s="210"/>
      <c r="E394" s="21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  <c r="AA394" s="210"/>
      <c r="AB394" s="210"/>
      <c r="AC394" s="210"/>
      <c r="AD394" s="210"/>
      <c r="AE394" s="210"/>
      <c r="AF394" s="210"/>
      <c r="AG394" s="210"/>
    </row>
    <row r="395" spans="1:33" ht="12.75" customHeight="1">
      <c r="A395" s="210"/>
      <c r="B395" s="210"/>
      <c r="C395" s="210"/>
      <c r="D395" s="210"/>
      <c r="E395" s="21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  <c r="AA395" s="210"/>
      <c r="AB395" s="210"/>
      <c r="AC395" s="210"/>
      <c r="AD395" s="210"/>
      <c r="AE395" s="210"/>
      <c r="AF395" s="210"/>
      <c r="AG395" s="210"/>
    </row>
    <row r="396" spans="1:33" ht="12.75" customHeight="1">
      <c r="A396" s="210"/>
      <c r="B396" s="210"/>
      <c r="C396" s="210"/>
      <c r="D396" s="210"/>
      <c r="E396" s="21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  <c r="AA396" s="210"/>
      <c r="AB396" s="210"/>
      <c r="AC396" s="210"/>
      <c r="AD396" s="210"/>
      <c r="AE396" s="210"/>
      <c r="AF396" s="210"/>
      <c r="AG396" s="210"/>
    </row>
    <row r="397" spans="1:33" ht="12.75" customHeight="1">
      <c r="A397" s="210"/>
      <c r="B397" s="210"/>
      <c r="C397" s="210"/>
      <c r="D397" s="210"/>
      <c r="E397" s="21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  <c r="AA397" s="210"/>
      <c r="AB397" s="210"/>
      <c r="AC397" s="210"/>
      <c r="AD397" s="210"/>
      <c r="AE397" s="210"/>
      <c r="AF397" s="210"/>
      <c r="AG397" s="210"/>
    </row>
    <row r="398" spans="1:33" ht="12.75" customHeight="1">
      <c r="A398" s="210"/>
      <c r="B398" s="210"/>
      <c r="C398" s="210"/>
      <c r="D398" s="210"/>
      <c r="E398" s="21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  <c r="AA398" s="210"/>
      <c r="AB398" s="210"/>
      <c r="AC398" s="210"/>
      <c r="AD398" s="210"/>
      <c r="AE398" s="210"/>
      <c r="AF398" s="210"/>
      <c r="AG398" s="210"/>
    </row>
    <row r="399" spans="1:33" ht="12.75" customHeight="1">
      <c r="A399" s="210"/>
      <c r="B399" s="210"/>
      <c r="C399" s="210"/>
      <c r="D399" s="210"/>
      <c r="E399" s="21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  <c r="AA399" s="210"/>
      <c r="AB399" s="210"/>
      <c r="AC399" s="210"/>
      <c r="AD399" s="210"/>
      <c r="AE399" s="210"/>
      <c r="AF399" s="210"/>
      <c r="AG399" s="210"/>
    </row>
    <row r="400" spans="1:33" ht="12.75" customHeight="1">
      <c r="A400" s="210"/>
      <c r="B400" s="210"/>
      <c r="C400" s="210"/>
      <c r="D400" s="210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  <c r="AA400" s="210"/>
      <c r="AB400" s="210"/>
      <c r="AC400" s="210"/>
      <c r="AD400" s="210"/>
      <c r="AE400" s="210"/>
      <c r="AF400" s="210"/>
      <c r="AG400" s="210"/>
    </row>
    <row r="401" spans="1:33" ht="12.75" customHeight="1">
      <c r="A401" s="210"/>
      <c r="B401" s="210"/>
      <c r="C401" s="210"/>
      <c r="D401" s="210"/>
      <c r="E401" s="21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  <c r="AA401" s="210"/>
      <c r="AB401" s="210"/>
      <c r="AC401" s="210"/>
      <c r="AD401" s="210"/>
      <c r="AE401" s="210"/>
      <c r="AF401" s="210"/>
      <c r="AG401" s="210"/>
    </row>
    <row r="402" spans="1:33" ht="12.75" customHeight="1">
      <c r="A402" s="210"/>
      <c r="B402" s="210"/>
      <c r="C402" s="210"/>
      <c r="D402" s="210"/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  <c r="AA402" s="210"/>
      <c r="AB402" s="210"/>
      <c r="AC402" s="210"/>
      <c r="AD402" s="210"/>
      <c r="AE402" s="210"/>
      <c r="AF402" s="210"/>
      <c r="AG402" s="210"/>
    </row>
    <row r="403" spans="1:33" ht="12.75" customHeight="1">
      <c r="A403" s="210"/>
      <c r="B403" s="210"/>
      <c r="C403" s="210"/>
      <c r="D403" s="210"/>
      <c r="E403" s="21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  <c r="AA403" s="210"/>
      <c r="AB403" s="210"/>
      <c r="AC403" s="210"/>
      <c r="AD403" s="210"/>
      <c r="AE403" s="210"/>
      <c r="AF403" s="210"/>
      <c r="AG403" s="210"/>
    </row>
    <row r="404" spans="1:33" ht="12.75" customHeight="1">
      <c r="A404" s="210"/>
      <c r="B404" s="210"/>
      <c r="C404" s="210"/>
      <c r="D404" s="210"/>
      <c r="E404" s="21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  <c r="AA404" s="210"/>
      <c r="AB404" s="210"/>
      <c r="AC404" s="210"/>
      <c r="AD404" s="210"/>
      <c r="AE404" s="210"/>
      <c r="AF404" s="210"/>
      <c r="AG404" s="210"/>
    </row>
    <row r="405" spans="1:33" ht="12.75" customHeight="1">
      <c r="A405" s="210"/>
      <c r="B405" s="210"/>
      <c r="C405" s="210"/>
      <c r="D405" s="210"/>
      <c r="E405" s="21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  <c r="AA405" s="210"/>
      <c r="AB405" s="210"/>
      <c r="AC405" s="210"/>
      <c r="AD405" s="210"/>
      <c r="AE405" s="210"/>
      <c r="AF405" s="210"/>
      <c r="AG405" s="210"/>
    </row>
    <row r="406" spans="1:33" ht="12.75" customHeight="1">
      <c r="A406" s="210"/>
      <c r="B406" s="210"/>
      <c r="C406" s="210"/>
      <c r="D406" s="210"/>
      <c r="E406" s="21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  <c r="AA406" s="210"/>
      <c r="AB406" s="210"/>
      <c r="AC406" s="210"/>
      <c r="AD406" s="210"/>
      <c r="AE406" s="210"/>
      <c r="AF406" s="210"/>
      <c r="AG406" s="210"/>
    </row>
    <row r="407" spans="1:33" ht="12.75" customHeight="1">
      <c r="A407" s="210"/>
      <c r="B407" s="210"/>
      <c r="C407" s="210"/>
      <c r="D407" s="210"/>
      <c r="E407" s="21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  <c r="AA407" s="210"/>
      <c r="AB407" s="210"/>
      <c r="AC407" s="210"/>
      <c r="AD407" s="210"/>
      <c r="AE407" s="210"/>
      <c r="AF407" s="210"/>
      <c r="AG407" s="210"/>
    </row>
    <row r="408" spans="1:33" ht="12.75" customHeight="1">
      <c r="A408" s="210"/>
      <c r="B408" s="210"/>
      <c r="C408" s="210"/>
      <c r="D408" s="210"/>
      <c r="E408" s="21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  <c r="AA408" s="210"/>
      <c r="AB408" s="210"/>
      <c r="AC408" s="210"/>
      <c r="AD408" s="210"/>
      <c r="AE408" s="210"/>
      <c r="AF408" s="210"/>
      <c r="AG408" s="210"/>
    </row>
    <row r="409" spans="1:33" ht="12.75" customHeight="1">
      <c r="A409" s="210"/>
      <c r="B409" s="210"/>
      <c r="C409" s="210"/>
      <c r="D409" s="210"/>
      <c r="E409" s="21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  <c r="AA409" s="210"/>
      <c r="AB409" s="210"/>
      <c r="AC409" s="210"/>
      <c r="AD409" s="210"/>
      <c r="AE409" s="210"/>
      <c r="AF409" s="210"/>
      <c r="AG409" s="210"/>
    </row>
    <row r="410" spans="1:33" ht="12.75" customHeight="1">
      <c r="A410" s="210"/>
      <c r="B410" s="210"/>
      <c r="C410" s="210"/>
      <c r="D410" s="210"/>
      <c r="E410" s="21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  <c r="AA410" s="210"/>
      <c r="AB410" s="210"/>
      <c r="AC410" s="210"/>
      <c r="AD410" s="210"/>
      <c r="AE410" s="210"/>
      <c r="AF410" s="210"/>
      <c r="AG410" s="210"/>
    </row>
    <row r="411" spans="1:33" ht="12.75" customHeight="1">
      <c r="A411" s="210"/>
      <c r="B411" s="210"/>
      <c r="C411" s="210"/>
      <c r="D411" s="210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  <c r="AA411" s="210"/>
      <c r="AB411" s="210"/>
      <c r="AC411" s="210"/>
      <c r="AD411" s="210"/>
      <c r="AE411" s="210"/>
      <c r="AF411" s="210"/>
      <c r="AG411" s="210"/>
    </row>
    <row r="412" spans="1:33" ht="12.75" customHeight="1">
      <c r="A412" s="210"/>
      <c r="B412" s="210"/>
      <c r="C412" s="210"/>
      <c r="D412" s="210"/>
      <c r="E412" s="21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  <c r="AA412" s="210"/>
      <c r="AB412" s="210"/>
      <c r="AC412" s="210"/>
      <c r="AD412" s="210"/>
      <c r="AE412" s="210"/>
      <c r="AF412" s="210"/>
      <c r="AG412" s="210"/>
    </row>
    <row r="413" spans="1:33" ht="12.75" customHeight="1">
      <c r="A413" s="210"/>
      <c r="B413" s="210"/>
      <c r="C413" s="210"/>
      <c r="D413" s="210"/>
      <c r="E413" s="21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  <c r="AA413" s="210"/>
      <c r="AB413" s="210"/>
      <c r="AC413" s="210"/>
      <c r="AD413" s="210"/>
      <c r="AE413" s="210"/>
      <c r="AF413" s="210"/>
      <c r="AG413" s="210"/>
    </row>
    <row r="414" spans="1:33" ht="12.75" customHeight="1">
      <c r="A414" s="210"/>
      <c r="B414" s="210"/>
      <c r="C414" s="210"/>
      <c r="D414" s="210"/>
      <c r="E414" s="21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  <c r="AA414" s="210"/>
      <c r="AB414" s="210"/>
      <c r="AC414" s="210"/>
      <c r="AD414" s="210"/>
      <c r="AE414" s="210"/>
      <c r="AF414" s="210"/>
      <c r="AG414" s="210"/>
    </row>
    <row r="415" spans="1:33" ht="12.75" customHeight="1">
      <c r="A415" s="210"/>
      <c r="B415" s="210"/>
      <c r="C415" s="210"/>
      <c r="D415" s="210"/>
      <c r="E415" s="21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  <c r="AA415" s="210"/>
      <c r="AB415" s="210"/>
      <c r="AC415" s="210"/>
      <c r="AD415" s="210"/>
      <c r="AE415" s="210"/>
      <c r="AF415" s="210"/>
      <c r="AG415" s="210"/>
    </row>
    <row r="416" spans="1:33" ht="12.75" customHeight="1">
      <c r="A416" s="210"/>
      <c r="B416" s="210"/>
      <c r="C416" s="210"/>
      <c r="D416" s="210"/>
      <c r="E416" s="21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  <c r="AA416" s="210"/>
      <c r="AB416" s="210"/>
      <c r="AC416" s="210"/>
      <c r="AD416" s="210"/>
      <c r="AE416" s="210"/>
      <c r="AF416" s="210"/>
      <c r="AG416" s="210"/>
    </row>
    <row r="417" spans="1:33" ht="12.75" customHeight="1">
      <c r="A417" s="210"/>
      <c r="B417" s="210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0"/>
      <c r="AG417" s="210"/>
    </row>
    <row r="418" spans="1:33" ht="12.75" customHeight="1">
      <c r="A418" s="210"/>
      <c r="B418" s="210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  <c r="AA418" s="210"/>
      <c r="AB418" s="210"/>
      <c r="AC418" s="210"/>
      <c r="AD418" s="210"/>
      <c r="AE418" s="210"/>
      <c r="AF418" s="210"/>
      <c r="AG418" s="210"/>
    </row>
    <row r="419" spans="1:33" ht="12.75" customHeight="1">
      <c r="A419" s="210"/>
      <c r="B419" s="210"/>
      <c r="C419" s="210"/>
      <c r="D419" s="210"/>
      <c r="E419" s="21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  <c r="AA419" s="210"/>
      <c r="AB419" s="210"/>
      <c r="AC419" s="210"/>
      <c r="AD419" s="210"/>
      <c r="AE419" s="210"/>
      <c r="AF419" s="210"/>
      <c r="AG419" s="210"/>
    </row>
    <row r="420" spans="1:33" ht="12.75" customHeight="1">
      <c r="A420" s="210"/>
      <c r="B420" s="210"/>
      <c r="C420" s="210"/>
      <c r="D420" s="210"/>
      <c r="E420" s="21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  <c r="AA420" s="210"/>
      <c r="AB420" s="210"/>
      <c r="AC420" s="210"/>
      <c r="AD420" s="210"/>
      <c r="AE420" s="210"/>
      <c r="AF420" s="210"/>
      <c r="AG420" s="210"/>
    </row>
    <row r="421" spans="1:33" ht="12.75" customHeight="1">
      <c r="A421" s="210"/>
      <c r="B421" s="210"/>
      <c r="C421" s="210"/>
      <c r="D421" s="210"/>
      <c r="E421" s="21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  <c r="AA421" s="210"/>
      <c r="AB421" s="210"/>
      <c r="AC421" s="210"/>
      <c r="AD421" s="210"/>
      <c r="AE421" s="210"/>
      <c r="AF421" s="210"/>
      <c r="AG421" s="210"/>
    </row>
    <row r="422" spans="1:33" ht="12.75" customHeight="1">
      <c r="A422" s="210"/>
      <c r="B422" s="210"/>
      <c r="C422" s="210"/>
      <c r="D422" s="210"/>
      <c r="E422" s="21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  <c r="AA422" s="210"/>
      <c r="AB422" s="210"/>
      <c r="AC422" s="210"/>
      <c r="AD422" s="210"/>
      <c r="AE422" s="210"/>
      <c r="AF422" s="210"/>
      <c r="AG422" s="210"/>
    </row>
    <row r="423" spans="1:33" ht="12.75" customHeight="1">
      <c r="A423" s="210"/>
      <c r="B423" s="210"/>
      <c r="C423" s="210"/>
      <c r="D423" s="210"/>
      <c r="E423" s="21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  <c r="AA423" s="210"/>
      <c r="AB423" s="210"/>
      <c r="AC423" s="210"/>
      <c r="AD423" s="210"/>
      <c r="AE423" s="210"/>
      <c r="AF423" s="210"/>
      <c r="AG423" s="210"/>
    </row>
    <row r="424" spans="1:33" ht="12.75" customHeight="1">
      <c r="A424" s="210"/>
      <c r="B424" s="210"/>
      <c r="C424" s="210"/>
      <c r="D424" s="210"/>
      <c r="E424" s="21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  <c r="AA424" s="210"/>
      <c r="AB424" s="210"/>
      <c r="AC424" s="210"/>
      <c r="AD424" s="210"/>
      <c r="AE424" s="210"/>
      <c r="AF424" s="210"/>
      <c r="AG424" s="210"/>
    </row>
    <row r="425" spans="1:33" ht="12.75" customHeight="1">
      <c r="A425" s="210"/>
      <c r="B425" s="210"/>
      <c r="C425" s="210"/>
      <c r="D425" s="210"/>
      <c r="E425" s="21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  <c r="AA425" s="210"/>
      <c r="AB425" s="210"/>
      <c r="AC425" s="210"/>
      <c r="AD425" s="210"/>
      <c r="AE425" s="210"/>
      <c r="AF425" s="210"/>
      <c r="AG425" s="210"/>
    </row>
    <row r="426" spans="1:33" ht="12.75" customHeight="1">
      <c r="A426" s="210"/>
      <c r="B426" s="210"/>
      <c r="C426" s="210"/>
      <c r="D426" s="210"/>
      <c r="E426" s="21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  <c r="AA426" s="210"/>
      <c r="AB426" s="210"/>
      <c r="AC426" s="210"/>
      <c r="AD426" s="210"/>
      <c r="AE426" s="210"/>
      <c r="AF426" s="210"/>
      <c r="AG426" s="210"/>
    </row>
    <row r="427" spans="1:33" ht="12.75" customHeight="1">
      <c r="A427" s="210"/>
      <c r="B427" s="210"/>
      <c r="C427" s="210"/>
      <c r="D427" s="210"/>
      <c r="E427" s="21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  <c r="AA427" s="210"/>
      <c r="AB427" s="210"/>
      <c r="AC427" s="210"/>
      <c r="AD427" s="210"/>
      <c r="AE427" s="210"/>
      <c r="AF427" s="210"/>
      <c r="AG427" s="210"/>
    </row>
    <row r="428" spans="1:33" ht="12.75" customHeight="1">
      <c r="A428" s="210"/>
      <c r="B428" s="210"/>
      <c r="C428" s="210"/>
      <c r="D428" s="210"/>
      <c r="E428" s="21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  <c r="AA428" s="210"/>
      <c r="AB428" s="210"/>
      <c r="AC428" s="210"/>
      <c r="AD428" s="210"/>
      <c r="AE428" s="210"/>
      <c r="AF428" s="210"/>
      <c r="AG428" s="210"/>
    </row>
    <row r="429" spans="1:33" ht="12.75" customHeight="1">
      <c r="A429" s="210"/>
      <c r="B429" s="210"/>
      <c r="C429" s="210"/>
      <c r="D429" s="210"/>
      <c r="E429" s="21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  <c r="AA429" s="210"/>
      <c r="AB429" s="210"/>
      <c r="AC429" s="210"/>
      <c r="AD429" s="210"/>
      <c r="AE429" s="210"/>
      <c r="AF429" s="210"/>
      <c r="AG429" s="210"/>
    </row>
    <row r="430" spans="1:33" ht="12.75" customHeight="1">
      <c r="A430" s="210"/>
      <c r="B430" s="210"/>
      <c r="C430" s="210"/>
      <c r="D430" s="210"/>
      <c r="E430" s="21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  <c r="AA430" s="210"/>
      <c r="AB430" s="210"/>
      <c r="AC430" s="210"/>
      <c r="AD430" s="210"/>
      <c r="AE430" s="210"/>
      <c r="AF430" s="210"/>
      <c r="AG430" s="210"/>
    </row>
    <row r="431" spans="1:33" ht="12.75" customHeight="1">
      <c r="A431" s="210"/>
      <c r="B431" s="210"/>
      <c r="C431" s="210"/>
      <c r="D431" s="210"/>
      <c r="E431" s="21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  <c r="AA431" s="210"/>
      <c r="AB431" s="210"/>
      <c r="AC431" s="210"/>
      <c r="AD431" s="210"/>
      <c r="AE431" s="210"/>
      <c r="AF431" s="210"/>
      <c r="AG431" s="210"/>
    </row>
    <row r="432" spans="1:33" ht="12.75" customHeight="1">
      <c r="A432" s="210"/>
      <c r="B432" s="210"/>
      <c r="C432" s="210"/>
      <c r="D432" s="210"/>
      <c r="E432" s="210"/>
      <c r="F432" s="210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  <c r="AA432" s="210"/>
      <c r="AB432" s="210"/>
      <c r="AC432" s="210"/>
      <c r="AD432" s="210"/>
      <c r="AE432" s="210"/>
      <c r="AF432" s="210"/>
      <c r="AG432" s="210"/>
    </row>
    <row r="433" spans="1:33" ht="12.75" customHeight="1">
      <c r="A433" s="210"/>
      <c r="B433" s="210"/>
      <c r="C433" s="210"/>
      <c r="D433" s="210"/>
      <c r="E433" s="210"/>
      <c r="F433" s="210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  <c r="AA433" s="210"/>
      <c r="AB433" s="210"/>
      <c r="AC433" s="210"/>
      <c r="AD433" s="210"/>
      <c r="AE433" s="210"/>
      <c r="AF433" s="210"/>
      <c r="AG433" s="210"/>
    </row>
    <row r="434" spans="1:33" ht="12.75" customHeight="1">
      <c r="A434" s="210"/>
      <c r="B434" s="210"/>
      <c r="C434" s="210"/>
      <c r="D434" s="210"/>
      <c r="E434" s="210"/>
      <c r="F434" s="210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  <c r="AA434" s="210"/>
      <c r="AB434" s="210"/>
      <c r="AC434" s="210"/>
      <c r="AD434" s="210"/>
      <c r="AE434" s="210"/>
      <c r="AF434" s="210"/>
      <c r="AG434" s="210"/>
    </row>
    <row r="435" spans="1:33" ht="12.75" customHeight="1">
      <c r="A435" s="210"/>
      <c r="B435" s="210"/>
      <c r="C435" s="210"/>
      <c r="D435" s="210"/>
      <c r="E435" s="210"/>
      <c r="F435" s="210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  <c r="AA435" s="210"/>
      <c r="AB435" s="210"/>
      <c r="AC435" s="210"/>
      <c r="AD435" s="210"/>
      <c r="AE435" s="210"/>
      <c r="AF435" s="210"/>
      <c r="AG435" s="210"/>
    </row>
    <row r="436" spans="1:33" ht="12.75" customHeight="1">
      <c r="A436" s="210"/>
      <c r="B436" s="210"/>
      <c r="C436" s="210"/>
      <c r="D436" s="210"/>
      <c r="E436" s="210"/>
      <c r="F436" s="210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  <c r="AA436" s="210"/>
      <c r="AB436" s="210"/>
      <c r="AC436" s="210"/>
      <c r="AD436" s="210"/>
      <c r="AE436" s="210"/>
      <c r="AF436" s="210"/>
      <c r="AG436" s="210"/>
    </row>
    <row r="437" spans="1:33" ht="12.75" customHeight="1">
      <c r="A437" s="210"/>
      <c r="B437" s="210"/>
      <c r="C437" s="210"/>
      <c r="D437" s="210"/>
      <c r="E437" s="210"/>
      <c r="F437" s="210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  <c r="AA437" s="210"/>
      <c r="AB437" s="210"/>
      <c r="AC437" s="210"/>
      <c r="AD437" s="210"/>
      <c r="AE437" s="210"/>
      <c r="AF437" s="210"/>
      <c r="AG437" s="210"/>
    </row>
    <row r="438" spans="1:33" ht="12.75" customHeight="1">
      <c r="A438" s="210"/>
      <c r="B438" s="210"/>
      <c r="C438" s="210"/>
      <c r="D438" s="210"/>
      <c r="E438" s="21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  <c r="AA438" s="210"/>
      <c r="AB438" s="210"/>
      <c r="AC438" s="210"/>
      <c r="AD438" s="210"/>
      <c r="AE438" s="210"/>
      <c r="AF438" s="210"/>
      <c r="AG438" s="210"/>
    </row>
    <row r="439" spans="1:33" ht="12.75" customHeight="1">
      <c r="A439" s="210"/>
      <c r="B439" s="210"/>
      <c r="C439" s="210"/>
      <c r="D439" s="210"/>
      <c r="E439" s="210"/>
      <c r="F439" s="210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  <c r="AA439" s="210"/>
      <c r="AB439" s="210"/>
      <c r="AC439" s="210"/>
      <c r="AD439" s="210"/>
      <c r="AE439" s="210"/>
      <c r="AF439" s="210"/>
      <c r="AG439" s="210"/>
    </row>
    <row r="440" spans="1:33" ht="12.75" customHeight="1">
      <c r="A440" s="210"/>
      <c r="B440" s="210"/>
      <c r="C440" s="210"/>
      <c r="D440" s="210"/>
      <c r="E440" s="210"/>
      <c r="F440" s="210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  <c r="AA440" s="210"/>
      <c r="AB440" s="210"/>
      <c r="AC440" s="210"/>
      <c r="AD440" s="210"/>
      <c r="AE440" s="210"/>
      <c r="AF440" s="210"/>
      <c r="AG440" s="210"/>
    </row>
    <row r="441" spans="1:33" ht="12.75" customHeight="1">
      <c r="A441" s="210"/>
      <c r="B441" s="210"/>
      <c r="C441" s="210"/>
      <c r="D441" s="210"/>
      <c r="E441" s="210"/>
      <c r="F441" s="210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  <c r="AA441" s="210"/>
      <c r="AB441" s="210"/>
      <c r="AC441" s="210"/>
      <c r="AD441" s="210"/>
      <c r="AE441" s="210"/>
      <c r="AF441" s="210"/>
      <c r="AG441" s="210"/>
    </row>
    <row r="442" spans="1:33" ht="12.75" customHeight="1">
      <c r="A442" s="210"/>
      <c r="B442" s="210"/>
      <c r="C442" s="210"/>
      <c r="D442" s="210"/>
      <c r="E442" s="210"/>
      <c r="F442" s="210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  <c r="AA442" s="210"/>
      <c r="AB442" s="210"/>
      <c r="AC442" s="210"/>
      <c r="AD442" s="210"/>
      <c r="AE442" s="210"/>
      <c r="AF442" s="210"/>
      <c r="AG442" s="210"/>
    </row>
    <row r="443" spans="1:33" ht="12.75" customHeight="1">
      <c r="A443" s="210"/>
      <c r="B443" s="210"/>
      <c r="C443" s="210"/>
      <c r="D443" s="210"/>
      <c r="E443" s="210"/>
      <c r="F443" s="210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  <c r="AA443" s="210"/>
      <c r="AB443" s="210"/>
      <c r="AC443" s="210"/>
      <c r="AD443" s="210"/>
      <c r="AE443" s="210"/>
      <c r="AF443" s="210"/>
      <c r="AG443" s="210"/>
    </row>
    <row r="444" spans="1:33" ht="12.75" customHeight="1">
      <c r="A444" s="210"/>
      <c r="B444" s="210"/>
      <c r="C444" s="210"/>
      <c r="D444" s="210"/>
      <c r="E444" s="210"/>
      <c r="F444" s="210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  <c r="AA444" s="210"/>
      <c r="AB444" s="210"/>
      <c r="AC444" s="210"/>
      <c r="AD444" s="210"/>
      <c r="AE444" s="210"/>
      <c r="AF444" s="210"/>
      <c r="AG444" s="210"/>
    </row>
    <row r="445" spans="1:33" ht="12.75" customHeight="1">
      <c r="A445" s="210"/>
      <c r="B445" s="210"/>
      <c r="C445" s="210"/>
      <c r="D445" s="210"/>
      <c r="E445" s="210"/>
      <c r="F445" s="210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  <c r="AA445" s="210"/>
      <c r="AB445" s="210"/>
      <c r="AC445" s="210"/>
      <c r="AD445" s="210"/>
      <c r="AE445" s="210"/>
      <c r="AF445" s="210"/>
      <c r="AG445" s="210"/>
    </row>
    <row r="446" spans="1:33" ht="12.75" customHeight="1">
      <c r="A446" s="210"/>
      <c r="B446" s="210"/>
      <c r="C446" s="210"/>
      <c r="D446" s="210"/>
      <c r="E446" s="210"/>
      <c r="F446" s="210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  <c r="AA446" s="210"/>
      <c r="AB446" s="210"/>
      <c r="AC446" s="210"/>
      <c r="AD446" s="210"/>
      <c r="AE446" s="210"/>
      <c r="AF446" s="210"/>
      <c r="AG446" s="210"/>
    </row>
    <row r="447" spans="1:33" ht="12.75" customHeight="1">
      <c r="A447" s="210"/>
      <c r="B447" s="210"/>
      <c r="C447" s="210"/>
      <c r="D447" s="210"/>
      <c r="E447" s="210"/>
      <c r="F447" s="210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  <c r="AA447" s="210"/>
      <c r="AB447" s="210"/>
      <c r="AC447" s="210"/>
      <c r="AD447" s="210"/>
      <c r="AE447" s="210"/>
      <c r="AF447" s="210"/>
      <c r="AG447" s="210"/>
    </row>
    <row r="448" spans="1:33" ht="12.75" customHeight="1">
      <c r="A448" s="210"/>
      <c r="B448" s="210"/>
      <c r="C448" s="210"/>
      <c r="D448" s="210"/>
      <c r="E448" s="210"/>
      <c r="F448" s="210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  <c r="AA448" s="210"/>
      <c r="AB448" s="210"/>
      <c r="AC448" s="210"/>
      <c r="AD448" s="210"/>
      <c r="AE448" s="210"/>
      <c r="AF448" s="210"/>
      <c r="AG448" s="210"/>
    </row>
    <row r="449" spans="1:33" ht="12.75" customHeight="1">
      <c r="A449" s="210"/>
      <c r="B449" s="210"/>
      <c r="C449" s="210"/>
      <c r="D449" s="210"/>
      <c r="E449" s="210"/>
      <c r="F449" s="210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  <c r="AA449" s="210"/>
      <c r="AB449" s="210"/>
      <c r="AC449" s="210"/>
      <c r="AD449" s="210"/>
      <c r="AE449" s="210"/>
      <c r="AF449" s="210"/>
      <c r="AG449" s="210"/>
    </row>
    <row r="450" spans="1:33" ht="12.75" customHeight="1">
      <c r="A450" s="210"/>
      <c r="B450" s="210"/>
      <c r="C450" s="210"/>
      <c r="D450" s="210"/>
      <c r="E450" s="210"/>
      <c r="F450" s="210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  <c r="AA450" s="210"/>
      <c r="AB450" s="210"/>
      <c r="AC450" s="210"/>
      <c r="AD450" s="210"/>
      <c r="AE450" s="210"/>
      <c r="AF450" s="210"/>
      <c r="AG450" s="210"/>
    </row>
    <row r="451" spans="1:33" ht="12.75" customHeight="1">
      <c r="A451" s="210"/>
      <c r="B451" s="210"/>
      <c r="C451" s="210"/>
      <c r="D451" s="210"/>
      <c r="E451" s="210"/>
      <c r="F451" s="210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  <c r="AA451" s="210"/>
      <c r="AB451" s="210"/>
      <c r="AC451" s="210"/>
      <c r="AD451" s="210"/>
      <c r="AE451" s="210"/>
      <c r="AF451" s="210"/>
      <c r="AG451" s="210"/>
    </row>
    <row r="452" spans="1:33" ht="12.75" customHeight="1">
      <c r="A452" s="210"/>
      <c r="B452" s="210"/>
      <c r="C452" s="210"/>
      <c r="D452" s="210"/>
      <c r="E452" s="210"/>
      <c r="F452" s="210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  <c r="AA452" s="210"/>
      <c r="AB452" s="210"/>
      <c r="AC452" s="210"/>
      <c r="AD452" s="210"/>
      <c r="AE452" s="210"/>
      <c r="AF452" s="210"/>
      <c r="AG452" s="210"/>
    </row>
    <row r="453" spans="1:33" ht="12.75" customHeight="1">
      <c r="A453" s="210"/>
      <c r="B453" s="210"/>
      <c r="C453" s="210"/>
      <c r="D453" s="210"/>
      <c r="E453" s="21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  <c r="AA453" s="210"/>
      <c r="AB453" s="210"/>
      <c r="AC453" s="210"/>
      <c r="AD453" s="210"/>
      <c r="AE453" s="210"/>
      <c r="AF453" s="210"/>
      <c r="AG453" s="210"/>
    </row>
    <row r="454" spans="1:33" ht="12.75" customHeight="1">
      <c r="A454" s="210"/>
      <c r="B454" s="210"/>
      <c r="C454" s="210"/>
      <c r="D454" s="210"/>
      <c r="E454" s="210"/>
      <c r="F454" s="210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  <c r="AA454" s="210"/>
      <c r="AB454" s="210"/>
      <c r="AC454" s="210"/>
      <c r="AD454" s="210"/>
      <c r="AE454" s="210"/>
      <c r="AF454" s="210"/>
      <c r="AG454" s="210"/>
    </row>
    <row r="455" spans="1:33" ht="12.75" customHeight="1">
      <c r="A455" s="210"/>
      <c r="B455" s="210"/>
      <c r="C455" s="210"/>
      <c r="D455" s="210"/>
      <c r="E455" s="210"/>
      <c r="F455" s="210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  <c r="AA455" s="210"/>
      <c r="AB455" s="210"/>
      <c r="AC455" s="210"/>
      <c r="AD455" s="210"/>
      <c r="AE455" s="210"/>
      <c r="AF455" s="210"/>
      <c r="AG455" s="210"/>
    </row>
    <row r="456" spans="1:33" ht="12.75" customHeight="1">
      <c r="A456" s="210"/>
      <c r="B456" s="210"/>
      <c r="C456" s="210"/>
      <c r="D456" s="210"/>
      <c r="E456" s="210"/>
      <c r="F456" s="210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  <c r="AA456" s="210"/>
      <c r="AB456" s="210"/>
      <c r="AC456" s="210"/>
      <c r="AD456" s="210"/>
      <c r="AE456" s="210"/>
      <c r="AF456" s="210"/>
      <c r="AG456" s="210"/>
    </row>
    <row r="457" spans="1:33" ht="12.75" customHeight="1">
      <c r="A457" s="210"/>
      <c r="B457" s="210"/>
      <c r="C457" s="210"/>
      <c r="D457" s="210"/>
      <c r="E457" s="210"/>
      <c r="F457" s="210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  <c r="AA457" s="210"/>
      <c r="AB457" s="210"/>
      <c r="AC457" s="210"/>
      <c r="AD457" s="210"/>
      <c r="AE457" s="210"/>
      <c r="AF457" s="210"/>
      <c r="AG457" s="210"/>
    </row>
    <row r="458" spans="1:33" ht="12.75" customHeight="1">
      <c r="A458" s="210"/>
      <c r="B458" s="210"/>
      <c r="C458" s="210"/>
      <c r="D458" s="210"/>
      <c r="E458" s="210"/>
      <c r="F458" s="210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  <c r="AA458" s="210"/>
      <c r="AB458" s="210"/>
      <c r="AC458" s="210"/>
      <c r="AD458" s="210"/>
      <c r="AE458" s="210"/>
      <c r="AF458" s="210"/>
      <c r="AG458" s="210"/>
    </row>
    <row r="459" spans="1:33" ht="12.75" customHeight="1">
      <c r="A459" s="210"/>
      <c r="B459" s="210"/>
      <c r="C459" s="210"/>
      <c r="D459" s="210"/>
      <c r="E459" s="210"/>
      <c r="F459" s="210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  <c r="AA459" s="210"/>
      <c r="AB459" s="210"/>
      <c r="AC459" s="210"/>
      <c r="AD459" s="210"/>
      <c r="AE459" s="210"/>
      <c r="AF459" s="210"/>
      <c r="AG459" s="210"/>
    </row>
    <row r="460" spans="1:33" ht="12.75" customHeight="1">
      <c r="A460" s="210"/>
      <c r="B460" s="210"/>
      <c r="C460" s="210"/>
      <c r="D460" s="210"/>
      <c r="E460" s="210"/>
      <c r="F460" s="210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  <c r="AA460" s="210"/>
      <c r="AB460" s="210"/>
      <c r="AC460" s="210"/>
      <c r="AD460" s="210"/>
      <c r="AE460" s="210"/>
      <c r="AF460" s="210"/>
      <c r="AG460" s="210"/>
    </row>
    <row r="461" spans="1:33" ht="12.75" customHeight="1">
      <c r="A461" s="210"/>
      <c r="B461" s="210"/>
      <c r="C461" s="210"/>
      <c r="D461" s="210"/>
      <c r="E461" s="210"/>
      <c r="F461" s="210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  <c r="AA461" s="210"/>
      <c r="AB461" s="210"/>
      <c r="AC461" s="210"/>
      <c r="AD461" s="210"/>
      <c r="AE461" s="210"/>
      <c r="AF461" s="210"/>
      <c r="AG461" s="210"/>
    </row>
    <row r="462" spans="1:33" ht="12.75" customHeight="1">
      <c r="A462" s="210"/>
      <c r="B462" s="210"/>
      <c r="C462" s="210"/>
      <c r="D462" s="210"/>
      <c r="E462" s="210"/>
      <c r="F462" s="210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  <c r="AA462" s="210"/>
      <c r="AB462" s="210"/>
      <c r="AC462" s="210"/>
      <c r="AD462" s="210"/>
      <c r="AE462" s="210"/>
      <c r="AF462" s="210"/>
      <c r="AG462" s="210"/>
    </row>
    <row r="463" spans="1:33" ht="12.75" customHeight="1">
      <c r="A463" s="210"/>
      <c r="B463" s="210"/>
      <c r="C463" s="210"/>
      <c r="D463" s="210"/>
      <c r="E463" s="210"/>
      <c r="F463" s="210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  <c r="AA463" s="210"/>
      <c r="AB463" s="210"/>
      <c r="AC463" s="210"/>
      <c r="AD463" s="210"/>
      <c r="AE463" s="210"/>
      <c r="AF463" s="210"/>
      <c r="AG463" s="210"/>
    </row>
    <row r="464" spans="1:33" ht="12.75" customHeight="1">
      <c r="A464" s="210"/>
      <c r="B464" s="210"/>
      <c r="C464" s="210"/>
      <c r="D464" s="210"/>
      <c r="E464" s="210"/>
      <c r="F464" s="210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  <c r="AA464" s="210"/>
      <c r="AB464" s="210"/>
      <c r="AC464" s="210"/>
      <c r="AD464" s="210"/>
      <c r="AE464" s="210"/>
      <c r="AF464" s="210"/>
      <c r="AG464" s="210"/>
    </row>
    <row r="465" spans="1:33" ht="12.75" customHeight="1">
      <c r="A465" s="210"/>
      <c r="B465" s="210"/>
      <c r="C465" s="210"/>
      <c r="D465" s="210"/>
      <c r="E465" s="210"/>
      <c r="F465" s="210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  <c r="AA465" s="210"/>
      <c r="AB465" s="210"/>
      <c r="AC465" s="210"/>
      <c r="AD465" s="210"/>
      <c r="AE465" s="210"/>
      <c r="AF465" s="210"/>
      <c r="AG465" s="210"/>
    </row>
    <row r="466" spans="1:33" ht="12.75" customHeight="1">
      <c r="A466" s="210"/>
      <c r="B466" s="210"/>
      <c r="C466" s="210"/>
      <c r="D466" s="210"/>
      <c r="E466" s="210"/>
      <c r="F466" s="210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  <c r="AA466" s="210"/>
      <c r="AB466" s="210"/>
      <c r="AC466" s="210"/>
      <c r="AD466" s="210"/>
      <c r="AE466" s="210"/>
      <c r="AF466" s="210"/>
      <c r="AG466" s="210"/>
    </row>
    <row r="467" spans="1:33" ht="12.75" customHeight="1">
      <c r="A467" s="210"/>
      <c r="B467" s="210"/>
      <c r="C467" s="210"/>
      <c r="D467" s="210"/>
      <c r="E467" s="210"/>
      <c r="F467" s="210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  <c r="AA467" s="210"/>
      <c r="AB467" s="210"/>
      <c r="AC467" s="210"/>
      <c r="AD467" s="210"/>
      <c r="AE467" s="210"/>
      <c r="AF467" s="210"/>
      <c r="AG467" s="210"/>
    </row>
    <row r="468" spans="1:33" ht="12.75" customHeight="1">
      <c r="A468" s="210"/>
      <c r="B468" s="210"/>
      <c r="C468" s="210"/>
      <c r="D468" s="210"/>
      <c r="E468" s="210"/>
      <c r="F468" s="210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  <c r="AA468" s="210"/>
      <c r="AB468" s="210"/>
      <c r="AC468" s="210"/>
      <c r="AD468" s="210"/>
      <c r="AE468" s="210"/>
      <c r="AF468" s="210"/>
      <c r="AG468" s="210"/>
    </row>
    <row r="469" spans="1:33" ht="12.75" customHeight="1">
      <c r="A469" s="210"/>
      <c r="B469" s="210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0"/>
      <c r="AG469" s="210"/>
    </row>
    <row r="470" spans="1:33" ht="12.75" customHeight="1">
      <c r="A470" s="210"/>
      <c r="B470" s="210"/>
      <c r="C470" s="210"/>
      <c r="D470" s="210"/>
      <c r="E470" s="210"/>
      <c r="F470" s="210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  <c r="AA470" s="210"/>
      <c r="AB470" s="210"/>
      <c r="AC470" s="210"/>
      <c r="AD470" s="210"/>
      <c r="AE470" s="210"/>
      <c r="AF470" s="210"/>
      <c r="AG470" s="210"/>
    </row>
    <row r="471" spans="1:33" ht="12.75" customHeight="1">
      <c r="A471" s="210"/>
      <c r="B471" s="210"/>
      <c r="C471" s="210"/>
      <c r="D471" s="210"/>
      <c r="E471" s="210"/>
      <c r="F471" s="210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  <c r="AA471" s="210"/>
      <c r="AB471" s="210"/>
      <c r="AC471" s="210"/>
      <c r="AD471" s="210"/>
      <c r="AE471" s="210"/>
      <c r="AF471" s="210"/>
      <c r="AG471" s="210"/>
    </row>
    <row r="472" spans="1:33" ht="12.75" customHeight="1">
      <c r="A472" s="210"/>
      <c r="B472" s="210"/>
      <c r="C472" s="210"/>
      <c r="D472" s="210"/>
      <c r="E472" s="210"/>
      <c r="F472" s="210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  <c r="AA472" s="210"/>
      <c r="AB472" s="210"/>
      <c r="AC472" s="210"/>
      <c r="AD472" s="210"/>
      <c r="AE472" s="210"/>
      <c r="AF472" s="210"/>
      <c r="AG472" s="210"/>
    </row>
    <row r="473" spans="1:33" ht="12.75" customHeight="1">
      <c r="A473" s="210"/>
      <c r="B473" s="210"/>
      <c r="C473" s="210"/>
      <c r="D473" s="210"/>
      <c r="E473" s="210"/>
      <c r="F473" s="210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  <c r="AA473" s="210"/>
      <c r="AB473" s="210"/>
      <c r="AC473" s="210"/>
      <c r="AD473" s="210"/>
      <c r="AE473" s="210"/>
      <c r="AF473" s="210"/>
      <c r="AG473" s="210"/>
    </row>
    <row r="474" spans="1:33" ht="12.75" customHeight="1">
      <c r="A474" s="210"/>
      <c r="B474" s="210"/>
      <c r="C474" s="210"/>
      <c r="D474" s="210"/>
      <c r="E474" s="210"/>
      <c r="F474" s="210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  <c r="AA474" s="210"/>
      <c r="AB474" s="210"/>
      <c r="AC474" s="210"/>
      <c r="AD474" s="210"/>
      <c r="AE474" s="210"/>
      <c r="AF474" s="210"/>
      <c r="AG474" s="210"/>
    </row>
    <row r="475" spans="1:33" ht="12.75" customHeight="1">
      <c r="A475" s="210"/>
      <c r="B475" s="210"/>
      <c r="C475" s="210"/>
      <c r="D475" s="210"/>
      <c r="E475" s="210"/>
      <c r="F475" s="210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  <c r="AA475" s="210"/>
      <c r="AB475" s="210"/>
      <c r="AC475" s="210"/>
      <c r="AD475" s="210"/>
      <c r="AE475" s="210"/>
      <c r="AF475" s="210"/>
      <c r="AG475" s="210"/>
    </row>
    <row r="476" spans="1:33" ht="12.75" customHeight="1">
      <c r="A476" s="210"/>
      <c r="B476" s="210"/>
      <c r="C476" s="210"/>
      <c r="D476" s="210"/>
      <c r="E476" s="210"/>
      <c r="F476" s="210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  <c r="AA476" s="210"/>
      <c r="AB476" s="210"/>
      <c r="AC476" s="210"/>
      <c r="AD476" s="210"/>
      <c r="AE476" s="210"/>
      <c r="AF476" s="210"/>
      <c r="AG476" s="210"/>
    </row>
    <row r="477" spans="1:33" ht="12.75" customHeight="1">
      <c r="A477" s="210"/>
      <c r="B477" s="210"/>
      <c r="C477" s="210"/>
      <c r="D477" s="210"/>
      <c r="E477" s="210"/>
      <c r="F477" s="210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  <c r="AA477" s="210"/>
      <c r="AB477" s="210"/>
      <c r="AC477" s="210"/>
      <c r="AD477" s="210"/>
      <c r="AE477" s="210"/>
      <c r="AF477" s="210"/>
      <c r="AG477" s="210"/>
    </row>
    <row r="478" spans="1:33" ht="12.75" customHeight="1">
      <c r="A478" s="210"/>
      <c r="B478" s="210"/>
      <c r="C478" s="210"/>
      <c r="D478" s="210"/>
      <c r="E478" s="210"/>
      <c r="F478" s="210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  <c r="AA478" s="210"/>
      <c r="AB478" s="210"/>
      <c r="AC478" s="210"/>
      <c r="AD478" s="210"/>
      <c r="AE478" s="210"/>
      <c r="AF478" s="210"/>
      <c r="AG478" s="210"/>
    </row>
    <row r="479" spans="1:33" ht="12.75" customHeight="1">
      <c r="A479" s="210"/>
      <c r="B479" s="210"/>
      <c r="C479" s="210"/>
      <c r="D479" s="210"/>
      <c r="E479" s="210"/>
      <c r="F479" s="210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  <c r="AA479" s="210"/>
      <c r="AB479" s="210"/>
      <c r="AC479" s="210"/>
      <c r="AD479" s="210"/>
      <c r="AE479" s="210"/>
      <c r="AF479" s="210"/>
      <c r="AG479" s="210"/>
    </row>
    <row r="480" spans="1:33" ht="12.75" customHeight="1">
      <c r="A480" s="210"/>
      <c r="B480" s="210"/>
      <c r="C480" s="210"/>
      <c r="D480" s="210"/>
      <c r="E480" s="210"/>
      <c r="F480" s="210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  <c r="AA480" s="210"/>
      <c r="AB480" s="210"/>
      <c r="AC480" s="210"/>
      <c r="AD480" s="210"/>
      <c r="AE480" s="210"/>
      <c r="AF480" s="210"/>
      <c r="AG480" s="210"/>
    </row>
    <row r="481" spans="1:33" ht="12.75" customHeight="1">
      <c r="A481" s="210"/>
      <c r="B481" s="210"/>
      <c r="C481" s="210"/>
      <c r="D481" s="210"/>
      <c r="E481" s="210"/>
      <c r="F481" s="210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  <c r="AA481" s="210"/>
      <c r="AB481" s="210"/>
      <c r="AC481" s="210"/>
      <c r="AD481" s="210"/>
      <c r="AE481" s="210"/>
      <c r="AF481" s="210"/>
      <c r="AG481" s="210"/>
    </row>
    <row r="482" spans="1:33" ht="12.75" customHeight="1">
      <c r="A482" s="210"/>
      <c r="B482" s="210"/>
      <c r="C482" s="210"/>
      <c r="D482" s="210"/>
      <c r="E482" s="210"/>
      <c r="F482" s="210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  <c r="AA482" s="210"/>
      <c r="AB482" s="210"/>
      <c r="AC482" s="210"/>
      <c r="AD482" s="210"/>
      <c r="AE482" s="210"/>
      <c r="AF482" s="210"/>
      <c r="AG482" s="210"/>
    </row>
    <row r="483" spans="1:33" ht="12.75" customHeight="1">
      <c r="A483" s="210"/>
      <c r="B483" s="210"/>
      <c r="C483" s="210"/>
      <c r="D483" s="210"/>
      <c r="E483" s="210"/>
      <c r="F483" s="210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  <c r="AA483" s="210"/>
      <c r="AB483" s="210"/>
      <c r="AC483" s="210"/>
      <c r="AD483" s="210"/>
      <c r="AE483" s="210"/>
      <c r="AF483" s="210"/>
      <c r="AG483" s="210"/>
    </row>
    <row r="484" spans="1:33" ht="12.75" customHeight="1">
      <c r="A484" s="210"/>
      <c r="B484" s="210"/>
      <c r="C484" s="210"/>
      <c r="D484" s="210"/>
      <c r="E484" s="210"/>
      <c r="F484" s="210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  <c r="AA484" s="210"/>
      <c r="AB484" s="210"/>
      <c r="AC484" s="210"/>
      <c r="AD484" s="210"/>
      <c r="AE484" s="210"/>
      <c r="AF484" s="210"/>
      <c r="AG484" s="210"/>
    </row>
    <row r="485" spans="1:33" ht="12.75" customHeight="1">
      <c r="A485" s="210"/>
      <c r="B485" s="210"/>
      <c r="C485" s="210"/>
      <c r="D485" s="210"/>
      <c r="E485" s="210"/>
      <c r="F485" s="210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  <c r="AA485" s="210"/>
      <c r="AB485" s="210"/>
      <c r="AC485" s="210"/>
      <c r="AD485" s="210"/>
      <c r="AE485" s="210"/>
      <c r="AF485" s="210"/>
      <c r="AG485" s="210"/>
    </row>
    <row r="486" spans="1:33" ht="12.75" customHeight="1">
      <c r="A486" s="210"/>
      <c r="B486" s="210"/>
      <c r="C486" s="210"/>
      <c r="D486" s="210"/>
      <c r="E486" s="210"/>
      <c r="F486" s="210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  <c r="AA486" s="210"/>
      <c r="AB486" s="210"/>
      <c r="AC486" s="210"/>
      <c r="AD486" s="210"/>
      <c r="AE486" s="210"/>
      <c r="AF486" s="210"/>
      <c r="AG486" s="210"/>
    </row>
    <row r="487" spans="1:33" ht="12.75" customHeight="1">
      <c r="A487" s="210"/>
      <c r="B487" s="210"/>
      <c r="C487" s="210"/>
      <c r="D487" s="210"/>
      <c r="E487" s="210"/>
      <c r="F487" s="210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  <c r="AA487" s="210"/>
      <c r="AB487" s="210"/>
      <c r="AC487" s="210"/>
      <c r="AD487" s="210"/>
      <c r="AE487" s="210"/>
      <c r="AF487" s="210"/>
      <c r="AG487" s="210"/>
    </row>
    <row r="488" spans="1:33" ht="12.75" customHeight="1">
      <c r="A488" s="210"/>
      <c r="B488" s="210"/>
      <c r="C488" s="210"/>
      <c r="D488" s="210"/>
      <c r="E488" s="210"/>
      <c r="F488" s="210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  <c r="AA488" s="210"/>
      <c r="AB488" s="210"/>
      <c r="AC488" s="210"/>
      <c r="AD488" s="210"/>
      <c r="AE488" s="210"/>
      <c r="AF488" s="210"/>
      <c r="AG488" s="210"/>
    </row>
    <row r="489" spans="1:33" ht="12.75" customHeight="1">
      <c r="A489" s="210"/>
      <c r="B489" s="210"/>
      <c r="C489" s="210"/>
      <c r="D489" s="210"/>
      <c r="E489" s="210"/>
      <c r="F489" s="210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  <c r="AA489" s="210"/>
      <c r="AB489" s="210"/>
      <c r="AC489" s="210"/>
      <c r="AD489" s="210"/>
      <c r="AE489" s="210"/>
      <c r="AF489" s="210"/>
      <c r="AG489" s="210"/>
    </row>
    <row r="490" spans="1:33" ht="12.75" customHeight="1">
      <c r="A490" s="210"/>
      <c r="B490" s="210"/>
      <c r="C490" s="210"/>
      <c r="D490" s="210"/>
      <c r="E490" s="210"/>
      <c r="F490" s="210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  <c r="AA490" s="210"/>
      <c r="AB490" s="210"/>
      <c r="AC490" s="210"/>
      <c r="AD490" s="210"/>
      <c r="AE490" s="210"/>
      <c r="AF490" s="210"/>
      <c r="AG490" s="210"/>
    </row>
    <row r="491" spans="1:33" ht="12.75" customHeight="1">
      <c r="A491" s="210"/>
      <c r="B491" s="210"/>
      <c r="C491" s="210"/>
      <c r="D491" s="210"/>
      <c r="E491" s="210"/>
      <c r="F491" s="210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  <c r="AA491" s="210"/>
      <c r="AB491" s="210"/>
      <c r="AC491" s="210"/>
      <c r="AD491" s="210"/>
      <c r="AE491" s="210"/>
      <c r="AF491" s="210"/>
      <c r="AG491" s="210"/>
    </row>
    <row r="492" spans="1:33" ht="12.75" customHeight="1">
      <c r="A492" s="210"/>
      <c r="B492" s="210"/>
      <c r="C492" s="210"/>
      <c r="D492" s="210"/>
      <c r="E492" s="210"/>
      <c r="F492" s="210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  <c r="AA492" s="210"/>
      <c r="AB492" s="210"/>
      <c r="AC492" s="210"/>
      <c r="AD492" s="210"/>
      <c r="AE492" s="210"/>
      <c r="AF492" s="210"/>
      <c r="AG492" s="210"/>
    </row>
    <row r="493" spans="1:33" ht="12.75" customHeight="1">
      <c r="A493" s="210"/>
      <c r="B493" s="210"/>
      <c r="C493" s="210"/>
      <c r="D493" s="210"/>
      <c r="E493" s="210"/>
      <c r="F493" s="210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  <c r="AA493" s="210"/>
      <c r="AB493" s="210"/>
      <c r="AC493" s="210"/>
      <c r="AD493" s="210"/>
      <c r="AE493" s="210"/>
      <c r="AF493" s="210"/>
      <c r="AG493" s="210"/>
    </row>
    <row r="494" spans="1:33" ht="12.75" customHeight="1">
      <c r="A494" s="210"/>
      <c r="B494" s="210"/>
      <c r="C494" s="210"/>
      <c r="D494" s="210"/>
      <c r="E494" s="210"/>
      <c r="F494" s="210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  <c r="AA494" s="210"/>
      <c r="AB494" s="210"/>
      <c r="AC494" s="210"/>
      <c r="AD494" s="210"/>
      <c r="AE494" s="210"/>
      <c r="AF494" s="210"/>
      <c r="AG494" s="210"/>
    </row>
    <row r="495" spans="1:33" ht="12.75" customHeight="1">
      <c r="A495" s="210"/>
      <c r="B495" s="210"/>
      <c r="C495" s="210"/>
      <c r="D495" s="210"/>
      <c r="E495" s="210"/>
      <c r="F495" s="210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  <c r="AA495" s="210"/>
      <c r="AB495" s="210"/>
      <c r="AC495" s="210"/>
      <c r="AD495" s="210"/>
      <c r="AE495" s="210"/>
      <c r="AF495" s="210"/>
      <c r="AG495" s="210"/>
    </row>
    <row r="496" spans="1:33" ht="12.75" customHeight="1">
      <c r="A496" s="210"/>
      <c r="B496" s="210"/>
      <c r="C496" s="210"/>
      <c r="D496" s="210"/>
      <c r="E496" s="210"/>
      <c r="F496" s="210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  <c r="AA496" s="210"/>
      <c r="AB496" s="210"/>
      <c r="AC496" s="210"/>
      <c r="AD496" s="210"/>
      <c r="AE496" s="210"/>
      <c r="AF496" s="210"/>
      <c r="AG496" s="210"/>
    </row>
    <row r="497" spans="1:33" ht="12.75" customHeight="1">
      <c r="A497" s="210"/>
      <c r="B497" s="210"/>
      <c r="C497" s="210"/>
      <c r="D497" s="210"/>
      <c r="E497" s="210"/>
      <c r="F497" s="210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  <c r="AA497" s="210"/>
      <c r="AB497" s="210"/>
      <c r="AC497" s="210"/>
      <c r="AD497" s="210"/>
      <c r="AE497" s="210"/>
      <c r="AF497" s="210"/>
      <c r="AG497" s="210"/>
    </row>
    <row r="498" spans="1:33" ht="12.75" customHeight="1">
      <c r="A498" s="210"/>
      <c r="B498" s="210"/>
      <c r="C498" s="210"/>
      <c r="D498" s="210"/>
      <c r="E498" s="210"/>
      <c r="F498" s="210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  <c r="AA498" s="210"/>
      <c r="AB498" s="210"/>
      <c r="AC498" s="210"/>
      <c r="AD498" s="210"/>
      <c r="AE498" s="210"/>
      <c r="AF498" s="210"/>
      <c r="AG498" s="210"/>
    </row>
    <row r="499" spans="1:33" ht="12.75" customHeight="1">
      <c r="A499" s="210"/>
      <c r="B499" s="210"/>
      <c r="C499" s="210"/>
      <c r="D499" s="210"/>
      <c r="E499" s="210"/>
      <c r="F499" s="210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  <c r="AA499" s="210"/>
      <c r="AB499" s="210"/>
      <c r="AC499" s="210"/>
      <c r="AD499" s="210"/>
      <c r="AE499" s="210"/>
      <c r="AF499" s="210"/>
      <c r="AG499" s="210"/>
    </row>
    <row r="500" spans="1:33" ht="12.75" customHeight="1">
      <c r="A500" s="210"/>
      <c r="B500" s="210"/>
      <c r="C500" s="210"/>
      <c r="D500" s="210"/>
      <c r="E500" s="210"/>
      <c r="F500" s="210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  <c r="AA500" s="210"/>
      <c r="AB500" s="210"/>
      <c r="AC500" s="210"/>
      <c r="AD500" s="210"/>
      <c r="AE500" s="210"/>
      <c r="AF500" s="210"/>
      <c r="AG500" s="210"/>
    </row>
    <row r="501" spans="1:33" ht="12.75" customHeight="1">
      <c r="A501" s="210"/>
      <c r="B501" s="210"/>
      <c r="C501" s="210"/>
      <c r="D501" s="210"/>
      <c r="E501" s="210"/>
      <c r="F501" s="210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  <c r="AA501" s="210"/>
      <c r="AB501" s="210"/>
      <c r="AC501" s="210"/>
      <c r="AD501" s="210"/>
      <c r="AE501" s="210"/>
      <c r="AF501" s="210"/>
      <c r="AG501" s="210"/>
    </row>
    <row r="502" spans="1:33" ht="12.75" customHeight="1">
      <c r="A502" s="210"/>
      <c r="B502" s="210"/>
      <c r="C502" s="210"/>
      <c r="D502" s="210"/>
      <c r="E502" s="210"/>
      <c r="F502" s="210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  <c r="AA502" s="210"/>
      <c r="AB502" s="210"/>
      <c r="AC502" s="210"/>
      <c r="AD502" s="210"/>
      <c r="AE502" s="210"/>
      <c r="AF502" s="210"/>
      <c r="AG502" s="210"/>
    </row>
    <row r="503" spans="1:33" ht="12.75" customHeight="1">
      <c r="A503" s="210"/>
      <c r="B503" s="210"/>
      <c r="C503" s="210"/>
      <c r="D503" s="210"/>
      <c r="E503" s="210"/>
      <c r="F503" s="210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  <c r="AA503" s="210"/>
      <c r="AB503" s="210"/>
      <c r="AC503" s="210"/>
      <c r="AD503" s="210"/>
      <c r="AE503" s="210"/>
      <c r="AF503" s="210"/>
      <c r="AG503" s="210"/>
    </row>
    <row r="504" spans="1:33" ht="12.75" customHeight="1">
      <c r="A504" s="210"/>
      <c r="B504" s="210"/>
      <c r="C504" s="210"/>
      <c r="D504" s="210"/>
      <c r="E504" s="210"/>
      <c r="F504" s="210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  <c r="AA504" s="210"/>
      <c r="AB504" s="210"/>
      <c r="AC504" s="210"/>
      <c r="AD504" s="210"/>
      <c r="AE504" s="210"/>
      <c r="AF504" s="210"/>
      <c r="AG504" s="210"/>
    </row>
    <row r="505" spans="1:33" ht="12.75" customHeight="1">
      <c r="A505" s="210"/>
      <c r="B505" s="210"/>
      <c r="C505" s="210"/>
      <c r="D505" s="210"/>
      <c r="E505" s="210"/>
      <c r="F505" s="210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  <c r="AA505" s="210"/>
      <c r="AB505" s="210"/>
      <c r="AC505" s="210"/>
      <c r="AD505" s="210"/>
      <c r="AE505" s="210"/>
      <c r="AF505" s="210"/>
      <c r="AG505" s="210"/>
    </row>
    <row r="506" spans="1:33" ht="12.75" customHeight="1">
      <c r="A506" s="210"/>
      <c r="B506" s="210"/>
      <c r="C506" s="210"/>
      <c r="D506" s="210"/>
      <c r="E506" s="210"/>
      <c r="F506" s="210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  <c r="AA506" s="210"/>
      <c r="AB506" s="210"/>
      <c r="AC506" s="210"/>
      <c r="AD506" s="210"/>
      <c r="AE506" s="210"/>
      <c r="AF506" s="210"/>
      <c r="AG506" s="210"/>
    </row>
    <row r="507" spans="1:33" ht="12.75" customHeight="1">
      <c r="A507" s="210"/>
      <c r="B507" s="210"/>
      <c r="C507" s="210"/>
      <c r="D507" s="210"/>
      <c r="E507" s="210"/>
      <c r="F507" s="210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  <c r="AA507" s="210"/>
      <c r="AB507" s="210"/>
      <c r="AC507" s="210"/>
      <c r="AD507" s="210"/>
      <c r="AE507" s="210"/>
      <c r="AF507" s="210"/>
      <c r="AG507" s="210"/>
    </row>
    <row r="508" spans="1:33" ht="12.75" customHeight="1">
      <c r="A508" s="210"/>
      <c r="B508" s="210"/>
      <c r="C508" s="210"/>
      <c r="D508" s="210"/>
      <c r="E508" s="210"/>
      <c r="F508" s="210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  <c r="AA508" s="210"/>
      <c r="AB508" s="210"/>
      <c r="AC508" s="210"/>
      <c r="AD508" s="210"/>
      <c r="AE508" s="210"/>
      <c r="AF508" s="210"/>
      <c r="AG508" s="210"/>
    </row>
    <row r="509" spans="1:33" ht="12.75" customHeight="1">
      <c r="A509" s="210"/>
      <c r="B509" s="210"/>
      <c r="C509" s="210"/>
      <c r="D509" s="210"/>
      <c r="E509" s="210"/>
      <c r="F509" s="210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  <c r="AA509" s="210"/>
      <c r="AB509" s="210"/>
      <c r="AC509" s="210"/>
      <c r="AD509" s="210"/>
      <c r="AE509" s="210"/>
      <c r="AF509" s="210"/>
      <c r="AG509" s="210"/>
    </row>
    <row r="510" spans="1:33" ht="12.75" customHeight="1">
      <c r="A510" s="210"/>
      <c r="B510" s="210"/>
      <c r="C510" s="210"/>
      <c r="D510" s="210"/>
      <c r="E510" s="210"/>
      <c r="F510" s="210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  <c r="AA510" s="210"/>
      <c r="AB510" s="210"/>
      <c r="AC510" s="210"/>
      <c r="AD510" s="210"/>
      <c r="AE510" s="210"/>
      <c r="AF510" s="210"/>
      <c r="AG510" s="210"/>
    </row>
    <row r="511" spans="1:33" ht="12.75" customHeight="1">
      <c r="A511" s="210"/>
      <c r="B511" s="210"/>
      <c r="C511" s="210"/>
      <c r="D511" s="210"/>
      <c r="E511" s="210"/>
      <c r="F511" s="210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  <c r="AA511" s="210"/>
      <c r="AB511" s="210"/>
      <c r="AC511" s="210"/>
      <c r="AD511" s="210"/>
      <c r="AE511" s="210"/>
      <c r="AF511" s="210"/>
      <c r="AG511" s="210"/>
    </row>
    <row r="512" spans="1:33" ht="12.75" customHeight="1">
      <c r="A512" s="210"/>
      <c r="B512" s="210"/>
      <c r="C512" s="210"/>
      <c r="D512" s="210"/>
      <c r="E512" s="210"/>
      <c r="F512" s="210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  <c r="AA512" s="210"/>
      <c r="AB512" s="210"/>
      <c r="AC512" s="210"/>
      <c r="AD512" s="210"/>
      <c r="AE512" s="210"/>
      <c r="AF512" s="210"/>
      <c r="AG512" s="210"/>
    </row>
    <row r="513" spans="1:33" ht="12.75" customHeight="1">
      <c r="A513" s="210"/>
      <c r="B513" s="210"/>
      <c r="C513" s="210"/>
      <c r="D513" s="210"/>
      <c r="E513" s="210"/>
      <c r="F513" s="210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  <c r="AA513" s="210"/>
      <c r="AB513" s="210"/>
      <c r="AC513" s="210"/>
      <c r="AD513" s="210"/>
      <c r="AE513" s="210"/>
      <c r="AF513" s="210"/>
      <c r="AG513" s="210"/>
    </row>
    <row r="514" spans="1:33" ht="12.75" customHeight="1">
      <c r="A514" s="210"/>
      <c r="B514" s="210"/>
      <c r="C514" s="210"/>
      <c r="D514" s="210"/>
      <c r="E514" s="210"/>
      <c r="F514" s="210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  <c r="AA514" s="210"/>
      <c r="AB514" s="210"/>
      <c r="AC514" s="210"/>
      <c r="AD514" s="210"/>
      <c r="AE514" s="210"/>
      <c r="AF514" s="210"/>
      <c r="AG514" s="210"/>
    </row>
    <row r="515" spans="1:33" ht="12.75" customHeight="1">
      <c r="A515" s="210"/>
      <c r="B515" s="210"/>
      <c r="C515" s="210"/>
      <c r="D515" s="210"/>
      <c r="E515" s="210"/>
      <c r="F515" s="210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  <c r="AA515" s="210"/>
      <c r="AB515" s="210"/>
      <c r="AC515" s="210"/>
      <c r="AD515" s="210"/>
      <c r="AE515" s="210"/>
      <c r="AF515" s="210"/>
      <c r="AG515" s="210"/>
    </row>
    <row r="516" spans="1:33" ht="12.75" customHeight="1">
      <c r="A516" s="210"/>
      <c r="B516" s="210"/>
      <c r="C516" s="210"/>
      <c r="D516" s="210"/>
      <c r="E516" s="210"/>
      <c r="F516" s="210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  <c r="AA516" s="210"/>
      <c r="AB516" s="210"/>
      <c r="AC516" s="210"/>
      <c r="AD516" s="210"/>
      <c r="AE516" s="210"/>
      <c r="AF516" s="210"/>
      <c r="AG516" s="210"/>
    </row>
    <row r="517" spans="1:33" ht="12.75" customHeight="1">
      <c r="A517" s="210"/>
      <c r="B517" s="210"/>
      <c r="C517" s="210"/>
      <c r="D517" s="210"/>
      <c r="E517" s="210"/>
      <c r="F517" s="210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  <c r="AA517" s="210"/>
      <c r="AB517" s="210"/>
      <c r="AC517" s="210"/>
      <c r="AD517" s="210"/>
      <c r="AE517" s="210"/>
      <c r="AF517" s="210"/>
      <c r="AG517" s="210"/>
    </row>
    <row r="518" spans="1:33" ht="12.75" customHeight="1">
      <c r="A518" s="210"/>
      <c r="B518" s="210"/>
      <c r="C518" s="210"/>
      <c r="D518" s="210"/>
      <c r="E518" s="210"/>
      <c r="F518" s="210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  <c r="AA518" s="210"/>
      <c r="AB518" s="210"/>
      <c r="AC518" s="210"/>
      <c r="AD518" s="210"/>
      <c r="AE518" s="210"/>
      <c r="AF518" s="210"/>
      <c r="AG518" s="210"/>
    </row>
    <row r="519" spans="1:33" ht="12.75" customHeight="1">
      <c r="A519" s="210"/>
      <c r="B519" s="210"/>
      <c r="C519" s="210"/>
      <c r="D519" s="210"/>
      <c r="E519" s="210"/>
      <c r="F519" s="210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  <c r="AA519" s="210"/>
      <c r="AB519" s="210"/>
      <c r="AC519" s="210"/>
      <c r="AD519" s="210"/>
      <c r="AE519" s="210"/>
      <c r="AF519" s="210"/>
      <c r="AG519" s="210"/>
    </row>
    <row r="520" spans="1:33" ht="12.75" customHeight="1">
      <c r="A520" s="210"/>
      <c r="B520" s="210"/>
      <c r="C520" s="210"/>
      <c r="D520" s="210"/>
      <c r="E520" s="210"/>
      <c r="F520" s="210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  <c r="AA520" s="210"/>
      <c r="AB520" s="210"/>
      <c r="AC520" s="210"/>
      <c r="AD520" s="210"/>
      <c r="AE520" s="210"/>
      <c r="AF520" s="210"/>
      <c r="AG520" s="210"/>
    </row>
    <row r="521" spans="1:33" ht="12.75" customHeight="1">
      <c r="A521" s="210"/>
      <c r="B521" s="210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0"/>
      <c r="AG521" s="210"/>
    </row>
    <row r="522" spans="1:33" ht="12.75" customHeight="1">
      <c r="A522" s="210"/>
      <c r="B522" s="210"/>
      <c r="C522" s="210"/>
      <c r="D522" s="210"/>
      <c r="E522" s="210"/>
      <c r="F522" s="210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  <c r="AA522" s="210"/>
      <c r="AB522" s="210"/>
      <c r="AC522" s="210"/>
      <c r="AD522" s="210"/>
      <c r="AE522" s="210"/>
      <c r="AF522" s="210"/>
      <c r="AG522" s="210"/>
    </row>
    <row r="523" spans="1:33" ht="12.75" customHeight="1">
      <c r="A523" s="210"/>
      <c r="B523" s="210"/>
      <c r="C523" s="210"/>
      <c r="D523" s="210"/>
      <c r="E523" s="210"/>
      <c r="F523" s="210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  <c r="AA523" s="210"/>
      <c r="AB523" s="210"/>
      <c r="AC523" s="210"/>
      <c r="AD523" s="210"/>
      <c r="AE523" s="210"/>
      <c r="AF523" s="210"/>
      <c r="AG523" s="210"/>
    </row>
    <row r="524" spans="1:33" ht="12.75" customHeight="1">
      <c r="A524" s="210"/>
      <c r="B524" s="210"/>
      <c r="C524" s="210"/>
      <c r="D524" s="210"/>
      <c r="E524" s="210"/>
      <c r="F524" s="210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  <c r="AA524" s="210"/>
      <c r="AB524" s="210"/>
      <c r="AC524" s="210"/>
      <c r="AD524" s="210"/>
      <c r="AE524" s="210"/>
      <c r="AF524" s="210"/>
      <c r="AG524" s="210"/>
    </row>
    <row r="525" spans="1:33" ht="12.75" customHeight="1">
      <c r="A525" s="210"/>
      <c r="B525" s="210"/>
      <c r="C525" s="210"/>
      <c r="D525" s="210"/>
      <c r="E525" s="210"/>
      <c r="F525" s="210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  <c r="AA525" s="210"/>
      <c r="AB525" s="210"/>
      <c r="AC525" s="210"/>
      <c r="AD525" s="210"/>
      <c r="AE525" s="210"/>
      <c r="AF525" s="210"/>
      <c r="AG525" s="210"/>
    </row>
    <row r="526" spans="1:33" ht="12.75" customHeight="1">
      <c r="A526" s="210"/>
      <c r="B526" s="210"/>
      <c r="C526" s="210"/>
      <c r="D526" s="210"/>
      <c r="E526" s="210"/>
      <c r="F526" s="210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  <c r="AA526" s="210"/>
      <c r="AB526" s="210"/>
      <c r="AC526" s="210"/>
      <c r="AD526" s="210"/>
      <c r="AE526" s="210"/>
      <c r="AF526" s="210"/>
      <c r="AG526" s="210"/>
    </row>
    <row r="527" spans="1:33" ht="12.75" customHeight="1">
      <c r="A527" s="210"/>
      <c r="B527" s="210"/>
      <c r="C527" s="210"/>
      <c r="D527" s="210"/>
      <c r="E527" s="210"/>
      <c r="F527" s="210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  <c r="AA527" s="210"/>
      <c r="AB527" s="210"/>
      <c r="AC527" s="210"/>
      <c r="AD527" s="210"/>
      <c r="AE527" s="210"/>
      <c r="AF527" s="210"/>
      <c r="AG527" s="210"/>
    </row>
    <row r="528" spans="1:33" ht="12.75" customHeight="1">
      <c r="A528" s="210"/>
      <c r="B528" s="210"/>
      <c r="C528" s="210"/>
      <c r="D528" s="210"/>
      <c r="E528" s="210"/>
      <c r="F528" s="210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  <c r="AA528" s="210"/>
      <c r="AB528" s="210"/>
      <c r="AC528" s="210"/>
      <c r="AD528" s="210"/>
      <c r="AE528" s="210"/>
      <c r="AF528" s="210"/>
      <c r="AG528" s="210"/>
    </row>
    <row r="529" spans="1:33" ht="12.75" customHeight="1">
      <c r="A529" s="210"/>
      <c r="B529" s="210"/>
      <c r="C529" s="210"/>
      <c r="D529" s="210"/>
      <c r="E529" s="210"/>
      <c r="F529" s="210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  <c r="AA529" s="210"/>
      <c r="AB529" s="210"/>
      <c r="AC529" s="210"/>
      <c r="AD529" s="210"/>
      <c r="AE529" s="210"/>
      <c r="AF529" s="210"/>
      <c r="AG529" s="210"/>
    </row>
    <row r="530" spans="1:33" ht="12.75" customHeight="1">
      <c r="A530" s="210"/>
      <c r="B530" s="210"/>
      <c r="C530" s="210"/>
      <c r="D530" s="210"/>
      <c r="E530" s="210"/>
      <c r="F530" s="210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  <c r="AA530" s="210"/>
      <c r="AB530" s="210"/>
      <c r="AC530" s="210"/>
      <c r="AD530" s="210"/>
      <c r="AE530" s="210"/>
      <c r="AF530" s="210"/>
      <c r="AG530" s="210"/>
    </row>
    <row r="531" spans="1:33" ht="12.75" customHeight="1">
      <c r="A531" s="210"/>
      <c r="B531" s="210"/>
      <c r="C531" s="210"/>
      <c r="D531" s="210"/>
      <c r="E531" s="210"/>
      <c r="F531" s="210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  <c r="AA531" s="210"/>
      <c r="AB531" s="210"/>
      <c r="AC531" s="210"/>
      <c r="AD531" s="210"/>
      <c r="AE531" s="210"/>
      <c r="AF531" s="210"/>
      <c r="AG531" s="210"/>
    </row>
    <row r="532" spans="1:33" ht="12.75" customHeight="1">
      <c r="A532" s="210"/>
      <c r="B532" s="210"/>
      <c r="C532" s="210"/>
      <c r="D532" s="210"/>
      <c r="E532" s="210"/>
      <c r="F532" s="210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  <c r="AA532" s="210"/>
      <c r="AB532" s="210"/>
      <c r="AC532" s="210"/>
      <c r="AD532" s="210"/>
      <c r="AE532" s="210"/>
      <c r="AF532" s="210"/>
      <c r="AG532" s="210"/>
    </row>
    <row r="533" spans="1:33" ht="12.75" customHeight="1">
      <c r="A533" s="210"/>
      <c r="B533" s="210"/>
      <c r="C533" s="210"/>
      <c r="D533" s="210"/>
      <c r="E533" s="210"/>
      <c r="F533" s="210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  <c r="AA533" s="210"/>
      <c r="AB533" s="210"/>
      <c r="AC533" s="210"/>
      <c r="AD533" s="210"/>
      <c r="AE533" s="210"/>
      <c r="AF533" s="210"/>
      <c r="AG533" s="210"/>
    </row>
    <row r="534" spans="1:33" ht="12.75" customHeight="1">
      <c r="A534" s="210"/>
      <c r="B534" s="210"/>
      <c r="C534" s="210"/>
      <c r="D534" s="210"/>
      <c r="E534" s="210"/>
      <c r="F534" s="210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  <c r="AA534" s="210"/>
      <c r="AB534" s="210"/>
      <c r="AC534" s="210"/>
      <c r="AD534" s="210"/>
      <c r="AE534" s="210"/>
      <c r="AF534" s="210"/>
      <c r="AG534" s="210"/>
    </row>
    <row r="535" spans="1:33" ht="12.75" customHeight="1">
      <c r="A535" s="210"/>
      <c r="B535" s="210"/>
      <c r="C535" s="210"/>
      <c r="D535" s="210"/>
      <c r="E535" s="210"/>
      <c r="F535" s="210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  <c r="AA535" s="210"/>
      <c r="AB535" s="210"/>
      <c r="AC535" s="210"/>
      <c r="AD535" s="210"/>
      <c r="AE535" s="210"/>
      <c r="AF535" s="210"/>
      <c r="AG535" s="210"/>
    </row>
    <row r="536" spans="1:33" ht="12.75" customHeight="1">
      <c r="A536" s="210"/>
      <c r="B536" s="210"/>
      <c r="C536" s="210"/>
      <c r="D536" s="210"/>
      <c r="E536" s="210"/>
      <c r="F536" s="210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  <c r="AA536" s="210"/>
      <c r="AB536" s="210"/>
      <c r="AC536" s="210"/>
      <c r="AD536" s="210"/>
      <c r="AE536" s="210"/>
      <c r="AF536" s="210"/>
      <c r="AG536" s="210"/>
    </row>
    <row r="537" spans="1:33" ht="12.75" customHeight="1">
      <c r="A537" s="210"/>
      <c r="B537" s="210"/>
      <c r="C537" s="210"/>
      <c r="D537" s="210"/>
      <c r="E537" s="210"/>
      <c r="F537" s="210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  <c r="AA537" s="210"/>
      <c r="AB537" s="210"/>
      <c r="AC537" s="210"/>
      <c r="AD537" s="210"/>
      <c r="AE537" s="210"/>
      <c r="AF537" s="210"/>
      <c r="AG537" s="210"/>
    </row>
    <row r="538" spans="1:33" ht="12.75" customHeight="1">
      <c r="A538" s="210"/>
      <c r="B538" s="210"/>
      <c r="C538" s="210"/>
      <c r="D538" s="210"/>
      <c r="E538" s="210"/>
      <c r="F538" s="210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  <c r="AA538" s="210"/>
      <c r="AB538" s="210"/>
      <c r="AC538" s="210"/>
      <c r="AD538" s="210"/>
      <c r="AE538" s="210"/>
      <c r="AF538" s="210"/>
      <c r="AG538" s="210"/>
    </row>
    <row r="539" spans="1:33" ht="12.75" customHeight="1">
      <c r="A539" s="210"/>
      <c r="B539" s="210"/>
      <c r="C539" s="210"/>
      <c r="D539" s="210"/>
      <c r="E539" s="210"/>
      <c r="F539" s="210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  <c r="AA539" s="210"/>
      <c r="AB539" s="210"/>
      <c r="AC539" s="210"/>
      <c r="AD539" s="210"/>
      <c r="AE539" s="210"/>
      <c r="AF539" s="210"/>
      <c r="AG539" s="210"/>
    </row>
    <row r="540" spans="1:33" ht="12.75" customHeight="1">
      <c r="A540" s="210"/>
      <c r="B540" s="210"/>
      <c r="C540" s="210"/>
      <c r="D540" s="210"/>
      <c r="E540" s="210"/>
      <c r="F540" s="210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  <c r="AA540" s="210"/>
      <c r="AB540" s="210"/>
      <c r="AC540" s="210"/>
      <c r="AD540" s="210"/>
      <c r="AE540" s="210"/>
      <c r="AF540" s="210"/>
      <c r="AG540" s="210"/>
    </row>
    <row r="541" spans="1:33" ht="12.75" customHeight="1">
      <c r="A541" s="210"/>
      <c r="B541" s="210"/>
      <c r="C541" s="210"/>
      <c r="D541" s="210"/>
      <c r="E541" s="210"/>
      <c r="F541" s="210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  <c r="AA541" s="210"/>
      <c r="AB541" s="210"/>
      <c r="AC541" s="210"/>
      <c r="AD541" s="210"/>
      <c r="AE541" s="210"/>
      <c r="AF541" s="210"/>
      <c r="AG541" s="210"/>
    </row>
    <row r="542" spans="1:33" ht="12.75" customHeight="1">
      <c r="A542" s="210"/>
      <c r="B542" s="210"/>
      <c r="C542" s="210"/>
      <c r="D542" s="210"/>
      <c r="E542" s="210"/>
      <c r="F542" s="210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  <c r="AA542" s="210"/>
      <c r="AB542" s="210"/>
      <c r="AC542" s="210"/>
      <c r="AD542" s="210"/>
      <c r="AE542" s="210"/>
      <c r="AF542" s="210"/>
      <c r="AG542" s="210"/>
    </row>
    <row r="543" spans="1:33" ht="12.75" customHeight="1">
      <c r="A543" s="210"/>
      <c r="B543" s="210"/>
      <c r="C543" s="210"/>
      <c r="D543" s="210"/>
      <c r="E543" s="210"/>
      <c r="F543" s="210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  <c r="AA543" s="210"/>
      <c r="AB543" s="210"/>
      <c r="AC543" s="210"/>
      <c r="AD543" s="210"/>
      <c r="AE543" s="210"/>
      <c r="AF543" s="210"/>
      <c r="AG543" s="210"/>
    </row>
    <row r="544" spans="1:33" ht="12.75" customHeight="1">
      <c r="A544" s="210"/>
      <c r="B544" s="210"/>
      <c r="C544" s="210"/>
      <c r="D544" s="210"/>
      <c r="E544" s="210"/>
      <c r="F544" s="210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  <c r="AA544" s="210"/>
      <c r="AB544" s="210"/>
      <c r="AC544" s="210"/>
      <c r="AD544" s="210"/>
      <c r="AE544" s="210"/>
      <c r="AF544" s="210"/>
      <c r="AG544" s="210"/>
    </row>
    <row r="545" spans="1:33" ht="12.75" customHeight="1">
      <c r="A545" s="210"/>
      <c r="B545" s="210"/>
      <c r="C545" s="210"/>
      <c r="D545" s="210"/>
      <c r="E545" s="210"/>
      <c r="F545" s="210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  <c r="AA545" s="210"/>
      <c r="AB545" s="210"/>
      <c r="AC545" s="210"/>
      <c r="AD545" s="210"/>
      <c r="AE545" s="210"/>
      <c r="AF545" s="210"/>
      <c r="AG545" s="210"/>
    </row>
    <row r="546" spans="1:33" ht="12.75" customHeight="1">
      <c r="A546" s="210"/>
      <c r="B546" s="210"/>
      <c r="C546" s="210"/>
      <c r="D546" s="210"/>
      <c r="E546" s="210"/>
      <c r="F546" s="210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  <c r="AA546" s="210"/>
      <c r="AB546" s="210"/>
      <c r="AC546" s="210"/>
      <c r="AD546" s="210"/>
      <c r="AE546" s="210"/>
      <c r="AF546" s="210"/>
      <c r="AG546" s="210"/>
    </row>
    <row r="547" spans="1:33" ht="12.75" customHeight="1">
      <c r="A547" s="210"/>
      <c r="B547" s="210"/>
      <c r="C547" s="210"/>
      <c r="D547" s="210"/>
      <c r="E547" s="210"/>
      <c r="F547" s="210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  <c r="AA547" s="210"/>
      <c r="AB547" s="210"/>
      <c r="AC547" s="210"/>
      <c r="AD547" s="210"/>
      <c r="AE547" s="210"/>
      <c r="AF547" s="210"/>
      <c r="AG547" s="210"/>
    </row>
    <row r="548" spans="1:33" ht="12.75" customHeight="1">
      <c r="A548" s="210"/>
      <c r="B548" s="210"/>
      <c r="C548" s="210"/>
      <c r="D548" s="210"/>
      <c r="E548" s="210"/>
      <c r="F548" s="210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  <c r="AA548" s="210"/>
      <c r="AB548" s="210"/>
      <c r="AC548" s="210"/>
      <c r="AD548" s="210"/>
      <c r="AE548" s="210"/>
      <c r="AF548" s="210"/>
      <c r="AG548" s="210"/>
    </row>
    <row r="549" spans="1:33" ht="12.75" customHeight="1">
      <c r="A549" s="210"/>
      <c r="B549" s="210"/>
      <c r="C549" s="210"/>
      <c r="D549" s="210"/>
      <c r="E549" s="210"/>
      <c r="F549" s="210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  <c r="AA549" s="210"/>
      <c r="AB549" s="210"/>
      <c r="AC549" s="210"/>
      <c r="AD549" s="210"/>
      <c r="AE549" s="210"/>
      <c r="AF549" s="210"/>
      <c r="AG549" s="210"/>
    </row>
    <row r="550" spans="1:33" ht="12.75" customHeight="1">
      <c r="A550" s="210"/>
      <c r="B550" s="210"/>
      <c r="C550" s="210"/>
      <c r="D550" s="210"/>
      <c r="E550" s="210"/>
      <c r="F550" s="210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  <c r="AA550" s="210"/>
      <c r="AB550" s="210"/>
      <c r="AC550" s="210"/>
      <c r="AD550" s="210"/>
      <c r="AE550" s="210"/>
      <c r="AF550" s="210"/>
      <c r="AG550" s="210"/>
    </row>
    <row r="551" spans="1:33" ht="12.75" customHeight="1">
      <c r="A551" s="210"/>
      <c r="B551" s="210"/>
      <c r="C551" s="210"/>
      <c r="D551" s="210"/>
      <c r="E551" s="210"/>
      <c r="F551" s="210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  <c r="AA551" s="210"/>
      <c r="AB551" s="210"/>
      <c r="AC551" s="210"/>
      <c r="AD551" s="210"/>
      <c r="AE551" s="210"/>
      <c r="AF551" s="210"/>
      <c r="AG551" s="210"/>
    </row>
    <row r="552" spans="1:33" ht="12.75" customHeight="1">
      <c r="A552" s="210"/>
      <c r="B552" s="210"/>
      <c r="C552" s="210"/>
      <c r="D552" s="210"/>
      <c r="E552" s="210"/>
      <c r="F552" s="210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  <c r="AA552" s="210"/>
      <c r="AB552" s="210"/>
      <c r="AC552" s="210"/>
      <c r="AD552" s="210"/>
      <c r="AE552" s="210"/>
      <c r="AF552" s="210"/>
      <c r="AG552" s="210"/>
    </row>
    <row r="553" spans="1:33" ht="12.75" customHeight="1">
      <c r="A553" s="210"/>
      <c r="B553" s="210"/>
      <c r="C553" s="210"/>
      <c r="D553" s="210"/>
      <c r="E553" s="210"/>
      <c r="F553" s="210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  <c r="AA553" s="210"/>
      <c r="AB553" s="210"/>
      <c r="AC553" s="210"/>
      <c r="AD553" s="210"/>
      <c r="AE553" s="210"/>
      <c r="AF553" s="210"/>
      <c r="AG553" s="210"/>
    </row>
    <row r="554" spans="1:33" ht="12.75" customHeight="1">
      <c r="A554" s="210"/>
      <c r="B554" s="210"/>
      <c r="C554" s="210"/>
      <c r="D554" s="210"/>
      <c r="E554" s="210"/>
      <c r="F554" s="210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  <c r="AA554" s="210"/>
      <c r="AB554" s="210"/>
      <c r="AC554" s="210"/>
      <c r="AD554" s="210"/>
      <c r="AE554" s="210"/>
      <c r="AF554" s="210"/>
      <c r="AG554" s="210"/>
    </row>
    <row r="555" spans="1:33" ht="12.75" customHeight="1">
      <c r="A555" s="210"/>
      <c r="B555" s="210"/>
      <c r="C555" s="210"/>
      <c r="D555" s="210"/>
      <c r="E555" s="210"/>
      <c r="F555" s="210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  <c r="AA555" s="210"/>
      <c r="AB555" s="210"/>
      <c r="AC555" s="210"/>
      <c r="AD555" s="210"/>
      <c r="AE555" s="210"/>
      <c r="AF555" s="210"/>
      <c r="AG555" s="210"/>
    </row>
    <row r="556" spans="1:33" ht="12.75" customHeight="1">
      <c r="A556" s="210"/>
      <c r="B556" s="210"/>
      <c r="C556" s="210"/>
      <c r="D556" s="210"/>
      <c r="E556" s="210"/>
      <c r="F556" s="210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  <c r="AA556" s="210"/>
      <c r="AB556" s="210"/>
      <c r="AC556" s="210"/>
      <c r="AD556" s="210"/>
      <c r="AE556" s="210"/>
      <c r="AF556" s="210"/>
      <c r="AG556" s="210"/>
    </row>
    <row r="557" spans="1:33" ht="12.75" customHeight="1">
      <c r="A557" s="210"/>
      <c r="B557" s="210"/>
      <c r="C557" s="210"/>
      <c r="D557" s="210"/>
      <c r="E557" s="210"/>
      <c r="F557" s="210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  <c r="AA557" s="210"/>
      <c r="AB557" s="210"/>
      <c r="AC557" s="210"/>
      <c r="AD557" s="210"/>
      <c r="AE557" s="210"/>
      <c r="AF557" s="210"/>
      <c r="AG557" s="210"/>
    </row>
    <row r="558" spans="1:33" ht="12.75" customHeight="1">
      <c r="A558" s="210"/>
      <c r="B558" s="210"/>
      <c r="C558" s="210"/>
      <c r="D558" s="210"/>
      <c r="E558" s="210"/>
      <c r="F558" s="210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  <c r="AA558" s="210"/>
      <c r="AB558" s="210"/>
      <c r="AC558" s="210"/>
      <c r="AD558" s="210"/>
      <c r="AE558" s="210"/>
      <c r="AF558" s="210"/>
      <c r="AG558" s="210"/>
    </row>
    <row r="559" spans="1:33" ht="12.75" customHeight="1">
      <c r="A559" s="210"/>
      <c r="B559" s="210"/>
      <c r="C559" s="210"/>
      <c r="D559" s="210"/>
      <c r="E559" s="210"/>
      <c r="F559" s="210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  <c r="AA559" s="210"/>
      <c r="AB559" s="210"/>
      <c r="AC559" s="210"/>
      <c r="AD559" s="210"/>
      <c r="AE559" s="210"/>
      <c r="AF559" s="210"/>
      <c r="AG559" s="210"/>
    </row>
    <row r="560" spans="1:33" ht="12.75" customHeight="1">
      <c r="A560" s="210"/>
      <c r="B560" s="210"/>
      <c r="C560" s="210"/>
      <c r="D560" s="210"/>
      <c r="E560" s="210"/>
      <c r="F560" s="210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  <c r="AA560" s="210"/>
      <c r="AB560" s="210"/>
      <c r="AC560" s="210"/>
      <c r="AD560" s="210"/>
      <c r="AE560" s="210"/>
      <c r="AF560" s="210"/>
      <c r="AG560" s="210"/>
    </row>
    <row r="561" spans="1:33" ht="12.75" customHeight="1">
      <c r="A561" s="210"/>
      <c r="B561" s="210"/>
      <c r="C561" s="210"/>
      <c r="D561" s="210"/>
      <c r="E561" s="210"/>
      <c r="F561" s="210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  <c r="AA561" s="210"/>
      <c r="AB561" s="210"/>
      <c r="AC561" s="210"/>
      <c r="AD561" s="210"/>
      <c r="AE561" s="210"/>
      <c r="AF561" s="210"/>
      <c r="AG561" s="210"/>
    </row>
    <row r="562" spans="1:33" ht="12.75" customHeight="1">
      <c r="A562" s="210"/>
      <c r="B562" s="210"/>
      <c r="C562" s="210"/>
      <c r="D562" s="210"/>
      <c r="E562" s="210"/>
      <c r="F562" s="210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  <c r="AA562" s="210"/>
      <c r="AB562" s="210"/>
      <c r="AC562" s="210"/>
      <c r="AD562" s="210"/>
      <c r="AE562" s="210"/>
      <c r="AF562" s="210"/>
      <c r="AG562" s="210"/>
    </row>
    <row r="563" spans="1:33" ht="12.75" customHeight="1">
      <c r="A563" s="210"/>
      <c r="B563" s="210"/>
      <c r="C563" s="210"/>
      <c r="D563" s="210"/>
      <c r="E563" s="210"/>
      <c r="F563" s="210"/>
      <c r="G563" s="210"/>
      <c r="H563" s="210"/>
      <c r="I563" s="210"/>
      <c r="J563" s="210"/>
      <c r="K563" s="210"/>
      <c r="L563" s="210"/>
      <c r="M563" s="210"/>
      <c r="N563" s="210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  <c r="AA563" s="210"/>
      <c r="AB563" s="210"/>
      <c r="AC563" s="210"/>
      <c r="AD563" s="210"/>
      <c r="AE563" s="210"/>
      <c r="AF563" s="210"/>
      <c r="AG563" s="210"/>
    </row>
    <row r="564" spans="1:33" ht="12.75" customHeight="1">
      <c r="A564" s="210"/>
      <c r="B564" s="210"/>
      <c r="C564" s="210"/>
      <c r="D564" s="210"/>
      <c r="E564" s="210"/>
      <c r="F564" s="210"/>
      <c r="G564" s="210"/>
      <c r="H564" s="210"/>
      <c r="I564" s="210"/>
      <c r="J564" s="210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  <c r="AA564" s="210"/>
      <c r="AB564" s="210"/>
      <c r="AC564" s="210"/>
      <c r="AD564" s="210"/>
      <c r="AE564" s="210"/>
      <c r="AF564" s="210"/>
      <c r="AG564" s="210"/>
    </row>
    <row r="565" spans="1:33" ht="12.75" customHeight="1">
      <c r="A565" s="210"/>
      <c r="B565" s="210"/>
      <c r="C565" s="210"/>
      <c r="D565" s="210"/>
      <c r="E565" s="210"/>
      <c r="F565" s="210"/>
      <c r="G565" s="210"/>
      <c r="H565" s="210"/>
      <c r="I565" s="210"/>
      <c r="J565" s="210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  <c r="AA565" s="210"/>
      <c r="AB565" s="210"/>
      <c r="AC565" s="210"/>
      <c r="AD565" s="210"/>
      <c r="AE565" s="210"/>
      <c r="AF565" s="210"/>
      <c r="AG565" s="210"/>
    </row>
    <row r="566" spans="1:33" ht="12.75" customHeight="1">
      <c r="A566" s="210"/>
      <c r="B566" s="210"/>
      <c r="C566" s="210"/>
      <c r="D566" s="210"/>
      <c r="E566" s="210"/>
      <c r="F566" s="210"/>
      <c r="G566" s="210"/>
      <c r="H566" s="210"/>
      <c r="I566" s="210"/>
      <c r="J566" s="210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  <c r="AA566" s="210"/>
      <c r="AB566" s="210"/>
      <c r="AC566" s="210"/>
      <c r="AD566" s="210"/>
      <c r="AE566" s="210"/>
      <c r="AF566" s="210"/>
      <c r="AG566" s="210"/>
    </row>
    <row r="567" spans="1:33" ht="12.75" customHeight="1">
      <c r="A567" s="210"/>
      <c r="B567" s="210"/>
      <c r="C567" s="210"/>
      <c r="D567" s="210"/>
      <c r="E567" s="210"/>
      <c r="F567" s="210"/>
      <c r="G567" s="210"/>
      <c r="H567" s="210"/>
      <c r="I567" s="210"/>
      <c r="J567" s="210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  <c r="AA567" s="210"/>
      <c r="AB567" s="210"/>
      <c r="AC567" s="210"/>
      <c r="AD567" s="210"/>
      <c r="AE567" s="210"/>
      <c r="AF567" s="210"/>
      <c r="AG567" s="210"/>
    </row>
    <row r="568" spans="1:33" ht="12.75" customHeight="1">
      <c r="A568" s="210"/>
      <c r="B568" s="210"/>
      <c r="C568" s="210"/>
      <c r="D568" s="210"/>
      <c r="E568" s="210"/>
      <c r="F568" s="210"/>
      <c r="G568" s="210"/>
      <c r="H568" s="210"/>
      <c r="I568" s="210"/>
      <c r="J568" s="210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  <c r="AA568" s="210"/>
      <c r="AB568" s="210"/>
      <c r="AC568" s="210"/>
      <c r="AD568" s="210"/>
      <c r="AE568" s="210"/>
      <c r="AF568" s="210"/>
      <c r="AG568" s="210"/>
    </row>
    <row r="569" spans="1:33" ht="12.75" customHeight="1">
      <c r="A569" s="210"/>
      <c r="B569" s="210"/>
      <c r="C569" s="210"/>
      <c r="D569" s="210"/>
      <c r="E569" s="210"/>
      <c r="F569" s="210"/>
      <c r="G569" s="210"/>
      <c r="H569" s="210"/>
      <c r="I569" s="210"/>
      <c r="J569" s="210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  <c r="AA569" s="210"/>
      <c r="AB569" s="210"/>
      <c r="AC569" s="210"/>
      <c r="AD569" s="210"/>
      <c r="AE569" s="210"/>
      <c r="AF569" s="210"/>
      <c r="AG569" s="210"/>
    </row>
    <row r="570" spans="1:33" ht="12.75" customHeight="1">
      <c r="A570" s="210"/>
      <c r="B570" s="210"/>
      <c r="C570" s="210"/>
      <c r="D570" s="210"/>
      <c r="E570" s="210"/>
      <c r="F570" s="210"/>
      <c r="G570" s="210"/>
      <c r="H570" s="210"/>
      <c r="I570" s="210"/>
      <c r="J570" s="210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  <c r="AA570" s="210"/>
      <c r="AB570" s="210"/>
      <c r="AC570" s="210"/>
      <c r="AD570" s="210"/>
      <c r="AE570" s="210"/>
      <c r="AF570" s="210"/>
      <c r="AG570" s="210"/>
    </row>
    <row r="571" spans="1:33" ht="12.75" customHeight="1">
      <c r="A571" s="210"/>
      <c r="B571" s="210"/>
      <c r="C571" s="210"/>
      <c r="D571" s="210"/>
      <c r="E571" s="210"/>
      <c r="F571" s="210"/>
      <c r="G571" s="210"/>
      <c r="H571" s="210"/>
      <c r="I571" s="210"/>
      <c r="J571" s="210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  <c r="AA571" s="210"/>
      <c r="AB571" s="210"/>
      <c r="AC571" s="210"/>
      <c r="AD571" s="210"/>
      <c r="AE571" s="210"/>
      <c r="AF571" s="210"/>
      <c r="AG571" s="210"/>
    </row>
    <row r="572" spans="1:33" ht="12.75" customHeight="1">
      <c r="A572" s="210"/>
      <c r="B572" s="210"/>
      <c r="C572" s="210"/>
      <c r="D572" s="210"/>
      <c r="E572" s="210"/>
      <c r="F572" s="210"/>
      <c r="G572" s="210"/>
      <c r="H572" s="210"/>
      <c r="I572" s="210"/>
      <c r="J572" s="210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  <c r="AA572" s="210"/>
      <c r="AB572" s="210"/>
      <c r="AC572" s="210"/>
      <c r="AD572" s="210"/>
      <c r="AE572" s="210"/>
      <c r="AF572" s="210"/>
      <c r="AG572" s="210"/>
    </row>
    <row r="573" spans="1:33" ht="12.75" customHeight="1">
      <c r="A573" s="210"/>
      <c r="B573" s="210"/>
      <c r="C573" s="210"/>
      <c r="D573" s="210"/>
      <c r="E573" s="210"/>
      <c r="F573" s="210"/>
      <c r="G573" s="210"/>
      <c r="H573" s="210"/>
      <c r="I573" s="210"/>
      <c r="J573" s="210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  <c r="AA573" s="210"/>
      <c r="AB573" s="210"/>
      <c r="AC573" s="210"/>
      <c r="AD573" s="210"/>
      <c r="AE573" s="210"/>
      <c r="AF573" s="210"/>
      <c r="AG573" s="210"/>
    </row>
    <row r="574" spans="1:33" ht="12.75" customHeight="1">
      <c r="A574" s="210"/>
      <c r="B574" s="210"/>
      <c r="C574" s="210"/>
      <c r="D574" s="210"/>
      <c r="E574" s="210"/>
      <c r="F574" s="210"/>
      <c r="G574" s="210"/>
      <c r="H574" s="210"/>
      <c r="I574" s="210"/>
      <c r="J574" s="210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  <c r="AA574" s="210"/>
      <c r="AB574" s="210"/>
      <c r="AC574" s="210"/>
      <c r="AD574" s="210"/>
      <c r="AE574" s="210"/>
      <c r="AF574" s="210"/>
      <c r="AG574" s="210"/>
    </row>
    <row r="575" spans="1:33" ht="12.75" customHeight="1">
      <c r="A575" s="210"/>
      <c r="B575" s="210"/>
      <c r="C575" s="210"/>
      <c r="D575" s="210"/>
      <c r="E575" s="210"/>
      <c r="F575" s="210"/>
      <c r="G575" s="210"/>
      <c r="H575" s="210"/>
      <c r="I575" s="210"/>
      <c r="J575" s="210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  <c r="AA575" s="210"/>
      <c r="AB575" s="210"/>
      <c r="AC575" s="210"/>
      <c r="AD575" s="210"/>
      <c r="AE575" s="210"/>
      <c r="AF575" s="210"/>
      <c r="AG575" s="210"/>
    </row>
    <row r="576" spans="1:33" ht="12.75" customHeight="1">
      <c r="A576" s="210"/>
      <c r="B576" s="210"/>
      <c r="C576" s="210"/>
      <c r="D576" s="210"/>
      <c r="E576" s="210"/>
      <c r="F576" s="210"/>
      <c r="G576" s="210"/>
      <c r="H576" s="210"/>
      <c r="I576" s="210"/>
      <c r="J576" s="210"/>
      <c r="K576" s="210"/>
      <c r="L576" s="210"/>
      <c r="M576" s="210"/>
      <c r="N576" s="210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  <c r="AA576" s="210"/>
      <c r="AB576" s="210"/>
      <c r="AC576" s="210"/>
      <c r="AD576" s="210"/>
      <c r="AE576" s="210"/>
      <c r="AF576" s="210"/>
      <c r="AG576" s="210"/>
    </row>
    <row r="577" spans="1:33" ht="12.75" customHeight="1">
      <c r="A577" s="210"/>
      <c r="B577" s="210"/>
      <c r="C577" s="210"/>
      <c r="D577" s="210"/>
      <c r="E577" s="210"/>
      <c r="F577" s="210"/>
      <c r="G577" s="210"/>
      <c r="H577" s="210"/>
      <c r="I577" s="210"/>
      <c r="J577" s="210"/>
      <c r="K577" s="210"/>
      <c r="L577" s="210"/>
      <c r="M577" s="210"/>
      <c r="N577" s="210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  <c r="AA577" s="210"/>
      <c r="AB577" s="210"/>
      <c r="AC577" s="210"/>
      <c r="AD577" s="210"/>
      <c r="AE577" s="210"/>
      <c r="AF577" s="210"/>
      <c r="AG577" s="210"/>
    </row>
    <row r="578" spans="1:33" ht="12.75" customHeight="1">
      <c r="A578" s="210"/>
      <c r="B578" s="210"/>
      <c r="C578" s="210"/>
      <c r="D578" s="210"/>
      <c r="E578" s="210"/>
      <c r="F578" s="210"/>
      <c r="G578" s="210"/>
      <c r="H578" s="210"/>
      <c r="I578" s="210"/>
      <c r="J578" s="210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  <c r="AA578" s="210"/>
      <c r="AB578" s="210"/>
      <c r="AC578" s="210"/>
      <c r="AD578" s="210"/>
      <c r="AE578" s="210"/>
      <c r="AF578" s="210"/>
      <c r="AG578" s="210"/>
    </row>
    <row r="579" spans="1:33" ht="12.75" customHeight="1">
      <c r="A579" s="210"/>
      <c r="B579" s="210"/>
      <c r="C579" s="210"/>
      <c r="D579" s="210"/>
      <c r="E579" s="210"/>
      <c r="F579" s="210"/>
      <c r="G579" s="210"/>
      <c r="H579" s="210"/>
      <c r="I579" s="210"/>
      <c r="J579" s="210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  <c r="AA579" s="210"/>
      <c r="AB579" s="210"/>
      <c r="AC579" s="210"/>
      <c r="AD579" s="210"/>
      <c r="AE579" s="210"/>
      <c r="AF579" s="210"/>
      <c r="AG579" s="210"/>
    </row>
    <row r="580" spans="1:33" ht="12.75" customHeight="1">
      <c r="A580" s="210"/>
      <c r="B580" s="210"/>
      <c r="C580" s="210"/>
      <c r="D580" s="210"/>
      <c r="E580" s="210"/>
      <c r="F580" s="210"/>
      <c r="G580" s="210"/>
      <c r="H580" s="210"/>
      <c r="I580" s="210"/>
      <c r="J580" s="210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  <c r="AA580" s="210"/>
      <c r="AB580" s="210"/>
      <c r="AC580" s="210"/>
      <c r="AD580" s="210"/>
      <c r="AE580" s="210"/>
      <c r="AF580" s="210"/>
      <c r="AG580" s="210"/>
    </row>
    <row r="581" spans="1:33" ht="12.75" customHeight="1">
      <c r="A581" s="210"/>
      <c r="B581" s="210"/>
      <c r="C581" s="210"/>
      <c r="D581" s="210"/>
      <c r="E581" s="210"/>
      <c r="F581" s="210"/>
      <c r="G581" s="210"/>
      <c r="H581" s="210"/>
      <c r="I581" s="210"/>
      <c r="J581" s="210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  <c r="AA581" s="210"/>
      <c r="AB581" s="210"/>
      <c r="AC581" s="210"/>
      <c r="AD581" s="210"/>
      <c r="AE581" s="210"/>
      <c r="AF581" s="210"/>
      <c r="AG581" s="210"/>
    </row>
    <row r="582" spans="1:33" ht="12.75" customHeight="1">
      <c r="A582" s="210"/>
      <c r="B582" s="210"/>
      <c r="C582" s="210"/>
      <c r="D582" s="210"/>
      <c r="E582" s="210"/>
      <c r="F582" s="210"/>
      <c r="G582" s="210"/>
      <c r="H582" s="210"/>
      <c r="I582" s="210"/>
      <c r="J582" s="210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  <c r="AA582" s="210"/>
      <c r="AB582" s="210"/>
      <c r="AC582" s="210"/>
      <c r="AD582" s="210"/>
      <c r="AE582" s="210"/>
      <c r="AF582" s="210"/>
      <c r="AG582" s="210"/>
    </row>
    <row r="583" spans="1:33" ht="12.75" customHeight="1">
      <c r="A583" s="210"/>
      <c r="B583" s="210"/>
      <c r="C583" s="210"/>
      <c r="D583" s="210"/>
      <c r="E583" s="210"/>
      <c r="F583" s="210"/>
      <c r="G583" s="210"/>
      <c r="H583" s="210"/>
      <c r="I583" s="210"/>
      <c r="J583" s="210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  <c r="AA583" s="210"/>
      <c r="AB583" s="210"/>
      <c r="AC583" s="210"/>
      <c r="AD583" s="210"/>
      <c r="AE583" s="210"/>
      <c r="AF583" s="210"/>
      <c r="AG583" s="210"/>
    </row>
    <row r="584" spans="1:33" ht="12.75" customHeight="1">
      <c r="A584" s="210"/>
      <c r="B584" s="210"/>
      <c r="C584" s="210"/>
      <c r="D584" s="210"/>
      <c r="E584" s="210"/>
      <c r="F584" s="210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  <c r="AA584" s="210"/>
      <c r="AB584" s="210"/>
      <c r="AC584" s="210"/>
      <c r="AD584" s="210"/>
      <c r="AE584" s="210"/>
      <c r="AF584" s="210"/>
      <c r="AG584" s="210"/>
    </row>
    <row r="585" spans="1:33" ht="12.75" customHeight="1">
      <c r="A585" s="210"/>
      <c r="B585" s="210"/>
      <c r="C585" s="210"/>
      <c r="D585" s="210"/>
      <c r="E585" s="210"/>
      <c r="F585" s="210"/>
      <c r="G585" s="210"/>
      <c r="H585" s="210"/>
      <c r="I585" s="210"/>
      <c r="J585" s="210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  <c r="AA585" s="210"/>
      <c r="AB585" s="210"/>
      <c r="AC585" s="210"/>
      <c r="AD585" s="210"/>
      <c r="AE585" s="210"/>
      <c r="AF585" s="210"/>
      <c r="AG585" s="210"/>
    </row>
    <row r="586" spans="1:33" ht="12.75" customHeight="1">
      <c r="A586" s="210"/>
      <c r="B586" s="210"/>
      <c r="C586" s="210"/>
      <c r="D586" s="210"/>
      <c r="E586" s="210"/>
      <c r="F586" s="210"/>
      <c r="G586" s="210"/>
      <c r="H586" s="210"/>
      <c r="I586" s="210"/>
      <c r="J586" s="210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  <c r="AA586" s="210"/>
      <c r="AB586" s="210"/>
      <c r="AC586" s="210"/>
      <c r="AD586" s="210"/>
      <c r="AE586" s="210"/>
      <c r="AF586" s="210"/>
      <c r="AG586" s="210"/>
    </row>
    <row r="587" spans="1:33" ht="12.75" customHeight="1">
      <c r="A587" s="210"/>
      <c r="B587" s="210"/>
      <c r="C587" s="210"/>
      <c r="D587" s="210"/>
      <c r="E587" s="210"/>
      <c r="F587" s="210"/>
      <c r="G587" s="210"/>
      <c r="H587" s="210"/>
      <c r="I587" s="210"/>
      <c r="J587" s="210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  <c r="AA587" s="210"/>
      <c r="AB587" s="210"/>
      <c r="AC587" s="210"/>
      <c r="AD587" s="210"/>
      <c r="AE587" s="210"/>
      <c r="AF587" s="210"/>
      <c r="AG587" s="210"/>
    </row>
    <row r="588" spans="1:33" ht="12.75" customHeight="1">
      <c r="A588" s="210"/>
      <c r="B588" s="210"/>
      <c r="C588" s="210"/>
      <c r="D588" s="210"/>
      <c r="E588" s="210"/>
      <c r="F588" s="210"/>
      <c r="G588" s="210"/>
      <c r="H588" s="210"/>
      <c r="I588" s="210"/>
      <c r="J588" s="210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  <c r="AA588" s="210"/>
      <c r="AB588" s="210"/>
      <c r="AC588" s="210"/>
      <c r="AD588" s="210"/>
      <c r="AE588" s="210"/>
      <c r="AF588" s="210"/>
      <c r="AG588" s="210"/>
    </row>
    <row r="589" spans="1:33" ht="12.75" customHeight="1">
      <c r="A589" s="210"/>
      <c r="B589" s="210"/>
      <c r="C589" s="210"/>
      <c r="D589" s="210"/>
      <c r="E589" s="210"/>
      <c r="F589" s="210"/>
      <c r="G589" s="210"/>
      <c r="H589" s="210"/>
      <c r="I589" s="210"/>
      <c r="J589" s="210"/>
      <c r="K589" s="210"/>
      <c r="L589" s="210"/>
      <c r="M589" s="210"/>
      <c r="N589" s="210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  <c r="AA589" s="210"/>
      <c r="AB589" s="210"/>
      <c r="AC589" s="210"/>
      <c r="AD589" s="210"/>
      <c r="AE589" s="210"/>
      <c r="AF589" s="210"/>
      <c r="AG589" s="210"/>
    </row>
    <row r="590" spans="1:33" ht="12.75" customHeight="1">
      <c r="A590" s="210"/>
      <c r="B590" s="210"/>
      <c r="C590" s="210"/>
      <c r="D590" s="210"/>
      <c r="E590" s="210"/>
      <c r="F590" s="210"/>
      <c r="G590" s="210"/>
      <c r="H590" s="210"/>
      <c r="I590" s="210"/>
      <c r="J590" s="210"/>
      <c r="K590" s="210"/>
      <c r="L590" s="210"/>
      <c r="M590" s="210"/>
      <c r="N590" s="210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  <c r="AA590" s="210"/>
      <c r="AB590" s="210"/>
      <c r="AC590" s="210"/>
      <c r="AD590" s="210"/>
      <c r="AE590" s="210"/>
      <c r="AF590" s="210"/>
      <c r="AG590" s="210"/>
    </row>
    <row r="591" spans="1:33" ht="12.75" customHeight="1">
      <c r="A591" s="210"/>
      <c r="B591" s="210"/>
      <c r="C591" s="210"/>
      <c r="D591" s="210"/>
      <c r="E591" s="210"/>
      <c r="F591" s="210"/>
      <c r="G591" s="210"/>
      <c r="H591" s="210"/>
      <c r="I591" s="210"/>
      <c r="J591" s="210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  <c r="AA591" s="210"/>
      <c r="AB591" s="210"/>
      <c r="AC591" s="210"/>
      <c r="AD591" s="210"/>
      <c r="AE591" s="210"/>
      <c r="AF591" s="210"/>
      <c r="AG591" s="210"/>
    </row>
    <row r="592" spans="1:33" ht="12.75" customHeight="1">
      <c r="A592" s="210"/>
      <c r="B592" s="210"/>
      <c r="C592" s="210"/>
      <c r="D592" s="210"/>
      <c r="E592" s="210"/>
      <c r="F592" s="210"/>
      <c r="G592" s="210"/>
      <c r="H592" s="210"/>
      <c r="I592" s="210"/>
      <c r="J592" s="210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  <c r="AA592" s="210"/>
      <c r="AB592" s="210"/>
      <c r="AC592" s="210"/>
      <c r="AD592" s="210"/>
      <c r="AE592" s="210"/>
      <c r="AF592" s="210"/>
      <c r="AG592" s="210"/>
    </row>
    <row r="593" spans="1:33" ht="12.75" customHeight="1">
      <c r="A593" s="210"/>
      <c r="B593" s="210"/>
      <c r="C593" s="210"/>
      <c r="D593" s="210"/>
      <c r="E593" s="210"/>
      <c r="F593" s="210"/>
      <c r="G593" s="210"/>
      <c r="H593" s="210"/>
      <c r="I593" s="210"/>
      <c r="J593" s="210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  <c r="AA593" s="210"/>
      <c r="AB593" s="210"/>
      <c r="AC593" s="210"/>
      <c r="AD593" s="210"/>
      <c r="AE593" s="210"/>
      <c r="AF593" s="210"/>
      <c r="AG593" s="210"/>
    </row>
    <row r="594" spans="1:33" ht="12.75" customHeight="1">
      <c r="A594" s="210"/>
      <c r="B594" s="210"/>
      <c r="C594" s="210"/>
      <c r="D594" s="210"/>
      <c r="E594" s="210"/>
      <c r="F594" s="210"/>
      <c r="G594" s="210"/>
      <c r="H594" s="210"/>
      <c r="I594" s="210"/>
      <c r="J594" s="210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  <c r="AA594" s="210"/>
      <c r="AB594" s="210"/>
      <c r="AC594" s="210"/>
      <c r="AD594" s="210"/>
      <c r="AE594" s="210"/>
      <c r="AF594" s="210"/>
      <c r="AG594" s="210"/>
    </row>
    <row r="595" spans="1:33" ht="12.75" customHeight="1">
      <c r="A595" s="210"/>
      <c r="B595" s="210"/>
      <c r="C595" s="210"/>
      <c r="D595" s="210"/>
      <c r="E595" s="210"/>
      <c r="F595" s="210"/>
      <c r="G595" s="210"/>
      <c r="H595" s="210"/>
      <c r="I595" s="210"/>
      <c r="J595" s="210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  <c r="AA595" s="210"/>
      <c r="AB595" s="210"/>
      <c r="AC595" s="210"/>
      <c r="AD595" s="210"/>
      <c r="AE595" s="210"/>
      <c r="AF595" s="210"/>
      <c r="AG595" s="210"/>
    </row>
    <row r="596" spans="1:33" ht="12.75" customHeight="1">
      <c r="A596" s="210"/>
      <c r="B596" s="210"/>
      <c r="C596" s="210"/>
      <c r="D596" s="210"/>
      <c r="E596" s="210"/>
      <c r="F596" s="210"/>
      <c r="G596" s="210"/>
      <c r="H596" s="210"/>
      <c r="I596" s="210"/>
      <c r="J596" s="210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  <c r="AA596" s="210"/>
      <c r="AB596" s="210"/>
      <c r="AC596" s="210"/>
      <c r="AD596" s="210"/>
      <c r="AE596" s="210"/>
      <c r="AF596" s="210"/>
      <c r="AG596" s="210"/>
    </row>
    <row r="597" spans="1:33" ht="12.75" customHeight="1">
      <c r="A597" s="210"/>
      <c r="B597" s="210"/>
      <c r="C597" s="210"/>
      <c r="D597" s="210"/>
      <c r="E597" s="210"/>
      <c r="F597" s="210"/>
      <c r="G597" s="210"/>
      <c r="H597" s="210"/>
      <c r="I597" s="210"/>
      <c r="J597" s="210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  <c r="AA597" s="210"/>
      <c r="AB597" s="210"/>
      <c r="AC597" s="210"/>
      <c r="AD597" s="210"/>
      <c r="AE597" s="210"/>
      <c r="AF597" s="210"/>
      <c r="AG597" s="210"/>
    </row>
    <row r="598" spans="1:33" ht="12.75" customHeight="1">
      <c r="A598" s="210"/>
      <c r="B598" s="210"/>
      <c r="C598" s="210"/>
      <c r="D598" s="210"/>
      <c r="E598" s="210"/>
      <c r="F598" s="210"/>
      <c r="G598" s="210"/>
      <c r="H598" s="210"/>
      <c r="I598" s="210"/>
      <c r="J598" s="210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  <c r="AA598" s="210"/>
      <c r="AB598" s="210"/>
      <c r="AC598" s="210"/>
      <c r="AD598" s="210"/>
      <c r="AE598" s="210"/>
      <c r="AF598" s="210"/>
      <c r="AG598" s="210"/>
    </row>
    <row r="599" spans="1:33" ht="12.75" customHeight="1">
      <c r="A599" s="210"/>
      <c r="B599" s="210"/>
      <c r="C599" s="210"/>
      <c r="D599" s="210"/>
      <c r="E599" s="210"/>
      <c r="F599" s="210"/>
      <c r="G599" s="210"/>
      <c r="H599" s="210"/>
      <c r="I599" s="210"/>
      <c r="J599" s="210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  <c r="AA599" s="210"/>
      <c r="AB599" s="210"/>
      <c r="AC599" s="210"/>
      <c r="AD599" s="210"/>
      <c r="AE599" s="210"/>
      <c r="AF599" s="210"/>
      <c r="AG599" s="210"/>
    </row>
    <row r="600" spans="1:33" ht="12.75" customHeight="1">
      <c r="A600" s="210"/>
      <c r="B600" s="210"/>
      <c r="C600" s="210"/>
      <c r="D600" s="210"/>
      <c r="E600" s="210"/>
      <c r="F600" s="210"/>
      <c r="G600" s="210"/>
      <c r="H600" s="210"/>
      <c r="I600" s="210"/>
      <c r="J600" s="210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  <c r="AA600" s="210"/>
      <c r="AB600" s="210"/>
      <c r="AC600" s="210"/>
      <c r="AD600" s="210"/>
      <c r="AE600" s="210"/>
      <c r="AF600" s="210"/>
      <c r="AG600" s="210"/>
    </row>
    <row r="601" spans="1:33" ht="12.75" customHeight="1">
      <c r="A601" s="210"/>
      <c r="B601" s="210"/>
      <c r="C601" s="210"/>
      <c r="D601" s="210"/>
      <c r="E601" s="210"/>
      <c r="F601" s="210"/>
      <c r="G601" s="210"/>
      <c r="H601" s="210"/>
      <c r="I601" s="210"/>
      <c r="J601" s="210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  <c r="AA601" s="210"/>
      <c r="AB601" s="210"/>
      <c r="AC601" s="210"/>
      <c r="AD601" s="210"/>
      <c r="AE601" s="210"/>
      <c r="AF601" s="210"/>
      <c r="AG601" s="210"/>
    </row>
    <row r="602" spans="1:33" ht="12.75" customHeight="1">
      <c r="A602" s="210"/>
      <c r="B602" s="210"/>
      <c r="C602" s="210"/>
      <c r="D602" s="210"/>
      <c r="E602" s="210"/>
      <c r="F602" s="210"/>
      <c r="G602" s="210"/>
      <c r="H602" s="210"/>
      <c r="I602" s="210"/>
      <c r="J602" s="210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  <c r="AA602" s="210"/>
      <c r="AB602" s="210"/>
      <c r="AC602" s="210"/>
      <c r="AD602" s="210"/>
      <c r="AE602" s="210"/>
      <c r="AF602" s="210"/>
      <c r="AG602" s="210"/>
    </row>
    <row r="603" spans="1:33" ht="12.75" customHeight="1">
      <c r="A603" s="210"/>
      <c r="B603" s="210"/>
      <c r="C603" s="210"/>
      <c r="D603" s="210"/>
      <c r="E603" s="210"/>
      <c r="F603" s="210"/>
      <c r="G603" s="210"/>
      <c r="H603" s="210"/>
      <c r="I603" s="210"/>
      <c r="J603" s="210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  <c r="AA603" s="210"/>
      <c r="AB603" s="210"/>
      <c r="AC603" s="210"/>
      <c r="AD603" s="210"/>
      <c r="AE603" s="210"/>
      <c r="AF603" s="210"/>
      <c r="AG603" s="210"/>
    </row>
    <row r="604" spans="1:33" ht="12.75" customHeight="1">
      <c r="A604" s="210"/>
      <c r="B604" s="210"/>
      <c r="C604" s="210"/>
      <c r="D604" s="210"/>
      <c r="E604" s="210"/>
      <c r="F604" s="210"/>
      <c r="G604" s="210"/>
      <c r="H604" s="210"/>
      <c r="I604" s="210"/>
      <c r="J604" s="210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  <c r="AA604" s="210"/>
      <c r="AB604" s="210"/>
      <c r="AC604" s="210"/>
      <c r="AD604" s="210"/>
      <c r="AE604" s="210"/>
      <c r="AF604" s="210"/>
      <c r="AG604" s="210"/>
    </row>
    <row r="605" spans="1:33" ht="12.75" customHeight="1">
      <c r="A605" s="210"/>
      <c r="B605" s="210"/>
      <c r="C605" s="210"/>
      <c r="D605" s="210"/>
      <c r="E605" s="210"/>
      <c r="F605" s="210"/>
      <c r="G605" s="210"/>
      <c r="H605" s="210"/>
      <c r="I605" s="210"/>
      <c r="J605" s="210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  <c r="AA605" s="210"/>
      <c r="AB605" s="210"/>
      <c r="AC605" s="210"/>
      <c r="AD605" s="210"/>
      <c r="AE605" s="210"/>
      <c r="AF605" s="210"/>
      <c r="AG605" s="210"/>
    </row>
    <row r="606" spans="1:33" ht="12.75" customHeight="1">
      <c r="A606" s="210"/>
      <c r="B606" s="210"/>
      <c r="C606" s="210"/>
      <c r="D606" s="210"/>
      <c r="E606" s="210"/>
      <c r="F606" s="210"/>
      <c r="G606" s="210"/>
      <c r="H606" s="210"/>
      <c r="I606" s="210"/>
      <c r="J606" s="210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  <c r="AA606" s="210"/>
      <c r="AB606" s="210"/>
      <c r="AC606" s="210"/>
      <c r="AD606" s="210"/>
      <c r="AE606" s="210"/>
      <c r="AF606" s="210"/>
      <c r="AG606" s="210"/>
    </row>
    <row r="607" spans="1:33" ht="12.75" customHeight="1">
      <c r="A607" s="210"/>
      <c r="B607" s="210"/>
      <c r="C607" s="210"/>
      <c r="D607" s="210"/>
      <c r="E607" s="210"/>
      <c r="F607" s="210"/>
      <c r="G607" s="210"/>
      <c r="H607" s="210"/>
      <c r="I607" s="210"/>
      <c r="J607" s="210"/>
      <c r="K607" s="210"/>
      <c r="L607" s="210"/>
      <c r="M607" s="210"/>
      <c r="N607" s="210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  <c r="AA607" s="210"/>
      <c r="AB607" s="210"/>
      <c r="AC607" s="210"/>
      <c r="AD607" s="210"/>
      <c r="AE607" s="210"/>
      <c r="AF607" s="210"/>
      <c r="AG607" s="210"/>
    </row>
    <row r="608" spans="1:33" ht="12.75" customHeight="1">
      <c r="A608" s="210"/>
      <c r="B608" s="210"/>
      <c r="C608" s="210"/>
      <c r="D608" s="210"/>
      <c r="E608" s="210"/>
      <c r="F608" s="210"/>
      <c r="G608" s="210"/>
      <c r="H608" s="210"/>
      <c r="I608" s="210"/>
      <c r="J608" s="210"/>
      <c r="K608" s="210"/>
      <c r="L608" s="210"/>
      <c r="M608" s="210"/>
      <c r="N608" s="210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  <c r="AA608" s="210"/>
      <c r="AB608" s="210"/>
      <c r="AC608" s="210"/>
      <c r="AD608" s="210"/>
      <c r="AE608" s="210"/>
      <c r="AF608" s="210"/>
      <c r="AG608" s="210"/>
    </row>
    <row r="609" spans="1:33" ht="12.75" customHeight="1">
      <c r="A609" s="210"/>
      <c r="B609" s="210"/>
      <c r="C609" s="210"/>
      <c r="D609" s="210"/>
      <c r="E609" s="210"/>
      <c r="F609" s="210"/>
      <c r="G609" s="210"/>
      <c r="H609" s="210"/>
      <c r="I609" s="210"/>
      <c r="J609" s="210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  <c r="AA609" s="210"/>
      <c r="AB609" s="210"/>
      <c r="AC609" s="210"/>
      <c r="AD609" s="210"/>
      <c r="AE609" s="210"/>
      <c r="AF609" s="210"/>
      <c r="AG609" s="210"/>
    </row>
    <row r="610" spans="1:33" ht="12.75" customHeight="1">
      <c r="A610" s="210"/>
      <c r="B610" s="210"/>
      <c r="C610" s="210"/>
      <c r="D610" s="210"/>
      <c r="E610" s="210"/>
      <c r="F610" s="210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  <c r="AA610" s="210"/>
      <c r="AB610" s="210"/>
      <c r="AC610" s="210"/>
      <c r="AD610" s="210"/>
      <c r="AE610" s="210"/>
      <c r="AF610" s="210"/>
      <c r="AG610" s="210"/>
    </row>
    <row r="611" spans="1:33" ht="12.75" customHeight="1">
      <c r="A611" s="210"/>
      <c r="B611" s="210"/>
      <c r="C611" s="210"/>
      <c r="D611" s="210"/>
      <c r="E611" s="210"/>
      <c r="F611" s="210"/>
      <c r="G611" s="210"/>
      <c r="H611" s="210"/>
      <c r="I611" s="210"/>
      <c r="J611" s="210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  <c r="AA611" s="210"/>
      <c r="AB611" s="210"/>
      <c r="AC611" s="210"/>
      <c r="AD611" s="210"/>
      <c r="AE611" s="210"/>
      <c r="AF611" s="210"/>
      <c r="AG611" s="210"/>
    </row>
    <row r="612" spans="1:33" ht="12.75" customHeight="1">
      <c r="A612" s="210"/>
      <c r="B612" s="210"/>
      <c r="C612" s="210"/>
      <c r="D612" s="210"/>
      <c r="E612" s="210"/>
      <c r="F612" s="210"/>
      <c r="G612" s="210"/>
      <c r="H612" s="210"/>
      <c r="I612" s="210"/>
      <c r="J612" s="210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  <c r="AA612" s="210"/>
      <c r="AB612" s="210"/>
      <c r="AC612" s="210"/>
      <c r="AD612" s="210"/>
      <c r="AE612" s="210"/>
      <c r="AF612" s="210"/>
      <c r="AG612" s="210"/>
    </row>
    <row r="613" spans="1:33" ht="12.75" customHeight="1">
      <c r="A613" s="210"/>
      <c r="B613" s="210"/>
      <c r="C613" s="210"/>
      <c r="D613" s="210"/>
      <c r="E613" s="210"/>
      <c r="F613" s="210"/>
      <c r="G613" s="210"/>
      <c r="H613" s="210"/>
      <c r="I613" s="210"/>
      <c r="J613" s="210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  <c r="AA613" s="210"/>
      <c r="AB613" s="210"/>
      <c r="AC613" s="210"/>
      <c r="AD613" s="210"/>
      <c r="AE613" s="210"/>
      <c r="AF613" s="210"/>
      <c r="AG613" s="210"/>
    </row>
    <row r="614" spans="1:33" ht="12.75" customHeight="1">
      <c r="A614" s="210"/>
      <c r="B614" s="210"/>
      <c r="C614" s="210"/>
      <c r="D614" s="210"/>
      <c r="E614" s="210"/>
      <c r="F614" s="210"/>
      <c r="G614" s="210"/>
      <c r="H614" s="210"/>
      <c r="I614" s="210"/>
      <c r="J614" s="210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  <c r="AA614" s="210"/>
      <c r="AB614" s="210"/>
      <c r="AC614" s="210"/>
      <c r="AD614" s="210"/>
      <c r="AE614" s="210"/>
      <c r="AF614" s="210"/>
      <c r="AG614" s="210"/>
    </row>
    <row r="615" spans="1:33" ht="12.75" customHeight="1">
      <c r="A615" s="210"/>
      <c r="B615" s="210"/>
      <c r="C615" s="210"/>
      <c r="D615" s="210"/>
      <c r="E615" s="210"/>
      <c r="F615" s="210"/>
      <c r="G615" s="210"/>
      <c r="H615" s="210"/>
      <c r="I615" s="210"/>
      <c r="J615" s="210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  <c r="AA615" s="210"/>
      <c r="AB615" s="210"/>
      <c r="AC615" s="210"/>
      <c r="AD615" s="210"/>
      <c r="AE615" s="210"/>
      <c r="AF615" s="210"/>
      <c r="AG615" s="210"/>
    </row>
    <row r="616" spans="1:33" ht="12.75" customHeight="1">
      <c r="A616" s="210"/>
      <c r="B616" s="210"/>
      <c r="C616" s="210"/>
      <c r="D616" s="210"/>
      <c r="E616" s="210"/>
      <c r="F616" s="210"/>
      <c r="G616" s="210"/>
      <c r="H616" s="210"/>
      <c r="I616" s="210"/>
      <c r="J616" s="210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  <c r="AA616" s="210"/>
      <c r="AB616" s="210"/>
      <c r="AC616" s="210"/>
      <c r="AD616" s="210"/>
      <c r="AE616" s="210"/>
      <c r="AF616" s="210"/>
      <c r="AG616" s="210"/>
    </row>
    <row r="617" spans="1:33" ht="12.75" customHeight="1">
      <c r="A617" s="210"/>
      <c r="B617" s="210"/>
      <c r="C617" s="210"/>
      <c r="D617" s="210"/>
      <c r="E617" s="210"/>
      <c r="F617" s="210"/>
      <c r="G617" s="210"/>
      <c r="H617" s="210"/>
      <c r="I617" s="210"/>
      <c r="J617" s="210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  <c r="AA617" s="210"/>
      <c r="AB617" s="210"/>
      <c r="AC617" s="210"/>
      <c r="AD617" s="210"/>
      <c r="AE617" s="210"/>
      <c r="AF617" s="210"/>
      <c r="AG617" s="210"/>
    </row>
    <row r="618" spans="1:33" ht="12.75" customHeight="1">
      <c r="A618" s="210"/>
      <c r="B618" s="210"/>
      <c r="C618" s="210"/>
      <c r="D618" s="210"/>
      <c r="E618" s="210"/>
      <c r="F618" s="210"/>
      <c r="G618" s="210"/>
      <c r="H618" s="210"/>
      <c r="I618" s="210"/>
      <c r="J618" s="210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  <c r="AA618" s="210"/>
      <c r="AB618" s="210"/>
      <c r="AC618" s="210"/>
      <c r="AD618" s="210"/>
      <c r="AE618" s="210"/>
      <c r="AF618" s="210"/>
      <c r="AG618" s="210"/>
    </row>
    <row r="619" spans="1:33" ht="12.75" customHeight="1">
      <c r="A619" s="210"/>
      <c r="B619" s="210"/>
      <c r="C619" s="210"/>
      <c r="D619" s="210"/>
      <c r="E619" s="210"/>
      <c r="F619" s="210"/>
      <c r="G619" s="210"/>
      <c r="H619" s="210"/>
      <c r="I619" s="210"/>
      <c r="J619" s="210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  <c r="AA619" s="210"/>
      <c r="AB619" s="210"/>
      <c r="AC619" s="210"/>
      <c r="AD619" s="210"/>
      <c r="AE619" s="210"/>
      <c r="AF619" s="210"/>
      <c r="AG619" s="210"/>
    </row>
    <row r="620" spans="1:33" ht="12.75" customHeight="1">
      <c r="A620" s="210"/>
      <c r="B620" s="210"/>
      <c r="C620" s="210"/>
      <c r="D620" s="210"/>
      <c r="E620" s="210"/>
      <c r="F620" s="210"/>
      <c r="G620" s="210"/>
      <c r="H620" s="210"/>
      <c r="I620" s="210"/>
      <c r="J620" s="210"/>
      <c r="K620" s="210"/>
      <c r="L620" s="210"/>
      <c r="M620" s="210"/>
      <c r="N620" s="210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  <c r="AA620" s="210"/>
      <c r="AB620" s="210"/>
      <c r="AC620" s="210"/>
      <c r="AD620" s="210"/>
      <c r="AE620" s="210"/>
      <c r="AF620" s="210"/>
      <c r="AG620" s="210"/>
    </row>
    <row r="621" spans="1:33" ht="12.75" customHeight="1">
      <c r="A621" s="210"/>
      <c r="B621" s="210"/>
      <c r="C621" s="210"/>
      <c r="D621" s="210"/>
      <c r="E621" s="210"/>
      <c r="F621" s="210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  <c r="AA621" s="210"/>
      <c r="AB621" s="210"/>
      <c r="AC621" s="210"/>
      <c r="AD621" s="210"/>
      <c r="AE621" s="210"/>
      <c r="AF621" s="210"/>
      <c r="AG621" s="210"/>
    </row>
    <row r="622" spans="1:33" ht="12.75" customHeight="1">
      <c r="A622" s="210"/>
      <c r="B622" s="210"/>
      <c r="C622" s="210"/>
      <c r="D622" s="210"/>
      <c r="E622" s="210"/>
      <c r="F622" s="210"/>
      <c r="G622" s="210"/>
      <c r="H622" s="210"/>
      <c r="I622" s="210"/>
      <c r="J622" s="210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  <c r="AA622" s="210"/>
      <c r="AB622" s="210"/>
      <c r="AC622" s="210"/>
      <c r="AD622" s="210"/>
      <c r="AE622" s="210"/>
      <c r="AF622" s="210"/>
      <c r="AG622" s="210"/>
    </row>
    <row r="623" spans="1:33" ht="12.75" customHeight="1">
      <c r="A623" s="210"/>
      <c r="B623" s="210"/>
      <c r="C623" s="210"/>
      <c r="D623" s="210"/>
      <c r="E623" s="210"/>
      <c r="F623" s="210"/>
      <c r="G623" s="210"/>
      <c r="H623" s="210"/>
      <c r="I623" s="210"/>
      <c r="J623" s="210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  <c r="AA623" s="210"/>
      <c r="AB623" s="210"/>
      <c r="AC623" s="210"/>
      <c r="AD623" s="210"/>
      <c r="AE623" s="210"/>
      <c r="AF623" s="210"/>
      <c r="AG623" s="210"/>
    </row>
    <row r="624" spans="1:33" ht="12.75" customHeight="1">
      <c r="A624" s="210"/>
      <c r="B624" s="210"/>
      <c r="C624" s="210"/>
      <c r="D624" s="210"/>
      <c r="E624" s="210"/>
      <c r="F624" s="210"/>
      <c r="G624" s="210"/>
      <c r="H624" s="210"/>
      <c r="I624" s="210"/>
      <c r="J624" s="210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  <c r="AA624" s="210"/>
      <c r="AB624" s="210"/>
      <c r="AC624" s="210"/>
      <c r="AD624" s="210"/>
      <c r="AE624" s="210"/>
      <c r="AF624" s="210"/>
      <c r="AG624" s="210"/>
    </row>
    <row r="625" spans="1:33" ht="12.75" customHeight="1">
      <c r="A625" s="210"/>
      <c r="B625" s="210"/>
      <c r="C625" s="210"/>
      <c r="D625" s="210"/>
      <c r="E625" s="210"/>
      <c r="F625" s="210"/>
      <c r="G625" s="210"/>
      <c r="H625" s="210"/>
      <c r="I625" s="210"/>
      <c r="J625" s="210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  <c r="AA625" s="210"/>
      <c r="AB625" s="210"/>
      <c r="AC625" s="210"/>
      <c r="AD625" s="210"/>
      <c r="AE625" s="210"/>
      <c r="AF625" s="210"/>
      <c r="AG625" s="210"/>
    </row>
    <row r="626" spans="1:33" ht="12.75" customHeight="1">
      <c r="A626" s="210"/>
      <c r="B626" s="210"/>
      <c r="C626" s="210"/>
      <c r="D626" s="210"/>
      <c r="E626" s="210"/>
      <c r="F626" s="210"/>
      <c r="G626" s="210"/>
      <c r="H626" s="210"/>
      <c r="I626" s="210"/>
      <c r="J626" s="210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  <c r="AA626" s="210"/>
      <c r="AB626" s="210"/>
      <c r="AC626" s="210"/>
      <c r="AD626" s="210"/>
      <c r="AE626" s="210"/>
      <c r="AF626" s="210"/>
      <c r="AG626" s="210"/>
    </row>
    <row r="627" spans="1:33" ht="12.75" customHeight="1">
      <c r="A627" s="210"/>
      <c r="B627" s="210"/>
      <c r="C627" s="210"/>
      <c r="D627" s="210"/>
      <c r="E627" s="210"/>
      <c r="F627" s="210"/>
      <c r="G627" s="210"/>
      <c r="H627" s="210"/>
      <c r="I627" s="210"/>
      <c r="J627" s="210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  <c r="AA627" s="210"/>
      <c r="AB627" s="210"/>
      <c r="AC627" s="210"/>
      <c r="AD627" s="210"/>
      <c r="AE627" s="210"/>
      <c r="AF627" s="210"/>
      <c r="AG627" s="210"/>
    </row>
    <row r="628" spans="1:33" ht="12.75" customHeight="1">
      <c r="A628" s="210"/>
      <c r="B628" s="210"/>
      <c r="C628" s="210"/>
      <c r="D628" s="210"/>
      <c r="E628" s="210"/>
      <c r="F628" s="210"/>
      <c r="G628" s="210"/>
      <c r="H628" s="210"/>
      <c r="I628" s="210"/>
      <c r="J628" s="210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  <c r="AA628" s="210"/>
      <c r="AB628" s="210"/>
      <c r="AC628" s="210"/>
      <c r="AD628" s="210"/>
      <c r="AE628" s="210"/>
      <c r="AF628" s="210"/>
      <c r="AG628" s="210"/>
    </row>
    <row r="629" spans="1:33" ht="12.75" customHeight="1">
      <c r="A629" s="210"/>
      <c r="B629" s="210"/>
      <c r="C629" s="210"/>
      <c r="D629" s="210"/>
      <c r="E629" s="210"/>
      <c r="F629" s="210"/>
      <c r="G629" s="210"/>
      <c r="H629" s="210"/>
      <c r="I629" s="210"/>
      <c r="J629" s="210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  <c r="AA629" s="210"/>
      <c r="AB629" s="210"/>
      <c r="AC629" s="210"/>
      <c r="AD629" s="210"/>
      <c r="AE629" s="210"/>
      <c r="AF629" s="210"/>
      <c r="AG629" s="210"/>
    </row>
    <row r="630" spans="1:33" ht="12.75" customHeight="1">
      <c r="A630" s="210"/>
      <c r="B630" s="210"/>
      <c r="C630" s="210"/>
      <c r="D630" s="210"/>
      <c r="E630" s="210"/>
      <c r="F630" s="210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  <c r="AA630" s="210"/>
      <c r="AB630" s="210"/>
      <c r="AC630" s="210"/>
      <c r="AD630" s="210"/>
      <c r="AE630" s="210"/>
      <c r="AF630" s="210"/>
      <c r="AG630" s="210"/>
    </row>
    <row r="631" spans="1:33" ht="12.75" customHeight="1">
      <c r="A631" s="210"/>
      <c r="B631" s="210"/>
      <c r="C631" s="210"/>
      <c r="D631" s="210"/>
      <c r="E631" s="210"/>
      <c r="F631" s="210"/>
      <c r="G631" s="210"/>
      <c r="H631" s="210"/>
      <c r="I631" s="210"/>
      <c r="J631" s="210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  <c r="AA631" s="210"/>
      <c r="AB631" s="210"/>
      <c r="AC631" s="210"/>
      <c r="AD631" s="210"/>
      <c r="AE631" s="210"/>
      <c r="AF631" s="210"/>
      <c r="AG631" s="210"/>
    </row>
    <row r="632" spans="1:33" ht="12.75" customHeight="1">
      <c r="A632" s="210"/>
      <c r="B632" s="210"/>
      <c r="C632" s="210"/>
      <c r="D632" s="210"/>
      <c r="E632" s="210"/>
      <c r="F632" s="210"/>
      <c r="G632" s="210"/>
      <c r="H632" s="210"/>
      <c r="I632" s="210"/>
      <c r="J632" s="210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  <c r="AA632" s="210"/>
      <c r="AB632" s="210"/>
      <c r="AC632" s="210"/>
      <c r="AD632" s="210"/>
      <c r="AE632" s="210"/>
      <c r="AF632" s="210"/>
      <c r="AG632" s="210"/>
    </row>
    <row r="633" spans="1:33" ht="12.75" customHeight="1">
      <c r="A633" s="210"/>
      <c r="B633" s="210"/>
      <c r="C633" s="210"/>
      <c r="D633" s="210"/>
      <c r="E633" s="210"/>
      <c r="F633" s="210"/>
      <c r="G633" s="210"/>
      <c r="H633" s="210"/>
      <c r="I633" s="210"/>
      <c r="J633" s="210"/>
      <c r="K633" s="210"/>
      <c r="L633" s="210"/>
      <c r="M633" s="210"/>
      <c r="N633" s="210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  <c r="AA633" s="210"/>
      <c r="AB633" s="210"/>
      <c r="AC633" s="210"/>
      <c r="AD633" s="210"/>
      <c r="AE633" s="210"/>
      <c r="AF633" s="210"/>
      <c r="AG633" s="210"/>
    </row>
    <row r="634" spans="1:33" ht="12.75" customHeight="1">
      <c r="A634" s="210"/>
      <c r="B634" s="210"/>
      <c r="C634" s="210"/>
      <c r="D634" s="210"/>
      <c r="E634" s="210"/>
      <c r="F634" s="210"/>
      <c r="G634" s="210"/>
      <c r="H634" s="210"/>
      <c r="I634" s="210"/>
      <c r="J634" s="210"/>
      <c r="K634" s="210"/>
      <c r="L634" s="210"/>
      <c r="M634" s="210"/>
      <c r="N634" s="210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  <c r="AA634" s="210"/>
      <c r="AB634" s="210"/>
      <c r="AC634" s="210"/>
      <c r="AD634" s="210"/>
      <c r="AE634" s="210"/>
      <c r="AF634" s="210"/>
      <c r="AG634" s="210"/>
    </row>
    <row r="635" spans="1:33" ht="12.75" customHeight="1">
      <c r="A635" s="210"/>
      <c r="B635" s="210"/>
      <c r="C635" s="210"/>
      <c r="D635" s="210"/>
      <c r="E635" s="210"/>
      <c r="F635" s="210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  <c r="AA635" s="210"/>
      <c r="AB635" s="210"/>
      <c r="AC635" s="210"/>
      <c r="AD635" s="210"/>
      <c r="AE635" s="210"/>
      <c r="AF635" s="210"/>
      <c r="AG635" s="210"/>
    </row>
    <row r="636" spans="1:33" ht="12.75" customHeight="1">
      <c r="A636" s="210"/>
      <c r="B636" s="210"/>
      <c r="C636" s="210"/>
      <c r="D636" s="210"/>
      <c r="E636" s="210"/>
      <c r="F636" s="210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  <c r="AA636" s="210"/>
      <c r="AB636" s="210"/>
      <c r="AC636" s="210"/>
      <c r="AD636" s="210"/>
      <c r="AE636" s="210"/>
      <c r="AF636" s="210"/>
      <c r="AG636" s="210"/>
    </row>
    <row r="637" spans="1:33" ht="12.75" customHeight="1">
      <c r="A637" s="210"/>
      <c r="B637" s="210"/>
      <c r="C637" s="210"/>
      <c r="D637" s="210"/>
      <c r="E637" s="210"/>
      <c r="F637" s="210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  <c r="AA637" s="210"/>
      <c r="AB637" s="210"/>
      <c r="AC637" s="210"/>
      <c r="AD637" s="210"/>
      <c r="AE637" s="210"/>
      <c r="AF637" s="210"/>
      <c r="AG637" s="210"/>
    </row>
    <row r="638" spans="1:33" ht="12.75" customHeight="1">
      <c r="A638" s="210"/>
      <c r="B638" s="210"/>
      <c r="C638" s="210"/>
      <c r="D638" s="210"/>
      <c r="E638" s="210"/>
      <c r="F638" s="210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  <c r="AA638" s="210"/>
      <c r="AB638" s="210"/>
      <c r="AC638" s="210"/>
      <c r="AD638" s="210"/>
      <c r="AE638" s="210"/>
      <c r="AF638" s="210"/>
      <c r="AG638" s="210"/>
    </row>
    <row r="639" spans="1:33" ht="12.75" customHeight="1">
      <c r="A639" s="210"/>
      <c r="B639" s="210"/>
      <c r="C639" s="210"/>
      <c r="D639" s="210"/>
      <c r="E639" s="210"/>
      <c r="F639" s="210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  <c r="AA639" s="210"/>
      <c r="AB639" s="210"/>
      <c r="AC639" s="210"/>
      <c r="AD639" s="210"/>
      <c r="AE639" s="210"/>
      <c r="AF639" s="210"/>
      <c r="AG639" s="210"/>
    </row>
    <row r="640" spans="1:33" ht="12.75" customHeight="1">
      <c r="A640" s="210"/>
      <c r="B640" s="210"/>
      <c r="C640" s="210"/>
      <c r="D640" s="210"/>
      <c r="E640" s="210"/>
      <c r="F640" s="210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  <c r="AA640" s="210"/>
      <c r="AB640" s="210"/>
      <c r="AC640" s="210"/>
      <c r="AD640" s="210"/>
      <c r="AE640" s="210"/>
      <c r="AF640" s="210"/>
      <c r="AG640" s="210"/>
    </row>
    <row r="641" spans="1:33" ht="12.75" customHeight="1">
      <c r="A641" s="210"/>
      <c r="B641" s="210"/>
      <c r="C641" s="210"/>
      <c r="D641" s="210"/>
      <c r="E641" s="210"/>
      <c r="F641" s="210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  <c r="AA641" s="210"/>
      <c r="AB641" s="210"/>
      <c r="AC641" s="210"/>
      <c r="AD641" s="210"/>
      <c r="AE641" s="210"/>
      <c r="AF641" s="210"/>
      <c r="AG641" s="210"/>
    </row>
    <row r="642" spans="1:33" ht="12.75" customHeight="1">
      <c r="A642" s="210"/>
      <c r="B642" s="210"/>
      <c r="C642" s="210"/>
      <c r="D642" s="210"/>
      <c r="E642" s="210"/>
      <c r="F642" s="210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  <c r="AA642" s="210"/>
      <c r="AB642" s="210"/>
      <c r="AC642" s="210"/>
      <c r="AD642" s="210"/>
      <c r="AE642" s="210"/>
      <c r="AF642" s="210"/>
      <c r="AG642" s="210"/>
    </row>
    <row r="643" spans="1:33" ht="12.75" customHeight="1">
      <c r="A643" s="210"/>
      <c r="B643" s="210"/>
      <c r="C643" s="210"/>
      <c r="D643" s="210"/>
      <c r="E643" s="210"/>
      <c r="F643" s="210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  <c r="AA643" s="210"/>
      <c r="AB643" s="210"/>
      <c r="AC643" s="210"/>
      <c r="AD643" s="210"/>
      <c r="AE643" s="210"/>
      <c r="AF643" s="210"/>
      <c r="AG643" s="210"/>
    </row>
    <row r="644" spans="1:33" ht="12.75" customHeight="1">
      <c r="A644" s="210"/>
      <c r="B644" s="210"/>
      <c r="C644" s="210"/>
      <c r="D644" s="210"/>
      <c r="E644" s="210"/>
      <c r="F644" s="210"/>
      <c r="G644" s="210"/>
      <c r="H644" s="210"/>
      <c r="I644" s="210"/>
      <c r="J644" s="210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  <c r="AA644" s="210"/>
      <c r="AB644" s="210"/>
      <c r="AC644" s="210"/>
      <c r="AD644" s="210"/>
      <c r="AE644" s="210"/>
      <c r="AF644" s="210"/>
      <c r="AG644" s="210"/>
    </row>
    <row r="645" spans="1:33" ht="12.75" customHeight="1">
      <c r="A645" s="210"/>
      <c r="B645" s="210"/>
      <c r="C645" s="210"/>
      <c r="D645" s="210"/>
      <c r="E645" s="210"/>
      <c r="F645" s="210"/>
      <c r="G645" s="210"/>
      <c r="H645" s="210"/>
      <c r="I645" s="210"/>
      <c r="J645" s="210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  <c r="AA645" s="210"/>
      <c r="AB645" s="210"/>
      <c r="AC645" s="210"/>
      <c r="AD645" s="210"/>
      <c r="AE645" s="210"/>
      <c r="AF645" s="210"/>
      <c r="AG645" s="210"/>
    </row>
    <row r="646" spans="1:33" ht="12.75" customHeight="1">
      <c r="A646" s="210"/>
      <c r="B646" s="210"/>
      <c r="C646" s="210"/>
      <c r="D646" s="210"/>
      <c r="E646" s="210"/>
      <c r="F646" s="210"/>
      <c r="G646" s="210"/>
      <c r="H646" s="210"/>
      <c r="I646" s="210"/>
      <c r="J646" s="210"/>
      <c r="K646" s="210"/>
      <c r="L646" s="210"/>
      <c r="M646" s="210"/>
      <c r="N646" s="210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  <c r="AA646" s="210"/>
      <c r="AB646" s="210"/>
      <c r="AC646" s="210"/>
      <c r="AD646" s="210"/>
      <c r="AE646" s="210"/>
      <c r="AF646" s="210"/>
      <c r="AG646" s="210"/>
    </row>
    <row r="647" spans="1:33" ht="12.75" customHeight="1">
      <c r="A647" s="210"/>
      <c r="B647" s="210"/>
      <c r="C647" s="210"/>
      <c r="D647" s="210"/>
      <c r="E647" s="210"/>
      <c r="F647" s="210"/>
      <c r="G647" s="210"/>
      <c r="H647" s="210"/>
      <c r="I647" s="210"/>
      <c r="J647" s="210"/>
      <c r="K647" s="210"/>
      <c r="L647" s="210"/>
      <c r="M647" s="210"/>
      <c r="N647" s="210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  <c r="AA647" s="210"/>
      <c r="AB647" s="210"/>
      <c r="AC647" s="210"/>
      <c r="AD647" s="210"/>
      <c r="AE647" s="210"/>
      <c r="AF647" s="210"/>
      <c r="AG647" s="210"/>
    </row>
    <row r="648" spans="1:33" ht="12.75" customHeight="1">
      <c r="A648" s="210"/>
      <c r="B648" s="210"/>
      <c r="C648" s="210"/>
      <c r="D648" s="210"/>
      <c r="E648" s="210"/>
      <c r="F648" s="210"/>
      <c r="G648" s="210"/>
      <c r="H648" s="210"/>
      <c r="I648" s="210"/>
      <c r="J648" s="210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  <c r="AA648" s="210"/>
      <c r="AB648" s="210"/>
      <c r="AC648" s="210"/>
      <c r="AD648" s="210"/>
      <c r="AE648" s="210"/>
      <c r="AF648" s="210"/>
      <c r="AG648" s="210"/>
    </row>
    <row r="649" spans="1:33" ht="12.75" customHeight="1">
      <c r="A649" s="210"/>
      <c r="B649" s="210"/>
      <c r="C649" s="210"/>
      <c r="D649" s="210"/>
      <c r="E649" s="210"/>
      <c r="F649" s="210"/>
      <c r="G649" s="210"/>
      <c r="H649" s="210"/>
      <c r="I649" s="210"/>
      <c r="J649" s="210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  <c r="AA649" s="210"/>
      <c r="AB649" s="210"/>
      <c r="AC649" s="210"/>
      <c r="AD649" s="210"/>
      <c r="AE649" s="210"/>
      <c r="AF649" s="210"/>
      <c r="AG649" s="210"/>
    </row>
    <row r="650" spans="1:33" ht="12.75" customHeight="1">
      <c r="A650" s="210"/>
      <c r="B650" s="210"/>
      <c r="C650" s="210"/>
      <c r="D650" s="210"/>
      <c r="E650" s="210"/>
      <c r="F650" s="210"/>
      <c r="G650" s="210"/>
      <c r="H650" s="210"/>
      <c r="I650" s="210"/>
      <c r="J650" s="210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  <c r="AA650" s="210"/>
      <c r="AB650" s="210"/>
      <c r="AC650" s="210"/>
      <c r="AD650" s="210"/>
      <c r="AE650" s="210"/>
      <c r="AF650" s="210"/>
      <c r="AG650" s="210"/>
    </row>
    <row r="651" spans="1:33" ht="12.75" customHeight="1">
      <c r="A651" s="210"/>
      <c r="B651" s="210"/>
      <c r="C651" s="210"/>
      <c r="D651" s="210"/>
      <c r="E651" s="210"/>
      <c r="F651" s="210"/>
      <c r="G651" s="210"/>
      <c r="H651" s="210"/>
      <c r="I651" s="210"/>
      <c r="J651" s="210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  <c r="AA651" s="210"/>
      <c r="AB651" s="210"/>
      <c r="AC651" s="210"/>
      <c r="AD651" s="210"/>
      <c r="AE651" s="210"/>
      <c r="AF651" s="210"/>
      <c r="AG651" s="210"/>
    </row>
    <row r="652" spans="1:33" ht="12.75" customHeight="1">
      <c r="A652" s="210"/>
      <c r="B652" s="210"/>
      <c r="C652" s="210"/>
      <c r="D652" s="210"/>
      <c r="E652" s="210"/>
      <c r="F652" s="210"/>
      <c r="G652" s="210"/>
      <c r="H652" s="210"/>
      <c r="I652" s="210"/>
      <c r="J652" s="210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  <c r="AA652" s="210"/>
      <c r="AB652" s="210"/>
      <c r="AC652" s="210"/>
      <c r="AD652" s="210"/>
      <c r="AE652" s="210"/>
      <c r="AF652" s="210"/>
      <c r="AG652" s="210"/>
    </row>
    <row r="653" spans="1:33" ht="12.75" customHeight="1">
      <c r="A653" s="210"/>
      <c r="B653" s="210"/>
      <c r="C653" s="210"/>
      <c r="D653" s="210"/>
      <c r="E653" s="210"/>
      <c r="F653" s="210"/>
      <c r="G653" s="210"/>
      <c r="H653" s="210"/>
      <c r="I653" s="210"/>
      <c r="J653" s="210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  <c r="AA653" s="210"/>
      <c r="AB653" s="210"/>
      <c r="AC653" s="210"/>
      <c r="AD653" s="210"/>
      <c r="AE653" s="210"/>
      <c r="AF653" s="210"/>
      <c r="AG653" s="210"/>
    </row>
    <row r="654" spans="1:33" ht="12.75" customHeight="1">
      <c r="A654" s="210"/>
      <c r="B654" s="210"/>
      <c r="C654" s="210"/>
      <c r="D654" s="210"/>
      <c r="E654" s="210"/>
      <c r="F654" s="210"/>
      <c r="G654" s="210"/>
      <c r="H654" s="210"/>
      <c r="I654" s="210"/>
      <c r="J654" s="210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  <c r="AA654" s="210"/>
      <c r="AB654" s="210"/>
      <c r="AC654" s="210"/>
      <c r="AD654" s="210"/>
      <c r="AE654" s="210"/>
      <c r="AF654" s="210"/>
      <c r="AG654" s="210"/>
    </row>
    <row r="655" spans="1:33" ht="12.75" customHeight="1">
      <c r="A655" s="210"/>
      <c r="B655" s="210"/>
      <c r="C655" s="210"/>
      <c r="D655" s="210"/>
      <c r="E655" s="210"/>
      <c r="F655" s="210"/>
      <c r="G655" s="210"/>
      <c r="H655" s="210"/>
      <c r="I655" s="210"/>
      <c r="J655" s="210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  <c r="AA655" s="210"/>
      <c r="AB655" s="210"/>
      <c r="AC655" s="210"/>
      <c r="AD655" s="210"/>
      <c r="AE655" s="210"/>
      <c r="AF655" s="210"/>
      <c r="AG655" s="210"/>
    </row>
    <row r="656" spans="1:33" ht="12.75" customHeight="1">
      <c r="A656" s="210"/>
      <c r="B656" s="210"/>
      <c r="C656" s="210"/>
      <c r="D656" s="210"/>
      <c r="E656" s="210"/>
      <c r="F656" s="210"/>
      <c r="G656" s="210"/>
      <c r="H656" s="210"/>
      <c r="I656" s="210"/>
      <c r="J656" s="210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  <c r="AA656" s="210"/>
      <c r="AB656" s="210"/>
      <c r="AC656" s="210"/>
      <c r="AD656" s="210"/>
      <c r="AE656" s="210"/>
      <c r="AF656" s="210"/>
      <c r="AG656" s="210"/>
    </row>
    <row r="657" spans="1:33" ht="12.75" customHeight="1">
      <c r="A657" s="210"/>
      <c r="B657" s="210"/>
      <c r="C657" s="210"/>
      <c r="D657" s="210"/>
      <c r="E657" s="210"/>
      <c r="F657" s="210"/>
      <c r="G657" s="210"/>
      <c r="H657" s="210"/>
      <c r="I657" s="210"/>
      <c r="J657" s="210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  <c r="AA657" s="210"/>
      <c r="AB657" s="210"/>
      <c r="AC657" s="210"/>
      <c r="AD657" s="210"/>
      <c r="AE657" s="210"/>
      <c r="AF657" s="210"/>
      <c r="AG657" s="210"/>
    </row>
    <row r="658" spans="1:33" ht="12.75" customHeight="1">
      <c r="A658" s="210"/>
      <c r="B658" s="210"/>
      <c r="C658" s="210"/>
      <c r="D658" s="210"/>
      <c r="E658" s="210"/>
      <c r="F658" s="210"/>
      <c r="G658" s="210"/>
      <c r="H658" s="210"/>
      <c r="I658" s="210"/>
      <c r="J658" s="210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  <c r="AA658" s="210"/>
      <c r="AB658" s="210"/>
      <c r="AC658" s="210"/>
      <c r="AD658" s="210"/>
      <c r="AE658" s="210"/>
      <c r="AF658" s="210"/>
      <c r="AG658" s="210"/>
    </row>
    <row r="659" spans="1:33" ht="12.75" customHeight="1">
      <c r="A659" s="210"/>
      <c r="B659" s="210"/>
      <c r="C659" s="210"/>
      <c r="D659" s="210"/>
      <c r="E659" s="210"/>
      <c r="F659" s="210"/>
      <c r="G659" s="210"/>
      <c r="H659" s="210"/>
      <c r="I659" s="210"/>
      <c r="J659" s="210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  <c r="AA659" s="210"/>
      <c r="AB659" s="210"/>
      <c r="AC659" s="210"/>
      <c r="AD659" s="210"/>
      <c r="AE659" s="210"/>
      <c r="AF659" s="210"/>
      <c r="AG659" s="210"/>
    </row>
    <row r="660" spans="1:33" ht="12.75" customHeight="1">
      <c r="A660" s="210"/>
      <c r="B660" s="210"/>
      <c r="C660" s="210"/>
      <c r="D660" s="210"/>
      <c r="E660" s="210"/>
      <c r="F660" s="210"/>
      <c r="G660" s="210"/>
      <c r="H660" s="210"/>
      <c r="I660" s="210"/>
      <c r="J660" s="210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  <c r="AA660" s="210"/>
      <c r="AB660" s="210"/>
      <c r="AC660" s="210"/>
      <c r="AD660" s="210"/>
      <c r="AE660" s="210"/>
      <c r="AF660" s="210"/>
      <c r="AG660" s="210"/>
    </row>
    <row r="661" spans="1:33" ht="12.75" customHeight="1">
      <c r="A661" s="210"/>
      <c r="B661" s="210"/>
      <c r="C661" s="210"/>
      <c r="D661" s="210"/>
      <c r="E661" s="210"/>
      <c r="F661" s="210"/>
      <c r="G661" s="210"/>
      <c r="H661" s="210"/>
      <c r="I661" s="210"/>
      <c r="J661" s="210"/>
      <c r="K661" s="210"/>
      <c r="L661" s="210"/>
      <c r="M661" s="210"/>
      <c r="N661" s="210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  <c r="AA661" s="210"/>
      <c r="AB661" s="210"/>
      <c r="AC661" s="210"/>
      <c r="AD661" s="210"/>
      <c r="AE661" s="210"/>
      <c r="AF661" s="210"/>
      <c r="AG661" s="210"/>
    </row>
    <row r="662" spans="1:33" ht="12.75" customHeight="1">
      <c r="A662" s="210"/>
      <c r="B662" s="210"/>
      <c r="C662" s="210"/>
      <c r="D662" s="210"/>
      <c r="E662" s="210"/>
      <c r="F662" s="210"/>
      <c r="G662" s="210"/>
      <c r="H662" s="210"/>
      <c r="I662" s="210"/>
      <c r="J662" s="210"/>
      <c r="K662" s="210"/>
      <c r="L662" s="210"/>
      <c r="M662" s="210"/>
      <c r="N662" s="210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  <c r="AA662" s="210"/>
      <c r="AB662" s="210"/>
      <c r="AC662" s="210"/>
      <c r="AD662" s="210"/>
      <c r="AE662" s="210"/>
      <c r="AF662" s="210"/>
      <c r="AG662" s="210"/>
    </row>
    <row r="663" spans="1:33" ht="12.75" customHeight="1">
      <c r="A663" s="210"/>
      <c r="B663" s="210"/>
      <c r="C663" s="210"/>
      <c r="D663" s="210"/>
      <c r="E663" s="210"/>
      <c r="F663" s="210"/>
      <c r="G663" s="210"/>
      <c r="H663" s="210"/>
      <c r="I663" s="210"/>
      <c r="J663" s="210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  <c r="AA663" s="210"/>
      <c r="AB663" s="210"/>
      <c r="AC663" s="210"/>
      <c r="AD663" s="210"/>
      <c r="AE663" s="210"/>
      <c r="AF663" s="210"/>
      <c r="AG663" s="210"/>
    </row>
    <row r="664" spans="1:33" ht="12.75" customHeight="1">
      <c r="A664" s="210"/>
      <c r="B664" s="210"/>
      <c r="C664" s="210"/>
      <c r="D664" s="210"/>
      <c r="E664" s="210"/>
      <c r="F664" s="210"/>
      <c r="G664" s="210"/>
      <c r="H664" s="210"/>
      <c r="I664" s="210"/>
      <c r="J664" s="210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  <c r="AA664" s="210"/>
      <c r="AB664" s="210"/>
      <c r="AC664" s="210"/>
      <c r="AD664" s="210"/>
      <c r="AE664" s="210"/>
      <c r="AF664" s="210"/>
      <c r="AG664" s="210"/>
    </row>
    <row r="665" spans="1:33" ht="12.75" customHeight="1">
      <c r="A665" s="210"/>
      <c r="B665" s="210"/>
      <c r="C665" s="210"/>
      <c r="D665" s="210"/>
      <c r="E665" s="210"/>
      <c r="F665" s="210"/>
      <c r="G665" s="210"/>
      <c r="H665" s="210"/>
      <c r="I665" s="210"/>
      <c r="J665" s="210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  <c r="AA665" s="210"/>
      <c r="AB665" s="210"/>
      <c r="AC665" s="210"/>
      <c r="AD665" s="210"/>
      <c r="AE665" s="210"/>
      <c r="AF665" s="210"/>
      <c r="AG665" s="210"/>
    </row>
    <row r="666" spans="1:33" ht="12.75" customHeight="1">
      <c r="A666" s="210"/>
      <c r="B666" s="210"/>
      <c r="C666" s="210"/>
      <c r="D666" s="210"/>
      <c r="E666" s="210"/>
      <c r="F666" s="210"/>
      <c r="G666" s="210"/>
      <c r="H666" s="210"/>
      <c r="I666" s="210"/>
      <c r="J666" s="210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  <c r="AA666" s="210"/>
      <c r="AB666" s="210"/>
      <c r="AC666" s="210"/>
      <c r="AD666" s="210"/>
      <c r="AE666" s="210"/>
      <c r="AF666" s="210"/>
      <c r="AG666" s="210"/>
    </row>
    <row r="667" spans="1:33" ht="12.75" customHeight="1">
      <c r="A667" s="210"/>
      <c r="B667" s="210"/>
      <c r="C667" s="210"/>
      <c r="D667" s="210"/>
      <c r="E667" s="210"/>
      <c r="F667" s="210"/>
      <c r="G667" s="210"/>
      <c r="H667" s="210"/>
      <c r="I667" s="210"/>
      <c r="J667" s="210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  <c r="AA667" s="210"/>
      <c r="AB667" s="210"/>
      <c r="AC667" s="210"/>
      <c r="AD667" s="210"/>
      <c r="AE667" s="210"/>
      <c r="AF667" s="210"/>
      <c r="AG667" s="210"/>
    </row>
    <row r="668" spans="1:33" ht="12.75" customHeight="1">
      <c r="A668" s="210"/>
      <c r="B668" s="210"/>
      <c r="C668" s="210"/>
      <c r="D668" s="210"/>
      <c r="E668" s="210"/>
      <c r="F668" s="210"/>
      <c r="G668" s="210"/>
      <c r="H668" s="210"/>
      <c r="I668" s="210"/>
      <c r="J668" s="210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  <c r="AA668" s="210"/>
      <c r="AB668" s="210"/>
      <c r="AC668" s="210"/>
      <c r="AD668" s="210"/>
      <c r="AE668" s="210"/>
      <c r="AF668" s="210"/>
      <c r="AG668" s="210"/>
    </row>
    <row r="669" spans="1:33" ht="12.75" customHeight="1">
      <c r="A669" s="210"/>
      <c r="B669" s="210"/>
      <c r="C669" s="210"/>
      <c r="D669" s="210"/>
      <c r="E669" s="210"/>
      <c r="F669" s="210"/>
      <c r="G669" s="210"/>
      <c r="H669" s="210"/>
      <c r="I669" s="210"/>
      <c r="J669" s="210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  <c r="AA669" s="210"/>
      <c r="AB669" s="210"/>
      <c r="AC669" s="210"/>
      <c r="AD669" s="210"/>
      <c r="AE669" s="210"/>
      <c r="AF669" s="210"/>
      <c r="AG669" s="210"/>
    </row>
    <row r="670" spans="1:33" ht="12.75" customHeight="1">
      <c r="A670" s="210"/>
      <c r="B670" s="210"/>
      <c r="C670" s="210"/>
      <c r="D670" s="210"/>
      <c r="E670" s="210"/>
      <c r="F670" s="210"/>
      <c r="G670" s="210"/>
      <c r="H670" s="210"/>
      <c r="I670" s="210"/>
      <c r="J670" s="210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  <c r="AA670" s="210"/>
      <c r="AB670" s="210"/>
      <c r="AC670" s="210"/>
      <c r="AD670" s="210"/>
      <c r="AE670" s="210"/>
      <c r="AF670" s="210"/>
      <c r="AG670" s="210"/>
    </row>
    <row r="671" spans="1:33" ht="12.75" customHeight="1">
      <c r="A671" s="210"/>
      <c r="B671" s="210"/>
      <c r="C671" s="210"/>
      <c r="D671" s="210"/>
      <c r="E671" s="210"/>
      <c r="F671" s="210"/>
      <c r="G671" s="210"/>
      <c r="H671" s="210"/>
      <c r="I671" s="210"/>
      <c r="J671" s="210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  <c r="AA671" s="210"/>
      <c r="AB671" s="210"/>
      <c r="AC671" s="210"/>
      <c r="AD671" s="210"/>
      <c r="AE671" s="210"/>
      <c r="AF671" s="210"/>
      <c r="AG671" s="210"/>
    </row>
    <row r="672" spans="1:33" ht="12.75" customHeight="1">
      <c r="A672" s="210"/>
      <c r="B672" s="210"/>
      <c r="C672" s="210"/>
      <c r="D672" s="210"/>
      <c r="E672" s="210"/>
      <c r="F672" s="210"/>
      <c r="G672" s="210"/>
      <c r="H672" s="210"/>
      <c r="I672" s="210"/>
      <c r="J672" s="210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  <c r="AA672" s="210"/>
      <c r="AB672" s="210"/>
      <c r="AC672" s="210"/>
      <c r="AD672" s="210"/>
      <c r="AE672" s="210"/>
      <c r="AF672" s="210"/>
      <c r="AG672" s="210"/>
    </row>
    <row r="673" spans="1:33" ht="12.75" customHeight="1">
      <c r="A673" s="210"/>
      <c r="B673" s="210"/>
      <c r="C673" s="210"/>
      <c r="D673" s="210"/>
      <c r="E673" s="210"/>
      <c r="F673" s="210"/>
      <c r="G673" s="210"/>
      <c r="H673" s="210"/>
      <c r="I673" s="210"/>
      <c r="J673" s="210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  <c r="AA673" s="210"/>
      <c r="AB673" s="210"/>
      <c r="AC673" s="210"/>
      <c r="AD673" s="210"/>
      <c r="AE673" s="210"/>
      <c r="AF673" s="210"/>
      <c r="AG673" s="210"/>
    </row>
    <row r="674" spans="1:33" ht="12.75" customHeight="1">
      <c r="A674" s="210"/>
      <c r="B674" s="210"/>
      <c r="C674" s="210"/>
      <c r="D674" s="210"/>
      <c r="E674" s="210"/>
      <c r="F674" s="210"/>
      <c r="G674" s="210"/>
      <c r="H674" s="210"/>
      <c r="I674" s="210"/>
      <c r="J674" s="210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  <c r="AA674" s="210"/>
      <c r="AB674" s="210"/>
      <c r="AC674" s="210"/>
      <c r="AD674" s="210"/>
      <c r="AE674" s="210"/>
      <c r="AF674" s="210"/>
      <c r="AG674" s="210"/>
    </row>
    <row r="675" spans="1:33" ht="12.75" customHeight="1">
      <c r="A675" s="210"/>
      <c r="B675" s="210"/>
      <c r="C675" s="210"/>
      <c r="D675" s="210"/>
      <c r="E675" s="210"/>
      <c r="F675" s="210"/>
      <c r="G675" s="210"/>
      <c r="H675" s="210"/>
      <c r="I675" s="210"/>
      <c r="J675" s="210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  <c r="AA675" s="210"/>
      <c r="AB675" s="210"/>
      <c r="AC675" s="210"/>
      <c r="AD675" s="210"/>
      <c r="AE675" s="210"/>
      <c r="AF675" s="210"/>
      <c r="AG675" s="210"/>
    </row>
    <row r="676" spans="1:33" ht="12.75" customHeight="1">
      <c r="A676" s="210"/>
      <c r="B676" s="210"/>
      <c r="C676" s="210"/>
      <c r="D676" s="210"/>
      <c r="E676" s="210"/>
      <c r="F676" s="210"/>
      <c r="G676" s="210"/>
      <c r="H676" s="210"/>
      <c r="I676" s="210"/>
      <c r="J676" s="210"/>
      <c r="K676" s="210"/>
      <c r="L676" s="210"/>
      <c r="M676" s="210"/>
      <c r="N676" s="210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  <c r="AA676" s="210"/>
      <c r="AB676" s="210"/>
      <c r="AC676" s="210"/>
      <c r="AD676" s="210"/>
      <c r="AE676" s="210"/>
      <c r="AF676" s="210"/>
      <c r="AG676" s="210"/>
    </row>
    <row r="677" spans="1:33" ht="12.75" customHeight="1">
      <c r="A677" s="210"/>
      <c r="B677" s="210"/>
      <c r="C677" s="210"/>
      <c r="D677" s="210"/>
      <c r="E677" s="210"/>
      <c r="F677" s="210"/>
      <c r="G677" s="210"/>
      <c r="H677" s="210"/>
      <c r="I677" s="210"/>
      <c r="J677" s="210"/>
      <c r="K677" s="210"/>
      <c r="L677" s="210"/>
      <c r="M677" s="210"/>
      <c r="N677" s="210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  <c r="AA677" s="210"/>
      <c r="AB677" s="210"/>
      <c r="AC677" s="210"/>
      <c r="AD677" s="210"/>
      <c r="AE677" s="210"/>
      <c r="AF677" s="210"/>
      <c r="AG677" s="210"/>
    </row>
    <row r="678" spans="1:33" ht="12.75" customHeight="1">
      <c r="A678" s="210"/>
      <c r="B678" s="210"/>
      <c r="C678" s="210"/>
      <c r="D678" s="210"/>
      <c r="E678" s="210"/>
      <c r="F678" s="210"/>
      <c r="G678" s="210"/>
      <c r="H678" s="210"/>
      <c r="I678" s="210"/>
      <c r="J678" s="210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  <c r="AA678" s="210"/>
      <c r="AB678" s="210"/>
      <c r="AC678" s="210"/>
      <c r="AD678" s="210"/>
      <c r="AE678" s="210"/>
      <c r="AF678" s="210"/>
      <c r="AG678" s="210"/>
    </row>
    <row r="679" spans="1:33" ht="12.75" customHeight="1">
      <c r="A679" s="210"/>
      <c r="B679" s="210"/>
      <c r="C679" s="210"/>
      <c r="D679" s="210"/>
      <c r="E679" s="210"/>
      <c r="F679" s="210"/>
      <c r="G679" s="210"/>
      <c r="H679" s="210"/>
      <c r="I679" s="210"/>
      <c r="J679" s="210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  <c r="AA679" s="210"/>
      <c r="AB679" s="210"/>
      <c r="AC679" s="210"/>
      <c r="AD679" s="210"/>
      <c r="AE679" s="210"/>
      <c r="AF679" s="210"/>
      <c r="AG679" s="210"/>
    </row>
    <row r="680" spans="1:33" ht="12.75" customHeight="1">
      <c r="A680" s="210"/>
      <c r="B680" s="210"/>
      <c r="C680" s="210"/>
      <c r="D680" s="210"/>
      <c r="E680" s="210"/>
      <c r="F680" s="210"/>
      <c r="G680" s="210"/>
      <c r="H680" s="210"/>
      <c r="I680" s="210"/>
      <c r="J680" s="210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  <c r="AA680" s="210"/>
      <c r="AB680" s="210"/>
      <c r="AC680" s="210"/>
      <c r="AD680" s="210"/>
      <c r="AE680" s="210"/>
      <c r="AF680" s="210"/>
      <c r="AG680" s="210"/>
    </row>
    <row r="681" spans="1:33" ht="12.75" customHeight="1">
      <c r="A681" s="210"/>
      <c r="B681" s="210"/>
      <c r="C681" s="210"/>
      <c r="D681" s="210"/>
      <c r="E681" s="210"/>
      <c r="F681" s="210"/>
      <c r="G681" s="210"/>
      <c r="H681" s="210"/>
      <c r="I681" s="210"/>
      <c r="J681" s="210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  <c r="AA681" s="210"/>
      <c r="AB681" s="210"/>
      <c r="AC681" s="210"/>
      <c r="AD681" s="210"/>
      <c r="AE681" s="210"/>
      <c r="AF681" s="210"/>
      <c r="AG681" s="210"/>
    </row>
    <row r="682" spans="1:33" ht="12.75" customHeight="1">
      <c r="A682" s="210"/>
      <c r="B682" s="210"/>
      <c r="C682" s="210"/>
      <c r="D682" s="210"/>
      <c r="E682" s="210"/>
      <c r="F682" s="210"/>
      <c r="G682" s="210"/>
      <c r="H682" s="210"/>
      <c r="I682" s="210"/>
      <c r="J682" s="210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  <c r="AA682" s="210"/>
      <c r="AB682" s="210"/>
      <c r="AC682" s="210"/>
      <c r="AD682" s="210"/>
      <c r="AE682" s="210"/>
      <c r="AF682" s="210"/>
      <c r="AG682" s="210"/>
    </row>
    <row r="683" spans="1:33" ht="12.75" customHeight="1">
      <c r="A683" s="210"/>
      <c r="B683" s="210"/>
      <c r="C683" s="210"/>
      <c r="D683" s="210"/>
      <c r="E683" s="210"/>
      <c r="F683" s="210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  <c r="AA683" s="210"/>
      <c r="AB683" s="210"/>
      <c r="AC683" s="210"/>
      <c r="AD683" s="210"/>
      <c r="AE683" s="210"/>
      <c r="AF683" s="210"/>
      <c r="AG683" s="210"/>
    </row>
    <row r="684" spans="1:33" ht="12.75" customHeight="1">
      <c r="A684" s="210"/>
      <c r="B684" s="210"/>
      <c r="C684" s="210"/>
      <c r="D684" s="210"/>
      <c r="E684" s="210"/>
      <c r="F684" s="210"/>
      <c r="G684" s="210"/>
      <c r="H684" s="210"/>
      <c r="I684" s="210"/>
      <c r="J684" s="210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  <c r="AA684" s="210"/>
      <c r="AB684" s="210"/>
      <c r="AC684" s="210"/>
      <c r="AD684" s="210"/>
      <c r="AE684" s="210"/>
      <c r="AF684" s="210"/>
      <c r="AG684" s="210"/>
    </row>
    <row r="685" spans="1:33" ht="12.75" customHeight="1">
      <c r="A685" s="210"/>
      <c r="B685" s="210"/>
      <c r="C685" s="210"/>
      <c r="D685" s="210"/>
      <c r="E685" s="210"/>
      <c r="F685" s="210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  <c r="AA685" s="210"/>
      <c r="AB685" s="210"/>
      <c r="AC685" s="210"/>
      <c r="AD685" s="210"/>
      <c r="AE685" s="210"/>
      <c r="AF685" s="210"/>
      <c r="AG685" s="210"/>
    </row>
    <row r="686" spans="1:33" ht="12.75" customHeight="1">
      <c r="A686" s="210"/>
      <c r="B686" s="210"/>
      <c r="C686" s="210"/>
      <c r="D686" s="210"/>
      <c r="E686" s="210"/>
      <c r="F686" s="210"/>
      <c r="G686" s="210"/>
      <c r="H686" s="210"/>
      <c r="I686" s="210"/>
      <c r="J686" s="210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  <c r="AA686" s="210"/>
      <c r="AB686" s="210"/>
      <c r="AC686" s="210"/>
      <c r="AD686" s="210"/>
      <c r="AE686" s="210"/>
      <c r="AF686" s="210"/>
      <c r="AG686" s="210"/>
    </row>
    <row r="687" spans="1:33" ht="12.75" customHeight="1">
      <c r="A687" s="210"/>
      <c r="B687" s="210"/>
      <c r="C687" s="210"/>
      <c r="D687" s="210"/>
      <c r="E687" s="210"/>
      <c r="F687" s="210"/>
      <c r="G687" s="210"/>
      <c r="H687" s="210"/>
      <c r="I687" s="210"/>
      <c r="J687" s="210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  <c r="AA687" s="210"/>
      <c r="AB687" s="210"/>
      <c r="AC687" s="210"/>
      <c r="AD687" s="210"/>
      <c r="AE687" s="210"/>
      <c r="AF687" s="210"/>
      <c r="AG687" s="210"/>
    </row>
    <row r="688" spans="1:33" ht="12.75" customHeight="1">
      <c r="A688" s="210"/>
      <c r="B688" s="210"/>
      <c r="C688" s="210"/>
      <c r="D688" s="210"/>
      <c r="E688" s="210"/>
      <c r="F688" s="210"/>
      <c r="G688" s="210"/>
      <c r="H688" s="210"/>
      <c r="I688" s="210"/>
      <c r="J688" s="210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  <c r="AA688" s="210"/>
      <c r="AB688" s="210"/>
      <c r="AC688" s="210"/>
      <c r="AD688" s="210"/>
      <c r="AE688" s="210"/>
      <c r="AF688" s="210"/>
      <c r="AG688" s="210"/>
    </row>
    <row r="689" spans="1:33" ht="12.75" customHeight="1">
      <c r="A689" s="210"/>
      <c r="B689" s="210"/>
      <c r="C689" s="210"/>
      <c r="D689" s="210"/>
      <c r="E689" s="210"/>
      <c r="F689" s="210"/>
      <c r="G689" s="210"/>
      <c r="H689" s="210"/>
      <c r="I689" s="210"/>
      <c r="J689" s="210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  <c r="AA689" s="210"/>
      <c r="AB689" s="210"/>
      <c r="AC689" s="210"/>
      <c r="AD689" s="210"/>
      <c r="AE689" s="210"/>
      <c r="AF689" s="210"/>
      <c r="AG689" s="210"/>
    </row>
    <row r="690" spans="1:33" ht="12.75" customHeight="1">
      <c r="A690" s="210"/>
      <c r="B690" s="210"/>
      <c r="C690" s="210"/>
      <c r="D690" s="210"/>
      <c r="E690" s="210"/>
      <c r="F690" s="210"/>
      <c r="G690" s="210"/>
      <c r="H690" s="210"/>
      <c r="I690" s="210"/>
      <c r="J690" s="210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  <c r="AA690" s="210"/>
      <c r="AB690" s="210"/>
      <c r="AC690" s="210"/>
      <c r="AD690" s="210"/>
      <c r="AE690" s="210"/>
      <c r="AF690" s="210"/>
      <c r="AG690" s="210"/>
    </row>
    <row r="691" spans="1:33" ht="12.75" customHeight="1">
      <c r="A691" s="210"/>
      <c r="B691" s="210"/>
      <c r="C691" s="210"/>
      <c r="D691" s="210"/>
      <c r="E691" s="210"/>
      <c r="F691" s="210"/>
      <c r="G691" s="210"/>
      <c r="H691" s="210"/>
      <c r="I691" s="210"/>
      <c r="J691" s="210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  <c r="AA691" s="210"/>
      <c r="AB691" s="210"/>
      <c r="AC691" s="210"/>
      <c r="AD691" s="210"/>
      <c r="AE691" s="210"/>
      <c r="AF691" s="210"/>
      <c r="AG691" s="210"/>
    </row>
    <row r="692" spans="1:33" ht="12.75" customHeight="1">
      <c r="A692" s="210"/>
      <c r="B692" s="210"/>
      <c r="C692" s="210"/>
      <c r="D692" s="210"/>
      <c r="E692" s="210"/>
      <c r="F692" s="210"/>
      <c r="G692" s="210"/>
      <c r="H692" s="210"/>
      <c r="I692" s="210"/>
      <c r="J692" s="210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  <c r="AA692" s="210"/>
      <c r="AB692" s="210"/>
      <c r="AC692" s="210"/>
      <c r="AD692" s="210"/>
      <c r="AE692" s="210"/>
      <c r="AF692" s="210"/>
      <c r="AG692" s="210"/>
    </row>
    <row r="693" spans="1:33" ht="12.75" customHeight="1">
      <c r="A693" s="210"/>
      <c r="B693" s="210"/>
      <c r="C693" s="210"/>
      <c r="D693" s="210"/>
      <c r="E693" s="210"/>
      <c r="F693" s="210"/>
      <c r="G693" s="210"/>
      <c r="H693" s="210"/>
      <c r="I693" s="210"/>
      <c r="J693" s="210"/>
      <c r="K693" s="210"/>
      <c r="L693" s="210"/>
      <c r="M693" s="210"/>
      <c r="N693" s="210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  <c r="AA693" s="210"/>
      <c r="AB693" s="210"/>
      <c r="AC693" s="210"/>
      <c r="AD693" s="210"/>
      <c r="AE693" s="210"/>
      <c r="AF693" s="210"/>
      <c r="AG693" s="210"/>
    </row>
    <row r="694" spans="1:33" ht="12.75" customHeight="1">
      <c r="A694" s="210"/>
      <c r="B694" s="210"/>
      <c r="C694" s="210"/>
      <c r="D694" s="210"/>
      <c r="E694" s="210"/>
      <c r="F694" s="210"/>
      <c r="G694" s="210"/>
      <c r="H694" s="210"/>
      <c r="I694" s="210"/>
      <c r="J694" s="210"/>
      <c r="K694" s="210"/>
      <c r="L694" s="210"/>
      <c r="M694" s="210"/>
      <c r="N694" s="210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  <c r="AA694" s="210"/>
      <c r="AB694" s="210"/>
      <c r="AC694" s="210"/>
      <c r="AD694" s="210"/>
      <c r="AE694" s="210"/>
      <c r="AF694" s="210"/>
      <c r="AG694" s="210"/>
    </row>
    <row r="695" spans="1:33" ht="12.75" customHeight="1">
      <c r="A695" s="210"/>
      <c r="B695" s="210"/>
      <c r="C695" s="210"/>
      <c r="D695" s="210"/>
      <c r="E695" s="210"/>
      <c r="F695" s="210"/>
      <c r="G695" s="210"/>
      <c r="H695" s="210"/>
      <c r="I695" s="210"/>
      <c r="J695" s="210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  <c r="AA695" s="210"/>
      <c r="AB695" s="210"/>
      <c r="AC695" s="210"/>
      <c r="AD695" s="210"/>
      <c r="AE695" s="210"/>
      <c r="AF695" s="210"/>
      <c r="AG695" s="210"/>
    </row>
    <row r="696" spans="1:33" ht="12.75" customHeight="1">
      <c r="A696" s="210"/>
      <c r="B696" s="210"/>
      <c r="C696" s="210"/>
      <c r="D696" s="210"/>
      <c r="E696" s="210"/>
      <c r="F696" s="210"/>
      <c r="G696" s="210"/>
      <c r="H696" s="210"/>
      <c r="I696" s="210"/>
      <c r="J696" s="210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  <c r="AA696" s="210"/>
      <c r="AB696" s="210"/>
      <c r="AC696" s="210"/>
      <c r="AD696" s="210"/>
      <c r="AE696" s="210"/>
      <c r="AF696" s="210"/>
      <c r="AG696" s="210"/>
    </row>
    <row r="697" spans="1:33" ht="12.75" customHeight="1">
      <c r="A697" s="210"/>
      <c r="B697" s="210"/>
      <c r="C697" s="210"/>
      <c r="D697" s="210"/>
      <c r="E697" s="210"/>
      <c r="F697" s="210"/>
      <c r="G697" s="210"/>
      <c r="H697" s="210"/>
      <c r="I697" s="210"/>
      <c r="J697" s="210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  <c r="AA697" s="210"/>
      <c r="AB697" s="210"/>
      <c r="AC697" s="210"/>
      <c r="AD697" s="210"/>
      <c r="AE697" s="210"/>
      <c r="AF697" s="210"/>
      <c r="AG697" s="210"/>
    </row>
    <row r="698" spans="1:33" ht="12.75" customHeight="1">
      <c r="A698" s="210"/>
      <c r="B698" s="210"/>
      <c r="C698" s="210"/>
      <c r="D698" s="210"/>
      <c r="E698" s="210"/>
      <c r="F698" s="210"/>
      <c r="G698" s="210"/>
      <c r="H698" s="210"/>
      <c r="I698" s="210"/>
      <c r="J698" s="210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  <c r="AA698" s="210"/>
      <c r="AB698" s="210"/>
      <c r="AC698" s="210"/>
      <c r="AD698" s="210"/>
      <c r="AE698" s="210"/>
      <c r="AF698" s="210"/>
      <c r="AG698" s="210"/>
    </row>
    <row r="699" spans="1:33" ht="12.75" customHeight="1">
      <c r="A699" s="210"/>
      <c r="B699" s="210"/>
      <c r="C699" s="210"/>
      <c r="D699" s="210"/>
      <c r="E699" s="210"/>
      <c r="F699" s="210"/>
      <c r="G699" s="210"/>
      <c r="H699" s="210"/>
      <c r="I699" s="210"/>
      <c r="J699" s="210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  <c r="AA699" s="210"/>
      <c r="AB699" s="210"/>
      <c r="AC699" s="210"/>
      <c r="AD699" s="210"/>
      <c r="AE699" s="210"/>
      <c r="AF699" s="210"/>
      <c r="AG699" s="210"/>
    </row>
    <row r="700" spans="1:33" ht="12.75" customHeight="1">
      <c r="A700" s="210"/>
      <c r="B700" s="210"/>
      <c r="C700" s="210"/>
      <c r="D700" s="210"/>
      <c r="E700" s="210"/>
      <c r="F700" s="210"/>
      <c r="G700" s="210"/>
      <c r="H700" s="210"/>
      <c r="I700" s="210"/>
      <c r="J700" s="210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  <c r="AA700" s="210"/>
      <c r="AB700" s="210"/>
      <c r="AC700" s="210"/>
      <c r="AD700" s="210"/>
      <c r="AE700" s="210"/>
      <c r="AF700" s="210"/>
      <c r="AG700" s="210"/>
    </row>
    <row r="701" spans="1:33" ht="12.75" customHeight="1">
      <c r="A701" s="210"/>
      <c r="B701" s="210"/>
      <c r="C701" s="210"/>
      <c r="D701" s="210"/>
      <c r="E701" s="210"/>
      <c r="F701" s="210"/>
      <c r="G701" s="210"/>
      <c r="H701" s="210"/>
      <c r="I701" s="210"/>
      <c r="J701" s="210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  <c r="AA701" s="210"/>
      <c r="AB701" s="210"/>
      <c r="AC701" s="210"/>
      <c r="AD701" s="210"/>
      <c r="AE701" s="210"/>
      <c r="AF701" s="210"/>
      <c r="AG701" s="210"/>
    </row>
    <row r="702" spans="1:33" ht="12.75" customHeight="1">
      <c r="A702" s="210"/>
      <c r="B702" s="210"/>
      <c r="C702" s="210"/>
      <c r="D702" s="210"/>
      <c r="E702" s="210"/>
      <c r="F702" s="210"/>
      <c r="G702" s="210"/>
      <c r="H702" s="210"/>
      <c r="I702" s="210"/>
      <c r="J702" s="210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  <c r="AA702" s="210"/>
      <c r="AB702" s="210"/>
      <c r="AC702" s="210"/>
      <c r="AD702" s="210"/>
      <c r="AE702" s="210"/>
      <c r="AF702" s="210"/>
      <c r="AG702" s="210"/>
    </row>
    <row r="703" spans="1:33" ht="12.75" customHeight="1">
      <c r="A703" s="210"/>
      <c r="B703" s="210"/>
      <c r="C703" s="210"/>
      <c r="D703" s="210"/>
      <c r="E703" s="210"/>
      <c r="F703" s="210"/>
      <c r="G703" s="210"/>
      <c r="H703" s="210"/>
      <c r="I703" s="210"/>
      <c r="J703" s="210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  <c r="AA703" s="210"/>
      <c r="AB703" s="210"/>
      <c r="AC703" s="210"/>
      <c r="AD703" s="210"/>
      <c r="AE703" s="210"/>
      <c r="AF703" s="210"/>
      <c r="AG703" s="210"/>
    </row>
    <row r="704" spans="1:33" ht="12.75" customHeight="1">
      <c r="A704" s="210"/>
      <c r="B704" s="210"/>
      <c r="C704" s="210"/>
      <c r="D704" s="210"/>
      <c r="E704" s="210"/>
      <c r="F704" s="210"/>
      <c r="G704" s="210"/>
      <c r="H704" s="210"/>
      <c r="I704" s="210"/>
      <c r="J704" s="210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  <c r="AA704" s="210"/>
      <c r="AB704" s="210"/>
      <c r="AC704" s="210"/>
      <c r="AD704" s="210"/>
      <c r="AE704" s="210"/>
      <c r="AF704" s="210"/>
      <c r="AG704" s="210"/>
    </row>
    <row r="705" spans="1:33" ht="12.75" customHeight="1">
      <c r="A705" s="210"/>
      <c r="B705" s="210"/>
      <c r="C705" s="210"/>
      <c r="D705" s="210"/>
      <c r="E705" s="210"/>
      <c r="F705" s="210"/>
      <c r="G705" s="210"/>
      <c r="H705" s="210"/>
      <c r="I705" s="210"/>
      <c r="J705" s="210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  <c r="AA705" s="210"/>
      <c r="AB705" s="210"/>
      <c r="AC705" s="210"/>
      <c r="AD705" s="210"/>
      <c r="AE705" s="210"/>
      <c r="AF705" s="210"/>
      <c r="AG705" s="210"/>
    </row>
    <row r="706" spans="1:33" ht="12.75" customHeight="1">
      <c r="A706" s="210"/>
      <c r="B706" s="210"/>
      <c r="C706" s="210"/>
      <c r="D706" s="210"/>
      <c r="E706" s="210"/>
      <c r="F706" s="210"/>
      <c r="G706" s="210"/>
      <c r="H706" s="210"/>
      <c r="I706" s="210"/>
      <c r="J706" s="210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  <c r="AA706" s="210"/>
      <c r="AB706" s="210"/>
      <c r="AC706" s="210"/>
      <c r="AD706" s="210"/>
      <c r="AE706" s="210"/>
      <c r="AF706" s="210"/>
      <c r="AG706" s="210"/>
    </row>
    <row r="707" spans="1:33" ht="12.75" customHeight="1">
      <c r="A707" s="210"/>
      <c r="B707" s="210"/>
      <c r="C707" s="210"/>
      <c r="D707" s="210"/>
      <c r="E707" s="210"/>
      <c r="F707" s="210"/>
      <c r="G707" s="210"/>
      <c r="H707" s="210"/>
      <c r="I707" s="210"/>
      <c r="J707" s="210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  <c r="AA707" s="210"/>
      <c r="AB707" s="210"/>
      <c r="AC707" s="210"/>
      <c r="AD707" s="210"/>
      <c r="AE707" s="210"/>
      <c r="AF707" s="210"/>
      <c r="AG707" s="210"/>
    </row>
    <row r="708" spans="1:33" ht="12.75" customHeight="1">
      <c r="A708" s="210"/>
      <c r="B708" s="210"/>
      <c r="C708" s="210"/>
      <c r="D708" s="210"/>
      <c r="E708" s="210"/>
      <c r="F708" s="210"/>
      <c r="G708" s="210"/>
      <c r="H708" s="210"/>
      <c r="I708" s="210"/>
      <c r="J708" s="210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  <c r="AA708" s="210"/>
      <c r="AB708" s="210"/>
      <c r="AC708" s="210"/>
      <c r="AD708" s="210"/>
      <c r="AE708" s="210"/>
      <c r="AF708" s="210"/>
      <c r="AG708" s="210"/>
    </row>
    <row r="709" spans="1:33" ht="12.75" customHeight="1">
      <c r="A709" s="210"/>
      <c r="B709" s="210"/>
      <c r="C709" s="210"/>
      <c r="D709" s="210"/>
      <c r="E709" s="210"/>
      <c r="F709" s="210"/>
      <c r="G709" s="210"/>
      <c r="H709" s="210"/>
      <c r="I709" s="210"/>
      <c r="J709" s="210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  <c r="AA709" s="210"/>
      <c r="AB709" s="210"/>
      <c r="AC709" s="210"/>
      <c r="AD709" s="210"/>
      <c r="AE709" s="210"/>
      <c r="AF709" s="210"/>
      <c r="AG709" s="210"/>
    </row>
    <row r="710" spans="1:33" ht="12.75" customHeight="1">
      <c r="A710" s="210"/>
      <c r="B710" s="210"/>
      <c r="C710" s="210"/>
      <c r="D710" s="210"/>
      <c r="E710" s="210"/>
      <c r="F710" s="210"/>
      <c r="G710" s="210"/>
      <c r="H710" s="210"/>
      <c r="I710" s="210"/>
      <c r="J710" s="210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  <c r="AA710" s="210"/>
      <c r="AB710" s="210"/>
      <c r="AC710" s="210"/>
      <c r="AD710" s="210"/>
      <c r="AE710" s="210"/>
      <c r="AF710" s="210"/>
      <c r="AG710" s="210"/>
    </row>
    <row r="711" spans="1:33" ht="12.75" customHeight="1">
      <c r="A711" s="210"/>
      <c r="B711" s="210"/>
      <c r="C711" s="210"/>
      <c r="D711" s="210"/>
      <c r="E711" s="210"/>
      <c r="F711" s="210"/>
      <c r="G711" s="210"/>
      <c r="H711" s="210"/>
      <c r="I711" s="210"/>
      <c r="J711" s="210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  <c r="AA711" s="210"/>
      <c r="AB711" s="210"/>
      <c r="AC711" s="210"/>
      <c r="AD711" s="210"/>
      <c r="AE711" s="210"/>
      <c r="AF711" s="210"/>
      <c r="AG711" s="210"/>
    </row>
    <row r="712" spans="1:33" ht="12.75" customHeight="1">
      <c r="A712" s="210"/>
      <c r="B712" s="210"/>
      <c r="C712" s="210"/>
      <c r="D712" s="210"/>
      <c r="E712" s="210"/>
      <c r="F712" s="210"/>
      <c r="G712" s="210"/>
      <c r="H712" s="210"/>
      <c r="I712" s="210"/>
      <c r="J712" s="210"/>
      <c r="K712" s="210"/>
      <c r="L712" s="210"/>
      <c r="M712" s="210"/>
      <c r="N712" s="210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  <c r="AA712" s="210"/>
      <c r="AB712" s="210"/>
      <c r="AC712" s="210"/>
      <c r="AD712" s="210"/>
      <c r="AE712" s="210"/>
      <c r="AF712" s="210"/>
      <c r="AG712" s="210"/>
    </row>
    <row r="713" spans="1:33" ht="12.75" customHeight="1">
      <c r="A713" s="210"/>
      <c r="B713" s="210"/>
      <c r="C713" s="210"/>
      <c r="D713" s="210"/>
      <c r="E713" s="210"/>
      <c r="F713" s="210"/>
      <c r="G713" s="210"/>
      <c r="H713" s="210"/>
      <c r="I713" s="210"/>
      <c r="J713" s="210"/>
      <c r="K713" s="210"/>
      <c r="L713" s="210"/>
      <c r="M713" s="210"/>
      <c r="N713" s="210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  <c r="AA713" s="210"/>
      <c r="AB713" s="210"/>
      <c r="AC713" s="210"/>
      <c r="AD713" s="210"/>
      <c r="AE713" s="210"/>
      <c r="AF713" s="210"/>
      <c r="AG713" s="210"/>
    </row>
    <row r="714" spans="1:33" ht="12.75" customHeight="1">
      <c r="A714" s="210"/>
      <c r="B714" s="210"/>
      <c r="C714" s="210"/>
      <c r="D714" s="210"/>
      <c r="E714" s="210"/>
      <c r="F714" s="210"/>
      <c r="G714" s="210"/>
      <c r="H714" s="210"/>
      <c r="I714" s="210"/>
      <c r="J714" s="210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  <c r="AA714" s="210"/>
      <c r="AB714" s="210"/>
      <c r="AC714" s="210"/>
      <c r="AD714" s="210"/>
      <c r="AE714" s="210"/>
      <c r="AF714" s="210"/>
      <c r="AG714" s="210"/>
    </row>
    <row r="715" spans="1:33" ht="12.75" customHeight="1">
      <c r="A715" s="210"/>
      <c r="B715" s="210"/>
      <c r="C715" s="210"/>
      <c r="D715" s="210"/>
      <c r="E715" s="210"/>
      <c r="F715" s="210"/>
      <c r="G715" s="210"/>
      <c r="H715" s="210"/>
      <c r="I715" s="210"/>
      <c r="J715" s="210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  <c r="AA715" s="210"/>
      <c r="AB715" s="210"/>
      <c r="AC715" s="210"/>
      <c r="AD715" s="210"/>
      <c r="AE715" s="210"/>
      <c r="AF715" s="210"/>
      <c r="AG715" s="210"/>
    </row>
    <row r="716" spans="1:33" ht="12.75" customHeight="1">
      <c r="A716" s="210"/>
      <c r="B716" s="210"/>
      <c r="C716" s="210"/>
      <c r="D716" s="210"/>
      <c r="E716" s="210"/>
      <c r="F716" s="210"/>
      <c r="G716" s="210"/>
      <c r="H716" s="210"/>
      <c r="I716" s="210"/>
      <c r="J716" s="210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  <c r="AA716" s="210"/>
      <c r="AB716" s="210"/>
      <c r="AC716" s="210"/>
      <c r="AD716" s="210"/>
      <c r="AE716" s="210"/>
      <c r="AF716" s="210"/>
      <c r="AG716" s="210"/>
    </row>
    <row r="717" spans="1:33" ht="12.75" customHeight="1">
      <c r="A717" s="210"/>
      <c r="B717" s="210"/>
      <c r="C717" s="210"/>
      <c r="D717" s="210"/>
      <c r="E717" s="210"/>
      <c r="F717" s="210"/>
      <c r="G717" s="210"/>
      <c r="H717" s="210"/>
      <c r="I717" s="210"/>
      <c r="J717" s="210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  <c r="AA717" s="210"/>
      <c r="AB717" s="210"/>
      <c r="AC717" s="210"/>
      <c r="AD717" s="210"/>
      <c r="AE717" s="210"/>
      <c r="AF717" s="210"/>
      <c r="AG717" s="210"/>
    </row>
    <row r="718" spans="1:33" ht="12.75" customHeight="1">
      <c r="A718" s="210"/>
      <c r="B718" s="210"/>
      <c r="C718" s="210"/>
      <c r="D718" s="210"/>
      <c r="E718" s="210"/>
      <c r="F718" s="210"/>
      <c r="G718" s="210"/>
      <c r="H718" s="210"/>
      <c r="I718" s="210"/>
      <c r="J718" s="210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  <c r="AA718" s="210"/>
      <c r="AB718" s="210"/>
      <c r="AC718" s="210"/>
      <c r="AD718" s="210"/>
      <c r="AE718" s="210"/>
      <c r="AF718" s="210"/>
      <c r="AG718" s="210"/>
    </row>
    <row r="719" spans="1:33" ht="12.75" customHeight="1">
      <c r="A719" s="210"/>
      <c r="B719" s="210"/>
      <c r="C719" s="210"/>
      <c r="D719" s="210"/>
      <c r="E719" s="210"/>
      <c r="F719" s="210"/>
      <c r="G719" s="210"/>
      <c r="H719" s="210"/>
      <c r="I719" s="210"/>
      <c r="J719" s="210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  <c r="AA719" s="210"/>
      <c r="AB719" s="210"/>
      <c r="AC719" s="210"/>
      <c r="AD719" s="210"/>
      <c r="AE719" s="210"/>
      <c r="AF719" s="210"/>
      <c r="AG719" s="210"/>
    </row>
    <row r="720" spans="1:33" ht="12.75" customHeight="1">
      <c r="A720" s="210"/>
      <c r="B720" s="210"/>
      <c r="C720" s="210"/>
      <c r="D720" s="210"/>
      <c r="E720" s="210"/>
      <c r="F720" s="210"/>
      <c r="G720" s="210"/>
      <c r="H720" s="210"/>
      <c r="I720" s="210"/>
      <c r="J720" s="210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  <c r="AA720" s="210"/>
      <c r="AB720" s="210"/>
      <c r="AC720" s="210"/>
      <c r="AD720" s="210"/>
      <c r="AE720" s="210"/>
      <c r="AF720" s="210"/>
      <c r="AG720" s="210"/>
    </row>
    <row r="721" spans="1:33" ht="12.75" customHeight="1">
      <c r="A721" s="210"/>
      <c r="B721" s="210"/>
      <c r="C721" s="210"/>
      <c r="D721" s="210"/>
      <c r="E721" s="210"/>
      <c r="F721" s="210"/>
      <c r="G721" s="210"/>
      <c r="H721" s="210"/>
      <c r="I721" s="210"/>
      <c r="J721" s="210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  <c r="AA721" s="210"/>
      <c r="AB721" s="210"/>
      <c r="AC721" s="210"/>
      <c r="AD721" s="210"/>
      <c r="AE721" s="210"/>
      <c r="AF721" s="210"/>
      <c r="AG721" s="210"/>
    </row>
    <row r="722" spans="1:33" ht="12.75" customHeight="1">
      <c r="A722" s="210"/>
      <c r="B722" s="210"/>
      <c r="C722" s="210"/>
      <c r="D722" s="210"/>
      <c r="E722" s="210"/>
      <c r="F722" s="210"/>
      <c r="G722" s="210"/>
      <c r="H722" s="210"/>
      <c r="I722" s="210"/>
      <c r="J722" s="210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  <c r="AA722" s="210"/>
      <c r="AB722" s="210"/>
      <c r="AC722" s="210"/>
      <c r="AD722" s="210"/>
      <c r="AE722" s="210"/>
      <c r="AF722" s="210"/>
      <c r="AG722" s="210"/>
    </row>
    <row r="723" spans="1:33" ht="12.75" customHeight="1">
      <c r="A723" s="210"/>
      <c r="B723" s="210"/>
      <c r="C723" s="210"/>
      <c r="D723" s="210"/>
      <c r="E723" s="210"/>
      <c r="F723" s="210"/>
      <c r="G723" s="210"/>
      <c r="H723" s="210"/>
      <c r="I723" s="210"/>
      <c r="J723" s="210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  <c r="AA723" s="210"/>
      <c r="AB723" s="210"/>
      <c r="AC723" s="210"/>
      <c r="AD723" s="210"/>
      <c r="AE723" s="210"/>
      <c r="AF723" s="210"/>
      <c r="AG723" s="210"/>
    </row>
    <row r="724" spans="1:33" ht="12.75" customHeight="1">
      <c r="A724" s="210"/>
      <c r="B724" s="210"/>
      <c r="C724" s="210"/>
      <c r="D724" s="210"/>
      <c r="E724" s="210"/>
      <c r="F724" s="210"/>
      <c r="G724" s="210"/>
      <c r="H724" s="210"/>
      <c r="I724" s="210"/>
      <c r="J724" s="210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  <c r="AA724" s="210"/>
      <c r="AB724" s="210"/>
      <c r="AC724" s="210"/>
      <c r="AD724" s="210"/>
      <c r="AE724" s="210"/>
      <c r="AF724" s="210"/>
      <c r="AG724" s="210"/>
    </row>
    <row r="725" spans="1:33" ht="12.75" customHeight="1">
      <c r="A725" s="210"/>
      <c r="B725" s="210"/>
      <c r="C725" s="210"/>
      <c r="D725" s="210"/>
      <c r="E725" s="210"/>
      <c r="F725" s="210"/>
      <c r="G725" s="210"/>
      <c r="H725" s="210"/>
      <c r="I725" s="210"/>
      <c r="J725" s="210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  <c r="AA725" s="210"/>
      <c r="AB725" s="210"/>
      <c r="AC725" s="210"/>
      <c r="AD725" s="210"/>
      <c r="AE725" s="210"/>
      <c r="AF725" s="210"/>
      <c r="AG725" s="210"/>
    </row>
    <row r="726" spans="1:33" ht="12.75" customHeight="1">
      <c r="A726" s="210"/>
      <c r="B726" s="210"/>
      <c r="C726" s="210"/>
      <c r="D726" s="210"/>
      <c r="E726" s="210"/>
      <c r="F726" s="210"/>
      <c r="G726" s="210"/>
      <c r="H726" s="210"/>
      <c r="I726" s="210"/>
      <c r="J726" s="210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  <c r="AA726" s="210"/>
      <c r="AB726" s="210"/>
      <c r="AC726" s="210"/>
      <c r="AD726" s="210"/>
      <c r="AE726" s="210"/>
      <c r="AF726" s="210"/>
      <c r="AG726" s="210"/>
    </row>
    <row r="727" spans="1:33" ht="12.75" customHeight="1">
      <c r="A727" s="210"/>
      <c r="B727" s="210"/>
      <c r="C727" s="210"/>
      <c r="D727" s="210"/>
      <c r="E727" s="210"/>
      <c r="F727" s="210"/>
      <c r="G727" s="210"/>
      <c r="H727" s="210"/>
      <c r="I727" s="210"/>
      <c r="J727" s="210"/>
      <c r="K727" s="210"/>
      <c r="L727" s="210"/>
      <c r="M727" s="210"/>
      <c r="N727" s="210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  <c r="AA727" s="210"/>
      <c r="AB727" s="210"/>
      <c r="AC727" s="210"/>
      <c r="AD727" s="210"/>
      <c r="AE727" s="210"/>
      <c r="AF727" s="210"/>
      <c r="AG727" s="210"/>
    </row>
    <row r="728" spans="1:33" ht="12.75" customHeight="1">
      <c r="A728" s="210"/>
      <c r="B728" s="210"/>
      <c r="C728" s="210"/>
      <c r="D728" s="210"/>
      <c r="E728" s="210"/>
      <c r="F728" s="210"/>
      <c r="G728" s="210"/>
      <c r="H728" s="210"/>
      <c r="I728" s="210"/>
      <c r="J728" s="210"/>
      <c r="K728" s="210"/>
      <c r="L728" s="210"/>
      <c r="M728" s="210"/>
      <c r="N728" s="210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  <c r="AA728" s="210"/>
      <c r="AB728" s="210"/>
      <c r="AC728" s="210"/>
      <c r="AD728" s="210"/>
      <c r="AE728" s="210"/>
      <c r="AF728" s="210"/>
      <c r="AG728" s="210"/>
    </row>
    <row r="729" spans="1:33" ht="12.75" customHeight="1">
      <c r="A729" s="210"/>
      <c r="B729" s="210"/>
      <c r="C729" s="210"/>
      <c r="D729" s="210"/>
      <c r="E729" s="210"/>
      <c r="F729" s="210"/>
      <c r="G729" s="210"/>
      <c r="H729" s="210"/>
      <c r="I729" s="210"/>
      <c r="J729" s="210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  <c r="AA729" s="210"/>
      <c r="AB729" s="210"/>
      <c r="AC729" s="210"/>
      <c r="AD729" s="210"/>
      <c r="AE729" s="210"/>
      <c r="AF729" s="210"/>
      <c r="AG729" s="210"/>
    </row>
    <row r="730" spans="1:33" ht="12.75" customHeight="1">
      <c r="A730" s="210"/>
      <c r="B730" s="210"/>
      <c r="C730" s="210"/>
      <c r="D730" s="210"/>
      <c r="E730" s="210"/>
      <c r="F730" s="210"/>
      <c r="G730" s="210"/>
      <c r="H730" s="210"/>
      <c r="I730" s="210"/>
      <c r="J730" s="210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  <c r="AA730" s="210"/>
      <c r="AB730" s="210"/>
      <c r="AC730" s="210"/>
      <c r="AD730" s="210"/>
      <c r="AE730" s="210"/>
      <c r="AF730" s="210"/>
      <c r="AG730" s="210"/>
    </row>
    <row r="731" spans="1:33" ht="12.75" customHeight="1">
      <c r="A731" s="210"/>
      <c r="B731" s="210"/>
      <c r="C731" s="210"/>
      <c r="D731" s="210"/>
      <c r="E731" s="210"/>
      <c r="F731" s="210"/>
      <c r="G731" s="210"/>
      <c r="H731" s="210"/>
      <c r="I731" s="210"/>
      <c r="J731" s="210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  <c r="AA731" s="210"/>
      <c r="AB731" s="210"/>
      <c r="AC731" s="210"/>
      <c r="AD731" s="210"/>
      <c r="AE731" s="210"/>
      <c r="AF731" s="210"/>
      <c r="AG731" s="210"/>
    </row>
    <row r="732" spans="1:33" ht="12.75" customHeight="1">
      <c r="A732" s="210"/>
      <c r="B732" s="210"/>
      <c r="C732" s="210"/>
      <c r="D732" s="210"/>
      <c r="E732" s="210"/>
      <c r="F732" s="210"/>
      <c r="G732" s="210"/>
      <c r="H732" s="210"/>
      <c r="I732" s="210"/>
      <c r="J732" s="210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  <c r="AA732" s="210"/>
      <c r="AB732" s="210"/>
      <c r="AC732" s="210"/>
      <c r="AD732" s="210"/>
      <c r="AE732" s="210"/>
      <c r="AF732" s="210"/>
      <c r="AG732" s="210"/>
    </row>
    <row r="733" spans="1:33" ht="12.75" customHeight="1">
      <c r="A733" s="210"/>
      <c r="B733" s="210"/>
      <c r="C733" s="210"/>
      <c r="D733" s="210"/>
      <c r="E733" s="210"/>
      <c r="F733" s="210"/>
      <c r="G733" s="210"/>
      <c r="H733" s="210"/>
      <c r="I733" s="210"/>
      <c r="J733" s="210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  <c r="AA733" s="210"/>
      <c r="AB733" s="210"/>
      <c r="AC733" s="210"/>
      <c r="AD733" s="210"/>
      <c r="AE733" s="210"/>
      <c r="AF733" s="210"/>
      <c r="AG733" s="210"/>
    </row>
    <row r="734" spans="1:33" ht="12.75" customHeight="1">
      <c r="A734" s="210"/>
      <c r="B734" s="210"/>
      <c r="C734" s="210"/>
      <c r="D734" s="210"/>
      <c r="E734" s="210"/>
      <c r="F734" s="210"/>
      <c r="G734" s="210"/>
      <c r="H734" s="210"/>
      <c r="I734" s="210"/>
      <c r="J734" s="210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  <c r="AA734" s="210"/>
      <c r="AB734" s="210"/>
      <c r="AC734" s="210"/>
      <c r="AD734" s="210"/>
      <c r="AE734" s="210"/>
      <c r="AF734" s="210"/>
      <c r="AG734" s="210"/>
    </row>
    <row r="735" spans="1:33" ht="12.75" customHeight="1">
      <c r="A735" s="210"/>
      <c r="B735" s="210"/>
      <c r="C735" s="210"/>
      <c r="D735" s="210"/>
      <c r="E735" s="210"/>
      <c r="F735" s="210"/>
      <c r="G735" s="210"/>
      <c r="H735" s="210"/>
      <c r="I735" s="210"/>
      <c r="J735" s="210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  <c r="AA735" s="210"/>
      <c r="AB735" s="210"/>
      <c r="AC735" s="210"/>
      <c r="AD735" s="210"/>
      <c r="AE735" s="210"/>
      <c r="AF735" s="210"/>
      <c r="AG735" s="210"/>
    </row>
    <row r="736" spans="1:33" ht="12.75" customHeight="1">
      <c r="A736" s="210"/>
      <c r="B736" s="210"/>
      <c r="C736" s="210"/>
      <c r="D736" s="210"/>
      <c r="E736" s="210"/>
      <c r="F736" s="210"/>
      <c r="G736" s="210"/>
      <c r="H736" s="210"/>
      <c r="I736" s="210"/>
      <c r="J736" s="210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  <c r="AA736" s="210"/>
      <c r="AB736" s="210"/>
      <c r="AC736" s="210"/>
      <c r="AD736" s="210"/>
      <c r="AE736" s="210"/>
      <c r="AF736" s="210"/>
      <c r="AG736" s="210"/>
    </row>
    <row r="737" spans="1:33" ht="12.75" customHeight="1">
      <c r="A737" s="210"/>
      <c r="B737" s="210"/>
      <c r="C737" s="210"/>
      <c r="D737" s="210"/>
      <c r="E737" s="210"/>
      <c r="F737" s="210"/>
      <c r="G737" s="210"/>
      <c r="H737" s="210"/>
      <c r="I737" s="210"/>
      <c r="J737" s="210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  <c r="AA737" s="210"/>
      <c r="AB737" s="210"/>
      <c r="AC737" s="210"/>
      <c r="AD737" s="210"/>
      <c r="AE737" s="210"/>
      <c r="AF737" s="210"/>
      <c r="AG737" s="210"/>
    </row>
    <row r="738" spans="1:33" ht="12.75" customHeight="1">
      <c r="A738" s="210"/>
      <c r="B738" s="210"/>
      <c r="C738" s="210"/>
      <c r="D738" s="210"/>
      <c r="E738" s="210"/>
      <c r="F738" s="210"/>
      <c r="G738" s="210"/>
      <c r="H738" s="210"/>
      <c r="I738" s="210"/>
      <c r="J738" s="210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  <c r="AA738" s="210"/>
      <c r="AB738" s="210"/>
      <c r="AC738" s="210"/>
      <c r="AD738" s="210"/>
      <c r="AE738" s="210"/>
      <c r="AF738" s="210"/>
      <c r="AG738" s="210"/>
    </row>
    <row r="739" spans="1:33" ht="12.75" customHeight="1">
      <c r="A739" s="210"/>
      <c r="B739" s="210"/>
      <c r="C739" s="210"/>
      <c r="D739" s="210"/>
      <c r="E739" s="210"/>
      <c r="F739" s="210"/>
      <c r="G739" s="210"/>
      <c r="H739" s="210"/>
      <c r="I739" s="210"/>
      <c r="J739" s="210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  <c r="AA739" s="210"/>
      <c r="AB739" s="210"/>
      <c r="AC739" s="210"/>
      <c r="AD739" s="210"/>
      <c r="AE739" s="210"/>
      <c r="AF739" s="210"/>
      <c r="AG739" s="210"/>
    </row>
    <row r="740" spans="1:33" ht="12.75" customHeight="1">
      <c r="A740" s="210"/>
      <c r="B740" s="210"/>
      <c r="C740" s="210"/>
      <c r="D740" s="210"/>
      <c r="E740" s="210"/>
      <c r="F740" s="210"/>
      <c r="G740" s="210"/>
      <c r="H740" s="210"/>
      <c r="I740" s="210"/>
      <c r="J740" s="210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  <c r="AA740" s="210"/>
      <c r="AB740" s="210"/>
      <c r="AC740" s="210"/>
      <c r="AD740" s="210"/>
      <c r="AE740" s="210"/>
      <c r="AF740" s="210"/>
      <c r="AG740" s="210"/>
    </row>
    <row r="741" spans="1:33" ht="12.75" customHeight="1">
      <c r="A741" s="210"/>
      <c r="B741" s="210"/>
      <c r="C741" s="210"/>
      <c r="D741" s="210"/>
      <c r="E741" s="210"/>
      <c r="F741" s="210"/>
      <c r="G741" s="210"/>
      <c r="H741" s="210"/>
      <c r="I741" s="210"/>
      <c r="J741" s="210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  <c r="AA741" s="210"/>
      <c r="AB741" s="210"/>
      <c r="AC741" s="210"/>
      <c r="AD741" s="210"/>
      <c r="AE741" s="210"/>
      <c r="AF741" s="210"/>
      <c r="AG741" s="210"/>
    </row>
    <row r="742" spans="1:33" ht="12.75" customHeight="1">
      <c r="A742" s="210"/>
      <c r="B742" s="210"/>
      <c r="C742" s="210"/>
      <c r="D742" s="210"/>
      <c r="E742" s="210"/>
      <c r="F742" s="210"/>
      <c r="G742" s="210"/>
      <c r="H742" s="210"/>
      <c r="I742" s="210"/>
      <c r="J742" s="210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  <c r="AA742" s="210"/>
      <c r="AB742" s="210"/>
      <c r="AC742" s="210"/>
      <c r="AD742" s="210"/>
      <c r="AE742" s="210"/>
      <c r="AF742" s="210"/>
      <c r="AG742" s="210"/>
    </row>
    <row r="743" spans="1:33" ht="12.75" customHeight="1">
      <c r="A743" s="210"/>
      <c r="B743" s="210"/>
      <c r="C743" s="210"/>
      <c r="D743" s="210"/>
      <c r="E743" s="210"/>
      <c r="F743" s="210"/>
      <c r="G743" s="210"/>
      <c r="H743" s="210"/>
      <c r="I743" s="210"/>
      <c r="J743" s="210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  <c r="AA743" s="210"/>
      <c r="AB743" s="210"/>
      <c r="AC743" s="210"/>
      <c r="AD743" s="210"/>
      <c r="AE743" s="210"/>
      <c r="AF743" s="210"/>
      <c r="AG743" s="210"/>
    </row>
    <row r="744" spans="1:33" ht="12.75" customHeight="1">
      <c r="A744" s="210"/>
      <c r="B744" s="210"/>
      <c r="C744" s="210"/>
      <c r="D744" s="210"/>
      <c r="E744" s="210"/>
      <c r="F744" s="210"/>
      <c r="G744" s="210"/>
      <c r="H744" s="210"/>
      <c r="I744" s="210"/>
      <c r="J744" s="210"/>
      <c r="K744" s="210"/>
      <c r="L744" s="210"/>
      <c r="M744" s="210"/>
      <c r="N744" s="210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  <c r="AA744" s="210"/>
      <c r="AB744" s="210"/>
      <c r="AC744" s="210"/>
      <c r="AD744" s="210"/>
      <c r="AE744" s="210"/>
      <c r="AF744" s="210"/>
      <c r="AG744" s="210"/>
    </row>
    <row r="745" spans="1:33" ht="12.75" customHeight="1">
      <c r="A745" s="210"/>
      <c r="B745" s="210"/>
      <c r="C745" s="210"/>
      <c r="D745" s="210"/>
      <c r="E745" s="210"/>
      <c r="F745" s="210"/>
      <c r="G745" s="210"/>
      <c r="H745" s="210"/>
      <c r="I745" s="210"/>
      <c r="J745" s="210"/>
      <c r="K745" s="210"/>
      <c r="L745" s="210"/>
      <c r="M745" s="210"/>
      <c r="N745" s="210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  <c r="AA745" s="210"/>
      <c r="AB745" s="210"/>
      <c r="AC745" s="210"/>
      <c r="AD745" s="210"/>
      <c r="AE745" s="210"/>
      <c r="AF745" s="210"/>
      <c r="AG745" s="210"/>
    </row>
    <row r="746" spans="1:33" ht="12.75" customHeight="1">
      <c r="A746" s="210"/>
      <c r="B746" s="210"/>
      <c r="C746" s="210"/>
      <c r="D746" s="210"/>
      <c r="E746" s="210"/>
      <c r="F746" s="210"/>
      <c r="G746" s="210"/>
      <c r="H746" s="210"/>
      <c r="I746" s="210"/>
      <c r="J746" s="210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  <c r="AA746" s="210"/>
      <c r="AB746" s="210"/>
      <c r="AC746" s="210"/>
      <c r="AD746" s="210"/>
      <c r="AE746" s="210"/>
      <c r="AF746" s="210"/>
      <c r="AG746" s="210"/>
    </row>
    <row r="747" spans="1:33" ht="12.75" customHeight="1">
      <c r="A747" s="210"/>
      <c r="B747" s="210"/>
      <c r="C747" s="210"/>
      <c r="D747" s="210"/>
      <c r="E747" s="210"/>
      <c r="F747" s="210"/>
      <c r="G747" s="210"/>
      <c r="H747" s="210"/>
      <c r="I747" s="210"/>
      <c r="J747" s="210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  <c r="AA747" s="210"/>
      <c r="AB747" s="210"/>
      <c r="AC747" s="210"/>
      <c r="AD747" s="210"/>
      <c r="AE747" s="210"/>
      <c r="AF747" s="210"/>
      <c r="AG747" s="210"/>
    </row>
    <row r="748" spans="1:33" ht="12.75" customHeight="1">
      <c r="A748" s="210"/>
      <c r="B748" s="210"/>
      <c r="C748" s="210"/>
      <c r="D748" s="210"/>
      <c r="E748" s="210"/>
      <c r="F748" s="210"/>
      <c r="G748" s="210"/>
      <c r="H748" s="210"/>
      <c r="I748" s="210"/>
      <c r="J748" s="210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  <c r="AA748" s="210"/>
      <c r="AB748" s="210"/>
      <c r="AC748" s="210"/>
      <c r="AD748" s="210"/>
      <c r="AE748" s="210"/>
      <c r="AF748" s="210"/>
      <c r="AG748" s="210"/>
    </row>
    <row r="749" spans="1:33" ht="12.75" customHeight="1">
      <c r="A749" s="210"/>
      <c r="B749" s="210"/>
      <c r="C749" s="210"/>
      <c r="D749" s="210"/>
      <c r="E749" s="210"/>
      <c r="F749" s="210"/>
      <c r="G749" s="210"/>
      <c r="H749" s="210"/>
      <c r="I749" s="210"/>
      <c r="J749" s="210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  <c r="AA749" s="210"/>
      <c r="AB749" s="210"/>
      <c r="AC749" s="210"/>
      <c r="AD749" s="210"/>
      <c r="AE749" s="210"/>
      <c r="AF749" s="210"/>
      <c r="AG749" s="210"/>
    </row>
    <row r="750" spans="1:33" ht="12.75" customHeight="1">
      <c r="A750" s="210"/>
      <c r="B750" s="210"/>
      <c r="C750" s="210"/>
      <c r="D750" s="210"/>
      <c r="E750" s="210"/>
      <c r="F750" s="210"/>
      <c r="G750" s="210"/>
      <c r="H750" s="210"/>
      <c r="I750" s="210"/>
      <c r="J750" s="210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  <c r="AA750" s="210"/>
      <c r="AB750" s="210"/>
      <c r="AC750" s="210"/>
      <c r="AD750" s="210"/>
      <c r="AE750" s="210"/>
      <c r="AF750" s="210"/>
      <c r="AG750" s="210"/>
    </row>
    <row r="751" spans="1:33" ht="12.75" customHeight="1">
      <c r="A751" s="210"/>
      <c r="B751" s="210"/>
      <c r="C751" s="210"/>
      <c r="D751" s="210"/>
      <c r="E751" s="210"/>
      <c r="F751" s="210"/>
      <c r="G751" s="210"/>
      <c r="H751" s="210"/>
      <c r="I751" s="210"/>
      <c r="J751" s="210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  <c r="AA751" s="210"/>
      <c r="AB751" s="210"/>
      <c r="AC751" s="210"/>
      <c r="AD751" s="210"/>
      <c r="AE751" s="210"/>
      <c r="AF751" s="210"/>
      <c r="AG751" s="210"/>
    </row>
    <row r="752" spans="1:33" ht="12.75" customHeight="1">
      <c r="A752" s="210"/>
      <c r="B752" s="210"/>
      <c r="C752" s="210"/>
      <c r="D752" s="210"/>
      <c r="E752" s="210"/>
      <c r="F752" s="210"/>
      <c r="G752" s="210"/>
      <c r="H752" s="210"/>
      <c r="I752" s="210"/>
      <c r="J752" s="210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  <c r="AA752" s="210"/>
      <c r="AB752" s="210"/>
      <c r="AC752" s="210"/>
      <c r="AD752" s="210"/>
      <c r="AE752" s="210"/>
      <c r="AF752" s="210"/>
      <c r="AG752" s="210"/>
    </row>
    <row r="753" spans="1:33" ht="12.75" customHeight="1">
      <c r="A753" s="210"/>
      <c r="B753" s="210"/>
      <c r="C753" s="210"/>
      <c r="D753" s="210"/>
      <c r="E753" s="210"/>
      <c r="F753" s="210"/>
      <c r="G753" s="210"/>
      <c r="H753" s="210"/>
      <c r="I753" s="210"/>
      <c r="J753" s="210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  <c r="AA753" s="210"/>
      <c r="AB753" s="210"/>
      <c r="AC753" s="210"/>
      <c r="AD753" s="210"/>
      <c r="AE753" s="210"/>
      <c r="AF753" s="210"/>
      <c r="AG753" s="210"/>
    </row>
    <row r="754" spans="1:33" ht="12.75" customHeight="1">
      <c r="A754" s="210"/>
      <c r="B754" s="210"/>
      <c r="C754" s="210"/>
      <c r="D754" s="210"/>
      <c r="E754" s="210"/>
      <c r="F754" s="210"/>
      <c r="G754" s="210"/>
      <c r="H754" s="210"/>
      <c r="I754" s="210"/>
      <c r="J754" s="210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  <c r="AA754" s="210"/>
      <c r="AB754" s="210"/>
      <c r="AC754" s="210"/>
      <c r="AD754" s="210"/>
      <c r="AE754" s="210"/>
      <c r="AF754" s="210"/>
      <c r="AG754" s="210"/>
    </row>
    <row r="755" spans="1:33" ht="12.75" customHeight="1">
      <c r="A755" s="210"/>
      <c r="B755" s="210"/>
      <c r="C755" s="210"/>
      <c r="D755" s="210"/>
      <c r="E755" s="210"/>
      <c r="F755" s="210"/>
      <c r="G755" s="210"/>
      <c r="H755" s="210"/>
      <c r="I755" s="210"/>
      <c r="J755" s="210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  <c r="AA755" s="210"/>
      <c r="AB755" s="210"/>
      <c r="AC755" s="210"/>
      <c r="AD755" s="210"/>
      <c r="AE755" s="210"/>
      <c r="AF755" s="210"/>
      <c r="AG755" s="210"/>
    </row>
    <row r="756" spans="1:33" ht="12.75" customHeight="1">
      <c r="A756" s="210"/>
      <c r="B756" s="210"/>
      <c r="C756" s="210"/>
      <c r="D756" s="210"/>
      <c r="E756" s="210"/>
      <c r="F756" s="210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  <c r="AA756" s="210"/>
      <c r="AB756" s="210"/>
      <c r="AC756" s="210"/>
      <c r="AD756" s="210"/>
      <c r="AE756" s="210"/>
      <c r="AF756" s="210"/>
      <c r="AG756" s="210"/>
    </row>
    <row r="757" spans="1:33" ht="12.75" customHeight="1">
      <c r="A757" s="210"/>
      <c r="B757" s="210"/>
      <c r="C757" s="210"/>
      <c r="D757" s="210"/>
      <c r="E757" s="210"/>
      <c r="F757" s="210"/>
      <c r="G757" s="210"/>
      <c r="H757" s="210"/>
      <c r="I757" s="210"/>
      <c r="J757" s="210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  <c r="AA757" s="210"/>
      <c r="AB757" s="210"/>
      <c r="AC757" s="210"/>
      <c r="AD757" s="210"/>
      <c r="AE757" s="210"/>
      <c r="AF757" s="210"/>
      <c r="AG757" s="210"/>
    </row>
    <row r="758" spans="1:33" ht="12.75" customHeight="1">
      <c r="A758" s="210"/>
      <c r="B758" s="210"/>
      <c r="C758" s="210"/>
      <c r="D758" s="210"/>
      <c r="E758" s="210"/>
      <c r="F758" s="210"/>
      <c r="G758" s="210"/>
      <c r="H758" s="210"/>
      <c r="I758" s="210"/>
      <c r="J758" s="210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  <c r="AA758" s="210"/>
      <c r="AB758" s="210"/>
      <c r="AC758" s="210"/>
      <c r="AD758" s="210"/>
      <c r="AE758" s="210"/>
      <c r="AF758" s="210"/>
      <c r="AG758" s="210"/>
    </row>
    <row r="759" spans="1:33" ht="12.75" customHeight="1">
      <c r="A759" s="210"/>
      <c r="B759" s="210"/>
      <c r="C759" s="210"/>
      <c r="D759" s="210"/>
      <c r="E759" s="210"/>
      <c r="F759" s="210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  <c r="AA759" s="210"/>
      <c r="AB759" s="210"/>
      <c r="AC759" s="210"/>
      <c r="AD759" s="210"/>
      <c r="AE759" s="210"/>
      <c r="AF759" s="210"/>
      <c r="AG759" s="210"/>
    </row>
    <row r="760" spans="1:33" ht="12.75" customHeight="1">
      <c r="A760" s="210"/>
      <c r="B760" s="210"/>
      <c r="C760" s="210"/>
      <c r="D760" s="210"/>
      <c r="E760" s="210"/>
      <c r="F760" s="210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  <c r="AA760" s="210"/>
      <c r="AB760" s="210"/>
      <c r="AC760" s="210"/>
      <c r="AD760" s="210"/>
      <c r="AE760" s="210"/>
      <c r="AF760" s="210"/>
      <c r="AG760" s="210"/>
    </row>
    <row r="761" spans="1:33" ht="12.75" customHeight="1">
      <c r="A761" s="210"/>
      <c r="B761" s="210"/>
      <c r="C761" s="210"/>
      <c r="D761" s="210"/>
      <c r="E761" s="210"/>
      <c r="F761" s="210"/>
      <c r="G761" s="210"/>
      <c r="H761" s="210"/>
      <c r="I761" s="210"/>
      <c r="J761" s="210"/>
      <c r="K761" s="210"/>
      <c r="L761" s="210"/>
      <c r="M761" s="210"/>
      <c r="N761" s="210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  <c r="AA761" s="210"/>
      <c r="AB761" s="210"/>
      <c r="AC761" s="210"/>
      <c r="AD761" s="210"/>
      <c r="AE761" s="210"/>
      <c r="AF761" s="210"/>
      <c r="AG761" s="210"/>
    </row>
    <row r="762" spans="1:33" ht="12.75" customHeight="1">
      <c r="A762" s="210"/>
      <c r="B762" s="210"/>
      <c r="C762" s="210"/>
      <c r="D762" s="210"/>
      <c r="E762" s="210"/>
      <c r="F762" s="210"/>
      <c r="G762" s="210"/>
      <c r="H762" s="210"/>
      <c r="I762" s="210"/>
      <c r="J762" s="210"/>
      <c r="K762" s="210"/>
      <c r="L762" s="210"/>
      <c r="M762" s="210"/>
      <c r="N762" s="210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  <c r="AA762" s="210"/>
      <c r="AB762" s="210"/>
      <c r="AC762" s="210"/>
      <c r="AD762" s="210"/>
      <c r="AE762" s="210"/>
      <c r="AF762" s="210"/>
      <c r="AG762" s="210"/>
    </row>
    <row r="763" spans="1:33" ht="12.75" customHeight="1">
      <c r="A763" s="210"/>
      <c r="B763" s="210"/>
      <c r="C763" s="210"/>
      <c r="D763" s="210"/>
      <c r="E763" s="210"/>
      <c r="F763" s="210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  <c r="AA763" s="210"/>
      <c r="AB763" s="210"/>
      <c r="AC763" s="210"/>
      <c r="AD763" s="210"/>
      <c r="AE763" s="210"/>
      <c r="AF763" s="210"/>
      <c r="AG763" s="210"/>
    </row>
    <row r="764" spans="1:33" ht="12.75" customHeight="1">
      <c r="A764" s="210"/>
      <c r="B764" s="210"/>
      <c r="C764" s="210"/>
      <c r="D764" s="210"/>
      <c r="E764" s="210"/>
      <c r="F764" s="210"/>
      <c r="G764" s="210"/>
      <c r="H764" s="210"/>
      <c r="I764" s="210"/>
      <c r="J764" s="210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  <c r="AA764" s="210"/>
      <c r="AB764" s="210"/>
      <c r="AC764" s="210"/>
      <c r="AD764" s="210"/>
      <c r="AE764" s="210"/>
      <c r="AF764" s="210"/>
      <c r="AG764" s="210"/>
    </row>
    <row r="765" spans="1:33" ht="12.75" customHeight="1">
      <c r="A765" s="210"/>
      <c r="B765" s="210"/>
      <c r="C765" s="210"/>
      <c r="D765" s="210"/>
      <c r="E765" s="210"/>
      <c r="F765" s="210"/>
      <c r="G765" s="210"/>
      <c r="H765" s="210"/>
      <c r="I765" s="210"/>
      <c r="J765" s="210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  <c r="AA765" s="210"/>
      <c r="AB765" s="210"/>
      <c r="AC765" s="210"/>
      <c r="AD765" s="210"/>
      <c r="AE765" s="210"/>
      <c r="AF765" s="210"/>
      <c r="AG765" s="210"/>
    </row>
    <row r="766" spans="1:33" ht="12.75" customHeight="1">
      <c r="A766" s="210"/>
      <c r="B766" s="210"/>
      <c r="C766" s="210"/>
      <c r="D766" s="210"/>
      <c r="E766" s="210"/>
      <c r="F766" s="210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  <c r="AA766" s="210"/>
      <c r="AB766" s="210"/>
      <c r="AC766" s="210"/>
      <c r="AD766" s="210"/>
      <c r="AE766" s="210"/>
      <c r="AF766" s="210"/>
      <c r="AG766" s="210"/>
    </row>
    <row r="767" spans="1:33" ht="12.75" customHeight="1">
      <c r="A767" s="210"/>
      <c r="B767" s="210"/>
      <c r="C767" s="210"/>
      <c r="D767" s="210"/>
      <c r="E767" s="210"/>
      <c r="F767" s="210"/>
      <c r="G767" s="210"/>
      <c r="H767" s="210"/>
      <c r="I767" s="210"/>
      <c r="J767" s="210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  <c r="AA767" s="210"/>
      <c r="AB767" s="210"/>
      <c r="AC767" s="210"/>
      <c r="AD767" s="210"/>
      <c r="AE767" s="210"/>
      <c r="AF767" s="210"/>
      <c r="AG767" s="210"/>
    </row>
    <row r="768" spans="1:33" ht="12.75" customHeight="1">
      <c r="A768" s="210"/>
      <c r="B768" s="210"/>
      <c r="C768" s="210"/>
      <c r="D768" s="210"/>
      <c r="E768" s="210"/>
      <c r="F768" s="210"/>
      <c r="G768" s="210"/>
      <c r="H768" s="210"/>
      <c r="I768" s="210"/>
      <c r="J768" s="210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  <c r="AA768" s="210"/>
      <c r="AB768" s="210"/>
      <c r="AC768" s="210"/>
      <c r="AD768" s="210"/>
      <c r="AE768" s="210"/>
      <c r="AF768" s="210"/>
      <c r="AG768" s="210"/>
    </row>
    <row r="769" spans="1:33" ht="12.75" customHeight="1">
      <c r="A769" s="210"/>
      <c r="B769" s="210"/>
      <c r="C769" s="210"/>
      <c r="D769" s="210"/>
      <c r="E769" s="210"/>
      <c r="F769" s="210"/>
      <c r="G769" s="210"/>
      <c r="H769" s="210"/>
      <c r="I769" s="210"/>
      <c r="J769" s="210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  <c r="AA769" s="210"/>
      <c r="AB769" s="210"/>
      <c r="AC769" s="210"/>
      <c r="AD769" s="210"/>
      <c r="AE769" s="210"/>
      <c r="AF769" s="210"/>
      <c r="AG769" s="210"/>
    </row>
    <row r="770" spans="1:33" ht="12.75" customHeight="1">
      <c r="A770" s="210"/>
      <c r="B770" s="210"/>
      <c r="C770" s="210"/>
      <c r="D770" s="210"/>
      <c r="E770" s="210"/>
      <c r="F770" s="210"/>
      <c r="G770" s="210"/>
      <c r="H770" s="210"/>
      <c r="I770" s="210"/>
      <c r="J770" s="210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  <c r="AA770" s="210"/>
      <c r="AB770" s="210"/>
      <c r="AC770" s="210"/>
      <c r="AD770" s="210"/>
      <c r="AE770" s="210"/>
      <c r="AF770" s="210"/>
      <c r="AG770" s="210"/>
    </row>
    <row r="771" spans="1:33" ht="12.75" customHeight="1">
      <c r="A771" s="210"/>
      <c r="B771" s="210"/>
      <c r="C771" s="210"/>
      <c r="D771" s="210"/>
      <c r="E771" s="210"/>
      <c r="F771" s="210"/>
      <c r="G771" s="210"/>
      <c r="H771" s="210"/>
      <c r="I771" s="210"/>
      <c r="J771" s="210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  <c r="AA771" s="210"/>
      <c r="AB771" s="210"/>
      <c r="AC771" s="210"/>
      <c r="AD771" s="210"/>
      <c r="AE771" s="210"/>
      <c r="AF771" s="210"/>
      <c r="AG771" s="210"/>
    </row>
    <row r="772" spans="1:33" ht="12.75" customHeight="1">
      <c r="A772" s="210"/>
      <c r="B772" s="210"/>
      <c r="C772" s="210"/>
      <c r="D772" s="210"/>
      <c r="E772" s="210"/>
      <c r="F772" s="210"/>
      <c r="G772" s="210"/>
      <c r="H772" s="210"/>
      <c r="I772" s="210"/>
      <c r="J772" s="210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  <c r="AA772" s="210"/>
      <c r="AB772" s="210"/>
      <c r="AC772" s="210"/>
      <c r="AD772" s="210"/>
      <c r="AE772" s="210"/>
      <c r="AF772" s="210"/>
      <c r="AG772" s="210"/>
    </row>
    <row r="773" spans="1:33" ht="12.75" customHeight="1">
      <c r="A773" s="210"/>
      <c r="B773" s="210"/>
      <c r="C773" s="210"/>
      <c r="D773" s="210"/>
      <c r="E773" s="210"/>
      <c r="F773" s="210"/>
      <c r="G773" s="210"/>
      <c r="H773" s="210"/>
      <c r="I773" s="210"/>
      <c r="J773" s="210"/>
      <c r="K773" s="210"/>
      <c r="L773" s="210"/>
      <c r="M773" s="210"/>
      <c r="N773" s="210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  <c r="AA773" s="210"/>
      <c r="AB773" s="210"/>
      <c r="AC773" s="210"/>
      <c r="AD773" s="210"/>
      <c r="AE773" s="210"/>
      <c r="AF773" s="210"/>
      <c r="AG773" s="210"/>
    </row>
    <row r="774" spans="1:33" ht="12.75" customHeight="1">
      <c r="A774" s="210"/>
      <c r="B774" s="210"/>
      <c r="C774" s="210"/>
      <c r="D774" s="210"/>
      <c r="E774" s="210"/>
      <c r="F774" s="210"/>
      <c r="G774" s="210"/>
      <c r="H774" s="210"/>
      <c r="I774" s="210"/>
      <c r="J774" s="210"/>
      <c r="K774" s="210"/>
      <c r="L774" s="210"/>
      <c r="M774" s="210"/>
      <c r="N774" s="210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  <c r="AA774" s="210"/>
      <c r="AB774" s="210"/>
      <c r="AC774" s="210"/>
      <c r="AD774" s="210"/>
      <c r="AE774" s="210"/>
      <c r="AF774" s="210"/>
      <c r="AG774" s="210"/>
    </row>
    <row r="775" spans="1:33" ht="12.75" customHeight="1">
      <c r="A775" s="210"/>
      <c r="B775" s="210"/>
      <c r="C775" s="210"/>
      <c r="D775" s="210"/>
      <c r="E775" s="210"/>
      <c r="F775" s="210"/>
      <c r="G775" s="210"/>
      <c r="H775" s="210"/>
      <c r="I775" s="210"/>
      <c r="J775" s="210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  <c r="AA775" s="210"/>
      <c r="AB775" s="210"/>
      <c r="AC775" s="210"/>
      <c r="AD775" s="210"/>
      <c r="AE775" s="210"/>
      <c r="AF775" s="210"/>
      <c r="AG775" s="210"/>
    </row>
    <row r="776" spans="1:33" ht="12.75" customHeight="1">
      <c r="A776" s="210"/>
      <c r="B776" s="210"/>
      <c r="C776" s="210"/>
      <c r="D776" s="210"/>
      <c r="E776" s="210"/>
      <c r="F776" s="210"/>
      <c r="G776" s="210"/>
      <c r="H776" s="210"/>
      <c r="I776" s="210"/>
      <c r="J776" s="210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  <c r="AA776" s="210"/>
      <c r="AB776" s="210"/>
      <c r="AC776" s="210"/>
      <c r="AD776" s="210"/>
      <c r="AE776" s="210"/>
      <c r="AF776" s="210"/>
      <c r="AG776" s="210"/>
    </row>
    <row r="777" spans="1:33" ht="12.75" customHeight="1">
      <c r="A777" s="210"/>
      <c r="B777" s="210"/>
      <c r="C777" s="210"/>
      <c r="D777" s="210"/>
      <c r="E777" s="210"/>
      <c r="F777" s="210"/>
      <c r="G777" s="210"/>
      <c r="H777" s="210"/>
      <c r="I777" s="210"/>
      <c r="J777" s="210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  <c r="AA777" s="210"/>
      <c r="AB777" s="210"/>
      <c r="AC777" s="210"/>
      <c r="AD777" s="210"/>
      <c r="AE777" s="210"/>
      <c r="AF777" s="210"/>
      <c r="AG777" s="210"/>
    </row>
    <row r="778" spans="1:33" ht="12.75" customHeight="1">
      <c r="A778" s="210"/>
      <c r="B778" s="210"/>
      <c r="C778" s="210"/>
      <c r="D778" s="210"/>
      <c r="E778" s="210"/>
      <c r="F778" s="210"/>
      <c r="G778" s="210"/>
      <c r="H778" s="210"/>
      <c r="I778" s="210"/>
      <c r="J778" s="210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  <c r="AA778" s="210"/>
      <c r="AB778" s="210"/>
      <c r="AC778" s="210"/>
      <c r="AD778" s="210"/>
      <c r="AE778" s="210"/>
      <c r="AF778" s="210"/>
      <c r="AG778" s="210"/>
    </row>
    <row r="779" spans="1:33" ht="12.75" customHeight="1">
      <c r="A779" s="210"/>
      <c r="B779" s="210"/>
      <c r="C779" s="210"/>
      <c r="D779" s="210"/>
      <c r="E779" s="210"/>
      <c r="F779" s="210"/>
      <c r="G779" s="210"/>
      <c r="H779" s="210"/>
      <c r="I779" s="210"/>
      <c r="J779" s="210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  <c r="AA779" s="210"/>
      <c r="AB779" s="210"/>
      <c r="AC779" s="210"/>
      <c r="AD779" s="210"/>
      <c r="AE779" s="210"/>
      <c r="AF779" s="210"/>
      <c r="AG779" s="210"/>
    </row>
    <row r="780" spans="1:33" ht="12.75" customHeight="1">
      <c r="A780" s="210"/>
      <c r="B780" s="210"/>
      <c r="C780" s="210"/>
      <c r="D780" s="210"/>
      <c r="E780" s="210"/>
      <c r="F780" s="210"/>
      <c r="G780" s="210"/>
      <c r="H780" s="210"/>
      <c r="I780" s="210"/>
      <c r="J780" s="210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  <c r="AA780" s="210"/>
      <c r="AB780" s="210"/>
      <c r="AC780" s="210"/>
      <c r="AD780" s="210"/>
      <c r="AE780" s="210"/>
      <c r="AF780" s="210"/>
      <c r="AG780" s="210"/>
    </row>
    <row r="781" spans="1:33" ht="12.75" customHeight="1">
      <c r="A781" s="210"/>
      <c r="B781" s="210"/>
      <c r="C781" s="210"/>
      <c r="D781" s="210"/>
      <c r="E781" s="210"/>
      <c r="F781" s="210"/>
      <c r="G781" s="210"/>
      <c r="H781" s="210"/>
      <c r="I781" s="210"/>
      <c r="J781" s="210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  <c r="AA781" s="210"/>
      <c r="AB781" s="210"/>
      <c r="AC781" s="210"/>
      <c r="AD781" s="210"/>
      <c r="AE781" s="210"/>
      <c r="AF781" s="210"/>
      <c r="AG781" s="210"/>
    </row>
    <row r="782" spans="1:33" ht="12.75" customHeight="1">
      <c r="A782" s="210"/>
      <c r="B782" s="210"/>
      <c r="C782" s="210"/>
      <c r="D782" s="210"/>
      <c r="E782" s="210"/>
      <c r="F782" s="210"/>
      <c r="G782" s="210"/>
      <c r="H782" s="210"/>
      <c r="I782" s="210"/>
      <c r="J782" s="210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  <c r="AA782" s="210"/>
      <c r="AB782" s="210"/>
      <c r="AC782" s="210"/>
      <c r="AD782" s="210"/>
      <c r="AE782" s="210"/>
      <c r="AF782" s="210"/>
      <c r="AG782" s="210"/>
    </row>
    <row r="783" spans="1:33" ht="12.75" customHeight="1">
      <c r="A783" s="210"/>
      <c r="B783" s="210"/>
      <c r="C783" s="210"/>
      <c r="D783" s="210"/>
      <c r="E783" s="210"/>
      <c r="F783" s="210"/>
      <c r="G783" s="210"/>
      <c r="H783" s="210"/>
      <c r="I783" s="210"/>
      <c r="J783" s="210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  <c r="AA783" s="210"/>
      <c r="AB783" s="210"/>
      <c r="AC783" s="210"/>
      <c r="AD783" s="210"/>
      <c r="AE783" s="210"/>
      <c r="AF783" s="210"/>
      <c r="AG783" s="210"/>
    </row>
    <row r="784" spans="1:33" ht="12.75" customHeight="1">
      <c r="A784" s="210"/>
      <c r="B784" s="210"/>
      <c r="C784" s="210"/>
      <c r="D784" s="210"/>
      <c r="E784" s="210"/>
      <c r="F784" s="210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  <c r="AA784" s="210"/>
      <c r="AB784" s="210"/>
      <c r="AC784" s="210"/>
      <c r="AD784" s="210"/>
      <c r="AE784" s="210"/>
      <c r="AF784" s="210"/>
      <c r="AG784" s="210"/>
    </row>
    <row r="785" spans="1:33" ht="12.75" customHeight="1">
      <c r="A785" s="210"/>
      <c r="B785" s="210"/>
      <c r="C785" s="210"/>
      <c r="D785" s="210"/>
      <c r="E785" s="210"/>
      <c r="F785" s="210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  <c r="AA785" s="210"/>
      <c r="AB785" s="210"/>
      <c r="AC785" s="210"/>
      <c r="AD785" s="210"/>
      <c r="AE785" s="210"/>
      <c r="AF785" s="210"/>
      <c r="AG785" s="210"/>
    </row>
    <row r="786" spans="1:33" ht="12.75" customHeight="1">
      <c r="A786" s="210"/>
      <c r="B786" s="210"/>
      <c r="C786" s="210"/>
      <c r="D786" s="210"/>
      <c r="E786" s="210"/>
      <c r="F786" s="210"/>
      <c r="G786" s="210"/>
      <c r="H786" s="210"/>
      <c r="I786" s="210"/>
      <c r="J786" s="210"/>
      <c r="K786" s="210"/>
      <c r="L786" s="210"/>
      <c r="M786" s="210"/>
      <c r="N786" s="210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  <c r="AA786" s="210"/>
      <c r="AB786" s="210"/>
      <c r="AC786" s="210"/>
      <c r="AD786" s="210"/>
      <c r="AE786" s="210"/>
      <c r="AF786" s="210"/>
      <c r="AG786" s="210"/>
    </row>
    <row r="787" spans="1:33" ht="12.75" customHeight="1">
      <c r="A787" s="210"/>
      <c r="B787" s="210"/>
      <c r="C787" s="210"/>
      <c r="D787" s="210"/>
      <c r="E787" s="210"/>
      <c r="F787" s="210"/>
      <c r="G787" s="210"/>
      <c r="H787" s="210"/>
      <c r="I787" s="210"/>
      <c r="J787" s="210"/>
      <c r="K787" s="210"/>
      <c r="L787" s="210"/>
      <c r="M787" s="210"/>
      <c r="N787" s="210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  <c r="AA787" s="210"/>
      <c r="AB787" s="210"/>
      <c r="AC787" s="210"/>
      <c r="AD787" s="210"/>
      <c r="AE787" s="210"/>
      <c r="AF787" s="210"/>
      <c r="AG787" s="210"/>
    </row>
    <row r="788" spans="1:33" ht="12.75" customHeight="1">
      <c r="A788" s="210"/>
      <c r="B788" s="210"/>
      <c r="C788" s="210"/>
      <c r="D788" s="210"/>
      <c r="E788" s="210"/>
      <c r="F788" s="210"/>
      <c r="G788" s="210"/>
      <c r="H788" s="210"/>
      <c r="I788" s="210"/>
      <c r="J788" s="210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  <c r="AA788" s="210"/>
      <c r="AB788" s="210"/>
      <c r="AC788" s="210"/>
      <c r="AD788" s="210"/>
      <c r="AE788" s="210"/>
      <c r="AF788" s="210"/>
      <c r="AG788" s="210"/>
    </row>
    <row r="789" spans="1:33" ht="12.75" customHeight="1">
      <c r="A789" s="210"/>
      <c r="B789" s="210"/>
      <c r="C789" s="210"/>
      <c r="D789" s="210"/>
      <c r="E789" s="210"/>
      <c r="F789" s="210"/>
      <c r="G789" s="210"/>
      <c r="H789" s="210"/>
      <c r="I789" s="210"/>
      <c r="J789" s="210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  <c r="AA789" s="210"/>
      <c r="AB789" s="210"/>
      <c r="AC789" s="210"/>
      <c r="AD789" s="210"/>
      <c r="AE789" s="210"/>
      <c r="AF789" s="210"/>
      <c r="AG789" s="210"/>
    </row>
    <row r="790" spans="1:33" ht="12.75" customHeight="1">
      <c r="A790" s="210"/>
      <c r="B790" s="210"/>
      <c r="C790" s="210"/>
      <c r="D790" s="210"/>
      <c r="E790" s="210"/>
      <c r="F790" s="210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  <c r="AA790" s="210"/>
      <c r="AB790" s="210"/>
      <c r="AC790" s="210"/>
      <c r="AD790" s="210"/>
      <c r="AE790" s="210"/>
      <c r="AF790" s="210"/>
      <c r="AG790" s="210"/>
    </row>
    <row r="791" spans="1:33" ht="12.75" customHeight="1">
      <c r="A791" s="210"/>
      <c r="B791" s="210"/>
      <c r="C791" s="210"/>
      <c r="D791" s="210"/>
      <c r="E791" s="210"/>
      <c r="F791" s="210"/>
      <c r="G791" s="210"/>
      <c r="H791" s="210"/>
      <c r="I791" s="210"/>
      <c r="J791" s="210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  <c r="AA791" s="210"/>
      <c r="AB791" s="210"/>
      <c r="AC791" s="210"/>
      <c r="AD791" s="210"/>
      <c r="AE791" s="210"/>
      <c r="AF791" s="210"/>
      <c r="AG791" s="210"/>
    </row>
    <row r="792" spans="1:33" ht="12.75" customHeight="1">
      <c r="A792" s="210"/>
      <c r="B792" s="210"/>
      <c r="C792" s="210"/>
      <c r="D792" s="210"/>
      <c r="E792" s="210"/>
      <c r="F792" s="210"/>
      <c r="G792" s="210"/>
      <c r="H792" s="210"/>
      <c r="I792" s="210"/>
      <c r="J792" s="210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  <c r="AA792" s="210"/>
      <c r="AB792" s="210"/>
      <c r="AC792" s="210"/>
      <c r="AD792" s="210"/>
      <c r="AE792" s="210"/>
      <c r="AF792" s="210"/>
      <c r="AG792" s="210"/>
    </row>
    <row r="793" spans="1:33" ht="12.75" customHeight="1">
      <c r="A793" s="210"/>
      <c r="B793" s="210"/>
      <c r="C793" s="210"/>
      <c r="D793" s="210"/>
      <c r="E793" s="210"/>
      <c r="F793" s="210"/>
      <c r="G793" s="210"/>
      <c r="H793" s="210"/>
      <c r="I793" s="210"/>
      <c r="J793" s="210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  <c r="AA793" s="210"/>
      <c r="AB793" s="210"/>
      <c r="AC793" s="210"/>
      <c r="AD793" s="210"/>
      <c r="AE793" s="210"/>
      <c r="AF793" s="210"/>
      <c r="AG793" s="210"/>
    </row>
    <row r="794" spans="1:33" ht="12.75" customHeight="1">
      <c r="A794" s="210"/>
      <c r="B794" s="210"/>
      <c r="C794" s="210"/>
      <c r="D794" s="210"/>
      <c r="E794" s="210"/>
      <c r="F794" s="210"/>
      <c r="G794" s="210"/>
      <c r="H794" s="210"/>
      <c r="I794" s="210"/>
      <c r="J794" s="210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  <c r="AA794" s="210"/>
      <c r="AB794" s="210"/>
      <c r="AC794" s="210"/>
      <c r="AD794" s="210"/>
      <c r="AE794" s="210"/>
      <c r="AF794" s="210"/>
      <c r="AG794" s="210"/>
    </row>
    <row r="795" spans="1:33" ht="12.75" customHeight="1">
      <c r="A795" s="210"/>
      <c r="B795" s="210"/>
      <c r="C795" s="210"/>
      <c r="D795" s="210"/>
      <c r="E795" s="210"/>
      <c r="F795" s="210"/>
      <c r="G795" s="210"/>
      <c r="H795" s="210"/>
      <c r="I795" s="210"/>
      <c r="J795" s="210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  <c r="AA795" s="210"/>
      <c r="AB795" s="210"/>
      <c r="AC795" s="210"/>
      <c r="AD795" s="210"/>
      <c r="AE795" s="210"/>
      <c r="AF795" s="210"/>
      <c r="AG795" s="210"/>
    </row>
    <row r="796" spans="1:33" ht="12.75" customHeight="1">
      <c r="A796" s="210"/>
      <c r="B796" s="210"/>
      <c r="C796" s="210"/>
      <c r="D796" s="210"/>
      <c r="E796" s="210"/>
      <c r="F796" s="210"/>
      <c r="G796" s="210"/>
      <c r="H796" s="210"/>
      <c r="I796" s="210"/>
      <c r="J796" s="210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  <c r="AA796" s="210"/>
      <c r="AB796" s="210"/>
      <c r="AC796" s="210"/>
      <c r="AD796" s="210"/>
      <c r="AE796" s="210"/>
      <c r="AF796" s="210"/>
      <c r="AG796" s="210"/>
    </row>
    <row r="797" spans="1:33" ht="12.75" customHeight="1">
      <c r="A797" s="210"/>
      <c r="B797" s="210"/>
      <c r="C797" s="210"/>
      <c r="D797" s="210"/>
      <c r="E797" s="210"/>
      <c r="F797" s="210"/>
      <c r="G797" s="210"/>
      <c r="H797" s="210"/>
      <c r="I797" s="210"/>
      <c r="J797" s="210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  <c r="AA797" s="210"/>
      <c r="AB797" s="210"/>
      <c r="AC797" s="210"/>
      <c r="AD797" s="210"/>
      <c r="AE797" s="210"/>
      <c r="AF797" s="210"/>
      <c r="AG797" s="210"/>
    </row>
    <row r="798" spans="1:33" ht="12.75" customHeight="1">
      <c r="A798" s="210"/>
      <c r="B798" s="210"/>
      <c r="C798" s="210"/>
      <c r="D798" s="210"/>
      <c r="E798" s="210"/>
      <c r="F798" s="210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  <c r="AA798" s="210"/>
      <c r="AB798" s="210"/>
      <c r="AC798" s="210"/>
      <c r="AD798" s="210"/>
      <c r="AE798" s="210"/>
      <c r="AF798" s="210"/>
      <c r="AG798" s="210"/>
    </row>
    <row r="799" spans="1:33" ht="12.75" customHeight="1">
      <c r="A799" s="210"/>
      <c r="B799" s="210"/>
      <c r="C799" s="210"/>
      <c r="D799" s="210"/>
      <c r="E799" s="210"/>
      <c r="F799" s="210"/>
      <c r="G799" s="210"/>
      <c r="H799" s="210"/>
      <c r="I799" s="210"/>
      <c r="J799" s="210"/>
      <c r="K799" s="210"/>
      <c r="L799" s="210"/>
      <c r="M799" s="210"/>
      <c r="N799" s="210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  <c r="AA799" s="210"/>
      <c r="AB799" s="210"/>
      <c r="AC799" s="210"/>
      <c r="AD799" s="210"/>
      <c r="AE799" s="210"/>
      <c r="AF799" s="210"/>
      <c r="AG799" s="210"/>
    </row>
    <row r="800" spans="1:33" ht="12.75" customHeight="1">
      <c r="A800" s="210"/>
      <c r="B800" s="210"/>
      <c r="C800" s="210"/>
      <c r="D800" s="210"/>
      <c r="E800" s="210"/>
      <c r="F800" s="210"/>
      <c r="G800" s="210"/>
      <c r="H800" s="210"/>
      <c r="I800" s="210"/>
      <c r="J800" s="210"/>
      <c r="K800" s="210"/>
      <c r="L800" s="210"/>
      <c r="M800" s="210"/>
      <c r="N800" s="210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  <c r="AA800" s="210"/>
      <c r="AB800" s="210"/>
      <c r="AC800" s="210"/>
      <c r="AD800" s="210"/>
      <c r="AE800" s="210"/>
      <c r="AF800" s="210"/>
      <c r="AG800" s="210"/>
    </row>
    <row r="801" spans="1:33" ht="12.75" customHeight="1">
      <c r="A801" s="210"/>
      <c r="B801" s="210"/>
      <c r="C801" s="210"/>
      <c r="D801" s="210"/>
      <c r="E801" s="210"/>
      <c r="F801" s="210"/>
      <c r="G801" s="210"/>
      <c r="H801" s="210"/>
      <c r="I801" s="210"/>
      <c r="J801" s="210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  <c r="AA801" s="210"/>
      <c r="AB801" s="210"/>
      <c r="AC801" s="210"/>
      <c r="AD801" s="210"/>
      <c r="AE801" s="210"/>
      <c r="AF801" s="210"/>
      <c r="AG801" s="210"/>
    </row>
    <row r="802" spans="1:33" ht="12.75" customHeight="1">
      <c r="A802" s="210"/>
      <c r="B802" s="210"/>
      <c r="C802" s="210"/>
      <c r="D802" s="210"/>
      <c r="E802" s="210"/>
      <c r="F802" s="210"/>
      <c r="G802" s="210"/>
      <c r="H802" s="210"/>
      <c r="I802" s="210"/>
      <c r="J802" s="210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  <c r="AA802" s="210"/>
      <c r="AB802" s="210"/>
      <c r="AC802" s="210"/>
      <c r="AD802" s="210"/>
      <c r="AE802" s="210"/>
      <c r="AF802" s="210"/>
      <c r="AG802" s="210"/>
    </row>
    <row r="803" spans="1:33" ht="12.75" customHeight="1">
      <c r="A803" s="210"/>
      <c r="B803" s="210"/>
      <c r="C803" s="210"/>
      <c r="D803" s="210"/>
      <c r="E803" s="210"/>
      <c r="F803" s="210"/>
      <c r="G803" s="210"/>
      <c r="H803" s="210"/>
      <c r="I803" s="210"/>
      <c r="J803" s="210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  <c r="AA803" s="210"/>
      <c r="AB803" s="210"/>
      <c r="AC803" s="210"/>
      <c r="AD803" s="210"/>
      <c r="AE803" s="210"/>
      <c r="AF803" s="210"/>
      <c r="AG803" s="210"/>
    </row>
    <row r="804" spans="1:33" ht="12.75" customHeight="1">
      <c r="A804" s="210"/>
      <c r="B804" s="210"/>
      <c r="C804" s="210"/>
      <c r="D804" s="210"/>
      <c r="E804" s="210"/>
      <c r="F804" s="210"/>
      <c r="G804" s="210"/>
      <c r="H804" s="210"/>
      <c r="I804" s="210"/>
      <c r="J804" s="210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  <c r="AA804" s="210"/>
      <c r="AB804" s="210"/>
      <c r="AC804" s="210"/>
      <c r="AD804" s="210"/>
      <c r="AE804" s="210"/>
      <c r="AF804" s="210"/>
      <c r="AG804" s="210"/>
    </row>
    <row r="805" spans="1:33" ht="12.75" customHeight="1">
      <c r="A805" s="210"/>
      <c r="B805" s="210"/>
      <c r="C805" s="210"/>
      <c r="D805" s="210"/>
      <c r="E805" s="210"/>
      <c r="F805" s="210"/>
      <c r="G805" s="210"/>
      <c r="H805" s="210"/>
      <c r="I805" s="210"/>
      <c r="J805" s="210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  <c r="AA805" s="210"/>
      <c r="AB805" s="210"/>
      <c r="AC805" s="210"/>
      <c r="AD805" s="210"/>
      <c r="AE805" s="210"/>
      <c r="AF805" s="210"/>
      <c r="AG805" s="210"/>
    </row>
    <row r="806" spans="1:33" ht="12.75" customHeight="1">
      <c r="A806" s="210"/>
      <c r="B806" s="210"/>
      <c r="C806" s="210"/>
      <c r="D806" s="210"/>
      <c r="E806" s="210"/>
      <c r="F806" s="210"/>
      <c r="G806" s="210"/>
      <c r="H806" s="210"/>
      <c r="I806" s="210"/>
      <c r="J806" s="210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  <c r="AA806" s="210"/>
      <c r="AB806" s="210"/>
      <c r="AC806" s="210"/>
      <c r="AD806" s="210"/>
      <c r="AE806" s="210"/>
      <c r="AF806" s="210"/>
      <c r="AG806" s="210"/>
    </row>
    <row r="807" spans="1:33" ht="12.75" customHeight="1">
      <c r="A807" s="210"/>
      <c r="B807" s="210"/>
      <c r="C807" s="210"/>
      <c r="D807" s="210"/>
      <c r="E807" s="210"/>
      <c r="F807" s="210"/>
      <c r="G807" s="210"/>
      <c r="H807" s="210"/>
      <c r="I807" s="210"/>
      <c r="J807" s="210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  <c r="AA807" s="210"/>
      <c r="AB807" s="210"/>
      <c r="AC807" s="210"/>
      <c r="AD807" s="210"/>
      <c r="AE807" s="210"/>
      <c r="AF807" s="210"/>
      <c r="AG807" s="210"/>
    </row>
    <row r="808" spans="1:33" ht="12.75" customHeight="1">
      <c r="A808" s="210"/>
      <c r="B808" s="210"/>
      <c r="C808" s="210"/>
      <c r="D808" s="210"/>
      <c r="E808" s="210"/>
      <c r="F808" s="210"/>
      <c r="G808" s="210"/>
      <c r="H808" s="210"/>
      <c r="I808" s="210"/>
      <c r="J808" s="210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  <c r="AA808" s="210"/>
      <c r="AB808" s="210"/>
      <c r="AC808" s="210"/>
      <c r="AD808" s="210"/>
      <c r="AE808" s="210"/>
      <c r="AF808" s="210"/>
      <c r="AG808" s="210"/>
    </row>
    <row r="809" spans="1:33" ht="12.75" customHeight="1">
      <c r="A809" s="210"/>
      <c r="B809" s="210"/>
      <c r="C809" s="210"/>
      <c r="D809" s="210"/>
      <c r="E809" s="210"/>
      <c r="F809" s="210"/>
      <c r="G809" s="210"/>
      <c r="H809" s="210"/>
      <c r="I809" s="210"/>
      <c r="J809" s="210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  <c r="AA809" s="210"/>
      <c r="AB809" s="210"/>
      <c r="AC809" s="210"/>
      <c r="AD809" s="210"/>
      <c r="AE809" s="210"/>
      <c r="AF809" s="210"/>
      <c r="AG809" s="210"/>
    </row>
    <row r="810" spans="1:33" ht="12.75" customHeight="1">
      <c r="A810" s="210"/>
      <c r="B810" s="210"/>
      <c r="C810" s="210"/>
      <c r="D810" s="210"/>
      <c r="E810" s="210"/>
      <c r="F810" s="210"/>
      <c r="G810" s="210"/>
      <c r="H810" s="210"/>
      <c r="I810" s="210"/>
      <c r="J810" s="210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  <c r="AA810" s="210"/>
      <c r="AB810" s="210"/>
      <c r="AC810" s="210"/>
      <c r="AD810" s="210"/>
      <c r="AE810" s="210"/>
      <c r="AF810" s="210"/>
      <c r="AG810" s="210"/>
    </row>
    <row r="811" spans="1:33" ht="12.75" customHeight="1">
      <c r="A811" s="210"/>
      <c r="B811" s="210"/>
      <c r="C811" s="210"/>
      <c r="D811" s="210"/>
      <c r="E811" s="210"/>
      <c r="F811" s="210"/>
      <c r="G811" s="210"/>
      <c r="H811" s="210"/>
      <c r="I811" s="210"/>
      <c r="J811" s="210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  <c r="AA811" s="210"/>
      <c r="AB811" s="210"/>
      <c r="AC811" s="210"/>
      <c r="AD811" s="210"/>
      <c r="AE811" s="210"/>
      <c r="AF811" s="210"/>
      <c r="AG811" s="210"/>
    </row>
    <row r="812" spans="1:33" ht="12.75" customHeight="1">
      <c r="A812" s="210"/>
      <c r="B812" s="210"/>
      <c r="C812" s="210"/>
      <c r="D812" s="210"/>
      <c r="E812" s="210"/>
      <c r="F812" s="210"/>
      <c r="G812" s="210"/>
      <c r="H812" s="210"/>
      <c r="I812" s="210"/>
      <c r="J812" s="210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  <c r="AA812" s="210"/>
      <c r="AB812" s="210"/>
      <c r="AC812" s="210"/>
      <c r="AD812" s="210"/>
      <c r="AE812" s="210"/>
      <c r="AF812" s="210"/>
      <c r="AG812" s="210"/>
    </row>
    <row r="813" spans="1:33" ht="12.75" customHeight="1">
      <c r="A813" s="210"/>
      <c r="B813" s="210"/>
      <c r="C813" s="210"/>
      <c r="D813" s="210"/>
      <c r="E813" s="210"/>
      <c r="F813" s="210"/>
      <c r="G813" s="210"/>
      <c r="H813" s="210"/>
      <c r="I813" s="210"/>
      <c r="J813" s="210"/>
      <c r="K813" s="210"/>
      <c r="L813" s="210"/>
      <c r="M813" s="210"/>
      <c r="N813" s="210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  <c r="AA813" s="210"/>
      <c r="AB813" s="210"/>
      <c r="AC813" s="210"/>
      <c r="AD813" s="210"/>
      <c r="AE813" s="210"/>
      <c r="AF813" s="210"/>
      <c r="AG813" s="210"/>
    </row>
    <row r="814" spans="1:33" ht="12.75" customHeight="1">
      <c r="A814" s="210"/>
      <c r="B814" s="210"/>
      <c r="C814" s="210"/>
      <c r="D814" s="210"/>
      <c r="E814" s="210"/>
      <c r="F814" s="210"/>
      <c r="G814" s="210"/>
      <c r="H814" s="210"/>
      <c r="I814" s="210"/>
      <c r="J814" s="210"/>
      <c r="K814" s="210"/>
      <c r="L814" s="210"/>
      <c r="M814" s="210"/>
      <c r="N814" s="210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  <c r="AA814" s="210"/>
      <c r="AB814" s="210"/>
      <c r="AC814" s="210"/>
      <c r="AD814" s="210"/>
      <c r="AE814" s="210"/>
      <c r="AF814" s="210"/>
      <c r="AG814" s="210"/>
    </row>
    <row r="815" spans="1:33" ht="12.75" customHeight="1">
      <c r="A815" s="210"/>
      <c r="B815" s="210"/>
      <c r="C815" s="210"/>
      <c r="D815" s="210"/>
      <c r="E815" s="210"/>
      <c r="F815" s="210"/>
      <c r="G815" s="210"/>
      <c r="H815" s="210"/>
      <c r="I815" s="210"/>
      <c r="J815" s="210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  <c r="AA815" s="210"/>
      <c r="AB815" s="210"/>
      <c r="AC815" s="210"/>
      <c r="AD815" s="210"/>
      <c r="AE815" s="210"/>
      <c r="AF815" s="210"/>
      <c r="AG815" s="210"/>
    </row>
    <row r="816" spans="1:33" ht="12.75" customHeight="1">
      <c r="A816" s="210"/>
      <c r="B816" s="210"/>
      <c r="C816" s="210"/>
      <c r="D816" s="210"/>
      <c r="E816" s="210"/>
      <c r="F816" s="210"/>
      <c r="G816" s="210"/>
      <c r="H816" s="210"/>
      <c r="I816" s="210"/>
      <c r="J816" s="210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  <c r="AA816" s="210"/>
      <c r="AB816" s="210"/>
      <c r="AC816" s="210"/>
      <c r="AD816" s="210"/>
      <c r="AE816" s="210"/>
      <c r="AF816" s="210"/>
      <c r="AG816" s="210"/>
    </row>
    <row r="817" spans="1:33" ht="12.75" customHeight="1">
      <c r="A817" s="210"/>
      <c r="B817" s="210"/>
      <c r="C817" s="210"/>
      <c r="D817" s="210"/>
      <c r="E817" s="210"/>
      <c r="F817" s="210"/>
      <c r="G817" s="210"/>
      <c r="H817" s="210"/>
      <c r="I817" s="210"/>
      <c r="J817" s="210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  <c r="AA817" s="210"/>
      <c r="AB817" s="210"/>
      <c r="AC817" s="210"/>
      <c r="AD817" s="210"/>
      <c r="AE817" s="210"/>
      <c r="AF817" s="210"/>
      <c r="AG817" s="210"/>
    </row>
    <row r="818" spans="1:33" ht="12.75" customHeight="1">
      <c r="A818" s="210"/>
      <c r="B818" s="210"/>
      <c r="C818" s="210"/>
      <c r="D818" s="210"/>
      <c r="E818" s="210"/>
      <c r="F818" s="210"/>
      <c r="G818" s="210"/>
      <c r="H818" s="210"/>
      <c r="I818" s="210"/>
      <c r="J818" s="210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  <c r="AA818" s="210"/>
      <c r="AB818" s="210"/>
      <c r="AC818" s="210"/>
      <c r="AD818" s="210"/>
      <c r="AE818" s="210"/>
      <c r="AF818" s="210"/>
      <c r="AG818" s="210"/>
    </row>
    <row r="819" spans="1:33" ht="12.75" customHeight="1">
      <c r="A819" s="210"/>
      <c r="B819" s="210"/>
      <c r="C819" s="210"/>
      <c r="D819" s="210"/>
      <c r="E819" s="210"/>
      <c r="F819" s="210"/>
      <c r="G819" s="210"/>
      <c r="H819" s="210"/>
      <c r="I819" s="210"/>
      <c r="J819" s="210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  <c r="AA819" s="210"/>
      <c r="AB819" s="210"/>
      <c r="AC819" s="210"/>
      <c r="AD819" s="210"/>
      <c r="AE819" s="210"/>
      <c r="AF819" s="210"/>
      <c r="AG819" s="210"/>
    </row>
    <row r="820" spans="1:33" ht="12.75" customHeight="1">
      <c r="A820" s="210"/>
      <c r="B820" s="210"/>
      <c r="C820" s="210"/>
      <c r="D820" s="210"/>
      <c r="E820" s="210"/>
      <c r="F820" s="210"/>
      <c r="G820" s="210"/>
      <c r="H820" s="210"/>
      <c r="I820" s="210"/>
      <c r="J820" s="210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  <c r="AA820" s="210"/>
      <c r="AB820" s="210"/>
      <c r="AC820" s="210"/>
      <c r="AD820" s="210"/>
      <c r="AE820" s="210"/>
      <c r="AF820" s="210"/>
      <c r="AG820" s="210"/>
    </row>
    <row r="821" spans="1:33" ht="12.75" customHeight="1">
      <c r="A821" s="210"/>
      <c r="B821" s="210"/>
      <c r="C821" s="210"/>
      <c r="D821" s="210"/>
      <c r="E821" s="210"/>
      <c r="F821" s="210"/>
      <c r="G821" s="210"/>
      <c r="H821" s="210"/>
      <c r="I821" s="210"/>
      <c r="J821" s="210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  <c r="AA821" s="210"/>
      <c r="AB821" s="210"/>
      <c r="AC821" s="210"/>
      <c r="AD821" s="210"/>
      <c r="AE821" s="210"/>
      <c r="AF821" s="210"/>
      <c r="AG821" s="210"/>
    </row>
    <row r="822" spans="1:33" ht="12.75" customHeight="1">
      <c r="A822" s="210"/>
      <c r="B822" s="210"/>
      <c r="C822" s="210"/>
      <c r="D822" s="210"/>
      <c r="E822" s="210"/>
      <c r="F822" s="210"/>
      <c r="G822" s="210"/>
      <c r="H822" s="210"/>
      <c r="I822" s="210"/>
      <c r="J822" s="210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  <c r="AA822" s="210"/>
      <c r="AB822" s="210"/>
      <c r="AC822" s="210"/>
      <c r="AD822" s="210"/>
      <c r="AE822" s="210"/>
      <c r="AF822" s="210"/>
      <c r="AG822" s="210"/>
    </row>
    <row r="823" spans="1:33" ht="12.75" customHeight="1">
      <c r="A823" s="210"/>
      <c r="B823" s="210"/>
      <c r="C823" s="210"/>
      <c r="D823" s="210"/>
      <c r="E823" s="210"/>
      <c r="F823" s="210"/>
      <c r="G823" s="210"/>
      <c r="H823" s="210"/>
      <c r="I823" s="210"/>
      <c r="J823" s="210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  <c r="AA823" s="210"/>
      <c r="AB823" s="210"/>
      <c r="AC823" s="210"/>
      <c r="AD823" s="210"/>
      <c r="AE823" s="210"/>
      <c r="AF823" s="210"/>
      <c r="AG823" s="210"/>
    </row>
    <row r="824" spans="1:33" ht="12.75" customHeight="1">
      <c r="A824" s="210"/>
      <c r="B824" s="210"/>
      <c r="C824" s="210"/>
      <c r="D824" s="210"/>
      <c r="E824" s="210"/>
      <c r="F824" s="210"/>
      <c r="G824" s="210"/>
      <c r="H824" s="210"/>
      <c r="I824" s="210"/>
      <c r="J824" s="210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  <c r="AA824" s="210"/>
      <c r="AB824" s="210"/>
      <c r="AC824" s="210"/>
      <c r="AD824" s="210"/>
      <c r="AE824" s="210"/>
      <c r="AF824" s="210"/>
      <c r="AG824" s="210"/>
    </row>
    <row r="825" spans="1:33" ht="12.75" customHeight="1">
      <c r="A825" s="210"/>
      <c r="B825" s="210"/>
      <c r="C825" s="210"/>
      <c r="D825" s="210"/>
      <c r="E825" s="210"/>
      <c r="F825" s="210"/>
      <c r="G825" s="210"/>
      <c r="H825" s="210"/>
      <c r="I825" s="210"/>
      <c r="J825" s="210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  <c r="AA825" s="210"/>
      <c r="AB825" s="210"/>
      <c r="AC825" s="210"/>
      <c r="AD825" s="210"/>
      <c r="AE825" s="210"/>
      <c r="AF825" s="210"/>
      <c r="AG825" s="210"/>
    </row>
    <row r="826" spans="1:33" ht="12.75" customHeight="1">
      <c r="A826" s="210"/>
      <c r="B826" s="210"/>
      <c r="C826" s="210"/>
      <c r="D826" s="210"/>
      <c r="E826" s="210"/>
      <c r="F826" s="210"/>
      <c r="G826" s="210"/>
      <c r="H826" s="210"/>
      <c r="I826" s="210"/>
      <c r="J826" s="210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  <c r="AA826" s="210"/>
      <c r="AB826" s="210"/>
      <c r="AC826" s="210"/>
      <c r="AD826" s="210"/>
      <c r="AE826" s="210"/>
      <c r="AF826" s="210"/>
      <c r="AG826" s="210"/>
    </row>
    <row r="827" spans="1:33" ht="12.75" customHeight="1">
      <c r="A827" s="210"/>
      <c r="B827" s="210"/>
      <c r="C827" s="210"/>
      <c r="D827" s="210"/>
      <c r="E827" s="210"/>
      <c r="F827" s="210"/>
      <c r="G827" s="210"/>
      <c r="H827" s="210"/>
      <c r="I827" s="210"/>
      <c r="J827" s="210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  <c r="AA827" s="210"/>
      <c r="AB827" s="210"/>
      <c r="AC827" s="210"/>
      <c r="AD827" s="210"/>
      <c r="AE827" s="210"/>
      <c r="AF827" s="210"/>
      <c r="AG827" s="210"/>
    </row>
    <row r="828" spans="1:33" ht="12.75" customHeight="1">
      <c r="A828" s="210"/>
      <c r="B828" s="210"/>
      <c r="C828" s="210"/>
      <c r="D828" s="210"/>
      <c r="E828" s="210"/>
      <c r="F828" s="210"/>
      <c r="G828" s="210"/>
      <c r="H828" s="210"/>
      <c r="I828" s="210"/>
      <c r="J828" s="210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  <c r="AA828" s="210"/>
      <c r="AB828" s="210"/>
      <c r="AC828" s="210"/>
      <c r="AD828" s="210"/>
      <c r="AE828" s="210"/>
      <c r="AF828" s="210"/>
      <c r="AG828" s="210"/>
    </row>
    <row r="829" spans="1:33" ht="12.75" customHeight="1">
      <c r="A829" s="210"/>
      <c r="B829" s="210"/>
      <c r="C829" s="210"/>
      <c r="D829" s="210"/>
      <c r="E829" s="210"/>
      <c r="F829" s="210"/>
      <c r="G829" s="210"/>
      <c r="H829" s="210"/>
      <c r="I829" s="210"/>
      <c r="J829" s="210"/>
      <c r="K829" s="210"/>
      <c r="L829" s="210"/>
      <c r="M829" s="210"/>
      <c r="N829" s="210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  <c r="AA829" s="210"/>
      <c r="AB829" s="210"/>
      <c r="AC829" s="210"/>
      <c r="AD829" s="210"/>
      <c r="AE829" s="210"/>
      <c r="AF829" s="210"/>
      <c r="AG829" s="210"/>
    </row>
    <row r="830" spans="1:33" ht="12.75" customHeight="1">
      <c r="A830" s="210"/>
      <c r="B830" s="210"/>
      <c r="C830" s="210"/>
      <c r="D830" s="210"/>
      <c r="E830" s="210"/>
      <c r="F830" s="210"/>
      <c r="G830" s="210"/>
      <c r="H830" s="210"/>
      <c r="I830" s="210"/>
      <c r="J830" s="210"/>
      <c r="K830" s="210"/>
      <c r="L830" s="210"/>
      <c r="M830" s="210"/>
      <c r="N830" s="210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  <c r="AA830" s="210"/>
      <c r="AB830" s="210"/>
      <c r="AC830" s="210"/>
      <c r="AD830" s="210"/>
      <c r="AE830" s="210"/>
      <c r="AF830" s="210"/>
      <c r="AG830" s="210"/>
    </row>
    <row r="831" spans="1:33" ht="12.75" customHeight="1">
      <c r="A831" s="210"/>
      <c r="B831" s="210"/>
      <c r="C831" s="210"/>
      <c r="D831" s="210"/>
      <c r="E831" s="210"/>
      <c r="F831" s="210"/>
      <c r="G831" s="210"/>
      <c r="H831" s="210"/>
      <c r="I831" s="210"/>
      <c r="J831" s="210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  <c r="AA831" s="210"/>
      <c r="AB831" s="210"/>
      <c r="AC831" s="210"/>
      <c r="AD831" s="210"/>
      <c r="AE831" s="210"/>
      <c r="AF831" s="210"/>
      <c r="AG831" s="210"/>
    </row>
    <row r="832" spans="1:33" ht="12.75" customHeight="1">
      <c r="A832" s="210"/>
      <c r="B832" s="210"/>
      <c r="C832" s="210"/>
      <c r="D832" s="210"/>
      <c r="E832" s="210"/>
      <c r="F832" s="210"/>
      <c r="G832" s="210"/>
      <c r="H832" s="210"/>
      <c r="I832" s="210"/>
      <c r="J832" s="210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  <c r="AA832" s="210"/>
      <c r="AB832" s="210"/>
      <c r="AC832" s="210"/>
      <c r="AD832" s="210"/>
      <c r="AE832" s="210"/>
      <c r="AF832" s="210"/>
      <c r="AG832" s="210"/>
    </row>
    <row r="833" spans="1:33" ht="12.75" customHeight="1">
      <c r="A833" s="210"/>
      <c r="B833" s="210"/>
      <c r="C833" s="210"/>
      <c r="D833" s="210"/>
      <c r="E833" s="210"/>
      <c r="F833" s="210"/>
      <c r="G833" s="210"/>
      <c r="H833" s="210"/>
      <c r="I833" s="210"/>
      <c r="J833" s="210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  <c r="AA833" s="210"/>
      <c r="AB833" s="210"/>
      <c r="AC833" s="210"/>
      <c r="AD833" s="210"/>
      <c r="AE833" s="210"/>
      <c r="AF833" s="210"/>
      <c r="AG833" s="210"/>
    </row>
    <row r="834" spans="1:33" ht="12.75" customHeight="1">
      <c r="A834" s="210"/>
      <c r="B834" s="210"/>
      <c r="C834" s="210"/>
      <c r="D834" s="210"/>
      <c r="E834" s="210"/>
      <c r="F834" s="210"/>
      <c r="G834" s="210"/>
      <c r="H834" s="210"/>
      <c r="I834" s="210"/>
      <c r="J834" s="210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  <c r="AA834" s="210"/>
      <c r="AB834" s="210"/>
      <c r="AC834" s="210"/>
      <c r="AD834" s="210"/>
      <c r="AE834" s="210"/>
      <c r="AF834" s="210"/>
      <c r="AG834" s="210"/>
    </row>
    <row r="835" spans="1:33" ht="12.75" customHeight="1">
      <c r="A835" s="210"/>
      <c r="B835" s="210"/>
      <c r="C835" s="210"/>
      <c r="D835" s="210"/>
      <c r="E835" s="210"/>
      <c r="F835" s="210"/>
      <c r="G835" s="210"/>
      <c r="H835" s="210"/>
      <c r="I835" s="210"/>
      <c r="J835" s="210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  <c r="AA835" s="210"/>
      <c r="AB835" s="210"/>
      <c r="AC835" s="210"/>
      <c r="AD835" s="210"/>
      <c r="AE835" s="210"/>
      <c r="AF835" s="210"/>
      <c r="AG835" s="210"/>
    </row>
    <row r="836" spans="1:33" ht="12.75" customHeight="1">
      <c r="A836" s="210"/>
      <c r="B836" s="210"/>
      <c r="C836" s="210"/>
      <c r="D836" s="210"/>
      <c r="E836" s="210"/>
      <c r="F836" s="210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  <c r="AA836" s="210"/>
      <c r="AB836" s="210"/>
      <c r="AC836" s="210"/>
      <c r="AD836" s="210"/>
      <c r="AE836" s="210"/>
      <c r="AF836" s="210"/>
      <c r="AG836" s="210"/>
    </row>
    <row r="837" spans="1:33" ht="12.75" customHeight="1">
      <c r="A837" s="210"/>
      <c r="B837" s="210"/>
      <c r="C837" s="210"/>
      <c r="D837" s="210"/>
      <c r="E837" s="210"/>
      <c r="F837" s="210"/>
      <c r="G837" s="210"/>
      <c r="H837" s="210"/>
      <c r="I837" s="210"/>
      <c r="J837" s="210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  <c r="AA837" s="210"/>
      <c r="AB837" s="210"/>
      <c r="AC837" s="210"/>
      <c r="AD837" s="210"/>
      <c r="AE837" s="210"/>
      <c r="AF837" s="210"/>
      <c r="AG837" s="210"/>
    </row>
    <row r="838" spans="1:33" ht="12.75" customHeight="1">
      <c r="A838" s="210"/>
      <c r="B838" s="210"/>
      <c r="C838" s="210"/>
      <c r="D838" s="210"/>
      <c r="E838" s="210"/>
      <c r="F838" s="210"/>
      <c r="G838" s="210"/>
      <c r="H838" s="210"/>
      <c r="I838" s="210"/>
      <c r="J838" s="210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  <c r="AA838" s="210"/>
      <c r="AB838" s="210"/>
      <c r="AC838" s="210"/>
      <c r="AD838" s="210"/>
      <c r="AE838" s="210"/>
      <c r="AF838" s="210"/>
      <c r="AG838" s="210"/>
    </row>
    <row r="839" spans="1:33" ht="12.75" customHeight="1">
      <c r="A839" s="210"/>
      <c r="B839" s="210"/>
      <c r="C839" s="210"/>
      <c r="D839" s="210"/>
      <c r="E839" s="210"/>
      <c r="F839" s="210"/>
      <c r="G839" s="210"/>
      <c r="H839" s="210"/>
      <c r="I839" s="210"/>
      <c r="J839" s="210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  <c r="AA839" s="210"/>
      <c r="AB839" s="210"/>
      <c r="AC839" s="210"/>
      <c r="AD839" s="210"/>
      <c r="AE839" s="210"/>
      <c r="AF839" s="210"/>
      <c r="AG839" s="210"/>
    </row>
    <row r="840" spans="1:33" ht="12.75" customHeight="1">
      <c r="A840" s="210"/>
      <c r="B840" s="210"/>
      <c r="C840" s="210"/>
      <c r="D840" s="210"/>
      <c r="E840" s="210"/>
      <c r="F840" s="210"/>
      <c r="G840" s="210"/>
      <c r="H840" s="210"/>
      <c r="I840" s="210"/>
      <c r="J840" s="210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  <c r="AA840" s="210"/>
      <c r="AB840" s="210"/>
      <c r="AC840" s="210"/>
      <c r="AD840" s="210"/>
      <c r="AE840" s="210"/>
      <c r="AF840" s="210"/>
      <c r="AG840" s="210"/>
    </row>
    <row r="841" spans="1:33" ht="12.75" customHeight="1">
      <c r="A841" s="210"/>
      <c r="B841" s="210"/>
      <c r="C841" s="210"/>
      <c r="D841" s="210"/>
      <c r="E841" s="210"/>
      <c r="F841" s="210"/>
      <c r="G841" s="210"/>
      <c r="H841" s="210"/>
      <c r="I841" s="210"/>
      <c r="J841" s="210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  <c r="AA841" s="210"/>
      <c r="AB841" s="210"/>
      <c r="AC841" s="210"/>
      <c r="AD841" s="210"/>
      <c r="AE841" s="210"/>
      <c r="AF841" s="210"/>
      <c r="AG841" s="210"/>
    </row>
    <row r="842" spans="1:33" ht="12.75" customHeight="1">
      <c r="A842" s="210"/>
      <c r="B842" s="210"/>
      <c r="C842" s="210"/>
      <c r="D842" s="210"/>
      <c r="E842" s="210"/>
      <c r="F842" s="210"/>
      <c r="G842" s="210"/>
      <c r="H842" s="210"/>
      <c r="I842" s="210"/>
      <c r="J842" s="210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  <c r="AA842" s="210"/>
      <c r="AB842" s="210"/>
      <c r="AC842" s="210"/>
      <c r="AD842" s="210"/>
      <c r="AE842" s="210"/>
      <c r="AF842" s="210"/>
      <c r="AG842" s="210"/>
    </row>
    <row r="843" spans="1:33" ht="12.75" customHeight="1">
      <c r="A843" s="210"/>
      <c r="B843" s="210"/>
      <c r="C843" s="210"/>
      <c r="D843" s="210"/>
      <c r="E843" s="210"/>
      <c r="F843" s="210"/>
      <c r="G843" s="210"/>
      <c r="H843" s="210"/>
      <c r="I843" s="210"/>
      <c r="J843" s="210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  <c r="AA843" s="210"/>
      <c r="AB843" s="210"/>
      <c r="AC843" s="210"/>
      <c r="AD843" s="210"/>
      <c r="AE843" s="210"/>
      <c r="AF843" s="210"/>
      <c r="AG843" s="210"/>
    </row>
    <row r="844" spans="1:33" ht="12.75" customHeight="1">
      <c r="A844" s="210"/>
      <c r="B844" s="210"/>
      <c r="C844" s="210"/>
      <c r="D844" s="210"/>
      <c r="E844" s="210"/>
      <c r="F844" s="210"/>
      <c r="G844" s="210"/>
      <c r="H844" s="210"/>
      <c r="I844" s="210"/>
      <c r="J844" s="210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  <c r="AA844" s="210"/>
      <c r="AB844" s="210"/>
      <c r="AC844" s="210"/>
      <c r="AD844" s="210"/>
      <c r="AE844" s="210"/>
      <c r="AF844" s="210"/>
      <c r="AG844" s="210"/>
    </row>
    <row r="845" spans="1:33" ht="12.75" customHeight="1">
      <c r="A845" s="210"/>
      <c r="B845" s="210"/>
      <c r="C845" s="210"/>
      <c r="D845" s="210"/>
      <c r="E845" s="210"/>
      <c r="F845" s="210"/>
      <c r="G845" s="210"/>
      <c r="H845" s="210"/>
      <c r="I845" s="210"/>
      <c r="J845" s="210"/>
      <c r="K845" s="210"/>
      <c r="L845" s="210"/>
      <c r="M845" s="210"/>
      <c r="N845" s="210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  <c r="AA845" s="210"/>
      <c r="AB845" s="210"/>
      <c r="AC845" s="210"/>
      <c r="AD845" s="210"/>
      <c r="AE845" s="210"/>
      <c r="AF845" s="210"/>
      <c r="AG845" s="210"/>
    </row>
    <row r="846" spans="1:33" ht="12.75" customHeight="1">
      <c r="A846" s="210"/>
      <c r="B846" s="210"/>
      <c r="C846" s="210"/>
      <c r="D846" s="210"/>
      <c r="E846" s="210"/>
      <c r="F846" s="210"/>
      <c r="G846" s="210"/>
      <c r="H846" s="210"/>
      <c r="I846" s="210"/>
      <c r="J846" s="210"/>
      <c r="K846" s="210"/>
      <c r="L846" s="210"/>
      <c r="M846" s="210"/>
      <c r="N846" s="210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  <c r="AA846" s="210"/>
      <c r="AB846" s="210"/>
      <c r="AC846" s="210"/>
      <c r="AD846" s="210"/>
      <c r="AE846" s="210"/>
      <c r="AF846" s="210"/>
      <c r="AG846" s="210"/>
    </row>
    <row r="847" spans="1:33" ht="12.75" customHeight="1">
      <c r="A847" s="210"/>
      <c r="B847" s="210"/>
      <c r="C847" s="210"/>
      <c r="D847" s="210"/>
      <c r="E847" s="210"/>
      <c r="F847" s="210"/>
      <c r="G847" s="210"/>
      <c r="H847" s="210"/>
      <c r="I847" s="210"/>
      <c r="J847" s="210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  <c r="AA847" s="210"/>
      <c r="AB847" s="210"/>
      <c r="AC847" s="210"/>
      <c r="AD847" s="210"/>
      <c r="AE847" s="210"/>
      <c r="AF847" s="210"/>
      <c r="AG847" s="210"/>
    </row>
    <row r="848" spans="1:33" ht="12.75" customHeight="1">
      <c r="A848" s="210"/>
      <c r="B848" s="210"/>
      <c r="C848" s="210"/>
      <c r="D848" s="210"/>
      <c r="E848" s="210"/>
      <c r="F848" s="210"/>
      <c r="G848" s="210"/>
      <c r="H848" s="210"/>
      <c r="I848" s="210"/>
      <c r="J848" s="210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  <c r="AA848" s="210"/>
      <c r="AB848" s="210"/>
      <c r="AC848" s="210"/>
      <c r="AD848" s="210"/>
      <c r="AE848" s="210"/>
      <c r="AF848" s="210"/>
      <c r="AG848" s="210"/>
    </row>
    <row r="849" spans="1:33" ht="12.75" customHeight="1">
      <c r="A849" s="210"/>
      <c r="B849" s="210"/>
      <c r="C849" s="210"/>
      <c r="D849" s="210"/>
      <c r="E849" s="210"/>
      <c r="F849" s="210"/>
      <c r="G849" s="210"/>
      <c r="H849" s="210"/>
      <c r="I849" s="210"/>
      <c r="J849" s="210"/>
      <c r="K849" s="210"/>
      <c r="L849" s="210"/>
      <c r="M849" s="210"/>
      <c r="N849" s="210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  <c r="AA849" s="210"/>
      <c r="AB849" s="210"/>
      <c r="AC849" s="210"/>
      <c r="AD849" s="210"/>
      <c r="AE849" s="210"/>
      <c r="AF849" s="210"/>
      <c r="AG849" s="210"/>
    </row>
    <row r="850" spans="1:33" ht="12.75" customHeight="1">
      <c r="A850" s="210"/>
      <c r="B850" s="210"/>
      <c r="C850" s="210"/>
      <c r="D850" s="210"/>
      <c r="E850" s="210"/>
      <c r="F850" s="210"/>
      <c r="G850" s="210"/>
      <c r="H850" s="210"/>
      <c r="I850" s="210"/>
      <c r="J850" s="210"/>
      <c r="K850" s="210"/>
      <c r="L850" s="210"/>
      <c r="M850" s="210"/>
      <c r="N850" s="210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  <c r="AA850" s="210"/>
      <c r="AB850" s="210"/>
      <c r="AC850" s="210"/>
      <c r="AD850" s="210"/>
      <c r="AE850" s="210"/>
      <c r="AF850" s="210"/>
      <c r="AG850" s="210"/>
    </row>
    <row r="851" spans="1:33" ht="12.75" customHeight="1">
      <c r="A851" s="210"/>
      <c r="B851" s="210"/>
      <c r="C851" s="210"/>
      <c r="D851" s="210"/>
      <c r="E851" s="210"/>
      <c r="F851" s="210"/>
      <c r="G851" s="210"/>
      <c r="H851" s="210"/>
      <c r="I851" s="210"/>
      <c r="J851" s="210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  <c r="AA851" s="210"/>
      <c r="AB851" s="210"/>
      <c r="AC851" s="210"/>
      <c r="AD851" s="210"/>
      <c r="AE851" s="210"/>
      <c r="AF851" s="210"/>
      <c r="AG851" s="210"/>
    </row>
    <row r="852" spans="1:33" ht="12.75" customHeight="1">
      <c r="A852" s="210"/>
      <c r="B852" s="210"/>
      <c r="C852" s="210"/>
      <c r="D852" s="210"/>
      <c r="E852" s="210"/>
      <c r="F852" s="210"/>
      <c r="G852" s="210"/>
      <c r="H852" s="210"/>
      <c r="I852" s="210"/>
      <c r="J852" s="210"/>
      <c r="K852" s="210"/>
      <c r="L852" s="210"/>
      <c r="M852" s="210"/>
      <c r="N852" s="210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  <c r="AA852" s="210"/>
      <c r="AB852" s="210"/>
      <c r="AC852" s="210"/>
      <c r="AD852" s="210"/>
      <c r="AE852" s="210"/>
      <c r="AF852" s="210"/>
      <c r="AG852" s="210"/>
    </row>
    <row r="853" spans="1:33" ht="12.75" customHeight="1">
      <c r="A853" s="210"/>
      <c r="B853" s="210"/>
      <c r="C853" s="210"/>
      <c r="D853" s="210"/>
      <c r="E853" s="210"/>
      <c r="F853" s="210"/>
      <c r="G853" s="210"/>
      <c r="H853" s="210"/>
      <c r="I853" s="210"/>
      <c r="J853" s="210"/>
      <c r="K853" s="210"/>
      <c r="L853" s="210"/>
      <c r="M853" s="210"/>
      <c r="N853" s="210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  <c r="AA853" s="210"/>
      <c r="AB853" s="210"/>
      <c r="AC853" s="210"/>
      <c r="AD853" s="210"/>
      <c r="AE853" s="210"/>
      <c r="AF853" s="210"/>
      <c r="AG853" s="210"/>
    </row>
    <row r="854" spans="1:33" ht="12.75" customHeight="1">
      <c r="A854" s="210"/>
      <c r="B854" s="210"/>
      <c r="C854" s="210"/>
      <c r="D854" s="210"/>
      <c r="E854" s="210"/>
      <c r="F854" s="210"/>
      <c r="G854" s="210"/>
      <c r="H854" s="210"/>
      <c r="I854" s="210"/>
      <c r="J854" s="210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  <c r="AA854" s="210"/>
      <c r="AB854" s="210"/>
      <c r="AC854" s="210"/>
      <c r="AD854" s="210"/>
      <c r="AE854" s="210"/>
      <c r="AF854" s="210"/>
      <c r="AG854" s="210"/>
    </row>
    <row r="855" spans="1:33" ht="12.75" customHeight="1">
      <c r="A855" s="210"/>
      <c r="B855" s="210"/>
      <c r="C855" s="210"/>
      <c r="D855" s="210"/>
      <c r="E855" s="210"/>
      <c r="F855" s="210"/>
      <c r="G855" s="210"/>
      <c r="H855" s="210"/>
      <c r="I855" s="210"/>
      <c r="J855" s="210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  <c r="AA855" s="210"/>
      <c r="AB855" s="210"/>
      <c r="AC855" s="210"/>
      <c r="AD855" s="210"/>
      <c r="AE855" s="210"/>
      <c r="AF855" s="210"/>
      <c r="AG855" s="210"/>
    </row>
    <row r="856" spans="1:33" ht="12.75" customHeight="1">
      <c r="A856" s="210"/>
      <c r="B856" s="210"/>
      <c r="C856" s="210"/>
      <c r="D856" s="210"/>
      <c r="E856" s="210"/>
      <c r="F856" s="210"/>
      <c r="G856" s="210"/>
      <c r="H856" s="210"/>
      <c r="I856" s="210"/>
      <c r="J856" s="210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  <c r="AA856" s="210"/>
      <c r="AB856" s="210"/>
      <c r="AC856" s="210"/>
      <c r="AD856" s="210"/>
      <c r="AE856" s="210"/>
      <c r="AF856" s="210"/>
      <c r="AG856" s="210"/>
    </row>
    <row r="857" spans="1:33" ht="12.75" customHeight="1">
      <c r="A857" s="210"/>
      <c r="B857" s="210"/>
      <c r="C857" s="210"/>
      <c r="D857" s="210"/>
      <c r="E857" s="210"/>
      <c r="F857" s="210"/>
      <c r="G857" s="210"/>
      <c r="H857" s="210"/>
      <c r="I857" s="210"/>
      <c r="J857" s="210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  <c r="AA857" s="210"/>
      <c r="AB857" s="210"/>
      <c r="AC857" s="210"/>
      <c r="AD857" s="210"/>
      <c r="AE857" s="210"/>
      <c r="AF857" s="210"/>
      <c r="AG857" s="210"/>
    </row>
    <row r="858" spans="1:33" ht="12.75" customHeight="1">
      <c r="A858" s="210"/>
      <c r="B858" s="210"/>
      <c r="C858" s="210"/>
      <c r="D858" s="210"/>
      <c r="E858" s="210"/>
      <c r="F858" s="210"/>
      <c r="G858" s="210"/>
      <c r="H858" s="210"/>
      <c r="I858" s="210"/>
      <c r="J858" s="210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  <c r="AA858" s="210"/>
      <c r="AB858" s="210"/>
      <c r="AC858" s="210"/>
      <c r="AD858" s="210"/>
      <c r="AE858" s="210"/>
      <c r="AF858" s="210"/>
      <c r="AG858" s="210"/>
    </row>
    <row r="859" spans="1:33" ht="12.75" customHeight="1">
      <c r="A859" s="210"/>
      <c r="B859" s="210"/>
      <c r="C859" s="210"/>
      <c r="D859" s="210"/>
      <c r="E859" s="210"/>
      <c r="F859" s="210"/>
      <c r="G859" s="210"/>
      <c r="H859" s="210"/>
      <c r="I859" s="210"/>
      <c r="J859" s="210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  <c r="AA859" s="210"/>
      <c r="AB859" s="210"/>
      <c r="AC859" s="210"/>
      <c r="AD859" s="210"/>
      <c r="AE859" s="210"/>
      <c r="AF859" s="210"/>
      <c r="AG859" s="210"/>
    </row>
    <row r="860" spans="1:33" ht="12.75" customHeight="1">
      <c r="A860" s="210"/>
      <c r="B860" s="210"/>
      <c r="C860" s="210"/>
      <c r="D860" s="210"/>
      <c r="E860" s="210"/>
      <c r="F860" s="210"/>
      <c r="G860" s="210"/>
      <c r="H860" s="210"/>
      <c r="I860" s="210"/>
      <c r="J860" s="210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  <c r="AA860" s="210"/>
      <c r="AB860" s="210"/>
      <c r="AC860" s="210"/>
      <c r="AD860" s="210"/>
      <c r="AE860" s="210"/>
      <c r="AF860" s="210"/>
      <c r="AG860" s="210"/>
    </row>
    <row r="861" spans="1:33" ht="12.75" customHeight="1">
      <c r="A861" s="210"/>
      <c r="B861" s="210"/>
      <c r="C861" s="210"/>
      <c r="D861" s="210"/>
      <c r="E861" s="210"/>
      <c r="F861" s="210"/>
      <c r="G861" s="210"/>
      <c r="H861" s="210"/>
      <c r="I861" s="210"/>
      <c r="J861" s="210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  <c r="AA861" s="210"/>
      <c r="AB861" s="210"/>
      <c r="AC861" s="210"/>
      <c r="AD861" s="210"/>
      <c r="AE861" s="210"/>
      <c r="AF861" s="210"/>
      <c r="AG861" s="210"/>
    </row>
    <row r="862" spans="1:33" ht="12.75" customHeight="1">
      <c r="A862" s="210"/>
      <c r="B862" s="210"/>
      <c r="C862" s="210"/>
      <c r="D862" s="210"/>
      <c r="E862" s="210"/>
      <c r="F862" s="210"/>
      <c r="G862" s="210"/>
      <c r="H862" s="210"/>
      <c r="I862" s="210"/>
      <c r="J862" s="210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  <c r="AA862" s="210"/>
      <c r="AB862" s="210"/>
      <c r="AC862" s="210"/>
      <c r="AD862" s="210"/>
      <c r="AE862" s="210"/>
      <c r="AF862" s="210"/>
      <c r="AG862" s="210"/>
    </row>
    <row r="863" spans="1:33" ht="12.75" customHeight="1">
      <c r="A863" s="210"/>
      <c r="B863" s="210"/>
      <c r="C863" s="210"/>
      <c r="D863" s="210"/>
      <c r="E863" s="210"/>
      <c r="F863" s="210"/>
      <c r="G863" s="210"/>
      <c r="H863" s="210"/>
      <c r="I863" s="210"/>
      <c r="J863" s="210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  <c r="AA863" s="210"/>
      <c r="AB863" s="210"/>
      <c r="AC863" s="210"/>
      <c r="AD863" s="210"/>
      <c r="AE863" s="210"/>
      <c r="AF863" s="210"/>
      <c r="AG863" s="210"/>
    </row>
    <row r="864" spans="1:33" ht="12.75" customHeight="1">
      <c r="A864" s="210"/>
      <c r="B864" s="210"/>
      <c r="C864" s="210"/>
      <c r="D864" s="210"/>
      <c r="E864" s="210"/>
      <c r="F864" s="210"/>
      <c r="G864" s="210"/>
      <c r="H864" s="210"/>
      <c r="I864" s="210"/>
      <c r="J864" s="210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  <c r="AA864" s="210"/>
      <c r="AB864" s="210"/>
      <c r="AC864" s="210"/>
      <c r="AD864" s="210"/>
      <c r="AE864" s="210"/>
      <c r="AF864" s="210"/>
      <c r="AG864" s="210"/>
    </row>
    <row r="865" spans="1:33" ht="12.75" customHeight="1">
      <c r="A865" s="210"/>
      <c r="B865" s="210"/>
      <c r="C865" s="210"/>
      <c r="D865" s="210"/>
      <c r="E865" s="210"/>
      <c r="F865" s="210"/>
      <c r="G865" s="210"/>
      <c r="H865" s="210"/>
      <c r="I865" s="210"/>
      <c r="J865" s="210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  <c r="AA865" s="210"/>
      <c r="AB865" s="210"/>
      <c r="AC865" s="210"/>
      <c r="AD865" s="210"/>
      <c r="AE865" s="210"/>
      <c r="AF865" s="210"/>
      <c r="AG865" s="210"/>
    </row>
    <row r="866" spans="1:33" ht="12.75" customHeight="1">
      <c r="A866" s="210"/>
      <c r="B866" s="210"/>
      <c r="C866" s="210"/>
      <c r="D866" s="210"/>
      <c r="E866" s="210"/>
      <c r="F866" s="210"/>
      <c r="G866" s="210"/>
      <c r="H866" s="210"/>
      <c r="I866" s="210"/>
      <c r="J866" s="210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  <c r="AA866" s="210"/>
      <c r="AB866" s="210"/>
      <c r="AC866" s="210"/>
      <c r="AD866" s="210"/>
      <c r="AE866" s="210"/>
      <c r="AF866" s="210"/>
      <c r="AG866" s="210"/>
    </row>
    <row r="867" spans="1:33" ht="12.75" customHeight="1">
      <c r="A867" s="210"/>
      <c r="B867" s="210"/>
      <c r="C867" s="210"/>
      <c r="D867" s="210"/>
      <c r="E867" s="210"/>
      <c r="F867" s="210"/>
      <c r="G867" s="210"/>
      <c r="H867" s="210"/>
      <c r="I867" s="210"/>
      <c r="J867" s="210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  <c r="AA867" s="210"/>
      <c r="AB867" s="210"/>
      <c r="AC867" s="210"/>
      <c r="AD867" s="210"/>
      <c r="AE867" s="210"/>
      <c r="AF867" s="210"/>
      <c r="AG867" s="210"/>
    </row>
    <row r="868" spans="1:33" ht="12.75" customHeight="1">
      <c r="A868" s="210"/>
      <c r="B868" s="210"/>
      <c r="C868" s="210"/>
      <c r="D868" s="210"/>
      <c r="E868" s="210"/>
      <c r="F868" s="210"/>
      <c r="G868" s="210"/>
      <c r="H868" s="210"/>
      <c r="I868" s="210"/>
      <c r="J868" s="210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  <c r="AA868" s="210"/>
      <c r="AB868" s="210"/>
      <c r="AC868" s="210"/>
      <c r="AD868" s="210"/>
      <c r="AE868" s="210"/>
      <c r="AF868" s="210"/>
      <c r="AG868" s="210"/>
    </row>
    <row r="869" spans="1:33" ht="12.75" customHeight="1">
      <c r="A869" s="210"/>
      <c r="B869" s="210"/>
      <c r="C869" s="210"/>
      <c r="D869" s="210"/>
      <c r="E869" s="210"/>
      <c r="F869" s="210"/>
      <c r="G869" s="210"/>
      <c r="H869" s="210"/>
      <c r="I869" s="210"/>
      <c r="J869" s="210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  <c r="AA869" s="210"/>
      <c r="AB869" s="210"/>
      <c r="AC869" s="210"/>
      <c r="AD869" s="210"/>
      <c r="AE869" s="210"/>
      <c r="AF869" s="210"/>
      <c r="AG869" s="210"/>
    </row>
    <row r="870" spans="1:33" ht="12.75" customHeight="1">
      <c r="A870" s="210"/>
      <c r="B870" s="210"/>
      <c r="C870" s="210"/>
      <c r="D870" s="210"/>
      <c r="E870" s="210"/>
      <c r="F870" s="210"/>
      <c r="G870" s="210"/>
      <c r="H870" s="210"/>
      <c r="I870" s="210"/>
      <c r="J870" s="210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  <c r="AA870" s="210"/>
      <c r="AB870" s="210"/>
      <c r="AC870" s="210"/>
      <c r="AD870" s="210"/>
      <c r="AE870" s="210"/>
      <c r="AF870" s="210"/>
      <c r="AG870" s="210"/>
    </row>
    <row r="871" spans="1:33" ht="12.75" customHeight="1">
      <c r="A871" s="210"/>
      <c r="B871" s="210"/>
      <c r="C871" s="210"/>
      <c r="D871" s="210"/>
      <c r="E871" s="210"/>
      <c r="F871" s="210"/>
      <c r="G871" s="210"/>
      <c r="H871" s="210"/>
      <c r="I871" s="210"/>
      <c r="J871" s="210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  <c r="AA871" s="210"/>
      <c r="AB871" s="210"/>
      <c r="AC871" s="210"/>
      <c r="AD871" s="210"/>
      <c r="AE871" s="210"/>
      <c r="AF871" s="210"/>
      <c r="AG871" s="210"/>
    </row>
    <row r="872" spans="1:33" ht="12.75" customHeight="1">
      <c r="A872" s="210"/>
      <c r="B872" s="210"/>
      <c r="C872" s="210"/>
      <c r="D872" s="210"/>
      <c r="E872" s="210"/>
      <c r="F872" s="210"/>
      <c r="G872" s="210"/>
      <c r="H872" s="210"/>
      <c r="I872" s="210"/>
      <c r="J872" s="210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  <c r="AA872" s="210"/>
      <c r="AB872" s="210"/>
      <c r="AC872" s="210"/>
      <c r="AD872" s="210"/>
      <c r="AE872" s="210"/>
      <c r="AF872" s="210"/>
      <c r="AG872" s="210"/>
    </row>
    <row r="873" spans="1:33" ht="12.75" customHeight="1">
      <c r="A873" s="210"/>
      <c r="B873" s="210"/>
      <c r="C873" s="210"/>
      <c r="D873" s="210"/>
      <c r="E873" s="210"/>
      <c r="F873" s="210"/>
      <c r="G873" s="210"/>
      <c r="H873" s="210"/>
      <c r="I873" s="210"/>
      <c r="J873" s="210"/>
      <c r="K873" s="210"/>
      <c r="L873" s="210"/>
      <c r="M873" s="210"/>
      <c r="N873" s="210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  <c r="AA873" s="210"/>
      <c r="AB873" s="210"/>
      <c r="AC873" s="210"/>
      <c r="AD873" s="210"/>
      <c r="AE873" s="210"/>
      <c r="AF873" s="210"/>
      <c r="AG873" s="210"/>
    </row>
    <row r="874" spans="1:33" ht="12.75" customHeight="1">
      <c r="A874" s="210"/>
      <c r="B874" s="210"/>
      <c r="C874" s="210"/>
      <c r="D874" s="210"/>
      <c r="E874" s="210"/>
      <c r="F874" s="210"/>
      <c r="G874" s="210"/>
      <c r="H874" s="210"/>
      <c r="I874" s="210"/>
      <c r="J874" s="210"/>
      <c r="K874" s="210"/>
      <c r="L874" s="210"/>
      <c r="M874" s="210"/>
      <c r="N874" s="210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  <c r="AA874" s="210"/>
      <c r="AB874" s="210"/>
      <c r="AC874" s="210"/>
      <c r="AD874" s="210"/>
      <c r="AE874" s="210"/>
      <c r="AF874" s="210"/>
      <c r="AG874" s="210"/>
    </row>
    <row r="875" spans="1:33" ht="12.75" customHeight="1">
      <c r="A875" s="210"/>
      <c r="B875" s="210"/>
      <c r="C875" s="210"/>
      <c r="D875" s="210"/>
      <c r="E875" s="210"/>
      <c r="F875" s="210"/>
      <c r="G875" s="210"/>
      <c r="H875" s="210"/>
      <c r="I875" s="210"/>
      <c r="J875" s="210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  <c r="AA875" s="210"/>
      <c r="AB875" s="210"/>
      <c r="AC875" s="210"/>
      <c r="AD875" s="210"/>
      <c r="AE875" s="210"/>
      <c r="AF875" s="210"/>
      <c r="AG875" s="210"/>
    </row>
    <row r="876" spans="1:33" ht="12.75" customHeight="1">
      <c r="A876" s="210"/>
      <c r="B876" s="210"/>
      <c r="C876" s="210"/>
      <c r="D876" s="210"/>
      <c r="E876" s="210"/>
      <c r="F876" s="210"/>
      <c r="G876" s="210"/>
      <c r="H876" s="210"/>
      <c r="I876" s="210"/>
      <c r="J876" s="210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  <c r="AA876" s="210"/>
      <c r="AB876" s="210"/>
      <c r="AC876" s="210"/>
      <c r="AD876" s="210"/>
      <c r="AE876" s="210"/>
      <c r="AF876" s="210"/>
      <c r="AG876" s="210"/>
    </row>
    <row r="877" spans="1:33" ht="12.75" customHeight="1">
      <c r="A877" s="210"/>
      <c r="B877" s="210"/>
      <c r="C877" s="210"/>
      <c r="D877" s="210"/>
      <c r="E877" s="210"/>
      <c r="F877" s="210"/>
      <c r="G877" s="210"/>
      <c r="H877" s="210"/>
      <c r="I877" s="210"/>
      <c r="J877" s="210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  <c r="AA877" s="210"/>
      <c r="AB877" s="210"/>
      <c r="AC877" s="210"/>
      <c r="AD877" s="210"/>
      <c r="AE877" s="210"/>
      <c r="AF877" s="210"/>
      <c r="AG877" s="210"/>
    </row>
    <row r="878" spans="1:33" ht="12.75" customHeight="1">
      <c r="A878" s="210"/>
      <c r="B878" s="210"/>
      <c r="C878" s="210"/>
      <c r="D878" s="210"/>
      <c r="E878" s="210"/>
      <c r="F878" s="210"/>
      <c r="G878" s="210"/>
      <c r="H878" s="210"/>
      <c r="I878" s="210"/>
      <c r="J878" s="210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  <c r="AA878" s="210"/>
      <c r="AB878" s="210"/>
      <c r="AC878" s="210"/>
      <c r="AD878" s="210"/>
      <c r="AE878" s="210"/>
      <c r="AF878" s="210"/>
      <c r="AG878" s="210"/>
    </row>
    <row r="879" spans="1:33" ht="12.75" customHeight="1">
      <c r="A879" s="210"/>
      <c r="B879" s="210"/>
      <c r="C879" s="210"/>
      <c r="D879" s="210"/>
      <c r="E879" s="210"/>
      <c r="F879" s="210"/>
      <c r="G879" s="210"/>
      <c r="H879" s="210"/>
      <c r="I879" s="210"/>
      <c r="J879" s="210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  <c r="AA879" s="210"/>
      <c r="AB879" s="210"/>
      <c r="AC879" s="210"/>
      <c r="AD879" s="210"/>
      <c r="AE879" s="210"/>
      <c r="AF879" s="210"/>
      <c r="AG879" s="210"/>
    </row>
    <row r="880" spans="1:33" ht="12.75" customHeight="1">
      <c r="A880" s="210"/>
      <c r="B880" s="210"/>
      <c r="C880" s="210"/>
      <c r="D880" s="210"/>
      <c r="E880" s="210"/>
      <c r="F880" s="210"/>
      <c r="G880" s="210"/>
      <c r="H880" s="210"/>
      <c r="I880" s="210"/>
      <c r="J880" s="210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  <c r="AA880" s="210"/>
      <c r="AB880" s="210"/>
      <c r="AC880" s="210"/>
      <c r="AD880" s="210"/>
      <c r="AE880" s="210"/>
      <c r="AF880" s="210"/>
      <c r="AG880" s="210"/>
    </row>
    <row r="881" spans="1:33" ht="12.75" customHeight="1">
      <c r="A881" s="210"/>
      <c r="B881" s="210"/>
      <c r="C881" s="210"/>
      <c r="D881" s="210"/>
      <c r="E881" s="210"/>
      <c r="F881" s="210"/>
      <c r="G881" s="210"/>
      <c r="H881" s="210"/>
      <c r="I881" s="210"/>
      <c r="J881" s="210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  <c r="AA881" s="210"/>
      <c r="AB881" s="210"/>
      <c r="AC881" s="210"/>
      <c r="AD881" s="210"/>
      <c r="AE881" s="210"/>
      <c r="AF881" s="210"/>
      <c r="AG881" s="210"/>
    </row>
    <row r="882" spans="1:33" ht="12.75" customHeight="1">
      <c r="A882" s="210"/>
      <c r="B882" s="210"/>
      <c r="C882" s="210"/>
      <c r="D882" s="210"/>
      <c r="E882" s="210"/>
      <c r="F882" s="210"/>
      <c r="G882" s="210"/>
      <c r="H882" s="210"/>
      <c r="I882" s="210"/>
      <c r="J882" s="210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  <c r="AA882" s="210"/>
      <c r="AB882" s="210"/>
      <c r="AC882" s="210"/>
      <c r="AD882" s="210"/>
      <c r="AE882" s="210"/>
      <c r="AF882" s="210"/>
      <c r="AG882" s="210"/>
    </row>
    <row r="883" spans="1:33" ht="12.75" customHeight="1">
      <c r="A883" s="210"/>
      <c r="B883" s="210"/>
      <c r="C883" s="210"/>
      <c r="D883" s="210"/>
      <c r="E883" s="210"/>
      <c r="F883" s="210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  <c r="AA883" s="210"/>
      <c r="AB883" s="210"/>
      <c r="AC883" s="210"/>
      <c r="AD883" s="210"/>
      <c r="AE883" s="210"/>
      <c r="AF883" s="210"/>
      <c r="AG883" s="210"/>
    </row>
    <row r="884" spans="1:33" ht="12.75" customHeight="1">
      <c r="A884" s="210"/>
      <c r="B884" s="210"/>
      <c r="C884" s="210"/>
      <c r="D884" s="210"/>
      <c r="E884" s="210"/>
      <c r="F884" s="210"/>
      <c r="G884" s="210"/>
      <c r="H884" s="210"/>
      <c r="I884" s="210"/>
      <c r="J884" s="210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  <c r="AA884" s="210"/>
      <c r="AB884" s="210"/>
      <c r="AC884" s="210"/>
      <c r="AD884" s="210"/>
      <c r="AE884" s="210"/>
      <c r="AF884" s="210"/>
      <c r="AG884" s="210"/>
    </row>
    <row r="885" spans="1:33" ht="12.75" customHeight="1">
      <c r="A885" s="210"/>
      <c r="B885" s="210"/>
      <c r="C885" s="210"/>
      <c r="D885" s="210"/>
      <c r="E885" s="210"/>
      <c r="F885" s="210"/>
      <c r="G885" s="210"/>
      <c r="H885" s="210"/>
      <c r="I885" s="210"/>
      <c r="J885" s="210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  <c r="AA885" s="210"/>
      <c r="AB885" s="210"/>
      <c r="AC885" s="210"/>
      <c r="AD885" s="210"/>
      <c r="AE885" s="210"/>
      <c r="AF885" s="210"/>
      <c r="AG885" s="210"/>
    </row>
    <row r="886" spans="1:33" ht="12.75" customHeight="1">
      <c r="A886" s="210"/>
      <c r="B886" s="210"/>
      <c r="C886" s="210"/>
      <c r="D886" s="210"/>
      <c r="E886" s="210"/>
      <c r="F886" s="210"/>
      <c r="G886" s="210"/>
      <c r="H886" s="210"/>
      <c r="I886" s="210"/>
      <c r="J886" s="210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  <c r="AA886" s="210"/>
      <c r="AB886" s="210"/>
      <c r="AC886" s="210"/>
      <c r="AD886" s="210"/>
      <c r="AE886" s="210"/>
      <c r="AF886" s="210"/>
      <c r="AG886" s="210"/>
    </row>
    <row r="887" spans="1:33" ht="12.75" customHeight="1">
      <c r="A887" s="210"/>
      <c r="B887" s="210"/>
      <c r="C887" s="210"/>
      <c r="D887" s="210"/>
      <c r="E887" s="210"/>
      <c r="F887" s="210"/>
      <c r="G887" s="210"/>
      <c r="H887" s="210"/>
      <c r="I887" s="210"/>
      <c r="J887" s="210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  <c r="AA887" s="210"/>
      <c r="AB887" s="210"/>
      <c r="AC887" s="210"/>
      <c r="AD887" s="210"/>
      <c r="AE887" s="210"/>
      <c r="AF887" s="210"/>
      <c r="AG887" s="210"/>
    </row>
    <row r="888" spans="1:33" ht="12.75" customHeight="1">
      <c r="A888" s="210"/>
      <c r="B888" s="210"/>
      <c r="C888" s="210"/>
      <c r="D888" s="210"/>
      <c r="E888" s="210"/>
      <c r="F888" s="210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  <c r="AA888" s="210"/>
      <c r="AB888" s="210"/>
      <c r="AC888" s="210"/>
      <c r="AD888" s="210"/>
      <c r="AE888" s="210"/>
      <c r="AF888" s="210"/>
      <c r="AG888" s="210"/>
    </row>
    <row r="889" spans="1:33" ht="12.75" customHeight="1">
      <c r="A889" s="210"/>
      <c r="B889" s="210"/>
      <c r="C889" s="210"/>
      <c r="D889" s="210"/>
      <c r="E889" s="210"/>
      <c r="F889" s="210"/>
      <c r="G889" s="210"/>
      <c r="H889" s="210"/>
      <c r="I889" s="210"/>
      <c r="J889" s="210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  <c r="AA889" s="210"/>
      <c r="AB889" s="210"/>
      <c r="AC889" s="210"/>
      <c r="AD889" s="210"/>
      <c r="AE889" s="210"/>
      <c r="AF889" s="210"/>
      <c r="AG889" s="210"/>
    </row>
    <row r="890" spans="1:33" ht="12.75" customHeight="1">
      <c r="A890" s="210"/>
      <c r="B890" s="210"/>
      <c r="C890" s="210"/>
      <c r="D890" s="210"/>
      <c r="E890" s="210"/>
      <c r="F890" s="210"/>
      <c r="G890" s="210"/>
      <c r="H890" s="210"/>
      <c r="I890" s="210"/>
      <c r="J890" s="210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  <c r="AA890" s="210"/>
      <c r="AB890" s="210"/>
      <c r="AC890" s="210"/>
      <c r="AD890" s="210"/>
      <c r="AE890" s="210"/>
      <c r="AF890" s="210"/>
      <c r="AG890" s="210"/>
    </row>
    <row r="891" spans="1:33" ht="12.75" customHeight="1">
      <c r="A891" s="210"/>
      <c r="B891" s="210"/>
      <c r="C891" s="210"/>
      <c r="D891" s="210"/>
      <c r="E891" s="210"/>
      <c r="F891" s="210"/>
      <c r="G891" s="210"/>
      <c r="H891" s="210"/>
      <c r="I891" s="210"/>
      <c r="J891" s="210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  <c r="AA891" s="210"/>
      <c r="AB891" s="210"/>
      <c r="AC891" s="210"/>
      <c r="AD891" s="210"/>
      <c r="AE891" s="210"/>
      <c r="AF891" s="210"/>
      <c r="AG891" s="210"/>
    </row>
    <row r="892" spans="1:33" ht="12.75" customHeight="1">
      <c r="A892" s="210"/>
      <c r="B892" s="210"/>
      <c r="C892" s="210"/>
      <c r="D892" s="210"/>
      <c r="E892" s="210"/>
      <c r="F892" s="210"/>
      <c r="G892" s="210"/>
      <c r="H892" s="210"/>
      <c r="I892" s="210"/>
      <c r="J892" s="210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  <c r="AA892" s="210"/>
      <c r="AB892" s="210"/>
      <c r="AC892" s="210"/>
      <c r="AD892" s="210"/>
      <c r="AE892" s="210"/>
      <c r="AF892" s="210"/>
      <c r="AG892" s="210"/>
    </row>
    <row r="893" spans="1:33" ht="12.75" customHeight="1">
      <c r="A893" s="210"/>
      <c r="B893" s="210"/>
      <c r="C893" s="210"/>
      <c r="D893" s="210"/>
      <c r="E893" s="210"/>
      <c r="F893" s="210"/>
      <c r="G893" s="210"/>
      <c r="H893" s="210"/>
      <c r="I893" s="210"/>
      <c r="J893" s="210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  <c r="AA893" s="210"/>
      <c r="AB893" s="210"/>
      <c r="AC893" s="210"/>
      <c r="AD893" s="210"/>
      <c r="AE893" s="210"/>
      <c r="AF893" s="210"/>
      <c r="AG893" s="210"/>
    </row>
    <row r="894" spans="1:33" ht="12.75" customHeight="1">
      <c r="A894" s="210"/>
      <c r="B894" s="210"/>
      <c r="C894" s="210"/>
      <c r="D894" s="210"/>
      <c r="E894" s="210"/>
      <c r="F894" s="210"/>
      <c r="G894" s="210"/>
      <c r="H894" s="210"/>
      <c r="I894" s="210"/>
      <c r="J894" s="210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  <c r="AA894" s="210"/>
      <c r="AB894" s="210"/>
      <c r="AC894" s="210"/>
      <c r="AD894" s="210"/>
      <c r="AE894" s="210"/>
      <c r="AF894" s="210"/>
      <c r="AG894" s="210"/>
    </row>
    <row r="895" spans="1:33" ht="12.75" customHeight="1">
      <c r="A895" s="210"/>
      <c r="B895" s="210"/>
      <c r="C895" s="210"/>
      <c r="D895" s="210"/>
      <c r="E895" s="210"/>
      <c r="F895" s="210"/>
      <c r="G895" s="210"/>
      <c r="H895" s="210"/>
      <c r="I895" s="210"/>
      <c r="J895" s="210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  <c r="AA895" s="210"/>
      <c r="AB895" s="210"/>
      <c r="AC895" s="210"/>
      <c r="AD895" s="210"/>
      <c r="AE895" s="210"/>
      <c r="AF895" s="210"/>
      <c r="AG895" s="210"/>
    </row>
    <row r="896" spans="1:33" ht="12.75" customHeight="1">
      <c r="A896" s="210"/>
      <c r="B896" s="210"/>
      <c r="C896" s="210"/>
      <c r="D896" s="210"/>
      <c r="E896" s="210"/>
      <c r="F896" s="210"/>
      <c r="G896" s="210"/>
      <c r="H896" s="210"/>
      <c r="I896" s="210"/>
      <c r="J896" s="210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  <c r="AA896" s="210"/>
      <c r="AB896" s="210"/>
      <c r="AC896" s="210"/>
      <c r="AD896" s="210"/>
      <c r="AE896" s="210"/>
      <c r="AF896" s="210"/>
      <c r="AG896" s="210"/>
    </row>
    <row r="897" spans="1:33" ht="12.75" customHeight="1">
      <c r="A897" s="210"/>
      <c r="B897" s="210"/>
      <c r="C897" s="210"/>
      <c r="D897" s="210"/>
      <c r="E897" s="210"/>
      <c r="F897" s="210"/>
      <c r="G897" s="210"/>
      <c r="H897" s="210"/>
      <c r="I897" s="210"/>
      <c r="J897" s="210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  <c r="AA897" s="210"/>
      <c r="AB897" s="210"/>
      <c r="AC897" s="210"/>
      <c r="AD897" s="210"/>
      <c r="AE897" s="210"/>
      <c r="AF897" s="210"/>
      <c r="AG897" s="210"/>
    </row>
    <row r="898" spans="1:33" ht="12.75" customHeight="1">
      <c r="A898" s="210"/>
      <c r="B898" s="210"/>
      <c r="C898" s="210"/>
      <c r="D898" s="210"/>
      <c r="E898" s="210"/>
      <c r="F898" s="210"/>
      <c r="G898" s="210"/>
      <c r="H898" s="210"/>
      <c r="I898" s="210"/>
      <c r="J898" s="210"/>
      <c r="K898" s="210"/>
      <c r="L898" s="210"/>
      <c r="M898" s="210"/>
      <c r="N898" s="210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  <c r="AA898" s="210"/>
      <c r="AB898" s="210"/>
      <c r="AC898" s="210"/>
      <c r="AD898" s="210"/>
      <c r="AE898" s="210"/>
      <c r="AF898" s="210"/>
      <c r="AG898" s="210"/>
    </row>
    <row r="899" spans="1:33" ht="12.75" customHeight="1">
      <c r="A899" s="210"/>
      <c r="B899" s="210"/>
      <c r="C899" s="210"/>
      <c r="D899" s="210"/>
      <c r="E899" s="210"/>
      <c r="F899" s="210"/>
      <c r="G899" s="210"/>
      <c r="H899" s="210"/>
      <c r="I899" s="210"/>
      <c r="J899" s="210"/>
      <c r="K899" s="210"/>
      <c r="L899" s="210"/>
      <c r="M899" s="210"/>
      <c r="N899" s="210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  <c r="AA899" s="210"/>
      <c r="AB899" s="210"/>
      <c r="AC899" s="210"/>
      <c r="AD899" s="210"/>
      <c r="AE899" s="210"/>
      <c r="AF899" s="210"/>
      <c r="AG899" s="210"/>
    </row>
    <row r="900" spans="1:33" ht="12.75" customHeight="1">
      <c r="A900" s="210"/>
      <c r="B900" s="210"/>
      <c r="C900" s="210"/>
      <c r="D900" s="210"/>
      <c r="E900" s="210"/>
      <c r="F900" s="210"/>
      <c r="G900" s="210"/>
      <c r="H900" s="210"/>
      <c r="I900" s="210"/>
      <c r="J900" s="210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  <c r="AA900" s="210"/>
      <c r="AB900" s="210"/>
      <c r="AC900" s="210"/>
      <c r="AD900" s="210"/>
      <c r="AE900" s="210"/>
      <c r="AF900" s="210"/>
      <c r="AG900" s="210"/>
    </row>
    <row r="901" spans="1:33" ht="12.75" customHeight="1">
      <c r="A901" s="210"/>
      <c r="B901" s="210"/>
      <c r="C901" s="210"/>
      <c r="D901" s="210"/>
      <c r="E901" s="210"/>
      <c r="F901" s="210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  <c r="AA901" s="210"/>
      <c r="AB901" s="210"/>
      <c r="AC901" s="210"/>
      <c r="AD901" s="210"/>
      <c r="AE901" s="210"/>
      <c r="AF901" s="210"/>
      <c r="AG901" s="210"/>
    </row>
    <row r="902" spans="1:33" ht="12.75" customHeight="1">
      <c r="A902" s="210"/>
      <c r="B902" s="210"/>
      <c r="C902" s="210"/>
      <c r="D902" s="210"/>
      <c r="E902" s="210"/>
      <c r="F902" s="210"/>
      <c r="G902" s="210"/>
      <c r="H902" s="210"/>
      <c r="I902" s="210"/>
      <c r="J902" s="210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  <c r="AA902" s="210"/>
      <c r="AB902" s="210"/>
      <c r="AC902" s="210"/>
      <c r="AD902" s="210"/>
      <c r="AE902" s="210"/>
      <c r="AF902" s="210"/>
      <c r="AG902" s="210"/>
    </row>
    <row r="903" spans="1:33" ht="12.75" customHeight="1">
      <c r="A903" s="210"/>
      <c r="B903" s="210"/>
      <c r="C903" s="210"/>
      <c r="D903" s="210"/>
      <c r="E903" s="210"/>
      <c r="F903" s="210"/>
      <c r="G903" s="210"/>
      <c r="H903" s="210"/>
      <c r="I903" s="210"/>
      <c r="J903" s="210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  <c r="AA903" s="210"/>
      <c r="AB903" s="210"/>
      <c r="AC903" s="210"/>
      <c r="AD903" s="210"/>
      <c r="AE903" s="210"/>
      <c r="AF903" s="210"/>
      <c r="AG903" s="210"/>
    </row>
    <row r="904" spans="1:33" ht="12.75" customHeight="1">
      <c r="A904" s="210"/>
      <c r="B904" s="210"/>
      <c r="C904" s="210"/>
      <c r="D904" s="210"/>
      <c r="E904" s="210"/>
      <c r="F904" s="210"/>
      <c r="G904" s="210"/>
      <c r="H904" s="210"/>
      <c r="I904" s="210"/>
      <c r="J904" s="210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  <c r="AA904" s="210"/>
      <c r="AB904" s="210"/>
      <c r="AC904" s="210"/>
      <c r="AD904" s="210"/>
      <c r="AE904" s="210"/>
      <c r="AF904" s="210"/>
      <c r="AG904" s="210"/>
    </row>
    <row r="905" spans="1:33" ht="12.75" customHeight="1">
      <c r="A905" s="210"/>
      <c r="B905" s="210"/>
      <c r="C905" s="210"/>
      <c r="D905" s="210"/>
      <c r="E905" s="210"/>
      <c r="F905" s="210"/>
      <c r="G905" s="210"/>
      <c r="H905" s="210"/>
      <c r="I905" s="210"/>
      <c r="J905" s="210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  <c r="AA905" s="210"/>
      <c r="AB905" s="210"/>
      <c r="AC905" s="210"/>
      <c r="AD905" s="210"/>
      <c r="AE905" s="210"/>
      <c r="AF905" s="210"/>
      <c r="AG905" s="210"/>
    </row>
    <row r="906" spans="1:33" ht="12.75" customHeight="1">
      <c r="A906" s="210"/>
      <c r="B906" s="210"/>
      <c r="C906" s="210"/>
      <c r="D906" s="210"/>
      <c r="E906" s="210"/>
      <c r="F906" s="210"/>
      <c r="G906" s="210"/>
      <c r="H906" s="210"/>
      <c r="I906" s="210"/>
      <c r="J906" s="210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  <c r="AA906" s="210"/>
      <c r="AB906" s="210"/>
      <c r="AC906" s="210"/>
      <c r="AD906" s="210"/>
      <c r="AE906" s="210"/>
      <c r="AF906" s="210"/>
      <c r="AG906" s="210"/>
    </row>
    <row r="907" spans="1:33" ht="12.75" customHeight="1">
      <c r="A907" s="210"/>
      <c r="B907" s="210"/>
      <c r="C907" s="210"/>
      <c r="D907" s="210"/>
      <c r="E907" s="210"/>
      <c r="F907" s="210"/>
      <c r="G907" s="210"/>
      <c r="H907" s="210"/>
      <c r="I907" s="210"/>
      <c r="J907" s="210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  <c r="AA907" s="210"/>
      <c r="AB907" s="210"/>
      <c r="AC907" s="210"/>
      <c r="AD907" s="210"/>
      <c r="AE907" s="210"/>
      <c r="AF907" s="210"/>
      <c r="AG907" s="210"/>
    </row>
    <row r="908" spans="1:33" ht="12.75" customHeight="1">
      <c r="A908" s="210"/>
      <c r="B908" s="210"/>
      <c r="C908" s="210"/>
      <c r="D908" s="210"/>
      <c r="E908" s="210"/>
      <c r="F908" s="210"/>
      <c r="G908" s="210"/>
      <c r="H908" s="210"/>
      <c r="I908" s="210"/>
      <c r="J908" s="210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  <c r="AA908" s="210"/>
      <c r="AB908" s="210"/>
      <c r="AC908" s="210"/>
      <c r="AD908" s="210"/>
      <c r="AE908" s="210"/>
      <c r="AF908" s="210"/>
      <c r="AG908" s="210"/>
    </row>
    <row r="909" spans="1:33" ht="12.75" customHeight="1">
      <c r="A909" s="210"/>
      <c r="B909" s="210"/>
      <c r="C909" s="210"/>
      <c r="D909" s="210"/>
      <c r="E909" s="210"/>
      <c r="F909" s="210"/>
      <c r="G909" s="210"/>
      <c r="H909" s="210"/>
      <c r="I909" s="210"/>
      <c r="J909" s="210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  <c r="AA909" s="210"/>
      <c r="AB909" s="210"/>
      <c r="AC909" s="210"/>
      <c r="AD909" s="210"/>
      <c r="AE909" s="210"/>
      <c r="AF909" s="210"/>
      <c r="AG909" s="210"/>
    </row>
    <row r="910" spans="1:33" ht="12.75" customHeight="1">
      <c r="A910" s="210"/>
      <c r="B910" s="210"/>
      <c r="C910" s="210"/>
      <c r="D910" s="210"/>
      <c r="E910" s="210"/>
      <c r="F910" s="210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  <c r="AA910" s="210"/>
      <c r="AB910" s="210"/>
      <c r="AC910" s="210"/>
      <c r="AD910" s="210"/>
      <c r="AE910" s="210"/>
      <c r="AF910" s="210"/>
      <c r="AG910" s="210"/>
    </row>
    <row r="911" spans="1:33" ht="12.75" customHeight="1">
      <c r="A911" s="210"/>
      <c r="B911" s="210"/>
      <c r="C911" s="210"/>
      <c r="D911" s="210"/>
      <c r="E911" s="210"/>
      <c r="F911" s="210"/>
      <c r="G911" s="210"/>
      <c r="H911" s="210"/>
      <c r="I911" s="210"/>
      <c r="J911" s="210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  <c r="AA911" s="210"/>
      <c r="AB911" s="210"/>
      <c r="AC911" s="210"/>
      <c r="AD911" s="210"/>
      <c r="AE911" s="210"/>
      <c r="AF911" s="210"/>
      <c r="AG911" s="210"/>
    </row>
    <row r="912" spans="1:33" ht="12.75" customHeight="1">
      <c r="A912" s="210"/>
      <c r="B912" s="210"/>
      <c r="C912" s="210"/>
      <c r="D912" s="210"/>
      <c r="E912" s="210"/>
      <c r="F912" s="210"/>
      <c r="G912" s="210"/>
      <c r="H912" s="210"/>
      <c r="I912" s="210"/>
      <c r="J912" s="210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  <c r="AA912" s="210"/>
      <c r="AB912" s="210"/>
      <c r="AC912" s="210"/>
      <c r="AD912" s="210"/>
      <c r="AE912" s="210"/>
      <c r="AF912" s="210"/>
      <c r="AG912" s="210"/>
    </row>
    <row r="913" spans="1:33" ht="12.75" customHeight="1">
      <c r="A913" s="210"/>
      <c r="B913" s="210"/>
      <c r="C913" s="210"/>
      <c r="D913" s="210"/>
      <c r="E913" s="210"/>
      <c r="F913" s="210"/>
      <c r="G913" s="210"/>
      <c r="H913" s="210"/>
      <c r="I913" s="210"/>
      <c r="J913" s="210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  <c r="AA913" s="210"/>
      <c r="AB913" s="210"/>
      <c r="AC913" s="210"/>
      <c r="AD913" s="210"/>
      <c r="AE913" s="210"/>
      <c r="AF913" s="210"/>
      <c r="AG913" s="210"/>
    </row>
    <row r="914" spans="1:33" ht="12.75" customHeight="1">
      <c r="A914" s="210"/>
      <c r="B914" s="210"/>
      <c r="C914" s="210"/>
      <c r="D914" s="210"/>
      <c r="E914" s="210"/>
      <c r="F914" s="210"/>
      <c r="G914" s="210"/>
      <c r="H914" s="210"/>
      <c r="I914" s="210"/>
      <c r="J914" s="210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  <c r="AA914" s="210"/>
      <c r="AB914" s="210"/>
      <c r="AC914" s="210"/>
      <c r="AD914" s="210"/>
      <c r="AE914" s="210"/>
      <c r="AF914" s="210"/>
      <c r="AG914" s="210"/>
    </row>
    <row r="915" spans="1:33" ht="12.75" customHeight="1">
      <c r="A915" s="210"/>
      <c r="B915" s="210"/>
      <c r="C915" s="210"/>
      <c r="D915" s="210"/>
      <c r="E915" s="210"/>
      <c r="F915" s="210"/>
      <c r="G915" s="210"/>
      <c r="H915" s="210"/>
      <c r="I915" s="210"/>
      <c r="J915" s="210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  <c r="AA915" s="210"/>
      <c r="AB915" s="210"/>
      <c r="AC915" s="210"/>
      <c r="AD915" s="210"/>
      <c r="AE915" s="210"/>
      <c r="AF915" s="210"/>
      <c r="AG915" s="210"/>
    </row>
    <row r="916" spans="1:33" ht="12.75" customHeight="1">
      <c r="A916" s="210"/>
      <c r="B916" s="210"/>
      <c r="C916" s="210"/>
      <c r="D916" s="210"/>
      <c r="E916" s="210"/>
      <c r="F916" s="210"/>
      <c r="G916" s="210"/>
      <c r="H916" s="210"/>
      <c r="I916" s="210"/>
      <c r="J916" s="210"/>
      <c r="K916" s="210"/>
      <c r="L916" s="210"/>
      <c r="M916" s="210"/>
      <c r="N916" s="210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  <c r="AA916" s="210"/>
      <c r="AB916" s="210"/>
      <c r="AC916" s="210"/>
      <c r="AD916" s="210"/>
      <c r="AE916" s="210"/>
      <c r="AF916" s="210"/>
      <c r="AG916" s="210"/>
    </row>
    <row r="917" spans="1:33" ht="12.75" customHeight="1">
      <c r="A917" s="210"/>
      <c r="B917" s="210"/>
      <c r="C917" s="210"/>
      <c r="D917" s="210"/>
      <c r="E917" s="210"/>
      <c r="F917" s="210"/>
      <c r="G917" s="210"/>
      <c r="H917" s="210"/>
      <c r="I917" s="210"/>
      <c r="J917" s="210"/>
      <c r="K917" s="210"/>
      <c r="L917" s="210"/>
      <c r="M917" s="210"/>
      <c r="N917" s="210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  <c r="Z917" s="210"/>
      <c r="AA917" s="210"/>
      <c r="AB917" s="210"/>
      <c r="AC917" s="210"/>
      <c r="AD917" s="210"/>
      <c r="AE917" s="210"/>
      <c r="AF917" s="210"/>
      <c r="AG917" s="210"/>
    </row>
    <row r="918" spans="1:33" ht="12.75" customHeight="1">
      <c r="A918" s="210"/>
      <c r="B918" s="210"/>
      <c r="C918" s="210"/>
      <c r="D918" s="210"/>
      <c r="E918" s="210"/>
      <c r="F918" s="210"/>
      <c r="G918" s="210"/>
      <c r="H918" s="210"/>
      <c r="I918" s="210"/>
      <c r="J918" s="210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  <c r="AA918" s="210"/>
      <c r="AB918" s="210"/>
      <c r="AC918" s="210"/>
      <c r="AD918" s="210"/>
      <c r="AE918" s="210"/>
      <c r="AF918" s="210"/>
      <c r="AG918" s="210"/>
    </row>
    <row r="919" spans="1:33" ht="12.75" customHeight="1">
      <c r="A919" s="210"/>
      <c r="B919" s="210"/>
      <c r="C919" s="210"/>
      <c r="D919" s="210"/>
      <c r="E919" s="210"/>
      <c r="F919" s="210"/>
      <c r="G919" s="210"/>
      <c r="H919" s="210"/>
      <c r="I919" s="210"/>
      <c r="J919" s="210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  <c r="AA919" s="210"/>
      <c r="AB919" s="210"/>
      <c r="AC919" s="210"/>
      <c r="AD919" s="210"/>
      <c r="AE919" s="210"/>
      <c r="AF919" s="210"/>
      <c r="AG919" s="210"/>
    </row>
    <row r="920" spans="1:33" ht="12.75" customHeight="1">
      <c r="A920" s="210"/>
      <c r="B920" s="210"/>
      <c r="C920" s="210"/>
      <c r="D920" s="210"/>
      <c r="E920" s="210"/>
      <c r="F920" s="210"/>
      <c r="G920" s="210"/>
      <c r="H920" s="210"/>
      <c r="I920" s="210"/>
      <c r="J920" s="210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  <c r="AA920" s="210"/>
      <c r="AB920" s="210"/>
      <c r="AC920" s="210"/>
      <c r="AD920" s="210"/>
      <c r="AE920" s="210"/>
      <c r="AF920" s="210"/>
      <c r="AG920" s="210"/>
    </row>
    <row r="921" spans="1:33" ht="12.75" customHeight="1">
      <c r="A921" s="210"/>
      <c r="B921" s="210"/>
      <c r="C921" s="210"/>
      <c r="D921" s="210"/>
      <c r="E921" s="210"/>
      <c r="F921" s="210"/>
      <c r="G921" s="210"/>
      <c r="H921" s="210"/>
      <c r="I921" s="210"/>
      <c r="J921" s="210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  <c r="AA921" s="210"/>
      <c r="AB921" s="210"/>
      <c r="AC921" s="210"/>
      <c r="AD921" s="210"/>
      <c r="AE921" s="210"/>
      <c r="AF921" s="210"/>
      <c r="AG921" s="210"/>
    </row>
    <row r="922" spans="1:33" ht="12.75" customHeight="1">
      <c r="A922" s="210"/>
      <c r="B922" s="210"/>
      <c r="C922" s="210"/>
      <c r="D922" s="210"/>
      <c r="E922" s="210"/>
      <c r="F922" s="210"/>
      <c r="G922" s="210"/>
      <c r="H922" s="210"/>
      <c r="I922" s="210"/>
      <c r="J922" s="210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  <c r="AA922" s="210"/>
      <c r="AB922" s="210"/>
      <c r="AC922" s="210"/>
      <c r="AD922" s="210"/>
      <c r="AE922" s="210"/>
      <c r="AF922" s="210"/>
      <c r="AG922" s="210"/>
    </row>
    <row r="923" spans="1:33" ht="12.75" customHeight="1">
      <c r="A923" s="210"/>
      <c r="B923" s="210"/>
      <c r="C923" s="210"/>
      <c r="D923" s="210"/>
      <c r="E923" s="210"/>
      <c r="F923" s="210"/>
      <c r="G923" s="210"/>
      <c r="H923" s="210"/>
      <c r="I923" s="210"/>
      <c r="J923" s="210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  <c r="AA923" s="210"/>
      <c r="AB923" s="210"/>
      <c r="AC923" s="210"/>
      <c r="AD923" s="210"/>
      <c r="AE923" s="210"/>
      <c r="AF923" s="210"/>
      <c r="AG923" s="210"/>
    </row>
    <row r="924" spans="1:33" ht="12.75" customHeight="1">
      <c r="A924" s="210"/>
      <c r="B924" s="210"/>
      <c r="C924" s="210"/>
      <c r="D924" s="210"/>
      <c r="E924" s="210"/>
      <c r="F924" s="210"/>
      <c r="G924" s="210"/>
      <c r="H924" s="210"/>
      <c r="I924" s="210"/>
      <c r="J924" s="210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  <c r="AA924" s="210"/>
      <c r="AB924" s="210"/>
      <c r="AC924" s="210"/>
      <c r="AD924" s="210"/>
      <c r="AE924" s="210"/>
      <c r="AF924" s="210"/>
      <c r="AG924" s="210"/>
    </row>
    <row r="925" spans="1:33" ht="12.75" customHeight="1">
      <c r="A925" s="210"/>
      <c r="B925" s="210"/>
      <c r="C925" s="210"/>
      <c r="D925" s="210"/>
      <c r="E925" s="210"/>
      <c r="F925" s="210"/>
      <c r="G925" s="210"/>
      <c r="H925" s="210"/>
      <c r="I925" s="210"/>
      <c r="J925" s="210"/>
      <c r="K925" s="210"/>
      <c r="L925" s="210"/>
      <c r="M925" s="210"/>
      <c r="N925" s="210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  <c r="AA925" s="210"/>
      <c r="AB925" s="210"/>
      <c r="AC925" s="210"/>
      <c r="AD925" s="210"/>
      <c r="AE925" s="210"/>
      <c r="AF925" s="210"/>
      <c r="AG925" s="210"/>
    </row>
    <row r="926" spans="1:33" ht="12.75" customHeight="1">
      <c r="A926" s="210"/>
      <c r="B926" s="210"/>
      <c r="C926" s="210"/>
      <c r="D926" s="210"/>
      <c r="E926" s="210"/>
      <c r="F926" s="210"/>
      <c r="G926" s="210"/>
      <c r="H926" s="210"/>
      <c r="I926" s="210"/>
      <c r="J926" s="210"/>
      <c r="K926" s="210"/>
      <c r="L926" s="210"/>
      <c r="M926" s="210"/>
      <c r="N926" s="210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  <c r="AA926" s="210"/>
      <c r="AB926" s="210"/>
      <c r="AC926" s="210"/>
      <c r="AD926" s="210"/>
      <c r="AE926" s="210"/>
      <c r="AF926" s="210"/>
      <c r="AG926" s="210"/>
    </row>
    <row r="927" spans="1:33" ht="12.75" customHeight="1">
      <c r="A927" s="210"/>
      <c r="B927" s="210"/>
      <c r="C927" s="210"/>
      <c r="D927" s="210"/>
      <c r="E927" s="210"/>
      <c r="F927" s="210"/>
      <c r="G927" s="210"/>
      <c r="H927" s="210"/>
      <c r="I927" s="210"/>
      <c r="J927" s="210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  <c r="AA927" s="210"/>
      <c r="AB927" s="210"/>
      <c r="AC927" s="210"/>
      <c r="AD927" s="210"/>
      <c r="AE927" s="210"/>
      <c r="AF927" s="210"/>
      <c r="AG927" s="210"/>
    </row>
    <row r="928" spans="1:33" ht="12.75" customHeight="1">
      <c r="A928" s="210"/>
      <c r="B928" s="210"/>
      <c r="C928" s="210"/>
      <c r="D928" s="210"/>
      <c r="E928" s="210"/>
      <c r="F928" s="210"/>
      <c r="G928" s="210"/>
      <c r="H928" s="210"/>
      <c r="I928" s="210"/>
      <c r="J928" s="210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  <c r="AA928" s="210"/>
      <c r="AB928" s="210"/>
      <c r="AC928" s="210"/>
      <c r="AD928" s="210"/>
      <c r="AE928" s="210"/>
      <c r="AF928" s="210"/>
      <c r="AG928" s="210"/>
    </row>
    <row r="929" spans="1:33" ht="12.75" customHeight="1">
      <c r="A929" s="210"/>
      <c r="B929" s="210"/>
      <c r="C929" s="210"/>
      <c r="D929" s="210"/>
      <c r="E929" s="210"/>
      <c r="F929" s="210"/>
      <c r="G929" s="210"/>
      <c r="H929" s="210"/>
      <c r="I929" s="210"/>
      <c r="J929" s="210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  <c r="AA929" s="210"/>
      <c r="AB929" s="210"/>
      <c r="AC929" s="210"/>
      <c r="AD929" s="210"/>
      <c r="AE929" s="210"/>
      <c r="AF929" s="210"/>
      <c r="AG929" s="210"/>
    </row>
    <row r="930" spans="1:33" ht="12.75" customHeight="1">
      <c r="A930" s="210"/>
      <c r="B930" s="210"/>
      <c r="C930" s="210"/>
      <c r="D930" s="210"/>
      <c r="E930" s="210"/>
      <c r="F930" s="210"/>
      <c r="G930" s="210"/>
      <c r="H930" s="210"/>
      <c r="I930" s="210"/>
      <c r="J930" s="210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  <c r="AA930" s="210"/>
      <c r="AB930" s="210"/>
      <c r="AC930" s="210"/>
      <c r="AD930" s="210"/>
      <c r="AE930" s="210"/>
      <c r="AF930" s="210"/>
      <c r="AG930" s="210"/>
    </row>
    <row r="931" spans="1:33" ht="12.75" customHeight="1">
      <c r="A931" s="210"/>
      <c r="B931" s="210"/>
      <c r="C931" s="210"/>
      <c r="D931" s="210"/>
      <c r="E931" s="210"/>
      <c r="F931" s="210"/>
      <c r="G931" s="210"/>
      <c r="H931" s="210"/>
      <c r="I931" s="210"/>
      <c r="J931" s="210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  <c r="AA931" s="210"/>
      <c r="AB931" s="210"/>
      <c r="AC931" s="210"/>
      <c r="AD931" s="210"/>
      <c r="AE931" s="210"/>
      <c r="AF931" s="210"/>
      <c r="AG931" s="210"/>
    </row>
    <row r="932" spans="1:33" ht="12.75" customHeight="1">
      <c r="A932" s="210"/>
      <c r="B932" s="210"/>
      <c r="C932" s="210"/>
      <c r="D932" s="210"/>
      <c r="E932" s="210"/>
      <c r="F932" s="210"/>
      <c r="G932" s="210"/>
      <c r="H932" s="210"/>
      <c r="I932" s="210"/>
      <c r="J932" s="210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  <c r="AA932" s="210"/>
      <c r="AB932" s="210"/>
      <c r="AC932" s="210"/>
      <c r="AD932" s="210"/>
      <c r="AE932" s="210"/>
      <c r="AF932" s="210"/>
      <c r="AG932" s="210"/>
    </row>
    <row r="933" spans="1:33" ht="12.75" customHeight="1">
      <c r="A933" s="210"/>
      <c r="B933" s="210"/>
      <c r="C933" s="210"/>
      <c r="D933" s="210"/>
      <c r="E933" s="210"/>
      <c r="F933" s="210"/>
      <c r="G933" s="210"/>
      <c r="H933" s="210"/>
      <c r="I933" s="210"/>
      <c r="J933" s="210"/>
      <c r="K933" s="210"/>
      <c r="L933" s="210"/>
      <c r="M933" s="210"/>
      <c r="N933" s="210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  <c r="AA933" s="210"/>
      <c r="AB933" s="210"/>
      <c r="AC933" s="210"/>
      <c r="AD933" s="210"/>
      <c r="AE933" s="210"/>
      <c r="AF933" s="210"/>
      <c r="AG933" s="210"/>
    </row>
    <row r="934" spans="1:33" ht="12.75" customHeight="1">
      <c r="A934" s="210"/>
      <c r="B934" s="210"/>
      <c r="C934" s="210"/>
      <c r="D934" s="210"/>
      <c r="E934" s="210"/>
      <c r="F934" s="210"/>
      <c r="G934" s="210"/>
      <c r="H934" s="210"/>
      <c r="I934" s="210"/>
      <c r="J934" s="210"/>
      <c r="K934" s="210"/>
      <c r="L934" s="210"/>
      <c r="M934" s="210"/>
      <c r="N934" s="210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  <c r="AA934" s="210"/>
      <c r="AB934" s="210"/>
      <c r="AC934" s="210"/>
      <c r="AD934" s="210"/>
      <c r="AE934" s="210"/>
      <c r="AF934" s="210"/>
      <c r="AG934" s="210"/>
    </row>
    <row r="935" spans="1:33" ht="12.75" customHeight="1">
      <c r="A935" s="210"/>
      <c r="B935" s="210"/>
      <c r="C935" s="210"/>
      <c r="D935" s="210"/>
      <c r="E935" s="210"/>
      <c r="F935" s="210"/>
      <c r="G935" s="210"/>
      <c r="H935" s="210"/>
      <c r="I935" s="210"/>
      <c r="J935" s="210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  <c r="AA935" s="210"/>
      <c r="AB935" s="210"/>
      <c r="AC935" s="210"/>
      <c r="AD935" s="210"/>
      <c r="AE935" s="210"/>
      <c r="AF935" s="210"/>
      <c r="AG935" s="210"/>
    </row>
    <row r="936" spans="1:33" ht="12.75" customHeight="1">
      <c r="A936" s="210"/>
      <c r="B936" s="210"/>
      <c r="C936" s="210"/>
      <c r="D936" s="210"/>
      <c r="E936" s="210"/>
      <c r="F936" s="210"/>
      <c r="G936" s="210"/>
      <c r="H936" s="210"/>
      <c r="I936" s="210"/>
      <c r="J936" s="210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  <c r="AA936" s="210"/>
      <c r="AB936" s="210"/>
      <c r="AC936" s="210"/>
      <c r="AD936" s="210"/>
      <c r="AE936" s="210"/>
      <c r="AF936" s="210"/>
      <c r="AG936" s="210"/>
    </row>
    <row r="937" spans="1:33" ht="12.75" customHeight="1">
      <c r="A937" s="210"/>
      <c r="B937" s="210"/>
      <c r="C937" s="210"/>
      <c r="D937" s="210"/>
      <c r="E937" s="210"/>
      <c r="F937" s="210"/>
      <c r="G937" s="210"/>
      <c r="H937" s="210"/>
      <c r="I937" s="210"/>
      <c r="J937" s="210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  <c r="AA937" s="210"/>
      <c r="AB937" s="210"/>
      <c r="AC937" s="210"/>
      <c r="AD937" s="210"/>
      <c r="AE937" s="210"/>
      <c r="AF937" s="210"/>
      <c r="AG937" s="210"/>
    </row>
    <row r="938" spans="1:33" ht="12.75" customHeight="1">
      <c r="A938" s="210"/>
      <c r="B938" s="210"/>
      <c r="C938" s="210"/>
      <c r="D938" s="210"/>
      <c r="E938" s="210"/>
      <c r="F938" s="210"/>
      <c r="G938" s="210"/>
      <c r="H938" s="210"/>
      <c r="I938" s="210"/>
      <c r="J938" s="210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  <c r="AA938" s="210"/>
      <c r="AB938" s="210"/>
      <c r="AC938" s="210"/>
      <c r="AD938" s="210"/>
      <c r="AE938" s="210"/>
      <c r="AF938" s="210"/>
      <c r="AG938" s="210"/>
    </row>
    <row r="939" spans="1:33" ht="12.75" customHeight="1">
      <c r="A939" s="210"/>
      <c r="B939" s="210"/>
      <c r="C939" s="210"/>
      <c r="D939" s="210"/>
      <c r="E939" s="210"/>
      <c r="F939" s="210"/>
      <c r="G939" s="210"/>
      <c r="H939" s="210"/>
      <c r="I939" s="210"/>
      <c r="J939" s="210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  <c r="AA939" s="210"/>
      <c r="AB939" s="210"/>
      <c r="AC939" s="210"/>
      <c r="AD939" s="210"/>
      <c r="AE939" s="210"/>
      <c r="AF939" s="210"/>
      <c r="AG939" s="210"/>
    </row>
    <row r="940" spans="1:33" ht="12.75" customHeight="1">
      <c r="A940" s="210"/>
      <c r="B940" s="210"/>
      <c r="C940" s="210"/>
      <c r="D940" s="210"/>
      <c r="E940" s="210"/>
      <c r="F940" s="210"/>
      <c r="G940" s="210"/>
      <c r="H940" s="210"/>
      <c r="I940" s="210"/>
      <c r="J940" s="210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  <c r="AA940" s="210"/>
      <c r="AB940" s="210"/>
      <c r="AC940" s="210"/>
      <c r="AD940" s="210"/>
      <c r="AE940" s="210"/>
      <c r="AF940" s="210"/>
      <c r="AG940" s="210"/>
    </row>
    <row r="941" spans="1:33" ht="12.75" customHeight="1">
      <c r="A941" s="210"/>
      <c r="B941" s="210"/>
      <c r="C941" s="210"/>
      <c r="D941" s="210"/>
      <c r="E941" s="210"/>
      <c r="F941" s="210"/>
      <c r="G941" s="210"/>
      <c r="H941" s="210"/>
      <c r="I941" s="210"/>
      <c r="J941" s="210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  <c r="AA941" s="210"/>
      <c r="AB941" s="210"/>
      <c r="AC941" s="210"/>
      <c r="AD941" s="210"/>
      <c r="AE941" s="210"/>
      <c r="AF941" s="210"/>
      <c r="AG941" s="210"/>
    </row>
    <row r="942" spans="1:33" ht="12.75" customHeight="1">
      <c r="A942" s="210"/>
      <c r="B942" s="210"/>
      <c r="C942" s="210"/>
      <c r="D942" s="210"/>
      <c r="E942" s="210"/>
      <c r="F942" s="210"/>
      <c r="G942" s="210"/>
      <c r="H942" s="210"/>
      <c r="I942" s="210"/>
      <c r="J942" s="210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  <c r="AA942" s="210"/>
      <c r="AB942" s="210"/>
      <c r="AC942" s="210"/>
      <c r="AD942" s="210"/>
      <c r="AE942" s="210"/>
      <c r="AF942" s="210"/>
      <c r="AG942" s="210"/>
    </row>
    <row r="943" spans="1:33" ht="12.75" customHeight="1">
      <c r="A943" s="210"/>
      <c r="B943" s="210"/>
      <c r="C943" s="210"/>
      <c r="D943" s="210"/>
      <c r="E943" s="210"/>
      <c r="F943" s="210"/>
      <c r="G943" s="210"/>
      <c r="H943" s="210"/>
      <c r="I943" s="210"/>
      <c r="J943" s="210"/>
      <c r="K943" s="210"/>
      <c r="L943" s="210"/>
      <c r="M943" s="210"/>
      <c r="N943" s="210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  <c r="AA943" s="210"/>
      <c r="AB943" s="210"/>
      <c r="AC943" s="210"/>
      <c r="AD943" s="210"/>
      <c r="AE943" s="210"/>
      <c r="AF943" s="210"/>
      <c r="AG943" s="210"/>
    </row>
    <row r="944" spans="1:33" ht="12.75" customHeight="1">
      <c r="A944" s="210"/>
      <c r="B944" s="210"/>
      <c r="C944" s="210"/>
      <c r="D944" s="210"/>
      <c r="E944" s="210"/>
      <c r="F944" s="210"/>
      <c r="G944" s="210"/>
      <c r="H944" s="210"/>
      <c r="I944" s="210"/>
      <c r="J944" s="210"/>
      <c r="K944" s="210"/>
      <c r="L944" s="210"/>
      <c r="M944" s="210"/>
      <c r="N944" s="210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  <c r="AA944" s="210"/>
      <c r="AB944" s="210"/>
      <c r="AC944" s="210"/>
      <c r="AD944" s="210"/>
      <c r="AE944" s="210"/>
      <c r="AF944" s="210"/>
      <c r="AG944" s="210"/>
    </row>
  </sheetData>
  <mergeCells count="2">
    <mergeCell ref="A1:C1"/>
    <mergeCell ref="B4:B86"/>
  </mergeCells>
  <pageMargins left="0.70866141732279997" right="0.70866141732279997" top="0.74803149606300001" bottom="0.74803149606300001" header="0.31496062992129997" footer="0.31496062992129997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52</vt:i4>
      </vt:variant>
    </vt:vector>
  </HeadingPairs>
  <TitlesOfParts>
    <vt:vector size="107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'Codes activités'!Zone_d_impression</vt:lpstr>
      <vt:lpstr>'COMPTE DE RESULTAT'!Zone_d_impression</vt:lpstr>
      <vt:lpstr>'Fiche de renseignement R1'!Zone_d_impression</vt:lpstr>
      <vt:lpstr>'FLUX DE TRESORERIE'!Zone_d_impression</vt:lpstr>
      <vt:lpstr>'Note 1'!Zone_d_impression</vt:lpstr>
      <vt:lpstr>'Note 10'!Zone_d_impression</vt:lpstr>
      <vt:lpstr>'Note 11'!Zone_d_impression</vt:lpstr>
      <vt:lpstr>'Note 12'!Zone_d_impression</vt:lpstr>
      <vt:lpstr>'Note 13'!Zone_d_impression</vt:lpstr>
      <vt:lpstr>'Note 14'!Zone_d_impression</vt:lpstr>
      <vt:lpstr>'Note 15A'!Zone_d_impression</vt:lpstr>
      <vt:lpstr>'Note 15B'!Zone_d_impression</vt:lpstr>
      <vt:lpstr>'Note 16A'!Zone_d_impression</vt:lpstr>
      <vt:lpstr>'Note 16B'!Zone_d_impression</vt:lpstr>
      <vt:lpstr>'Note 16B bis'!Zone_d_impression</vt:lpstr>
      <vt:lpstr>'Note 16C'!Zone_d_impression</vt:lpstr>
      <vt:lpstr>'Note 17'!Zone_d_impression</vt:lpstr>
      <vt:lpstr>'Note 18'!Zone_d_impression</vt:lpstr>
      <vt:lpstr>'Note 19'!Zone_d_impression</vt:lpstr>
      <vt:lpstr>'Note 2'!Zone_d_impression</vt:lpstr>
      <vt:lpstr>'Note 20'!Zone_d_impression</vt:lpstr>
      <vt:lpstr>'Note 21'!Zone_d_impression</vt:lpstr>
      <vt:lpstr>'Note 22'!Zone_d_impression</vt:lpstr>
      <vt:lpstr>'Note 23'!Zone_d_impression</vt:lpstr>
      <vt:lpstr>'Note 24'!Zone_d_impression</vt:lpstr>
      <vt:lpstr>'Note 25'!Zone_d_impression</vt:lpstr>
      <vt:lpstr>'Note 26'!Zone_d_impression</vt:lpstr>
      <vt:lpstr>'Note 27A'!Zone_d_impression</vt:lpstr>
      <vt:lpstr>'Note 27B'!Zone_d_impression</vt:lpstr>
      <vt:lpstr>'Note 28'!Zone_d_impression</vt:lpstr>
      <vt:lpstr>'Note 29'!Zone_d_impression</vt:lpstr>
      <vt:lpstr>'Note 30'!Zone_d_impression</vt:lpstr>
      <vt:lpstr>'Note 31'!Zone_d_impression</vt:lpstr>
      <vt:lpstr>'Note 32'!Zone_d_impression</vt:lpstr>
      <vt:lpstr>'Note 33'!Zone_d_impression</vt:lpstr>
      <vt:lpstr>'Note 34'!Zone_d_impression</vt:lpstr>
      <vt:lpstr>'Note 35'!Zone_d_impression</vt:lpstr>
      <vt:lpstr>'Note 36'!Zone_d_impression</vt:lpstr>
      <vt:lpstr>'Note 3A'!Zone_d_impression</vt:lpstr>
      <vt:lpstr>'Note 3B'!Zone_d_impression</vt:lpstr>
      <vt:lpstr>'Note 3C'!Zone_d_impression</vt:lpstr>
      <vt:lpstr>'Note 3D'!Zone_d_impression</vt:lpstr>
      <vt:lpstr>'Note 3E'!Zone_d_impression</vt:lpstr>
      <vt:lpstr>'Note 4'!Zone_d_impression</vt:lpstr>
      <vt:lpstr>'Note 5'!Zone_d_impression</vt:lpstr>
      <vt:lpstr>'Note 6'!Zone_d_impression</vt:lpstr>
      <vt:lpstr>'Note 7'!Zone_d_impression</vt:lpstr>
      <vt:lpstr>'Note 8'!Zone_d_impression</vt:lpstr>
      <vt:lpstr>'Note 8A'!Zone_d_impression</vt:lpstr>
      <vt:lpstr>'Note 9'!Zone_d_impression</vt:lpstr>
      <vt:lpstr>'Page de garde'!Zone_d_impression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 SUD TECHNOLOGY</dc:creator>
  <cp:lastModifiedBy>adieye</cp:lastModifiedBy>
  <cp:lastPrinted>2025-04-23T12:31:53Z</cp:lastPrinted>
  <dcterms:created xsi:type="dcterms:W3CDTF">2020-06-03T12:37:04Z</dcterms:created>
  <dcterms:modified xsi:type="dcterms:W3CDTF">2025-07-07T16:20:00Z</dcterms:modified>
</cp:coreProperties>
</file>